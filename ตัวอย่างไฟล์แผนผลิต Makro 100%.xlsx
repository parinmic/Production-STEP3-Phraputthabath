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pivotCache/pivotCacheDefinition2.xml" ContentType="application/vnd.openxmlformats-officedocument.spreadsheetml.pivotCacheDefinition+xml"/>
  <Override PartName="/xl/pivotCache/richPivotRecords2.xml" ContentType="application/vnd.openxmlformats-officedocument.spreadsheetml.richPivotRecords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rinya.the\Downloads\"/>
    </mc:Choice>
  </mc:AlternateContent>
  <xr:revisionPtr revIDLastSave="0" documentId="13_ncr:1_{301C3D90-CD24-408C-BA17-1D70A8211171}" xr6:coauthVersionLast="47" xr6:coauthVersionMax="47" xr10:uidLastSave="{00000000-0000-0000-0000-000000000000}"/>
  <bookViews>
    <workbookView xWindow="-110" yWindow="-110" windowWidth="19420" windowHeight="10300" tabRatio="842" firstSheet="3" activeTab="9" xr2:uid="{00000000-000D-0000-FFFF-FFFF00000000}"/>
  </bookViews>
  <sheets>
    <sheet name="Sheet1" sheetId="2" r:id="rId1"/>
    <sheet name="mk 001 10.3" sheetId="1" r:id="rId2"/>
    <sheet name="Mk หลังแก้" sheetId="12" r:id="rId3"/>
    <sheet name="Sheet1 (2)" sheetId="3" r:id="rId4"/>
    <sheet name="Sheet1 (3)" sheetId="4" r:id="rId5"/>
    <sheet name="Sheet1 (4)" sheetId="5" r:id="rId6"/>
    <sheet name="Sheet1 (8)" sheetId="15" r:id="rId7"/>
    <sheet name="Sheet1 (6)" sheetId="8" r:id="rId8"/>
    <sheet name="Sheet1 (7)" sheetId="14" r:id="rId9"/>
    <sheet name="แผน Makro 100%" sheetId="9" r:id="rId10"/>
    <sheet name="Sheet1 (5)" sheetId="7" r:id="rId11"/>
    <sheet name="แปลงข้อมูล" sheetId="11" r:id="rId12"/>
    <sheet name="เพิ่ม SO" sheetId="20" state="hidden" r:id="rId13"/>
    <sheet name="Master แปลงคำ" sheetId="13" r:id="rId14"/>
    <sheet name="Master" sheetId="10" r:id="rId15"/>
    <sheet name="SO recheck" sheetId="18" r:id="rId16"/>
    <sheet name="recheck" sheetId="19" r:id="rId17"/>
    <sheet name="เช็ค" sheetId="21" r:id="rId18"/>
  </sheets>
  <definedNames>
    <definedName name="_xlnm._FilterDatabase" localSheetId="14" hidden="1">Master!$N$1:$N$14</definedName>
    <definedName name="_xlnm._FilterDatabase" localSheetId="13" hidden="1">'Master แปลงคำ'!$A$1:$B$284</definedName>
    <definedName name="_xlnm._FilterDatabase" localSheetId="1" hidden="1">'mk 001 10.3'!$A$2:$BN$235</definedName>
    <definedName name="_xlnm._FilterDatabase" localSheetId="2" hidden="1">'Mk หลังแก้'!$A$1:$BN$400</definedName>
    <definedName name="_xlnm._FilterDatabase" localSheetId="17" hidden="1">เช็ค!$A$9:$M$9</definedName>
    <definedName name="_xlnm._FilterDatabase" localSheetId="9" hidden="1">'แผน Makro 100%'!$A$9:$M$9</definedName>
  </definedNames>
  <calcPr calcId="191028"/>
  <pivotCaches>
    <pivotCache cacheId="188" r:id="rId19"/>
    <pivotCache cacheId="189" r:id="rId20"/>
    <pivotCache cacheId="190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6" i="21" l="1"/>
  <c r="A135" i="21"/>
  <c r="A134" i="21"/>
  <c r="A133" i="21"/>
  <c r="A132" i="21"/>
  <c r="A131" i="21"/>
  <c r="A130" i="21"/>
  <c r="A129" i="21"/>
  <c r="J128" i="21"/>
  <c r="I128" i="21"/>
  <c r="H128" i="21"/>
  <c r="G128" i="21"/>
  <c r="F128" i="21"/>
  <c r="E128" i="21"/>
  <c r="D128" i="21"/>
  <c r="K128" i="21" s="1"/>
  <c r="A128" i="21"/>
  <c r="K127" i="21"/>
  <c r="A127" i="21"/>
  <c r="K126" i="21"/>
  <c r="A126" i="21"/>
  <c r="K125" i="21"/>
  <c r="A125" i="21"/>
  <c r="K124" i="21"/>
  <c r="A124" i="21"/>
  <c r="K123" i="21"/>
  <c r="A123" i="21"/>
  <c r="K122" i="21"/>
  <c r="A122" i="21"/>
  <c r="K121" i="21"/>
  <c r="A121" i="21"/>
  <c r="K120" i="21"/>
  <c r="A120" i="21"/>
  <c r="K119" i="21"/>
  <c r="A119" i="21"/>
  <c r="K118" i="21"/>
  <c r="A118" i="21"/>
  <c r="K117" i="21"/>
  <c r="A117" i="21"/>
  <c r="K116" i="21"/>
  <c r="A116" i="21"/>
  <c r="K115" i="21"/>
  <c r="A115" i="21"/>
  <c r="K114" i="21"/>
  <c r="A114" i="21"/>
  <c r="K113" i="21"/>
  <c r="A113" i="21"/>
  <c r="K112" i="21"/>
  <c r="A112" i="21"/>
  <c r="K111" i="21"/>
  <c r="A111" i="21"/>
  <c r="K110" i="21"/>
  <c r="A110" i="21"/>
  <c r="K109" i="21"/>
  <c r="A109" i="21"/>
  <c r="K108" i="21"/>
  <c r="A108" i="21"/>
  <c r="K107" i="21"/>
  <c r="A107" i="21"/>
  <c r="K106" i="21"/>
  <c r="A106" i="21"/>
  <c r="K105" i="21"/>
  <c r="A105" i="21"/>
  <c r="K104" i="21"/>
  <c r="A104" i="21"/>
  <c r="K103" i="21"/>
  <c r="A103" i="21"/>
  <c r="K102" i="21"/>
  <c r="A102" i="21"/>
  <c r="K101" i="21"/>
  <c r="A101" i="21"/>
  <c r="K100" i="21"/>
  <c r="A100" i="21"/>
  <c r="K99" i="21"/>
  <c r="A99" i="21"/>
  <c r="K98" i="21"/>
  <c r="A98" i="21"/>
  <c r="K97" i="21"/>
  <c r="A97" i="21"/>
  <c r="K96" i="21"/>
  <c r="A96" i="21"/>
  <c r="K95" i="21"/>
  <c r="A95" i="21"/>
  <c r="K94" i="21"/>
  <c r="A94" i="21"/>
  <c r="K93" i="21"/>
  <c r="A93" i="21"/>
  <c r="K92" i="21"/>
  <c r="A92" i="21"/>
  <c r="K91" i="21"/>
  <c r="A91" i="21"/>
  <c r="K90" i="21"/>
  <c r="A90" i="21"/>
  <c r="K89" i="21"/>
  <c r="A89" i="21"/>
  <c r="K88" i="21"/>
  <c r="A88" i="21"/>
  <c r="K87" i="21"/>
  <c r="A87" i="21"/>
  <c r="K86" i="21"/>
  <c r="A86" i="21"/>
  <c r="K85" i="21"/>
  <c r="A85" i="21"/>
  <c r="K84" i="21"/>
  <c r="A84" i="21"/>
  <c r="K83" i="21"/>
  <c r="A83" i="21"/>
  <c r="K82" i="21"/>
  <c r="A82" i="21"/>
  <c r="K81" i="21"/>
  <c r="A81" i="21"/>
  <c r="K80" i="21"/>
  <c r="A80" i="21"/>
  <c r="K79" i="21"/>
  <c r="A79" i="21"/>
  <c r="K78" i="21"/>
  <c r="A78" i="21"/>
  <c r="K77" i="21"/>
  <c r="A77" i="21"/>
  <c r="K76" i="21"/>
  <c r="A76" i="21"/>
  <c r="K75" i="21"/>
  <c r="A75" i="21"/>
  <c r="K74" i="21"/>
  <c r="A74" i="21"/>
  <c r="K73" i="21"/>
  <c r="A73" i="21"/>
  <c r="K72" i="21"/>
  <c r="A72" i="21"/>
  <c r="K71" i="21"/>
  <c r="A71" i="21"/>
  <c r="K70" i="21"/>
  <c r="A70" i="21"/>
  <c r="K69" i="21"/>
  <c r="A69" i="21"/>
  <c r="K68" i="21"/>
  <c r="A68" i="21"/>
  <c r="K67" i="21"/>
  <c r="A67" i="21"/>
  <c r="K66" i="21"/>
  <c r="A66" i="21"/>
  <c r="K65" i="21"/>
  <c r="A65" i="21"/>
  <c r="K64" i="21"/>
  <c r="A64" i="21"/>
  <c r="K63" i="21"/>
  <c r="A63" i="21"/>
  <c r="K62" i="21"/>
  <c r="A62" i="21"/>
  <c r="K61" i="21"/>
  <c r="A61" i="21"/>
  <c r="K60" i="21"/>
  <c r="A60" i="21"/>
  <c r="K59" i="21"/>
  <c r="A59" i="21"/>
  <c r="K58" i="21"/>
  <c r="A58" i="21"/>
  <c r="K57" i="21"/>
  <c r="A57" i="21"/>
  <c r="K56" i="21"/>
  <c r="A56" i="21"/>
  <c r="K55" i="21"/>
  <c r="A55" i="21"/>
  <c r="K54" i="21"/>
  <c r="A54" i="21"/>
  <c r="K53" i="21"/>
  <c r="A53" i="21"/>
  <c r="K52" i="21"/>
  <c r="A52" i="21"/>
  <c r="K51" i="21"/>
  <c r="A51" i="21"/>
  <c r="K50" i="21"/>
  <c r="A50" i="21"/>
  <c r="K49" i="21"/>
  <c r="A49" i="21"/>
  <c r="K48" i="21"/>
  <c r="A48" i="21"/>
  <c r="K47" i="21"/>
  <c r="A47" i="21"/>
  <c r="K46" i="21"/>
  <c r="A46" i="21"/>
  <c r="K45" i="21"/>
  <c r="A45" i="21"/>
  <c r="K44" i="21"/>
  <c r="A44" i="21"/>
  <c r="K43" i="21"/>
  <c r="A43" i="21"/>
  <c r="K42" i="21"/>
  <c r="A42" i="21"/>
  <c r="K41" i="21"/>
  <c r="A41" i="21"/>
  <c r="K40" i="21"/>
  <c r="A40" i="21"/>
  <c r="K39" i="21"/>
  <c r="A39" i="21"/>
  <c r="K38" i="21"/>
  <c r="A38" i="21"/>
  <c r="K37" i="21"/>
  <c r="A37" i="21"/>
  <c r="K36" i="21"/>
  <c r="A36" i="21"/>
  <c r="K35" i="21"/>
  <c r="A35" i="21"/>
  <c r="K34" i="21"/>
  <c r="A34" i="21"/>
  <c r="K33" i="21"/>
  <c r="A33" i="21"/>
  <c r="K32" i="21"/>
  <c r="A32" i="21"/>
  <c r="K31" i="21"/>
  <c r="A31" i="21"/>
  <c r="K30" i="21"/>
  <c r="A30" i="21"/>
  <c r="K29" i="21"/>
  <c r="A29" i="21"/>
  <c r="K28" i="21"/>
  <c r="A28" i="21"/>
  <c r="K27" i="21"/>
  <c r="A27" i="21"/>
  <c r="K26" i="21"/>
  <c r="A26" i="21"/>
  <c r="K25" i="21"/>
  <c r="A25" i="21"/>
  <c r="K24" i="21"/>
  <c r="A24" i="21"/>
  <c r="K23" i="21"/>
  <c r="A23" i="21"/>
  <c r="K22" i="21"/>
  <c r="A22" i="21"/>
  <c r="K21" i="21"/>
  <c r="A21" i="21"/>
  <c r="K20" i="21"/>
  <c r="A20" i="21"/>
  <c r="K19" i="21"/>
  <c r="A19" i="21"/>
  <c r="K18" i="21"/>
  <c r="A18" i="21"/>
  <c r="K17" i="21"/>
  <c r="A17" i="21"/>
  <c r="K16" i="21"/>
  <c r="A16" i="21"/>
  <c r="K15" i="21"/>
  <c r="A15" i="21"/>
  <c r="K14" i="21"/>
  <c r="A14" i="21"/>
  <c r="K13" i="21"/>
  <c r="A13" i="21"/>
  <c r="K12" i="21"/>
  <c r="A12" i="21"/>
  <c r="K11" i="21"/>
  <c r="A11" i="21"/>
  <c r="K10" i="21"/>
  <c r="A10" i="21"/>
  <c r="E128" i="9"/>
  <c r="F128" i="9"/>
  <c r="G128" i="9"/>
  <c r="H128" i="9"/>
  <c r="I128" i="9"/>
  <c r="J128" i="9"/>
  <c r="D128" i="9"/>
  <c r="K128" i="9" s="1"/>
  <c r="K10" i="9"/>
  <c r="K11" i="9"/>
  <c r="K74" i="9"/>
  <c r="K92" i="9"/>
  <c r="K48" i="9"/>
  <c r="K27" i="9"/>
  <c r="K28" i="9"/>
  <c r="K93" i="9"/>
  <c r="K29" i="9"/>
  <c r="K30" i="9"/>
  <c r="K94" i="9"/>
  <c r="K31" i="9"/>
  <c r="K12" i="9"/>
  <c r="K32" i="9"/>
  <c r="K71" i="9"/>
  <c r="K111" i="9"/>
  <c r="K112" i="9"/>
  <c r="K113" i="9"/>
  <c r="K114" i="9"/>
  <c r="K115" i="9"/>
  <c r="K116" i="9"/>
  <c r="K72" i="9"/>
  <c r="K95" i="9"/>
  <c r="K106" i="9"/>
  <c r="K117" i="9"/>
  <c r="K107" i="9"/>
  <c r="K118" i="9"/>
  <c r="K73" i="9"/>
  <c r="K85" i="9"/>
  <c r="K119" i="9"/>
  <c r="K75" i="9"/>
  <c r="K108" i="9"/>
  <c r="K51" i="9"/>
  <c r="K52" i="9"/>
  <c r="K53" i="9"/>
  <c r="K54" i="9"/>
  <c r="K120" i="9"/>
  <c r="K96" i="9"/>
  <c r="K109" i="9"/>
  <c r="K33" i="9"/>
  <c r="K13" i="9"/>
  <c r="K76" i="9"/>
  <c r="K14" i="9"/>
  <c r="K121" i="9"/>
  <c r="K97" i="9"/>
  <c r="K15" i="9"/>
  <c r="K98" i="9"/>
  <c r="K49" i="9"/>
  <c r="K99" i="9"/>
  <c r="K34" i="9"/>
  <c r="K16" i="9"/>
  <c r="K102" i="9"/>
  <c r="K86" i="9"/>
  <c r="K87" i="9"/>
  <c r="K38" i="9"/>
  <c r="K100" i="9"/>
  <c r="K88" i="9"/>
  <c r="K122" i="9"/>
  <c r="K103" i="9"/>
  <c r="K123" i="9"/>
  <c r="K77" i="9"/>
  <c r="K89" i="9"/>
  <c r="K124" i="9"/>
  <c r="K125" i="9"/>
  <c r="K39" i="9"/>
  <c r="K55" i="9"/>
  <c r="K35" i="9"/>
  <c r="K90" i="9"/>
  <c r="K56" i="9"/>
  <c r="K17" i="9"/>
  <c r="K57" i="9"/>
  <c r="K40" i="9"/>
  <c r="K104" i="9"/>
  <c r="K18" i="9"/>
  <c r="K19" i="9"/>
  <c r="K20" i="9"/>
  <c r="K41" i="9"/>
  <c r="K78" i="9"/>
  <c r="K101" i="9"/>
  <c r="K36" i="9"/>
  <c r="K50" i="9"/>
  <c r="K37" i="9"/>
  <c r="K58" i="9"/>
  <c r="K42" i="9"/>
  <c r="K79" i="9"/>
  <c r="K105" i="9"/>
  <c r="K59" i="9"/>
  <c r="K60" i="9"/>
  <c r="K61" i="9"/>
  <c r="K43" i="9"/>
  <c r="K21" i="9"/>
  <c r="K80" i="9"/>
  <c r="K126" i="9"/>
  <c r="K81" i="9"/>
  <c r="K62" i="9"/>
  <c r="K44" i="9"/>
  <c r="K45" i="9"/>
  <c r="K82" i="9"/>
  <c r="K63" i="9"/>
  <c r="K64" i="9"/>
  <c r="K22" i="9"/>
  <c r="K23" i="9"/>
  <c r="K65" i="9"/>
  <c r="K24" i="9"/>
  <c r="K110" i="9"/>
  <c r="K127" i="9"/>
  <c r="K66" i="9"/>
  <c r="K83" i="9"/>
  <c r="K46" i="9"/>
  <c r="K47" i="9"/>
  <c r="K25" i="9"/>
  <c r="K67" i="9"/>
  <c r="K68" i="9"/>
  <c r="K69" i="9"/>
  <c r="K70" i="9"/>
  <c r="K84" i="9"/>
  <c r="K26" i="9"/>
  <c r="K91" i="9"/>
  <c r="A16" i="20"/>
  <c r="B16" i="20"/>
  <c r="C16" i="20"/>
  <c r="D16" i="20"/>
  <c r="E16" i="20"/>
  <c r="F16" i="20"/>
  <c r="G16" i="20"/>
  <c r="H16" i="20"/>
  <c r="I16" i="20"/>
  <c r="J16" i="20"/>
  <c r="K16" i="20"/>
  <c r="L16" i="20"/>
  <c r="M16" i="20"/>
  <c r="Q16" i="20"/>
  <c r="R16" i="20"/>
  <c r="S16" i="20"/>
  <c r="U16" i="20"/>
  <c r="V16" i="20"/>
  <c r="Y16" i="20"/>
  <c r="Z16" i="20"/>
  <c r="BL16" i="20"/>
  <c r="BM16" i="20"/>
  <c r="BN16" i="20"/>
  <c r="A17" i="20"/>
  <c r="B17" i="20"/>
  <c r="C17" i="20"/>
  <c r="D17" i="20"/>
  <c r="E17" i="20"/>
  <c r="F17" i="20"/>
  <c r="G17" i="20"/>
  <c r="H17" i="20"/>
  <c r="I17" i="20"/>
  <c r="J17" i="20"/>
  <c r="K17" i="20"/>
  <c r="L17" i="20"/>
  <c r="M17" i="20"/>
  <c r="Q17" i="20"/>
  <c r="R17" i="20"/>
  <c r="S17" i="20"/>
  <c r="U17" i="20"/>
  <c r="V17" i="20"/>
  <c r="Y17" i="20"/>
  <c r="Z17" i="20"/>
  <c r="BL17" i="20"/>
  <c r="BM17" i="20"/>
  <c r="BN17" i="20"/>
  <c r="A18" i="20"/>
  <c r="B18" i="20"/>
  <c r="C18" i="20"/>
  <c r="D18" i="20"/>
  <c r="E18" i="20"/>
  <c r="F18" i="20"/>
  <c r="G18" i="20"/>
  <c r="H18" i="20"/>
  <c r="I18" i="20"/>
  <c r="J18" i="20"/>
  <c r="K18" i="20"/>
  <c r="L18" i="20"/>
  <c r="M18" i="20"/>
  <c r="Q18" i="20"/>
  <c r="R18" i="20"/>
  <c r="S18" i="20"/>
  <c r="U18" i="20"/>
  <c r="V18" i="20"/>
  <c r="Y18" i="20"/>
  <c r="Z18" i="20"/>
  <c r="BL18" i="20"/>
  <c r="BM18" i="20"/>
  <c r="BN18" i="20"/>
  <c r="A19" i="20"/>
  <c r="B19" i="20"/>
  <c r="C19" i="20"/>
  <c r="D19" i="20"/>
  <c r="E19" i="20"/>
  <c r="F19" i="20"/>
  <c r="G19" i="20"/>
  <c r="H19" i="20"/>
  <c r="I19" i="20"/>
  <c r="J19" i="20"/>
  <c r="K19" i="20"/>
  <c r="L19" i="20"/>
  <c r="M19" i="20"/>
  <c r="Q19" i="20"/>
  <c r="R19" i="20"/>
  <c r="S19" i="20"/>
  <c r="U19" i="20"/>
  <c r="V19" i="20"/>
  <c r="Y19" i="20"/>
  <c r="Z19" i="20"/>
  <c r="BL19" i="20"/>
  <c r="BM19" i="20"/>
  <c r="BN19" i="20"/>
  <c r="A20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Q20" i="20"/>
  <c r="R20" i="20"/>
  <c r="S20" i="20"/>
  <c r="U20" i="20"/>
  <c r="V20" i="20"/>
  <c r="Y20" i="20"/>
  <c r="Z20" i="20"/>
  <c r="BL20" i="20"/>
  <c r="BM20" i="20"/>
  <c r="BN20" i="20"/>
  <c r="A21" i="20"/>
  <c r="B21" i="20"/>
  <c r="C21" i="20"/>
  <c r="D21" i="20"/>
  <c r="E21" i="20"/>
  <c r="F21" i="20"/>
  <c r="G21" i="20"/>
  <c r="H21" i="20"/>
  <c r="I21" i="20"/>
  <c r="J21" i="20"/>
  <c r="K21" i="20"/>
  <c r="L21" i="20"/>
  <c r="M21" i="20"/>
  <c r="Q21" i="20"/>
  <c r="R21" i="20"/>
  <c r="S21" i="20"/>
  <c r="U21" i="20"/>
  <c r="V21" i="20"/>
  <c r="Y21" i="20"/>
  <c r="Z21" i="20"/>
  <c r="BL21" i="20"/>
  <c r="BM21" i="20"/>
  <c r="BN21" i="20"/>
  <c r="A22" i="20"/>
  <c r="B22" i="20"/>
  <c r="C22" i="20"/>
  <c r="D22" i="20"/>
  <c r="E22" i="20"/>
  <c r="F22" i="20"/>
  <c r="G22" i="20"/>
  <c r="H22" i="20"/>
  <c r="I22" i="20"/>
  <c r="J22" i="20"/>
  <c r="K22" i="20"/>
  <c r="L22" i="20"/>
  <c r="M22" i="20"/>
  <c r="Q22" i="20"/>
  <c r="R22" i="20"/>
  <c r="S22" i="20"/>
  <c r="U22" i="20"/>
  <c r="V22" i="20"/>
  <c r="Y22" i="20"/>
  <c r="Z22" i="20"/>
  <c r="BL22" i="20"/>
  <c r="BM22" i="20"/>
  <c r="BN22" i="20"/>
  <c r="A23" i="20"/>
  <c r="B23" i="20"/>
  <c r="C23" i="20"/>
  <c r="D23" i="20"/>
  <c r="E23" i="20"/>
  <c r="F23" i="20"/>
  <c r="G23" i="20"/>
  <c r="H23" i="20"/>
  <c r="I23" i="20"/>
  <c r="J23" i="20"/>
  <c r="K23" i="20"/>
  <c r="L23" i="20"/>
  <c r="M23" i="20"/>
  <c r="Q23" i="20"/>
  <c r="R23" i="20"/>
  <c r="S23" i="20"/>
  <c r="U23" i="20"/>
  <c r="V23" i="20"/>
  <c r="Y23" i="20"/>
  <c r="Z23" i="20"/>
  <c r="BL23" i="20"/>
  <c r="BM23" i="20"/>
  <c r="BN23" i="20"/>
  <c r="A24" i="20"/>
  <c r="B24" i="20"/>
  <c r="C24" i="20"/>
  <c r="D24" i="20"/>
  <c r="E24" i="20"/>
  <c r="F24" i="20"/>
  <c r="G24" i="20"/>
  <c r="H24" i="20"/>
  <c r="I24" i="20"/>
  <c r="J24" i="20"/>
  <c r="K24" i="20"/>
  <c r="L24" i="20"/>
  <c r="M24" i="20"/>
  <c r="Q24" i="20"/>
  <c r="R24" i="20"/>
  <c r="S24" i="20"/>
  <c r="U24" i="20"/>
  <c r="V24" i="20"/>
  <c r="Y24" i="20" s="1"/>
  <c r="Z24" i="20"/>
  <c r="BL24" i="20"/>
  <c r="BM24" i="20"/>
  <c r="BN24" i="20"/>
  <c r="A25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Q25" i="20"/>
  <c r="R25" i="20"/>
  <c r="S25" i="20"/>
  <c r="U25" i="20"/>
  <c r="V25" i="20"/>
  <c r="Y25" i="20" s="1"/>
  <c r="Z25" i="20"/>
  <c r="BL25" i="20"/>
  <c r="BM25" i="20"/>
  <c r="BN25" i="20"/>
  <c r="A26" i="20"/>
  <c r="B26" i="20"/>
  <c r="C26" i="20"/>
  <c r="D26" i="20"/>
  <c r="E26" i="20"/>
  <c r="F26" i="20"/>
  <c r="G26" i="20"/>
  <c r="H26" i="20"/>
  <c r="I26" i="20"/>
  <c r="J26" i="20"/>
  <c r="K26" i="20"/>
  <c r="L26" i="20"/>
  <c r="M26" i="20"/>
  <c r="Q26" i="20"/>
  <c r="R26" i="20"/>
  <c r="S26" i="20"/>
  <c r="U26" i="20"/>
  <c r="V26" i="20"/>
  <c r="Y26" i="20"/>
  <c r="Z26" i="20"/>
  <c r="BL26" i="20"/>
  <c r="BM26" i="20"/>
  <c r="BN26" i="20"/>
  <c r="A27" i="20"/>
  <c r="B27" i="20"/>
  <c r="C27" i="20"/>
  <c r="D27" i="20"/>
  <c r="E27" i="20"/>
  <c r="F27" i="20"/>
  <c r="G27" i="20"/>
  <c r="H27" i="20"/>
  <c r="I27" i="20"/>
  <c r="J27" i="20"/>
  <c r="K27" i="20"/>
  <c r="L27" i="20"/>
  <c r="M27" i="20"/>
  <c r="Q27" i="20"/>
  <c r="R27" i="20"/>
  <c r="S27" i="20"/>
  <c r="U27" i="20"/>
  <c r="V27" i="20"/>
  <c r="Y27" i="20" s="1"/>
  <c r="Z27" i="20"/>
  <c r="BL27" i="20"/>
  <c r="BM27" i="20"/>
  <c r="BN27" i="20"/>
  <c r="A28" i="20"/>
  <c r="B28" i="20"/>
  <c r="C28" i="20"/>
  <c r="D28" i="20"/>
  <c r="E28" i="20"/>
  <c r="F28" i="20"/>
  <c r="G28" i="20"/>
  <c r="H28" i="20"/>
  <c r="I28" i="20"/>
  <c r="J28" i="20"/>
  <c r="K28" i="20"/>
  <c r="L28" i="20"/>
  <c r="M28" i="20"/>
  <c r="Q28" i="20"/>
  <c r="R28" i="20"/>
  <c r="S28" i="20"/>
  <c r="U28" i="20"/>
  <c r="V28" i="20"/>
  <c r="Y28" i="20" s="1"/>
  <c r="Z28" i="20"/>
  <c r="BL28" i="20"/>
  <c r="BM28" i="20"/>
  <c r="BN28" i="20"/>
  <c r="A29" i="20"/>
  <c r="B29" i="20"/>
  <c r="C29" i="20"/>
  <c r="D29" i="20"/>
  <c r="E29" i="20"/>
  <c r="F29" i="20"/>
  <c r="G29" i="20"/>
  <c r="H29" i="20"/>
  <c r="I29" i="20"/>
  <c r="J29" i="20"/>
  <c r="K29" i="20"/>
  <c r="L29" i="20"/>
  <c r="M29" i="20"/>
  <c r="Q29" i="20"/>
  <c r="R29" i="20"/>
  <c r="S29" i="20"/>
  <c r="U29" i="20"/>
  <c r="V29" i="20"/>
  <c r="Y29" i="20" s="1"/>
  <c r="Z29" i="20"/>
  <c r="BL29" i="20"/>
  <c r="BM29" i="20"/>
  <c r="BN29" i="20"/>
  <c r="A30" i="20"/>
  <c r="B30" i="20"/>
  <c r="C30" i="20"/>
  <c r="D30" i="20"/>
  <c r="E30" i="20"/>
  <c r="F30" i="20"/>
  <c r="G30" i="20"/>
  <c r="H30" i="20"/>
  <c r="I30" i="20"/>
  <c r="J30" i="20"/>
  <c r="K30" i="20"/>
  <c r="L30" i="20"/>
  <c r="M30" i="20"/>
  <c r="Q30" i="20"/>
  <c r="R30" i="20"/>
  <c r="S30" i="20"/>
  <c r="U30" i="20"/>
  <c r="V30" i="20"/>
  <c r="Y30" i="20" s="1"/>
  <c r="Z30" i="20"/>
  <c r="BL30" i="20"/>
  <c r="BM30" i="20"/>
  <c r="BN30" i="20"/>
  <c r="A31" i="20"/>
  <c r="B31" i="20"/>
  <c r="C31" i="20"/>
  <c r="D31" i="20"/>
  <c r="E31" i="20"/>
  <c r="F31" i="20"/>
  <c r="G31" i="20"/>
  <c r="H31" i="20"/>
  <c r="I31" i="20"/>
  <c r="J31" i="20"/>
  <c r="K31" i="20"/>
  <c r="L31" i="20"/>
  <c r="M31" i="20"/>
  <c r="Q31" i="20"/>
  <c r="R31" i="20"/>
  <c r="S31" i="20"/>
  <c r="U31" i="20"/>
  <c r="V31" i="20"/>
  <c r="Y31" i="20" s="1"/>
  <c r="Z31" i="20"/>
  <c r="BL31" i="20"/>
  <c r="BM31" i="20"/>
  <c r="BN31" i="20"/>
  <c r="A32" i="20"/>
  <c r="B32" i="20"/>
  <c r="C32" i="20"/>
  <c r="D32" i="20"/>
  <c r="E32" i="20"/>
  <c r="F32" i="20"/>
  <c r="G32" i="20"/>
  <c r="H32" i="20"/>
  <c r="I32" i="20"/>
  <c r="J32" i="20"/>
  <c r="K32" i="20"/>
  <c r="L32" i="20"/>
  <c r="M32" i="20"/>
  <c r="Q32" i="20"/>
  <c r="R32" i="20"/>
  <c r="S32" i="20"/>
  <c r="U32" i="20"/>
  <c r="V32" i="20"/>
  <c r="Y32" i="20"/>
  <c r="Z32" i="20"/>
  <c r="BL32" i="20"/>
  <c r="BM32" i="20"/>
  <c r="BN32" i="20"/>
  <c r="A33" i="20"/>
  <c r="B33" i="20"/>
  <c r="C33" i="20"/>
  <c r="D33" i="20"/>
  <c r="E33" i="20"/>
  <c r="F33" i="20"/>
  <c r="G33" i="20"/>
  <c r="H33" i="20"/>
  <c r="I33" i="20"/>
  <c r="J33" i="20"/>
  <c r="K33" i="20"/>
  <c r="L33" i="20"/>
  <c r="M33" i="20"/>
  <c r="Q33" i="20"/>
  <c r="R33" i="20"/>
  <c r="S33" i="20"/>
  <c r="U33" i="20"/>
  <c r="V33" i="20"/>
  <c r="Y33" i="20" s="1"/>
  <c r="Z33" i="20"/>
  <c r="BL33" i="20"/>
  <c r="BM33" i="20"/>
  <c r="BN33" i="20"/>
  <c r="A34" i="20"/>
  <c r="B34" i="20"/>
  <c r="C34" i="20"/>
  <c r="D34" i="20"/>
  <c r="E34" i="20"/>
  <c r="F34" i="20"/>
  <c r="G34" i="20"/>
  <c r="H34" i="20"/>
  <c r="I34" i="20"/>
  <c r="J34" i="20"/>
  <c r="K34" i="20"/>
  <c r="L34" i="20"/>
  <c r="M34" i="20"/>
  <c r="Q34" i="20"/>
  <c r="R34" i="20"/>
  <c r="S34" i="20"/>
  <c r="U34" i="20"/>
  <c r="V34" i="20"/>
  <c r="Y34" i="20"/>
  <c r="Z34" i="20"/>
  <c r="BL34" i="20"/>
  <c r="BM34" i="20"/>
  <c r="BN34" i="20"/>
  <c r="A35" i="20"/>
  <c r="B35" i="20"/>
  <c r="C35" i="20"/>
  <c r="D35" i="20"/>
  <c r="E35" i="20"/>
  <c r="F35" i="20"/>
  <c r="G35" i="20"/>
  <c r="H35" i="20"/>
  <c r="I35" i="20"/>
  <c r="J35" i="20"/>
  <c r="K35" i="20"/>
  <c r="L35" i="20"/>
  <c r="M35" i="20"/>
  <c r="Q35" i="20"/>
  <c r="R35" i="20"/>
  <c r="S35" i="20"/>
  <c r="U35" i="20"/>
  <c r="V35" i="20"/>
  <c r="Y35" i="20" s="1"/>
  <c r="Z35" i="20"/>
  <c r="BL35" i="20"/>
  <c r="BM35" i="20"/>
  <c r="BN35" i="20"/>
  <c r="A36" i="20"/>
  <c r="B36" i="20"/>
  <c r="C36" i="20"/>
  <c r="D36" i="20"/>
  <c r="E36" i="20"/>
  <c r="F36" i="20"/>
  <c r="G36" i="20"/>
  <c r="H36" i="20"/>
  <c r="I36" i="20"/>
  <c r="J36" i="20"/>
  <c r="K36" i="20"/>
  <c r="L36" i="20"/>
  <c r="M36" i="20"/>
  <c r="Q36" i="20"/>
  <c r="R36" i="20"/>
  <c r="S36" i="20"/>
  <c r="U36" i="20"/>
  <c r="V36" i="20"/>
  <c r="Y36" i="20" s="1"/>
  <c r="Z36" i="20"/>
  <c r="BL36" i="20"/>
  <c r="BM36" i="20"/>
  <c r="BN36" i="20"/>
  <c r="A37" i="20"/>
  <c r="B37" i="20"/>
  <c r="C37" i="20"/>
  <c r="D37" i="20"/>
  <c r="E37" i="20"/>
  <c r="F37" i="20"/>
  <c r="G37" i="20"/>
  <c r="H37" i="20"/>
  <c r="I37" i="20"/>
  <c r="J37" i="20"/>
  <c r="K37" i="20"/>
  <c r="L37" i="20"/>
  <c r="M37" i="20"/>
  <c r="Q37" i="20"/>
  <c r="R37" i="20"/>
  <c r="S37" i="20"/>
  <c r="U37" i="20"/>
  <c r="V37" i="20"/>
  <c r="Y37" i="20" s="1"/>
  <c r="Z37" i="20"/>
  <c r="BL37" i="20"/>
  <c r="BM37" i="20"/>
  <c r="BN37" i="20"/>
  <c r="A38" i="20"/>
  <c r="B38" i="20"/>
  <c r="C38" i="20"/>
  <c r="D38" i="20"/>
  <c r="E38" i="20"/>
  <c r="F38" i="20"/>
  <c r="G38" i="20"/>
  <c r="H38" i="20"/>
  <c r="I38" i="20"/>
  <c r="J38" i="20"/>
  <c r="K38" i="20"/>
  <c r="L38" i="20"/>
  <c r="M38" i="20"/>
  <c r="Q38" i="20"/>
  <c r="R38" i="20"/>
  <c r="S38" i="20"/>
  <c r="U38" i="20"/>
  <c r="V38" i="20"/>
  <c r="Y38" i="20" s="1"/>
  <c r="Z38" i="20"/>
  <c r="BL38" i="20"/>
  <c r="BM38" i="20"/>
  <c r="BN38" i="20"/>
  <c r="A39" i="20"/>
  <c r="B39" i="20"/>
  <c r="C39" i="20"/>
  <c r="D39" i="20"/>
  <c r="E39" i="20"/>
  <c r="F39" i="20"/>
  <c r="G39" i="20"/>
  <c r="H39" i="20"/>
  <c r="I39" i="20"/>
  <c r="J39" i="20"/>
  <c r="K39" i="20"/>
  <c r="L39" i="20"/>
  <c r="M39" i="20"/>
  <c r="Q39" i="20"/>
  <c r="R39" i="20"/>
  <c r="S39" i="20"/>
  <c r="U39" i="20"/>
  <c r="V39" i="20"/>
  <c r="Y39" i="20" s="1"/>
  <c r="Z39" i="20"/>
  <c r="BL39" i="20"/>
  <c r="BM39" i="20"/>
  <c r="BN39" i="20"/>
  <c r="A40" i="20"/>
  <c r="B40" i="20"/>
  <c r="C40" i="20"/>
  <c r="D40" i="20"/>
  <c r="E40" i="20"/>
  <c r="F40" i="20"/>
  <c r="G40" i="20"/>
  <c r="H40" i="20"/>
  <c r="I40" i="20"/>
  <c r="J40" i="20"/>
  <c r="K40" i="20"/>
  <c r="L40" i="20"/>
  <c r="M40" i="20"/>
  <c r="Q40" i="20"/>
  <c r="R40" i="20"/>
  <c r="S40" i="20"/>
  <c r="U40" i="20"/>
  <c r="V40" i="20"/>
  <c r="Y40" i="20" s="1"/>
  <c r="Z40" i="20"/>
  <c r="BL40" i="20"/>
  <c r="BM40" i="20"/>
  <c r="BN40" i="20"/>
  <c r="A41" i="20"/>
  <c r="B41" i="20"/>
  <c r="C41" i="20"/>
  <c r="D41" i="20"/>
  <c r="E41" i="20"/>
  <c r="F41" i="20"/>
  <c r="G41" i="20"/>
  <c r="H41" i="20"/>
  <c r="I41" i="20"/>
  <c r="J41" i="20"/>
  <c r="K41" i="20"/>
  <c r="L41" i="20"/>
  <c r="M41" i="20"/>
  <c r="Q41" i="20"/>
  <c r="R41" i="20"/>
  <c r="S41" i="20"/>
  <c r="U41" i="20"/>
  <c r="V41" i="20"/>
  <c r="Y41" i="20"/>
  <c r="Z41" i="20"/>
  <c r="BL41" i="20"/>
  <c r="BM41" i="20"/>
  <c r="BN41" i="20"/>
  <c r="A42" i="20"/>
  <c r="B42" i="20"/>
  <c r="C42" i="20"/>
  <c r="D42" i="20"/>
  <c r="E42" i="20"/>
  <c r="F42" i="20"/>
  <c r="G42" i="20"/>
  <c r="H42" i="20"/>
  <c r="I42" i="20"/>
  <c r="J42" i="20"/>
  <c r="K42" i="20"/>
  <c r="L42" i="20"/>
  <c r="M42" i="20"/>
  <c r="Q42" i="20"/>
  <c r="R42" i="20"/>
  <c r="S42" i="20"/>
  <c r="U42" i="20"/>
  <c r="V42" i="20"/>
  <c r="Y42" i="20" s="1"/>
  <c r="Z42" i="20"/>
  <c r="BL42" i="20"/>
  <c r="BM42" i="20"/>
  <c r="BN42" i="20"/>
  <c r="A43" i="20"/>
  <c r="B43" i="20"/>
  <c r="C43" i="20"/>
  <c r="D43" i="20"/>
  <c r="E43" i="20"/>
  <c r="F43" i="20"/>
  <c r="G43" i="20"/>
  <c r="H43" i="20"/>
  <c r="I43" i="20"/>
  <c r="J43" i="20"/>
  <c r="K43" i="20"/>
  <c r="L43" i="20"/>
  <c r="M43" i="20"/>
  <c r="Q43" i="20"/>
  <c r="R43" i="20"/>
  <c r="S43" i="20"/>
  <c r="U43" i="20"/>
  <c r="V43" i="20"/>
  <c r="Y43" i="20"/>
  <c r="Z43" i="20"/>
  <c r="BL43" i="20"/>
  <c r="BM43" i="20"/>
  <c r="BN43" i="20"/>
  <c r="A44" i="20"/>
  <c r="B44" i="20"/>
  <c r="C44" i="20"/>
  <c r="D44" i="20"/>
  <c r="E44" i="20"/>
  <c r="F44" i="20"/>
  <c r="G44" i="20"/>
  <c r="H44" i="20"/>
  <c r="I44" i="20"/>
  <c r="J44" i="20"/>
  <c r="K44" i="20"/>
  <c r="L44" i="20"/>
  <c r="M44" i="20"/>
  <c r="Q44" i="20"/>
  <c r="R44" i="20"/>
  <c r="S44" i="20"/>
  <c r="U44" i="20"/>
  <c r="V44" i="20"/>
  <c r="Y44" i="20" s="1"/>
  <c r="BL44" i="20"/>
  <c r="BM44" i="20"/>
  <c r="BN44" i="20"/>
  <c r="A45" i="20"/>
  <c r="B45" i="20"/>
  <c r="C45" i="20"/>
  <c r="D45" i="20"/>
  <c r="E45" i="20"/>
  <c r="F45" i="20"/>
  <c r="G45" i="20"/>
  <c r="H45" i="20"/>
  <c r="I45" i="20"/>
  <c r="J45" i="20"/>
  <c r="K45" i="20"/>
  <c r="L45" i="20"/>
  <c r="M45" i="20"/>
  <c r="R45" i="20"/>
  <c r="S45" i="20"/>
  <c r="BL45" i="20"/>
  <c r="BM45" i="20"/>
  <c r="BN45" i="20"/>
  <c r="A46" i="20"/>
  <c r="B46" i="20"/>
  <c r="C46" i="20"/>
  <c r="D46" i="20"/>
  <c r="E46" i="20"/>
  <c r="F46" i="20"/>
  <c r="G46" i="20"/>
  <c r="H46" i="20"/>
  <c r="I46" i="20"/>
  <c r="J46" i="20"/>
  <c r="K46" i="20"/>
  <c r="L46" i="20"/>
  <c r="M46" i="20"/>
  <c r="R46" i="20"/>
  <c r="S46" i="20"/>
  <c r="BL46" i="20"/>
  <c r="BM46" i="20"/>
  <c r="BN46" i="20"/>
  <c r="A47" i="20"/>
  <c r="B47" i="20"/>
  <c r="C47" i="20"/>
  <c r="D47" i="20"/>
  <c r="E47" i="20"/>
  <c r="F47" i="20"/>
  <c r="G47" i="20"/>
  <c r="H47" i="20"/>
  <c r="I47" i="20"/>
  <c r="J47" i="20"/>
  <c r="K47" i="20"/>
  <c r="L47" i="20"/>
  <c r="M47" i="20"/>
  <c r="Q47" i="20"/>
  <c r="R47" i="20"/>
  <c r="S47" i="20"/>
  <c r="U47" i="20"/>
  <c r="V47" i="20"/>
  <c r="Y47" i="20"/>
  <c r="BL47" i="20"/>
  <c r="BM47" i="20"/>
  <c r="BN47" i="20"/>
  <c r="A48" i="20"/>
  <c r="B48" i="20"/>
  <c r="C48" i="20"/>
  <c r="D48" i="20"/>
  <c r="E48" i="20"/>
  <c r="F48" i="20"/>
  <c r="G48" i="20"/>
  <c r="H48" i="20"/>
  <c r="I48" i="20"/>
  <c r="J48" i="20"/>
  <c r="K48" i="20"/>
  <c r="L48" i="20"/>
  <c r="M48" i="20"/>
  <c r="Q48" i="20"/>
  <c r="R48" i="20"/>
  <c r="S48" i="20"/>
  <c r="U48" i="20"/>
  <c r="V48" i="20"/>
  <c r="Y48" i="20" s="1"/>
  <c r="Z48" i="20"/>
  <c r="BL48" i="20"/>
  <c r="BM48" i="20"/>
  <c r="BN48" i="20"/>
  <c r="A49" i="20"/>
  <c r="B49" i="20"/>
  <c r="C49" i="20"/>
  <c r="D49" i="20"/>
  <c r="E49" i="20"/>
  <c r="F49" i="20"/>
  <c r="G49" i="20"/>
  <c r="H49" i="20"/>
  <c r="I49" i="20"/>
  <c r="J49" i="20"/>
  <c r="K49" i="20"/>
  <c r="L49" i="20"/>
  <c r="M49" i="20"/>
  <c r="Q49" i="20"/>
  <c r="R49" i="20"/>
  <c r="S49" i="20"/>
  <c r="U49" i="20"/>
  <c r="V49" i="20"/>
  <c r="Y49" i="20" s="1"/>
  <c r="Z49" i="20"/>
  <c r="BL49" i="20"/>
  <c r="BM49" i="20"/>
  <c r="BN49" i="20"/>
  <c r="A50" i="20"/>
  <c r="B50" i="20"/>
  <c r="C50" i="20"/>
  <c r="D50" i="20"/>
  <c r="E50" i="20"/>
  <c r="F50" i="20"/>
  <c r="G50" i="20"/>
  <c r="H50" i="20"/>
  <c r="I50" i="20"/>
  <c r="J50" i="20"/>
  <c r="K50" i="20"/>
  <c r="L50" i="20"/>
  <c r="M50" i="20"/>
  <c r="Q50" i="20"/>
  <c r="R50" i="20"/>
  <c r="S50" i="20"/>
  <c r="U50" i="20"/>
  <c r="V50" i="20"/>
  <c r="Y50" i="20" s="1"/>
  <c r="Z50" i="20"/>
  <c r="BL50" i="20"/>
  <c r="BM50" i="20"/>
  <c r="BN50" i="20"/>
  <c r="A51" i="20"/>
  <c r="B51" i="20"/>
  <c r="C51" i="20"/>
  <c r="D51" i="20"/>
  <c r="E51" i="20"/>
  <c r="F51" i="20"/>
  <c r="G51" i="20"/>
  <c r="H51" i="20"/>
  <c r="I51" i="20"/>
  <c r="J51" i="20"/>
  <c r="K51" i="20"/>
  <c r="L51" i="20"/>
  <c r="M51" i="20"/>
  <c r="Q51" i="20"/>
  <c r="R51" i="20"/>
  <c r="S51" i="20"/>
  <c r="U51" i="20"/>
  <c r="V51" i="20"/>
  <c r="Y51" i="20" s="1"/>
  <c r="Z51" i="20"/>
  <c r="BL51" i="20"/>
  <c r="BM51" i="20"/>
  <c r="BN51" i="20"/>
  <c r="A52" i="20"/>
  <c r="B52" i="20"/>
  <c r="C52" i="20"/>
  <c r="D52" i="20"/>
  <c r="E52" i="20"/>
  <c r="F52" i="20"/>
  <c r="G52" i="20"/>
  <c r="H52" i="20"/>
  <c r="I52" i="20"/>
  <c r="J52" i="20"/>
  <c r="K52" i="20"/>
  <c r="L52" i="20"/>
  <c r="M52" i="20"/>
  <c r="Q52" i="20"/>
  <c r="R52" i="20"/>
  <c r="S52" i="20"/>
  <c r="U52" i="20"/>
  <c r="V52" i="20"/>
  <c r="Y52" i="20" s="1"/>
  <c r="Z52" i="20"/>
  <c r="BL52" i="20"/>
  <c r="BM52" i="20"/>
  <c r="BN52" i="20"/>
  <c r="A53" i="20"/>
  <c r="B53" i="20"/>
  <c r="C53" i="20"/>
  <c r="D53" i="20"/>
  <c r="E53" i="20"/>
  <c r="F53" i="20"/>
  <c r="G53" i="20"/>
  <c r="H53" i="20"/>
  <c r="I53" i="20"/>
  <c r="J53" i="20"/>
  <c r="K53" i="20"/>
  <c r="L53" i="20"/>
  <c r="M53" i="20"/>
  <c r="Q53" i="20"/>
  <c r="R53" i="20"/>
  <c r="S53" i="20"/>
  <c r="U53" i="20"/>
  <c r="V53" i="20"/>
  <c r="Y53" i="20"/>
  <c r="Z53" i="20"/>
  <c r="BL53" i="20"/>
  <c r="BM53" i="20"/>
  <c r="BN53" i="20"/>
  <c r="A54" i="20"/>
  <c r="B54" i="20"/>
  <c r="C54" i="20"/>
  <c r="D54" i="20"/>
  <c r="E54" i="20"/>
  <c r="F54" i="20"/>
  <c r="G54" i="20"/>
  <c r="H54" i="20"/>
  <c r="I54" i="20"/>
  <c r="J54" i="20"/>
  <c r="K54" i="20"/>
  <c r="L54" i="20"/>
  <c r="M54" i="20"/>
  <c r="Q54" i="20"/>
  <c r="R54" i="20"/>
  <c r="S54" i="20"/>
  <c r="U54" i="20"/>
  <c r="V54" i="20"/>
  <c r="Y54" i="20" s="1"/>
  <c r="Z54" i="20"/>
  <c r="BL54" i="20"/>
  <c r="BM54" i="20"/>
  <c r="BN54" i="20"/>
  <c r="A55" i="20"/>
  <c r="B55" i="20"/>
  <c r="C55" i="20"/>
  <c r="D55" i="20"/>
  <c r="E55" i="20"/>
  <c r="F55" i="20"/>
  <c r="G55" i="20"/>
  <c r="H55" i="20"/>
  <c r="I55" i="20"/>
  <c r="J55" i="20"/>
  <c r="K55" i="20"/>
  <c r="L55" i="20"/>
  <c r="M55" i="20"/>
  <c r="Q55" i="20"/>
  <c r="R55" i="20"/>
  <c r="S55" i="20"/>
  <c r="U55" i="20"/>
  <c r="V55" i="20"/>
  <c r="Y55" i="20"/>
  <c r="Z55" i="20"/>
  <c r="BL55" i="20"/>
  <c r="BM55" i="20"/>
  <c r="BN55" i="20"/>
  <c r="A56" i="20"/>
  <c r="B56" i="20"/>
  <c r="C56" i="20"/>
  <c r="D56" i="20"/>
  <c r="E56" i="20"/>
  <c r="F56" i="20"/>
  <c r="G56" i="20"/>
  <c r="H56" i="20"/>
  <c r="I56" i="20"/>
  <c r="J56" i="20"/>
  <c r="K56" i="20"/>
  <c r="L56" i="20"/>
  <c r="M56" i="20"/>
  <c r="Q56" i="20"/>
  <c r="R56" i="20"/>
  <c r="S56" i="20"/>
  <c r="U56" i="20"/>
  <c r="V56" i="20"/>
  <c r="Y56" i="20" s="1"/>
  <c r="Z56" i="20"/>
  <c r="BL56" i="20"/>
  <c r="BM56" i="20"/>
  <c r="BN56" i="20"/>
  <c r="A57" i="20"/>
  <c r="B57" i="20"/>
  <c r="C57" i="20"/>
  <c r="D57" i="20"/>
  <c r="E57" i="20"/>
  <c r="F57" i="20"/>
  <c r="G57" i="20"/>
  <c r="H57" i="20"/>
  <c r="I57" i="20"/>
  <c r="J57" i="20"/>
  <c r="K57" i="20"/>
  <c r="L57" i="20"/>
  <c r="M57" i="20"/>
  <c r="Q57" i="20"/>
  <c r="R57" i="20"/>
  <c r="S57" i="20"/>
  <c r="U57" i="20"/>
  <c r="V57" i="20"/>
  <c r="Y57" i="20" s="1"/>
  <c r="Z57" i="20"/>
  <c r="BL57" i="20"/>
  <c r="BM57" i="20"/>
  <c r="BN57" i="20"/>
  <c r="A58" i="20"/>
  <c r="B58" i="20"/>
  <c r="C58" i="20"/>
  <c r="D58" i="20"/>
  <c r="E58" i="20"/>
  <c r="F58" i="20"/>
  <c r="G58" i="20"/>
  <c r="H58" i="20"/>
  <c r="I58" i="20"/>
  <c r="J58" i="20"/>
  <c r="K58" i="20"/>
  <c r="L58" i="20"/>
  <c r="M58" i="20"/>
  <c r="Q58" i="20"/>
  <c r="R58" i="20"/>
  <c r="S58" i="20"/>
  <c r="U58" i="20"/>
  <c r="V58" i="20"/>
  <c r="Y58" i="20" s="1"/>
  <c r="Z58" i="20"/>
  <c r="BL58" i="20"/>
  <c r="BM58" i="20"/>
  <c r="BN58" i="20"/>
  <c r="A59" i="20"/>
  <c r="B59" i="20"/>
  <c r="C59" i="20"/>
  <c r="D59" i="20"/>
  <c r="E59" i="20"/>
  <c r="F59" i="20"/>
  <c r="G59" i="20"/>
  <c r="H59" i="20"/>
  <c r="I59" i="20"/>
  <c r="J59" i="20"/>
  <c r="K59" i="20"/>
  <c r="L59" i="20"/>
  <c r="M59" i="20"/>
  <c r="Q59" i="20"/>
  <c r="R59" i="20"/>
  <c r="S59" i="20"/>
  <c r="U59" i="20"/>
  <c r="V59" i="20"/>
  <c r="Y59" i="20" s="1"/>
  <c r="Z59" i="20"/>
  <c r="BL59" i="20"/>
  <c r="BM59" i="20"/>
  <c r="BN59" i="20"/>
  <c r="A60" i="20"/>
  <c r="B60" i="20"/>
  <c r="C60" i="20"/>
  <c r="D60" i="20"/>
  <c r="E60" i="20"/>
  <c r="F60" i="20"/>
  <c r="G60" i="20"/>
  <c r="H60" i="20"/>
  <c r="I60" i="20"/>
  <c r="J60" i="20"/>
  <c r="K60" i="20"/>
  <c r="L60" i="20"/>
  <c r="M60" i="20"/>
  <c r="Q60" i="20"/>
  <c r="R60" i="20"/>
  <c r="S60" i="20"/>
  <c r="U60" i="20"/>
  <c r="V60" i="20"/>
  <c r="Y60" i="20" s="1"/>
  <c r="Z60" i="20"/>
  <c r="BL60" i="20"/>
  <c r="BM60" i="20"/>
  <c r="BN60" i="20"/>
  <c r="A61" i="20"/>
  <c r="B61" i="20"/>
  <c r="C61" i="20"/>
  <c r="D61" i="20"/>
  <c r="E61" i="20"/>
  <c r="F61" i="20"/>
  <c r="G61" i="20"/>
  <c r="H61" i="20"/>
  <c r="I61" i="20"/>
  <c r="J61" i="20"/>
  <c r="K61" i="20"/>
  <c r="L61" i="20"/>
  <c r="M61" i="20"/>
  <c r="Q61" i="20"/>
  <c r="R61" i="20"/>
  <c r="S61" i="20"/>
  <c r="U61" i="20"/>
  <c r="V61" i="20"/>
  <c r="Y61" i="20" s="1"/>
  <c r="Z61" i="20"/>
  <c r="BL61" i="20"/>
  <c r="BM61" i="20"/>
  <c r="BN61" i="20"/>
  <c r="A62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Q62" i="20"/>
  <c r="R62" i="20"/>
  <c r="S62" i="20"/>
  <c r="U62" i="20"/>
  <c r="V62" i="20"/>
  <c r="Y62" i="20"/>
  <c r="Z62" i="20"/>
  <c r="BL62" i="20"/>
  <c r="BM62" i="20"/>
  <c r="BN62" i="20"/>
  <c r="A63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Q63" i="20"/>
  <c r="R63" i="20"/>
  <c r="S63" i="20"/>
  <c r="U63" i="20"/>
  <c r="V63" i="20"/>
  <c r="Y63" i="20" s="1"/>
  <c r="Z63" i="20"/>
  <c r="BL63" i="20"/>
  <c r="BM63" i="20"/>
  <c r="BN63" i="20"/>
  <c r="A64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Q64" i="20"/>
  <c r="R64" i="20"/>
  <c r="S64" i="20"/>
  <c r="U64" i="20"/>
  <c r="V64" i="20"/>
  <c r="Y64" i="20"/>
  <c r="Z64" i="20"/>
  <c r="BL64" i="20"/>
  <c r="BM64" i="20"/>
  <c r="BN64" i="20"/>
  <c r="A65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Q65" i="20"/>
  <c r="R65" i="20"/>
  <c r="S65" i="20"/>
  <c r="U65" i="20"/>
  <c r="V65" i="20"/>
  <c r="Y65" i="20" s="1"/>
  <c r="Z65" i="20"/>
  <c r="BL65" i="20"/>
  <c r="BM65" i="20"/>
  <c r="BN65" i="20"/>
  <c r="A66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Q66" i="20"/>
  <c r="R66" i="20"/>
  <c r="S66" i="20"/>
  <c r="U66" i="20"/>
  <c r="V66" i="20"/>
  <c r="Y66" i="20" s="1"/>
  <c r="Z66" i="20"/>
  <c r="BL66" i="20"/>
  <c r="BM66" i="20"/>
  <c r="BN66" i="20"/>
  <c r="A67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Q67" i="20"/>
  <c r="R67" i="20"/>
  <c r="S67" i="20"/>
  <c r="U67" i="20"/>
  <c r="V67" i="20"/>
  <c r="Y67" i="20"/>
  <c r="Z67" i="20"/>
  <c r="BL67" i="20"/>
  <c r="BM67" i="20"/>
  <c r="BN67" i="20"/>
  <c r="A68" i="20"/>
  <c r="B68" i="20"/>
  <c r="C68" i="20"/>
  <c r="D68" i="20"/>
  <c r="E68" i="20"/>
  <c r="F68" i="20"/>
  <c r="G68" i="20"/>
  <c r="H68" i="20"/>
  <c r="I68" i="20"/>
  <c r="J68" i="20"/>
  <c r="K68" i="20"/>
  <c r="L68" i="20"/>
  <c r="M68" i="20"/>
  <c r="Q68" i="20"/>
  <c r="R68" i="20"/>
  <c r="S68" i="20"/>
  <c r="U68" i="20"/>
  <c r="V68" i="20"/>
  <c r="Y68" i="20"/>
  <c r="Z68" i="20"/>
  <c r="BL68" i="20"/>
  <c r="BM68" i="20"/>
  <c r="BN68" i="20"/>
  <c r="A69" i="20"/>
  <c r="B69" i="20"/>
  <c r="C69" i="20"/>
  <c r="D69" i="20"/>
  <c r="E69" i="20"/>
  <c r="F69" i="20"/>
  <c r="G69" i="20"/>
  <c r="H69" i="20"/>
  <c r="I69" i="20"/>
  <c r="J69" i="20"/>
  <c r="K69" i="20"/>
  <c r="L69" i="20"/>
  <c r="M69" i="20"/>
  <c r="Q69" i="20"/>
  <c r="R69" i="20"/>
  <c r="S69" i="20"/>
  <c r="U69" i="20"/>
  <c r="V69" i="20"/>
  <c r="Y69" i="20" s="1"/>
  <c r="Z69" i="20"/>
  <c r="BL69" i="20"/>
  <c r="BM69" i="20"/>
  <c r="BN69" i="20"/>
  <c r="A70" i="20"/>
  <c r="B70" i="20"/>
  <c r="C70" i="20"/>
  <c r="D70" i="20"/>
  <c r="E70" i="20"/>
  <c r="F70" i="20"/>
  <c r="G70" i="20"/>
  <c r="H70" i="20"/>
  <c r="I70" i="20"/>
  <c r="J70" i="20"/>
  <c r="K70" i="20"/>
  <c r="L70" i="20"/>
  <c r="M70" i="20"/>
  <c r="Q70" i="20"/>
  <c r="R70" i="20"/>
  <c r="S70" i="20"/>
  <c r="U70" i="20"/>
  <c r="V70" i="20"/>
  <c r="Y70" i="20"/>
  <c r="Z70" i="20"/>
  <c r="BL70" i="20"/>
  <c r="BM70" i="20"/>
  <c r="BN70" i="20"/>
  <c r="A71" i="20"/>
  <c r="B71" i="20"/>
  <c r="C71" i="20"/>
  <c r="D71" i="20"/>
  <c r="E71" i="20"/>
  <c r="F71" i="20"/>
  <c r="G71" i="20"/>
  <c r="H71" i="20"/>
  <c r="I71" i="20"/>
  <c r="J71" i="20"/>
  <c r="K71" i="20"/>
  <c r="L71" i="20"/>
  <c r="M71" i="20"/>
  <c r="Q71" i="20"/>
  <c r="R71" i="20"/>
  <c r="S71" i="20"/>
  <c r="U71" i="20"/>
  <c r="V71" i="20"/>
  <c r="Y71" i="20"/>
  <c r="Z71" i="20"/>
  <c r="BL71" i="20"/>
  <c r="BM71" i="20"/>
  <c r="BN71" i="20"/>
  <c r="A72" i="20"/>
  <c r="B72" i="20"/>
  <c r="C72" i="20"/>
  <c r="D72" i="20"/>
  <c r="E72" i="20"/>
  <c r="F72" i="20"/>
  <c r="G72" i="20"/>
  <c r="H72" i="20"/>
  <c r="I72" i="20"/>
  <c r="J72" i="20"/>
  <c r="K72" i="20"/>
  <c r="L72" i="20"/>
  <c r="M72" i="20"/>
  <c r="Q72" i="20"/>
  <c r="R72" i="20"/>
  <c r="S72" i="20"/>
  <c r="U72" i="20"/>
  <c r="V72" i="20"/>
  <c r="Y72" i="20" s="1"/>
  <c r="Z72" i="20"/>
  <c r="BL72" i="20"/>
  <c r="BM72" i="20"/>
  <c r="BN72" i="20"/>
  <c r="A73" i="20"/>
  <c r="B73" i="20"/>
  <c r="C73" i="20"/>
  <c r="D73" i="20"/>
  <c r="E73" i="20"/>
  <c r="F73" i="20"/>
  <c r="G73" i="20"/>
  <c r="H73" i="20"/>
  <c r="I73" i="20"/>
  <c r="J73" i="20"/>
  <c r="K73" i="20"/>
  <c r="L73" i="20"/>
  <c r="M73" i="20"/>
  <c r="Q73" i="20"/>
  <c r="R73" i="20"/>
  <c r="S73" i="20"/>
  <c r="U73" i="20"/>
  <c r="V73" i="20"/>
  <c r="Y73" i="20"/>
  <c r="Z73" i="20"/>
  <c r="BL73" i="20"/>
  <c r="BM73" i="20"/>
  <c r="BN73" i="20"/>
  <c r="A74" i="20"/>
  <c r="B74" i="20"/>
  <c r="C74" i="20"/>
  <c r="D74" i="20"/>
  <c r="E74" i="20"/>
  <c r="F74" i="20"/>
  <c r="G74" i="20"/>
  <c r="H74" i="20"/>
  <c r="I74" i="20"/>
  <c r="J74" i="20"/>
  <c r="K74" i="20"/>
  <c r="L74" i="20"/>
  <c r="M74" i="20"/>
  <c r="Q74" i="20"/>
  <c r="R74" i="20"/>
  <c r="S74" i="20"/>
  <c r="U74" i="20"/>
  <c r="V74" i="20"/>
  <c r="Y74" i="20"/>
  <c r="Z74" i="20"/>
  <c r="BL74" i="20"/>
  <c r="BM74" i="20"/>
  <c r="BN74" i="20"/>
  <c r="A75" i="20"/>
  <c r="B75" i="20"/>
  <c r="C75" i="20"/>
  <c r="D75" i="20"/>
  <c r="E75" i="20"/>
  <c r="F75" i="20"/>
  <c r="G75" i="20"/>
  <c r="H75" i="20"/>
  <c r="I75" i="20"/>
  <c r="J75" i="20"/>
  <c r="K75" i="20"/>
  <c r="L75" i="20"/>
  <c r="M75" i="20"/>
  <c r="Q75" i="20"/>
  <c r="R75" i="20"/>
  <c r="S75" i="20"/>
  <c r="U75" i="20"/>
  <c r="V75" i="20"/>
  <c r="Y75" i="20" s="1"/>
  <c r="Z75" i="20"/>
  <c r="BL75" i="20"/>
  <c r="BM75" i="20"/>
  <c r="BN75" i="20"/>
  <c r="A76" i="20"/>
  <c r="B76" i="20"/>
  <c r="C76" i="20"/>
  <c r="D76" i="20"/>
  <c r="E76" i="20"/>
  <c r="F76" i="20"/>
  <c r="G76" i="20"/>
  <c r="H76" i="20"/>
  <c r="I76" i="20"/>
  <c r="J76" i="20"/>
  <c r="K76" i="20"/>
  <c r="L76" i="20"/>
  <c r="M76" i="20"/>
  <c r="Q76" i="20"/>
  <c r="R76" i="20"/>
  <c r="S76" i="20"/>
  <c r="U76" i="20"/>
  <c r="V76" i="20"/>
  <c r="Y76" i="20"/>
  <c r="Z76" i="20"/>
  <c r="BL76" i="20"/>
  <c r="BM76" i="20"/>
  <c r="BN76" i="20"/>
  <c r="A77" i="20"/>
  <c r="B77" i="20"/>
  <c r="C77" i="20"/>
  <c r="D77" i="20"/>
  <c r="E77" i="20"/>
  <c r="F77" i="20"/>
  <c r="G77" i="20"/>
  <c r="H77" i="20"/>
  <c r="I77" i="20"/>
  <c r="J77" i="20"/>
  <c r="K77" i="20"/>
  <c r="L77" i="20"/>
  <c r="M77" i="20"/>
  <c r="Q77" i="20"/>
  <c r="R77" i="20"/>
  <c r="S77" i="20"/>
  <c r="U77" i="20"/>
  <c r="V77" i="20"/>
  <c r="Y77" i="20"/>
  <c r="Z77" i="20"/>
  <c r="BL77" i="20"/>
  <c r="BM77" i="20"/>
  <c r="BN77" i="20"/>
  <c r="A78" i="20"/>
  <c r="B78" i="20"/>
  <c r="C78" i="20"/>
  <c r="D78" i="20"/>
  <c r="E78" i="20"/>
  <c r="F78" i="20"/>
  <c r="G78" i="20"/>
  <c r="H78" i="20"/>
  <c r="I78" i="20"/>
  <c r="J78" i="20"/>
  <c r="K78" i="20"/>
  <c r="L78" i="20"/>
  <c r="M78" i="20"/>
  <c r="Q78" i="20"/>
  <c r="R78" i="20"/>
  <c r="S78" i="20"/>
  <c r="U78" i="20"/>
  <c r="V78" i="20"/>
  <c r="Y78" i="20" s="1"/>
  <c r="Z78" i="20"/>
  <c r="BL78" i="20"/>
  <c r="BM78" i="20"/>
  <c r="BN78" i="20"/>
  <c r="A79" i="20"/>
  <c r="B79" i="20"/>
  <c r="C79" i="20"/>
  <c r="D79" i="20"/>
  <c r="E79" i="20"/>
  <c r="F79" i="20"/>
  <c r="G79" i="20"/>
  <c r="H79" i="20"/>
  <c r="I79" i="20"/>
  <c r="J79" i="20"/>
  <c r="K79" i="20"/>
  <c r="L79" i="20"/>
  <c r="M79" i="20"/>
  <c r="Q79" i="20"/>
  <c r="R79" i="20"/>
  <c r="S79" i="20"/>
  <c r="U79" i="20"/>
  <c r="V79" i="20"/>
  <c r="Y79" i="20"/>
  <c r="Z79" i="20"/>
  <c r="BL79" i="20"/>
  <c r="BM79" i="20"/>
  <c r="BN79" i="20"/>
  <c r="A80" i="20"/>
  <c r="B80" i="20"/>
  <c r="C80" i="20"/>
  <c r="D80" i="20"/>
  <c r="E80" i="20"/>
  <c r="F80" i="20"/>
  <c r="G80" i="20"/>
  <c r="H80" i="20"/>
  <c r="I80" i="20"/>
  <c r="J80" i="20"/>
  <c r="K80" i="20"/>
  <c r="L80" i="20"/>
  <c r="M80" i="20"/>
  <c r="Q80" i="20"/>
  <c r="R80" i="20"/>
  <c r="S80" i="20"/>
  <c r="U80" i="20"/>
  <c r="V80" i="20"/>
  <c r="Y80" i="20"/>
  <c r="Z80" i="20"/>
  <c r="BL80" i="20"/>
  <c r="BM80" i="20"/>
  <c r="BN80" i="20"/>
  <c r="A81" i="20"/>
  <c r="B81" i="20"/>
  <c r="C81" i="20"/>
  <c r="D81" i="20"/>
  <c r="E81" i="20"/>
  <c r="F81" i="20"/>
  <c r="G81" i="20"/>
  <c r="H81" i="20"/>
  <c r="I81" i="20"/>
  <c r="J81" i="20"/>
  <c r="K81" i="20"/>
  <c r="L81" i="20"/>
  <c r="M81" i="20"/>
  <c r="Q81" i="20"/>
  <c r="R81" i="20"/>
  <c r="S81" i="20"/>
  <c r="U81" i="20"/>
  <c r="V81" i="20"/>
  <c r="Y81" i="20" s="1"/>
  <c r="Z81" i="20"/>
  <c r="BL81" i="20"/>
  <c r="BM81" i="20"/>
  <c r="BN81" i="20"/>
  <c r="A82" i="20"/>
  <c r="B82" i="20"/>
  <c r="C82" i="20"/>
  <c r="D82" i="20"/>
  <c r="E82" i="20"/>
  <c r="F82" i="20"/>
  <c r="G82" i="20"/>
  <c r="H82" i="20"/>
  <c r="I82" i="20"/>
  <c r="J82" i="20"/>
  <c r="K82" i="20"/>
  <c r="L82" i="20"/>
  <c r="M82" i="20"/>
  <c r="Q82" i="20"/>
  <c r="R82" i="20"/>
  <c r="S82" i="20"/>
  <c r="U82" i="20"/>
  <c r="V82" i="20"/>
  <c r="Y82" i="20"/>
  <c r="Z82" i="20"/>
  <c r="BL82" i="20"/>
  <c r="BM82" i="20"/>
  <c r="BN82" i="20"/>
  <c r="A83" i="20"/>
  <c r="B83" i="20"/>
  <c r="C83" i="20"/>
  <c r="D83" i="20"/>
  <c r="E83" i="20"/>
  <c r="F83" i="20"/>
  <c r="G83" i="20"/>
  <c r="H83" i="20"/>
  <c r="I83" i="20"/>
  <c r="J83" i="20"/>
  <c r="K83" i="20"/>
  <c r="L83" i="20"/>
  <c r="M83" i="20"/>
  <c r="Q83" i="20"/>
  <c r="R83" i="20"/>
  <c r="S83" i="20"/>
  <c r="U83" i="20"/>
  <c r="V83" i="20"/>
  <c r="Y83" i="20"/>
  <c r="Z83" i="20"/>
  <c r="BL83" i="20"/>
  <c r="BM83" i="20"/>
  <c r="BN83" i="20"/>
  <c r="A84" i="20"/>
  <c r="B84" i="20"/>
  <c r="C84" i="20"/>
  <c r="D84" i="20"/>
  <c r="E84" i="20"/>
  <c r="F84" i="20"/>
  <c r="G84" i="20"/>
  <c r="H84" i="20"/>
  <c r="I84" i="20"/>
  <c r="J84" i="20"/>
  <c r="K84" i="20"/>
  <c r="L84" i="20"/>
  <c r="M84" i="20"/>
  <c r="Q84" i="20"/>
  <c r="R84" i="20"/>
  <c r="S84" i="20"/>
  <c r="U84" i="20"/>
  <c r="V84" i="20"/>
  <c r="Y84" i="20" s="1"/>
  <c r="Z84" i="20"/>
  <c r="BL84" i="20"/>
  <c r="BM84" i="20"/>
  <c r="BN84" i="20"/>
  <c r="A85" i="20"/>
  <c r="B85" i="20"/>
  <c r="C85" i="20"/>
  <c r="D85" i="20"/>
  <c r="E85" i="20"/>
  <c r="F85" i="20"/>
  <c r="G85" i="20"/>
  <c r="H85" i="20"/>
  <c r="I85" i="20"/>
  <c r="J85" i="20"/>
  <c r="K85" i="20"/>
  <c r="L85" i="20"/>
  <c r="M85" i="20"/>
  <c r="Q85" i="20"/>
  <c r="R85" i="20"/>
  <c r="S85" i="20"/>
  <c r="U85" i="20"/>
  <c r="V85" i="20"/>
  <c r="Y85" i="20"/>
  <c r="Z85" i="20"/>
  <c r="BL85" i="20"/>
  <c r="BM85" i="20"/>
  <c r="BN85" i="20"/>
  <c r="A86" i="20"/>
  <c r="B86" i="20"/>
  <c r="C86" i="20"/>
  <c r="D86" i="20"/>
  <c r="E86" i="20"/>
  <c r="F86" i="20"/>
  <c r="G86" i="20"/>
  <c r="H86" i="20"/>
  <c r="I86" i="20"/>
  <c r="J86" i="20"/>
  <c r="K86" i="20"/>
  <c r="L86" i="20"/>
  <c r="M86" i="20"/>
  <c r="Q86" i="20"/>
  <c r="R86" i="20"/>
  <c r="S86" i="20"/>
  <c r="U86" i="20"/>
  <c r="V86" i="20"/>
  <c r="Y86" i="20"/>
  <c r="Z86" i="20"/>
  <c r="BL86" i="20"/>
  <c r="BM86" i="20"/>
  <c r="BN86" i="20"/>
  <c r="A87" i="20"/>
  <c r="B87" i="20"/>
  <c r="C87" i="20"/>
  <c r="D87" i="20"/>
  <c r="E87" i="20"/>
  <c r="F87" i="20"/>
  <c r="G87" i="20"/>
  <c r="H87" i="20"/>
  <c r="I87" i="20"/>
  <c r="J87" i="20"/>
  <c r="K87" i="20"/>
  <c r="L87" i="20"/>
  <c r="M87" i="20"/>
  <c r="Q87" i="20"/>
  <c r="R87" i="20"/>
  <c r="S87" i="20"/>
  <c r="U87" i="20"/>
  <c r="V87" i="20"/>
  <c r="Y87" i="20" s="1"/>
  <c r="Z87" i="20"/>
  <c r="BL87" i="20"/>
  <c r="BM87" i="20"/>
  <c r="BN87" i="20"/>
  <c r="A88" i="20"/>
  <c r="B88" i="20"/>
  <c r="C88" i="20"/>
  <c r="D88" i="20"/>
  <c r="E88" i="20"/>
  <c r="F88" i="20"/>
  <c r="G88" i="20"/>
  <c r="H88" i="20"/>
  <c r="I88" i="20"/>
  <c r="J88" i="20"/>
  <c r="K88" i="20"/>
  <c r="L88" i="20"/>
  <c r="M88" i="20"/>
  <c r="Q88" i="20"/>
  <c r="R88" i="20"/>
  <c r="S88" i="20"/>
  <c r="U88" i="20"/>
  <c r="V88" i="20"/>
  <c r="Y88" i="20"/>
  <c r="Z88" i="20"/>
  <c r="BL88" i="20"/>
  <c r="BM88" i="20"/>
  <c r="BN88" i="20"/>
  <c r="A89" i="20"/>
  <c r="B89" i="20"/>
  <c r="C89" i="20"/>
  <c r="D89" i="20"/>
  <c r="E89" i="20"/>
  <c r="F89" i="20"/>
  <c r="G89" i="20"/>
  <c r="H89" i="20"/>
  <c r="I89" i="20"/>
  <c r="J89" i="20"/>
  <c r="K89" i="20"/>
  <c r="L89" i="20"/>
  <c r="M89" i="20"/>
  <c r="Q89" i="20"/>
  <c r="R89" i="20"/>
  <c r="S89" i="20"/>
  <c r="U89" i="20"/>
  <c r="V89" i="20"/>
  <c r="Y89" i="20"/>
  <c r="Z89" i="20"/>
  <c r="BL89" i="20"/>
  <c r="BM89" i="20"/>
  <c r="BN89" i="20"/>
  <c r="A90" i="20"/>
  <c r="B90" i="20"/>
  <c r="C90" i="20"/>
  <c r="D90" i="20"/>
  <c r="E90" i="20"/>
  <c r="F90" i="20"/>
  <c r="G90" i="20"/>
  <c r="H90" i="20"/>
  <c r="I90" i="20"/>
  <c r="J90" i="20"/>
  <c r="K90" i="20"/>
  <c r="L90" i="20"/>
  <c r="M90" i="20"/>
  <c r="Q90" i="20"/>
  <c r="R90" i="20"/>
  <c r="S90" i="20"/>
  <c r="U90" i="20"/>
  <c r="V90" i="20"/>
  <c r="Y90" i="20" s="1"/>
  <c r="Z90" i="20"/>
  <c r="BL90" i="20"/>
  <c r="BM90" i="20"/>
  <c r="BN90" i="20"/>
  <c r="A91" i="20"/>
  <c r="B91" i="20"/>
  <c r="C91" i="20"/>
  <c r="D91" i="20"/>
  <c r="E91" i="20"/>
  <c r="F91" i="20"/>
  <c r="G91" i="20"/>
  <c r="H91" i="20"/>
  <c r="I91" i="20"/>
  <c r="J91" i="20"/>
  <c r="K91" i="20"/>
  <c r="L91" i="20"/>
  <c r="M91" i="20"/>
  <c r="Q91" i="20"/>
  <c r="R91" i="20"/>
  <c r="S91" i="20"/>
  <c r="U91" i="20"/>
  <c r="V91" i="20"/>
  <c r="Y91" i="20"/>
  <c r="Z91" i="20"/>
  <c r="BL91" i="20"/>
  <c r="BM91" i="20"/>
  <c r="BN91" i="20"/>
  <c r="A92" i="20"/>
  <c r="B92" i="20"/>
  <c r="C92" i="20"/>
  <c r="D92" i="20"/>
  <c r="E92" i="20"/>
  <c r="F92" i="20"/>
  <c r="G92" i="20"/>
  <c r="H92" i="20"/>
  <c r="I92" i="20"/>
  <c r="J92" i="20"/>
  <c r="K92" i="20"/>
  <c r="L92" i="20"/>
  <c r="M92" i="20"/>
  <c r="Q92" i="20"/>
  <c r="R92" i="20"/>
  <c r="S92" i="20"/>
  <c r="U92" i="20"/>
  <c r="V92" i="20"/>
  <c r="Y92" i="20"/>
  <c r="Z92" i="20"/>
  <c r="BL92" i="20"/>
  <c r="BM92" i="20"/>
  <c r="BN92" i="20"/>
  <c r="A93" i="20"/>
  <c r="B93" i="20"/>
  <c r="C93" i="20"/>
  <c r="D93" i="20"/>
  <c r="E93" i="20"/>
  <c r="F93" i="20"/>
  <c r="G93" i="20"/>
  <c r="H93" i="20"/>
  <c r="I93" i="20"/>
  <c r="J93" i="20"/>
  <c r="K93" i="20"/>
  <c r="L93" i="20"/>
  <c r="M93" i="20"/>
  <c r="Q93" i="20"/>
  <c r="R93" i="20"/>
  <c r="S93" i="20"/>
  <c r="U93" i="20"/>
  <c r="V93" i="20"/>
  <c r="Y93" i="20" s="1"/>
  <c r="Z93" i="20"/>
  <c r="BL93" i="20"/>
  <c r="BM93" i="20"/>
  <c r="BN93" i="20"/>
  <c r="A94" i="20"/>
  <c r="B94" i="20"/>
  <c r="C94" i="20"/>
  <c r="D94" i="20"/>
  <c r="E94" i="20"/>
  <c r="F94" i="20"/>
  <c r="G94" i="20"/>
  <c r="H94" i="20"/>
  <c r="I94" i="20"/>
  <c r="J94" i="20"/>
  <c r="K94" i="20"/>
  <c r="L94" i="20"/>
  <c r="M94" i="20"/>
  <c r="Q94" i="20"/>
  <c r="R94" i="20"/>
  <c r="S94" i="20"/>
  <c r="U94" i="20"/>
  <c r="V94" i="20"/>
  <c r="Y94" i="20"/>
  <c r="Z94" i="20"/>
  <c r="BL94" i="20"/>
  <c r="BM94" i="20"/>
  <c r="BN94" i="20"/>
  <c r="A95" i="20"/>
  <c r="B95" i="20"/>
  <c r="C95" i="20"/>
  <c r="D95" i="20"/>
  <c r="E95" i="20"/>
  <c r="F95" i="20"/>
  <c r="G95" i="20"/>
  <c r="H95" i="20"/>
  <c r="I95" i="20"/>
  <c r="J95" i="20"/>
  <c r="K95" i="20"/>
  <c r="L95" i="20"/>
  <c r="M95" i="20"/>
  <c r="Q95" i="20"/>
  <c r="R95" i="20"/>
  <c r="S95" i="20"/>
  <c r="U95" i="20"/>
  <c r="V95" i="20"/>
  <c r="Y95" i="20"/>
  <c r="Z95" i="20"/>
  <c r="BL95" i="20"/>
  <c r="BM95" i="20"/>
  <c r="BN95" i="20"/>
  <c r="A96" i="20"/>
  <c r="B96" i="20"/>
  <c r="C96" i="20"/>
  <c r="D96" i="20"/>
  <c r="E96" i="20"/>
  <c r="F96" i="20"/>
  <c r="G96" i="20"/>
  <c r="H96" i="20"/>
  <c r="I96" i="20"/>
  <c r="J96" i="20"/>
  <c r="K96" i="20"/>
  <c r="L96" i="20"/>
  <c r="M96" i="20"/>
  <c r="Q96" i="20"/>
  <c r="R96" i="20"/>
  <c r="S96" i="20"/>
  <c r="U96" i="20"/>
  <c r="V96" i="20"/>
  <c r="Y96" i="20" s="1"/>
  <c r="Z96" i="20"/>
  <c r="BL96" i="20"/>
  <c r="BM96" i="20"/>
  <c r="BN96" i="20"/>
  <c r="A97" i="20"/>
  <c r="B97" i="20"/>
  <c r="C97" i="20"/>
  <c r="D97" i="20"/>
  <c r="E97" i="20"/>
  <c r="F97" i="20"/>
  <c r="G97" i="20"/>
  <c r="H97" i="20"/>
  <c r="I97" i="20"/>
  <c r="J97" i="20"/>
  <c r="K97" i="20"/>
  <c r="L97" i="20"/>
  <c r="M97" i="20"/>
  <c r="Q97" i="20"/>
  <c r="R97" i="20"/>
  <c r="S97" i="20"/>
  <c r="U97" i="20"/>
  <c r="V97" i="20"/>
  <c r="Y97" i="20"/>
  <c r="Z97" i="20"/>
  <c r="BL97" i="20"/>
  <c r="BM97" i="20"/>
  <c r="BN97" i="20"/>
  <c r="A98" i="20"/>
  <c r="B98" i="20"/>
  <c r="C98" i="20"/>
  <c r="D98" i="20"/>
  <c r="E98" i="20"/>
  <c r="F98" i="20"/>
  <c r="G98" i="20"/>
  <c r="H98" i="20"/>
  <c r="I98" i="20"/>
  <c r="J98" i="20"/>
  <c r="K98" i="20"/>
  <c r="L98" i="20"/>
  <c r="M98" i="20"/>
  <c r="Q98" i="20"/>
  <c r="R98" i="20"/>
  <c r="S98" i="20"/>
  <c r="U98" i="20"/>
  <c r="V98" i="20"/>
  <c r="Y98" i="20"/>
  <c r="Z98" i="20"/>
  <c r="BL98" i="20"/>
  <c r="BM98" i="20"/>
  <c r="BN98" i="20"/>
  <c r="A99" i="20"/>
  <c r="B99" i="20"/>
  <c r="C99" i="20"/>
  <c r="D99" i="20"/>
  <c r="E99" i="20"/>
  <c r="F99" i="20"/>
  <c r="G99" i="20"/>
  <c r="H99" i="20"/>
  <c r="I99" i="20"/>
  <c r="J99" i="20"/>
  <c r="K99" i="20"/>
  <c r="L99" i="20"/>
  <c r="M99" i="20"/>
  <c r="Q99" i="20"/>
  <c r="R99" i="20"/>
  <c r="S99" i="20"/>
  <c r="U99" i="20"/>
  <c r="V99" i="20"/>
  <c r="Y99" i="20" s="1"/>
  <c r="Z99" i="20"/>
  <c r="BL99" i="20"/>
  <c r="BM99" i="20"/>
  <c r="BN99" i="20"/>
  <c r="A100" i="20"/>
  <c r="B100" i="20"/>
  <c r="C100" i="20"/>
  <c r="D100" i="20"/>
  <c r="E100" i="20"/>
  <c r="F100" i="20"/>
  <c r="G100" i="20"/>
  <c r="H100" i="20"/>
  <c r="I100" i="20"/>
  <c r="J100" i="20"/>
  <c r="K100" i="20"/>
  <c r="L100" i="20"/>
  <c r="M100" i="20"/>
  <c r="Q100" i="20"/>
  <c r="R100" i="20"/>
  <c r="S100" i="20"/>
  <c r="U100" i="20"/>
  <c r="V100" i="20"/>
  <c r="Y100" i="20"/>
  <c r="Z100" i="20"/>
  <c r="BL100" i="20"/>
  <c r="BM100" i="20"/>
  <c r="BN100" i="20"/>
  <c r="A101" i="20"/>
  <c r="B101" i="20"/>
  <c r="C101" i="20"/>
  <c r="D101" i="20"/>
  <c r="E101" i="20"/>
  <c r="F101" i="20"/>
  <c r="G101" i="20"/>
  <c r="H101" i="20"/>
  <c r="I101" i="20"/>
  <c r="J101" i="20"/>
  <c r="K101" i="20"/>
  <c r="L101" i="20"/>
  <c r="M101" i="20"/>
  <c r="Q101" i="20"/>
  <c r="R101" i="20"/>
  <c r="S101" i="20"/>
  <c r="U101" i="20"/>
  <c r="V101" i="20"/>
  <c r="Y101" i="20"/>
  <c r="Z101" i="20"/>
  <c r="BL101" i="20"/>
  <c r="BM101" i="20"/>
  <c r="BN101" i="20"/>
  <c r="A102" i="20"/>
  <c r="B102" i="20"/>
  <c r="C102" i="20"/>
  <c r="D102" i="20"/>
  <c r="E102" i="20"/>
  <c r="F102" i="20"/>
  <c r="G102" i="20"/>
  <c r="H102" i="20"/>
  <c r="I102" i="20"/>
  <c r="J102" i="20"/>
  <c r="K102" i="20"/>
  <c r="L102" i="20"/>
  <c r="M102" i="20"/>
  <c r="Q102" i="20"/>
  <c r="R102" i="20"/>
  <c r="S102" i="20"/>
  <c r="U102" i="20"/>
  <c r="V102" i="20"/>
  <c r="Y102" i="20" s="1"/>
  <c r="Z102" i="20"/>
  <c r="BL102" i="20"/>
  <c r="BM102" i="20"/>
  <c r="BN102" i="20"/>
  <c r="A103" i="20"/>
  <c r="B103" i="20"/>
  <c r="C103" i="20"/>
  <c r="D103" i="20"/>
  <c r="E103" i="20"/>
  <c r="F103" i="20"/>
  <c r="G103" i="20"/>
  <c r="H103" i="20"/>
  <c r="I103" i="20"/>
  <c r="J103" i="20"/>
  <c r="K103" i="20"/>
  <c r="L103" i="20"/>
  <c r="M103" i="20"/>
  <c r="Q103" i="20"/>
  <c r="R103" i="20"/>
  <c r="S103" i="20"/>
  <c r="U103" i="20"/>
  <c r="V103" i="20"/>
  <c r="Y103" i="20"/>
  <c r="Z103" i="20"/>
  <c r="BL103" i="20"/>
  <c r="BM103" i="20"/>
  <c r="BN103" i="20"/>
  <c r="A104" i="20"/>
  <c r="B104" i="20"/>
  <c r="C104" i="20"/>
  <c r="D104" i="20"/>
  <c r="E104" i="20"/>
  <c r="F104" i="20"/>
  <c r="G104" i="20"/>
  <c r="H104" i="20"/>
  <c r="I104" i="20"/>
  <c r="J104" i="20"/>
  <c r="K104" i="20"/>
  <c r="L104" i="20"/>
  <c r="M104" i="20"/>
  <c r="Q104" i="20"/>
  <c r="R104" i="20"/>
  <c r="S104" i="20"/>
  <c r="U104" i="20"/>
  <c r="V104" i="20"/>
  <c r="Y104" i="20"/>
  <c r="Z104" i="20"/>
  <c r="BL104" i="20"/>
  <c r="BM104" i="20"/>
  <c r="BN104" i="20"/>
  <c r="A105" i="20"/>
  <c r="B105" i="20"/>
  <c r="C105" i="20"/>
  <c r="D105" i="20"/>
  <c r="E105" i="20"/>
  <c r="F105" i="20"/>
  <c r="G105" i="20"/>
  <c r="H105" i="20"/>
  <c r="I105" i="20"/>
  <c r="J105" i="20"/>
  <c r="K105" i="20"/>
  <c r="L105" i="20"/>
  <c r="M105" i="20"/>
  <c r="Q105" i="20"/>
  <c r="R105" i="20"/>
  <c r="S105" i="20"/>
  <c r="U105" i="20"/>
  <c r="V105" i="20"/>
  <c r="Y105" i="20" s="1"/>
  <c r="Z105" i="20"/>
  <c r="BL105" i="20"/>
  <c r="BM105" i="20"/>
  <c r="BN105" i="20"/>
  <c r="A106" i="20"/>
  <c r="B106" i="20"/>
  <c r="C106" i="20"/>
  <c r="D106" i="20"/>
  <c r="E106" i="20"/>
  <c r="F106" i="20"/>
  <c r="G106" i="20"/>
  <c r="H106" i="20"/>
  <c r="I106" i="20"/>
  <c r="J106" i="20"/>
  <c r="K106" i="20"/>
  <c r="L106" i="20"/>
  <c r="M106" i="20"/>
  <c r="Q106" i="20"/>
  <c r="R106" i="20"/>
  <c r="S106" i="20"/>
  <c r="U106" i="20"/>
  <c r="V106" i="20"/>
  <c r="Y106" i="20"/>
  <c r="Z106" i="20"/>
  <c r="BL106" i="20"/>
  <c r="BM106" i="20"/>
  <c r="BN106" i="20"/>
  <c r="A107" i="20"/>
  <c r="B107" i="20"/>
  <c r="C107" i="20"/>
  <c r="D107" i="20"/>
  <c r="E107" i="20"/>
  <c r="F107" i="20"/>
  <c r="G107" i="20"/>
  <c r="H107" i="20"/>
  <c r="I107" i="20"/>
  <c r="J107" i="20"/>
  <c r="K107" i="20"/>
  <c r="L107" i="20"/>
  <c r="M107" i="20"/>
  <c r="Q107" i="20"/>
  <c r="R107" i="20"/>
  <c r="S107" i="20"/>
  <c r="U107" i="20"/>
  <c r="V107" i="20"/>
  <c r="Y107" i="20"/>
  <c r="Z107" i="20"/>
  <c r="BL107" i="20"/>
  <c r="BM107" i="20"/>
  <c r="BN107" i="20"/>
  <c r="A108" i="20"/>
  <c r="B108" i="20"/>
  <c r="C108" i="20"/>
  <c r="D108" i="20"/>
  <c r="E108" i="20"/>
  <c r="F108" i="20"/>
  <c r="G108" i="20"/>
  <c r="H108" i="20"/>
  <c r="I108" i="20"/>
  <c r="J108" i="20"/>
  <c r="K108" i="20"/>
  <c r="L108" i="20"/>
  <c r="M108" i="20"/>
  <c r="Q108" i="20"/>
  <c r="R108" i="20"/>
  <c r="S108" i="20"/>
  <c r="U108" i="20"/>
  <c r="V108" i="20"/>
  <c r="Y108" i="20" s="1"/>
  <c r="Z108" i="20"/>
  <c r="BL108" i="20"/>
  <c r="BM108" i="20"/>
  <c r="BN108" i="20"/>
  <c r="A109" i="20"/>
  <c r="B109" i="20"/>
  <c r="C109" i="20"/>
  <c r="D109" i="20"/>
  <c r="E109" i="20"/>
  <c r="F109" i="20"/>
  <c r="G109" i="20"/>
  <c r="H109" i="20"/>
  <c r="I109" i="20"/>
  <c r="J109" i="20"/>
  <c r="K109" i="20"/>
  <c r="L109" i="20"/>
  <c r="M109" i="20"/>
  <c r="Q109" i="20"/>
  <c r="R109" i="20"/>
  <c r="S109" i="20"/>
  <c r="U109" i="20"/>
  <c r="V109" i="20"/>
  <c r="Y109" i="20"/>
  <c r="Z109" i="20"/>
  <c r="BL109" i="20"/>
  <c r="BM109" i="20"/>
  <c r="BN109" i="20"/>
  <c r="A110" i="20"/>
  <c r="B110" i="20"/>
  <c r="C110" i="20"/>
  <c r="D110" i="20"/>
  <c r="E110" i="20"/>
  <c r="F110" i="20"/>
  <c r="G110" i="20"/>
  <c r="H110" i="20"/>
  <c r="I110" i="20"/>
  <c r="J110" i="20"/>
  <c r="K110" i="20"/>
  <c r="L110" i="20"/>
  <c r="M110" i="20"/>
  <c r="Q110" i="20"/>
  <c r="R110" i="20"/>
  <c r="S110" i="20"/>
  <c r="U110" i="20"/>
  <c r="V110" i="20"/>
  <c r="Y110" i="20"/>
  <c r="Z110" i="20"/>
  <c r="BL110" i="20"/>
  <c r="BM110" i="20"/>
  <c r="BN110" i="20"/>
  <c r="A111" i="20"/>
  <c r="B111" i="20"/>
  <c r="C111" i="20"/>
  <c r="D111" i="20"/>
  <c r="E111" i="20"/>
  <c r="F111" i="20"/>
  <c r="G111" i="20"/>
  <c r="H111" i="20"/>
  <c r="I111" i="20"/>
  <c r="J111" i="20"/>
  <c r="K111" i="20"/>
  <c r="L111" i="20"/>
  <c r="M111" i="20"/>
  <c r="Q111" i="20"/>
  <c r="R111" i="20"/>
  <c r="S111" i="20"/>
  <c r="U111" i="20"/>
  <c r="V111" i="20"/>
  <c r="Y111" i="20" s="1"/>
  <c r="Z111" i="20"/>
  <c r="BL111" i="20"/>
  <c r="BM111" i="20"/>
  <c r="BN111" i="20"/>
  <c r="A112" i="20"/>
  <c r="B112" i="20"/>
  <c r="C112" i="20"/>
  <c r="D112" i="20"/>
  <c r="E112" i="20"/>
  <c r="F112" i="20"/>
  <c r="G112" i="20"/>
  <c r="H112" i="20"/>
  <c r="I112" i="20"/>
  <c r="J112" i="20"/>
  <c r="K112" i="20"/>
  <c r="L112" i="20"/>
  <c r="M112" i="20"/>
  <c r="Q112" i="20"/>
  <c r="R112" i="20"/>
  <c r="S112" i="20"/>
  <c r="U112" i="20"/>
  <c r="V112" i="20"/>
  <c r="Y112" i="20"/>
  <c r="Z112" i="20"/>
  <c r="BL112" i="20"/>
  <c r="BM112" i="20"/>
  <c r="BN112" i="20"/>
  <c r="A113" i="20"/>
  <c r="B113" i="20"/>
  <c r="C113" i="20"/>
  <c r="D113" i="20"/>
  <c r="E113" i="20"/>
  <c r="F113" i="20"/>
  <c r="G113" i="20"/>
  <c r="H113" i="20"/>
  <c r="I113" i="20"/>
  <c r="J113" i="20"/>
  <c r="K113" i="20"/>
  <c r="L113" i="20"/>
  <c r="M113" i="20"/>
  <c r="Q113" i="20"/>
  <c r="R113" i="20"/>
  <c r="S113" i="20"/>
  <c r="U113" i="20"/>
  <c r="V113" i="20"/>
  <c r="Y113" i="20"/>
  <c r="Z113" i="20"/>
  <c r="BL113" i="20"/>
  <c r="BM113" i="20"/>
  <c r="BN113" i="20"/>
  <c r="A114" i="20"/>
  <c r="B114" i="20"/>
  <c r="C114" i="20"/>
  <c r="D114" i="20"/>
  <c r="E114" i="20"/>
  <c r="F114" i="20"/>
  <c r="G114" i="20"/>
  <c r="H114" i="20"/>
  <c r="I114" i="20"/>
  <c r="J114" i="20"/>
  <c r="K114" i="20"/>
  <c r="L114" i="20"/>
  <c r="M114" i="20"/>
  <c r="Q114" i="20"/>
  <c r="R114" i="20"/>
  <c r="S114" i="20"/>
  <c r="U114" i="20"/>
  <c r="V114" i="20"/>
  <c r="Y114" i="20" s="1"/>
  <c r="Z114" i="20"/>
  <c r="BL114" i="20"/>
  <c r="BM114" i="20"/>
  <c r="BN114" i="20"/>
  <c r="A115" i="20"/>
  <c r="B115" i="20"/>
  <c r="C115" i="20"/>
  <c r="D115" i="20"/>
  <c r="E115" i="20"/>
  <c r="F115" i="20"/>
  <c r="G115" i="20"/>
  <c r="H115" i="20"/>
  <c r="I115" i="20"/>
  <c r="J115" i="20"/>
  <c r="K115" i="20"/>
  <c r="L115" i="20"/>
  <c r="M115" i="20"/>
  <c r="Q115" i="20"/>
  <c r="R115" i="20"/>
  <c r="S115" i="20"/>
  <c r="U115" i="20"/>
  <c r="V115" i="20"/>
  <c r="Y115" i="20"/>
  <c r="Z115" i="20"/>
  <c r="BL115" i="20"/>
  <c r="BM115" i="20"/>
  <c r="BN115" i="20"/>
  <c r="A116" i="20"/>
  <c r="B116" i="20"/>
  <c r="C116" i="20"/>
  <c r="D116" i="20"/>
  <c r="E116" i="20"/>
  <c r="F116" i="20"/>
  <c r="G116" i="20"/>
  <c r="H116" i="20"/>
  <c r="I116" i="20"/>
  <c r="J116" i="20"/>
  <c r="K116" i="20"/>
  <c r="L116" i="20"/>
  <c r="M116" i="20"/>
  <c r="Q116" i="20"/>
  <c r="R116" i="20"/>
  <c r="S116" i="20"/>
  <c r="U116" i="20"/>
  <c r="V116" i="20"/>
  <c r="Y116" i="20"/>
  <c r="Z116" i="20"/>
  <c r="BL116" i="20"/>
  <c r="BM116" i="20"/>
  <c r="BN116" i="20"/>
  <c r="A117" i="20"/>
  <c r="B117" i="20"/>
  <c r="C117" i="20"/>
  <c r="D117" i="20"/>
  <c r="E117" i="20"/>
  <c r="F117" i="20"/>
  <c r="G117" i="20"/>
  <c r="H117" i="20"/>
  <c r="I117" i="20"/>
  <c r="J117" i="20"/>
  <c r="K117" i="20"/>
  <c r="L117" i="20"/>
  <c r="M117" i="20"/>
  <c r="Q117" i="20"/>
  <c r="R117" i="20"/>
  <c r="S117" i="20"/>
  <c r="U117" i="20"/>
  <c r="V117" i="20"/>
  <c r="Y117" i="20" s="1"/>
  <c r="Z117" i="20"/>
  <c r="BL117" i="20"/>
  <c r="BM117" i="20"/>
  <c r="BN117" i="20"/>
  <c r="A118" i="20"/>
  <c r="B118" i="20"/>
  <c r="C118" i="20"/>
  <c r="D118" i="20"/>
  <c r="E118" i="20"/>
  <c r="F118" i="20"/>
  <c r="G118" i="20"/>
  <c r="H118" i="20"/>
  <c r="I118" i="20"/>
  <c r="J118" i="20"/>
  <c r="K118" i="20"/>
  <c r="L118" i="20"/>
  <c r="M118" i="20"/>
  <c r="Q118" i="20"/>
  <c r="R118" i="20"/>
  <c r="S118" i="20"/>
  <c r="U118" i="20"/>
  <c r="V118" i="20"/>
  <c r="Y118" i="20"/>
  <c r="Z118" i="20"/>
  <c r="BL118" i="20"/>
  <c r="BM118" i="20"/>
  <c r="BN118" i="20"/>
  <c r="A119" i="20"/>
  <c r="B119" i="20"/>
  <c r="C119" i="20"/>
  <c r="D119" i="20"/>
  <c r="E119" i="20"/>
  <c r="F119" i="20"/>
  <c r="G119" i="20"/>
  <c r="H119" i="20"/>
  <c r="I119" i="20"/>
  <c r="J119" i="20"/>
  <c r="K119" i="20"/>
  <c r="L119" i="20"/>
  <c r="M119" i="20"/>
  <c r="Q119" i="20"/>
  <c r="R119" i="20"/>
  <c r="S119" i="20"/>
  <c r="U119" i="20"/>
  <c r="V119" i="20"/>
  <c r="Y119" i="20"/>
  <c r="Z119" i="20"/>
  <c r="BL119" i="20"/>
  <c r="BM119" i="20"/>
  <c r="BN119" i="20"/>
  <c r="A120" i="20"/>
  <c r="B120" i="20"/>
  <c r="C120" i="20"/>
  <c r="D120" i="20"/>
  <c r="E120" i="20"/>
  <c r="F120" i="20"/>
  <c r="G120" i="20"/>
  <c r="H120" i="20"/>
  <c r="I120" i="20"/>
  <c r="J120" i="20"/>
  <c r="K120" i="20"/>
  <c r="L120" i="20"/>
  <c r="M120" i="20"/>
  <c r="Q120" i="20"/>
  <c r="R120" i="20"/>
  <c r="S120" i="20"/>
  <c r="U120" i="20"/>
  <c r="V120" i="20"/>
  <c r="Y120" i="20" s="1"/>
  <c r="Z120" i="20"/>
  <c r="BL120" i="20"/>
  <c r="BM120" i="20"/>
  <c r="BN120" i="20"/>
  <c r="A121" i="20"/>
  <c r="B121" i="20"/>
  <c r="C121" i="20"/>
  <c r="D121" i="20"/>
  <c r="E121" i="20"/>
  <c r="F121" i="20"/>
  <c r="G121" i="20"/>
  <c r="H121" i="20"/>
  <c r="I121" i="20"/>
  <c r="J121" i="20"/>
  <c r="K121" i="20"/>
  <c r="L121" i="20"/>
  <c r="M121" i="20"/>
  <c r="Q121" i="20"/>
  <c r="R121" i="20"/>
  <c r="S121" i="20"/>
  <c r="U121" i="20"/>
  <c r="V121" i="20"/>
  <c r="Y121" i="20"/>
  <c r="Z121" i="20"/>
  <c r="BL121" i="20"/>
  <c r="BM121" i="20"/>
  <c r="BN121" i="20"/>
  <c r="A122" i="20"/>
  <c r="B122" i="20"/>
  <c r="C122" i="20"/>
  <c r="D122" i="20"/>
  <c r="E122" i="20"/>
  <c r="F122" i="20"/>
  <c r="G122" i="20"/>
  <c r="H122" i="20"/>
  <c r="I122" i="20"/>
  <c r="J122" i="20"/>
  <c r="K122" i="20"/>
  <c r="L122" i="20"/>
  <c r="M122" i="20"/>
  <c r="Q122" i="20"/>
  <c r="R122" i="20"/>
  <c r="S122" i="20"/>
  <c r="U122" i="20"/>
  <c r="V122" i="20"/>
  <c r="Y122" i="20"/>
  <c r="Z122" i="20"/>
  <c r="BL122" i="20"/>
  <c r="BM122" i="20"/>
  <c r="BN122" i="20"/>
  <c r="A123" i="20"/>
  <c r="B123" i="20"/>
  <c r="C123" i="20"/>
  <c r="D123" i="20"/>
  <c r="E123" i="20"/>
  <c r="F123" i="20"/>
  <c r="G123" i="20"/>
  <c r="H123" i="20"/>
  <c r="I123" i="20"/>
  <c r="J123" i="20"/>
  <c r="K123" i="20"/>
  <c r="L123" i="20"/>
  <c r="M123" i="20"/>
  <c r="Q123" i="20"/>
  <c r="R123" i="20"/>
  <c r="S123" i="20"/>
  <c r="U123" i="20"/>
  <c r="V123" i="20"/>
  <c r="Y123" i="20" s="1"/>
  <c r="Z123" i="20"/>
  <c r="BL123" i="20"/>
  <c r="BM123" i="20"/>
  <c r="BN123" i="20"/>
  <c r="A124" i="20"/>
  <c r="B124" i="20"/>
  <c r="C124" i="20"/>
  <c r="D124" i="20"/>
  <c r="E124" i="20"/>
  <c r="F124" i="20"/>
  <c r="G124" i="20"/>
  <c r="H124" i="20"/>
  <c r="I124" i="20"/>
  <c r="J124" i="20"/>
  <c r="K124" i="20"/>
  <c r="L124" i="20"/>
  <c r="M124" i="20"/>
  <c r="Q124" i="20"/>
  <c r="R124" i="20"/>
  <c r="S124" i="20"/>
  <c r="U124" i="20"/>
  <c r="V124" i="20"/>
  <c r="Y124" i="20"/>
  <c r="Z124" i="20"/>
  <c r="BL124" i="20"/>
  <c r="BM124" i="20"/>
  <c r="BN124" i="20"/>
  <c r="A125" i="20"/>
  <c r="B125" i="20"/>
  <c r="C125" i="20"/>
  <c r="D125" i="20"/>
  <c r="E125" i="20"/>
  <c r="F125" i="20"/>
  <c r="G125" i="20"/>
  <c r="H125" i="20"/>
  <c r="I125" i="20"/>
  <c r="J125" i="20"/>
  <c r="K125" i="20"/>
  <c r="L125" i="20"/>
  <c r="M125" i="20"/>
  <c r="Q125" i="20"/>
  <c r="R125" i="20"/>
  <c r="S125" i="20"/>
  <c r="U125" i="20"/>
  <c r="V125" i="20"/>
  <c r="Y125" i="20"/>
  <c r="Z125" i="20"/>
  <c r="BL125" i="20"/>
  <c r="BM125" i="20"/>
  <c r="BN125" i="20"/>
  <c r="A126" i="20"/>
  <c r="B126" i="20"/>
  <c r="C126" i="20"/>
  <c r="D126" i="20"/>
  <c r="E126" i="20"/>
  <c r="F126" i="20"/>
  <c r="G126" i="20"/>
  <c r="H126" i="20"/>
  <c r="I126" i="20"/>
  <c r="J126" i="20"/>
  <c r="K126" i="20"/>
  <c r="L126" i="20"/>
  <c r="M126" i="20"/>
  <c r="Q126" i="20"/>
  <c r="R126" i="20"/>
  <c r="S126" i="20"/>
  <c r="U126" i="20"/>
  <c r="V126" i="20"/>
  <c r="Y126" i="20" s="1"/>
  <c r="Z126" i="20"/>
  <c r="BL126" i="20"/>
  <c r="BM126" i="20"/>
  <c r="BN126" i="20"/>
  <c r="A127" i="20"/>
  <c r="B127" i="20"/>
  <c r="C127" i="20"/>
  <c r="D127" i="20"/>
  <c r="E127" i="20"/>
  <c r="F127" i="20"/>
  <c r="G127" i="20"/>
  <c r="H127" i="20"/>
  <c r="I127" i="20"/>
  <c r="J127" i="20"/>
  <c r="K127" i="20"/>
  <c r="L127" i="20"/>
  <c r="M127" i="20"/>
  <c r="Q127" i="20"/>
  <c r="R127" i="20"/>
  <c r="S127" i="20"/>
  <c r="U127" i="20"/>
  <c r="V127" i="20"/>
  <c r="Y127" i="20"/>
  <c r="Z127" i="20"/>
  <c r="BL127" i="20"/>
  <c r="BM127" i="20"/>
  <c r="BN127" i="20"/>
  <c r="A128" i="20"/>
  <c r="B128" i="20"/>
  <c r="C128" i="20"/>
  <c r="D128" i="20"/>
  <c r="E128" i="20"/>
  <c r="F128" i="20"/>
  <c r="G128" i="20"/>
  <c r="H128" i="20"/>
  <c r="I128" i="20"/>
  <c r="J128" i="20"/>
  <c r="K128" i="20"/>
  <c r="L128" i="20"/>
  <c r="M128" i="20"/>
  <c r="Q128" i="20"/>
  <c r="R128" i="20"/>
  <c r="S128" i="20"/>
  <c r="U128" i="20"/>
  <c r="V128" i="20"/>
  <c r="Y128" i="20"/>
  <c r="Z128" i="20"/>
  <c r="BL128" i="20"/>
  <c r="BM128" i="20"/>
  <c r="BN128" i="20"/>
  <c r="A129" i="20"/>
  <c r="B129" i="20"/>
  <c r="C129" i="20"/>
  <c r="D129" i="20"/>
  <c r="E129" i="20"/>
  <c r="F129" i="20"/>
  <c r="G129" i="20"/>
  <c r="H129" i="20"/>
  <c r="I129" i="20"/>
  <c r="J129" i="20"/>
  <c r="K129" i="20"/>
  <c r="L129" i="20"/>
  <c r="M129" i="20"/>
  <c r="Q129" i="20"/>
  <c r="R129" i="20"/>
  <c r="S129" i="20"/>
  <c r="U129" i="20"/>
  <c r="V129" i="20"/>
  <c r="Y129" i="20" s="1"/>
  <c r="Z129" i="20"/>
  <c r="BL129" i="20"/>
  <c r="BM129" i="20"/>
  <c r="BN129" i="20"/>
  <c r="A130" i="20"/>
  <c r="B130" i="20"/>
  <c r="C130" i="20"/>
  <c r="D130" i="20"/>
  <c r="E130" i="20"/>
  <c r="F130" i="20"/>
  <c r="G130" i="20"/>
  <c r="H130" i="20"/>
  <c r="I130" i="20"/>
  <c r="J130" i="20"/>
  <c r="K130" i="20"/>
  <c r="L130" i="20"/>
  <c r="M130" i="20"/>
  <c r="Q130" i="20"/>
  <c r="R130" i="20"/>
  <c r="S130" i="20"/>
  <c r="U130" i="20"/>
  <c r="V130" i="20"/>
  <c r="Y130" i="20"/>
  <c r="Z130" i="20"/>
  <c r="BL130" i="20"/>
  <c r="BM130" i="20"/>
  <c r="BN130" i="20"/>
  <c r="A131" i="20"/>
  <c r="B131" i="20"/>
  <c r="C131" i="20"/>
  <c r="D131" i="20"/>
  <c r="E131" i="20"/>
  <c r="F131" i="20"/>
  <c r="G131" i="20"/>
  <c r="H131" i="20"/>
  <c r="I131" i="20"/>
  <c r="J131" i="20"/>
  <c r="K131" i="20"/>
  <c r="L131" i="20"/>
  <c r="M131" i="20"/>
  <c r="Q131" i="20"/>
  <c r="R131" i="20"/>
  <c r="S131" i="20"/>
  <c r="U131" i="20"/>
  <c r="V131" i="20"/>
  <c r="Y131" i="20"/>
  <c r="Z131" i="20"/>
  <c r="BL131" i="20"/>
  <c r="BM131" i="20"/>
  <c r="BN131" i="20"/>
  <c r="A132" i="20"/>
  <c r="B132" i="20"/>
  <c r="C132" i="20"/>
  <c r="D132" i="20"/>
  <c r="E132" i="20"/>
  <c r="F132" i="20"/>
  <c r="G132" i="20"/>
  <c r="H132" i="20"/>
  <c r="I132" i="20"/>
  <c r="J132" i="20"/>
  <c r="K132" i="20"/>
  <c r="L132" i="20"/>
  <c r="M132" i="20"/>
  <c r="Q132" i="20"/>
  <c r="R132" i="20"/>
  <c r="S132" i="20"/>
  <c r="U132" i="20"/>
  <c r="V132" i="20"/>
  <c r="Y132" i="20" s="1"/>
  <c r="Z132" i="20"/>
  <c r="BL132" i="20"/>
  <c r="BM132" i="20"/>
  <c r="BN132" i="20"/>
  <c r="A133" i="20"/>
  <c r="B133" i="20"/>
  <c r="C133" i="20"/>
  <c r="D133" i="20"/>
  <c r="E133" i="20"/>
  <c r="F133" i="20"/>
  <c r="G133" i="20"/>
  <c r="H133" i="20"/>
  <c r="I133" i="20"/>
  <c r="J133" i="20"/>
  <c r="K133" i="20"/>
  <c r="L133" i="20"/>
  <c r="M133" i="20"/>
  <c r="Q133" i="20"/>
  <c r="R133" i="20"/>
  <c r="S133" i="20"/>
  <c r="U133" i="20"/>
  <c r="V133" i="20"/>
  <c r="Y133" i="20"/>
  <c r="Z133" i="20"/>
  <c r="BL133" i="20"/>
  <c r="BM133" i="20"/>
  <c r="BN133" i="20"/>
  <c r="A134" i="20"/>
  <c r="B134" i="20"/>
  <c r="C134" i="20"/>
  <c r="D134" i="20"/>
  <c r="E134" i="20"/>
  <c r="F134" i="20"/>
  <c r="G134" i="20"/>
  <c r="H134" i="20"/>
  <c r="I134" i="20"/>
  <c r="J134" i="20"/>
  <c r="K134" i="20"/>
  <c r="L134" i="20"/>
  <c r="M134" i="20"/>
  <c r="Q134" i="20"/>
  <c r="R134" i="20"/>
  <c r="S134" i="20"/>
  <c r="U134" i="20"/>
  <c r="V134" i="20"/>
  <c r="Y134" i="20"/>
  <c r="Z134" i="20"/>
  <c r="BL134" i="20"/>
  <c r="BM134" i="20"/>
  <c r="BN134" i="20"/>
  <c r="A135" i="20"/>
  <c r="B135" i="20"/>
  <c r="C135" i="20"/>
  <c r="D135" i="20"/>
  <c r="E135" i="20"/>
  <c r="F135" i="20"/>
  <c r="G135" i="20"/>
  <c r="H135" i="20"/>
  <c r="I135" i="20"/>
  <c r="J135" i="20"/>
  <c r="K135" i="20"/>
  <c r="L135" i="20"/>
  <c r="M135" i="20"/>
  <c r="Q135" i="20"/>
  <c r="R135" i="20"/>
  <c r="S135" i="20"/>
  <c r="U135" i="20"/>
  <c r="V135" i="20"/>
  <c r="Y135" i="20" s="1"/>
  <c r="Z135" i="20"/>
  <c r="BL135" i="20"/>
  <c r="BM135" i="20"/>
  <c r="BN135" i="20"/>
  <c r="A136" i="20"/>
  <c r="B136" i="20"/>
  <c r="C136" i="20"/>
  <c r="D136" i="20"/>
  <c r="E136" i="20"/>
  <c r="F136" i="20"/>
  <c r="G136" i="20"/>
  <c r="H136" i="20"/>
  <c r="I136" i="20"/>
  <c r="J136" i="20"/>
  <c r="K136" i="20"/>
  <c r="L136" i="20"/>
  <c r="M136" i="20"/>
  <c r="Q136" i="20"/>
  <c r="R136" i="20"/>
  <c r="S136" i="20"/>
  <c r="U136" i="20"/>
  <c r="V136" i="20"/>
  <c r="Y136" i="20"/>
  <c r="Z136" i="20"/>
  <c r="BL136" i="20"/>
  <c r="BM136" i="20"/>
  <c r="BN136" i="20"/>
  <c r="A137" i="20"/>
  <c r="B137" i="20"/>
  <c r="C137" i="20"/>
  <c r="D137" i="20"/>
  <c r="E137" i="20"/>
  <c r="F137" i="20"/>
  <c r="G137" i="20"/>
  <c r="H137" i="20"/>
  <c r="I137" i="20"/>
  <c r="J137" i="20"/>
  <c r="K137" i="20"/>
  <c r="L137" i="20"/>
  <c r="M137" i="20"/>
  <c r="Q137" i="20"/>
  <c r="R137" i="20"/>
  <c r="S137" i="20"/>
  <c r="U137" i="20"/>
  <c r="V137" i="20"/>
  <c r="Y137" i="20"/>
  <c r="Z137" i="20"/>
  <c r="BL137" i="20"/>
  <c r="BM137" i="20"/>
  <c r="BN137" i="20"/>
  <c r="A138" i="20"/>
  <c r="B138" i="20"/>
  <c r="C138" i="20"/>
  <c r="D138" i="20"/>
  <c r="E138" i="20"/>
  <c r="F138" i="20"/>
  <c r="G138" i="20"/>
  <c r="H138" i="20"/>
  <c r="I138" i="20"/>
  <c r="J138" i="20"/>
  <c r="K138" i="20"/>
  <c r="L138" i="20"/>
  <c r="M138" i="20"/>
  <c r="Q138" i="20"/>
  <c r="R138" i="20"/>
  <c r="S138" i="20"/>
  <c r="U138" i="20"/>
  <c r="V138" i="20"/>
  <c r="Y138" i="20" s="1"/>
  <c r="Z138" i="20"/>
  <c r="BL138" i="20"/>
  <c r="BM138" i="20"/>
  <c r="BN138" i="20"/>
  <c r="A139" i="20"/>
  <c r="B139" i="20"/>
  <c r="C139" i="20"/>
  <c r="D139" i="20"/>
  <c r="E139" i="20"/>
  <c r="F139" i="20"/>
  <c r="G139" i="20"/>
  <c r="H139" i="20"/>
  <c r="I139" i="20"/>
  <c r="J139" i="20"/>
  <c r="K139" i="20"/>
  <c r="L139" i="20"/>
  <c r="M139" i="20"/>
  <c r="Q139" i="20"/>
  <c r="R139" i="20"/>
  <c r="S139" i="20"/>
  <c r="U139" i="20"/>
  <c r="V139" i="20"/>
  <c r="Y139" i="20"/>
  <c r="Z139" i="20"/>
  <c r="BL139" i="20"/>
  <c r="BM139" i="20"/>
  <c r="BN139" i="20"/>
  <c r="A140" i="20"/>
  <c r="B140" i="20"/>
  <c r="C140" i="20"/>
  <c r="D140" i="20"/>
  <c r="E140" i="20"/>
  <c r="F140" i="20"/>
  <c r="G140" i="20"/>
  <c r="H140" i="20"/>
  <c r="I140" i="20"/>
  <c r="J140" i="20"/>
  <c r="K140" i="20"/>
  <c r="L140" i="20"/>
  <c r="M140" i="20"/>
  <c r="Q140" i="20"/>
  <c r="R140" i="20"/>
  <c r="S140" i="20"/>
  <c r="U140" i="20"/>
  <c r="V140" i="20"/>
  <c r="Y140" i="20"/>
  <c r="Z140" i="20"/>
  <c r="BL140" i="20"/>
  <c r="BM140" i="20"/>
  <c r="BN140" i="20"/>
  <c r="A141" i="20"/>
  <c r="B141" i="20"/>
  <c r="C141" i="20"/>
  <c r="D141" i="20"/>
  <c r="E141" i="20"/>
  <c r="F141" i="20"/>
  <c r="G141" i="20"/>
  <c r="H141" i="20"/>
  <c r="I141" i="20"/>
  <c r="J141" i="20"/>
  <c r="K141" i="20"/>
  <c r="L141" i="20"/>
  <c r="M141" i="20"/>
  <c r="Q141" i="20"/>
  <c r="R141" i="20"/>
  <c r="S141" i="20"/>
  <c r="U141" i="20"/>
  <c r="V141" i="20"/>
  <c r="Y141" i="20" s="1"/>
  <c r="Z141" i="20"/>
  <c r="BL141" i="20"/>
  <c r="BM141" i="20"/>
  <c r="BN141" i="20"/>
  <c r="A142" i="20"/>
  <c r="B142" i="20"/>
  <c r="C142" i="20"/>
  <c r="D142" i="20"/>
  <c r="E142" i="20"/>
  <c r="F142" i="20"/>
  <c r="G142" i="20"/>
  <c r="H142" i="20"/>
  <c r="I142" i="20"/>
  <c r="J142" i="20"/>
  <c r="K142" i="20"/>
  <c r="L142" i="20"/>
  <c r="M142" i="20"/>
  <c r="Q142" i="20"/>
  <c r="R142" i="20"/>
  <c r="S142" i="20"/>
  <c r="U142" i="20"/>
  <c r="V142" i="20"/>
  <c r="Y142" i="20"/>
  <c r="Z142" i="20"/>
  <c r="BL142" i="20"/>
  <c r="BM142" i="20"/>
  <c r="BN142" i="20"/>
  <c r="A143" i="20"/>
  <c r="B143" i="20"/>
  <c r="C143" i="20"/>
  <c r="D143" i="20"/>
  <c r="E143" i="20"/>
  <c r="F143" i="20"/>
  <c r="G143" i="20"/>
  <c r="H143" i="20"/>
  <c r="I143" i="20"/>
  <c r="J143" i="20"/>
  <c r="K143" i="20"/>
  <c r="L143" i="20"/>
  <c r="M143" i="20"/>
  <c r="Q143" i="20"/>
  <c r="R143" i="20"/>
  <c r="S143" i="20"/>
  <c r="U143" i="20"/>
  <c r="V143" i="20"/>
  <c r="Y143" i="20"/>
  <c r="Z143" i="20"/>
  <c r="BL143" i="20"/>
  <c r="BM143" i="20"/>
  <c r="BN143" i="20"/>
  <c r="A144" i="20"/>
  <c r="B144" i="20"/>
  <c r="C144" i="20"/>
  <c r="D144" i="20"/>
  <c r="E144" i="20"/>
  <c r="F144" i="20"/>
  <c r="G144" i="20"/>
  <c r="H144" i="20"/>
  <c r="I144" i="20"/>
  <c r="J144" i="20"/>
  <c r="K144" i="20"/>
  <c r="L144" i="20"/>
  <c r="M144" i="20"/>
  <c r="Q144" i="20"/>
  <c r="R144" i="20"/>
  <c r="S144" i="20"/>
  <c r="U144" i="20"/>
  <c r="V144" i="20"/>
  <c r="Y144" i="20" s="1"/>
  <c r="Z144" i="20"/>
  <c r="BL144" i="20"/>
  <c r="BM144" i="20"/>
  <c r="BN144" i="20"/>
  <c r="A145" i="20"/>
  <c r="B145" i="20"/>
  <c r="C145" i="20"/>
  <c r="D145" i="20"/>
  <c r="E145" i="20"/>
  <c r="F145" i="20"/>
  <c r="G145" i="20"/>
  <c r="H145" i="20"/>
  <c r="I145" i="20"/>
  <c r="J145" i="20"/>
  <c r="K145" i="20"/>
  <c r="L145" i="20"/>
  <c r="M145" i="20"/>
  <c r="Q145" i="20"/>
  <c r="R145" i="20"/>
  <c r="S145" i="20"/>
  <c r="U145" i="20"/>
  <c r="V145" i="20"/>
  <c r="Y145" i="20"/>
  <c r="Z145" i="20"/>
  <c r="BL145" i="20"/>
  <c r="BM145" i="20"/>
  <c r="BN145" i="20"/>
  <c r="A146" i="20"/>
  <c r="B146" i="20"/>
  <c r="C146" i="20"/>
  <c r="D146" i="20"/>
  <c r="E146" i="20"/>
  <c r="F146" i="20"/>
  <c r="G146" i="20"/>
  <c r="H146" i="20"/>
  <c r="I146" i="20"/>
  <c r="J146" i="20"/>
  <c r="K146" i="20"/>
  <c r="L146" i="20"/>
  <c r="M146" i="20"/>
  <c r="Q146" i="20"/>
  <c r="R146" i="20"/>
  <c r="S146" i="20"/>
  <c r="U146" i="20"/>
  <c r="V146" i="20"/>
  <c r="Y146" i="20"/>
  <c r="Z146" i="20"/>
  <c r="BL146" i="20"/>
  <c r="BM146" i="20"/>
  <c r="BN146" i="20"/>
  <c r="A147" i="20"/>
  <c r="B147" i="20"/>
  <c r="C147" i="20"/>
  <c r="D147" i="20"/>
  <c r="E147" i="20"/>
  <c r="F147" i="20"/>
  <c r="G147" i="20"/>
  <c r="H147" i="20"/>
  <c r="I147" i="20"/>
  <c r="J147" i="20"/>
  <c r="K147" i="20"/>
  <c r="L147" i="20"/>
  <c r="M147" i="20"/>
  <c r="Q147" i="20"/>
  <c r="R147" i="20"/>
  <c r="S147" i="20"/>
  <c r="U147" i="20"/>
  <c r="V147" i="20"/>
  <c r="Y147" i="20" s="1"/>
  <c r="Z147" i="20"/>
  <c r="BL147" i="20"/>
  <c r="BM147" i="20"/>
  <c r="BN147" i="20"/>
  <c r="A148" i="20"/>
  <c r="B148" i="20"/>
  <c r="C148" i="20"/>
  <c r="D148" i="20"/>
  <c r="E148" i="20"/>
  <c r="F148" i="20"/>
  <c r="G148" i="20"/>
  <c r="H148" i="20"/>
  <c r="I148" i="20"/>
  <c r="J148" i="20"/>
  <c r="K148" i="20"/>
  <c r="L148" i="20"/>
  <c r="M148" i="20"/>
  <c r="Q148" i="20"/>
  <c r="R148" i="20"/>
  <c r="S148" i="20"/>
  <c r="U148" i="20"/>
  <c r="V148" i="20"/>
  <c r="Y148" i="20"/>
  <c r="Z148" i="20"/>
  <c r="BL148" i="20"/>
  <c r="BM148" i="20"/>
  <c r="BN148" i="20"/>
  <c r="A149" i="20"/>
  <c r="B149" i="20"/>
  <c r="C149" i="20"/>
  <c r="D149" i="20"/>
  <c r="E149" i="20"/>
  <c r="F149" i="20"/>
  <c r="G149" i="20"/>
  <c r="H149" i="20"/>
  <c r="I149" i="20"/>
  <c r="J149" i="20"/>
  <c r="K149" i="20"/>
  <c r="L149" i="20"/>
  <c r="M149" i="20"/>
  <c r="Q149" i="20"/>
  <c r="R149" i="20"/>
  <c r="S149" i="20"/>
  <c r="U149" i="20"/>
  <c r="V149" i="20"/>
  <c r="Y149" i="20"/>
  <c r="Z149" i="20"/>
  <c r="BL149" i="20"/>
  <c r="BM149" i="20"/>
  <c r="BN149" i="20"/>
  <c r="A150" i="20"/>
  <c r="B150" i="20"/>
  <c r="C150" i="20"/>
  <c r="D150" i="20"/>
  <c r="E150" i="20"/>
  <c r="F150" i="20"/>
  <c r="G150" i="20"/>
  <c r="H150" i="20"/>
  <c r="I150" i="20"/>
  <c r="J150" i="20"/>
  <c r="K150" i="20"/>
  <c r="L150" i="20"/>
  <c r="M150" i="20"/>
  <c r="Q150" i="20"/>
  <c r="R150" i="20"/>
  <c r="S150" i="20"/>
  <c r="U150" i="20"/>
  <c r="V150" i="20"/>
  <c r="Y150" i="20" s="1"/>
  <c r="Z150" i="20"/>
  <c r="BL150" i="20"/>
  <c r="BM150" i="20"/>
  <c r="BN150" i="20"/>
  <c r="A151" i="20"/>
  <c r="B151" i="20"/>
  <c r="C151" i="20"/>
  <c r="D151" i="20"/>
  <c r="E151" i="20"/>
  <c r="F151" i="20"/>
  <c r="G151" i="20"/>
  <c r="H151" i="20"/>
  <c r="I151" i="20"/>
  <c r="J151" i="20"/>
  <c r="K151" i="20"/>
  <c r="L151" i="20"/>
  <c r="M151" i="20"/>
  <c r="Q151" i="20"/>
  <c r="R151" i="20"/>
  <c r="S151" i="20"/>
  <c r="U151" i="20"/>
  <c r="V151" i="20"/>
  <c r="Y151" i="20"/>
  <c r="Z151" i="20"/>
  <c r="BL151" i="20"/>
  <c r="BM151" i="20"/>
  <c r="BN151" i="20"/>
  <c r="A152" i="20"/>
  <c r="B152" i="20"/>
  <c r="C152" i="20"/>
  <c r="D152" i="20"/>
  <c r="E152" i="20"/>
  <c r="F152" i="20"/>
  <c r="G152" i="20"/>
  <c r="H152" i="20"/>
  <c r="I152" i="20"/>
  <c r="J152" i="20"/>
  <c r="K152" i="20"/>
  <c r="L152" i="20"/>
  <c r="M152" i="20"/>
  <c r="Q152" i="20"/>
  <c r="R152" i="20"/>
  <c r="S152" i="20"/>
  <c r="U152" i="20"/>
  <c r="V152" i="20"/>
  <c r="Y152" i="20"/>
  <c r="Z152" i="20"/>
  <c r="BL152" i="20"/>
  <c r="BM152" i="20"/>
  <c r="BN152" i="20"/>
  <c r="A153" i="20"/>
  <c r="B153" i="20"/>
  <c r="C153" i="20"/>
  <c r="D153" i="20"/>
  <c r="E153" i="20"/>
  <c r="F153" i="20"/>
  <c r="G153" i="20"/>
  <c r="H153" i="20"/>
  <c r="I153" i="20"/>
  <c r="J153" i="20"/>
  <c r="K153" i="20"/>
  <c r="L153" i="20"/>
  <c r="M153" i="20"/>
  <c r="Q153" i="20"/>
  <c r="R153" i="20"/>
  <c r="S153" i="20"/>
  <c r="U153" i="20"/>
  <c r="V153" i="20"/>
  <c r="Y153" i="20" s="1"/>
  <c r="Z153" i="20"/>
  <c r="BL153" i="20"/>
  <c r="BM153" i="20"/>
  <c r="BN153" i="20"/>
  <c r="A154" i="20"/>
  <c r="B154" i="20"/>
  <c r="C154" i="20"/>
  <c r="D154" i="20"/>
  <c r="E154" i="20"/>
  <c r="F154" i="20"/>
  <c r="G154" i="20"/>
  <c r="H154" i="20"/>
  <c r="I154" i="20"/>
  <c r="J154" i="20"/>
  <c r="K154" i="20"/>
  <c r="L154" i="20"/>
  <c r="M154" i="20"/>
  <c r="Q154" i="20"/>
  <c r="R154" i="20"/>
  <c r="S154" i="20"/>
  <c r="U154" i="20"/>
  <c r="V154" i="20"/>
  <c r="Y154" i="20"/>
  <c r="Z154" i="20"/>
  <c r="BL154" i="20"/>
  <c r="BM154" i="20"/>
  <c r="BN154" i="20"/>
  <c r="A155" i="20"/>
  <c r="B155" i="20"/>
  <c r="C155" i="20"/>
  <c r="D155" i="20"/>
  <c r="E155" i="20"/>
  <c r="F155" i="20"/>
  <c r="G155" i="20"/>
  <c r="H155" i="20"/>
  <c r="I155" i="20"/>
  <c r="J155" i="20"/>
  <c r="K155" i="20"/>
  <c r="L155" i="20"/>
  <c r="M155" i="20"/>
  <c r="Q155" i="20"/>
  <c r="R155" i="20"/>
  <c r="S155" i="20"/>
  <c r="U155" i="20"/>
  <c r="V155" i="20"/>
  <c r="Y155" i="20"/>
  <c r="Z155" i="20"/>
  <c r="BL155" i="20"/>
  <c r="BM155" i="20"/>
  <c r="BN155" i="20"/>
  <c r="A156" i="20"/>
  <c r="B156" i="20"/>
  <c r="C156" i="20"/>
  <c r="D156" i="20"/>
  <c r="E156" i="20"/>
  <c r="F156" i="20"/>
  <c r="G156" i="20"/>
  <c r="H156" i="20"/>
  <c r="I156" i="20"/>
  <c r="J156" i="20"/>
  <c r="K156" i="20"/>
  <c r="L156" i="20"/>
  <c r="M156" i="20"/>
  <c r="Q156" i="20"/>
  <c r="R156" i="20"/>
  <c r="S156" i="20"/>
  <c r="U156" i="20"/>
  <c r="V156" i="20"/>
  <c r="Y156" i="20" s="1"/>
  <c r="Z156" i="20"/>
  <c r="BL156" i="20"/>
  <c r="BM156" i="20"/>
  <c r="BN156" i="20"/>
  <c r="A157" i="20"/>
  <c r="B157" i="20"/>
  <c r="C157" i="20"/>
  <c r="D157" i="20"/>
  <c r="E157" i="20"/>
  <c r="F157" i="20"/>
  <c r="G157" i="20"/>
  <c r="H157" i="20"/>
  <c r="I157" i="20"/>
  <c r="J157" i="20"/>
  <c r="K157" i="20"/>
  <c r="L157" i="20"/>
  <c r="M157" i="20"/>
  <c r="Q157" i="20"/>
  <c r="R157" i="20"/>
  <c r="S157" i="20"/>
  <c r="U157" i="20"/>
  <c r="V157" i="20"/>
  <c r="Y157" i="20"/>
  <c r="Z157" i="20"/>
  <c r="BL157" i="20"/>
  <c r="BM157" i="20"/>
  <c r="BN157" i="20"/>
  <c r="A158" i="20"/>
  <c r="B158" i="20"/>
  <c r="C158" i="20"/>
  <c r="D158" i="20"/>
  <c r="E158" i="20"/>
  <c r="F158" i="20"/>
  <c r="G158" i="20"/>
  <c r="H158" i="20"/>
  <c r="I158" i="20"/>
  <c r="J158" i="20"/>
  <c r="K158" i="20"/>
  <c r="L158" i="20"/>
  <c r="M158" i="20"/>
  <c r="Q158" i="20"/>
  <c r="R158" i="20"/>
  <c r="S158" i="20"/>
  <c r="U158" i="20"/>
  <c r="V158" i="20"/>
  <c r="Y158" i="20"/>
  <c r="Z158" i="20"/>
  <c r="BL158" i="20"/>
  <c r="BM158" i="20"/>
  <c r="BN158" i="20"/>
  <c r="A159" i="20"/>
  <c r="B159" i="20"/>
  <c r="C159" i="20"/>
  <c r="D159" i="20"/>
  <c r="E159" i="20"/>
  <c r="F159" i="20"/>
  <c r="G159" i="20"/>
  <c r="H159" i="20"/>
  <c r="I159" i="20"/>
  <c r="J159" i="20"/>
  <c r="K159" i="20"/>
  <c r="L159" i="20"/>
  <c r="M159" i="20"/>
  <c r="Q159" i="20"/>
  <c r="R159" i="20"/>
  <c r="S159" i="20"/>
  <c r="U159" i="20"/>
  <c r="V159" i="20"/>
  <c r="Y159" i="20" s="1"/>
  <c r="Z159" i="20"/>
  <c r="BL159" i="20"/>
  <c r="BM159" i="20"/>
  <c r="BN159" i="20"/>
  <c r="A160" i="20"/>
  <c r="B160" i="20"/>
  <c r="C160" i="20"/>
  <c r="D160" i="20"/>
  <c r="E160" i="20"/>
  <c r="F160" i="20"/>
  <c r="G160" i="20"/>
  <c r="H160" i="20"/>
  <c r="I160" i="20"/>
  <c r="J160" i="20"/>
  <c r="K160" i="20"/>
  <c r="L160" i="20"/>
  <c r="M160" i="20"/>
  <c r="Q160" i="20"/>
  <c r="R160" i="20"/>
  <c r="S160" i="20"/>
  <c r="U160" i="20"/>
  <c r="V160" i="20"/>
  <c r="Y160" i="20"/>
  <c r="Z160" i="20"/>
  <c r="BL160" i="20"/>
  <c r="BM160" i="20"/>
  <c r="BN160" i="20"/>
  <c r="A161" i="20"/>
  <c r="B161" i="20"/>
  <c r="C161" i="20"/>
  <c r="D161" i="20"/>
  <c r="E161" i="20"/>
  <c r="F161" i="20"/>
  <c r="G161" i="20"/>
  <c r="H161" i="20"/>
  <c r="I161" i="20"/>
  <c r="J161" i="20"/>
  <c r="K161" i="20"/>
  <c r="L161" i="20"/>
  <c r="M161" i="20"/>
  <c r="Q161" i="20"/>
  <c r="R161" i="20"/>
  <c r="S161" i="20"/>
  <c r="U161" i="20"/>
  <c r="V161" i="20"/>
  <c r="Y161" i="20"/>
  <c r="Z161" i="20"/>
  <c r="BL161" i="20"/>
  <c r="BM161" i="20"/>
  <c r="BN161" i="20"/>
  <c r="A162" i="20"/>
  <c r="B162" i="20"/>
  <c r="C162" i="20"/>
  <c r="D162" i="20"/>
  <c r="E162" i="20"/>
  <c r="F162" i="20"/>
  <c r="G162" i="20"/>
  <c r="H162" i="20"/>
  <c r="I162" i="20"/>
  <c r="J162" i="20"/>
  <c r="K162" i="20"/>
  <c r="L162" i="20"/>
  <c r="M162" i="20"/>
  <c r="Q162" i="20"/>
  <c r="R162" i="20"/>
  <c r="S162" i="20"/>
  <c r="U162" i="20"/>
  <c r="V162" i="20"/>
  <c r="Y162" i="20" s="1"/>
  <c r="Z162" i="20"/>
  <c r="BL162" i="20"/>
  <c r="BM162" i="20"/>
  <c r="BN162" i="20"/>
  <c r="A163" i="20"/>
  <c r="B163" i="20"/>
  <c r="C163" i="20"/>
  <c r="D163" i="20"/>
  <c r="E163" i="20"/>
  <c r="F163" i="20"/>
  <c r="G163" i="20"/>
  <c r="H163" i="20"/>
  <c r="I163" i="20"/>
  <c r="J163" i="20"/>
  <c r="K163" i="20"/>
  <c r="L163" i="20"/>
  <c r="M163" i="20"/>
  <c r="Q163" i="20"/>
  <c r="R163" i="20"/>
  <c r="S163" i="20"/>
  <c r="U163" i="20"/>
  <c r="V163" i="20"/>
  <c r="Y163" i="20"/>
  <c r="Z163" i="20"/>
  <c r="BL163" i="20"/>
  <c r="BM163" i="20"/>
  <c r="BN163" i="20"/>
  <c r="A164" i="20"/>
  <c r="B164" i="20"/>
  <c r="C164" i="20"/>
  <c r="D164" i="20"/>
  <c r="E164" i="20"/>
  <c r="F164" i="20"/>
  <c r="G164" i="20"/>
  <c r="H164" i="20"/>
  <c r="I164" i="20"/>
  <c r="J164" i="20"/>
  <c r="K164" i="20"/>
  <c r="L164" i="20"/>
  <c r="M164" i="20"/>
  <c r="Q164" i="20"/>
  <c r="R164" i="20"/>
  <c r="S164" i="20"/>
  <c r="U164" i="20"/>
  <c r="V164" i="20"/>
  <c r="Y164" i="20"/>
  <c r="Z164" i="20"/>
  <c r="BL164" i="20"/>
  <c r="BM164" i="20"/>
  <c r="BN164" i="20"/>
  <c r="A165" i="20"/>
  <c r="B165" i="20"/>
  <c r="C165" i="20"/>
  <c r="D165" i="20"/>
  <c r="E165" i="20"/>
  <c r="F165" i="20"/>
  <c r="G165" i="20"/>
  <c r="H165" i="20"/>
  <c r="I165" i="20"/>
  <c r="J165" i="20"/>
  <c r="K165" i="20"/>
  <c r="L165" i="20"/>
  <c r="M165" i="20"/>
  <c r="Q165" i="20"/>
  <c r="R165" i="20"/>
  <c r="S165" i="20"/>
  <c r="U165" i="20"/>
  <c r="V165" i="20"/>
  <c r="Y165" i="20" s="1"/>
  <c r="Z165" i="20"/>
  <c r="BL165" i="20"/>
  <c r="BM165" i="20"/>
  <c r="BN165" i="20"/>
  <c r="A166" i="20"/>
  <c r="B166" i="20"/>
  <c r="C166" i="20"/>
  <c r="D166" i="20"/>
  <c r="E166" i="20"/>
  <c r="F166" i="20"/>
  <c r="G166" i="20"/>
  <c r="H166" i="20"/>
  <c r="I166" i="20"/>
  <c r="J166" i="20"/>
  <c r="K166" i="20"/>
  <c r="L166" i="20"/>
  <c r="M166" i="20"/>
  <c r="Q166" i="20"/>
  <c r="R166" i="20"/>
  <c r="S166" i="20"/>
  <c r="U166" i="20"/>
  <c r="V166" i="20"/>
  <c r="Y166" i="20"/>
  <c r="Z166" i="20"/>
  <c r="BL166" i="20"/>
  <c r="BM166" i="20"/>
  <c r="BN166" i="20"/>
  <c r="A167" i="20"/>
  <c r="B167" i="20"/>
  <c r="C167" i="20"/>
  <c r="D167" i="20"/>
  <c r="E167" i="20"/>
  <c r="F167" i="20"/>
  <c r="G167" i="20"/>
  <c r="H167" i="20"/>
  <c r="I167" i="20"/>
  <c r="J167" i="20"/>
  <c r="K167" i="20"/>
  <c r="L167" i="20"/>
  <c r="M167" i="20"/>
  <c r="Q167" i="20"/>
  <c r="R167" i="20"/>
  <c r="S167" i="20"/>
  <c r="U167" i="20"/>
  <c r="V167" i="20"/>
  <c r="Y167" i="20"/>
  <c r="Z167" i="20"/>
  <c r="BL167" i="20"/>
  <c r="BM167" i="20"/>
  <c r="BN167" i="20"/>
  <c r="A168" i="20"/>
  <c r="B168" i="20"/>
  <c r="C168" i="20"/>
  <c r="D168" i="20"/>
  <c r="E168" i="20"/>
  <c r="F168" i="20"/>
  <c r="G168" i="20"/>
  <c r="H168" i="20"/>
  <c r="I168" i="20"/>
  <c r="J168" i="20"/>
  <c r="K168" i="20"/>
  <c r="L168" i="20"/>
  <c r="M168" i="20"/>
  <c r="Q168" i="20"/>
  <c r="R168" i="20"/>
  <c r="S168" i="20"/>
  <c r="U168" i="20"/>
  <c r="V168" i="20"/>
  <c r="Y168" i="20" s="1"/>
  <c r="Z168" i="20"/>
  <c r="BL168" i="20"/>
  <c r="BM168" i="20"/>
  <c r="BN168" i="20"/>
  <c r="A169" i="20"/>
  <c r="B169" i="20"/>
  <c r="C169" i="20"/>
  <c r="D169" i="20"/>
  <c r="E169" i="20"/>
  <c r="F169" i="20"/>
  <c r="G169" i="20"/>
  <c r="H169" i="20"/>
  <c r="I169" i="20"/>
  <c r="J169" i="20"/>
  <c r="K169" i="20"/>
  <c r="L169" i="20"/>
  <c r="M169" i="20"/>
  <c r="Q169" i="20"/>
  <c r="R169" i="20"/>
  <c r="S169" i="20"/>
  <c r="U169" i="20"/>
  <c r="V169" i="20"/>
  <c r="Y169" i="20"/>
  <c r="Z169" i="20"/>
  <c r="BL169" i="20"/>
  <c r="BM169" i="20"/>
  <c r="BN169" i="20"/>
  <c r="A170" i="20"/>
  <c r="B170" i="20"/>
  <c r="C170" i="20"/>
  <c r="D170" i="20"/>
  <c r="E170" i="20"/>
  <c r="F170" i="20"/>
  <c r="G170" i="20"/>
  <c r="H170" i="20"/>
  <c r="I170" i="20"/>
  <c r="J170" i="20"/>
  <c r="K170" i="20"/>
  <c r="L170" i="20"/>
  <c r="M170" i="20"/>
  <c r="Q170" i="20"/>
  <c r="R170" i="20"/>
  <c r="S170" i="20"/>
  <c r="U170" i="20"/>
  <c r="V170" i="20"/>
  <c r="Y170" i="20"/>
  <c r="Z170" i="20"/>
  <c r="BL170" i="20"/>
  <c r="BM170" i="20"/>
  <c r="BN170" i="20"/>
  <c r="A171" i="20"/>
  <c r="B171" i="20"/>
  <c r="C171" i="20"/>
  <c r="D171" i="20"/>
  <c r="E171" i="20"/>
  <c r="F171" i="20"/>
  <c r="G171" i="20"/>
  <c r="H171" i="20"/>
  <c r="I171" i="20"/>
  <c r="J171" i="20"/>
  <c r="K171" i="20"/>
  <c r="L171" i="20"/>
  <c r="M171" i="20"/>
  <c r="Q171" i="20"/>
  <c r="R171" i="20"/>
  <c r="S171" i="20"/>
  <c r="U171" i="20"/>
  <c r="V171" i="20"/>
  <c r="Y171" i="20" s="1"/>
  <c r="Z171" i="20"/>
  <c r="BL171" i="20"/>
  <c r="BM171" i="20"/>
  <c r="BN171" i="20"/>
  <c r="A172" i="20"/>
  <c r="B172" i="20"/>
  <c r="C172" i="20"/>
  <c r="D172" i="20"/>
  <c r="E172" i="20"/>
  <c r="F172" i="20"/>
  <c r="G172" i="20"/>
  <c r="H172" i="20"/>
  <c r="I172" i="20"/>
  <c r="J172" i="20"/>
  <c r="K172" i="20"/>
  <c r="L172" i="20"/>
  <c r="M172" i="20"/>
  <c r="Q172" i="20"/>
  <c r="R172" i="20"/>
  <c r="S172" i="20"/>
  <c r="U172" i="20"/>
  <c r="V172" i="20"/>
  <c r="Y172" i="20"/>
  <c r="Z172" i="20"/>
  <c r="BL172" i="20"/>
  <c r="BM172" i="20"/>
  <c r="BN172" i="20"/>
  <c r="A173" i="20"/>
  <c r="B173" i="20"/>
  <c r="C173" i="20"/>
  <c r="D173" i="20"/>
  <c r="E173" i="20"/>
  <c r="F173" i="20"/>
  <c r="G173" i="20"/>
  <c r="H173" i="20"/>
  <c r="I173" i="20"/>
  <c r="J173" i="20"/>
  <c r="K173" i="20"/>
  <c r="L173" i="20"/>
  <c r="M173" i="20"/>
  <c r="Q173" i="20"/>
  <c r="R173" i="20"/>
  <c r="S173" i="20"/>
  <c r="U173" i="20"/>
  <c r="V173" i="20"/>
  <c r="Y173" i="20"/>
  <c r="Z173" i="20"/>
  <c r="BL173" i="20"/>
  <c r="BM173" i="20"/>
  <c r="BN173" i="20"/>
  <c r="A174" i="20"/>
  <c r="B174" i="20"/>
  <c r="C174" i="20"/>
  <c r="D174" i="20"/>
  <c r="E174" i="20"/>
  <c r="F174" i="20"/>
  <c r="G174" i="20"/>
  <c r="H174" i="20"/>
  <c r="I174" i="20"/>
  <c r="J174" i="20"/>
  <c r="K174" i="20"/>
  <c r="L174" i="20"/>
  <c r="M174" i="20"/>
  <c r="Q174" i="20"/>
  <c r="R174" i="20"/>
  <c r="S174" i="20"/>
  <c r="U174" i="20"/>
  <c r="V174" i="20"/>
  <c r="Y174" i="20" s="1"/>
  <c r="Z174" i="20"/>
  <c r="BL174" i="20"/>
  <c r="BM174" i="20"/>
  <c r="BN174" i="20"/>
  <c r="A175" i="20"/>
  <c r="B175" i="20"/>
  <c r="C175" i="20"/>
  <c r="D175" i="20"/>
  <c r="E175" i="20"/>
  <c r="F175" i="20"/>
  <c r="G175" i="20"/>
  <c r="H175" i="20"/>
  <c r="I175" i="20"/>
  <c r="J175" i="20"/>
  <c r="K175" i="20"/>
  <c r="L175" i="20"/>
  <c r="M175" i="20"/>
  <c r="Q175" i="20"/>
  <c r="R175" i="20"/>
  <c r="S175" i="20"/>
  <c r="U175" i="20"/>
  <c r="V175" i="20"/>
  <c r="Y175" i="20"/>
  <c r="Z175" i="20"/>
  <c r="BL175" i="20"/>
  <c r="BM175" i="20"/>
  <c r="BN175" i="20"/>
  <c r="A176" i="20"/>
  <c r="B176" i="20"/>
  <c r="C176" i="20"/>
  <c r="D176" i="20"/>
  <c r="E176" i="20"/>
  <c r="F176" i="20"/>
  <c r="G176" i="20"/>
  <c r="H176" i="20"/>
  <c r="I176" i="20"/>
  <c r="J176" i="20"/>
  <c r="K176" i="20"/>
  <c r="L176" i="20"/>
  <c r="M176" i="20"/>
  <c r="Q176" i="20"/>
  <c r="R176" i="20"/>
  <c r="S176" i="20"/>
  <c r="U176" i="20"/>
  <c r="V176" i="20"/>
  <c r="Y176" i="20"/>
  <c r="Z176" i="20"/>
  <c r="BL176" i="20"/>
  <c r="BM176" i="20"/>
  <c r="BN176" i="20"/>
  <c r="A177" i="20"/>
  <c r="B177" i="20"/>
  <c r="C177" i="20"/>
  <c r="D177" i="20"/>
  <c r="E177" i="20"/>
  <c r="F177" i="20"/>
  <c r="G177" i="20"/>
  <c r="H177" i="20"/>
  <c r="I177" i="20"/>
  <c r="J177" i="20"/>
  <c r="K177" i="20"/>
  <c r="L177" i="20"/>
  <c r="M177" i="20"/>
  <c r="Q177" i="20"/>
  <c r="R177" i="20"/>
  <c r="S177" i="20"/>
  <c r="U177" i="20"/>
  <c r="V177" i="20"/>
  <c r="Y177" i="20" s="1"/>
  <c r="Z177" i="20"/>
  <c r="BL177" i="20"/>
  <c r="BM177" i="20"/>
  <c r="BN177" i="20"/>
  <c r="A178" i="20"/>
  <c r="B178" i="20"/>
  <c r="C178" i="20"/>
  <c r="D178" i="20"/>
  <c r="E178" i="20"/>
  <c r="F178" i="20"/>
  <c r="G178" i="20"/>
  <c r="H178" i="20"/>
  <c r="I178" i="20"/>
  <c r="J178" i="20"/>
  <c r="K178" i="20"/>
  <c r="L178" i="20"/>
  <c r="M178" i="20"/>
  <c r="Q178" i="20"/>
  <c r="R178" i="20"/>
  <c r="S178" i="20"/>
  <c r="U178" i="20"/>
  <c r="V178" i="20"/>
  <c r="Y178" i="20"/>
  <c r="Z178" i="20"/>
  <c r="BL178" i="20"/>
  <c r="BM178" i="20"/>
  <c r="BN178" i="20"/>
  <c r="A179" i="20"/>
  <c r="B179" i="20"/>
  <c r="C179" i="20"/>
  <c r="D179" i="20"/>
  <c r="E179" i="20"/>
  <c r="F179" i="20"/>
  <c r="G179" i="20"/>
  <c r="H179" i="20"/>
  <c r="I179" i="20"/>
  <c r="J179" i="20"/>
  <c r="K179" i="20"/>
  <c r="L179" i="20"/>
  <c r="M179" i="20"/>
  <c r="Q179" i="20"/>
  <c r="R179" i="20"/>
  <c r="S179" i="20"/>
  <c r="U179" i="20"/>
  <c r="V179" i="20"/>
  <c r="Y179" i="20"/>
  <c r="Z179" i="20"/>
  <c r="BL179" i="20"/>
  <c r="BM179" i="20"/>
  <c r="BN179" i="20"/>
  <c r="A180" i="20"/>
  <c r="B180" i="20"/>
  <c r="C180" i="20"/>
  <c r="D180" i="20"/>
  <c r="E180" i="20"/>
  <c r="F180" i="20"/>
  <c r="G180" i="20"/>
  <c r="H180" i="20"/>
  <c r="I180" i="20"/>
  <c r="J180" i="20"/>
  <c r="K180" i="20"/>
  <c r="L180" i="20"/>
  <c r="M180" i="20"/>
  <c r="Q180" i="20"/>
  <c r="R180" i="20"/>
  <c r="S180" i="20"/>
  <c r="U180" i="20"/>
  <c r="V180" i="20"/>
  <c r="Y180" i="20" s="1"/>
  <c r="Z180" i="20"/>
  <c r="BL180" i="20"/>
  <c r="BM180" i="20"/>
  <c r="BN180" i="20"/>
  <c r="A181" i="20"/>
  <c r="B181" i="20"/>
  <c r="C181" i="20"/>
  <c r="D181" i="20"/>
  <c r="E181" i="20"/>
  <c r="F181" i="20"/>
  <c r="G181" i="20"/>
  <c r="H181" i="20"/>
  <c r="I181" i="20"/>
  <c r="J181" i="20"/>
  <c r="K181" i="20"/>
  <c r="L181" i="20"/>
  <c r="M181" i="20"/>
  <c r="Q181" i="20"/>
  <c r="R181" i="20"/>
  <c r="S181" i="20"/>
  <c r="U181" i="20"/>
  <c r="V181" i="20"/>
  <c r="Y181" i="20"/>
  <c r="Z181" i="20"/>
  <c r="BL181" i="20"/>
  <c r="BM181" i="20"/>
  <c r="BN181" i="20"/>
  <c r="A182" i="20"/>
  <c r="B182" i="20"/>
  <c r="C182" i="20"/>
  <c r="D182" i="20"/>
  <c r="E182" i="20"/>
  <c r="F182" i="20"/>
  <c r="G182" i="20"/>
  <c r="H182" i="20"/>
  <c r="I182" i="20"/>
  <c r="J182" i="20"/>
  <c r="K182" i="20"/>
  <c r="L182" i="20"/>
  <c r="M182" i="20"/>
  <c r="Q182" i="20"/>
  <c r="R182" i="20"/>
  <c r="S182" i="20"/>
  <c r="U182" i="20"/>
  <c r="V182" i="20"/>
  <c r="Y182" i="20"/>
  <c r="Z182" i="20"/>
  <c r="BL182" i="20"/>
  <c r="BM182" i="20"/>
  <c r="BN182" i="20"/>
  <c r="A183" i="20"/>
  <c r="B183" i="20"/>
  <c r="C183" i="20"/>
  <c r="D183" i="20"/>
  <c r="E183" i="20"/>
  <c r="F183" i="20"/>
  <c r="G183" i="20"/>
  <c r="H183" i="20"/>
  <c r="I183" i="20"/>
  <c r="J183" i="20"/>
  <c r="K183" i="20"/>
  <c r="L183" i="20"/>
  <c r="M183" i="20"/>
  <c r="Q183" i="20"/>
  <c r="R183" i="20"/>
  <c r="S183" i="20"/>
  <c r="U183" i="20"/>
  <c r="V183" i="20"/>
  <c r="Y183" i="20" s="1"/>
  <c r="Z183" i="20"/>
  <c r="BL183" i="20"/>
  <c r="BM183" i="20"/>
  <c r="BN183" i="20"/>
  <c r="A184" i="20"/>
  <c r="B184" i="20"/>
  <c r="C184" i="20"/>
  <c r="D184" i="20"/>
  <c r="E184" i="20"/>
  <c r="F184" i="20"/>
  <c r="G184" i="20"/>
  <c r="H184" i="20"/>
  <c r="I184" i="20"/>
  <c r="J184" i="20"/>
  <c r="K184" i="20"/>
  <c r="L184" i="20"/>
  <c r="M184" i="20"/>
  <c r="Q184" i="20"/>
  <c r="R184" i="20"/>
  <c r="S184" i="20"/>
  <c r="U184" i="20"/>
  <c r="V184" i="20"/>
  <c r="Y184" i="20"/>
  <c r="Z184" i="20"/>
  <c r="BL184" i="20"/>
  <c r="BM184" i="20"/>
  <c r="BN184" i="20"/>
  <c r="A185" i="20"/>
  <c r="B185" i="20"/>
  <c r="C185" i="20"/>
  <c r="D185" i="20"/>
  <c r="E185" i="20"/>
  <c r="F185" i="20"/>
  <c r="G185" i="20"/>
  <c r="H185" i="20"/>
  <c r="I185" i="20"/>
  <c r="J185" i="20"/>
  <c r="K185" i="20"/>
  <c r="L185" i="20"/>
  <c r="M185" i="20"/>
  <c r="Q185" i="20"/>
  <c r="R185" i="20"/>
  <c r="S185" i="20"/>
  <c r="U185" i="20"/>
  <c r="V185" i="20"/>
  <c r="Y185" i="20"/>
  <c r="Z185" i="20"/>
  <c r="BL185" i="20"/>
  <c r="BM185" i="20"/>
  <c r="BN185" i="20"/>
  <c r="A186" i="20"/>
  <c r="B186" i="20"/>
  <c r="C186" i="20"/>
  <c r="D186" i="20"/>
  <c r="E186" i="20"/>
  <c r="F186" i="20"/>
  <c r="G186" i="20"/>
  <c r="H186" i="20"/>
  <c r="I186" i="20"/>
  <c r="J186" i="20"/>
  <c r="K186" i="20"/>
  <c r="L186" i="20"/>
  <c r="M186" i="20"/>
  <c r="Q186" i="20"/>
  <c r="R186" i="20"/>
  <c r="S186" i="20"/>
  <c r="U186" i="20"/>
  <c r="V186" i="20"/>
  <c r="Y186" i="20" s="1"/>
  <c r="Z186" i="20"/>
  <c r="BL186" i="20"/>
  <c r="BM186" i="20"/>
  <c r="BN186" i="20"/>
  <c r="A187" i="20"/>
  <c r="B187" i="20"/>
  <c r="C187" i="20"/>
  <c r="D187" i="20"/>
  <c r="E187" i="20"/>
  <c r="F187" i="20"/>
  <c r="G187" i="20"/>
  <c r="H187" i="20"/>
  <c r="I187" i="20"/>
  <c r="J187" i="20"/>
  <c r="K187" i="20"/>
  <c r="L187" i="20"/>
  <c r="M187" i="20"/>
  <c r="Q187" i="20"/>
  <c r="R187" i="20"/>
  <c r="S187" i="20"/>
  <c r="U187" i="20"/>
  <c r="V187" i="20"/>
  <c r="Y187" i="20"/>
  <c r="Z187" i="20"/>
  <c r="BL187" i="20"/>
  <c r="BM187" i="20"/>
  <c r="BN187" i="20"/>
  <c r="A188" i="20"/>
  <c r="B188" i="20"/>
  <c r="C188" i="20"/>
  <c r="D188" i="20"/>
  <c r="E188" i="20"/>
  <c r="F188" i="20"/>
  <c r="G188" i="20"/>
  <c r="H188" i="20"/>
  <c r="I188" i="20"/>
  <c r="J188" i="20"/>
  <c r="K188" i="20"/>
  <c r="L188" i="20"/>
  <c r="M188" i="20"/>
  <c r="Q188" i="20"/>
  <c r="R188" i="20"/>
  <c r="S188" i="20"/>
  <c r="U188" i="20"/>
  <c r="V188" i="20"/>
  <c r="Y188" i="20"/>
  <c r="Z188" i="20"/>
  <c r="BL188" i="20"/>
  <c r="BM188" i="20"/>
  <c r="BN188" i="20"/>
  <c r="A189" i="20"/>
  <c r="B189" i="20"/>
  <c r="C189" i="20"/>
  <c r="D189" i="20"/>
  <c r="E189" i="20"/>
  <c r="F189" i="20"/>
  <c r="G189" i="20"/>
  <c r="H189" i="20"/>
  <c r="I189" i="20"/>
  <c r="J189" i="20"/>
  <c r="K189" i="20"/>
  <c r="L189" i="20"/>
  <c r="M189" i="20"/>
  <c r="Q189" i="20"/>
  <c r="R189" i="20"/>
  <c r="S189" i="20"/>
  <c r="U189" i="20"/>
  <c r="V189" i="20"/>
  <c r="Y189" i="20" s="1"/>
  <c r="Z189" i="20"/>
  <c r="BL189" i="20"/>
  <c r="BM189" i="20"/>
  <c r="BN189" i="20"/>
  <c r="A190" i="20"/>
  <c r="B190" i="20"/>
  <c r="C190" i="20"/>
  <c r="D190" i="20"/>
  <c r="E190" i="20"/>
  <c r="F190" i="20"/>
  <c r="G190" i="20"/>
  <c r="H190" i="20"/>
  <c r="I190" i="20"/>
  <c r="J190" i="20"/>
  <c r="K190" i="20"/>
  <c r="L190" i="20"/>
  <c r="M190" i="20"/>
  <c r="Q190" i="20"/>
  <c r="R190" i="20"/>
  <c r="S190" i="20"/>
  <c r="U190" i="20"/>
  <c r="V190" i="20"/>
  <c r="Y190" i="20"/>
  <c r="Z190" i="20"/>
  <c r="BL190" i="20"/>
  <c r="BM190" i="20"/>
  <c r="BN190" i="20"/>
  <c r="A191" i="20"/>
  <c r="B191" i="20"/>
  <c r="C191" i="20"/>
  <c r="D191" i="20"/>
  <c r="E191" i="20"/>
  <c r="F191" i="20"/>
  <c r="G191" i="20"/>
  <c r="H191" i="20"/>
  <c r="I191" i="20"/>
  <c r="J191" i="20"/>
  <c r="K191" i="20"/>
  <c r="L191" i="20"/>
  <c r="M191" i="20"/>
  <c r="Q191" i="20"/>
  <c r="R191" i="20"/>
  <c r="S191" i="20"/>
  <c r="U191" i="20"/>
  <c r="V191" i="20"/>
  <c r="Y191" i="20"/>
  <c r="Z191" i="20"/>
  <c r="BL191" i="20"/>
  <c r="BM191" i="20"/>
  <c r="BN191" i="20"/>
  <c r="A192" i="20"/>
  <c r="B192" i="20"/>
  <c r="C192" i="20"/>
  <c r="D192" i="20"/>
  <c r="E192" i="20"/>
  <c r="F192" i="20"/>
  <c r="G192" i="20"/>
  <c r="H192" i="20"/>
  <c r="I192" i="20"/>
  <c r="J192" i="20"/>
  <c r="K192" i="20"/>
  <c r="L192" i="20"/>
  <c r="M192" i="20"/>
  <c r="Q192" i="20"/>
  <c r="R192" i="20"/>
  <c r="S192" i="20"/>
  <c r="U192" i="20"/>
  <c r="V192" i="20"/>
  <c r="Y192" i="20" s="1"/>
  <c r="Z192" i="20"/>
  <c r="BL192" i="20"/>
  <c r="BM192" i="20"/>
  <c r="BN192" i="20"/>
  <c r="A193" i="20"/>
  <c r="B193" i="20"/>
  <c r="C193" i="20"/>
  <c r="D193" i="20"/>
  <c r="E193" i="20"/>
  <c r="F193" i="20"/>
  <c r="G193" i="20"/>
  <c r="H193" i="20"/>
  <c r="I193" i="20"/>
  <c r="J193" i="20"/>
  <c r="K193" i="20"/>
  <c r="L193" i="20"/>
  <c r="M193" i="20"/>
  <c r="Q193" i="20"/>
  <c r="R193" i="20"/>
  <c r="S193" i="20"/>
  <c r="U193" i="20"/>
  <c r="V193" i="20"/>
  <c r="Y193" i="20"/>
  <c r="Z193" i="20"/>
  <c r="BL193" i="20"/>
  <c r="BM193" i="20"/>
  <c r="BN193" i="20"/>
  <c r="A194" i="20"/>
  <c r="B194" i="20"/>
  <c r="C194" i="20"/>
  <c r="D194" i="20"/>
  <c r="E194" i="20"/>
  <c r="F194" i="20"/>
  <c r="G194" i="20"/>
  <c r="H194" i="20"/>
  <c r="I194" i="20"/>
  <c r="J194" i="20"/>
  <c r="K194" i="20"/>
  <c r="L194" i="20"/>
  <c r="M194" i="20"/>
  <c r="Q194" i="20"/>
  <c r="R194" i="20"/>
  <c r="S194" i="20"/>
  <c r="U194" i="20"/>
  <c r="V194" i="20"/>
  <c r="Y194" i="20"/>
  <c r="Z194" i="20"/>
  <c r="BL194" i="20"/>
  <c r="BM194" i="20"/>
  <c r="BN194" i="20"/>
  <c r="A195" i="20"/>
  <c r="B195" i="20"/>
  <c r="C195" i="20"/>
  <c r="D195" i="20"/>
  <c r="E195" i="20"/>
  <c r="F195" i="20"/>
  <c r="G195" i="20"/>
  <c r="H195" i="20"/>
  <c r="I195" i="20"/>
  <c r="J195" i="20"/>
  <c r="K195" i="20"/>
  <c r="L195" i="20"/>
  <c r="M195" i="20"/>
  <c r="Q195" i="20"/>
  <c r="R195" i="20"/>
  <c r="S195" i="20"/>
  <c r="U195" i="20"/>
  <c r="V195" i="20"/>
  <c r="Y195" i="20" s="1"/>
  <c r="Z195" i="20"/>
  <c r="BL195" i="20"/>
  <c r="BM195" i="20"/>
  <c r="BN195" i="20"/>
  <c r="A196" i="20"/>
  <c r="B196" i="20"/>
  <c r="C196" i="20"/>
  <c r="D196" i="20"/>
  <c r="E196" i="20"/>
  <c r="F196" i="20"/>
  <c r="G196" i="20"/>
  <c r="H196" i="20"/>
  <c r="I196" i="20"/>
  <c r="J196" i="20"/>
  <c r="K196" i="20"/>
  <c r="L196" i="20"/>
  <c r="M196" i="20"/>
  <c r="Q196" i="20"/>
  <c r="R196" i="20"/>
  <c r="S196" i="20"/>
  <c r="U196" i="20"/>
  <c r="V196" i="20"/>
  <c r="Y196" i="20"/>
  <c r="Z196" i="20"/>
  <c r="BL196" i="20"/>
  <c r="BM196" i="20"/>
  <c r="BN196" i="20"/>
  <c r="A197" i="20"/>
  <c r="B197" i="20"/>
  <c r="C197" i="20"/>
  <c r="D197" i="20"/>
  <c r="E197" i="20"/>
  <c r="F197" i="20"/>
  <c r="G197" i="20"/>
  <c r="H197" i="20"/>
  <c r="I197" i="20"/>
  <c r="J197" i="20"/>
  <c r="K197" i="20"/>
  <c r="L197" i="20"/>
  <c r="M197" i="20"/>
  <c r="Q197" i="20"/>
  <c r="R197" i="20"/>
  <c r="S197" i="20"/>
  <c r="U197" i="20"/>
  <c r="V197" i="20"/>
  <c r="Y197" i="20"/>
  <c r="Z197" i="20"/>
  <c r="BL197" i="20"/>
  <c r="BM197" i="20"/>
  <c r="BN197" i="20"/>
  <c r="A198" i="20"/>
  <c r="B198" i="20"/>
  <c r="C198" i="20"/>
  <c r="D198" i="20"/>
  <c r="E198" i="20"/>
  <c r="F198" i="20"/>
  <c r="G198" i="20"/>
  <c r="H198" i="20"/>
  <c r="I198" i="20"/>
  <c r="J198" i="20"/>
  <c r="K198" i="20"/>
  <c r="L198" i="20"/>
  <c r="M198" i="20"/>
  <c r="Q198" i="20"/>
  <c r="R198" i="20"/>
  <c r="S198" i="20"/>
  <c r="U198" i="20"/>
  <c r="V198" i="20"/>
  <c r="Y198" i="20" s="1"/>
  <c r="Z198" i="20"/>
  <c r="BL198" i="20"/>
  <c r="BM198" i="20"/>
  <c r="BN198" i="20"/>
  <c r="A199" i="20"/>
  <c r="B199" i="20"/>
  <c r="C199" i="20"/>
  <c r="D199" i="20"/>
  <c r="E199" i="20"/>
  <c r="F199" i="20"/>
  <c r="G199" i="20"/>
  <c r="H199" i="20"/>
  <c r="I199" i="20"/>
  <c r="J199" i="20"/>
  <c r="K199" i="20"/>
  <c r="L199" i="20"/>
  <c r="M199" i="20"/>
  <c r="Q199" i="20"/>
  <c r="R199" i="20"/>
  <c r="S199" i="20"/>
  <c r="U199" i="20"/>
  <c r="V199" i="20"/>
  <c r="Y199" i="20"/>
  <c r="Z199" i="20"/>
  <c r="BL199" i="20"/>
  <c r="BM199" i="20"/>
  <c r="BN199" i="20"/>
  <c r="A200" i="20"/>
  <c r="B200" i="20"/>
  <c r="C200" i="20"/>
  <c r="D200" i="20"/>
  <c r="E200" i="20"/>
  <c r="F200" i="20"/>
  <c r="G200" i="20"/>
  <c r="H200" i="20"/>
  <c r="I200" i="20"/>
  <c r="J200" i="20"/>
  <c r="K200" i="20"/>
  <c r="L200" i="20"/>
  <c r="M200" i="20"/>
  <c r="Q200" i="20"/>
  <c r="R200" i="20"/>
  <c r="S200" i="20"/>
  <c r="U200" i="20"/>
  <c r="V200" i="20"/>
  <c r="Y200" i="20"/>
  <c r="Z200" i="20"/>
  <c r="BL200" i="20"/>
  <c r="BM200" i="20"/>
  <c r="BN200" i="20"/>
  <c r="A2" i="20"/>
  <c r="B2" i="20"/>
  <c r="C2" i="20"/>
  <c r="D2" i="20"/>
  <c r="E2" i="20"/>
  <c r="F2" i="20"/>
  <c r="G2" i="20"/>
  <c r="H2" i="20"/>
  <c r="I2" i="20"/>
  <c r="J2" i="20"/>
  <c r="K2" i="20"/>
  <c r="L2" i="20"/>
  <c r="M2" i="20"/>
  <c r="Q2" i="20"/>
  <c r="R2" i="20"/>
  <c r="S2" i="20"/>
  <c r="U2" i="20"/>
  <c r="V2" i="20"/>
  <c r="Y2" i="20" s="1"/>
  <c r="Z2" i="20"/>
  <c r="BL2" i="20"/>
  <c r="BM2" i="20"/>
  <c r="BN2" i="20"/>
  <c r="A3" i="20"/>
  <c r="B3" i="20"/>
  <c r="C3" i="20"/>
  <c r="D3" i="20"/>
  <c r="E3" i="20"/>
  <c r="F3" i="20"/>
  <c r="G3" i="20"/>
  <c r="H3" i="20"/>
  <c r="I3" i="20"/>
  <c r="J3" i="20"/>
  <c r="K3" i="20"/>
  <c r="L3" i="20"/>
  <c r="M3" i="20"/>
  <c r="Q3" i="20"/>
  <c r="R3" i="20"/>
  <c r="S3" i="20"/>
  <c r="U3" i="20"/>
  <c r="V3" i="20"/>
  <c r="Y3" i="20"/>
  <c r="Z3" i="20"/>
  <c r="BL3" i="20"/>
  <c r="BM3" i="20"/>
  <c r="BN3" i="20"/>
  <c r="A4" i="20"/>
  <c r="B4" i="20"/>
  <c r="C4" i="20"/>
  <c r="D4" i="20"/>
  <c r="E4" i="20"/>
  <c r="F4" i="20"/>
  <c r="G4" i="20"/>
  <c r="H4" i="20"/>
  <c r="I4" i="20"/>
  <c r="J4" i="20"/>
  <c r="K4" i="20"/>
  <c r="L4" i="20"/>
  <c r="M4" i="20"/>
  <c r="Q4" i="20"/>
  <c r="R4" i="20"/>
  <c r="S4" i="20"/>
  <c r="U4" i="20"/>
  <c r="V4" i="20"/>
  <c r="Y4" i="20" s="1"/>
  <c r="Z4" i="20"/>
  <c r="BL4" i="20"/>
  <c r="BM4" i="20"/>
  <c r="BN4" i="20"/>
  <c r="A5" i="20"/>
  <c r="B5" i="20"/>
  <c r="C5" i="20"/>
  <c r="D5" i="20"/>
  <c r="E5" i="20"/>
  <c r="F5" i="20"/>
  <c r="G5" i="20"/>
  <c r="H5" i="20"/>
  <c r="I5" i="20"/>
  <c r="J5" i="20"/>
  <c r="K5" i="20"/>
  <c r="L5" i="20"/>
  <c r="M5" i="20"/>
  <c r="Q5" i="20"/>
  <c r="R5" i="20"/>
  <c r="S5" i="20"/>
  <c r="U5" i="20"/>
  <c r="V5" i="20"/>
  <c r="Y5" i="20" s="1"/>
  <c r="Z5" i="20"/>
  <c r="BL5" i="20"/>
  <c r="BM5" i="20"/>
  <c r="BN5" i="20"/>
  <c r="A6" i="20"/>
  <c r="B6" i="20"/>
  <c r="C6" i="20"/>
  <c r="D6" i="20"/>
  <c r="E6" i="20"/>
  <c r="F6" i="20"/>
  <c r="G6" i="20"/>
  <c r="H6" i="20"/>
  <c r="I6" i="20"/>
  <c r="J6" i="20"/>
  <c r="K6" i="20"/>
  <c r="L6" i="20"/>
  <c r="M6" i="20"/>
  <c r="Q6" i="20"/>
  <c r="R6" i="20"/>
  <c r="S6" i="20"/>
  <c r="U6" i="20"/>
  <c r="V6" i="20"/>
  <c r="Y6" i="20"/>
  <c r="Z6" i="20"/>
  <c r="BL6" i="20"/>
  <c r="BM6" i="20"/>
  <c r="BN6" i="20"/>
  <c r="A7" i="20"/>
  <c r="B7" i="20"/>
  <c r="C7" i="20"/>
  <c r="D7" i="20"/>
  <c r="E7" i="20"/>
  <c r="F7" i="20"/>
  <c r="G7" i="20"/>
  <c r="H7" i="20"/>
  <c r="I7" i="20"/>
  <c r="J7" i="20"/>
  <c r="K7" i="20"/>
  <c r="L7" i="20"/>
  <c r="M7" i="20"/>
  <c r="Q7" i="20"/>
  <c r="R7" i="20"/>
  <c r="S7" i="20"/>
  <c r="U7" i="20"/>
  <c r="V7" i="20"/>
  <c r="Y7" i="20" s="1"/>
  <c r="Z7" i="20"/>
  <c r="BL7" i="20"/>
  <c r="BM7" i="20"/>
  <c r="BN7" i="20"/>
  <c r="A8" i="20"/>
  <c r="B8" i="20"/>
  <c r="C8" i="20"/>
  <c r="D8" i="20"/>
  <c r="E8" i="20"/>
  <c r="F8" i="20"/>
  <c r="G8" i="20"/>
  <c r="H8" i="20"/>
  <c r="I8" i="20"/>
  <c r="J8" i="20"/>
  <c r="K8" i="20"/>
  <c r="L8" i="20"/>
  <c r="M8" i="20"/>
  <c r="Q8" i="20"/>
  <c r="R8" i="20"/>
  <c r="S8" i="20"/>
  <c r="U8" i="20"/>
  <c r="V8" i="20"/>
  <c r="Y8" i="20" s="1"/>
  <c r="Z8" i="20"/>
  <c r="BL8" i="20"/>
  <c r="BM8" i="20"/>
  <c r="BN8" i="20"/>
  <c r="A9" i="20"/>
  <c r="B9" i="20"/>
  <c r="C9" i="20"/>
  <c r="D9" i="20"/>
  <c r="E9" i="20"/>
  <c r="F9" i="20"/>
  <c r="G9" i="20"/>
  <c r="H9" i="20"/>
  <c r="I9" i="20"/>
  <c r="J9" i="20"/>
  <c r="K9" i="20"/>
  <c r="L9" i="20"/>
  <c r="M9" i="20"/>
  <c r="Q9" i="20"/>
  <c r="R9" i="20"/>
  <c r="S9" i="20"/>
  <c r="U9" i="20"/>
  <c r="V9" i="20"/>
  <c r="Y9" i="20"/>
  <c r="Z9" i="20"/>
  <c r="BL9" i="20"/>
  <c r="BM9" i="20"/>
  <c r="BN9" i="20"/>
  <c r="A10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Q10" i="20"/>
  <c r="R10" i="20"/>
  <c r="S10" i="20"/>
  <c r="U10" i="20"/>
  <c r="V10" i="20"/>
  <c r="Y10" i="20" s="1"/>
  <c r="Z10" i="20"/>
  <c r="BL10" i="20"/>
  <c r="BM10" i="20"/>
  <c r="BN10" i="20"/>
  <c r="A11" i="20"/>
  <c r="B11" i="20"/>
  <c r="C11" i="20"/>
  <c r="D11" i="20"/>
  <c r="E11" i="20"/>
  <c r="F11" i="20"/>
  <c r="G11" i="20"/>
  <c r="H11" i="20"/>
  <c r="I11" i="20"/>
  <c r="J11" i="20"/>
  <c r="K11" i="20"/>
  <c r="L11" i="20"/>
  <c r="M11" i="20"/>
  <c r="Q11" i="20"/>
  <c r="R11" i="20"/>
  <c r="S11" i="20"/>
  <c r="U11" i="20"/>
  <c r="V11" i="20"/>
  <c r="Y11" i="20" s="1"/>
  <c r="Z11" i="20"/>
  <c r="BL11" i="20"/>
  <c r="BM11" i="20"/>
  <c r="BN11" i="20"/>
  <c r="A12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Q12" i="20"/>
  <c r="R12" i="20"/>
  <c r="S12" i="20"/>
  <c r="U12" i="20"/>
  <c r="V12" i="20"/>
  <c r="Y12" i="20" s="1"/>
  <c r="Z12" i="20"/>
  <c r="BL12" i="20"/>
  <c r="BM12" i="20"/>
  <c r="BN12" i="20"/>
  <c r="A13" i="20"/>
  <c r="B13" i="20"/>
  <c r="C13" i="20"/>
  <c r="D13" i="20"/>
  <c r="E13" i="20"/>
  <c r="F13" i="20"/>
  <c r="G13" i="20"/>
  <c r="H13" i="20"/>
  <c r="I13" i="20"/>
  <c r="J13" i="20"/>
  <c r="K13" i="20"/>
  <c r="L13" i="20"/>
  <c r="M13" i="20"/>
  <c r="Q13" i="20"/>
  <c r="R13" i="20"/>
  <c r="S13" i="20"/>
  <c r="U13" i="20"/>
  <c r="V13" i="20"/>
  <c r="Y13" i="20"/>
  <c r="Z13" i="20"/>
  <c r="BL13" i="20"/>
  <c r="BM13" i="20"/>
  <c r="BN13" i="20"/>
  <c r="A14" i="20"/>
  <c r="B14" i="20"/>
  <c r="C14" i="20"/>
  <c r="D14" i="20"/>
  <c r="E14" i="20"/>
  <c r="F14" i="20"/>
  <c r="G14" i="20"/>
  <c r="H14" i="20"/>
  <c r="I14" i="20"/>
  <c r="J14" i="20"/>
  <c r="K14" i="20"/>
  <c r="L14" i="20"/>
  <c r="M14" i="20"/>
  <c r="Q14" i="20"/>
  <c r="R14" i="20"/>
  <c r="S14" i="20"/>
  <c r="U14" i="20"/>
  <c r="V14" i="20"/>
  <c r="Y14" i="20" s="1"/>
  <c r="Z14" i="20"/>
  <c r="BL14" i="20"/>
  <c r="BM14" i="20"/>
  <c r="BN14" i="20"/>
  <c r="A15" i="20"/>
  <c r="B15" i="20"/>
  <c r="C15" i="20"/>
  <c r="D15" i="20"/>
  <c r="E15" i="20"/>
  <c r="F15" i="20"/>
  <c r="G15" i="20"/>
  <c r="H15" i="20"/>
  <c r="I15" i="20"/>
  <c r="J15" i="20"/>
  <c r="K15" i="20"/>
  <c r="L15" i="20"/>
  <c r="M15" i="20"/>
  <c r="Q15" i="20"/>
  <c r="R15" i="20"/>
  <c r="S15" i="20"/>
  <c r="U15" i="20"/>
  <c r="V15" i="20"/>
  <c r="Y15" i="20"/>
  <c r="Z15" i="20"/>
  <c r="BL15" i="20"/>
  <c r="BM15" i="20"/>
  <c r="BN15" i="20"/>
  <c r="Z1" i="20"/>
  <c r="V1" i="20"/>
  <c r="Y1" i="20" s="1"/>
  <c r="U1" i="20"/>
  <c r="Q1" i="20"/>
  <c r="B1" i="20"/>
  <c r="C1" i="20"/>
  <c r="D1" i="20"/>
  <c r="E1" i="20"/>
  <c r="F1" i="20"/>
  <c r="G1" i="20"/>
  <c r="H1" i="20"/>
  <c r="I1" i="20"/>
  <c r="J1" i="20"/>
  <c r="K1" i="20"/>
  <c r="L1" i="20"/>
  <c r="M1" i="20"/>
  <c r="R1" i="20"/>
  <c r="S1" i="20"/>
  <c r="BL1" i="20"/>
  <c r="BM1" i="20"/>
  <c r="BN1" i="20"/>
  <c r="A1" i="20"/>
  <c r="H7" i="19" a="1"/>
  <c r="H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8" i="19"/>
  <c r="J249" i="19"/>
  <c r="J250" i="19"/>
  <c r="J251" i="19"/>
  <c r="J252" i="19"/>
  <c r="J253" i="19"/>
  <c r="J254" i="19"/>
  <c r="J255" i="19"/>
  <c r="J256" i="19"/>
  <c r="J257" i="19"/>
  <c r="J258" i="19"/>
  <c r="J259" i="19"/>
  <c r="J260" i="19"/>
  <c r="J261" i="19"/>
  <c r="J262" i="19"/>
  <c r="J263" i="19"/>
  <c r="J264" i="19"/>
  <c r="J265" i="19"/>
  <c r="J266" i="19"/>
  <c r="J267" i="19"/>
  <c r="J268" i="19"/>
  <c r="J269" i="19"/>
  <c r="J270" i="19"/>
  <c r="J271" i="19"/>
  <c r="J272" i="19"/>
  <c r="J273" i="19"/>
  <c r="J274" i="19"/>
  <c r="J275" i="19"/>
  <c r="J276" i="19"/>
  <c r="J277" i="19"/>
  <c r="J278" i="19"/>
  <c r="J279" i="19"/>
  <c r="J280" i="19"/>
  <c r="J281" i="19"/>
  <c r="J282" i="19"/>
  <c r="J283" i="19"/>
  <c r="J284" i="19"/>
  <c r="J285" i="19"/>
  <c r="J286" i="19"/>
  <c r="J287" i="19"/>
  <c r="J288" i="19"/>
  <c r="J289" i="19"/>
  <c r="J290" i="19"/>
  <c r="J291" i="19"/>
  <c r="J292" i="19"/>
  <c r="J293" i="19"/>
  <c r="J294" i="19"/>
  <c r="J295" i="19"/>
  <c r="J296" i="19"/>
  <c r="J297" i="19"/>
  <c r="J298" i="19"/>
  <c r="J299" i="19"/>
  <c r="J300" i="19"/>
  <c r="J301" i="19"/>
  <c r="J302" i="19"/>
  <c r="J303" i="19"/>
  <c r="J304" i="19"/>
  <c r="J305" i="19"/>
  <c r="J306" i="19"/>
  <c r="J307" i="19"/>
  <c r="J308" i="19"/>
  <c r="J309" i="19"/>
  <c r="J310" i="19"/>
  <c r="J311" i="19"/>
  <c r="J312" i="19"/>
  <c r="J313" i="19"/>
  <c r="J314" i="19"/>
  <c r="J315" i="19"/>
  <c r="J316" i="19"/>
  <c r="J317" i="19"/>
  <c r="J318" i="19"/>
  <c r="J319" i="19"/>
  <c r="J320" i="19"/>
  <c r="J321" i="19"/>
  <c r="J322" i="19"/>
  <c r="J323" i="19"/>
  <c r="J324" i="19"/>
  <c r="J325" i="19"/>
  <c r="J326" i="19"/>
  <c r="J327" i="19"/>
  <c r="J328" i="19"/>
  <c r="J329" i="19"/>
  <c r="J330" i="19"/>
  <c r="J331" i="19"/>
  <c r="J332" i="19"/>
  <c r="J333" i="19"/>
  <c r="J334" i="19"/>
  <c r="J335" i="19"/>
  <c r="J336" i="19"/>
  <c r="J337" i="19"/>
  <c r="J338" i="19"/>
  <c r="J339" i="19"/>
  <c r="J340" i="19"/>
  <c r="J341" i="19"/>
  <c r="J342" i="19"/>
  <c r="J343" i="19"/>
  <c r="J344" i="19"/>
  <c r="J345" i="19"/>
  <c r="J346" i="19"/>
  <c r="J347" i="19"/>
  <c r="J348" i="19"/>
  <c r="J349" i="19"/>
  <c r="J350" i="19"/>
  <c r="J351" i="19"/>
  <c r="J352" i="19"/>
  <c r="J353" i="19"/>
  <c r="J354" i="19"/>
  <c r="J355" i="19"/>
  <c r="J356" i="19"/>
  <c r="J357" i="19"/>
  <c r="J358" i="19"/>
  <c r="J359" i="19"/>
  <c r="J360" i="19"/>
  <c r="J361" i="19"/>
  <c r="J362" i="19"/>
  <c r="J363" i="19"/>
  <c r="J364" i="19"/>
  <c r="J365" i="19"/>
  <c r="J366" i="19"/>
  <c r="J367" i="19"/>
  <c r="J368" i="19"/>
  <c r="J369" i="19"/>
  <c r="J370" i="19"/>
  <c r="J371" i="19"/>
  <c r="J372" i="19"/>
  <c r="J373" i="19"/>
  <c r="J374" i="19"/>
  <c r="J375" i="19"/>
  <c r="J376" i="19"/>
  <c r="J377" i="19"/>
  <c r="J378" i="19"/>
  <c r="J379" i="19"/>
  <c r="J380" i="19"/>
  <c r="J381" i="19"/>
  <c r="J382" i="19"/>
  <c r="J383" i="19"/>
  <c r="J384" i="19"/>
  <c r="J385" i="19"/>
  <c r="J386" i="19"/>
  <c r="J387" i="19"/>
  <c r="J388" i="19"/>
  <c r="J389" i="19"/>
  <c r="J390" i="19"/>
  <c r="J391" i="19"/>
  <c r="J392" i="19"/>
  <c r="J393" i="19"/>
  <c r="J394" i="19"/>
  <c r="J395" i="19"/>
  <c r="J396" i="19"/>
  <c r="J397" i="19"/>
  <c r="J398" i="19"/>
  <c r="J399" i="19"/>
  <c r="J400" i="19"/>
  <c r="J401" i="19"/>
  <c r="J402" i="19"/>
  <c r="J403" i="19"/>
  <c r="J404" i="19"/>
  <c r="J405" i="19"/>
  <c r="J406" i="19"/>
  <c r="J407" i="19"/>
  <c r="J408" i="19"/>
  <c r="J409" i="19"/>
  <c r="J410" i="19"/>
  <c r="J411" i="19"/>
  <c r="J412" i="19"/>
  <c r="J413" i="19"/>
  <c r="J414" i="19"/>
  <c r="J415" i="19"/>
  <c r="J416" i="19"/>
  <c r="J417" i="19"/>
  <c r="J418" i="19"/>
  <c r="J419" i="19"/>
  <c r="J420" i="19"/>
  <c r="J421" i="19"/>
  <c r="J422" i="19"/>
  <c r="J423" i="19"/>
  <c r="J424" i="19"/>
  <c r="J425" i="19"/>
  <c r="J426" i="19"/>
  <c r="J427" i="19"/>
  <c r="J428" i="19"/>
  <c r="J429" i="19"/>
  <c r="J430" i="19"/>
  <c r="J431" i="19"/>
  <c r="J432" i="19"/>
  <c r="J433" i="19"/>
  <c r="J434" i="19"/>
  <c r="J435" i="19"/>
  <c r="J436" i="19"/>
  <c r="J437" i="19"/>
  <c r="J438" i="19"/>
  <c r="J439" i="19"/>
  <c r="J440" i="19"/>
  <c r="J441" i="19"/>
  <c r="J442" i="19"/>
  <c r="J443" i="19"/>
  <c r="J444" i="19"/>
  <c r="J445" i="19"/>
  <c r="J446" i="19"/>
  <c r="J447" i="19"/>
  <c r="J448" i="19"/>
  <c r="J449" i="19"/>
  <c r="J450" i="19"/>
  <c r="J451" i="19"/>
  <c r="J452" i="19"/>
  <c r="J453" i="19"/>
  <c r="J454" i="19"/>
  <c r="J455" i="19"/>
  <c r="J456" i="19"/>
  <c r="J457" i="19"/>
  <c r="J458" i="19"/>
  <c r="J459" i="19"/>
  <c r="J460" i="19"/>
  <c r="J461" i="19"/>
  <c r="J462" i="19"/>
  <c r="J463" i="19"/>
  <c r="J464" i="19"/>
  <c r="J465" i="19"/>
  <c r="J466" i="19"/>
  <c r="J467" i="19"/>
  <c r="J468" i="19"/>
  <c r="J469" i="19"/>
  <c r="J470" i="19"/>
  <c r="J471" i="19"/>
  <c r="J472" i="19"/>
  <c r="J473" i="19"/>
  <c r="J474" i="19"/>
  <c r="J475" i="19"/>
  <c r="J476" i="19"/>
  <c r="J477" i="19"/>
  <c r="J478" i="19"/>
  <c r="J479" i="19"/>
  <c r="J480" i="19"/>
  <c r="J481" i="19"/>
  <c r="J482" i="19"/>
  <c r="J483" i="19"/>
  <c r="J484" i="19"/>
  <c r="J485" i="19"/>
  <c r="J486" i="19"/>
  <c r="J487" i="19"/>
  <c r="J488" i="19"/>
  <c r="J489" i="19"/>
  <c r="J490" i="19"/>
  <c r="J491" i="19"/>
  <c r="J492" i="19"/>
  <c r="J493" i="19"/>
  <c r="J494" i="19"/>
  <c r="J495" i="19"/>
  <c r="J496" i="19"/>
  <c r="J497" i="19"/>
  <c r="J498" i="19"/>
  <c r="J499" i="19"/>
  <c r="J500" i="19"/>
  <c r="J501" i="19"/>
  <c r="J502" i="19"/>
  <c r="J503" i="19"/>
  <c r="J504" i="19"/>
  <c r="J505" i="19"/>
  <c r="J506" i="19"/>
  <c r="J507" i="19"/>
  <c r="J508" i="19"/>
  <c r="J509" i="19"/>
  <c r="J510" i="19"/>
  <c r="J511" i="19"/>
  <c r="J512" i="19"/>
  <c r="J513" i="19"/>
  <c r="J514" i="19"/>
  <c r="J515" i="19"/>
  <c r="J516" i="19"/>
  <c r="J517" i="19"/>
  <c r="J518" i="19"/>
  <c r="J519" i="19"/>
  <c r="J520" i="19"/>
  <c r="J521" i="19"/>
  <c r="J522" i="19"/>
  <c r="J523" i="19"/>
  <c r="J524" i="19"/>
  <c r="J525" i="19"/>
  <c r="J526" i="19"/>
  <c r="J527" i="19"/>
  <c r="J528" i="19"/>
  <c r="J529" i="19"/>
  <c r="J530" i="19"/>
  <c r="J531" i="19"/>
  <c r="J532" i="19"/>
  <c r="J533" i="19"/>
  <c r="J534" i="19"/>
  <c r="J535" i="19"/>
  <c r="J536" i="19"/>
  <c r="J537" i="19"/>
  <c r="J538" i="19"/>
  <c r="J539" i="19"/>
  <c r="J540" i="19"/>
  <c r="J541" i="19"/>
  <c r="J542" i="19"/>
  <c r="J543" i="19"/>
  <c r="J544" i="19"/>
  <c r="J545" i="19"/>
  <c r="J546" i="19"/>
  <c r="J547" i="19"/>
  <c r="J548" i="19"/>
  <c r="J549" i="19"/>
  <c r="J550" i="19"/>
  <c r="J551" i="19"/>
  <c r="J552" i="19"/>
  <c r="J553" i="19"/>
  <c r="J554" i="19"/>
  <c r="J555" i="19"/>
  <c r="J556" i="19"/>
  <c r="J557" i="19"/>
  <c r="J558" i="19"/>
  <c r="J559" i="19"/>
  <c r="J560" i="19"/>
  <c r="J561" i="19"/>
  <c r="J562" i="19"/>
  <c r="J563" i="19"/>
  <c r="J564" i="19"/>
  <c r="J565" i="19"/>
  <c r="J566" i="19"/>
  <c r="J567" i="19"/>
  <c r="J568" i="19"/>
  <c r="J569" i="19"/>
  <c r="J570" i="19"/>
  <c r="J571" i="19"/>
  <c r="J572" i="19"/>
  <c r="J573" i="19"/>
  <c r="J574" i="19"/>
  <c r="J575" i="19"/>
  <c r="J576" i="19"/>
  <c r="J577" i="19"/>
  <c r="J578" i="19"/>
  <c r="J579" i="19"/>
  <c r="J580" i="19"/>
  <c r="J581" i="19"/>
  <c r="J582" i="19"/>
  <c r="J583" i="19"/>
  <c r="J584" i="19"/>
  <c r="J585" i="19"/>
  <c r="J586" i="19"/>
  <c r="J587" i="19"/>
  <c r="J588" i="19"/>
  <c r="J589" i="19"/>
  <c r="J590" i="19"/>
  <c r="J591" i="19"/>
  <c r="J592" i="19"/>
  <c r="J593" i="19"/>
  <c r="J594" i="19"/>
  <c r="J595" i="19"/>
  <c r="J596" i="19"/>
  <c r="J597" i="19"/>
  <c r="J598" i="19"/>
  <c r="J599" i="19"/>
  <c r="J600" i="19"/>
  <c r="J601" i="19"/>
  <c r="J602" i="19"/>
  <c r="J603" i="19"/>
  <c r="J604" i="19"/>
  <c r="J605" i="19"/>
  <c r="J606" i="19"/>
  <c r="J607" i="19"/>
  <c r="J608" i="19"/>
  <c r="J609" i="19"/>
  <c r="J610" i="19"/>
  <c r="J611" i="19"/>
  <c r="J612" i="19"/>
  <c r="J613" i="19"/>
  <c r="J614" i="19"/>
  <c r="J615" i="19"/>
  <c r="J616" i="19"/>
  <c r="J617" i="19"/>
  <c r="J618" i="19"/>
  <c r="J619" i="19"/>
  <c r="J620" i="19"/>
  <c r="J621" i="19"/>
  <c r="J622" i="19"/>
  <c r="J623" i="19"/>
  <c r="J624" i="19"/>
  <c r="J625" i="19"/>
  <c r="J626" i="19"/>
  <c r="J627" i="19"/>
  <c r="J628" i="19"/>
  <c r="J629" i="19"/>
  <c r="J630" i="19"/>
  <c r="J631" i="19"/>
  <c r="J632" i="19"/>
  <c r="J633" i="19"/>
  <c r="J634" i="19"/>
  <c r="J635" i="19"/>
  <c r="J636" i="19"/>
  <c r="J637" i="19"/>
  <c r="J638" i="19"/>
  <c r="J639" i="19"/>
  <c r="J640" i="19"/>
  <c r="J641" i="19"/>
  <c r="J642" i="19"/>
  <c r="J643" i="19"/>
  <c r="J644" i="19"/>
  <c r="J645" i="19"/>
  <c r="J646" i="19"/>
  <c r="J647" i="19"/>
  <c r="J648" i="19"/>
  <c r="J649" i="19"/>
  <c r="J650" i="19"/>
  <c r="J651" i="19"/>
  <c r="J652" i="19"/>
  <c r="J653" i="19"/>
  <c r="J654" i="19"/>
  <c r="J655" i="19"/>
  <c r="J656" i="19"/>
  <c r="J657" i="19"/>
  <c r="J658" i="19"/>
  <c r="J659" i="19"/>
  <c r="J660" i="19"/>
  <c r="J661" i="19"/>
  <c r="J662" i="19"/>
  <c r="J663" i="19"/>
  <c r="J664" i="19"/>
  <c r="J665" i="19"/>
  <c r="J666" i="19"/>
  <c r="J667" i="19"/>
  <c r="J668" i="19"/>
  <c r="J669" i="19"/>
  <c r="J670" i="19"/>
  <c r="J671" i="19"/>
  <c r="J672" i="19"/>
  <c r="J673" i="19"/>
  <c r="J674" i="19"/>
  <c r="J675" i="19"/>
  <c r="J676" i="19"/>
  <c r="J677" i="19"/>
  <c r="J678" i="19"/>
  <c r="J679" i="19"/>
  <c r="J680" i="19"/>
  <c r="J681" i="19"/>
  <c r="J682" i="19"/>
  <c r="J683" i="19"/>
  <c r="J684" i="19"/>
  <c r="J685" i="19"/>
  <c r="J686" i="19"/>
  <c r="J687" i="19"/>
  <c r="J688" i="19"/>
  <c r="J689" i="19"/>
  <c r="J690" i="19"/>
  <c r="J691" i="19"/>
  <c r="J692" i="19"/>
  <c r="J693" i="19"/>
  <c r="J694" i="19"/>
  <c r="J695" i="19"/>
  <c r="J696" i="19"/>
  <c r="J697" i="19"/>
  <c r="J698" i="19"/>
  <c r="J699" i="19"/>
  <c r="E7" i="19" a="1"/>
  <c r="E7" i="19"/>
  <c r="I7" i="19" s="1"/>
  <c r="A401" i="12"/>
  <c r="B401" i="12"/>
  <c r="C401" i="12"/>
  <c r="D401" i="12"/>
  <c r="E401" i="12"/>
  <c r="F401" i="12"/>
  <c r="G401" i="12"/>
  <c r="H401" i="12"/>
  <c r="I401" i="12"/>
  <c r="J401" i="12"/>
  <c r="K401" i="12"/>
  <c r="L401" i="12"/>
  <c r="M401" i="12"/>
  <c r="N401" i="12"/>
  <c r="O401" i="12"/>
  <c r="P401" i="12"/>
  <c r="A402" i="12"/>
  <c r="B402" i="12"/>
  <c r="C402" i="12"/>
  <c r="D402" i="12"/>
  <c r="E402" i="12"/>
  <c r="F402" i="12"/>
  <c r="G402" i="12"/>
  <c r="H402" i="12"/>
  <c r="I402" i="12"/>
  <c r="J402" i="12"/>
  <c r="K402" i="12"/>
  <c r="L402" i="12"/>
  <c r="M402" i="12"/>
  <c r="N402" i="12"/>
  <c r="O402" i="12"/>
  <c r="P402" i="12"/>
  <c r="A403" i="12"/>
  <c r="B403" i="12"/>
  <c r="C403" i="12"/>
  <c r="D403" i="12"/>
  <c r="E403" i="12"/>
  <c r="F403" i="12"/>
  <c r="G403" i="12"/>
  <c r="H403" i="12"/>
  <c r="I403" i="12"/>
  <c r="J403" i="12"/>
  <c r="K403" i="12"/>
  <c r="L403" i="12"/>
  <c r="M403" i="12"/>
  <c r="N403" i="12"/>
  <c r="O403" i="12"/>
  <c r="P403" i="12"/>
  <c r="A404" i="12"/>
  <c r="B404" i="12"/>
  <c r="C404" i="12"/>
  <c r="D404" i="12"/>
  <c r="E404" i="12"/>
  <c r="F404" i="12"/>
  <c r="G404" i="12"/>
  <c r="H404" i="12"/>
  <c r="I404" i="12"/>
  <c r="J404" i="12"/>
  <c r="K404" i="12"/>
  <c r="L404" i="12"/>
  <c r="M404" i="12"/>
  <c r="N404" i="12"/>
  <c r="O404" i="12"/>
  <c r="P404" i="12"/>
  <c r="A405" i="12"/>
  <c r="B405" i="12"/>
  <c r="C405" i="12"/>
  <c r="D405" i="12"/>
  <c r="E405" i="12"/>
  <c r="F405" i="12"/>
  <c r="G405" i="12"/>
  <c r="H405" i="12"/>
  <c r="I405" i="12"/>
  <c r="J405" i="12"/>
  <c r="K405" i="12"/>
  <c r="L405" i="12"/>
  <c r="M405" i="12"/>
  <c r="N405" i="12"/>
  <c r="O405" i="12"/>
  <c r="P405" i="12"/>
  <c r="A406" i="12"/>
  <c r="B406" i="12"/>
  <c r="C406" i="12"/>
  <c r="D406" i="12"/>
  <c r="E406" i="12"/>
  <c r="F406" i="12"/>
  <c r="G406" i="12"/>
  <c r="H406" i="12"/>
  <c r="I406" i="12"/>
  <c r="J406" i="12"/>
  <c r="K406" i="12"/>
  <c r="L406" i="12"/>
  <c r="M406" i="12"/>
  <c r="N406" i="12"/>
  <c r="O406" i="12"/>
  <c r="P406" i="12"/>
  <c r="A407" i="12"/>
  <c r="B407" i="12"/>
  <c r="C407" i="12"/>
  <c r="D407" i="12"/>
  <c r="E407" i="12"/>
  <c r="F407" i="12"/>
  <c r="G407" i="12"/>
  <c r="H407" i="12"/>
  <c r="I407" i="12"/>
  <c r="J407" i="12"/>
  <c r="K407" i="12"/>
  <c r="L407" i="12"/>
  <c r="M407" i="12"/>
  <c r="N407" i="12"/>
  <c r="O407" i="12"/>
  <c r="P407" i="12"/>
  <c r="A408" i="12"/>
  <c r="B408" i="12"/>
  <c r="C408" i="12"/>
  <c r="D408" i="12"/>
  <c r="E408" i="12"/>
  <c r="F408" i="12"/>
  <c r="G408" i="12"/>
  <c r="H408" i="12"/>
  <c r="I408" i="12"/>
  <c r="J408" i="12"/>
  <c r="K408" i="12"/>
  <c r="L408" i="12"/>
  <c r="M408" i="12"/>
  <c r="N408" i="12"/>
  <c r="O408" i="12"/>
  <c r="P408" i="12"/>
  <c r="A409" i="12"/>
  <c r="B409" i="12"/>
  <c r="C409" i="12"/>
  <c r="D409" i="12"/>
  <c r="E409" i="12"/>
  <c r="F409" i="12"/>
  <c r="G409" i="12"/>
  <c r="H409" i="12"/>
  <c r="I409" i="12"/>
  <c r="J409" i="12"/>
  <c r="K409" i="12"/>
  <c r="L409" i="12"/>
  <c r="M409" i="12"/>
  <c r="N409" i="12"/>
  <c r="O409" i="12"/>
  <c r="P409" i="12"/>
  <c r="A410" i="12"/>
  <c r="B410" i="12"/>
  <c r="C410" i="12"/>
  <c r="D410" i="12"/>
  <c r="E410" i="12"/>
  <c r="F410" i="12"/>
  <c r="G410" i="12"/>
  <c r="H410" i="12"/>
  <c r="I410" i="12"/>
  <c r="J410" i="12"/>
  <c r="K410" i="12"/>
  <c r="L410" i="12"/>
  <c r="M410" i="12"/>
  <c r="N410" i="12"/>
  <c r="O410" i="12"/>
  <c r="P410" i="12"/>
  <c r="A411" i="12"/>
  <c r="B411" i="12"/>
  <c r="C411" i="12"/>
  <c r="D411" i="12"/>
  <c r="E411" i="12"/>
  <c r="F411" i="12"/>
  <c r="G411" i="12"/>
  <c r="H411" i="12"/>
  <c r="I411" i="12"/>
  <c r="J411" i="12"/>
  <c r="K411" i="12"/>
  <c r="L411" i="12"/>
  <c r="M411" i="12"/>
  <c r="N411" i="12"/>
  <c r="O411" i="12"/>
  <c r="P411" i="12"/>
  <c r="A412" i="12"/>
  <c r="B412" i="12"/>
  <c r="C412" i="12"/>
  <c r="D412" i="12"/>
  <c r="E412" i="12"/>
  <c r="F412" i="12"/>
  <c r="G412" i="12"/>
  <c r="H412" i="12"/>
  <c r="I412" i="12"/>
  <c r="J412" i="12"/>
  <c r="K412" i="12"/>
  <c r="L412" i="12"/>
  <c r="M412" i="12"/>
  <c r="N412" i="12"/>
  <c r="O412" i="12"/>
  <c r="P412" i="12"/>
  <c r="A413" i="12"/>
  <c r="B413" i="12"/>
  <c r="C413" i="12"/>
  <c r="D413" i="12"/>
  <c r="E413" i="12"/>
  <c r="F413" i="12"/>
  <c r="G413" i="12"/>
  <c r="H413" i="12"/>
  <c r="I413" i="12"/>
  <c r="J413" i="12"/>
  <c r="K413" i="12"/>
  <c r="L413" i="12"/>
  <c r="M413" i="12"/>
  <c r="N413" i="12"/>
  <c r="O413" i="12"/>
  <c r="P413" i="12"/>
  <c r="A414" i="12"/>
  <c r="B414" i="12"/>
  <c r="C414" i="12"/>
  <c r="D414" i="12"/>
  <c r="E414" i="12"/>
  <c r="F414" i="12"/>
  <c r="G414" i="12"/>
  <c r="H414" i="12"/>
  <c r="I414" i="12"/>
  <c r="J414" i="12"/>
  <c r="K414" i="12"/>
  <c r="L414" i="12"/>
  <c r="M414" i="12"/>
  <c r="N414" i="12"/>
  <c r="O414" i="12"/>
  <c r="P414" i="12"/>
  <c r="A415" i="12"/>
  <c r="B415" i="12"/>
  <c r="C415" i="12"/>
  <c r="D415" i="12"/>
  <c r="E415" i="12"/>
  <c r="F415" i="12"/>
  <c r="G415" i="12"/>
  <c r="H415" i="12"/>
  <c r="I415" i="12"/>
  <c r="J415" i="12"/>
  <c r="K415" i="12"/>
  <c r="L415" i="12"/>
  <c r="M415" i="12"/>
  <c r="N415" i="12"/>
  <c r="O415" i="12"/>
  <c r="P415" i="12"/>
  <c r="A416" i="12"/>
  <c r="B416" i="12"/>
  <c r="C416" i="12"/>
  <c r="D416" i="12"/>
  <c r="E416" i="12"/>
  <c r="F416" i="12"/>
  <c r="G416" i="12"/>
  <c r="H416" i="12"/>
  <c r="I416" i="12"/>
  <c r="J416" i="12"/>
  <c r="K416" i="12"/>
  <c r="L416" i="12"/>
  <c r="M416" i="12"/>
  <c r="N416" i="12"/>
  <c r="O416" i="12"/>
  <c r="P416" i="12"/>
  <c r="A417" i="12"/>
  <c r="B417" i="12"/>
  <c r="C417" i="12"/>
  <c r="D417" i="12"/>
  <c r="E417" i="12"/>
  <c r="F417" i="12"/>
  <c r="G417" i="12"/>
  <c r="H417" i="12"/>
  <c r="I417" i="12"/>
  <c r="J417" i="12"/>
  <c r="K417" i="12"/>
  <c r="L417" i="12"/>
  <c r="M417" i="12"/>
  <c r="N417" i="12"/>
  <c r="O417" i="12"/>
  <c r="P417" i="12"/>
  <c r="A418" i="12"/>
  <c r="B418" i="12"/>
  <c r="C418" i="12"/>
  <c r="D418" i="12"/>
  <c r="E418" i="12"/>
  <c r="F418" i="12"/>
  <c r="G418" i="12"/>
  <c r="H418" i="12"/>
  <c r="I418" i="12"/>
  <c r="J418" i="12"/>
  <c r="K418" i="12"/>
  <c r="L418" i="12"/>
  <c r="M418" i="12"/>
  <c r="N418" i="12"/>
  <c r="O418" i="12"/>
  <c r="P418" i="12"/>
  <c r="A419" i="12"/>
  <c r="B419" i="12"/>
  <c r="C419" i="12"/>
  <c r="D419" i="12"/>
  <c r="E419" i="12"/>
  <c r="F419" i="12"/>
  <c r="G419" i="12"/>
  <c r="H419" i="12"/>
  <c r="I419" i="12"/>
  <c r="J419" i="12"/>
  <c r="K419" i="12"/>
  <c r="L419" i="12"/>
  <c r="M419" i="12"/>
  <c r="N419" i="12"/>
  <c r="O419" i="12"/>
  <c r="P419" i="12"/>
  <c r="A420" i="12"/>
  <c r="B420" i="12"/>
  <c r="C420" i="12"/>
  <c r="D420" i="12"/>
  <c r="E420" i="12"/>
  <c r="F420" i="12"/>
  <c r="G420" i="12"/>
  <c r="H420" i="12"/>
  <c r="I420" i="12"/>
  <c r="J420" i="12"/>
  <c r="K420" i="12"/>
  <c r="L420" i="12"/>
  <c r="M420" i="12"/>
  <c r="N420" i="12"/>
  <c r="O420" i="12"/>
  <c r="P420" i="12"/>
  <c r="A421" i="12"/>
  <c r="B421" i="12"/>
  <c r="C421" i="12"/>
  <c r="D421" i="12"/>
  <c r="E421" i="12"/>
  <c r="F421" i="12"/>
  <c r="G421" i="12"/>
  <c r="H421" i="12"/>
  <c r="I421" i="12"/>
  <c r="J421" i="12"/>
  <c r="K421" i="12"/>
  <c r="L421" i="12"/>
  <c r="M421" i="12"/>
  <c r="N421" i="12"/>
  <c r="O421" i="12"/>
  <c r="P421" i="12"/>
  <c r="A422" i="12"/>
  <c r="B422" i="12"/>
  <c r="C422" i="12"/>
  <c r="D422" i="12"/>
  <c r="E422" i="12"/>
  <c r="F422" i="12"/>
  <c r="G422" i="12"/>
  <c r="H422" i="12"/>
  <c r="I422" i="12"/>
  <c r="J422" i="12"/>
  <c r="K422" i="12"/>
  <c r="L422" i="12"/>
  <c r="M422" i="12"/>
  <c r="N422" i="12"/>
  <c r="O422" i="12"/>
  <c r="P422" i="12"/>
  <c r="A423" i="12"/>
  <c r="B423" i="12"/>
  <c r="C423" i="12"/>
  <c r="D423" i="12"/>
  <c r="E423" i="12"/>
  <c r="F423" i="12"/>
  <c r="G423" i="12"/>
  <c r="H423" i="12"/>
  <c r="I423" i="12"/>
  <c r="J423" i="12"/>
  <c r="K423" i="12"/>
  <c r="L423" i="12"/>
  <c r="M423" i="12"/>
  <c r="N423" i="12"/>
  <c r="O423" i="12"/>
  <c r="P423" i="12"/>
  <c r="A424" i="12"/>
  <c r="B424" i="12"/>
  <c r="C424" i="12"/>
  <c r="D424" i="12"/>
  <c r="E424" i="12"/>
  <c r="F424" i="12"/>
  <c r="G424" i="12"/>
  <c r="H424" i="12"/>
  <c r="I424" i="12"/>
  <c r="J424" i="12"/>
  <c r="K424" i="12"/>
  <c r="L424" i="12"/>
  <c r="M424" i="12"/>
  <c r="N424" i="12"/>
  <c r="O424" i="12"/>
  <c r="P424" i="12"/>
  <c r="A425" i="12"/>
  <c r="B425" i="12"/>
  <c r="C425" i="12"/>
  <c r="D425" i="12"/>
  <c r="E425" i="12"/>
  <c r="F425" i="12"/>
  <c r="G425" i="12"/>
  <c r="H425" i="12"/>
  <c r="I425" i="12"/>
  <c r="J425" i="12"/>
  <c r="K425" i="12"/>
  <c r="L425" i="12"/>
  <c r="M425" i="12"/>
  <c r="N425" i="12"/>
  <c r="O425" i="12"/>
  <c r="P425" i="12"/>
  <c r="A426" i="12"/>
  <c r="B426" i="12"/>
  <c r="C426" i="12"/>
  <c r="D426" i="12"/>
  <c r="E426" i="12"/>
  <c r="F426" i="12"/>
  <c r="G426" i="12"/>
  <c r="H426" i="12"/>
  <c r="I426" i="12"/>
  <c r="J426" i="12"/>
  <c r="K426" i="12"/>
  <c r="L426" i="12"/>
  <c r="M426" i="12"/>
  <c r="N426" i="12"/>
  <c r="O426" i="12"/>
  <c r="P426" i="12"/>
  <c r="A427" i="12"/>
  <c r="B427" i="12"/>
  <c r="C427" i="12"/>
  <c r="D427" i="12"/>
  <c r="E427" i="12"/>
  <c r="F427" i="12"/>
  <c r="G427" i="12"/>
  <c r="H427" i="12"/>
  <c r="I427" i="12"/>
  <c r="J427" i="12"/>
  <c r="K427" i="12"/>
  <c r="L427" i="12"/>
  <c r="M427" i="12"/>
  <c r="N427" i="12"/>
  <c r="O427" i="12"/>
  <c r="P427" i="12"/>
  <c r="A428" i="12"/>
  <c r="B428" i="12"/>
  <c r="C428" i="12"/>
  <c r="D428" i="12"/>
  <c r="E428" i="12"/>
  <c r="F428" i="12"/>
  <c r="G428" i="12"/>
  <c r="H428" i="12"/>
  <c r="I428" i="12"/>
  <c r="J428" i="12"/>
  <c r="K428" i="12"/>
  <c r="L428" i="12"/>
  <c r="M428" i="12"/>
  <c r="N428" i="12"/>
  <c r="O428" i="12"/>
  <c r="P428" i="12"/>
  <c r="A429" i="12"/>
  <c r="B429" i="12"/>
  <c r="C429" i="12"/>
  <c r="D429" i="12"/>
  <c r="E429" i="12"/>
  <c r="F429" i="12"/>
  <c r="G429" i="12"/>
  <c r="H429" i="12"/>
  <c r="I429" i="12"/>
  <c r="J429" i="12"/>
  <c r="K429" i="12"/>
  <c r="L429" i="12"/>
  <c r="M429" i="12"/>
  <c r="N429" i="12"/>
  <c r="O429" i="12"/>
  <c r="P429" i="12"/>
  <c r="A430" i="12"/>
  <c r="B430" i="12"/>
  <c r="C430" i="12"/>
  <c r="D430" i="12"/>
  <c r="E430" i="12"/>
  <c r="F430" i="12"/>
  <c r="G430" i="12"/>
  <c r="H430" i="12"/>
  <c r="I430" i="12"/>
  <c r="J430" i="12"/>
  <c r="K430" i="12"/>
  <c r="L430" i="12"/>
  <c r="M430" i="12"/>
  <c r="N430" i="12"/>
  <c r="O430" i="12"/>
  <c r="P430" i="12"/>
  <c r="A431" i="12"/>
  <c r="B431" i="12"/>
  <c r="C431" i="12"/>
  <c r="D431" i="12"/>
  <c r="E431" i="12"/>
  <c r="F431" i="12"/>
  <c r="G431" i="12"/>
  <c r="H431" i="12"/>
  <c r="I431" i="12"/>
  <c r="J431" i="12"/>
  <c r="K431" i="12"/>
  <c r="L431" i="12"/>
  <c r="M431" i="12"/>
  <c r="N431" i="12"/>
  <c r="O431" i="12"/>
  <c r="P431" i="12"/>
  <c r="A432" i="12"/>
  <c r="B432" i="12"/>
  <c r="C432" i="12"/>
  <c r="D432" i="12"/>
  <c r="E432" i="12"/>
  <c r="F432" i="12"/>
  <c r="G432" i="12"/>
  <c r="H432" i="12"/>
  <c r="I432" i="12"/>
  <c r="J432" i="12"/>
  <c r="K432" i="12"/>
  <c r="L432" i="12"/>
  <c r="M432" i="12"/>
  <c r="N432" i="12"/>
  <c r="O432" i="12"/>
  <c r="P432" i="12"/>
  <c r="A433" i="12"/>
  <c r="B433" i="12"/>
  <c r="C433" i="12"/>
  <c r="D433" i="12"/>
  <c r="E433" i="12"/>
  <c r="F433" i="12"/>
  <c r="G433" i="12"/>
  <c r="H433" i="12"/>
  <c r="I433" i="12"/>
  <c r="J433" i="12"/>
  <c r="K433" i="12"/>
  <c r="L433" i="12"/>
  <c r="M433" i="12"/>
  <c r="N433" i="12"/>
  <c r="O433" i="12"/>
  <c r="P433" i="12"/>
  <c r="A434" i="12"/>
  <c r="B434" i="12"/>
  <c r="C434" i="12"/>
  <c r="D434" i="12"/>
  <c r="E434" i="12"/>
  <c r="F434" i="12"/>
  <c r="G434" i="12"/>
  <c r="H434" i="12"/>
  <c r="I434" i="12"/>
  <c r="J434" i="12"/>
  <c r="K434" i="12"/>
  <c r="L434" i="12"/>
  <c r="M434" i="12"/>
  <c r="N434" i="12"/>
  <c r="O434" i="12"/>
  <c r="P434" i="12"/>
  <c r="A435" i="12"/>
  <c r="B435" i="12"/>
  <c r="C435" i="12"/>
  <c r="D435" i="12"/>
  <c r="E435" i="12"/>
  <c r="F435" i="12"/>
  <c r="G435" i="12"/>
  <c r="H435" i="12"/>
  <c r="I435" i="12"/>
  <c r="J435" i="12"/>
  <c r="K435" i="12"/>
  <c r="L435" i="12"/>
  <c r="M435" i="12"/>
  <c r="N435" i="12"/>
  <c r="O435" i="12"/>
  <c r="P435" i="12"/>
  <c r="A436" i="12"/>
  <c r="B436" i="12"/>
  <c r="C436" i="12"/>
  <c r="D436" i="12"/>
  <c r="E436" i="12"/>
  <c r="F436" i="12"/>
  <c r="G436" i="12"/>
  <c r="H436" i="12"/>
  <c r="I436" i="12"/>
  <c r="J436" i="12"/>
  <c r="K436" i="12"/>
  <c r="L436" i="12"/>
  <c r="M436" i="12"/>
  <c r="N436" i="12"/>
  <c r="O436" i="12"/>
  <c r="P436" i="12"/>
  <c r="A437" i="12"/>
  <c r="B437" i="12"/>
  <c r="C437" i="12"/>
  <c r="D437" i="12"/>
  <c r="E437" i="12"/>
  <c r="F437" i="12"/>
  <c r="G437" i="12"/>
  <c r="H437" i="12"/>
  <c r="I437" i="12"/>
  <c r="J437" i="12"/>
  <c r="K437" i="12"/>
  <c r="L437" i="12"/>
  <c r="M437" i="12"/>
  <c r="N437" i="12"/>
  <c r="O437" i="12"/>
  <c r="P437" i="12"/>
  <c r="A438" i="12"/>
  <c r="B438" i="12"/>
  <c r="C438" i="12"/>
  <c r="D438" i="12"/>
  <c r="E438" i="12"/>
  <c r="F438" i="12"/>
  <c r="G438" i="12"/>
  <c r="H438" i="12"/>
  <c r="I438" i="12"/>
  <c r="J438" i="12"/>
  <c r="K438" i="12"/>
  <c r="L438" i="12"/>
  <c r="M438" i="12"/>
  <c r="N438" i="12"/>
  <c r="O438" i="12"/>
  <c r="P438" i="12"/>
  <c r="A439" i="12"/>
  <c r="B439" i="12"/>
  <c r="C439" i="12"/>
  <c r="D439" i="12"/>
  <c r="E439" i="12"/>
  <c r="F439" i="12"/>
  <c r="G439" i="12"/>
  <c r="H439" i="12"/>
  <c r="I439" i="12"/>
  <c r="J439" i="12"/>
  <c r="K439" i="12"/>
  <c r="L439" i="12"/>
  <c r="M439" i="12"/>
  <c r="N439" i="12"/>
  <c r="O439" i="12"/>
  <c r="P439" i="12"/>
  <c r="A440" i="12"/>
  <c r="B440" i="12"/>
  <c r="C440" i="12"/>
  <c r="D440" i="12"/>
  <c r="E440" i="12"/>
  <c r="F440" i="12"/>
  <c r="G440" i="12"/>
  <c r="H440" i="12"/>
  <c r="I440" i="12"/>
  <c r="J440" i="12"/>
  <c r="K440" i="12"/>
  <c r="L440" i="12"/>
  <c r="M440" i="12"/>
  <c r="N440" i="12"/>
  <c r="O440" i="12"/>
  <c r="P440" i="12"/>
  <c r="A441" i="12"/>
  <c r="B441" i="12"/>
  <c r="C441" i="12"/>
  <c r="D441" i="12"/>
  <c r="E441" i="12"/>
  <c r="F441" i="12"/>
  <c r="G441" i="12"/>
  <c r="H441" i="12"/>
  <c r="I441" i="12"/>
  <c r="J441" i="12"/>
  <c r="K441" i="12"/>
  <c r="L441" i="12"/>
  <c r="M441" i="12"/>
  <c r="N441" i="12"/>
  <c r="O441" i="12"/>
  <c r="P441" i="12"/>
  <c r="A442" i="12"/>
  <c r="B442" i="12"/>
  <c r="C442" i="12"/>
  <c r="D442" i="12"/>
  <c r="E442" i="12"/>
  <c r="F442" i="12"/>
  <c r="G442" i="12"/>
  <c r="H442" i="12"/>
  <c r="I442" i="12"/>
  <c r="J442" i="12"/>
  <c r="K442" i="12"/>
  <c r="L442" i="12"/>
  <c r="M442" i="12"/>
  <c r="N442" i="12"/>
  <c r="O442" i="12"/>
  <c r="P442" i="12"/>
  <c r="A443" i="12"/>
  <c r="B443" i="12"/>
  <c r="C443" i="12"/>
  <c r="D443" i="12"/>
  <c r="E443" i="12"/>
  <c r="F443" i="12"/>
  <c r="G443" i="12"/>
  <c r="H443" i="12"/>
  <c r="I443" i="12"/>
  <c r="J443" i="12"/>
  <c r="K443" i="12"/>
  <c r="L443" i="12"/>
  <c r="M443" i="12"/>
  <c r="N443" i="12"/>
  <c r="O443" i="12"/>
  <c r="P443" i="12"/>
  <c r="A444" i="12"/>
  <c r="B444" i="12"/>
  <c r="C444" i="12"/>
  <c r="D444" i="12"/>
  <c r="E444" i="12"/>
  <c r="F444" i="12"/>
  <c r="G444" i="12"/>
  <c r="H444" i="12"/>
  <c r="I444" i="12"/>
  <c r="J444" i="12"/>
  <c r="K444" i="12"/>
  <c r="L444" i="12"/>
  <c r="M444" i="12"/>
  <c r="N444" i="12"/>
  <c r="O444" i="12"/>
  <c r="P444" i="12"/>
  <c r="A445" i="12"/>
  <c r="B445" i="12"/>
  <c r="C445" i="12"/>
  <c r="D445" i="12"/>
  <c r="E445" i="12"/>
  <c r="F445" i="12"/>
  <c r="G445" i="12"/>
  <c r="H445" i="12"/>
  <c r="I445" i="12"/>
  <c r="J445" i="12"/>
  <c r="K445" i="12"/>
  <c r="L445" i="12"/>
  <c r="M445" i="12"/>
  <c r="N445" i="12"/>
  <c r="O445" i="12"/>
  <c r="P445" i="12"/>
  <c r="A446" i="12"/>
  <c r="B446" i="12"/>
  <c r="C446" i="12"/>
  <c r="D446" i="12"/>
  <c r="E446" i="12"/>
  <c r="F446" i="12"/>
  <c r="G446" i="12"/>
  <c r="H446" i="12"/>
  <c r="I446" i="12"/>
  <c r="J446" i="12"/>
  <c r="K446" i="12"/>
  <c r="L446" i="12"/>
  <c r="M446" i="12"/>
  <c r="N446" i="12"/>
  <c r="O446" i="12"/>
  <c r="P446" i="12"/>
  <c r="A447" i="12"/>
  <c r="B447" i="12"/>
  <c r="C447" i="12"/>
  <c r="D447" i="12"/>
  <c r="E447" i="12"/>
  <c r="F447" i="12"/>
  <c r="G447" i="12"/>
  <c r="H447" i="12"/>
  <c r="I447" i="12"/>
  <c r="J447" i="12"/>
  <c r="K447" i="12"/>
  <c r="L447" i="12"/>
  <c r="M447" i="12"/>
  <c r="N447" i="12"/>
  <c r="O447" i="12"/>
  <c r="P447" i="12"/>
  <c r="A448" i="12"/>
  <c r="B448" i="12"/>
  <c r="C448" i="12"/>
  <c r="D448" i="12"/>
  <c r="E448" i="12"/>
  <c r="F448" i="12"/>
  <c r="G448" i="12"/>
  <c r="H448" i="12"/>
  <c r="I448" i="12"/>
  <c r="J448" i="12"/>
  <c r="K448" i="12"/>
  <c r="L448" i="12"/>
  <c r="M448" i="12"/>
  <c r="N448" i="12"/>
  <c r="O448" i="12"/>
  <c r="P448" i="12"/>
  <c r="A449" i="12"/>
  <c r="B449" i="12"/>
  <c r="C449" i="12"/>
  <c r="D449" i="12"/>
  <c r="E449" i="12"/>
  <c r="F449" i="12"/>
  <c r="G449" i="12"/>
  <c r="H449" i="12"/>
  <c r="I449" i="12"/>
  <c r="J449" i="12"/>
  <c r="K449" i="12"/>
  <c r="L449" i="12"/>
  <c r="M449" i="12"/>
  <c r="N449" i="12"/>
  <c r="O449" i="12"/>
  <c r="P449" i="12"/>
  <c r="A450" i="12"/>
  <c r="B450" i="12"/>
  <c r="C450" i="12"/>
  <c r="D450" i="12"/>
  <c r="E450" i="12"/>
  <c r="F450" i="12"/>
  <c r="G450" i="12"/>
  <c r="H450" i="12"/>
  <c r="I450" i="12"/>
  <c r="J450" i="12"/>
  <c r="K450" i="12"/>
  <c r="L450" i="12"/>
  <c r="M450" i="12"/>
  <c r="N450" i="12"/>
  <c r="O450" i="12"/>
  <c r="P450" i="12"/>
  <c r="A451" i="12"/>
  <c r="B451" i="12"/>
  <c r="C451" i="12"/>
  <c r="D451" i="12"/>
  <c r="E451" i="12"/>
  <c r="F451" i="12"/>
  <c r="G451" i="12"/>
  <c r="H451" i="12"/>
  <c r="I451" i="12"/>
  <c r="J451" i="12"/>
  <c r="K451" i="12"/>
  <c r="L451" i="12"/>
  <c r="M451" i="12"/>
  <c r="N451" i="12"/>
  <c r="O451" i="12"/>
  <c r="P451" i="12"/>
  <c r="A452" i="12"/>
  <c r="B452" i="12"/>
  <c r="C452" i="12"/>
  <c r="D452" i="12"/>
  <c r="E452" i="12"/>
  <c r="F452" i="12"/>
  <c r="G452" i="12"/>
  <c r="H452" i="12"/>
  <c r="I452" i="12"/>
  <c r="J452" i="12"/>
  <c r="K452" i="12"/>
  <c r="L452" i="12"/>
  <c r="M452" i="12"/>
  <c r="N452" i="12"/>
  <c r="O452" i="12"/>
  <c r="P452" i="12"/>
  <c r="A453" i="12"/>
  <c r="B453" i="12"/>
  <c r="C453" i="12"/>
  <c r="D453" i="12"/>
  <c r="E453" i="12"/>
  <c r="F453" i="12"/>
  <c r="G453" i="12"/>
  <c r="H453" i="12"/>
  <c r="I453" i="12"/>
  <c r="J453" i="12"/>
  <c r="K453" i="12"/>
  <c r="L453" i="12"/>
  <c r="M453" i="12"/>
  <c r="N453" i="12"/>
  <c r="O453" i="12"/>
  <c r="P453" i="12"/>
  <c r="A454" i="12"/>
  <c r="B454" i="12"/>
  <c r="C454" i="12"/>
  <c r="D454" i="12"/>
  <c r="E454" i="12"/>
  <c r="F454" i="12"/>
  <c r="G454" i="12"/>
  <c r="H454" i="12"/>
  <c r="I454" i="12"/>
  <c r="J454" i="12"/>
  <c r="K454" i="12"/>
  <c r="L454" i="12"/>
  <c r="M454" i="12"/>
  <c r="N454" i="12"/>
  <c r="O454" i="12"/>
  <c r="P454" i="12"/>
  <c r="A455" i="12"/>
  <c r="B455" i="12"/>
  <c r="C455" i="12"/>
  <c r="D455" i="12"/>
  <c r="E455" i="12"/>
  <c r="F455" i="12"/>
  <c r="G455" i="12"/>
  <c r="H455" i="12"/>
  <c r="I455" i="12"/>
  <c r="J455" i="12"/>
  <c r="K455" i="12"/>
  <c r="L455" i="12"/>
  <c r="M455" i="12"/>
  <c r="N455" i="12"/>
  <c r="O455" i="12"/>
  <c r="P455" i="12"/>
  <c r="A456" i="12"/>
  <c r="B456" i="12"/>
  <c r="C456" i="12"/>
  <c r="D456" i="12"/>
  <c r="E456" i="12"/>
  <c r="F456" i="12"/>
  <c r="G456" i="12"/>
  <c r="H456" i="12"/>
  <c r="I456" i="12"/>
  <c r="J456" i="12"/>
  <c r="K456" i="12"/>
  <c r="L456" i="12"/>
  <c r="M456" i="12"/>
  <c r="N456" i="12"/>
  <c r="O456" i="12"/>
  <c r="P456" i="12"/>
  <c r="A457" i="12"/>
  <c r="B457" i="12"/>
  <c r="C457" i="12"/>
  <c r="D457" i="12"/>
  <c r="E457" i="12"/>
  <c r="F457" i="12"/>
  <c r="G457" i="12"/>
  <c r="H457" i="12"/>
  <c r="I457" i="12"/>
  <c r="J457" i="12"/>
  <c r="K457" i="12"/>
  <c r="L457" i="12"/>
  <c r="M457" i="12"/>
  <c r="N457" i="12"/>
  <c r="O457" i="12"/>
  <c r="P457" i="12"/>
  <c r="A458" i="12"/>
  <c r="B458" i="12"/>
  <c r="C458" i="12"/>
  <c r="D458" i="12"/>
  <c r="E458" i="12"/>
  <c r="F458" i="12"/>
  <c r="G458" i="12"/>
  <c r="H458" i="12"/>
  <c r="I458" i="12"/>
  <c r="J458" i="12"/>
  <c r="K458" i="12"/>
  <c r="L458" i="12"/>
  <c r="M458" i="12"/>
  <c r="N458" i="12"/>
  <c r="O458" i="12"/>
  <c r="P458" i="12"/>
  <c r="A459" i="12"/>
  <c r="B459" i="12"/>
  <c r="C459" i="12"/>
  <c r="D459" i="12"/>
  <c r="E459" i="12"/>
  <c r="F459" i="12"/>
  <c r="G459" i="12"/>
  <c r="H459" i="12"/>
  <c r="I459" i="12"/>
  <c r="J459" i="12"/>
  <c r="K459" i="12"/>
  <c r="L459" i="12"/>
  <c r="M459" i="12"/>
  <c r="N459" i="12"/>
  <c r="O459" i="12"/>
  <c r="P459" i="12"/>
  <c r="A460" i="12"/>
  <c r="B460" i="12"/>
  <c r="C460" i="12"/>
  <c r="D460" i="12"/>
  <c r="E460" i="12"/>
  <c r="F460" i="12"/>
  <c r="G460" i="12"/>
  <c r="H460" i="12"/>
  <c r="I460" i="12"/>
  <c r="J460" i="12"/>
  <c r="K460" i="12"/>
  <c r="L460" i="12"/>
  <c r="M460" i="12"/>
  <c r="N460" i="12"/>
  <c r="O460" i="12"/>
  <c r="P460" i="12"/>
  <c r="A461" i="12"/>
  <c r="B461" i="12"/>
  <c r="C461" i="12"/>
  <c r="D461" i="12"/>
  <c r="E461" i="12"/>
  <c r="F461" i="12"/>
  <c r="G461" i="12"/>
  <c r="H461" i="12"/>
  <c r="I461" i="12"/>
  <c r="J461" i="12"/>
  <c r="K461" i="12"/>
  <c r="L461" i="12"/>
  <c r="M461" i="12"/>
  <c r="N461" i="12"/>
  <c r="O461" i="12"/>
  <c r="P461" i="12"/>
  <c r="A462" i="12"/>
  <c r="B462" i="12"/>
  <c r="C462" i="12"/>
  <c r="D462" i="12"/>
  <c r="E462" i="12"/>
  <c r="F462" i="12"/>
  <c r="G462" i="12"/>
  <c r="H462" i="12"/>
  <c r="I462" i="12"/>
  <c r="J462" i="12"/>
  <c r="K462" i="12"/>
  <c r="L462" i="12"/>
  <c r="M462" i="12"/>
  <c r="N462" i="12"/>
  <c r="O462" i="12"/>
  <c r="P462" i="12"/>
  <c r="A463" i="12"/>
  <c r="B463" i="12"/>
  <c r="C463" i="12"/>
  <c r="D463" i="12"/>
  <c r="E463" i="12"/>
  <c r="F463" i="12"/>
  <c r="G463" i="12"/>
  <c r="H463" i="12"/>
  <c r="I463" i="12"/>
  <c r="J463" i="12"/>
  <c r="K463" i="12"/>
  <c r="L463" i="12"/>
  <c r="M463" i="12"/>
  <c r="N463" i="12"/>
  <c r="O463" i="12"/>
  <c r="P463" i="12"/>
  <c r="A464" i="12"/>
  <c r="B464" i="12"/>
  <c r="C464" i="12"/>
  <c r="D464" i="12"/>
  <c r="E464" i="12"/>
  <c r="F464" i="12"/>
  <c r="G464" i="12"/>
  <c r="H464" i="12"/>
  <c r="I464" i="12"/>
  <c r="J464" i="12"/>
  <c r="K464" i="12"/>
  <c r="L464" i="12"/>
  <c r="M464" i="12"/>
  <c r="N464" i="12"/>
  <c r="O464" i="12"/>
  <c r="P464" i="12"/>
  <c r="A465" i="12"/>
  <c r="B465" i="12"/>
  <c r="C465" i="12"/>
  <c r="D465" i="12"/>
  <c r="E465" i="12"/>
  <c r="F465" i="12"/>
  <c r="G465" i="12"/>
  <c r="H465" i="12"/>
  <c r="I465" i="12"/>
  <c r="J465" i="12"/>
  <c r="K465" i="12"/>
  <c r="L465" i="12"/>
  <c r="M465" i="12"/>
  <c r="N465" i="12"/>
  <c r="O465" i="12"/>
  <c r="P465" i="12"/>
  <c r="A466" i="12"/>
  <c r="B466" i="12"/>
  <c r="C466" i="12"/>
  <c r="D466" i="12"/>
  <c r="E466" i="12"/>
  <c r="F466" i="12"/>
  <c r="G466" i="12"/>
  <c r="H466" i="12"/>
  <c r="I466" i="12"/>
  <c r="J466" i="12"/>
  <c r="K466" i="12"/>
  <c r="L466" i="12"/>
  <c r="M466" i="12"/>
  <c r="N466" i="12"/>
  <c r="O466" i="12"/>
  <c r="P466" i="12"/>
  <c r="A467" i="12"/>
  <c r="B467" i="12"/>
  <c r="C467" i="12"/>
  <c r="D467" i="12"/>
  <c r="E467" i="12"/>
  <c r="F467" i="12"/>
  <c r="G467" i="12"/>
  <c r="H467" i="12"/>
  <c r="I467" i="12"/>
  <c r="J467" i="12"/>
  <c r="K467" i="12"/>
  <c r="L467" i="12"/>
  <c r="M467" i="12"/>
  <c r="N467" i="12"/>
  <c r="O467" i="12"/>
  <c r="P467" i="12"/>
  <c r="A468" i="12"/>
  <c r="B468" i="12"/>
  <c r="C468" i="12"/>
  <c r="D468" i="12"/>
  <c r="E468" i="12"/>
  <c r="F468" i="12"/>
  <c r="G468" i="12"/>
  <c r="H468" i="12"/>
  <c r="I468" i="12"/>
  <c r="J468" i="12"/>
  <c r="K468" i="12"/>
  <c r="L468" i="12"/>
  <c r="M468" i="12"/>
  <c r="N468" i="12"/>
  <c r="O468" i="12"/>
  <c r="P468" i="12"/>
  <c r="A469" i="12"/>
  <c r="B469" i="12"/>
  <c r="C469" i="12"/>
  <c r="D469" i="12"/>
  <c r="E469" i="12"/>
  <c r="F469" i="12"/>
  <c r="G469" i="12"/>
  <c r="H469" i="12"/>
  <c r="I469" i="12"/>
  <c r="J469" i="12"/>
  <c r="K469" i="12"/>
  <c r="L469" i="12"/>
  <c r="M469" i="12"/>
  <c r="N469" i="12"/>
  <c r="O469" i="12"/>
  <c r="P469" i="12"/>
  <c r="A470" i="12"/>
  <c r="B470" i="12"/>
  <c r="C470" i="12"/>
  <c r="D470" i="12"/>
  <c r="E470" i="12"/>
  <c r="F470" i="12"/>
  <c r="G470" i="12"/>
  <c r="H470" i="12"/>
  <c r="I470" i="12"/>
  <c r="J470" i="12"/>
  <c r="K470" i="12"/>
  <c r="L470" i="12"/>
  <c r="M470" i="12"/>
  <c r="N470" i="12"/>
  <c r="O470" i="12"/>
  <c r="P470" i="12"/>
  <c r="A471" i="12"/>
  <c r="B471" i="12"/>
  <c r="C471" i="12"/>
  <c r="D471" i="12"/>
  <c r="E471" i="12"/>
  <c r="F471" i="12"/>
  <c r="G471" i="12"/>
  <c r="H471" i="12"/>
  <c r="I471" i="12"/>
  <c r="J471" i="12"/>
  <c r="K471" i="12"/>
  <c r="L471" i="12"/>
  <c r="M471" i="12"/>
  <c r="N471" i="12"/>
  <c r="O471" i="12"/>
  <c r="P471" i="12"/>
  <c r="A472" i="12"/>
  <c r="B472" i="12"/>
  <c r="C472" i="12"/>
  <c r="D472" i="12"/>
  <c r="E472" i="12"/>
  <c r="F472" i="12"/>
  <c r="G472" i="12"/>
  <c r="H472" i="12"/>
  <c r="I472" i="12"/>
  <c r="J472" i="12"/>
  <c r="K472" i="12"/>
  <c r="L472" i="12"/>
  <c r="M472" i="12"/>
  <c r="N472" i="12"/>
  <c r="O472" i="12"/>
  <c r="P472" i="12"/>
  <c r="A473" i="12"/>
  <c r="B473" i="12"/>
  <c r="C473" i="12"/>
  <c r="D473" i="12"/>
  <c r="E473" i="12"/>
  <c r="F473" i="12"/>
  <c r="G473" i="12"/>
  <c r="H473" i="12"/>
  <c r="I473" i="12"/>
  <c r="J473" i="12"/>
  <c r="K473" i="12"/>
  <c r="L473" i="12"/>
  <c r="M473" i="12"/>
  <c r="N473" i="12"/>
  <c r="O473" i="12"/>
  <c r="P473" i="12"/>
  <c r="A474" i="12"/>
  <c r="B474" i="12"/>
  <c r="C474" i="12"/>
  <c r="D474" i="12"/>
  <c r="E474" i="12"/>
  <c r="F474" i="12"/>
  <c r="G474" i="12"/>
  <c r="H474" i="12"/>
  <c r="I474" i="12"/>
  <c r="J474" i="12"/>
  <c r="K474" i="12"/>
  <c r="L474" i="12"/>
  <c r="M474" i="12"/>
  <c r="N474" i="12"/>
  <c r="O474" i="12"/>
  <c r="P474" i="12"/>
  <c r="A475" i="12"/>
  <c r="B475" i="12"/>
  <c r="C475" i="12"/>
  <c r="D475" i="12"/>
  <c r="E475" i="12"/>
  <c r="F475" i="12"/>
  <c r="G475" i="12"/>
  <c r="H475" i="12"/>
  <c r="I475" i="12"/>
  <c r="J475" i="12"/>
  <c r="K475" i="12"/>
  <c r="L475" i="12"/>
  <c r="M475" i="12"/>
  <c r="N475" i="12"/>
  <c r="O475" i="12"/>
  <c r="P475" i="12"/>
  <c r="A476" i="12"/>
  <c r="B476" i="12"/>
  <c r="C476" i="12"/>
  <c r="D476" i="12"/>
  <c r="E476" i="12"/>
  <c r="F476" i="12"/>
  <c r="G476" i="12"/>
  <c r="H476" i="12"/>
  <c r="I476" i="12"/>
  <c r="J476" i="12"/>
  <c r="K476" i="12"/>
  <c r="L476" i="12"/>
  <c r="M476" i="12"/>
  <c r="N476" i="12"/>
  <c r="O476" i="12"/>
  <c r="P476" i="12"/>
  <c r="A477" i="12"/>
  <c r="B477" i="12"/>
  <c r="C477" i="12"/>
  <c r="D477" i="12"/>
  <c r="E477" i="12"/>
  <c r="F477" i="12"/>
  <c r="G477" i="12"/>
  <c r="H477" i="12"/>
  <c r="I477" i="12"/>
  <c r="J477" i="12"/>
  <c r="K477" i="12"/>
  <c r="L477" i="12"/>
  <c r="M477" i="12"/>
  <c r="N477" i="12"/>
  <c r="O477" i="12"/>
  <c r="P477" i="12"/>
  <c r="A478" i="12"/>
  <c r="B478" i="12"/>
  <c r="C478" i="12"/>
  <c r="D478" i="12"/>
  <c r="E478" i="12"/>
  <c r="F478" i="12"/>
  <c r="G478" i="12"/>
  <c r="H478" i="12"/>
  <c r="I478" i="12"/>
  <c r="J478" i="12"/>
  <c r="K478" i="12"/>
  <c r="L478" i="12"/>
  <c r="M478" i="12"/>
  <c r="N478" i="12"/>
  <c r="O478" i="12"/>
  <c r="P478" i="12"/>
  <c r="A479" i="12"/>
  <c r="B479" i="12"/>
  <c r="C479" i="12"/>
  <c r="D479" i="12"/>
  <c r="E479" i="12"/>
  <c r="F479" i="12"/>
  <c r="G479" i="12"/>
  <c r="H479" i="12"/>
  <c r="I479" i="12"/>
  <c r="J479" i="12"/>
  <c r="K479" i="12"/>
  <c r="L479" i="12"/>
  <c r="M479" i="12"/>
  <c r="N479" i="12"/>
  <c r="O479" i="12"/>
  <c r="P479" i="12"/>
  <c r="A480" i="12"/>
  <c r="B480" i="12"/>
  <c r="C480" i="12"/>
  <c r="D480" i="12"/>
  <c r="E480" i="12"/>
  <c r="F480" i="12"/>
  <c r="G480" i="12"/>
  <c r="H480" i="12"/>
  <c r="I480" i="12"/>
  <c r="J480" i="12"/>
  <c r="K480" i="12"/>
  <c r="L480" i="12"/>
  <c r="M480" i="12"/>
  <c r="N480" i="12"/>
  <c r="O480" i="12"/>
  <c r="P480" i="12"/>
  <c r="A481" i="12"/>
  <c r="B481" i="12"/>
  <c r="C481" i="12"/>
  <c r="D481" i="12"/>
  <c r="E481" i="12"/>
  <c r="F481" i="12"/>
  <c r="G481" i="12"/>
  <c r="H481" i="12"/>
  <c r="I481" i="12"/>
  <c r="J481" i="12"/>
  <c r="K481" i="12"/>
  <c r="L481" i="12"/>
  <c r="M481" i="12"/>
  <c r="N481" i="12"/>
  <c r="O481" i="12"/>
  <c r="P481" i="12"/>
  <c r="A482" i="12"/>
  <c r="B482" i="12"/>
  <c r="C482" i="12"/>
  <c r="D482" i="12"/>
  <c r="E482" i="12"/>
  <c r="F482" i="12"/>
  <c r="G482" i="12"/>
  <c r="H482" i="12"/>
  <c r="I482" i="12"/>
  <c r="J482" i="12"/>
  <c r="K482" i="12"/>
  <c r="L482" i="12"/>
  <c r="M482" i="12"/>
  <c r="N482" i="12"/>
  <c r="O482" i="12"/>
  <c r="P482" i="12"/>
  <c r="A483" i="12"/>
  <c r="B483" i="12"/>
  <c r="C483" i="12"/>
  <c r="D483" i="12"/>
  <c r="E483" i="12"/>
  <c r="F483" i="12"/>
  <c r="G483" i="12"/>
  <c r="H483" i="12"/>
  <c r="I483" i="12"/>
  <c r="J483" i="12"/>
  <c r="K483" i="12"/>
  <c r="L483" i="12"/>
  <c r="M483" i="12"/>
  <c r="N483" i="12"/>
  <c r="O483" i="12"/>
  <c r="P483" i="12"/>
  <c r="A484" i="12"/>
  <c r="B484" i="12"/>
  <c r="C484" i="12"/>
  <c r="D484" i="12"/>
  <c r="E484" i="12"/>
  <c r="F484" i="12"/>
  <c r="G484" i="12"/>
  <c r="H484" i="12"/>
  <c r="I484" i="12"/>
  <c r="J484" i="12"/>
  <c r="K484" i="12"/>
  <c r="L484" i="12"/>
  <c r="M484" i="12"/>
  <c r="N484" i="12"/>
  <c r="O484" i="12"/>
  <c r="P484" i="12"/>
  <c r="A485" i="12"/>
  <c r="B485" i="12"/>
  <c r="C485" i="12"/>
  <c r="D485" i="12"/>
  <c r="E485" i="12"/>
  <c r="F485" i="12"/>
  <c r="G485" i="12"/>
  <c r="H485" i="12"/>
  <c r="I485" i="12"/>
  <c r="J485" i="12"/>
  <c r="K485" i="12"/>
  <c r="L485" i="12"/>
  <c r="M485" i="12"/>
  <c r="N485" i="12"/>
  <c r="O485" i="12"/>
  <c r="P485" i="12"/>
  <c r="A486" i="12"/>
  <c r="B486" i="12"/>
  <c r="C486" i="12"/>
  <c r="D486" i="12"/>
  <c r="E486" i="12"/>
  <c r="F486" i="12"/>
  <c r="G486" i="12"/>
  <c r="H486" i="12"/>
  <c r="I486" i="12"/>
  <c r="J486" i="12"/>
  <c r="K486" i="12"/>
  <c r="L486" i="12"/>
  <c r="M486" i="12"/>
  <c r="N486" i="12"/>
  <c r="O486" i="12"/>
  <c r="P486" i="12"/>
  <c r="A487" i="12"/>
  <c r="B487" i="12"/>
  <c r="C487" i="12"/>
  <c r="D487" i="12"/>
  <c r="E487" i="12"/>
  <c r="F487" i="12"/>
  <c r="G487" i="12"/>
  <c r="H487" i="12"/>
  <c r="I487" i="12"/>
  <c r="J487" i="12"/>
  <c r="K487" i="12"/>
  <c r="L487" i="12"/>
  <c r="M487" i="12"/>
  <c r="N487" i="12"/>
  <c r="O487" i="12"/>
  <c r="P487" i="12"/>
  <c r="A488" i="12"/>
  <c r="B488" i="12"/>
  <c r="C488" i="12"/>
  <c r="D488" i="12"/>
  <c r="E488" i="12"/>
  <c r="F488" i="12"/>
  <c r="G488" i="12"/>
  <c r="H488" i="12"/>
  <c r="I488" i="12"/>
  <c r="J488" i="12"/>
  <c r="K488" i="12"/>
  <c r="L488" i="12"/>
  <c r="M488" i="12"/>
  <c r="N488" i="12"/>
  <c r="O488" i="12"/>
  <c r="P488" i="12"/>
  <c r="A489" i="12"/>
  <c r="B489" i="12"/>
  <c r="C489" i="12"/>
  <c r="D489" i="12"/>
  <c r="E489" i="12"/>
  <c r="F489" i="12"/>
  <c r="G489" i="12"/>
  <c r="H489" i="12"/>
  <c r="I489" i="12"/>
  <c r="J489" i="12"/>
  <c r="K489" i="12"/>
  <c r="L489" i="12"/>
  <c r="M489" i="12"/>
  <c r="N489" i="12"/>
  <c r="O489" i="12"/>
  <c r="P489" i="12"/>
  <c r="A490" i="12"/>
  <c r="B490" i="12"/>
  <c r="C490" i="12"/>
  <c r="D490" i="12"/>
  <c r="E490" i="12"/>
  <c r="F490" i="12"/>
  <c r="G490" i="12"/>
  <c r="H490" i="12"/>
  <c r="I490" i="12"/>
  <c r="J490" i="12"/>
  <c r="K490" i="12"/>
  <c r="L490" i="12"/>
  <c r="M490" i="12"/>
  <c r="N490" i="12"/>
  <c r="O490" i="12"/>
  <c r="P490" i="12"/>
  <c r="A491" i="12"/>
  <c r="B491" i="12"/>
  <c r="C491" i="12"/>
  <c r="D491" i="12"/>
  <c r="E491" i="12"/>
  <c r="F491" i="12"/>
  <c r="G491" i="12"/>
  <c r="H491" i="12"/>
  <c r="I491" i="12"/>
  <c r="J491" i="12"/>
  <c r="K491" i="12"/>
  <c r="L491" i="12"/>
  <c r="M491" i="12"/>
  <c r="N491" i="12"/>
  <c r="O491" i="12"/>
  <c r="P491" i="12"/>
  <c r="A492" i="12"/>
  <c r="B492" i="12"/>
  <c r="C492" i="12"/>
  <c r="D492" i="12"/>
  <c r="E492" i="12"/>
  <c r="F492" i="12"/>
  <c r="G492" i="12"/>
  <c r="H492" i="12"/>
  <c r="I492" i="12"/>
  <c r="J492" i="12"/>
  <c r="K492" i="12"/>
  <c r="L492" i="12"/>
  <c r="M492" i="12"/>
  <c r="N492" i="12"/>
  <c r="O492" i="12"/>
  <c r="P492" i="12"/>
  <c r="A493" i="12"/>
  <c r="B493" i="12"/>
  <c r="C493" i="12"/>
  <c r="D493" i="12"/>
  <c r="E493" i="12"/>
  <c r="F493" i="12"/>
  <c r="G493" i="12"/>
  <c r="H493" i="12"/>
  <c r="I493" i="12"/>
  <c r="J493" i="12"/>
  <c r="K493" i="12"/>
  <c r="L493" i="12"/>
  <c r="M493" i="12"/>
  <c r="N493" i="12"/>
  <c r="O493" i="12"/>
  <c r="P493" i="12"/>
  <c r="A494" i="12"/>
  <c r="B494" i="12"/>
  <c r="C494" i="12"/>
  <c r="D494" i="12"/>
  <c r="E494" i="12"/>
  <c r="F494" i="12"/>
  <c r="G494" i="12"/>
  <c r="H494" i="12"/>
  <c r="I494" i="12"/>
  <c r="J494" i="12"/>
  <c r="K494" i="12"/>
  <c r="L494" i="12"/>
  <c r="M494" i="12"/>
  <c r="N494" i="12"/>
  <c r="O494" i="12"/>
  <c r="P494" i="12"/>
  <c r="A495" i="12"/>
  <c r="B495" i="12"/>
  <c r="C495" i="12"/>
  <c r="D495" i="12"/>
  <c r="E495" i="12"/>
  <c r="F495" i="12"/>
  <c r="G495" i="12"/>
  <c r="H495" i="12"/>
  <c r="I495" i="12"/>
  <c r="J495" i="12"/>
  <c r="K495" i="12"/>
  <c r="L495" i="12"/>
  <c r="M495" i="12"/>
  <c r="N495" i="12"/>
  <c r="O495" i="12"/>
  <c r="P495" i="12"/>
  <c r="A496" i="12"/>
  <c r="B496" i="12"/>
  <c r="C496" i="12"/>
  <c r="D496" i="12"/>
  <c r="E496" i="12"/>
  <c r="F496" i="12"/>
  <c r="G496" i="12"/>
  <c r="H496" i="12"/>
  <c r="I496" i="12"/>
  <c r="J496" i="12"/>
  <c r="K496" i="12"/>
  <c r="L496" i="12"/>
  <c r="M496" i="12"/>
  <c r="N496" i="12"/>
  <c r="O496" i="12"/>
  <c r="P496" i="12"/>
  <c r="A497" i="12"/>
  <c r="B497" i="12"/>
  <c r="C497" i="12"/>
  <c r="D497" i="12"/>
  <c r="E497" i="12"/>
  <c r="F497" i="12"/>
  <c r="G497" i="12"/>
  <c r="H497" i="12"/>
  <c r="I497" i="12"/>
  <c r="J497" i="12"/>
  <c r="K497" i="12"/>
  <c r="L497" i="12"/>
  <c r="M497" i="12"/>
  <c r="N497" i="12"/>
  <c r="O497" i="12"/>
  <c r="P497" i="12"/>
  <c r="A498" i="12"/>
  <c r="B498" i="12"/>
  <c r="C498" i="12"/>
  <c r="D498" i="12"/>
  <c r="E498" i="12"/>
  <c r="F498" i="12"/>
  <c r="G498" i="12"/>
  <c r="H498" i="12"/>
  <c r="I498" i="12"/>
  <c r="J498" i="12"/>
  <c r="K498" i="12"/>
  <c r="L498" i="12"/>
  <c r="M498" i="12"/>
  <c r="N498" i="12"/>
  <c r="O498" i="12"/>
  <c r="P498" i="12"/>
  <c r="A499" i="12"/>
  <c r="B499" i="12"/>
  <c r="C499" i="12"/>
  <c r="D499" i="12"/>
  <c r="E499" i="12"/>
  <c r="F499" i="12"/>
  <c r="G499" i="12"/>
  <c r="H499" i="12"/>
  <c r="I499" i="12"/>
  <c r="J499" i="12"/>
  <c r="K499" i="12"/>
  <c r="L499" i="12"/>
  <c r="M499" i="12"/>
  <c r="N499" i="12"/>
  <c r="O499" i="12"/>
  <c r="P499" i="12"/>
  <c r="A500" i="12"/>
  <c r="B500" i="12"/>
  <c r="C500" i="12"/>
  <c r="D500" i="12"/>
  <c r="E500" i="12"/>
  <c r="F500" i="12"/>
  <c r="G500" i="12"/>
  <c r="H500" i="12"/>
  <c r="I500" i="12"/>
  <c r="J500" i="12"/>
  <c r="K500" i="12"/>
  <c r="L500" i="12"/>
  <c r="M500" i="12"/>
  <c r="N500" i="12"/>
  <c r="O500" i="12"/>
  <c r="P500" i="12"/>
  <c r="Q401" i="12"/>
  <c r="R401" i="12"/>
  <c r="S401" i="12"/>
  <c r="T401" i="12"/>
  <c r="U401" i="12"/>
  <c r="V401" i="12"/>
  <c r="W401" i="12"/>
  <c r="X401" i="12"/>
  <c r="AA401" i="12"/>
  <c r="AB401" i="12"/>
  <c r="AC401" i="12"/>
  <c r="AD401" i="12"/>
  <c r="AE401" i="12"/>
  <c r="AF401" i="12"/>
  <c r="AG401" i="12"/>
  <c r="AH401" i="12"/>
  <c r="AI401" i="12"/>
  <c r="AJ401" i="12"/>
  <c r="AK401" i="12"/>
  <c r="AL401" i="12"/>
  <c r="AM401" i="12"/>
  <c r="AN401" i="12"/>
  <c r="AO401" i="12"/>
  <c r="AP401" i="12"/>
  <c r="AQ401" i="12"/>
  <c r="AR401" i="12"/>
  <c r="AS401" i="12"/>
  <c r="AT401" i="12"/>
  <c r="AU401" i="12"/>
  <c r="AV401" i="12"/>
  <c r="AW401" i="12"/>
  <c r="AX401" i="12"/>
  <c r="AY401" i="12"/>
  <c r="AZ401" i="12"/>
  <c r="BA401" i="12"/>
  <c r="BB401" i="12"/>
  <c r="BC401" i="12"/>
  <c r="BD401" i="12"/>
  <c r="BE401" i="12"/>
  <c r="BF401" i="12"/>
  <c r="BG401" i="12"/>
  <c r="BH401" i="12"/>
  <c r="BI401" i="12"/>
  <c r="BJ401" i="12"/>
  <c r="BK401" i="12"/>
  <c r="BL401" i="12"/>
  <c r="BM401" i="12"/>
  <c r="BN401" i="12"/>
  <c r="Q402" i="12"/>
  <c r="R402" i="12"/>
  <c r="S402" i="12"/>
  <c r="T402" i="12"/>
  <c r="U402" i="12"/>
  <c r="V402" i="12"/>
  <c r="W402" i="12"/>
  <c r="X402" i="12"/>
  <c r="AA402" i="12"/>
  <c r="AB402" i="12"/>
  <c r="AC402" i="12"/>
  <c r="AD402" i="12"/>
  <c r="AE402" i="12"/>
  <c r="AF402" i="12"/>
  <c r="AG402" i="12"/>
  <c r="AH402" i="12"/>
  <c r="AI402" i="12"/>
  <c r="AJ402" i="12"/>
  <c r="AK402" i="12"/>
  <c r="AL402" i="12"/>
  <c r="AM402" i="12"/>
  <c r="AN402" i="12"/>
  <c r="AO402" i="12"/>
  <c r="AP402" i="12"/>
  <c r="AQ402" i="12"/>
  <c r="AR402" i="12"/>
  <c r="AS402" i="12"/>
  <c r="AT402" i="12"/>
  <c r="AU402" i="12"/>
  <c r="AV402" i="12"/>
  <c r="AW402" i="12"/>
  <c r="AX402" i="12"/>
  <c r="AY402" i="12"/>
  <c r="AZ402" i="12"/>
  <c r="BA402" i="12"/>
  <c r="BB402" i="12"/>
  <c r="BC402" i="12"/>
  <c r="BD402" i="12"/>
  <c r="BE402" i="12"/>
  <c r="BF402" i="12"/>
  <c r="BG402" i="12"/>
  <c r="BH402" i="12"/>
  <c r="BI402" i="12"/>
  <c r="BJ402" i="12"/>
  <c r="BK402" i="12"/>
  <c r="BL402" i="12"/>
  <c r="BM402" i="12"/>
  <c r="BN402" i="12"/>
  <c r="Q403" i="12"/>
  <c r="R403" i="12"/>
  <c r="S403" i="12"/>
  <c r="T403" i="12"/>
  <c r="U403" i="12"/>
  <c r="V403" i="12"/>
  <c r="W403" i="12"/>
  <c r="X403" i="12"/>
  <c r="AA403" i="12"/>
  <c r="AB403" i="12"/>
  <c r="AC403" i="12"/>
  <c r="AD403" i="12"/>
  <c r="AE403" i="12"/>
  <c r="AF403" i="12"/>
  <c r="AG403" i="12"/>
  <c r="AH403" i="12"/>
  <c r="AI403" i="12"/>
  <c r="AJ403" i="12"/>
  <c r="AK403" i="12"/>
  <c r="AL403" i="12"/>
  <c r="AM403" i="12"/>
  <c r="AN403" i="12"/>
  <c r="AO403" i="12"/>
  <c r="AP403" i="12"/>
  <c r="AQ403" i="12"/>
  <c r="AR403" i="12"/>
  <c r="AS403" i="12"/>
  <c r="AT403" i="12"/>
  <c r="AU403" i="12"/>
  <c r="AV403" i="12"/>
  <c r="AW403" i="12"/>
  <c r="AX403" i="12"/>
  <c r="AY403" i="12"/>
  <c r="AZ403" i="12"/>
  <c r="BA403" i="12"/>
  <c r="BB403" i="12"/>
  <c r="BC403" i="12"/>
  <c r="BD403" i="12"/>
  <c r="BE403" i="12"/>
  <c r="BF403" i="12"/>
  <c r="BG403" i="12"/>
  <c r="BH403" i="12"/>
  <c r="BI403" i="12"/>
  <c r="BJ403" i="12"/>
  <c r="BK403" i="12"/>
  <c r="BL403" i="12"/>
  <c r="BM403" i="12"/>
  <c r="BN403" i="12"/>
  <c r="Q404" i="12"/>
  <c r="R404" i="12"/>
  <c r="S404" i="12"/>
  <c r="T404" i="12"/>
  <c r="U404" i="12"/>
  <c r="V404" i="12"/>
  <c r="W404" i="12"/>
  <c r="X404" i="12"/>
  <c r="AA404" i="12"/>
  <c r="AB404" i="12"/>
  <c r="AC404" i="12"/>
  <c r="AD404" i="12"/>
  <c r="AE404" i="12"/>
  <c r="AF404" i="12"/>
  <c r="AG404" i="12"/>
  <c r="AH404" i="12"/>
  <c r="AI404" i="12"/>
  <c r="AJ404" i="12"/>
  <c r="AK404" i="12"/>
  <c r="AL404" i="12"/>
  <c r="AM404" i="12"/>
  <c r="AN404" i="12"/>
  <c r="AO404" i="12"/>
  <c r="AP404" i="12"/>
  <c r="AQ404" i="12"/>
  <c r="AR404" i="12"/>
  <c r="AS404" i="12"/>
  <c r="AT404" i="12"/>
  <c r="AU404" i="12"/>
  <c r="AV404" i="12"/>
  <c r="AW404" i="12"/>
  <c r="AX404" i="12"/>
  <c r="AY404" i="12"/>
  <c r="AZ404" i="12"/>
  <c r="BA404" i="12"/>
  <c r="BB404" i="12"/>
  <c r="BC404" i="12"/>
  <c r="BD404" i="12"/>
  <c r="BE404" i="12"/>
  <c r="BF404" i="12"/>
  <c r="BG404" i="12"/>
  <c r="BH404" i="12"/>
  <c r="BI404" i="12"/>
  <c r="BJ404" i="12"/>
  <c r="BK404" i="12"/>
  <c r="BL404" i="12"/>
  <c r="BM404" i="12"/>
  <c r="BN404" i="12"/>
  <c r="Q405" i="12"/>
  <c r="R405" i="12"/>
  <c r="S405" i="12"/>
  <c r="T405" i="12"/>
  <c r="U405" i="12"/>
  <c r="V405" i="12"/>
  <c r="W405" i="12"/>
  <c r="X405" i="12"/>
  <c r="AA405" i="12"/>
  <c r="AB405" i="12"/>
  <c r="AC405" i="12"/>
  <c r="AD405" i="12"/>
  <c r="AE405" i="12"/>
  <c r="AF405" i="12"/>
  <c r="AG405" i="12"/>
  <c r="AH405" i="12"/>
  <c r="AI405" i="12"/>
  <c r="AJ405" i="12"/>
  <c r="AK405" i="12"/>
  <c r="AL405" i="12"/>
  <c r="AM405" i="12"/>
  <c r="AN405" i="12"/>
  <c r="AO405" i="12"/>
  <c r="AP405" i="12"/>
  <c r="AQ405" i="12"/>
  <c r="AR405" i="12"/>
  <c r="AS405" i="12"/>
  <c r="AT405" i="12"/>
  <c r="AU405" i="12"/>
  <c r="AV405" i="12"/>
  <c r="AW405" i="12"/>
  <c r="AX405" i="12"/>
  <c r="AY405" i="12"/>
  <c r="AZ405" i="12"/>
  <c r="BA405" i="12"/>
  <c r="BB405" i="12"/>
  <c r="BC405" i="12"/>
  <c r="BD405" i="12"/>
  <c r="BE405" i="12"/>
  <c r="BF405" i="12"/>
  <c r="BG405" i="12"/>
  <c r="BH405" i="12"/>
  <c r="BI405" i="12"/>
  <c r="BJ405" i="12"/>
  <c r="BK405" i="12"/>
  <c r="BL405" i="12"/>
  <c r="BM405" i="12"/>
  <c r="BN405" i="12"/>
  <c r="Q406" i="12"/>
  <c r="R406" i="12"/>
  <c r="S406" i="12"/>
  <c r="T406" i="12"/>
  <c r="U406" i="12"/>
  <c r="V406" i="12"/>
  <c r="W406" i="12"/>
  <c r="X406" i="12"/>
  <c r="AA406" i="12"/>
  <c r="AB406" i="12"/>
  <c r="AC406" i="12"/>
  <c r="AD406" i="12"/>
  <c r="AE406" i="12"/>
  <c r="AF406" i="12"/>
  <c r="AG406" i="12"/>
  <c r="AH406" i="12"/>
  <c r="AI406" i="12"/>
  <c r="AJ406" i="12"/>
  <c r="AK406" i="12"/>
  <c r="AL406" i="12"/>
  <c r="AM406" i="12"/>
  <c r="AN406" i="12"/>
  <c r="AO406" i="12"/>
  <c r="AP406" i="12"/>
  <c r="AQ406" i="12"/>
  <c r="AR406" i="12"/>
  <c r="AS406" i="12"/>
  <c r="AT406" i="12"/>
  <c r="AU406" i="12"/>
  <c r="AV406" i="12"/>
  <c r="AW406" i="12"/>
  <c r="AX406" i="12"/>
  <c r="AY406" i="12"/>
  <c r="AZ406" i="12"/>
  <c r="BA406" i="12"/>
  <c r="BB406" i="12"/>
  <c r="BC406" i="12"/>
  <c r="BD406" i="12"/>
  <c r="BE406" i="12"/>
  <c r="BF406" i="12"/>
  <c r="BG406" i="12"/>
  <c r="BH406" i="12"/>
  <c r="BI406" i="12"/>
  <c r="BJ406" i="12"/>
  <c r="BK406" i="12"/>
  <c r="BL406" i="12"/>
  <c r="BM406" i="12"/>
  <c r="BN406" i="12"/>
  <c r="Q407" i="12"/>
  <c r="R407" i="12"/>
  <c r="S407" i="12"/>
  <c r="T407" i="12"/>
  <c r="U407" i="12"/>
  <c r="V407" i="12"/>
  <c r="W407" i="12"/>
  <c r="X407" i="12"/>
  <c r="AA407" i="12"/>
  <c r="AB407" i="12"/>
  <c r="AC407" i="12"/>
  <c r="AD407" i="12"/>
  <c r="AE407" i="12"/>
  <c r="AF407" i="12"/>
  <c r="AG407" i="12"/>
  <c r="AH407" i="12"/>
  <c r="AI407" i="12"/>
  <c r="AJ407" i="12"/>
  <c r="AK407" i="12"/>
  <c r="AL407" i="12"/>
  <c r="AM407" i="12"/>
  <c r="AN407" i="12"/>
  <c r="AO407" i="12"/>
  <c r="AP407" i="12"/>
  <c r="AQ407" i="12"/>
  <c r="AR407" i="12"/>
  <c r="AS407" i="12"/>
  <c r="AT407" i="12"/>
  <c r="AU407" i="12"/>
  <c r="AV407" i="12"/>
  <c r="AW407" i="12"/>
  <c r="AX407" i="12"/>
  <c r="AY407" i="12"/>
  <c r="AZ407" i="12"/>
  <c r="BA407" i="12"/>
  <c r="BB407" i="12"/>
  <c r="BC407" i="12"/>
  <c r="BD407" i="12"/>
  <c r="BE407" i="12"/>
  <c r="BF407" i="12"/>
  <c r="BG407" i="12"/>
  <c r="BH407" i="12"/>
  <c r="BI407" i="12"/>
  <c r="BJ407" i="12"/>
  <c r="BK407" i="12"/>
  <c r="BL407" i="12"/>
  <c r="BM407" i="12"/>
  <c r="BN407" i="12"/>
  <c r="Q408" i="12"/>
  <c r="R408" i="12"/>
  <c r="S408" i="12"/>
  <c r="T408" i="12"/>
  <c r="U408" i="12"/>
  <c r="V408" i="12"/>
  <c r="W408" i="12"/>
  <c r="X408" i="12"/>
  <c r="AA408" i="12"/>
  <c r="AB408" i="12"/>
  <c r="AC408" i="12"/>
  <c r="AD408" i="12"/>
  <c r="AE408" i="12"/>
  <c r="AF408" i="12"/>
  <c r="AG408" i="12"/>
  <c r="AH408" i="12"/>
  <c r="AI408" i="12"/>
  <c r="AJ408" i="12"/>
  <c r="AK408" i="12"/>
  <c r="AL408" i="12"/>
  <c r="AM408" i="12"/>
  <c r="AN408" i="12"/>
  <c r="AO408" i="12"/>
  <c r="AP408" i="12"/>
  <c r="AQ408" i="12"/>
  <c r="AR408" i="12"/>
  <c r="AS408" i="12"/>
  <c r="AT408" i="12"/>
  <c r="AU408" i="12"/>
  <c r="AV408" i="12"/>
  <c r="AW408" i="12"/>
  <c r="AX408" i="12"/>
  <c r="AY408" i="12"/>
  <c r="AZ408" i="12"/>
  <c r="BA408" i="12"/>
  <c r="BB408" i="12"/>
  <c r="BC408" i="12"/>
  <c r="BD408" i="12"/>
  <c r="BE408" i="12"/>
  <c r="BF408" i="12"/>
  <c r="BG408" i="12"/>
  <c r="BH408" i="12"/>
  <c r="BI408" i="12"/>
  <c r="BJ408" i="12"/>
  <c r="BK408" i="12"/>
  <c r="BL408" i="12"/>
  <c r="BM408" i="12"/>
  <c r="BN408" i="12"/>
  <c r="Q409" i="12"/>
  <c r="R409" i="12"/>
  <c r="S409" i="12"/>
  <c r="T409" i="12"/>
  <c r="U409" i="12"/>
  <c r="V409" i="12"/>
  <c r="W409" i="12"/>
  <c r="X409" i="12"/>
  <c r="AA409" i="12"/>
  <c r="AB409" i="12"/>
  <c r="AC409" i="12"/>
  <c r="AD409" i="12"/>
  <c r="AE409" i="12"/>
  <c r="AF409" i="12"/>
  <c r="AG409" i="12"/>
  <c r="AH409" i="12"/>
  <c r="AI409" i="12"/>
  <c r="AJ409" i="12"/>
  <c r="AK409" i="12"/>
  <c r="AL409" i="12"/>
  <c r="AM409" i="12"/>
  <c r="AN409" i="12"/>
  <c r="AO409" i="12"/>
  <c r="AP409" i="12"/>
  <c r="AQ409" i="12"/>
  <c r="AR409" i="12"/>
  <c r="AS409" i="12"/>
  <c r="AT409" i="12"/>
  <c r="AU409" i="12"/>
  <c r="AV409" i="12"/>
  <c r="AW409" i="12"/>
  <c r="AX409" i="12"/>
  <c r="AY409" i="12"/>
  <c r="AZ409" i="12"/>
  <c r="BA409" i="12"/>
  <c r="BB409" i="12"/>
  <c r="BC409" i="12"/>
  <c r="BD409" i="12"/>
  <c r="BE409" i="12"/>
  <c r="BF409" i="12"/>
  <c r="BG409" i="12"/>
  <c r="BH409" i="12"/>
  <c r="BI409" i="12"/>
  <c r="BJ409" i="12"/>
  <c r="BK409" i="12"/>
  <c r="BL409" i="12"/>
  <c r="BM409" i="12"/>
  <c r="BN409" i="12"/>
  <c r="Q410" i="12"/>
  <c r="R410" i="12"/>
  <c r="S410" i="12"/>
  <c r="T410" i="12"/>
  <c r="U410" i="12"/>
  <c r="V410" i="12"/>
  <c r="W410" i="12"/>
  <c r="X410" i="12"/>
  <c r="AA410" i="12"/>
  <c r="AB410" i="12"/>
  <c r="AC410" i="12"/>
  <c r="AD410" i="12"/>
  <c r="AE410" i="12"/>
  <c r="AF410" i="12"/>
  <c r="AG410" i="12"/>
  <c r="AH410" i="12"/>
  <c r="AI410" i="12"/>
  <c r="AJ410" i="12"/>
  <c r="AK410" i="12"/>
  <c r="AL410" i="12"/>
  <c r="AM410" i="12"/>
  <c r="AN410" i="12"/>
  <c r="AO410" i="12"/>
  <c r="AP410" i="12"/>
  <c r="AQ410" i="12"/>
  <c r="AR410" i="12"/>
  <c r="AS410" i="12"/>
  <c r="AT410" i="12"/>
  <c r="AU410" i="12"/>
  <c r="AV410" i="12"/>
  <c r="AW410" i="12"/>
  <c r="AX410" i="12"/>
  <c r="AY410" i="12"/>
  <c r="AZ410" i="12"/>
  <c r="BA410" i="12"/>
  <c r="BB410" i="12"/>
  <c r="BC410" i="12"/>
  <c r="BD410" i="12"/>
  <c r="BE410" i="12"/>
  <c r="BF410" i="12"/>
  <c r="BG410" i="12"/>
  <c r="BH410" i="12"/>
  <c r="BI410" i="12"/>
  <c r="BJ410" i="12"/>
  <c r="BK410" i="12"/>
  <c r="BL410" i="12"/>
  <c r="BM410" i="12"/>
  <c r="BN410" i="12"/>
  <c r="Q411" i="12"/>
  <c r="R411" i="12"/>
  <c r="S411" i="12"/>
  <c r="T411" i="12"/>
  <c r="U411" i="12"/>
  <c r="V411" i="12"/>
  <c r="W411" i="12"/>
  <c r="X411" i="12"/>
  <c r="AA411" i="12"/>
  <c r="AB411" i="12"/>
  <c r="AC411" i="12"/>
  <c r="AD411" i="12"/>
  <c r="AE411" i="12"/>
  <c r="AF411" i="12"/>
  <c r="AG411" i="12"/>
  <c r="AH411" i="12"/>
  <c r="AI411" i="12"/>
  <c r="AJ411" i="12"/>
  <c r="AK411" i="12"/>
  <c r="AL411" i="12"/>
  <c r="AM411" i="12"/>
  <c r="AN411" i="12"/>
  <c r="AO411" i="12"/>
  <c r="AP411" i="12"/>
  <c r="AQ411" i="12"/>
  <c r="AR411" i="12"/>
  <c r="AS411" i="12"/>
  <c r="AT411" i="12"/>
  <c r="AU411" i="12"/>
  <c r="AV411" i="12"/>
  <c r="AW411" i="12"/>
  <c r="AX411" i="12"/>
  <c r="AY411" i="12"/>
  <c r="AZ411" i="12"/>
  <c r="BA411" i="12"/>
  <c r="BB411" i="12"/>
  <c r="BC411" i="12"/>
  <c r="BD411" i="12"/>
  <c r="BE411" i="12"/>
  <c r="BF411" i="12"/>
  <c r="BG411" i="12"/>
  <c r="BH411" i="12"/>
  <c r="BI411" i="12"/>
  <c r="BJ411" i="12"/>
  <c r="BK411" i="12"/>
  <c r="BL411" i="12"/>
  <c r="BM411" i="12"/>
  <c r="BN411" i="12"/>
  <c r="Q412" i="12"/>
  <c r="R412" i="12"/>
  <c r="S412" i="12"/>
  <c r="T412" i="12"/>
  <c r="U412" i="12"/>
  <c r="V412" i="12"/>
  <c r="W412" i="12"/>
  <c r="X412" i="12"/>
  <c r="AA412" i="12"/>
  <c r="AB412" i="12"/>
  <c r="AC412" i="12"/>
  <c r="AD412" i="12"/>
  <c r="AE412" i="12"/>
  <c r="AF412" i="12"/>
  <c r="AG412" i="12"/>
  <c r="AH412" i="12"/>
  <c r="AI412" i="12"/>
  <c r="AJ412" i="12"/>
  <c r="AK412" i="12"/>
  <c r="AL412" i="12"/>
  <c r="AM412" i="12"/>
  <c r="AN412" i="12"/>
  <c r="AO412" i="12"/>
  <c r="AP412" i="12"/>
  <c r="AQ412" i="12"/>
  <c r="AR412" i="12"/>
  <c r="AS412" i="12"/>
  <c r="AT412" i="12"/>
  <c r="AU412" i="12"/>
  <c r="AV412" i="12"/>
  <c r="AW412" i="12"/>
  <c r="AX412" i="12"/>
  <c r="AY412" i="12"/>
  <c r="AZ412" i="12"/>
  <c r="BA412" i="12"/>
  <c r="BB412" i="12"/>
  <c r="BC412" i="12"/>
  <c r="BD412" i="12"/>
  <c r="BE412" i="12"/>
  <c r="BF412" i="12"/>
  <c r="BG412" i="12"/>
  <c r="BH412" i="12"/>
  <c r="BI412" i="12"/>
  <c r="BJ412" i="12"/>
  <c r="BK412" i="12"/>
  <c r="BL412" i="12"/>
  <c r="BM412" i="12"/>
  <c r="BN412" i="12"/>
  <c r="Q413" i="12"/>
  <c r="R413" i="12"/>
  <c r="S413" i="12"/>
  <c r="T413" i="12"/>
  <c r="U413" i="12"/>
  <c r="V413" i="12"/>
  <c r="W413" i="12"/>
  <c r="X413" i="12"/>
  <c r="AA413" i="12"/>
  <c r="AB413" i="12"/>
  <c r="AC413" i="12"/>
  <c r="AD413" i="12"/>
  <c r="AE413" i="12"/>
  <c r="AF413" i="12"/>
  <c r="AG413" i="12"/>
  <c r="AH413" i="12"/>
  <c r="AI413" i="12"/>
  <c r="AJ413" i="12"/>
  <c r="AK413" i="12"/>
  <c r="AL413" i="12"/>
  <c r="AM413" i="12"/>
  <c r="AN413" i="12"/>
  <c r="AO413" i="12"/>
  <c r="AP413" i="12"/>
  <c r="AQ413" i="12"/>
  <c r="AR413" i="12"/>
  <c r="AS413" i="12"/>
  <c r="AT413" i="12"/>
  <c r="AU413" i="12"/>
  <c r="AV413" i="12"/>
  <c r="AW413" i="12"/>
  <c r="AX413" i="12"/>
  <c r="AY413" i="12"/>
  <c r="AZ413" i="12"/>
  <c r="BA413" i="12"/>
  <c r="BB413" i="12"/>
  <c r="BC413" i="12"/>
  <c r="BD413" i="12"/>
  <c r="BE413" i="12"/>
  <c r="BF413" i="12"/>
  <c r="BG413" i="12"/>
  <c r="BH413" i="12"/>
  <c r="BI413" i="12"/>
  <c r="BJ413" i="12"/>
  <c r="BK413" i="12"/>
  <c r="BL413" i="12"/>
  <c r="BM413" i="12"/>
  <c r="BN413" i="12"/>
  <c r="Q414" i="12"/>
  <c r="R414" i="12"/>
  <c r="S414" i="12"/>
  <c r="T414" i="12"/>
  <c r="U414" i="12"/>
  <c r="V414" i="12"/>
  <c r="W414" i="12"/>
  <c r="X414" i="12"/>
  <c r="AA414" i="12"/>
  <c r="AB414" i="12"/>
  <c r="AC414" i="12"/>
  <c r="AD414" i="12"/>
  <c r="AE414" i="12"/>
  <c r="AF414" i="12"/>
  <c r="AG414" i="12"/>
  <c r="AH414" i="12"/>
  <c r="AI414" i="12"/>
  <c r="AJ414" i="12"/>
  <c r="AK414" i="12"/>
  <c r="AL414" i="12"/>
  <c r="AM414" i="12"/>
  <c r="AN414" i="12"/>
  <c r="AO414" i="12"/>
  <c r="AP414" i="12"/>
  <c r="AQ414" i="12"/>
  <c r="AR414" i="12"/>
  <c r="AS414" i="12"/>
  <c r="AT414" i="12"/>
  <c r="AU414" i="12"/>
  <c r="AV414" i="12"/>
  <c r="AW414" i="12"/>
  <c r="AX414" i="12"/>
  <c r="AY414" i="12"/>
  <c r="AZ414" i="12"/>
  <c r="BA414" i="12"/>
  <c r="BB414" i="12"/>
  <c r="BC414" i="12"/>
  <c r="BD414" i="12"/>
  <c r="BE414" i="12"/>
  <c r="BF414" i="12"/>
  <c r="BG414" i="12"/>
  <c r="BH414" i="12"/>
  <c r="BI414" i="12"/>
  <c r="BJ414" i="12"/>
  <c r="BK414" i="12"/>
  <c r="BL414" i="12"/>
  <c r="BM414" i="12"/>
  <c r="BN414" i="12"/>
  <c r="Q415" i="12"/>
  <c r="R415" i="12"/>
  <c r="S415" i="12"/>
  <c r="T415" i="12"/>
  <c r="U415" i="12"/>
  <c r="V415" i="12"/>
  <c r="W415" i="12"/>
  <c r="X415" i="12"/>
  <c r="AA415" i="12"/>
  <c r="AB415" i="12"/>
  <c r="AC415" i="12"/>
  <c r="AD415" i="12"/>
  <c r="AE415" i="12"/>
  <c r="AF415" i="12"/>
  <c r="AG415" i="12"/>
  <c r="AH415" i="12"/>
  <c r="AI415" i="12"/>
  <c r="AJ415" i="12"/>
  <c r="AK415" i="12"/>
  <c r="AL415" i="12"/>
  <c r="AM415" i="12"/>
  <c r="AN415" i="12"/>
  <c r="AO415" i="12"/>
  <c r="AP415" i="12"/>
  <c r="AQ415" i="12"/>
  <c r="AR415" i="12"/>
  <c r="AS415" i="12"/>
  <c r="AT415" i="12"/>
  <c r="AU415" i="12"/>
  <c r="AV415" i="12"/>
  <c r="AW415" i="12"/>
  <c r="AX415" i="12"/>
  <c r="AY415" i="12"/>
  <c r="AZ415" i="12"/>
  <c r="BA415" i="12"/>
  <c r="BB415" i="12"/>
  <c r="BC415" i="12"/>
  <c r="BD415" i="12"/>
  <c r="BE415" i="12"/>
  <c r="BF415" i="12"/>
  <c r="BG415" i="12"/>
  <c r="BH415" i="12"/>
  <c r="BI415" i="12"/>
  <c r="BJ415" i="12"/>
  <c r="BK415" i="12"/>
  <c r="BL415" i="12"/>
  <c r="BM415" i="12"/>
  <c r="BN415" i="12"/>
  <c r="Q416" i="12"/>
  <c r="R416" i="12"/>
  <c r="S416" i="12"/>
  <c r="T416" i="12"/>
  <c r="U416" i="12"/>
  <c r="V416" i="12"/>
  <c r="W416" i="12"/>
  <c r="X416" i="12"/>
  <c r="AA416" i="12"/>
  <c r="AB416" i="12"/>
  <c r="AC416" i="12"/>
  <c r="AD416" i="12"/>
  <c r="AE416" i="12"/>
  <c r="AF416" i="12"/>
  <c r="AG416" i="12"/>
  <c r="AH416" i="12"/>
  <c r="AI416" i="12"/>
  <c r="AJ416" i="12"/>
  <c r="AK416" i="12"/>
  <c r="AL416" i="12"/>
  <c r="AM416" i="12"/>
  <c r="AN416" i="12"/>
  <c r="AO416" i="12"/>
  <c r="AP416" i="12"/>
  <c r="AQ416" i="12"/>
  <c r="AR416" i="12"/>
  <c r="AS416" i="12"/>
  <c r="AT416" i="12"/>
  <c r="AU416" i="12"/>
  <c r="AV416" i="12"/>
  <c r="AW416" i="12"/>
  <c r="AX416" i="12"/>
  <c r="AY416" i="12"/>
  <c r="AZ416" i="12"/>
  <c r="BA416" i="12"/>
  <c r="BB416" i="12"/>
  <c r="BC416" i="12"/>
  <c r="BD416" i="12"/>
  <c r="BE416" i="12"/>
  <c r="BF416" i="12"/>
  <c r="BG416" i="12"/>
  <c r="BH416" i="12"/>
  <c r="BI416" i="12"/>
  <c r="BJ416" i="12"/>
  <c r="BK416" i="12"/>
  <c r="BL416" i="12"/>
  <c r="BM416" i="12"/>
  <c r="BN416" i="12"/>
  <c r="Q417" i="12"/>
  <c r="R417" i="12"/>
  <c r="S417" i="12"/>
  <c r="T417" i="12"/>
  <c r="U417" i="12"/>
  <c r="V417" i="12"/>
  <c r="W417" i="12"/>
  <c r="X417" i="12"/>
  <c r="AA417" i="12"/>
  <c r="AB417" i="12"/>
  <c r="AC417" i="12"/>
  <c r="AD417" i="12"/>
  <c r="AE417" i="12"/>
  <c r="AF417" i="12"/>
  <c r="AG417" i="12"/>
  <c r="AH417" i="12"/>
  <c r="AI417" i="12"/>
  <c r="AJ417" i="12"/>
  <c r="AK417" i="12"/>
  <c r="AL417" i="12"/>
  <c r="AM417" i="12"/>
  <c r="AN417" i="12"/>
  <c r="AO417" i="12"/>
  <c r="AP417" i="12"/>
  <c r="AQ417" i="12"/>
  <c r="AR417" i="12"/>
  <c r="AS417" i="12"/>
  <c r="AT417" i="12"/>
  <c r="AU417" i="12"/>
  <c r="AV417" i="12"/>
  <c r="AW417" i="12"/>
  <c r="AX417" i="12"/>
  <c r="AY417" i="12"/>
  <c r="AZ417" i="12"/>
  <c r="BA417" i="12"/>
  <c r="BB417" i="12"/>
  <c r="BC417" i="12"/>
  <c r="BD417" i="12"/>
  <c r="BE417" i="12"/>
  <c r="BF417" i="12"/>
  <c r="BG417" i="12"/>
  <c r="BH417" i="12"/>
  <c r="BI417" i="12"/>
  <c r="BJ417" i="12"/>
  <c r="BK417" i="12"/>
  <c r="BL417" i="12"/>
  <c r="BM417" i="12"/>
  <c r="BN417" i="12"/>
  <c r="Q418" i="12"/>
  <c r="R418" i="12"/>
  <c r="S418" i="12"/>
  <c r="T418" i="12"/>
  <c r="U418" i="12"/>
  <c r="V418" i="12"/>
  <c r="W418" i="12"/>
  <c r="X418" i="12"/>
  <c r="AA418" i="12"/>
  <c r="AB418" i="12"/>
  <c r="AC418" i="12"/>
  <c r="AD418" i="12"/>
  <c r="AE418" i="12"/>
  <c r="AF418" i="12"/>
  <c r="AG418" i="12"/>
  <c r="AH418" i="12"/>
  <c r="AI418" i="12"/>
  <c r="AJ418" i="12"/>
  <c r="AK418" i="12"/>
  <c r="AL418" i="12"/>
  <c r="AM418" i="12"/>
  <c r="AN418" i="12"/>
  <c r="AO418" i="12"/>
  <c r="AP418" i="12"/>
  <c r="AQ418" i="12"/>
  <c r="AR418" i="12"/>
  <c r="AS418" i="12"/>
  <c r="AT418" i="12"/>
  <c r="AU418" i="12"/>
  <c r="AV418" i="12"/>
  <c r="AW418" i="12"/>
  <c r="AX418" i="12"/>
  <c r="AY418" i="12"/>
  <c r="AZ418" i="12"/>
  <c r="BA418" i="12"/>
  <c r="BB418" i="12"/>
  <c r="BC418" i="12"/>
  <c r="BD418" i="12"/>
  <c r="BE418" i="12"/>
  <c r="BF418" i="12"/>
  <c r="BG418" i="12"/>
  <c r="BH418" i="12"/>
  <c r="BI418" i="12"/>
  <c r="BJ418" i="12"/>
  <c r="BK418" i="12"/>
  <c r="BL418" i="12"/>
  <c r="BM418" i="12"/>
  <c r="BN418" i="12"/>
  <c r="Q419" i="12"/>
  <c r="R419" i="12"/>
  <c r="S419" i="12"/>
  <c r="T419" i="12"/>
  <c r="U419" i="12"/>
  <c r="V419" i="12"/>
  <c r="W419" i="12"/>
  <c r="X419" i="12"/>
  <c r="AA419" i="12"/>
  <c r="AB419" i="12"/>
  <c r="AC419" i="12"/>
  <c r="AD419" i="12"/>
  <c r="AE419" i="12"/>
  <c r="AF419" i="12"/>
  <c r="AG419" i="12"/>
  <c r="AH419" i="12"/>
  <c r="AI419" i="12"/>
  <c r="AJ419" i="12"/>
  <c r="AK419" i="12"/>
  <c r="AL419" i="12"/>
  <c r="AM419" i="12"/>
  <c r="AN419" i="12"/>
  <c r="AO419" i="12"/>
  <c r="AP419" i="12"/>
  <c r="AQ419" i="12"/>
  <c r="AR419" i="12"/>
  <c r="AS419" i="12"/>
  <c r="AT419" i="12"/>
  <c r="AU419" i="12"/>
  <c r="AV419" i="12"/>
  <c r="AW419" i="12"/>
  <c r="AX419" i="12"/>
  <c r="AY419" i="12"/>
  <c r="AZ419" i="12"/>
  <c r="BA419" i="12"/>
  <c r="BB419" i="12"/>
  <c r="BC419" i="12"/>
  <c r="BD419" i="12"/>
  <c r="BE419" i="12"/>
  <c r="BF419" i="12"/>
  <c r="BG419" i="12"/>
  <c r="BH419" i="12"/>
  <c r="BI419" i="12"/>
  <c r="BJ419" i="12"/>
  <c r="BK419" i="12"/>
  <c r="BL419" i="12"/>
  <c r="BM419" i="12"/>
  <c r="BN419" i="12"/>
  <c r="Q420" i="12"/>
  <c r="R420" i="12"/>
  <c r="S420" i="12"/>
  <c r="T420" i="12"/>
  <c r="U420" i="12"/>
  <c r="V420" i="12"/>
  <c r="W420" i="12"/>
  <c r="X420" i="12"/>
  <c r="AA420" i="12"/>
  <c r="AB420" i="12"/>
  <c r="AC420" i="12"/>
  <c r="AD420" i="12"/>
  <c r="AE420" i="12"/>
  <c r="AF420" i="12"/>
  <c r="AG420" i="12"/>
  <c r="AH420" i="12"/>
  <c r="AI420" i="12"/>
  <c r="AJ420" i="12"/>
  <c r="AK420" i="12"/>
  <c r="AL420" i="12"/>
  <c r="AM420" i="12"/>
  <c r="AN420" i="12"/>
  <c r="AO420" i="12"/>
  <c r="AP420" i="12"/>
  <c r="AQ420" i="12"/>
  <c r="AR420" i="12"/>
  <c r="AS420" i="12"/>
  <c r="AT420" i="12"/>
  <c r="AU420" i="12"/>
  <c r="AV420" i="12"/>
  <c r="AW420" i="12"/>
  <c r="AX420" i="12"/>
  <c r="AY420" i="12"/>
  <c r="AZ420" i="12"/>
  <c r="BA420" i="12"/>
  <c r="BB420" i="12"/>
  <c r="BC420" i="12"/>
  <c r="BD420" i="12"/>
  <c r="BE420" i="12"/>
  <c r="BF420" i="12"/>
  <c r="BG420" i="12"/>
  <c r="BH420" i="12"/>
  <c r="BI420" i="12"/>
  <c r="BJ420" i="12"/>
  <c r="BK420" i="12"/>
  <c r="BL420" i="12"/>
  <c r="BM420" i="12"/>
  <c r="BN420" i="12"/>
  <c r="Q421" i="12"/>
  <c r="R421" i="12"/>
  <c r="S421" i="12"/>
  <c r="T421" i="12"/>
  <c r="U421" i="12"/>
  <c r="V421" i="12"/>
  <c r="W421" i="12"/>
  <c r="X421" i="12"/>
  <c r="AA421" i="12"/>
  <c r="AB421" i="12"/>
  <c r="AC421" i="12"/>
  <c r="AD421" i="12"/>
  <c r="AE421" i="12"/>
  <c r="AF421" i="12"/>
  <c r="AG421" i="12"/>
  <c r="AH421" i="12"/>
  <c r="AI421" i="12"/>
  <c r="AJ421" i="12"/>
  <c r="AK421" i="12"/>
  <c r="AL421" i="12"/>
  <c r="AM421" i="12"/>
  <c r="AN421" i="12"/>
  <c r="AO421" i="12"/>
  <c r="AP421" i="12"/>
  <c r="AQ421" i="12"/>
  <c r="AR421" i="12"/>
  <c r="AS421" i="12"/>
  <c r="AT421" i="12"/>
  <c r="AU421" i="12"/>
  <c r="AV421" i="12"/>
  <c r="AW421" i="12"/>
  <c r="AX421" i="12"/>
  <c r="AY421" i="12"/>
  <c r="AZ421" i="12"/>
  <c r="BA421" i="12"/>
  <c r="BB421" i="12"/>
  <c r="BC421" i="12"/>
  <c r="BD421" i="12"/>
  <c r="BE421" i="12"/>
  <c r="BF421" i="12"/>
  <c r="BG421" i="12"/>
  <c r="BH421" i="12"/>
  <c r="BI421" i="12"/>
  <c r="BJ421" i="12"/>
  <c r="BK421" i="12"/>
  <c r="BL421" i="12"/>
  <c r="BM421" i="12"/>
  <c r="BN421" i="12"/>
  <c r="Q422" i="12"/>
  <c r="R422" i="12"/>
  <c r="S422" i="12"/>
  <c r="T422" i="12"/>
  <c r="U422" i="12"/>
  <c r="V422" i="12"/>
  <c r="W422" i="12"/>
  <c r="X422" i="12"/>
  <c r="AA422" i="12"/>
  <c r="AB422" i="12"/>
  <c r="AC422" i="12"/>
  <c r="AD422" i="12"/>
  <c r="AE422" i="12"/>
  <c r="AF422" i="12"/>
  <c r="AG422" i="12"/>
  <c r="AH422" i="12"/>
  <c r="AI422" i="12"/>
  <c r="AJ422" i="12"/>
  <c r="AK422" i="12"/>
  <c r="AL422" i="12"/>
  <c r="AM422" i="12"/>
  <c r="AN422" i="12"/>
  <c r="AO422" i="12"/>
  <c r="AP422" i="12"/>
  <c r="AQ422" i="12"/>
  <c r="AR422" i="12"/>
  <c r="AS422" i="12"/>
  <c r="AT422" i="12"/>
  <c r="AU422" i="12"/>
  <c r="AV422" i="12"/>
  <c r="AW422" i="12"/>
  <c r="AX422" i="12"/>
  <c r="AY422" i="12"/>
  <c r="AZ422" i="12"/>
  <c r="BA422" i="12"/>
  <c r="BB422" i="12"/>
  <c r="BC422" i="12"/>
  <c r="BD422" i="12"/>
  <c r="BE422" i="12"/>
  <c r="BF422" i="12"/>
  <c r="BG422" i="12"/>
  <c r="BH422" i="12"/>
  <c r="BI422" i="12"/>
  <c r="BJ422" i="12"/>
  <c r="BK422" i="12"/>
  <c r="BL422" i="12"/>
  <c r="BM422" i="12"/>
  <c r="BN422" i="12"/>
  <c r="Q423" i="12"/>
  <c r="R423" i="12"/>
  <c r="S423" i="12"/>
  <c r="T423" i="12"/>
  <c r="U423" i="12"/>
  <c r="V423" i="12"/>
  <c r="W423" i="12"/>
  <c r="X423" i="12"/>
  <c r="AA423" i="12"/>
  <c r="AB423" i="12"/>
  <c r="AC423" i="12"/>
  <c r="AD423" i="12"/>
  <c r="AE423" i="12"/>
  <c r="AF423" i="12"/>
  <c r="AG423" i="12"/>
  <c r="AH423" i="12"/>
  <c r="AI423" i="12"/>
  <c r="AJ423" i="12"/>
  <c r="AK423" i="12"/>
  <c r="AL423" i="12"/>
  <c r="AM423" i="12"/>
  <c r="AN423" i="12"/>
  <c r="AO423" i="12"/>
  <c r="AP423" i="12"/>
  <c r="AQ423" i="12"/>
  <c r="AR423" i="12"/>
  <c r="AS423" i="12"/>
  <c r="AT423" i="12"/>
  <c r="AU423" i="12"/>
  <c r="AV423" i="12"/>
  <c r="AW423" i="12"/>
  <c r="AX423" i="12"/>
  <c r="AY423" i="12"/>
  <c r="AZ423" i="12"/>
  <c r="BA423" i="12"/>
  <c r="BB423" i="12"/>
  <c r="BC423" i="12"/>
  <c r="BD423" i="12"/>
  <c r="BE423" i="12"/>
  <c r="BF423" i="12"/>
  <c r="BG423" i="12"/>
  <c r="BH423" i="12"/>
  <c r="BI423" i="12"/>
  <c r="BJ423" i="12"/>
  <c r="BK423" i="12"/>
  <c r="BL423" i="12"/>
  <c r="BM423" i="12"/>
  <c r="BN423" i="12"/>
  <c r="Q424" i="12"/>
  <c r="R424" i="12"/>
  <c r="S424" i="12"/>
  <c r="T424" i="12"/>
  <c r="U424" i="12"/>
  <c r="V424" i="12"/>
  <c r="W424" i="12"/>
  <c r="X424" i="12"/>
  <c r="AA424" i="12"/>
  <c r="AB424" i="12"/>
  <c r="AC424" i="12"/>
  <c r="AD424" i="12"/>
  <c r="AE424" i="12"/>
  <c r="AF424" i="12"/>
  <c r="AG424" i="12"/>
  <c r="AH424" i="12"/>
  <c r="AI424" i="12"/>
  <c r="AJ424" i="12"/>
  <c r="AK424" i="12"/>
  <c r="AL424" i="12"/>
  <c r="AM424" i="12"/>
  <c r="AN424" i="12"/>
  <c r="AO424" i="12"/>
  <c r="AP424" i="12"/>
  <c r="AQ424" i="12"/>
  <c r="AR424" i="12"/>
  <c r="AS424" i="12"/>
  <c r="AT424" i="12"/>
  <c r="AU424" i="12"/>
  <c r="AV424" i="12"/>
  <c r="AW424" i="12"/>
  <c r="AX424" i="12"/>
  <c r="AY424" i="12"/>
  <c r="AZ424" i="12"/>
  <c r="BA424" i="12"/>
  <c r="BB424" i="12"/>
  <c r="BC424" i="12"/>
  <c r="BD424" i="12"/>
  <c r="BE424" i="12"/>
  <c r="BF424" i="12"/>
  <c r="BG424" i="12"/>
  <c r="BH424" i="12"/>
  <c r="BI424" i="12"/>
  <c r="BJ424" i="12"/>
  <c r="BK424" i="12"/>
  <c r="BL424" i="12"/>
  <c r="BM424" i="12"/>
  <c r="BN424" i="12"/>
  <c r="Q425" i="12"/>
  <c r="R425" i="12"/>
  <c r="S425" i="12"/>
  <c r="T425" i="12"/>
  <c r="U425" i="12"/>
  <c r="V425" i="12"/>
  <c r="W425" i="12"/>
  <c r="X425" i="12"/>
  <c r="AA425" i="12"/>
  <c r="AB425" i="12"/>
  <c r="AC425" i="12"/>
  <c r="AD425" i="12"/>
  <c r="AE425" i="12"/>
  <c r="AF425" i="12"/>
  <c r="AG425" i="12"/>
  <c r="AH425" i="12"/>
  <c r="AI425" i="12"/>
  <c r="AJ425" i="12"/>
  <c r="AK425" i="12"/>
  <c r="AL425" i="12"/>
  <c r="AM425" i="12"/>
  <c r="AN425" i="12"/>
  <c r="AO425" i="12"/>
  <c r="AP425" i="12"/>
  <c r="AQ425" i="12"/>
  <c r="AR425" i="12"/>
  <c r="AS425" i="12"/>
  <c r="AT425" i="12"/>
  <c r="AU425" i="12"/>
  <c r="AV425" i="12"/>
  <c r="AW425" i="12"/>
  <c r="AX425" i="12"/>
  <c r="AY425" i="12"/>
  <c r="AZ425" i="12"/>
  <c r="BA425" i="12"/>
  <c r="BB425" i="12"/>
  <c r="BC425" i="12"/>
  <c r="BD425" i="12"/>
  <c r="BE425" i="12"/>
  <c r="BF425" i="12"/>
  <c r="BG425" i="12"/>
  <c r="BH425" i="12"/>
  <c r="BI425" i="12"/>
  <c r="BJ425" i="12"/>
  <c r="BK425" i="12"/>
  <c r="BL425" i="12"/>
  <c r="BM425" i="12"/>
  <c r="BN425" i="12"/>
  <c r="Q426" i="12"/>
  <c r="R426" i="12"/>
  <c r="S426" i="12"/>
  <c r="T426" i="12"/>
  <c r="U426" i="12"/>
  <c r="V426" i="12"/>
  <c r="W426" i="12"/>
  <c r="X426" i="12"/>
  <c r="AA426" i="12"/>
  <c r="AB426" i="12"/>
  <c r="AC426" i="12"/>
  <c r="AD426" i="12"/>
  <c r="AE426" i="12"/>
  <c r="AF426" i="12"/>
  <c r="AG426" i="12"/>
  <c r="AH426" i="12"/>
  <c r="AI426" i="12"/>
  <c r="AJ426" i="12"/>
  <c r="AK426" i="12"/>
  <c r="AL426" i="12"/>
  <c r="AM426" i="12"/>
  <c r="AN426" i="12"/>
  <c r="AO426" i="12"/>
  <c r="AP426" i="12"/>
  <c r="AQ426" i="12"/>
  <c r="AR426" i="12"/>
  <c r="AS426" i="12"/>
  <c r="AT426" i="12"/>
  <c r="AU426" i="12"/>
  <c r="AV426" i="12"/>
  <c r="AW426" i="12"/>
  <c r="AX426" i="12"/>
  <c r="AY426" i="12"/>
  <c r="AZ426" i="12"/>
  <c r="BA426" i="12"/>
  <c r="BB426" i="12"/>
  <c r="BC426" i="12"/>
  <c r="BD426" i="12"/>
  <c r="BE426" i="12"/>
  <c r="BF426" i="12"/>
  <c r="BG426" i="12"/>
  <c r="BH426" i="12"/>
  <c r="BI426" i="12"/>
  <c r="BJ426" i="12"/>
  <c r="BK426" i="12"/>
  <c r="BL426" i="12"/>
  <c r="BM426" i="12"/>
  <c r="BN426" i="12"/>
  <c r="Q427" i="12"/>
  <c r="R427" i="12"/>
  <c r="S427" i="12"/>
  <c r="T427" i="12"/>
  <c r="U427" i="12"/>
  <c r="V427" i="12"/>
  <c r="W427" i="12"/>
  <c r="X427" i="12"/>
  <c r="AA427" i="12"/>
  <c r="AB427" i="12"/>
  <c r="AC427" i="12"/>
  <c r="AD427" i="12"/>
  <c r="AE427" i="12"/>
  <c r="AF427" i="12"/>
  <c r="AG427" i="12"/>
  <c r="AH427" i="12"/>
  <c r="AI427" i="12"/>
  <c r="AJ427" i="12"/>
  <c r="AK427" i="12"/>
  <c r="AL427" i="12"/>
  <c r="AM427" i="12"/>
  <c r="AN427" i="12"/>
  <c r="AO427" i="12"/>
  <c r="AP427" i="12"/>
  <c r="AQ427" i="12"/>
  <c r="AR427" i="12"/>
  <c r="AS427" i="12"/>
  <c r="AT427" i="12"/>
  <c r="AU427" i="12"/>
  <c r="AV427" i="12"/>
  <c r="AW427" i="12"/>
  <c r="AX427" i="12"/>
  <c r="AY427" i="12"/>
  <c r="AZ427" i="12"/>
  <c r="BA427" i="12"/>
  <c r="BB427" i="12"/>
  <c r="BC427" i="12"/>
  <c r="BD427" i="12"/>
  <c r="BE427" i="12"/>
  <c r="BF427" i="12"/>
  <c r="BG427" i="12"/>
  <c r="BH427" i="12"/>
  <c r="BI427" i="12"/>
  <c r="BJ427" i="12"/>
  <c r="BK427" i="12"/>
  <c r="BL427" i="12"/>
  <c r="BM427" i="12"/>
  <c r="BN427" i="12"/>
  <c r="Q428" i="12"/>
  <c r="R428" i="12"/>
  <c r="S428" i="12"/>
  <c r="T428" i="12"/>
  <c r="U428" i="12"/>
  <c r="V428" i="12"/>
  <c r="W428" i="12"/>
  <c r="X428" i="12"/>
  <c r="AA428" i="12"/>
  <c r="AB428" i="12"/>
  <c r="AC428" i="12"/>
  <c r="AD428" i="12"/>
  <c r="AE428" i="12"/>
  <c r="AF428" i="12"/>
  <c r="AG428" i="12"/>
  <c r="AH428" i="12"/>
  <c r="AI428" i="12"/>
  <c r="AJ428" i="12"/>
  <c r="AK428" i="12"/>
  <c r="AL428" i="12"/>
  <c r="AM428" i="12"/>
  <c r="AN428" i="12"/>
  <c r="AO428" i="12"/>
  <c r="AP428" i="12"/>
  <c r="AQ428" i="12"/>
  <c r="AR428" i="12"/>
  <c r="AS428" i="12"/>
  <c r="AT428" i="12"/>
  <c r="AU428" i="12"/>
  <c r="AV428" i="12"/>
  <c r="AW428" i="12"/>
  <c r="AX428" i="12"/>
  <c r="AY428" i="12"/>
  <c r="AZ428" i="12"/>
  <c r="BA428" i="12"/>
  <c r="BB428" i="12"/>
  <c r="BC428" i="12"/>
  <c r="BD428" i="12"/>
  <c r="BE428" i="12"/>
  <c r="BF428" i="12"/>
  <c r="BG428" i="12"/>
  <c r="BH428" i="12"/>
  <c r="BI428" i="12"/>
  <c r="BJ428" i="12"/>
  <c r="BK428" i="12"/>
  <c r="BL428" i="12"/>
  <c r="BM428" i="12"/>
  <c r="BN428" i="12"/>
  <c r="Q429" i="12"/>
  <c r="R429" i="12"/>
  <c r="S429" i="12"/>
  <c r="T429" i="12"/>
  <c r="U429" i="12"/>
  <c r="V429" i="12"/>
  <c r="W429" i="12"/>
  <c r="X429" i="12"/>
  <c r="AA429" i="12"/>
  <c r="AB429" i="12"/>
  <c r="AC429" i="12"/>
  <c r="AD429" i="12"/>
  <c r="AE429" i="12"/>
  <c r="AF429" i="12"/>
  <c r="AG429" i="12"/>
  <c r="AH429" i="12"/>
  <c r="AI429" i="12"/>
  <c r="AJ429" i="12"/>
  <c r="AK429" i="12"/>
  <c r="AL429" i="12"/>
  <c r="AM429" i="12"/>
  <c r="AN429" i="12"/>
  <c r="AO429" i="12"/>
  <c r="AP429" i="12"/>
  <c r="AQ429" i="12"/>
  <c r="AR429" i="12"/>
  <c r="AS429" i="12"/>
  <c r="AT429" i="12"/>
  <c r="AU429" i="12"/>
  <c r="AV429" i="12"/>
  <c r="AW429" i="12"/>
  <c r="AX429" i="12"/>
  <c r="AY429" i="12"/>
  <c r="AZ429" i="12"/>
  <c r="BA429" i="12"/>
  <c r="BB429" i="12"/>
  <c r="BC429" i="12"/>
  <c r="BD429" i="12"/>
  <c r="BE429" i="12"/>
  <c r="BF429" i="12"/>
  <c r="BG429" i="12"/>
  <c r="BH429" i="12"/>
  <c r="BI429" i="12"/>
  <c r="BJ429" i="12"/>
  <c r="BK429" i="12"/>
  <c r="BL429" i="12"/>
  <c r="BM429" i="12"/>
  <c r="BN429" i="12"/>
  <c r="Q430" i="12"/>
  <c r="R430" i="12"/>
  <c r="S430" i="12"/>
  <c r="T430" i="12"/>
  <c r="U430" i="12"/>
  <c r="V430" i="12"/>
  <c r="W430" i="12"/>
  <c r="X430" i="12"/>
  <c r="AA430" i="12"/>
  <c r="AB430" i="12"/>
  <c r="AC430" i="12"/>
  <c r="AD430" i="12"/>
  <c r="AE430" i="12"/>
  <c r="AF430" i="12"/>
  <c r="AG430" i="12"/>
  <c r="AH430" i="12"/>
  <c r="AI430" i="12"/>
  <c r="AJ430" i="12"/>
  <c r="AK430" i="12"/>
  <c r="AL430" i="12"/>
  <c r="AM430" i="12"/>
  <c r="AN430" i="12"/>
  <c r="AO430" i="12"/>
  <c r="AP430" i="12"/>
  <c r="AQ430" i="12"/>
  <c r="AR430" i="12"/>
  <c r="AS430" i="12"/>
  <c r="AT430" i="12"/>
  <c r="AU430" i="12"/>
  <c r="AV430" i="12"/>
  <c r="AW430" i="12"/>
  <c r="AX430" i="12"/>
  <c r="AY430" i="12"/>
  <c r="AZ430" i="12"/>
  <c r="BA430" i="12"/>
  <c r="BB430" i="12"/>
  <c r="BC430" i="12"/>
  <c r="BD430" i="12"/>
  <c r="BE430" i="12"/>
  <c r="BF430" i="12"/>
  <c r="BG430" i="12"/>
  <c r="BH430" i="12"/>
  <c r="BI430" i="12"/>
  <c r="BJ430" i="12"/>
  <c r="BK430" i="12"/>
  <c r="BL430" i="12"/>
  <c r="BM430" i="12"/>
  <c r="BN430" i="12"/>
  <c r="Q431" i="12"/>
  <c r="R431" i="12"/>
  <c r="S431" i="12"/>
  <c r="T431" i="12"/>
  <c r="U431" i="12"/>
  <c r="V431" i="12"/>
  <c r="W431" i="12"/>
  <c r="X431" i="12"/>
  <c r="AA431" i="12"/>
  <c r="AB431" i="12"/>
  <c r="AC431" i="12"/>
  <c r="AD431" i="12"/>
  <c r="AE431" i="12"/>
  <c r="AF431" i="12"/>
  <c r="AG431" i="12"/>
  <c r="AH431" i="12"/>
  <c r="AI431" i="12"/>
  <c r="AJ431" i="12"/>
  <c r="AK431" i="12"/>
  <c r="AL431" i="12"/>
  <c r="AM431" i="12"/>
  <c r="AN431" i="12"/>
  <c r="AO431" i="12"/>
  <c r="AP431" i="12"/>
  <c r="AQ431" i="12"/>
  <c r="AR431" i="12"/>
  <c r="AS431" i="12"/>
  <c r="AT431" i="12"/>
  <c r="AU431" i="12"/>
  <c r="AV431" i="12"/>
  <c r="AW431" i="12"/>
  <c r="AX431" i="12"/>
  <c r="AY431" i="12"/>
  <c r="AZ431" i="12"/>
  <c r="BA431" i="12"/>
  <c r="BB431" i="12"/>
  <c r="BC431" i="12"/>
  <c r="BD431" i="12"/>
  <c r="BE431" i="12"/>
  <c r="BF431" i="12"/>
  <c r="BG431" i="12"/>
  <c r="BH431" i="12"/>
  <c r="BI431" i="12"/>
  <c r="BJ431" i="12"/>
  <c r="BK431" i="12"/>
  <c r="BL431" i="12"/>
  <c r="BM431" i="12"/>
  <c r="BN431" i="12"/>
  <c r="Q432" i="12"/>
  <c r="R432" i="12"/>
  <c r="S432" i="12"/>
  <c r="T432" i="12"/>
  <c r="U432" i="12"/>
  <c r="V432" i="12"/>
  <c r="W432" i="12"/>
  <c r="X432" i="12"/>
  <c r="AA432" i="12"/>
  <c r="AB432" i="12"/>
  <c r="AC432" i="12"/>
  <c r="AD432" i="12"/>
  <c r="AE432" i="12"/>
  <c r="AF432" i="12"/>
  <c r="AG432" i="12"/>
  <c r="AH432" i="12"/>
  <c r="AI432" i="12"/>
  <c r="AJ432" i="12"/>
  <c r="AK432" i="12"/>
  <c r="AL432" i="12"/>
  <c r="AM432" i="12"/>
  <c r="AN432" i="12"/>
  <c r="AO432" i="12"/>
  <c r="AP432" i="12"/>
  <c r="AQ432" i="12"/>
  <c r="AR432" i="12"/>
  <c r="AS432" i="12"/>
  <c r="AT432" i="12"/>
  <c r="AU432" i="12"/>
  <c r="AV432" i="12"/>
  <c r="AW432" i="12"/>
  <c r="AX432" i="12"/>
  <c r="AY432" i="12"/>
  <c r="AZ432" i="12"/>
  <c r="BA432" i="12"/>
  <c r="BB432" i="12"/>
  <c r="BC432" i="12"/>
  <c r="BD432" i="12"/>
  <c r="BE432" i="12"/>
  <c r="BF432" i="12"/>
  <c r="BG432" i="12"/>
  <c r="BH432" i="12"/>
  <c r="BI432" i="12"/>
  <c r="BJ432" i="12"/>
  <c r="BK432" i="12"/>
  <c r="BL432" i="12"/>
  <c r="BM432" i="12"/>
  <c r="BN432" i="12"/>
  <c r="Q433" i="12"/>
  <c r="R433" i="12"/>
  <c r="S433" i="12"/>
  <c r="T433" i="12"/>
  <c r="U433" i="12"/>
  <c r="V433" i="12"/>
  <c r="W433" i="12"/>
  <c r="X433" i="12"/>
  <c r="AA433" i="12"/>
  <c r="AB433" i="12"/>
  <c r="AC433" i="12"/>
  <c r="AD433" i="12"/>
  <c r="AE433" i="12"/>
  <c r="AF433" i="12"/>
  <c r="AG433" i="12"/>
  <c r="AH433" i="12"/>
  <c r="AI433" i="12"/>
  <c r="AJ433" i="12"/>
  <c r="AK433" i="12"/>
  <c r="AL433" i="12"/>
  <c r="AM433" i="12"/>
  <c r="AN433" i="12"/>
  <c r="AO433" i="12"/>
  <c r="AP433" i="12"/>
  <c r="AQ433" i="12"/>
  <c r="AR433" i="12"/>
  <c r="AS433" i="12"/>
  <c r="AT433" i="12"/>
  <c r="AU433" i="12"/>
  <c r="AV433" i="12"/>
  <c r="AW433" i="12"/>
  <c r="AX433" i="12"/>
  <c r="AY433" i="12"/>
  <c r="AZ433" i="12"/>
  <c r="BA433" i="12"/>
  <c r="BB433" i="12"/>
  <c r="BC433" i="12"/>
  <c r="BD433" i="12"/>
  <c r="BE433" i="12"/>
  <c r="BF433" i="12"/>
  <c r="BG433" i="12"/>
  <c r="BH433" i="12"/>
  <c r="BI433" i="12"/>
  <c r="BJ433" i="12"/>
  <c r="BK433" i="12"/>
  <c r="BL433" i="12"/>
  <c r="BM433" i="12"/>
  <c r="BN433" i="12"/>
  <c r="Q434" i="12"/>
  <c r="R434" i="12"/>
  <c r="S434" i="12"/>
  <c r="T434" i="12"/>
  <c r="U434" i="12"/>
  <c r="V434" i="12"/>
  <c r="W434" i="12"/>
  <c r="X434" i="12"/>
  <c r="AA434" i="12"/>
  <c r="AB434" i="12"/>
  <c r="AC434" i="12"/>
  <c r="AD434" i="12"/>
  <c r="AE434" i="12"/>
  <c r="AF434" i="12"/>
  <c r="AG434" i="12"/>
  <c r="AH434" i="12"/>
  <c r="AI434" i="12"/>
  <c r="AJ434" i="12"/>
  <c r="AK434" i="12"/>
  <c r="AL434" i="12"/>
  <c r="AM434" i="12"/>
  <c r="AN434" i="12"/>
  <c r="AO434" i="12"/>
  <c r="AP434" i="12"/>
  <c r="AQ434" i="12"/>
  <c r="AR434" i="12"/>
  <c r="AS434" i="12"/>
  <c r="AT434" i="12"/>
  <c r="AU434" i="12"/>
  <c r="AV434" i="12"/>
  <c r="AW434" i="12"/>
  <c r="AX434" i="12"/>
  <c r="AY434" i="12"/>
  <c r="AZ434" i="12"/>
  <c r="BA434" i="12"/>
  <c r="BB434" i="12"/>
  <c r="BC434" i="12"/>
  <c r="BD434" i="12"/>
  <c r="BE434" i="12"/>
  <c r="BF434" i="12"/>
  <c r="BG434" i="12"/>
  <c r="BH434" i="12"/>
  <c r="BI434" i="12"/>
  <c r="BJ434" i="12"/>
  <c r="BK434" i="12"/>
  <c r="BL434" i="12"/>
  <c r="BM434" i="12"/>
  <c r="BN434" i="12"/>
  <c r="Q435" i="12"/>
  <c r="R435" i="12"/>
  <c r="S435" i="12"/>
  <c r="T435" i="12"/>
  <c r="U435" i="12"/>
  <c r="V435" i="12"/>
  <c r="W435" i="12"/>
  <c r="X435" i="12"/>
  <c r="AA435" i="12"/>
  <c r="AB435" i="12"/>
  <c r="AC435" i="12"/>
  <c r="AD435" i="12"/>
  <c r="AE435" i="12"/>
  <c r="AF435" i="12"/>
  <c r="AG435" i="12"/>
  <c r="AH435" i="12"/>
  <c r="AI435" i="12"/>
  <c r="AJ435" i="12"/>
  <c r="AK435" i="12"/>
  <c r="AL435" i="12"/>
  <c r="AM435" i="12"/>
  <c r="AN435" i="12"/>
  <c r="AO435" i="12"/>
  <c r="AP435" i="12"/>
  <c r="AQ435" i="12"/>
  <c r="AR435" i="12"/>
  <c r="AS435" i="12"/>
  <c r="AT435" i="12"/>
  <c r="AU435" i="12"/>
  <c r="AV435" i="12"/>
  <c r="AW435" i="12"/>
  <c r="AX435" i="12"/>
  <c r="AY435" i="12"/>
  <c r="AZ435" i="12"/>
  <c r="BA435" i="12"/>
  <c r="BB435" i="12"/>
  <c r="BC435" i="12"/>
  <c r="BD435" i="12"/>
  <c r="BE435" i="12"/>
  <c r="BF435" i="12"/>
  <c r="BG435" i="12"/>
  <c r="BH435" i="12"/>
  <c r="BI435" i="12"/>
  <c r="BJ435" i="12"/>
  <c r="BK435" i="12"/>
  <c r="BL435" i="12"/>
  <c r="BM435" i="12"/>
  <c r="BN435" i="12"/>
  <c r="Q436" i="12"/>
  <c r="R436" i="12"/>
  <c r="S436" i="12"/>
  <c r="T436" i="12"/>
  <c r="U436" i="12"/>
  <c r="V436" i="12"/>
  <c r="W436" i="12"/>
  <c r="X436" i="12"/>
  <c r="AA436" i="12"/>
  <c r="AB436" i="12"/>
  <c r="AC436" i="12"/>
  <c r="AD436" i="12"/>
  <c r="AE436" i="12"/>
  <c r="AF436" i="12"/>
  <c r="AG436" i="12"/>
  <c r="AH436" i="12"/>
  <c r="AI436" i="12"/>
  <c r="AJ436" i="12"/>
  <c r="AK436" i="12"/>
  <c r="AL436" i="12"/>
  <c r="AM436" i="12"/>
  <c r="AN436" i="12"/>
  <c r="AO436" i="12"/>
  <c r="AP436" i="12"/>
  <c r="AQ436" i="12"/>
  <c r="AR436" i="12"/>
  <c r="AS436" i="12"/>
  <c r="AT436" i="12"/>
  <c r="AU436" i="12"/>
  <c r="AV436" i="12"/>
  <c r="AW436" i="12"/>
  <c r="AX436" i="12"/>
  <c r="AY436" i="12"/>
  <c r="AZ436" i="12"/>
  <c r="BA436" i="12"/>
  <c r="BB436" i="12"/>
  <c r="BC436" i="12"/>
  <c r="BD436" i="12"/>
  <c r="BE436" i="12"/>
  <c r="BF436" i="12"/>
  <c r="BG436" i="12"/>
  <c r="BH436" i="12"/>
  <c r="BI436" i="12"/>
  <c r="BJ436" i="12"/>
  <c r="BK436" i="12"/>
  <c r="BL436" i="12"/>
  <c r="BM436" i="12"/>
  <c r="BN436" i="12"/>
  <c r="Q437" i="12"/>
  <c r="R437" i="12"/>
  <c r="S437" i="12"/>
  <c r="T437" i="12"/>
  <c r="U437" i="12"/>
  <c r="V437" i="12"/>
  <c r="W437" i="12"/>
  <c r="X437" i="12"/>
  <c r="AA437" i="12"/>
  <c r="AB437" i="12"/>
  <c r="AC437" i="12"/>
  <c r="AD437" i="12"/>
  <c r="AE437" i="12"/>
  <c r="AF437" i="12"/>
  <c r="AG437" i="12"/>
  <c r="AH437" i="12"/>
  <c r="AI437" i="12"/>
  <c r="AJ437" i="12"/>
  <c r="AK437" i="12"/>
  <c r="AL437" i="12"/>
  <c r="AM437" i="12"/>
  <c r="AN437" i="12"/>
  <c r="AO437" i="12"/>
  <c r="AP437" i="12"/>
  <c r="AQ437" i="12"/>
  <c r="AR437" i="12"/>
  <c r="AS437" i="12"/>
  <c r="AT437" i="12"/>
  <c r="AU437" i="12"/>
  <c r="AV437" i="12"/>
  <c r="AW437" i="12"/>
  <c r="AX437" i="12"/>
  <c r="AY437" i="12"/>
  <c r="AZ437" i="12"/>
  <c r="BA437" i="12"/>
  <c r="BB437" i="12"/>
  <c r="BC437" i="12"/>
  <c r="BD437" i="12"/>
  <c r="BE437" i="12"/>
  <c r="BF437" i="12"/>
  <c r="BG437" i="12"/>
  <c r="BH437" i="12"/>
  <c r="BI437" i="12"/>
  <c r="BJ437" i="12"/>
  <c r="BK437" i="12"/>
  <c r="BL437" i="12"/>
  <c r="BM437" i="12"/>
  <c r="BN437" i="12"/>
  <c r="Q438" i="12"/>
  <c r="R438" i="12"/>
  <c r="S438" i="12"/>
  <c r="T438" i="12"/>
  <c r="U438" i="12"/>
  <c r="V438" i="12"/>
  <c r="W438" i="12"/>
  <c r="X438" i="12"/>
  <c r="AA438" i="12"/>
  <c r="AB438" i="12"/>
  <c r="AC438" i="12"/>
  <c r="AD438" i="12"/>
  <c r="AE438" i="12"/>
  <c r="AF438" i="12"/>
  <c r="AG438" i="12"/>
  <c r="AH438" i="12"/>
  <c r="AI438" i="12"/>
  <c r="AJ438" i="12"/>
  <c r="AK438" i="12"/>
  <c r="AL438" i="12"/>
  <c r="AM438" i="12"/>
  <c r="AN438" i="12"/>
  <c r="AO438" i="12"/>
  <c r="AP438" i="12"/>
  <c r="AQ438" i="12"/>
  <c r="AR438" i="12"/>
  <c r="AS438" i="12"/>
  <c r="AT438" i="12"/>
  <c r="AU438" i="12"/>
  <c r="AV438" i="12"/>
  <c r="AW438" i="12"/>
  <c r="AX438" i="12"/>
  <c r="AY438" i="12"/>
  <c r="AZ438" i="12"/>
  <c r="BA438" i="12"/>
  <c r="BB438" i="12"/>
  <c r="BC438" i="12"/>
  <c r="BD438" i="12"/>
  <c r="BE438" i="12"/>
  <c r="BF438" i="12"/>
  <c r="BG438" i="12"/>
  <c r="BH438" i="12"/>
  <c r="BI438" i="12"/>
  <c r="BJ438" i="12"/>
  <c r="BK438" i="12"/>
  <c r="BL438" i="12"/>
  <c r="BM438" i="12"/>
  <c r="BN438" i="12"/>
  <c r="Q439" i="12"/>
  <c r="R439" i="12"/>
  <c r="S439" i="12"/>
  <c r="T439" i="12"/>
  <c r="U439" i="12"/>
  <c r="V439" i="12"/>
  <c r="W439" i="12"/>
  <c r="X439" i="12"/>
  <c r="AA439" i="12"/>
  <c r="AB439" i="12"/>
  <c r="AC439" i="12"/>
  <c r="AD439" i="12"/>
  <c r="AE439" i="12"/>
  <c r="AF439" i="12"/>
  <c r="AG439" i="12"/>
  <c r="AH439" i="12"/>
  <c r="AI439" i="12"/>
  <c r="AJ439" i="12"/>
  <c r="AK439" i="12"/>
  <c r="AL439" i="12"/>
  <c r="AM439" i="12"/>
  <c r="AN439" i="12"/>
  <c r="AO439" i="12"/>
  <c r="AP439" i="12"/>
  <c r="AQ439" i="12"/>
  <c r="AR439" i="12"/>
  <c r="AS439" i="12"/>
  <c r="AT439" i="12"/>
  <c r="AU439" i="12"/>
  <c r="AV439" i="12"/>
  <c r="AW439" i="12"/>
  <c r="AX439" i="12"/>
  <c r="AY439" i="12"/>
  <c r="AZ439" i="12"/>
  <c r="BA439" i="12"/>
  <c r="BB439" i="12"/>
  <c r="BC439" i="12"/>
  <c r="BD439" i="12"/>
  <c r="BE439" i="12"/>
  <c r="BF439" i="12"/>
  <c r="BG439" i="12"/>
  <c r="BH439" i="12"/>
  <c r="BI439" i="12"/>
  <c r="BJ439" i="12"/>
  <c r="BK439" i="12"/>
  <c r="BL439" i="12"/>
  <c r="BM439" i="12"/>
  <c r="BN439" i="12"/>
  <c r="Q440" i="12"/>
  <c r="R440" i="12"/>
  <c r="S440" i="12"/>
  <c r="T440" i="12"/>
  <c r="U440" i="12"/>
  <c r="V440" i="12"/>
  <c r="W440" i="12"/>
  <c r="X440" i="12"/>
  <c r="AA440" i="12"/>
  <c r="AB440" i="12"/>
  <c r="AC440" i="12"/>
  <c r="AD440" i="12"/>
  <c r="AE440" i="12"/>
  <c r="AF440" i="12"/>
  <c r="AG440" i="12"/>
  <c r="AH440" i="12"/>
  <c r="AI440" i="12"/>
  <c r="AJ440" i="12"/>
  <c r="AK440" i="12"/>
  <c r="AL440" i="12"/>
  <c r="AM440" i="12"/>
  <c r="AN440" i="12"/>
  <c r="AO440" i="12"/>
  <c r="AP440" i="12"/>
  <c r="AQ440" i="12"/>
  <c r="AR440" i="12"/>
  <c r="AS440" i="12"/>
  <c r="AT440" i="12"/>
  <c r="AU440" i="12"/>
  <c r="AV440" i="12"/>
  <c r="AW440" i="12"/>
  <c r="AX440" i="12"/>
  <c r="AY440" i="12"/>
  <c r="AZ440" i="12"/>
  <c r="BA440" i="12"/>
  <c r="BB440" i="12"/>
  <c r="BC440" i="12"/>
  <c r="BD440" i="12"/>
  <c r="BE440" i="12"/>
  <c r="BF440" i="12"/>
  <c r="BG440" i="12"/>
  <c r="BH440" i="12"/>
  <c r="BI440" i="12"/>
  <c r="BJ440" i="12"/>
  <c r="BK440" i="12"/>
  <c r="BL440" i="12"/>
  <c r="BM440" i="12"/>
  <c r="BN440" i="12"/>
  <c r="Q441" i="12"/>
  <c r="R441" i="12"/>
  <c r="S441" i="12"/>
  <c r="T441" i="12"/>
  <c r="U441" i="12"/>
  <c r="V441" i="12"/>
  <c r="W441" i="12"/>
  <c r="X441" i="12"/>
  <c r="AA441" i="12"/>
  <c r="AB441" i="12"/>
  <c r="AC441" i="12"/>
  <c r="AD441" i="12"/>
  <c r="AE441" i="12"/>
  <c r="AF441" i="12"/>
  <c r="AG441" i="12"/>
  <c r="AH441" i="12"/>
  <c r="AI441" i="12"/>
  <c r="AJ441" i="12"/>
  <c r="AK441" i="12"/>
  <c r="AL441" i="12"/>
  <c r="AM441" i="12"/>
  <c r="AN441" i="12"/>
  <c r="AO441" i="12"/>
  <c r="AP441" i="12"/>
  <c r="AQ441" i="12"/>
  <c r="AR441" i="12"/>
  <c r="AS441" i="12"/>
  <c r="AT441" i="12"/>
  <c r="AU441" i="12"/>
  <c r="AV441" i="12"/>
  <c r="AW441" i="12"/>
  <c r="AX441" i="12"/>
  <c r="AY441" i="12"/>
  <c r="AZ441" i="12"/>
  <c r="BA441" i="12"/>
  <c r="BB441" i="12"/>
  <c r="BC441" i="12"/>
  <c r="BD441" i="12"/>
  <c r="BE441" i="12"/>
  <c r="BF441" i="12"/>
  <c r="BG441" i="12"/>
  <c r="BH441" i="12"/>
  <c r="BI441" i="12"/>
  <c r="BJ441" i="12"/>
  <c r="BK441" i="12"/>
  <c r="BL441" i="12"/>
  <c r="BM441" i="12"/>
  <c r="BN441" i="12"/>
  <c r="Q442" i="12"/>
  <c r="R442" i="12"/>
  <c r="S442" i="12"/>
  <c r="T442" i="12"/>
  <c r="U442" i="12"/>
  <c r="V442" i="12"/>
  <c r="W442" i="12"/>
  <c r="X442" i="12"/>
  <c r="AA442" i="12"/>
  <c r="AB442" i="12"/>
  <c r="AC442" i="12"/>
  <c r="AD442" i="12"/>
  <c r="AE442" i="12"/>
  <c r="AF442" i="12"/>
  <c r="AG442" i="12"/>
  <c r="AH442" i="12"/>
  <c r="AI442" i="12"/>
  <c r="AJ442" i="12"/>
  <c r="AK442" i="12"/>
  <c r="AL442" i="12"/>
  <c r="AM442" i="12"/>
  <c r="AN442" i="12"/>
  <c r="AO442" i="12"/>
  <c r="AP442" i="12"/>
  <c r="AQ442" i="12"/>
  <c r="AR442" i="12"/>
  <c r="AS442" i="12"/>
  <c r="AT442" i="12"/>
  <c r="AU442" i="12"/>
  <c r="AV442" i="12"/>
  <c r="AW442" i="12"/>
  <c r="AX442" i="12"/>
  <c r="AY442" i="12"/>
  <c r="AZ442" i="12"/>
  <c r="BA442" i="12"/>
  <c r="BB442" i="12"/>
  <c r="BC442" i="12"/>
  <c r="BD442" i="12"/>
  <c r="BE442" i="12"/>
  <c r="BF442" i="12"/>
  <c r="BG442" i="12"/>
  <c r="BH442" i="12"/>
  <c r="BI442" i="12"/>
  <c r="BJ442" i="12"/>
  <c r="BK442" i="12"/>
  <c r="BL442" i="12"/>
  <c r="BM442" i="12"/>
  <c r="BN442" i="12"/>
  <c r="Q443" i="12"/>
  <c r="R443" i="12"/>
  <c r="S443" i="12"/>
  <c r="T443" i="12"/>
  <c r="U443" i="12"/>
  <c r="V443" i="12"/>
  <c r="W443" i="12"/>
  <c r="X443" i="12"/>
  <c r="AA443" i="12"/>
  <c r="AB443" i="12"/>
  <c r="AC443" i="12"/>
  <c r="AD443" i="12"/>
  <c r="AE443" i="12"/>
  <c r="AF443" i="12"/>
  <c r="AG443" i="12"/>
  <c r="AH443" i="12"/>
  <c r="AI443" i="12"/>
  <c r="AJ443" i="12"/>
  <c r="AK443" i="12"/>
  <c r="AL443" i="12"/>
  <c r="AM443" i="12"/>
  <c r="AN443" i="12"/>
  <c r="AO443" i="12"/>
  <c r="AP443" i="12"/>
  <c r="AQ443" i="12"/>
  <c r="AR443" i="12"/>
  <c r="AS443" i="12"/>
  <c r="AT443" i="12"/>
  <c r="AU443" i="12"/>
  <c r="AV443" i="12"/>
  <c r="AW443" i="12"/>
  <c r="AX443" i="12"/>
  <c r="AY443" i="12"/>
  <c r="AZ443" i="12"/>
  <c r="BA443" i="12"/>
  <c r="BB443" i="12"/>
  <c r="BC443" i="12"/>
  <c r="BD443" i="12"/>
  <c r="BE443" i="12"/>
  <c r="BF443" i="12"/>
  <c r="BG443" i="12"/>
  <c r="BH443" i="12"/>
  <c r="BI443" i="12"/>
  <c r="BJ443" i="12"/>
  <c r="BK443" i="12"/>
  <c r="BL443" i="12"/>
  <c r="BM443" i="12"/>
  <c r="BN443" i="12"/>
  <c r="Q444" i="12"/>
  <c r="R444" i="12"/>
  <c r="S444" i="12"/>
  <c r="T444" i="12"/>
  <c r="U444" i="12"/>
  <c r="V444" i="12"/>
  <c r="W444" i="12"/>
  <c r="X444" i="12"/>
  <c r="AA444" i="12"/>
  <c r="AB444" i="12"/>
  <c r="AC444" i="12"/>
  <c r="AD444" i="12"/>
  <c r="AE444" i="12"/>
  <c r="AF444" i="12"/>
  <c r="AG444" i="12"/>
  <c r="AH444" i="12"/>
  <c r="AI444" i="12"/>
  <c r="AJ444" i="12"/>
  <c r="AK444" i="12"/>
  <c r="AL444" i="12"/>
  <c r="AM444" i="12"/>
  <c r="AN444" i="12"/>
  <c r="AO444" i="12"/>
  <c r="AP444" i="12"/>
  <c r="AQ444" i="12"/>
  <c r="AR444" i="12"/>
  <c r="AS444" i="12"/>
  <c r="AT444" i="12"/>
  <c r="AU444" i="12"/>
  <c r="AV444" i="12"/>
  <c r="AW444" i="12"/>
  <c r="AX444" i="12"/>
  <c r="AY444" i="12"/>
  <c r="AZ444" i="12"/>
  <c r="BA444" i="12"/>
  <c r="BB444" i="12"/>
  <c r="BC444" i="12"/>
  <c r="BD444" i="12"/>
  <c r="BE444" i="12"/>
  <c r="BF444" i="12"/>
  <c r="BG444" i="12"/>
  <c r="BH444" i="12"/>
  <c r="BI444" i="12"/>
  <c r="BJ444" i="12"/>
  <c r="BK444" i="12"/>
  <c r="BL444" i="12"/>
  <c r="BM444" i="12"/>
  <c r="BN444" i="12"/>
  <c r="Q445" i="12"/>
  <c r="R445" i="12"/>
  <c r="S445" i="12"/>
  <c r="T445" i="12"/>
  <c r="U445" i="12"/>
  <c r="V445" i="12"/>
  <c r="W445" i="12"/>
  <c r="X445" i="12"/>
  <c r="AA445" i="12"/>
  <c r="AB445" i="12"/>
  <c r="AC445" i="12"/>
  <c r="AD445" i="12"/>
  <c r="AE445" i="12"/>
  <c r="AF445" i="12"/>
  <c r="AG445" i="12"/>
  <c r="AH445" i="12"/>
  <c r="AI445" i="12"/>
  <c r="AJ445" i="12"/>
  <c r="AK445" i="12"/>
  <c r="AL445" i="12"/>
  <c r="AM445" i="12"/>
  <c r="AN445" i="12"/>
  <c r="AO445" i="12"/>
  <c r="AP445" i="12"/>
  <c r="AQ445" i="12"/>
  <c r="AR445" i="12"/>
  <c r="AS445" i="12"/>
  <c r="AT445" i="12"/>
  <c r="AU445" i="12"/>
  <c r="AV445" i="12"/>
  <c r="AW445" i="12"/>
  <c r="AX445" i="12"/>
  <c r="AY445" i="12"/>
  <c r="AZ445" i="12"/>
  <c r="BA445" i="12"/>
  <c r="BB445" i="12"/>
  <c r="BC445" i="12"/>
  <c r="BD445" i="12"/>
  <c r="BE445" i="12"/>
  <c r="BF445" i="12"/>
  <c r="BG445" i="12"/>
  <c r="BH445" i="12"/>
  <c r="BI445" i="12"/>
  <c r="BJ445" i="12"/>
  <c r="BK445" i="12"/>
  <c r="BL445" i="12"/>
  <c r="BM445" i="12"/>
  <c r="BN445" i="12"/>
  <c r="Q446" i="12"/>
  <c r="R446" i="12"/>
  <c r="S446" i="12"/>
  <c r="T446" i="12"/>
  <c r="U446" i="12"/>
  <c r="V446" i="12"/>
  <c r="W446" i="12"/>
  <c r="X446" i="12"/>
  <c r="AA446" i="12"/>
  <c r="AB446" i="12"/>
  <c r="AC446" i="12"/>
  <c r="AD446" i="12"/>
  <c r="AE446" i="12"/>
  <c r="AF446" i="12"/>
  <c r="AG446" i="12"/>
  <c r="AH446" i="12"/>
  <c r="AI446" i="12"/>
  <c r="AJ446" i="12"/>
  <c r="AK446" i="12"/>
  <c r="AL446" i="12"/>
  <c r="AM446" i="12"/>
  <c r="AN446" i="12"/>
  <c r="AO446" i="12"/>
  <c r="AP446" i="12"/>
  <c r="AQ446" i="12"/>
  <c r="AR446" i="12"/>
  <c r="AS446" i="12"/>
  <c r="AT446" i="12"/>
  <c r="AU446" i="12"/>
  <c r="AV446" i="12"/>
  <c r="AW446" i="12"/>
  <c r="AX446" i="12"/>
  <c r="AY446" i="12"/>
  <c r="AZ446" i="12"/>
  <c r="BA446" i="12"/>
  <c r="BB446" i="12"/>
  <c r="BC446" i="12"/>
  <c r="BD446" i="12"/>
  <c r="BE446" i="12"/>
  <c r="BF446" i="12"/>
  <c r="BG446" i="12"/>
  <c r="BH446" i="12"/>
  <c r="BI446" i="12"/>
  <c r="BJ446" i="12"/>
  <c r="BK446" i="12"/>
  <c r="BL446" i="12"/>
  <c r="BM446" i="12"/>
  <c r="BN446" i="12"/>
  <c r="Q447" i="12"/>
  <c r="R447" i="12"/>
  <c r="S447" i="12"/>
  <c r="T447" i="12"/>
  <c r="U447" i="12"/>
  <c r="V447" i="12"/>
  <c r="W447" i="12"/>
  <c r="X447" i="12"/>
  <c r="AA447" i="12"/>
  <c r="AB447" i="12"/>
  <c r="AC447" i="12"/>
  <c r="AD447" i="12"/>
  <c r="AE447" i="12"/>
  <c r="AF447" i="12"/>
  <c r="AG447" i="12"/>
  <c r="AH447" i="12"/>
  <c r="AI447" i="12"/>
  <c r="AJ447" i="12"/>
  <c r="AK447" i="12"/>
  <c r="AL447" i="12"/>
  <c r="AM447" i="12"/>
  <c r="AN447" i="12"/>
  <c r="AO447" i="12"/>
  <c r="AP447" i="12"/>
  <c r="AQ447" i="12"/>
  <c r="AR447" i="12"/>
  <c r="AS447" i="12"/>
  <c r="AT447" i="12"/>
  <c r="AU447" i="12"/>
  <c r="AV447" i="12"/>
  <c r="AW447" i="12"/>
  <c r="AX447" i="12"/>
  <c r="AY447" i="12"/>
  <c r="AZ447" i="12"/>
  <c r="BA447" i="12"/>
  <c r="BB447" i="12"/>
  <c r="BC447" i="12"/>
  <c r="BD447" i="12"/>
  <c r="BE447" i="12"/>
  <c r="BF447" i="12"/>
  <c r="BG447" i="12"/>
  <c r="BH447" i="12"/>
  <c r="BI447" i="12"/>
  <c r="BJ447" i="12"/>
  <c r="BK447" i="12"/>
  <c r="BL447" i="12"/>
  <c r="BM447" i="12"/>
  <c r="BN447" i="12"/>
  <c r="Q448" i="12"/>
  <c r="R448" i="12"/>
  <c r="S448" i="12"/>
  <c r="T448" i="12"/>
  <c r="U448" i="12"/>
  <c r="V448" i="12"/>
  <c r="W448" i="12"/>
  <c r="X448" i="12"/>
  <c r="AA448" i="12"/>
  <c r="AB448" i="12"/>
  <c r="AC448" i="12"/>
  <c r="AD448" i="12"/>
  <c r="AE448" i="12"/>
  <c r="AF448" i="12"/>
  <c r="AG448" i="12"/>
  <c r="AH448" i="12"/>
  <c r="AI448" i="12"/>
  <c r="AJ448" i="12"/>
  <c r="AK448" i="12"/>
  <c r="AL448" i="12"/>
  <c r="AM448" i="12"/>
  <c r="AN448" i="12"/>
  <c r="AO448" i="12"/>
  <c r="AP448" i="12"/>
  <c r="AQ448" i="12"/>
  <c r="AR448" i="12"/>
  <c r="AS448" i="12"/>
  <c r="AT448" i="12"/>
  <c r="AU448" i="12"/>
  <c r="AV448" i="12"/>
  <c r="AW448" i="12"/>
  <c r="AX448" i="12"/>
  <c r="AY448" i="12"/>
  <c r="AZ448" i="12"/>
  <c r="BA448" i="12"/>
  <c r="BB448" i="12"/>
  <c r="BC448" i="12"/>
  <c r="BD448" i="12"/>
  <c r="BE448" i="12"/>
  <c r="BF448" i="12"/>
  <c r="BG448" i="12"/>
  <c r="BH448" i="12"/>
  <c r="BI448" i="12"/>
  <c r="BJ448" i="12"/>
  <c r="BK448" i="12"/>
  <c r="BL448" i="12"/>
  <c r="BM448" i="12"/>
  <c r="BN448" i="12"/>
  <c r="Q449" i="12"/>
  <c r="R449" i="12"/>
  <c r="S449" i="12"/>
  <c r="T449" i="12"/>
  <c r="U449" i="12"/>
  <c r="V449" i="12"/>
  <c r="W449" i="12"/>
  <c r="X449" i="12"/>
  <c r="AA449" i="12"/>
  <c r="AB449" i="12"/>
  <c r="AC449" i="12"/>
  <c r="AD449" i="12"/>
  <c r="AE449" i="12"/>
  <c r="AF449" i="12"/>
  <c r="AG449" i="12"/>
  <c r="AH449" i="12"/>
  <c r="AI449" i="12"/>
  <c r="AJ449" i="12"/>
  <c r="AK449" i="12"/>
  <c r="AL449" i="12"/>
  <c r="AM449" i="12"/>
  <c r="AN449" i="12"/>
  <c r="AO449" i="12"/>
  <c r="AP449" i="12"/>
  <c r="AQ449" i="12"/>
  <c r="AR449" i="12"/>
  <c r="AS449" i="12"/>
  <c r="AT449" i="12"/>
  <c r="AU449" i="12"/>
  <c r="AV449" i="12"/>
  <c r="AW449" i="12"/>
  <c r="AX449" i="12"/>
  <c r="AY449" i="12"/>
  <c r="AZ449" i="12"/>
  <c r="BA449" i="12"/>
  <c r="BB449" i="12"/>
  <c r="BC449" i="12"/>
  <c r="BD449" i="12"/>
  <c r="BE449" i="12"/>
  <c r="BF449" i="12"/>
  <c r="BG449" i="12"/>
  <c r="BH449" i="12"/>
  <c r="BI449" i="12"/>
  <c r="BJ449" i="12"/>
  <c r="BK449" i="12"/>
  <c r="BL449" i="12"/>
  <c r="BM449" i="12"/>
  <c r="BN449" i="12"/>
  <c r="Q450" i="12"/>
  <c r="R450" i="12"/>
  <c r="S450" i="12"/>
  <c r="T450" i="12"/>
  <c r="U450" i="12"/>
  <c r="V450" i="12"/>
  <c r="W450" i="12"/>
  <c r="X450" i="12"/>
  <c r="AA450" i="12"/>
  <c r="AB450" i="12"/>
  <c r="AC450" i="12"/>
  <c r="AD450" i="12"/>
  <c r="AE450" i="12"/>
  <c r="AF450" i="12"/>
  <c r="AG450" i="12"/>
  <c r="AH450" i="12"/>
  <c r="AI450" i="12"/>
  <c r="AJ450" i="12"/>
  <c r="AK450" i="12"/>
  <c r="AL450" i="12"/>
  <c r="AM450" i="12"/>
  <c r="AN450" i="12"/>
  <c r="AO450" i="12"/>
  <c r="AP450" i="12"/>
  <c r="AQ450" i="12"/>
  <c r="AR450" i="12"/>
  <c r="AS450" i="12"/>
  <c r="AT450" i="12"/>
  <c r="AU450" i="12"/>
  <c r="AV450" i="12"/>
  <c r="AW450" i="12"/>
  <c r="AX450" i="12"/>
  <c r="AY450" i="12"/>
  <c r="AZ450" i="12"/>
  <c r="BA450" i="12"/>
  <c r="BB450" i="12"/>
  <c r="BC450" i="12"/>
  <c r="BD450" i="12"/>
  <c r="BE450" i="12"/>
  <c r="BF450" i="12"/>
  <c r="BG450" i="12"/>
  <c r="BH450" i="12"/>
  <c r="BI450" i="12"/>
  <c r="BJ450" i="12"/>
  <c r="BK450" i="12"/>
  <c r="BL450" i="12"/>
  <c r="BM450" i="12"/>
  <c r="BN450" i="12"/>
  <c r="Q451" i="12"/>
  <c r="R451" i="12"/>
  <c r="S451" i="12"/>
  <c r="T451" i="12"/>
  <c r="U451" i="12"/>
  <c r="V451" i="12"/>
  <c r="W451" i="12"/>
  <c r="X451" i="12"/>
  <c r="AA451" i="12"/>
  <c r="AB451" i="12"/>
  <c r="AC451" i="12"/>
  <c r="AD451" i="12"/>
  <c r="AE451" i="12"/>
  <c r="AF451" i="12"/>
  <c r="AG451" i="12"/>
  <c r="AH451" i="12"/>
  <c r="AI451" i="12"/>
  <c r="AJ451" i="12"/>
  <c r="AK451" i="12"/>
  <c r="AL451" i="12"/>
  <c r="AM451" i="12"/>
  <c r="AN451" i="12"/>
  <c r="AO451" i="12"/>
  <c r="AP451" i="12"/>
  <c r="AQ451" i="12"/>
  <c r="AR451" i="12"/>
  <c r="AS451" i="12"/>
  <c r="AT451" i="12"/>
  <c r="AU451" i="12"/>
  <c r="AV451" i="12"/>
  <c r="AW451" i="12"/>
  <c r="AX451" i="12"/>
  <c r="AY451" i="12"/>
  <c r="AZ451" i="12"/>
  <c r="BA451" i="12"/>
  <c r="BB451" i="12"/>
  <c r="BC451" i="12"/>
  <c r="BD451" i="12"/>
  <c r="BE451" i="12"/>
  <c r="BF451" i="12"/>
  <c r="BG451" i="12"/>
  <c r="BH451" i="12"/>
  <c r="BI451" i="12"/>
  <c r="BJ451" i="12"/>
  <c r="BK451" i="12"/>
  <c r="BL451" i="12"/>
  <c r="BM451" i="12"/>
  <c r="BN451" i="12"/>
  <c r="Q452" i="12"/>
  <c r="R452" i="12"/>
  <c r="S452" i="12"/>
  <c r="T452" i="12"/>
  <c r="U452" i="12"/>
  <c r="V452" i="12"/>
  <c r="W452" i="12"/>
  <c r="X452" i="12"/>
  <c r="AA452" i="12"/>
  <c r="AB452" i="12"/>
  <c r="AC452" i="12"/>
  <c r="AD452" i="12"/>
  <c r="AE452" i="12"/>
  <c r="AF452" i="12"/>
  <c r="AG452" i="12"/>
  <c r="AH452" i="12"/>
  <c r="AI452" i="12"/>
  <c r="AJ452" i="12"/>
  <c r="AK452" i="12"/>
  <c r="AL452" i="12"/>
  <c r="AM452" i="12"/>
  <c r="AN452" i="12"/>
  <c r="AO452" i="12"/>
  <c r="AP452" i="12"/>
  <c r="AQ452" i="12"/>
  <c r="AR452" i="12"/>
  <c r="AS452" i="12"/>
  <c r="AT452" i="12"/>
  <c r="AU452" i="12"/>
  <c r="AV452" i="12"/>
  <c r="AW452" i="12"/>
  <c r="AX452" i="12"/>
  <c r="AY452" i="12"/>
  <c r="AZ452" i="12"/>
  <c r="BA452" i="12"/>
  <c r="BB452" i="12"/>
  <c r="BC452" i="12"/>
  <c r="BD452" i="12"/>
  <c r="BE452" i="12"/>
  <c r="BF452" i="12"/>
  <c r="BG452" i="12"/>
  <c r="BH452" i="12"/>
  <c r="BI452" i="12"/>
  <c r="BJ452" i="12"/>
  <c r="BK452" i="12"/>
  <c r="BL452" i="12"/>
  <c r="BM452" i="12"/>
  <c r="BN452" i="12"/>
  <c r="Q453" i="12"/>
  <c r="R453" i="12"/>
  <c r="S453" i="12"/>
  <c r="T453" i="12"/>
  <c r="U453" i="12"/>
  <c r="V453" i="12"/>
  <c r="W453" i="12"/>
  <c r="X453" i="12"/>
  <c r="AA453" i="12"/>
  <c r="AB453" i="12"/>
  <c r="AC453" i="12"/>
  <c r="AD453" i="12"/>
  <c r="AE453" i="12"/>
  <c r="AF453" i="12"/>
  <c r="AG453" i="12"/>
  <c r="AH453" i="12"/>
  <c r="AI453" i="12"/>
  <c r="AJ453" i="12"/>
  <c r="AK453" i="12"/>
  <c r="AL453" i="12"/>
  <c r="AM453" i="12"/>
  <c r="AN453" i="12"/>
  <c r="AO453" i="12"/>
  <c r="AP453" i="12"/>
  <c r="AQ453" i="12"/>
  <c r="AR453" i="12"/>
  <c r="AS453" i="12"/>
  <c r="AT453" i="12"/>
  <c r="AU453" i="12"/>
  <c r="AV453" i="12"/>
  <c r="AW453" i="12"/>
  <c r="AX453" i="12"/>
  <c r="AY453" i="12"/>
  <c r="AZ453" i="12"/>
  <c r="BA453" i="12"/>
  <c r="BB453" i="12"/>
  <c r="BC453" i="12"/>
  <c r="BD453" i="12"/>
  <c r="BE453" i="12"/>
  <c r="BF453" i="12"/>
  <c r="BG453" i="12"/>
  <c r="BH453" i="12"/>
  <c r="BI453" i="12"/>
  <c r="BJ453" i="12"/>
  <c r="BK453" i="12"/>
  <c r="BL453" i="12"/>
  <c r="BM453" i="12"/>
  <c r="BN453" i="12"/>
  <c r="Q454" i="12"/>
  <c r="R454" i="12"/>
  <c r="S454" i="12"/>
  <c r="T454" i="12"/>
  <c r="U454" i="12"/>
  <c r="V454" i="12"/>
  <c r="W454" i="12"/>
  <c r="X454" i="12"/>
  <c r="AA454" i="12"/>
  <c r="AB454" i="12"/>
  <c r="AC454" i="12"/>
  <c r="AD454" i="12"/>
  <c r="AE454" i="12"/>
  <c r="AF454" i="12"/>
  <c r="AG454" i="12"/>
  <c r="AH454" i="12"/>
  <c r="AI454" i="12"/>
  <c r="AJ454" i="12"/>
  <c r="AK454" i="12"/>
  <c r="AL454" i="12"/>
  <c r="AM454" i="12"/>
  <c r="AN454" i="12"/>
  <c r="AO454" i="12"/>
  <c r="AP454" i="12"/>
  <c r="AQ454" i="12"/>
  <c r="AR454" i="12"/>
  <c r="AS454" i="12"/>
  <c r="AT454" i="12"/>
  <c r="AU454" i="12"/>
  <c r="AV454" i="12"/>
  <c r="AW454" i="12"/>
  <c r="AX454" i="12"/>
  <c r="AY454" i="12"/>
  <c r="AZ454" i="12"/>
  <c r="BA454" i="12"/>
  <c r="BB454" i="12"/>
  <c r="BC454" i="12"/>
  <c r="BD454" i="12"/>
  <c r="BE454" i="12"/>
  <c r="BF454" i="12"/>
  <c r="BG454" i="12"/>
  <c r="BH454" i="12"/>
  <c r="BI454" i="12"/>
  <c r="BJ454" i="12"/>
  <c r="BK454" i="12"/>
  <c r="BL454" i="12"/>
  <c r="BM454" i="12"/>
  <c r="BN454" i="12"/>
  <c r="Q455" i="12"/>
  <c r="R455" i="12"/>
  <c r="S455" i="12"/>
  <c r="T455" i="12"/>
  <c r="U455" i="12"/>
  <c r="V455" i="12"/>
  <c r="W455" i="12"/>
  <c r="X455" i="12"/>
  <c r="AA455" i="12"/>
  <c r="AB455" i="12"/>
  <c r="AC455" i="12"/>
  <c r="AD455" i="12"/>
  <c r="AE455" i="12"/>
  <c r="AF455" i="12"/>
  <c r="AG455" i="12"/>
  <c r="AH455" i="12"/>
  <c r="AI455" i="12"/>
  <c r="AJ455" i="12"/>
  <c r="AK455" i="12"/>
  <c r="AL455" i="12"/>
  <c r="AM455" i="12"/>
  <c r="AN455" i="12"/>
  <c r="AO455" i="12"/>
  <c r="AP455" i="12"/>
  <c r="AQ455" i="12"/>
  <c r="AR455" i="12"/>
  <c r="AS455" i="12"/>
  <c r="AT455" i="12"/>
  <c r="AU455" i="12"/>
  <c r="AV455" i="12"/>
  <c r="AW455" i="12"/>
  <c r="AX455" i="12"/>
  <c r="AY455" i="12"/>
  <c r="AZ455" i="12"/>
  <c r="BA455" i="12"/>
  <c r="BB455" i="12"/>
  <c r="BC455" i="12"/>
  <c r="BD455" i="12"/>
  <c r="BE455" i="12"/>
  <c r="BF455" i="12"/>
  <c r="BG455" i="12"/>
  <c r="BH455" i="12"/>
  <c r="BI455" i="12"/>
  <c r="BJ455" i="12"/>
  <c r="BK455" i="12"/>
  <c r="BL455" i="12"/>
  <c r="BM455" i="12"/>
  <c r="BN455" i="12"/>
  <c r="Q456" i="12"/>
  <c r="R456" i="12"/>
  <c r="S456" i="12"/>
  <c r="T456" i="12"/>
  <c r="U456" i="12"/>
  <c r="V456" i="12"/>
  <c r="W456" i="12"/>
  <c r="X456" i="12"/>
  <c r="AA456" i="12"/>
  <c r="AB456" i="12"/>
  <c r="AC456" i="12"/>
  <c r="AD456" i="12"/>
  <c r="AE456" i="12"/>
  <c r="AF456" i="12"/>
  <c r="AG456" i="12"/>
  <c r="AH456" i="12"/>
  <c r="AI456" i="12"/>
  <c r="AJ456" i="12"/>
  <c r="AK456" i="12"/>
  <c r="AL456" i="12"/>
  <c r="AM456" i="12"/>
  <c r="AN456" i="12"/>
  <c r="AO456" i="12"/>
  <c r="AP456" i="12"/>
  <c r="AQ456" i="12"/>
  <c r="AR456" i="12"/>
  <c r="AS456" i="12"/>
  <c r="AT456" i="12"/>
  <c r="AU456" i="12"/>
  <c r="AV456" i="12"/>
  <c r="AW456" i="12"/>
  <c r="AX456" i="12"/>
  <c r="AY456" i="12"/>
  <c r="AZ456" i="12"/>
  <c r="BA456" i="12"/>
  <c r="BB456" i="12"/>
  <c r="BC456" i="12"/>
  <c r="BD456" i="12"/>
  <c r="BE456" i="12"/>
  <c r="BF456" i="12"/>
  <c r="BG456" i="12"/>
  <c r="BH456" i="12"/>
  <c r="BI456" i="12"/>
  <c r="BJ456" i="12"/>
  <c r="BK456" i="12"/>
  <c r="BL456" i="12"/>
  <c r="BM456" i="12"/>
  <c r="BN456" i="12"/>
  <c r="Q457" i="12"/>
  <c r="R457" i="12"/>
  <c r="S457" i="12"/>
  <c r="T457" i="12"/>
  <c r="U457" i="12"/>
  <c r="V457" i="12"/>
  <c r="W457" i="12"/>
  <c r="X457" i="12"/>
  <c r="AA457" i="12"/>
  <c r="AB457" i="12"/>
  <c r="AC457" i="12"/>
  <c r="AD457" i="12"/>
  <c r="AE457" i="12"/>
  <c r="AF457" i="12"/>
  <c r="AG457" i="12"/>
  <c r="AH457" i="12"/>
  <c r="AI457" i="12"/>
  <c r="AJ457" i="12"/>
  <c r="AK457" i="12"/>
  <c r="AL457" i="12"/>
  <c r="AM457" i="12"/>
  <c r="AN457" i="12"/>
  <c r="AO457" i="12"/>
  <c r="AP457" i="12"/>
  <c r="AQ457" i="12"/>
  <c r="AR457" i="12"/>
  <c r="AS457" i="12"/>
  <c r="AT457" i="12"/>
  <c r="AU457" i="12"/>
  <c r="AV457" i="12"/>
  <c r="AW457" i="12"/>
  <c r="AX457" i="12"/>
  <c r="AY457" i="12"/>
  <c r="AZ457" i="12"/>
  <c r="BA457" i="12"/>
  <c r="BB457" i="12"/>
  <c r="BC457" i="12"/>
  <c r="BD457" i="12"/>
  <c r="BE457" i="12"/>
  <c r="BF457" i="12"/>
  <c r="BG457" i="12"/>
  <c r="BH457" i="12"/>
  <c r="BI457" i="12"/>
  <c r="BJ457" i="12"/>
  <c r="BK457" i="12"/>
  <c r="BL457" i="12"/>
  <c r="BM457" i="12"/>
  <c r="BN457" i="12"/>
  <c r="Q458" i="12"/>
  <c r="R458" i="12"/>
  <c r="S458" i="12"/>
  <c r="T458" i="12"/>
  <c r="U458" i="12"/>
  <c r="V458" i="12"/>
  <c r="W458" i="12"/>
  <c r="X458" i="12"/>
  <c r="AA458" i="12"/>
  <c r="AB458" i="12"/>
  <c r="AC458" i="12"/>
  <c r="AD458" i="12"/>
  <c r="AE458" i="12"/>
  <c r="AF458" i="12"/>
  <c r="AG458" i="12"/>
  <c r="AH458" i="12"/>
  <c r="AI458" i="12"/>
  <c r="AJ458" i="12"/>
  <c r="AK458" i="12"/>
  <c r="AL458" i="12"/>
  <c r="AM458" i="12"/>
  <c r="AN458" i="12"/>
  <c r="AO458" i="12"/>
  <c r="AP458" i="12"/>
  <c r="AQ458" i="12"/>
  <c r="AR458" i="12"/>
  <c r="AS458" i="12"/>
  <c r="AT458" i="12"/>
  <c r="AU458" i="12"/>
  <c r="AV458" i="12"/>
  <c r="AW458" i="12"/>
  <c r="AX458" i="12"/>
  <c r="AY458" i="12"/>
  <c r="AZ458" i="12"/>
  <c r="BA458" i="12"/>
  <c r="BB458" i="12"/>
  <c r="BC458" i="12"/>
  <c r="BD458" i="12"/>
  <c r="BE458" i="12"/>
  <c r="BF458" i="12"/>
  <c r="BG458" i="12"/>
  <c r="BH458" i="12"/>
  <c r="BI458" i="12"/>
  <c r="BJ458" i="12"/>
  <c r="BK458" i="12"/>
  <c r="BL458" i="12"/>
  <c r="BM458" i="12"/>
  <c r="BN458" i="12"/>
  <c r="Q459" i="12"/>
  <c r="R459" i="12"/>
  <c r="S459" i="12"/>
  <c r="T459" i="12"/>
  <c r="U459" i="12"/>
  <c r="V459" i="12"/>
  <c r="W459" i="12"/>
  <c r="X459" i="12"/>
  <c r="AA459" i="12"/>
  <c r="AB459" i="12"/>
  <c r="AC459" i="12"/>
  <c r="AD459" i="12"/>
  <c r="AE459" i="12"/>
  <c r="AF459" i="12"/>
  <c r="AG459" i="12"/>
  <c r="AH459" i="12"/>
  <c r="AI459" i="12"/>
  <c r="AJ459" i="12"/>
  <c r="AK459" i="12"/>
  <c r="AL459" i="12"/>
  <c r="AM459" i="12"/>
  <c r="AN459" i="12"/>
  <c r="AO459" i="12"/>
  <c r="AP459" i="12"/>
  <c r="AQ459" i="12"/>
  <c r="AR459" i="12"/>
  <c r="AS459" i="12"/>
  <c r="AT459" i="12"/>
  <c r="AU459" i="12"/>
  <c r="AV459" i="12"/>
  <c r="AW459" i="12"/>
  <c r="AX459" i="12"/>
  <c r="AY459" i="12"/>
  <c r="AZ459" i="12"/>
  <c r="BA459" i="12"/>
  <c r="BB459" i="12"/>
  <c r="BC459" i="12"/>
  <c r="BD459" i="12"/>
  <c r="BE459" i="12"/>
  <c r="BF459" i="12"/>
  <c r="BG459" i="12"/>
  <c r="BH459" i="12"/>
  <c r="BI459" i="12"/>
  <c r="BJ459" i="12"/>
  <c r="BK459" i="12"/>
  <c r="BL459" i="12"/>
  <c r="BM459" i="12"/>
  <c r="BN459" i="12"/>
  <c r="Q460" i="12"/>
  <c r="R460" i="12"/>
  <c r="S460" i="12"/>
  <c r="T460" i="12"/>
  <c r="U460" i="12"/>
  <c r="V460" i="12"/>
  <c r="W460" i="12"/>
  <c r="X460" i="12"/>
  <c r="AA460" i="12"/>
  <c r="AB460" i="12"/>
  <c r="AC460" i="12"/>
  <c r="AD460" i="12"/>
  <c r="AE460" i="12"/>
  <c r="AF460" i="12"/>
  <c r="AG460" i="12"/>
  <c r="AH460" i="12"/>
  <c r="AI460" i="12"/>
  <c r="AJ460" i="12"/>
  <c r="AK460" i="12"/>
  <c r="AL460" i="12"/>
  <c r="AM460" i="12"/>
  <c r="AN460" i="12"/>
  <c r="AO460" i="12"/>
  <c r="AP460" i="12"/>
  <c r="AQ460" i="12"/>
  <c r="AR460" i="12"/>
  <c r="AS460" i="12"/>
  <c r="AT460" i="12"/>
  <c r="AU460" i="12"/>
  <c r="AV460" i="12"/>
  <c r="AW460" i="12"/>
  <c r="AX460" i="12"/>
  <c r="AY460" i="12"/>
  <c r="AZ460" i="12"/>
  <c r="BA460" i="12"/>
  <c r="BB460" i="12"/>
  <c r="BC460" i="12"/>
  <c r="BD460" i="12"/>
  <c r="BE460" i="12"/>
  <c r="BF460" i="12"/>
  <c r="BG460" i="12"/>
  <c r="BH460" i="12"/>
  <c r="BI460" i="12"/>
  <c r="BJ460" i="12"/>
  <c r="BK460" i="12"/>
  <c r="BL460" i="12"/>
  <c r="BM460" i="12"/>
  <c r="BN460" i="12"/>
  <c r="Q461" i="12"/>
  <c r="R461" i="12"/>
  <c r="S461" i="12"/>
  <c r="T461" i="12"/>
  <c r="U461" i="12"/>
  <c r="V461" i="12"/>
  <c r="W461" i="12"/>
  <c r="X461" i="12"/>
  <c r="AA461" i="12"/>
  <c r="AB461" i="12"/>
  <c r="AC461" i="12"/>
  <c r="AD461" i="12"/>
  <c r="AE461" i="12"/>
  <c r="AF461" i="12"/>
  <c r="AG461" i="12"/>
  <c r="AH461" i="12"/>
  <c r="AI461" i="12"/>
  <c r="AJ461" i="12"/>
  <c r="AK461" i="12"/>
  <c r="AL461" i="12"/>
  <c r="AM461" i="12"/>
  <c r="AN461" i="12"/>
  <c r="AO461" i="12"/>
  <c r="AP461" i="12"/>
  <c r="AQ461" i="12"/>
  <c r="AR461" i="12"/>
  <c r="AS461" i="12"/>
  <c r="AT461" i="12"/>
  <c r="AU461" i="12"/>
  <c r="AV461" i="12"/>
  <c r="AW461" i="12"/>
  <c r="AX461" i="12"/>
  <c r="AY461" i="12"/>
  <c r="AZ461" i="12"/>
  <c r="BA461" i="12"/>
  <c r="BB461" i="12"/>
  <c r="BC461" i="12"/>
  <c r="BD461" i="12"/>
  <c r="BE461" i="12"/>
  <c r="BF461" i="12"/>
  <c r="BG461" i="12"/>
  <c r="BH461" i="12"/>
  <c r="BI461" i="12"/>
  <c r="BJ461" i="12"/>
  <c r="BK461" i="12"/>
  <c r="BL461" i="12"/>
  <c r="BM461" i="12"/>
  <c r="BN461" i="12"/>
  <c r="Q462" i="12"/>
  <c r="R462" i="12"/>
  <c r="S462" i="12"/>
  <c r="T462" i="12"/>
  <c r="U462" i="12"/>
  <c r="V462" i="12"/>
  <c r="W462" i="12"/>
  <c r="X462" i="12"/>
  <c r="AA462" i="12"/>
  <c r="AB462" i="12"/>
  <c r="AC462" i="12"/>
  <c r="AD462" i="12"/>
  <c r="AE462" i="12"/>
  <c r="AF462" i="12"/>
  <c r="AG462" i="12"/>
  <c r="AH462" i="12"/>
  <c r="AI462" i="12"/>
  <c r="AJ462" i="12"/>
  <c r="AK462" i="12"/>
  <c r="AL462" i="12"/>
  <c r="AM462" i="12"/>
  <c r="AN462" i="12"/>
  <c r="AO462" i="12"/>
  <c r="AP462" i="12"/>
  <c r="AQ462" i="12"/>
  <c r="AR462" i="12"/>
  <c r="AS462" i="12"/>
  <c r="AT462" i="12"/>
  <c r="AU462" i="12"/>
  <c r="AV462" i="12"/>
  <c r="AW462" i="12"/>
  <c r="AX462" i="12"/>
  <c r="AY462" i="12"/>
  <c r="AZ462" i="12"/>
  <c r="BA462" i="12"/>
  <c r="BB462" i="12"/>
  <c r="BC462" i="12"/>
  <c r="BD462" i="12"/>
  <c r="BE462" i="12"/>
  <c r="BF462" i="12"/>
  <c r="BG462" i="12"/>
  <c r="BH462" i="12"/>
  <c r="BI462" i="12"/>
  <c r="BJ462" i="12"/>
  <c r="BK462" i="12"/>
  <c r="BL462" i="12"/>
  <c r="BM462" i="12"/>
  <c r="BN462" i="12"/>
  <c r="Q463" i="12"/>
  <c r="R463" i="12"/>
  <c r="S463" i="12"/>
  <c r="T463" i="12"/>
  <c r="U463" i="12"/>
  <c r="V463" i="12"/>
  <c r="W463" i="12"/>
  <c r="X463" i="12"/>
  <c r="AA463" i="12"/>
  <c r="AB463" i="12"/>
  <c r="AC463" i="12"/>
  <c r="AD463" i="12"/>
  <c r="AE463" i="12"/>
  <c r="AF463" i="12"/>
  <c r="AG463" i="12"/>
  <c r="AH463" i="12"/>
  <c r="AI463" i="12"/>
  <c r="AJ463" i="12"/>
  <c r="AK463" i="12"/>
  <c r="AL463" i="12"/>
  <c r="AM463" i="12"/>
  <c r="AN463" i="12"/>
  <c r="AO463" i="12"/>
  <c r="AP463" i="12"/>
  <c r="AQ463" i="12"/>
  <c r="AR463" i="12"/>
  <c r="AS463" i="12"/>
  <c r="AT463" i="12"/>
  <c r="AU463" i="12"/>
  <c r="AV463" i="12"/>
  <c r="AW463" i="12"/>
  <c r="AX463" i="12"/>
  <c r="AY463" i="12"/>
  <c r="AZ463" i="12"/>
  <c r="BA463" i="12"/>
  <c r="BB463" i="12"/>
  <c r="BC463" i="12"/>
  <c r="BD463" i="12"/>
  <c r="BE463" i="12"/>
  <c r="BF463" i="12"/>
  <c r="BG463" i="12"/>
  <c r="BH463" i="12"/>
  <c r="BI463" i="12"/>
  <c r="BJ463" i="12"/>
  <c r="BK463" i="12"/>
  <c r="BL463" i="12"/>
  <c r="BM463" i="12"/>
  <c r="BN463" i="12"/>
  <c r="Q464" i="12"/>
  <c r="R464" i="12"/>
  <c r="S464" i="12"/>
  <c r="T464" i="12"/>
  <c r="U464" i="12"/>
  <c r="V464" i="12"/>
  <c r="W464" i="12"/>
  <c r="X464" i="12"/>
  <c r="AA464" i="12"/>
  <c r="AB464" i="12"/>
  <c r="AC464" i="12"/>
  <c r="AD464" i="12"/>
  <c r="AE464" i="12"/>
  <c r="AF464" i="12"/>
  <c r="AG464" i="12"/>
  <c r="AH464" i="12"/>
  <c r="AI464" i="12"/>
  <c r="AJ464" i="12"/>
  <c r="AK464" i="12"/>
  <c r="AL464" i="12"/>
  <c r="AM464" i="12"/>
  <c r="AN464" i="12"/>
  <c r="AO464" i="12"/>
  <c r="AP464" i="12"/>
  <c r="AQ464" i="12"/>
  <c r="AR464" i="12"/>
  <c r="AS464" i="12"/>
  <c r="AT464" i="12"/>
  <c r="AU464" i="12"/>
  <c r="AV464" i="12"/>
  <c r="AW464" i="12"/>
  <c r="AX464" i="12"/>
  <c r="AY464" i="12"/>
  <c r="AZ464" i="12"/>
  <c r="BA464" i="12"/>
  <c r="BB464" i="12"/>
  <c r="BC464" i="12"/>
  <c r="BD464" i="12"/>
  <c r="BE464" i="12"/>
  <c r="BF464" i="12"/>
  <c r="BG464" i="12"/>
  <c r="BH464" i="12"/>
  <c r="BI464" i="12"/>
  <c r="BJ464" i="12"/>
  <c r="BK464" i="12"/>
  <c r="BL464" i="12"/>
  <c r="BM464" i="12"/>
  <c r="BN464" i="12"/>
  <c r="Q465" i="12"/>
  <c r="R465" i="12"/>
  <c r="S465" i="12"/>
  <c r="T465" i="12"/>
  <c r="U465" i="12"/>
  <c r="V465" i="12"/>
  <c r="W465" i="12"/>
  <c r="X465" i="12"/>
  <c r="AA465" i="12"/>
  <c r="AB465" i="12"/>
  <c r="AC465" i="12"/>
  <c r="AD465" i="12"/>
  <c r="AE465" i="12"/>
  <c r="AF465" i="12"/>
  <c r="AG465" i="12"/>
  <c r="AH465" i="12"/>
  <c r="AI465" i="12"/>
  <c r="AJ465" i="12"/>
  <c r="AK465" i="12"/>
  <c r="AL465" i="12"/>
  <c r="AM465" i="12"/>
  <c r="AN465" i="12"/>
  <c r="AO465" i="12"/>
  <c r="AP465" i="12"/>
  <c r="AQ465" i="12"/>
  <c r="AR465" i="12"/>
  <c r="AS465" i="12"/>
  <c r="AT465" i="12"/>
  <c r="AU465" i="12"/>
  <c r="AV465" i="12"/>
  <c r="AW465" i="12"/>
  <c r="AX465" i="12"/>
  <c r="AY465" i="12"/>
  <c r="AZ465" i="12"/>
  <c r="BA465" i="12"/>
  <c r="BB465" i="12"/>
  <c r="BC465" i="12"/>
  <c r="BD465" i="12"/>
  <c r="BE465" i="12"/>
  <c r="BF465" i="12"/>
  <c r="BG465" i="12"/>
  <c r="BH465" i="12"/>
  <c r="BI465" i="12"/>
  <c r="BJ465" i="12"/>
  <c r="BK465" i="12"/>
  <c r="BL465" i="12"/>
  <c r="BM465" i="12"/>
  <c r="BN465" i="12"/>
  <c r="Q466" i="12"/>
  <c r="R466" i="12"/>
  <c r="S466" i="12"/>
  <c r="T466" i="12"/>
  <c r="U466" i="12"/>
  <c r="V466" i="12"/>
  <c r="W466" i="12"/>
  <c r="X466" i="12"/>
  <c r="AA466" i="12"/>
  <c r="AB466" i="12"/>
  <c r="AC466" i="12"/>
  <c r="AD466" i="12"/>
  <c r="AE466" i="12"/>
  <c r="AF466" i="12"/>
  <c r="AG466" i="12"/>
  <c r="AH466" i="12"/>
  <c r="AI466" i="12"/>
  <c r="AJ466" i="12"/>
  <c r="AK466" i="12"/>
  <c r="AL466" i="12"/>
  <c r="AM466" i="12"/>
  <c r="AN466" i="12"/>
  <c r="AO466" i="12"/>
  <c r="AP466" i="12"/>
  <c r="AQ466" i="12"/>
  <c r="AR466" i="12"/>
  <c r="AS466" i="12"/>
  <c r="AT466" i="12"/>
  <c r="AU466" i="12"/>
  <c r="AV466" i="12"/>
  <c r="AW466" i="12"/>
  <c r="AX466" i="12"/>
  <c r="AY466" i="12"/>
  <c r="AZ466" i="12"/>
  <c r="BA466" i="12"/>
  <c r="BB466" i="12"/>
  <c r="BC466" i="12"/>
  <c r="BD466" i="12"/>
  <c r="BE466" i="12"/>
  <c r="BF466" i="12"/>
  <c r="BG466" i="12"/>
  <c r="BH466" i="12"/>
  <c r="BI466" i="12"/>
  <c r="BJ466" i="12"/>
  <c r="BK466" i="12"/>
  <c r="BL466" i="12"/>
  <c r="BM466" i="12"/>
  <c r="BN466" i="12"/>
  <c r="Q467" i="12"/>
  <c r="R467" i="12"/>
  <c r="S467" i="12"/>
  <c r="T467" i="12"/>
  <c r="U467" i="12"/>
  <c r="V467" i="12"/>
  <c r="W467" i="12"/>
  <c r="X467" i="12"/>
  <c r="AA467" i="12"/>
  <c r="AB467" i="12"/>
  <c r="AC467" i="12"/>
  <c r="AD467" i="12"/>
  <c r="AE467" i="12"/>
  <c r="AF467" i="12"/>
  <c r="AG467" i="12"/>
  <c r="AH467" i="12"/>
  <c r="AI467" i="12"/>
  <c r="AJ467" i="12"/>
  <c r="AK467" i="12"/>
  <c r="AL467" i="12"/>
  <c r="AM467" i="12"/>
  <c r="AN467" i="12"/>
  <c r="AO467" i="12"/>
  <c r="AP467" i="12"/>
  <c r="AQ467" i="12"/>
  <c r="AR467" i="12"/>
  <c r="AS467" i="12"/>
  <c r="AT467" i="12"/>
  <c r="AU467" i="12"/>
  <c r="AV467" i="12"/>
  <c r="AW467" i="12"/>
  <c r="AX467" i="12"/>
  <c r="AY467" i="12"/>
  <c r="AZ467" i="12"/>
  <c r="BA467" i="12"/>
  <c r="BB467" i="12"/>
  <c r="BC467" i="12"/>
  <c r="BD467" i="12"/>
  <c r="BE467" i="12"/>
  <c r="BF467" i="12"/>
  <c r="BG467" i="12"/>
  <c r="BH467" i="12"/>
  <c r="BI467" i="12"/>
  <c r="BJ467" i="12"/>
  <c r="BK467" i="12"/>
  <c r="BL467" i="12"/>
  <c r="BM467" i="12"/>
  <c r="BN467" i="12"/>
  <c r="Q468" i="12"/>
  <c r="R468" i="12"/>
  <c r="S468" i="12"/>
  <c r="T468" i="12"/>
  <c r="U468" i="12"/>
  <c r="V468" i="12"/>
  <c r="W468" i="12"/>
  <c r="X468" i="12"/>
  <c r="AA468" i="12"/>
  <c r="AB468" i="12"/>
  <c r="AC468" i="12"/>
  <c r="AD468" i="12"/>
  <c r="AE468" i="12"/>
  <c r="AF468" i="12"/>
  <c r="AG468" i="12"/>
  <c r="AH468" i="12"/>
  <c r="AI468" i="12"/>
  <c r="AJ468" i="12"/>
  <c r="AK468" i="12"/>
  <c r="AL468" i="12"/>
  <c r="AM468" i="12"/>
  <c r="AN468" i="12"/>
  <c r="AO468" i="12"/>
  <c r="AP468" i="12"/>
  <c r="AQ468" i="12"/>
  <c r="AR468" i="12"/>
  <c r="AS468" i="12"/>
  <c r="AT468" i="12"/>
  <c r="AU468" i="12"/>
  <c r="AV468" i="12"/>
  <c r="AW468" i="12"/>
  <c r="AX468" i="12"/>
  <c r="AY468" i="12"/>
  <c r="AZ468" i="12"/>
  <c r="BA468" i="12"/>
  <c r="BB468" i="12"/>
  <c r="BC468" i="12"/>
  <c r="BD468" i="12"/>
  <c r="BE468" i="12"/>
  <c r="BF468" i="12"/>
  <c r="BG468" i="12"/>
  <c r="BH468" i="12"/>
  <c r="BI468" i="12"/>
  <c r="BJ468" i="12"/>
  <c r="BK468" i="12"/>
  <c r="BL468" i="12"/>
  <c r="BM468" i="12"/>
  <c r="BN468" i="12"/>
  <c r="Q469" i="12"/>
  <c r="R469" i="12"/>
  <c r="S469" i="12"/>
  <c r="T469" i="12"/>
  <c r="U469" i="12"/>
  <c r="V469" i="12"/>
  <c r="W469" i="12"/>
  <c r="X469" i="12"/>
  <c r="AA469" i="12"/>
  <c r="AB469" i="12"/>
  <c r="AC469" i="12"/>
  <c r="AD469" i="12"/>
  <c r="AE469" i="12"/>
  <c r="AF469" i="12"/>
  <c r="AG469" i="12"/>
  <c r="AH469" i="12"/>
  <c r="AI469" i="12"/>
  <c r="AJ469" i="12"/>
  <c r="AK469" i="12"/>
  <c r="AL469" i="12"/>
  <c r="AM469" i="12"/>
  <c r="AN469" i="12"/>
  <c r="AO469" i="12"/>
  <c r="AP469" i="12"/>
  <c r="AQ469" i="12"/>
  <c r="AR469" i="12"/>
  <c r="AS469" i="12"/>
  <c r="AT469" i="12"/>
  <c r="AU469" i="12"/>
  <c r="AV469" i="12"/>
  <c r="AW469" i="12"/>
  <c r="AX469" i="12"/>
  <c r="AY469" i="12"/>
  <c r="AZ469" i="12"/>
  <c r="BA469" i="12"/>
  <c r="BB469" i="12"/>
  <c r="BC469" i="12"/>
  <c r="BD469" i="12"/>
  <c r="BE469" i="12"/>
  <c r="BF469" i="12"/>
  <c r="BG469" i="12"/>
  <c r="BH469" i="12"/>
  <c r="BI469" i="12"/>
  <c r="BJ469" i="12"/>
  <c r="BK469" i="12"/>
  <c r="BL469" i="12"/>
  <c r="BM469" i="12"/>
  <c r="BN469" i="12"/>
  <c r="Q470" i="12"/>
  <c r="R470" i="12"/>
  <c r="S470" i="12"/>
  <c r="T470" i="12"/>
  <c r="U470" i="12"/>
  <c r="V470" i="12"/>
  <c r="W470" i="12"/>
  <c r="X470" i="12"/>
  <c r="AA470" i="12"/>
  <c r="AB470" i="12"/>
  <c r="AC470" i="12"/>
  <c r="AD470" i="12"/>
  <c r="AE470" i="12"/>
  <c r="AF470" i="12"/>
  <c r="AG470" i="12"/>
  <c r="AH470" i="12"/>
  <c r="AI470" i="12"/>
  <c r="AJ470" i="12"/>
  <c r="AK470" i="12"/>
  <c r="AL470" i="12"/>
  <c r="AM470" i="12"/>
  <c r="AN470" i="12"/>
  <c r="AO470" i="12"/>
  <c r="AP470" i="12"/>
  <c r="AQ470" i="12"/>
  <c r="AR470" i="12"/>
  <c r="AS470" i="12"/>
  <c r="AT470" i="12"/>
  <c r="AU470" i="12"/>
  <c r="AV470" i="12"/>
  <c r="AW470" i="12"/>
  <c r="AX470" i="12"/>
  <c r="AY470" i="12"/>
  <c r="AZ470" i="12"/>
  <c r="BA470" i="12"/>
  <c r="BB470" i="12"/>
  <c r="BC470" i="12"/>
  <c r="BD470" i="12"/>
  <c r="BE470" i="12"/>
  <c r="BF470" i="12"/>
  <c r="BG470" i="12"/>
  <c r="BH470" i="12"/>
  <c r="BI470" i="12"/>
  <c r="BJ470" i="12"/>
  <c r="BK470" i="12"/>
  <c r="BL470" i="12"/>
  <c r="BM470" i="12"/>
  <c r="BN470" i="12"/>
  <c r="Q471" i="12"/>
  <c r="R471" i="12"/>
  <c r="S471" i="12"/>
  <c r="T471" i="12"/>
  <c r="U471" i="12"/>
  <c r="V471" i="12"/>
  <c r="W471" i="12"/>
  <c r="X471" i="12"/>
  <c r="AA471" i="12"/>
  <c r="AB471" i="12"/>
  <c r="AC471" i="12"/>
  <c r="AD471" i="12"/>
  <c r="AE471" i="12"/>
  <c r="AF471" i="12"/>
  <c r="AG471" i="12"/>
  <c r="AH471" i="12"/>
  <c r="AI471" i="12"/>
  <c r="AJ471" i="12"/>
  <c r="AK471" i="12"/>
  <c r="AL471" i="12"/>
  <c r="AM471" i="12"/>
  <c r="AN471" i="12"/>
  <c r="AO471" i="12"/>
  <c r="AP471" i="12"/>
  <c r="AQ471" i="12"/>
  <c r="AR471" i="12"/>
  <c r="AS471" i="12"/>
  <c r="AT471" i="12"/>
  <c r="AU471" i="12"/>
  <c r="AV471" i="12"/>
  <c r="AW471" i="12"/>
  <c r="AX471" i="12"/>
  <c r="AY471" i="12"/>
  <c r="AZ471" i="12"/>
  <c r="BA471" i="12"/>
  <c r="BB471" i="12"/>
  <c r="BC471" i="12"/>
  <c r="BD471" i="12"/>
  <c r="BE471" i="12"/>
  <c r="BF471" i="12"/>
  <c r="BG471" i="12"/>
  <c r="BH471" i="12"/>
  <c r="BI471" i="12"/>
  <c r="BJ471" i="12"/>
  <c r="BK471" i="12"/>
  <c r="BL471" i="12"/>
  <c r="BM471" i="12"/>
  <c r="BN471" i="12"/>
  <c r="Q472" i="12"/>
  <c r="R472" i="12"/>
  <c r="S472" i="12"/>
  <c r="T472" i="12"/>
  <c r="U472" i="12"/>
  <c r="V472" i="12"/>
  <c r="W472" i="12"/>
  <c r="X472" i="12"/>
  <c r="AA472" i="12"/>
  <c r="AB472" i="12"/>
  <c r="AC472" i="12"/>
  <c r="AD472" i="12"/>
  <c r="AE472" i="12"/>
  <c r="AF472" i="12"/>
  <c r="AG472" i="12"/>
  <c r="AH472" i="12"/>
  <c r="AI472" i="12"/>
  <c r="AJ472" i="12"/>
  <c r="AK472" i="12"/>
  <c r="AL472" i="12"/>
  <c r="AM472" i="12"/>
  <c r="AN472" i="12"/>
  <c r="AO472" i="12"/>
  <c r="AP472" i="12"/>
  <c r="AQ472" i="12"/>
  <c r="AR472" i="12"/>
  <c r="AS472" i="12"/>
  <c r="AT472" i="12"/>
  <c r="AU472" i="12"/>
  <c r="AV472" i="12"/>
  <c r="AW472" i="12"/>
  <c r="AX472" i="12"/>
  <c r="AY472" i="12"/>
  <c r="AZ472" i="12"/>
  <c r="BA472" i="12"/>
  <c r="BB472" i="12"/>
  <c r="BC472" i="12"/>
  <c r="BD472" i="12"/>
  <c r="BE472" i="12"/>
  <c r="BF472" i="12"/>
  <c r="BG472" i="12"/>
  <c r="BH472" i="12"/>
  <c r="BI472" i="12"/>
  <c r="BJ472" i="12"/>
  <c r="BK472" i="12"/>
  <c r="BL472" i="12"/>
  <c r="BM472" i="12"/>
  <c r="BN472" i="12"/>
  <c r="Q473" i="12"/>
  <c r="R473" i="12"/>
  <c r="S473" i="12"/>
  <c r="T473" i="12"/>
  <c r="U473" i="12"/>
  <c r="V473" i="12"/>
  <c r="W473" i="12"/>
  <c r="X473" i="12"/>
  <c r="AA473" i="12"/>
  <c r="AB473" i="12"/>
  <c r="AC473" i="12"/>
  <c r="AD473" i="12"/>
  <c r="AE473" i="12"/>
  <c r="AF473" i="12"/>
  <c r="AG473" i="12"/>
  <c r="AH473" i="12"/>
  <c r="AI473" i="12"/>
  <c r="AJ473" i="12"/>
  <c r="AK473" i="12"/>
  <c r="AL473" i="12"/>
  <c r="AM473" i="12"/>
  <c r="AN473" i="12"/>
  <c r="AO473" i="12"/>
  <c r="AP473" i="12"/>
  <c r="AQ473" i="12"/>
  <c r="AR473" i="12"/>
  <c r="AS473" i="12"/>
  <c r="AT473" i="12"/>
  <c r="AU473" i="12"/>
  <c r="AV473" i="12"/>
  <c r="AW473" i="12"/>
  <c r="AX473" i="12"/>
  <c r="AY473" i="12"/>
  <c r="AZ473" i="12"/>
  <c r="BA473" i="12"/>
  <c r="BB473" i="12"/>
  <c r="BC473" i="12"/>
  <c r="BD473" i="12"/>
  <c r="BE473" i="12"/>
  <c r="BF473" i="12"/>
  <c r="BG473" i="12"/>
  <c r="BH473" i="12"/>
  <c r="BI473" i="12"/>
  <c r="BJ473" i="12"/>
  <c r="BK473" i="12"/>
  <c r="BL473" i="12"/>
  <c r="BM473" i="12"/>
  <c r="BN473" i="12"/>
  <c r="Q474" i="12"/>
  <c r="R474" i="12"/>
  <c r="S474" i="12"/>
  <c r="T474" i="12"/>
  <c r="U474" i="12"/>
  <c r="V474" i="12"/>
  <c r="W474" i="12"/>
  <c r="X474" i="12"/>
  <c r="AA474" i="12"/>
  <c r="AB474" i="12"/>
  <c r="AC474" i="12"/>
  <c r="AD474" i="12"/>
  <c r="AE474" i="12"/>
  <c r="AF474" i="12"/>
  <c r="AG474" i="12"/>
  <c r="AH474" i="12"/>
  <c r="AI474" i="12"/>
  <c r="AJ474" i="12"/>
  <c r="AK474" i="12"/>
  <c r="AL474" i="12"/>
  <c r="AM474" i="12"/>
  <c r="AN474" i="12"/>
  <c r="AO474" i="12"/>
  <c r="AP474" i="12"/>
  <c r="AQ474" i="12"/>
  <c r="AR474" i="12"/>
  <c r="AS474" i="12"/>
  <c r="AT474" i="12"/>
  <c r="AU474" i="12"/>
  <c r="AV474" i="12"/>
  <c r="AW474" i="12"/>
  <c r="AX474" i="12"/>
  <c r="AY474" i="12"/>
  <c r="AZ474" i="12"/>
  <c r="BA474" i="12"/>
  <c r="BB474" i="12"/>
  <c r="BC474" i="12"/>
  <c r="BD474" i="12"/>
  <c r="BE474" i="12"/>
  <c r="BF474" i="12"/>
  <c r="BG474" i="12"/>
  <c r="BH474" i="12"/>
  <c r="BI474" i="12"/>
  <c r="BJ474" i="12"/>
  <c r="BK474" i="12"/>
  <c r="BL474" i="12"/>
  <c r="BM474" i="12"/>
  <c r="BN474" i="12"/>
  <c r="Q475" i="12"/>
  <c r="R475" i="12"/>
  <c r="S475" i="12"/>
  <c r="T475" i="12"/>
  <c r="U475" i="12"/>
  <c r="V475" i="12"/>
  <c r="W475" i="12"/>
  <c r="X475" i="12"/>
  <c r="AA475" i="12"/>
  <c r="AB475" i="12"/>
  <c r="AC475" i="12"/>
  <c r="AD475" i="12"/>
  <c r="AE475" i="12"/>
  <c r="AF475" i="12"/>
  <c r="AG475" i="12"/>
  <c r="AH475" i="12"/>
  <c r="AI475" i="12"/>
  <c r="AJ475" i="12"/>
  <c r="AK475" i="12"/>
  <c r="AL475" i="12"/>
  <c r="AM475" i="12"/>
  <c r="AN475" i="12"/>
  <c r="AO475" i="12"/>
  <c r="AP475" i="12"/>
  <c r="AQ475" i="12"/>
  <c r="AR475" i="12"/>
  <c r="AS475" i="12"/>
  <c r="AT475" i="12"/>
  <c r="AU475" i="12"/>
  <c r="AV475" i="12"/>
  <c r="AW475" i="12"/>
  <c r="AX475" i="12"/>
  <c r="AY475" i="12"/>
  <c r="AZ475" i="12"/>
  <c r="BA475" i="12"/>
  <c r="BB475" i="12"/>
  <c r="BC475" i="12"/>
  <c r="BD475" i="12"/>
  <c r="BE475" i="12"/>
  <c r="BF475" i="12"/>
  <c r="BG475" i="12"/>
  <c r="BH475" i="12"/>
  <c r="BI475" i="12"/>
  <c r="BJ475" i="12"/>
  <c r="BK475" i="12"/>
  <c r="BL475" i="12"/>
  <c r="BM475" i="12"/>
  <c r="BN475" i="12"/>
  <c r="Q476" i="12"/>
  <c r="R476" i="12"/>
  <c r="S476" i="12"/>
  <c r="T476" i="12"/>
  <c r="U476" i="12"/>
  <c r="V476" i="12"/>
  <c r="W476" i="12"/>
  <c r="X476" i="12"/>
  <c r="AA476" i="12"/>
  <c r="AB476" i="12"/>
  <c r="AC476" i="12"/>
  <c r="AD476" i="12"/>
  <c r="AE476" i="12"/>
  <c r="AF476" i="12"/>
  <c r="AG476" i="12"/>
  <c r="AH476" i="12"/>
  <c r="AI476" i="12"/>
  <c r="AJ476" i="12"/>
  <c r="AK476" i="12"/>
  <c r="AL476" i="12"/>
  <c r="AM476" i="12"/>
  <c r="AN476" i="12"/>
  <c r="AO476" i="12"/>
  <c r="AP476" i="12"/>
  <c r="AQ476" i="12"/>
  <c r="AR476" i="12"/>
  <c r="AS476" i="12"/>
  <c r="AT476" i="12"/>
  <c r="AU476" i="12"/>
  <c r="AV476" i="12"/>
  <c r="AW476" i="12"/>
  <c r="AX476" i="12"/>
  <c r="AY476" i="12"/>
  <c r="AZ476" i="12"/>
  <c r="BA476" i="12"/>
  <c r="BB476" i="12"/>
  <c r="BC476" i="12"/>
  <c r="BD476" i="12"/>
  <c r="BE476" i="12"/>
  <c r="BF476" i="12"/>
  <c r="BG476" i="12"/>
  <c r="BH476" i="12"/>
  <c r="BI476" i="12"/>
  <c r="BJ476" i="12"/>
  <c r="BK476" i="12"/>
  <c r="BL476" i="12"/>
  <c r="BM476" i="12"/>
  <c r="BN476" i="12"/>
  <c r="Q477" i="12"/>
  <c r="R477" i="12"/>
  <c r="S477" i="12"/>
  <c r="T477" i="12"/>
  <c r="U477" i="12"/>
  <c r="V477" i="12"/>
  <c r="W477" i="12"/>
  <c r="X477" i="12"/>
  <c r="AA477" i="12"/>
  <c r="AB477" i="12"/>
  <c r="AC477" i="12"/>
  <c r="AD477" i="12"/>
  <c r="AE477" i="12"/>
  <c r="AF477" i="12"/>
  <c r="AG477" i="12"/>
  <c r="AH477" i="12"/>
  <c r="AI477" i="12"/>
  <c r="AJ477" i="12"/>
  <c r="AK477" i="12"/>
  <c r="AL477" i="12"/>
  <c r="AM477" i="12"/>
  <c r="AN477" i="12"/>
  <c r="AO477" i="12"/>
  <c r="AP477" i="12"/>
  <c r="AQ477" i="12"/>
  <c r="AR477" i="12"/>
  <c r="AS477" i="12"/>
  <c r="AT477" i="12"/>
  <c r="AU477" i="12"/>
  <c r="AV477" i="12"/>
  <c r="AW477" i="12"/>
  <c r="AX477" i="12"/>
  <c r="AY477" i="12"/>
  <c r="AZ477" i="12"/>
  <c r="BA477" i="12"/>
  <c r="BB477" i="12"/>
  <c r="BC477" i="12"/>
  <c r="BD477" i="12"/>
  <c r="BE477" i="12"/>
  <c r="BF477" i="12"/>
  <c r="BG477" i="12"/>
  <c r="BH477" i="12"/>
  <c r="BI477" i="12"/>
  <c r="BJ477" i="12"/>
  <c r="BK477" i="12"/>
  <c r="BL477" i="12"/>
  <c r="BM477" i="12"/>
  <c r="BN477" i="12"/>
  <c r="Q478" i="12"/>
  <c r="R478" i="12"/>
  <c r="S478" i="12"/>
  <c r="T478" i="12"/>
  <c r="U478" i="12"/>
  <c r="V478" i="12"/>
  <c r="W478" i="12"/>
  <c r="X478" i="12"/>
  <c r="AA478" i="12"/>
  <c r="AB478" i="12"/>
  <c r="AC478" i="12"/>
  <c r="AD478" i="12"/>
  <c r="AE478" i="12"/>
  <c r="AF478" i="12"/>
  <c r="AG478" i="12"/>
  <c r="AH478" i="12"/>
  <c r="AI478" i="12"/>
  <c r="AJ478" i="12"/>
  <c r="AK478" i="12"/>
  <c r="AL478" i="12"/>
  <c r="AM478" i="12"/>
  <c r="AN478" i="12"/>
  <c r="AO478" i="12"/>
  <c r="AP478" i="12"/>
  <c r="AQ478" i="12"/>
  <c r="AR478" i="12"/>
  <c r="AS478" i="12"/>
  <c r="AT478" i="12"/>
  <c r="AU478" i="12"/>
  <c r="AV478" i="12"/>
  <c r="AW478" i="12"/>
  <c r="AX478" i="12"/>
  <c r="AY478" i="12"/>
  <c r="AZ478" i="12"/>
  <c r="BA478" i="12"/>
  <c r="BB478" i="12"/>
  <c r="BC478" i="12"/>
  <c r="BD478" i="12"/>
  <c r="BE478" i="12"/>
  <c r="BF478" i="12"/>
  <c r="BG478" i="12"/>
  <c r="BH478" i="12"/>
  <c r="BI478" i="12"/>
  <c r="BJ478" i="12"/>
  <c r="BK478" i="12"/>
  <c r="BL478" i="12"/>
  <c r="BM478" i="12"/>
  <c r="BN478" i="12"/>
  <c r="Q479" i="12"/>
  <c r="R479" i="12"/>
  <c r="S479" i="12"/>
  <c r="T479" i="12"/>
  <c r="U479" i="12"/>
  <c r="V479" i="12"/>
  <c r="W479" i="12"/>
  <c r="X479" i="12"/>
  <c r="AA479" i="12"/>
  <c r="AB479" i="12"/>
  <c r="AC479" i="12"/>
  <c r="AD479" i="12"/>
  <c r="AE479" i="12"/>
  <c r="AF479" i="12"/>
  <c r="AG479" i="12"/>
  <c r="AH479" i="12"/>
  <c r="AI479" i="12"/>
  <c r="AJ479" i="12"/>
  <c r="AK479" i="12"/>
  <c r="AL479" i="12"/>
  <c r="AM479" i="12"/>
  <c r="AN479" i="12"/>
  <c r="AO479" i="12"/>
  <c r="AP479" i="12"/>
  <c r="AQ479" i="12"/>
  <c r="AR479" i="12"/>
  <c r="AS479" i="12"/>
  <c r="AT479" i="12"/>
  <c r="AU479" i="12"/>
  <c r="AV479" i="12"/>
  <c r="AW479" i="12"/>
  <c r="AX479" i="12"/>
  <c r="AY479" i="12"/>
  <c r="AZ479" i="12"/>
  <c r="BA479" i="12"/>
  <c r="BB479" i="12"/>
  <c r="BC479" i="12"/>
  <c r="BD479" i="12"/>
  <c r="BE479" i="12"/>
  <c r="BF479" i="12"/>
  <c r="BG479" i="12"/>
  <c r="BH479" i="12"/>
  <c r="BI479" i="12"/>
  <c r="BJ479" i="12"/>
  <c r="BK479" i="12"/>
  <c r="BL479" i="12"/>
  <c r="BM479" i="12"/>
  <c r="BN479" i="12"/>
  <c r="Q480" i="12"/>
  <c r="R480" i="12"/>
  <c r="S480" i="12"/>
  <c r="T480" i="12"/>
  <c r="U480" i="12"/>
  <c r="V480" i="12"/>
  <c r="W480" i="12"/>
  <c r="X480" i="12"/>
  <c r="AA480" i="12"/>
  <c r="AB480" i="12"/>
  <c r="AC480" i="12"/>
  <c r="AD480" i="12"/>
  <c r="AE480" i="12"/>
  <c r="AF480" i="12"/>
  <c r="AG480" i="12"/>
  <c r="AH480" i="12"/>
  <c r="AI480" i="12"/>
  <c r="AJ480" i="12"/>
  <c r="AK480" i="12"/>
  <c r="AL480" i="12"/>
  <c r="AM480" i="12"/>
  <c r="AN480" i="12"/>
  <c r="AO480" i="12"/>
  <c r="AP480" i="12"/>
  <c r="AQ480" i="12"/>
  <c r="AR480" i="12"/>
  <c r="AS480" i="12"/>
  <c r="AT480" i="12"/>
  <c r="AU480" i="12"/>
  <c r="AV480" i="12"/>
  <c r="AW480" i="12"/>
  <c r="AX480" i="12"/>
  <c r="AY480" i="12"/>
  <c r="AZ480" i="12"/>
  <c r="BA480" i="12"/>
  <c r="BB480" i="12"/>
  <c r="BC480" i="12"/>
  <c r="BD480" i="12"/>
  <c r="BE480" i="12"/>
  <c r="BF480" i="12"/>
  <c r="BG480" i="12"/>
  <c r="BH480" i="12"/>
  <c r="BI480" i="12"/>
  <c r="BJ480" i="12"/>
  <c r="BK480" i="12"/>
  <c r="BL480" i="12"/>
  <c r="BM480" i="12"/>
  <c r="BN480" i="12"/>
  <c r="Q481" i="12"/>
  <c r="R481" i="12"/>
  <c r="S481" i="12"/>
  <c r="T481" i="12"/>
  <c r="U481" i="12"/>
  <c r="V481" i="12"/>
  <c r="W481" i="12"/>
  <c r="X481" i="12"/>
  <c r="AA481" i="12"/>
  <c r="AB481" i="12"/>
  <c r="AC481" i="12"/>
  <c r="AD481" i="12"/>
  <c r="AE481" i="12"/>
  <c r="AF481" i="12"/>
  <c r="AG481" i="12"/>
  <c r="AH481" i="12"/>
  <c r="AI481" i="12"/>
  <c r="AJ481" i="12"/>
  <c r="AK481" i="12"/>
  <c r="AL481" i="12"/>
  <c r="AM481" i="12"/>
  <c r="AN481" i="12"/>
  <c r="AO481" i="12"/>
  <c r="AP481" i="12"/>
  <c r="AQ481" i="12"/>
  <c r="AR481" i="12"/>
  <c r="AS481" i="12"/>
  <c r="AT481" i="12"/>
  <c r="AU481" i="12"/>
  <c r="AV481" i="12"/>
  <c r="AW481" i="12"/>
  <c r="AX481" i="12"/>
  <c r="AY481" i="12"/>
  <c r="AZ481" i="12"/>
  <c r="BA481" i="12"/>
  <c r="BB481" i="12"/>
  <c r="BC481" i="12"/>
  <c r="BD481" i="12"/>
  <c r="BE481" i="12"/>
  <c r="BF481" i="12"/>
  <c r="BG481" i="12"/>
  <c r="BH481" i="12"/>
  <c r="BI481" i="12"/>
  <c r="BJ481" i="12"/>
  <c r="BK481" i="12"/>
  <c r="BL481" i="12"/>
  <c r="BM481" i="12"/>
  <c r="BN481" i="12"/>
  <c r="Q482" i="12"/>
  <c r="R482" i="12"/>
  <c r="S482" i="12"/>
  <c r="T482" i="12"/>
  <c r="U482" i="12"/>
  <c r="V482" i="12"/>
  <c r="W482" i="12"/>
  <c r="X482" i="12"/>
  <c r="AA482" i="12"/>
  <c r="AB482" i="12"/>
  <c r="AC482" i="12"/>
  <c r="AD482" i="12"/>
  <c r="AE482" i="12"/>
  <c r="AF482" i="12"/>
  <c r="AG482" i="12"/>
  <c r="AH482" i="12"/>
  <c r="AI482" i="12"/>
  <c r="AJ482" i="12"/>
  <c r="AK482" i="12"/>
  <c r="AL482" i="12"/>
  <c r="AM482" i="12"/>
  <c r="AN482" i="12"/>
  <c r="AO482" i="12"/>
  <c r="AP482" i="12"/>
  <c r="AQ482" i="12"/>
  <c r="AR482" i="12"/>
  <c r="AS482" i="12"/>
  <c r="AT482" i="12"/>
  <c r="AU482" i="12"/>
  <c r="AV482" i="12"/>
  <c r="AW482" i="12"/>
  <c r="AX482" i="12"/>
  <c r="AY482" i="12"/>
  <c r="AZ482" i="12"/>
  <c r="BA482" i="12"/>
  <c r="BB482" i="12"/>
  <c r="BC482" i="12"/>
  <c r="BD482" i="12"/>
  <c r="BE482" i="12"/>
  <c r="BF482" i="12"/>
  <c r="BG482" i="12"/>
  <c r="BH482" i="12"/>
  <c r="BI482" i="12"/>
  <c r="BJ482" i="12"/>
  <c r="BK482" i="12"/>
  <c r="BL482" i="12"/>
  <c r="BM482" i="12"/>
  <c r="BN482" i="12"/>
  <c r="Q483" i="12"/>
  <c r="R483" i="12"/>
  <c r="S483" i="12"/>
  <c r="T483" i="12"/>
  <c r="U483" i="12"/>
  <c r="V483" i="12"/>
  <c r="W483" i="12"/>
  <c r="X483" i="12"/>
  <c r="AA483" i="12"/>
  <c r="AB483" i="12"/>
  <c r="AC483" i="12"/>
  <c r="AD483" i="12"/>
  <c r="AE483" i="12"/>
  <c r="AF483" i="12"/>
  <c r="AG483" i="12"/>
  <c r="AH483" i="12"/>
  <c r="AI483" i="12"/>
  <c r="AJ483" i="12"/>
  <c r="AK483" i="12"/>
  <c r="AL483" i="12"/>
  <c r="AM483" i="12"/>
  <c r="AN483" i="12"/>
  <c r="AO483" i="12"/>
  <c r="AP483" i="12"/>
  <c r="AQ483" i="12"/>
  <c r="AR483" i="12"/>
  <c r="AS483" i="12"/>
  <c r="AT483" i="12"/>
  <c r="AU483" i="12"/>
  <c r="AV483" i="12"/>
  <c r="AW483" i="12"/>
  <c r="AX483" i="12"/>
  <c r="AY483" i="12"/>
  <c r="AZ483" i="12"/>
  <c r="BA483" i="12"/>
  <c r="BB483" i="12"/>
  <c r="BC483" i="12"/>
  <c r="BD483" i="12"/>
  <c r="BE483" i="12"/>
  <c r="BF483" i="12"/>
  <c r="BG483" i="12"/>
  <c r="BH483" i="12"/>
  <c r="BI483" i="12"/>
  <c r="BJ483" i="12"/>
  <c r="BK483" i="12"/>
  <c r="BL483" i="12"/>
  <c r="BM483" i="12"/>
  <c r="BN483" i="12"/>
  <c r="Q484" i="12"/>
  <c r="R484" i="12"/>
  <c r="S484" i="12"/>
  <c r="T484" i="12"/>
  <c r="U484" i="12"/>
  <c r="V484" i="12"/>
  <c r="W484" i="12"/>
  <c r="X484" i="12"/>
  <c r="AA484" i="12"/>
  <c r="AB484" i="12"/>
  <c r="AC484" i="12"/>
  <c r="AD484" i="12"/>
  <c r="AE484" i="12"/>
  <c r="AF484" i="12"/>
  <c r="AG484" i="12"/>
  <c r="AH484" i="12"/>
  <c r="AI484" i="12"/>
  <c r="AJ484" i="12"/>
  <c r="AK484" i="12"/>
  <c r="AL484" i="12"/>
  <c r="AM484" i="12"/>
  <c r="AN484" i="12"/>
  <c r="AO484" i="12"/>
  <c r="AP484" i="12"/>
  <c r="AQ484" i="12"/>
  <c r="AR484" i="12"/>
  <c r="AS484" i="12"/>
  <c r="AT484" i="12"/>
  <c r="AU484" i="12"/>
  <c r="AV484" i="12"/>
  <c r="AW484" i="12"/>
  <c r="AX484" i="12"/>
  <c r="AY484" i="12"/>
  <c r="AZ484" i="12"/>
  <c r="BA484" i="12"/>
  <c r="BB484" i="12"/>
  <c r="BC484" i="12"/>
  <c r="BD484" i="12"/>
  <c r="BE484" i="12"/>
  <c r="BF484" i="12"/>
  <c r="BG484" i="12"/>
  <c r="BH484" i="12"/>
  <c r="BI484" i="12"/>
  <c r="BJ484" i="12"/>
  <c r="BK484" i="12"/>
  <c r="BL484" i="12"/>
  <c r="BM484" i="12"/>
  <c r="BN484" i="12"/>
  <c r="Q485" i="12"/>
  <c r="R485" i="12"/>
  <c r="S485" i="12"/>
  <c r="T485" i="12"/>
  <c r="U485" i="12"/>
  <c r="V485" i="12"/>
  <c r="W485" i="12"/>
  <c r="X485" i="12"/>
  <c r="AA485" i="12"/>
  <c r="AB485" i="12"/>
  <c r="AC485" i="12"/>
  <c r="AD485" i="12"/>
  <c r="AE485" i="12"/>
  <c r="AF485" i="12"/>
  <c r="AG485" i="12"/>
  <c r="AH485" i="12"/>
  <c r="AI485" i="12"/>
  <c r="AJ485" i="12"/>
  <c r="AK485" i="12"/>
  <c r="AL485" i="12"/>
  <c r="AM485" i="12"/>
  <c r="AN485" i="12"/>
  <c r="AO485" i="12"/>
  <c r="AP485" i="12"/>
  <c r="AQ485" i="12"/>
  <c r="AR485" i="12"/>
  <c r="AS485" i="12"/>
  <c r="AT485" i="12"/>
  <c r="AU485" i="12"/>
  <c r="AV485" i="12"/>
  <c r="AW485" i="12"/>
  <c r="AX485" i="12"/>
  <c r="AY485" i="12"/>
  <c r="AZ485" i="12"/>
  <c r="BA485" i="12"/>
  <c r="BB485" i="12"/>
  <c r="BC485" i="12"/>
  <c r="BD485" i="12"/>
  <c r="BE485" i="12"/>
  <c r="BF485" i="12"/>
  <c r="BG485" i="12"/>
  <c r="BH485" i="12"/>
  <c r="BI485" i="12"/>
  <c r="BJ485" i="12"/>
  <c r="BK485" i="12"/>
  <c r="BL485" i="12"/>
  <c r="BM485" i="12"/>
  <c r="BN485" i="12"/>
  <c r="Q486" i="12"/>
  <c r="R486" i="12"/>
  <c r="S486" i="12"/>
  <c r="T486" i="12"/>
  <c r="U486" i="12"/>
  <c r="V486" i="12"/>
  <c r="W486" i="12"/>
  <c r="X486" i="12"/>
  <c r="AA486" i="12"/>
  <c r="AB486" i="12"/>
  <c r="AC486" i="12"/>
  <c r="AD486" i="12"/>
  <c r="AE486" i="12"/>
  <c r="AF486" i="12"/>
  <c r="AG486" i="12"/>
  <c r="AH486" i="12"/>
  <c r="AI486" i="12"/>
  <c r="AJ486" i="12"/>
  <c r="AK486" i="12"/>
  <c r="AL486" i="12"/>
  <c r="AM486" i="12"/>
  <c r="AN486" i="12"/>
  <c r="AO486" i="12"/>
  <c r="AP486" i="12"/>
  <c r="AQ486" i="12"/>
  <c r="AR486" i="12"/>
  <c r="AS486" i="12"/>
  <c r="AT486" i="12"/>
  <c r="AU486" i="12"/>
  <c r="AV486" i="12"/>
  <c r="AW486" i="12"/>
  <c r="AX486" i="12"/>
  <c r="AY486" i="12"/>
  <c r="AZ486" i="12"/>
  <c r="BA486" i="12"/>
  <c r="BB486" i="12"/>
  <c r="BC486" i="12"/>
  <c r="BD486" i="12"/>
  <c r="BE486" i="12"/>
  <c r="BF486" i="12"/>
  <c r="BG486" i="12"/>
  <c r="BH486" i="12"/>
  <c r="BI486" i="12"/>
  <c r="BJ486" i="12"/>
  <c r="BK486" i="12"/>
  <c r="BL486" i="12"/>
  <c r="BM486" i="12"/>
  <c r="BN486" i="12"/>
  <c r="Q487" i="12"/>
  <c r="R487" i="12"/>
  <c r="S487" i="12"/>
  <c r="T487" i="12"/>
  <c r="U487" i="12"/>
  <c r="V487" i="12"/>
  <c r="W487" i="12"/>
  <c r="X487" i="12"/>
  <c r="AA487" i="12"/>
  <c r="AB487" i="12"/>
  <c r="AC487" i="12"/>
  <c r="AD487" i="12"/>
  <c r="AE487" i="12"/>
  <c r="AF487" i="12"/>
  <c r="AG487" i="12"/>
  <c r="AH487" i="12"/>
  <c r="AI487" i="12"/>
  <c r="AJ487" i="12"/>
  <c r="AK487" i="12"/>
  <c r="AL487" i="12"/>
  <c r="AM487" i="12"/>
  <c r="AN487" i="12"/>
  <c r="AO487" i="12"/>
  <c r="AP487" i="12"/>
  <c r="AQ487" i="12"/>
  <c r="AR487" i="12"/>
  <c r="AS487" i="12"/>
  <c r="AT487" i="12"/>
  <c r="AU487" i="12"/>
  <c r="AV487" i="12"/>
  <c r="AW487" i="12"/>
  <c r="AX487" i="12"/>
  <c r="AY487" i="12"/>
  <c r="AZ487" i="12"/>
  <c r="BA487" i="12"/>
  <c r="BB487" i="12"/>
  <c r="BC487" i="12"/>
  <c r="BD487" i="12"/>
  <c r="BE487" i="12"/>
  <c r="BF487" i="12"/>
  <c r="BG487" i="12"/>
  <c r="BH487" i="12"/>
  <c r="BI487" i="12"/>
  <c r="BJ487" i="12"/>
  <c r="BK487" i="12"/>
  <c r="BL487" i="12"/>
  <c r="BM487" i="12"/>
  <c r="BN487" i="12"/>
  <c r="Q488" i="12"/>
  <c r="R488" i="12"/>
  <c r="S488" i="12"/>
  <c r="T488" i="12"/>
  <c r="U488" i="12"/>
  <c r="V488" i="12"/>
  <c r="W488" i="12"/>
  <c r="X488" i="12"/>
  <c r="AA488" i="12"/>
  <c r="AB488" i="12"/>
  <c r="AC488" i="12"/>
  <c r="AD488" i="12"/>
  <c r="AE488" i="12"/>
  <c r="AF488" i="12"/>
  <c r="AG488" i="12"/>
  <c r="AH488" i="12"/>
  <c r="AI488" i="12"/>
  <c r="AJ488" i="12"/>
  <c r="AK488" i="12"/>
  <c r="AL488" i="12"/>
  <c r="AM488" i="12"/>
  <c r="AN488" i="12"/>
  <c r="AO488" i="12"/>
  <c r="AP488" i="12"/>
  <c r="AQ488" i="12"/>
  <c r="AR488" i="12"/>
  <c r="AS488" i="12"/>
  <c r="AT488" i="12"/>
  <c r="AU488" i="12"/>
  <c r="AV488" i="12"/>
  <c r="AW488" i="12"/>
  <c r="AX488" i="12"/>
  <c r="AY488" i="12"/>
  <c r="AZ488" i="12"/>
  <c r="BA488" i="12"/>
  <c r="BB488" i="12"/>
  <c r="BC488" i="12"/>
  <c r="BD488" i="12"/>
  <c r="BE488" i="12"/>
  <c r="BF488" i="12"/>
  <c r="BG488" i="12"/>
  <c r="BH488" i="12"/>
  <c r="BI488" i="12"/>
  <c r="BJ488" i="12"/>
  <c r="BK488" i="12"/>
  <c r="BL488" i="12"/>
  <c r="BM488" i="12"/>
  <c r="BN488" i="12"/>
  <c r="Q489" i="12"/>
  <c r="R489" i="12"/>
  <c r="S489" i="12"/>
  <c r="T489" i="12"/>
  <c r="U489" i="12"/>
  <c r="V489" i="12"/>
  <c r="W489" i="12"/>
  <c r="X489" i="12"/>
  <c r="AA489" i="12"/>
  <c r="AB489" i="12"/>
  <c r="AC489" i="12"/>
  <c r="AD489" i="12"/>
  <c r="AE489" i="12"/>
  <c r="AF489" i="12"/>
  <c r="AG489" i="12"/>
  <c r="AH489" i="12"/>
  <c r="AI489" i="12"/>
  <c r="AJ489" i="12"/>
  <c r="AK489" i="12"/>
  <c r="AL489" i="12"/>
  <c r="AM489" i="12"/>
  <c r="AN489" i="12"/>
  <c r="AO489" i="12"/>
  <c r="AP489" i="12"/>
  <c r="AQ489" i="12"/>
  <c r="AR489" i="12"/>
  <c r="AS489" i="12"/>
  <c r="AT489" i="12"/>
  <c r="AU489" i="12"/>
  <c r="AV489" i="12"/>
  <c r="AW489" i="12"/>
  <c r="AX489" i="12"/>
  <c r="AY489" i="12"/>
  <c r="AZ489" i="12"/>
  <c r="BA489" i="12"/>
  <c r="BB489" i="12"/>
  <c r="BC489" i="12"/>
  <c r="BD489" i="12"/>
  <c r="BE489" i="12"/>
  <c r="BF489" i="12"/>
  <c r="BG489" i="12"/>
  <c r="BH489" i="12"/>
  <c r="BI489" i="12"/>
  <c r="BJ489" i="12"/>
  <c r="BK489" i="12"/>
  <c r="BL489" i="12"/>
  <c r="BM489" i="12"/>
  <c r="BN489" i="12"/>
  <c r="Q490" i="12"/>
  <c r="R490" i="12"/>
  <c r="S490" i="12"/>
  <c r="T490" i="12"/>
  <c r="U490" i="12"/>
  <c r="V490" i="12"/>
  <c r="W490" i="12"/>
  <c r="X490" i="12"/>
  <c r="AA490" i="12"/>
  <c r="AB490" i="12"/>
  <c r="AC490" i="12"/>
  <c r="AD490" i="12"/>
  <c r="AE490" i="12"/>
  <c r="AF490" i="12"/>
  <c r="AG490" i="12"/>
  <c r="AH490" i="12"/>
  <c r="AI490" i="12"/>
  <c r="AJ490" i="12"/>
  <c r="AK490" i="12"/>
  <c r="AL490" i="12"/>
  <c r="AM490" i="12"/>
  <c r="AN490" i="12"/>
  <c r="AO490" i="12"/>
  <c r="AP490" i="12"/>
  <c r="AQ490" i="12"/>
  <c r="AR490" i="12"/>
  <c r="AS490" i="12"/>
  <c r="AT490" i="12"/>
  <c r="AU490" i="12"/>
  <c r="AV490" i="12"/>
  <c r="AW490" i="12"/>
  <c r="AX490" i="12"/>
  <c r="AY490" i="12"/>
  <c r="AZ490" i="12"/>
  <c r="BA490" i="12"/>
  <c r="BB490" i="12"/>
  <c r="BC490" i="12"/>
  <c r="BD490" i="12"/>
  <c r="BE490" i="12"/>
  <c r="BF490" i="12"/>
  <c r="BG490" i="12"/>
  <c r="BH490" i="12"/>
  <c r="BI490" i="12"/>
  <c r="BJ490" i="12"/>
  <c r="BK490" i="12"/>
  <c r="BL490" i="12"/>
  <c r="BM490" i="12"/>
  <c r="BN490" i="12"/>
  <c r="Q491" i="12"/>
  <c r="R491" i="12"/>
  <c r="S491" i="12"/>
  <c r="T491" i="12"/>
  <c r="U491" i="12"/>
  <c r="V491" i="12"/>
  <c r="W491" i="12"/>
  <c r="X491" i="12"/>
  <c r="AA491" i="12"/>
  <c r="AB491" i="12"/>
  <c r="AC491" i="12"/>
  <c r="AD491" i="12"/>
  <c r="AE491" i="12"/>
  <c r="AF491" i="12"/>
  <c r="AG491" i="12"/>
  <c r="AH491" i="12"/>
  <c r="AI491" i="12"/>
  <c r="AJ491" i="12"/>
  <c r="AK491" i="12"/>
  <c r="AL491" i="12"/>
  <c r="AM491" i="12"/>
  <c r="AN491" i="12"/>
  <c r="AO491" i="12"/>
  <c r="AP491" i="12"/>
  <c r="AQ491" i="12"/>
  <c r="AR491" i="12"/>
  <c r="AS491" i="12"/>
  <c r="AT491" i="12"/>
  <c r="AU491" i="12"/>
  <c r="AV491" i="12"/>
  <c r="AW491" i="12"/>
  <c r="AX491" i="12"/>
  <c r="AY491" i="12"/>
  <c r="AZ491" i="12"/>
  <c r="BA491" i="12"/>
  <c r="BB491" i="12"/>
  <c r="BC491" i="12"/>
  <c r="BD491" i="12"/>
  <c r="BE491" i="12"/>
  <c r="BF491" i="12"/>
  <c r="BG491" i="12"/>
  <c r="BH491" i="12"/>
  <c r="BI491" i="12"/>
  <c r="BJ491" i="12"/>
  <c r="BK491" i="12"/>
  <c r="BL491" i="12"/>
  <c r="BM491" i="12"/>
  <c r="BN491" i="12"/>
  <c r="Q492" i="12"/>
  <c r="R492" i="12"/>
  <c r="S492" i="12"/>
  <c r="T492" i="12"/>
  <c r="U492" i="12"/>
  <c r="V492" i="12"/>
  <c r="W492" i="12"/>
  <c r="X492" i="12"/>
  <c r="AA492" i="12"/>
  <c r="AB492" i="12"/>
  <c r="AC492" i="12"/>
  <c r="AD492" i="12"/>
  <c r="AE492" i="12"/>
  <c r="AF492" i="12"/>
  <c r="AG492" i="12"/>
  <c r="AH492" i="12"/>
  <c r="AI492" i="12"/>
  <c r="AJ492" i="12"/>
  <c r="AK492" i="12"/>
  <c r="AL492" i="12"/>
  <c r="AM492" i="12"/>
  <c r="AN492" i="12"/>
  <c r="AO492" i="12"/>
  <c r="AP492" i="12"/>
  <c r="AQ492" i="12"/>
  <c r="AR492" i="12"/>
  <c r="AS492" i="12"/>
  <c r="AT492" i="12"/>
  <c r="AU492" i="12"/>
  <c r="AV492" i="12"/>
  <c r="AW492" i="12"/>
  <c r="AX492" i="12"/>
  <c r="AY492" i="12"/>
  <c r="AZ492" i="12"/>
  <c r="BA492" i="12"/>
  <c r="BB492" i="12"/>
  <c r="BC492" i="12"/>
  <c r="BD492" i="12"/>
  <c r="BE492" i="12"/>
  <c r="BF492" i="12"/>
  <c r="BG492" i="12"/>
  <c r="BH492" i="12"/>
  <c r="BI492" i="12"/>
  <c r="BJ492" i="12"/>
  <c r="BK492" i="12"/>
  <c r="BL492" i="12"/>
  <c r="BM492" i="12"/>
  <c r="BN492" i="12"/>
  <c r="Q493" i="12"/>
  <c r="R493" i="12"/>
  <c r="S493" i="12"/>
  <c r="T493" i="12"/>
  <c r="U493" i="12"/>
  <c r="V493" i="12"/>
  <c r="W493" i="12"/>
  <c r="X493" i="12"/>
  <c r="AA493" i="12"/>
  <c r="AB493" i="12"/>
  <c r="AC493" i="12"/>
  <c r="AD493" i="12"/>
  <c r="AE493" i="12"/>
  <c r="AF493" i="12"/>
  <c r="AG493" i="12"/>
  <c r="AH493" i="12"/>
  <c r="AI493" i="12"/>
  <c r="AJ493" i="12"/>
  <c r="AK493" i="12"/>
  <c r="AL493" i="12"/>
  <c r="AM493" i="12"/>
  <c r="AN493" i="12"/>
  <c r="AO493" i="12"/>
  <c r="AP493" i="12"/>
  <c r="AQ493" i="12"/>
  <c r="AR493" i="12"/>
  <c r="AS493" i="12"/>
  <c r="AT493" i="12"/>
  <c r="AU493" i="12"/>
  <c r="AV493" i="12"/>
  <c r="AW493" i="12"/>
  <c r="AX493" i="12"/>
  <c r="AY493" i="12"/>
  <c r="AZ493" i="12"/>
  <c r="BA493" i="12"/>
  <c r="BB493" i="12"/>
  <c r="BC493" i="12"/>
  <c r="BD493" i="12"/>
  <c r="BE493" i="12"/>
  <c r="BF493" i="12"/>
  <c r="BG493" i="12"/>
  <c r="BH493" i="12"/>
  <c r="BI493" i="12"/>
  <c r="BJ493" i="12"/>
  <c r="BK493" i="12"/>
  <c r="BL493" i="12"/>
  <c r="BM493" i="12"/>
  <c r="BN493" i="12"/>
  <c r="Q494" i="12"/>
  <c r="R494" i="12"/>
  <c r="S494" i="12"/>
  <c r="T494" i="12"/>
  <c r="U494" i="12"/>
  <c r="V494" i="12"/>
  <c r="W494" i="12"/>
  <c r="X494" i="12"/>
  <c r="AA494" i="12"/>
  <c r="AB494" i="12"/>
  <c r="AC494" i="12"/>
  <c r="AD494" i="12"/>
  <c r="AE494" i="12"/>
  <c r="AF494" i="12"/>
  <c r="AG494" i="12"/>
  <c r="AH494" i="12"/>
  <c r="AI494" i="12"/>
  <c r="AJ494" i="12"/>
  <c r="AK494" i="12"/>
  <c r="AL494" i="12"/>
  <c r="AM494" i="12"/>
  <c r="AN494" i="12"/>
  <c r="AO494" i="12"/>
  <c r="AP494" i="12"/>
  <c r="AQ494" i="12"/>
  <c r="AR494" i="12"/>
  <c r="AS494" i="12"/>
  <c r="AT494" i="12"/>
  <c r="AU494" i="12"/>
  <c r="AV494" i="12"/>
  <c r="AW494" i="12"/>
  <c r="AX494" i="12"/>
  <c r="AY494" i="12"/>
  <c r="AZ494" i="12"/>
  <c r="BA494" i="12"/>
  <c r="BB494" i="12"/>
  <c r="BC494" i="12"/>
  <c r="BD494" i="12"/>
  <c r="BE494" i="12"/>
  <c r="BF494" i="12"/>
  <c r="BG494" i="12"/>
  <c r="BH494" i="12"/>
  <c r="BI494" i="12"/>
  <c r="BJ494" i="12"/>
  <c r="BK494" i="12"/>
  <c r="BL494" i="12"/>
  <c r="BM494" i="12"/>
  <c r="BN494" i="12"/>
  <c r="Q495" i="12"/>
  <c r="R495" i="12"/>
  <c r="S495" i="12"/>
  <c r="T495" i="12"/>
  <c r="U495" i="12"/>
  <c r="V495" i="12"/>
  <c r="W495" i="12"/>
  <c r="X495" i="12"/>
  <c r="AA495" i="12"/>
  <c r="AB495" i="12"/>
  <c r="AC495" i="12"/>
  <c r="AD495" i="12"/>
  <c r="AE495" i="12"/>
  <c r="AF495" i="12"/>
  <c r="AG495" i="12"/>
  <c r="AH495" i="12"/>
  <c r="AI495" i="12"/>
  <c r="AJ495" i="12"/>
  <c r="AK495" i="12"/>
  <c r="AL495" i="12"/>
  <c r="AM495" i="12"/>
  <c r="AN495" i="12"/>
  <c r="AO495" i="12"/>
  <c r="AP495" i="12"/>
  <c r="AQ495" i="12"/>
  <c r="AR495" i="12"/>
  <c r="AS495" i="12"/>
  <c r="AT495" i="12"/>
  <c r="AU495" i="12"/>
  <c r="AV495" i="12"/>
  <c r="AW495" i="12"/>
  <c r="AX495" i="12"/>
  <c r="AY495" i="12"/>
  <c r="AZ495" i="12"/>
  <c r="BA495" i="12"/>
  <c r="BB495" i="12"/>
  <c r="BC495" i="12"/>
  <c r="BD495" i="12"/>
  <c r="BE495" i="12"/>
  <c r="BF495" i="12"/>
  <c r="BG495" i="12"/>
  <c r="BH495" i="12"/>
  <c r="BI495" i="12"/>
  <c r="BJ495" i="12"/>
  <c r="BK495" i="12"/>
  <c r="BL495" i="12"/>
  <c r="BM495" i="12"/>
  <c r="BN495" i="12"/>
  <c r="Q496" i="12"/>
  <c r="R496" i="12"/>
  <c r="S496" i="12"/>
  <c r="T496" i="12"/>
  <c r="U496" i="12"/>
  <c r="V496" i="12"/>
  <c r="W496" i="12"/>
  <c r="X496" i="12"/>
  <c r="AA496" i="12"/>
  <c r="AB496" i="12"/>
  <c r="AC496" i="12"/>
  <c r="AD496" i="12"/>
  <c r="AE496" i="12"/>
  <c r="AF496" i="12"/>
  <c r="AG496" i="12"/>
  <c r="AH496" i="12"/>
  <c r="AI496" i="12"/>
  <c r="AJ496" i="12"/>
  <c r="AK496" i="12"/>
  <c r="AL496" i="12"/>
  <c r="AM496" i="12"/>
  <c r="AN496" i="12"/>
  <c r="AO496" i="12"/>
  <c r="AP496" i="12"/>
  <c r="AQ496" i="12"/>
  <c r="AR496" i="12"/>
  <c r="AS496" i="12"/>
  <c r="AT496" i="12"/>
  <c r="AU496" i="12"/>
  <c r="AV496" i="12"/>
  <c r="AW496" i="12"/>
  <c r="AX496" i="12"/>
  <c r="AY496" i="12"/>
  <c r="AZ496" i="12"/>
  <c r="BA496" i="12"/>
  <c r="BB496" i="12"/>
  <c r="BC496" i="12"/>
  <c r="BD496" i="12"/>
  <c r="BE496" i="12"/>
  <c r="BF496" i="12"/>
  <c r="BG496" i="12"/>
  <c r="BH496" i="12"/>
  <c r="BI496" i="12"/>
  <c r="BJ496" i="12"/>
  <c r="BK496" i="12"/>
  <c r="BL496" i="12"/>
  <c r="BM496" i="12"/>
  <c r="BN496" i="12"/>
  <c r="Q497" i="12"/>
  <c r="R497" i="12"/>
  <c r="S497" i="12"/>
  <c r="T497" i="12"/>
  <c r="U497" i="12"/>
  <c r="V497" i="12"/>
  <c r="W497" i="12"/>
  <c r="X497" i="12"/>
  <c r="AA497" i="12"/>
  <c r="AB497" i="12"/>
  <c r="AC497" i="12"/>
  <c r="AD497" i="12"/>
  <c r="AE497" i="12"/>
  <c r="AF497" i="12"/>
  <c r="AG497" i="12"/>
  <c r="AH497" i="12"/>
  <c r="AI497" i="12"/>
  <c r="AJ497" i="12"/>
  <c r="AK497" i="12"/>
  <c r="AL497" i="12"/>
  <c r="AM497" i="12"/>
  <c r="AN497" i="12"/>
  <c r="AO497" i="12"/>
  <c r="AP497" i="12"/>
  <c r="AQ497" i="12"/>
  <c r="AR497" i="12"/>
  <c r="AS497" i="12"/>
  <c r="AT497" i="12"/>
  <c r="AU497" i="12"/>
  <c r="AV497" i="12"/>
  <c r="AW497" i="12"/>
  <c r="AX497" i="12"/>
  <c r="AY497" i="12"/>
  <c r="AZ497" i="12"/>
  <c r="BA497" i="12"/>
  <c r="BB497" i="12"/>
  <c r="BC497" i="12"/>
  <c r="BD497" i="12"/>
  <c r="BE497" i="12"/>
  <c r="BF497" i="12"/>
  <c r="BG497" i="12"/>
  <c r="BH497" i="12"/>
  <c r="BI497" i="12"/>
  <c r="BJ497" i="12"/>
  <c r="BK497" i="12"/>
  <c r="BL497" i="12"/>
  <c r="BM497" i="12"/>
  <c r="BN497" i="12"/>
  <c r="Q498" i="12"/>
  <c r="R498" i="12"/>
  <c r="S498" i="12"/>
  <c r="T498" i="12"/>
  <c r="U498" i="12"/>
  <c r="V498" i="12"/>
  <c r="W498" i="12"/>
  <c r="X498" i="12"/>
  <c r="AA498" i="12"/>
  <c r="AB498" i="12"/>
  <c r="AC498" i="12"/>
  <c r="AD498" i="12"/>
  <c r="AE498" i="12"/>
  <c r="AF498" i="12"/>
  <c r="AG498" i="12"/>
  <c r="AH498" i="12"/>
  <c r="AI498" i="12"/>
  <c r="AJ498" i="12"/>
  <c r="AK498" i="12"/>
  <c r="AL498" i="12"/>
  <c r="AM498" i="12"/>
  <c r="AN498" i="12"/>
  <c r="AO498" i="12"/>
  <c r="AP498" i="12"/>
  <c r="AQ498" i="12"/>
  <c r="AR498" i="12"/>
  <c r="AS498" i="12"/>
  <c r="AT498" i="12"/>
  <c r="AU498" i="12"/>
  <c r="AV498" i="12"/>
  <c r="AW498" i="12"/>
  <c r="AX498" i="12"/>
  <c r="AY498" i="12"/>
  <c r="AZ498" i="12"/>
  <c r="BA498" i="12"/>
  <c r="BB498" i="12"/>
  <c r="BC498" i="12"/>
  <c r="BD498" i="12"/>
  <c r="BE498" i="12"/>
  <c r="BF498" i="12"/>
  <c r="BG498" i="12"/>
  <c r="BH498" i="12"/>
  <c r="BI498" i="12"/>
  <c r="BJ498" i="12"/>
  <c r="BK498" i="12"/>
  <c r="BL498" i="12"/>
  <c r="BM498" i="12"/>
  <c r="BN498" i="12"/>
  <c r="Q499" i="12"/>
  <c r="R499" i="12"/>
  <c r="S499" i="12"/>
  <c r="T499" i="12"/>
  <c r="U499" i="12"/>
  <c r="V499" i="12"/>
  <c r="W499" i="12"/>
  <c r="X499" i="12"/>
  <c r="AA499" i="12"/>
  <c r="AB499" i="12"/>
  <c r="AC499" i="12"/>
  <c r="AD499" i="12"/>
  <c r="AE499" i="12"/>
  <c r="AF499" i="12"/>
  <c r="AG499" i="12"/>
  <c r="AH499" i="12"/>
  <c r="AI499" i="12"/>
  <c r="AJ499" i="12"/>
  <c r="AK499" i="12"/>
  <c r="AL499" i="12"/>
  <c r="AM499" i="12"/>
  <c r="AN499" i="12"/>
  <c r="AO499" i="12"/>
  <c r="AP499" i="12"/>
  <c r="AQ499" i="12"/>
  <c r="AR499" i="12"/>
  <c r="AS499" i="12"/>
  <c r="AT499" i="12"/>
  <c r="AU499" i="12"/>
  <c r="AV499" i="12"/>
  <c r="AW499" i="12"/>
  <c r="AX499" i="12"/>
  <c r="AY499" i="12"/>
  <c r="AZ499" i="12"/>
  <c r="BA499" i="12"/>
  <c r="BB499" i="12"/>
  <c r="BC499" i="12"/>
  <c r="BD499" i="12"/>
  <c r="BE499" i="12"/>
  <c r="BF499" i="12"/>
  <c r="BG499" i="12"/>
  <c r="BH499" i="12"/>
  <c r="BI499" i="12"/>
  <c r="BJ499" i="12"/>
  <c r="BK499" i="12"/>
  <c r="BL499" i="12"/>
  <c r="BM499" i="12"/>
  <c r="BN499" i="12"/>
  <c r="Q500" i="12"/>
  <c r="R500" i="12"/>
  <c r="S500" i="12"/>
  <c r="T500" i="12"/>
  <c r="U500" i="12"/>
  <c r="V500" i="12"/>
  <c r="W500" i="12"/>
  <c r="X500" i="12"/>
  <c r="AA500" i="12"/>
  <c r="AB500" i="12"/>
  <c r="AC500" i="12"/>
  <c r="AD500" i="12"/>
  <c r="AE500" i="12"/>
  <c r="AF500" i="12"/>
  <c r="AG500" i="12"/>
  <c r="AH500" i="12"/>
  <c r="AI500" i="12"/>
  <c r="AJ500" i="12"/>
  <c r="AK500" i="12"/>
  <c r="AL500" i="12"/>
  <c r="AM500" i="12"/>
  <c r="AN500" i="12"/>
  <c r="AO500" i="12"/>
  <c r="AP500" i="12"/>
  <c r="AQ500" i="12"/>
  <c r="AR500" i="12"/>
  <c r="AS500" i="12"/>
  <c r="AT500" i="12"/>
  <c r="AU500" i="12"/>
  <c r="AV500" i="12"/>
  <c r="AW500" i="12"/>
  <c r="AX500" i="12"/>
  <c r="AY500" i="12"/>
  <c r="AZ500" i="12"/>
  <c r="BA500" i="12"/>
  <c r="BB500" i="12"/>
  <c r="BC500" i="12"/>
  <c r="BD500" i="12"/>
  <c r="BE500" i="12"/>
  <c r="BF500" i="12"/>
  <c r="BG500" i="12"/>
  <c r="BH500" i="12"/>
  <c r="BI500" i="12"/>
  <c r="BJ500" i="12"/>
  <c r="BK500" i="12"/>
  <c r="BL500" i="12"/>
  <c r="BM500" i="12"/>
  <c r="BN500" i="12"/>
  <c r="B8" i="15"/>
  <c r="B10" i="3"/>
  <c r="B10" i="4"/>
  <c r="B8" i="5"/>
  <c r="B8" i="8"/>
  <c r="B8" i="14"/>
  <c r="B8" i="7"/>
  <c r="A29" i="9"/>
  <c r="A26" i="9"/>
  <c r="A81" i="9"/>
  <c r="A20" i="9"/>
  <c r="A91" i="9"/>
  <c r="A12" i="9"/>
  <c r="A13" i="9"/>
  <c r="A94" i="9"/>
  <c r="A30" i="9"/>
  <c r="A112" i="9"/>
  <c r="A57" i="9"/>
  <c r="A15" i="9"/>
  <c r="A11" i="9"/>
  <c r="A58" i="9"/>
  <c r="A111" i="9"/>
  <c r="A50" i="9"/>
  <c r="A59" i="9"/>
  <c r="A119" i="9"/>
  <c r="A69" i="9"/>
  <c r="A17" i="9"/>
  <c r="A126" i="9"/>
  <c r="A93" i="9"/>
  <c r="A104" i="9"/>
  <c r="A24" i="9"/>
  <c r="A40" i="9"/>
  <c r="A23" i="9"/>
  <c r="A75" i="9"/>
  <c r="A107" i="9"/>
  <c r="A33" i="9"/>
  <c r="A125" i="9"/>
  <c r="A41" i="9"/>
  <c r="A78" i="9"/>
  <c r="A31" i="9"/>
  <c r="A117" i="9"/>
  <c r="A62" i="9"/>
  <c r="A115" i="9"/>
  <c r="A113" i="9"/>
  <c r="A65" i="9"/>
  <c r="A47" i="9"/>
  <c r="A60" i="9"/>
  <c r="A63" i="9"/>
  <c r="A64" i="9"/>
  <c r="A124" i="9"/>
  <c r="A22" i="9"/>
  <c r="A101" i="9"/>
  <c r="A43" i="9"/>
  <c r="A68" i="9"/>
  <c r="A77" i="9"/>
  <c r="A44" i="9"/>
  <c r="A71" i="9"/>
  <c r="A45" i="9"/>
  <c r="A70" i="9"/>
  <c r="A92" i="9"/>
  <c r="A95" i="9"/>
  <c r="A121" i="9"/>
  <c r="A79" i="9"/>
  <c r="A84" i="9"/>
  <c r="A36" i="9"/>
  <c r="A73" i="9"/>
  <c r="A61" i="9"/>
  <c r="A83" i="9"/>
  <c r="A38" i="9"/>
  <c r="A88" i="9"/>
  <c r="A46" i="9"/>
  <c r="A52" i="9"/>
  <c r="A122" i="9"/>
  <c r="A103" i="9"/>
  <c r="A109" i="9"/>
  <c r="A82" i="9"/>
  <c r="A96" i="9"/>
  <c r="A16" i="9"/>
  <c r="A123" i="9"/>
  <c r="A48" i="9"/>
  <c r="A67" i="9"/>
  <c r="A27" i="9"/>
  <c r="A127" i="9"/>
  <c r="A114" i="9"/>
  <c r="A105" i="9"/>
  <c r="A55" i="9"/>
  <c r="A118" i="9"/>
  <c r="A87" i="9"/>
  <c r="A90" i="9"/>
  <c r="A37" i="9"/>
  <c r="A54" i="9"/>
  <c r="A28" i="9"/>
  <c r="A108" i="9"/>
  <c r="A35" i="9"/>
  <c r="A66" i="9"/>
  <c r="A80" i="9"/>
  <c r="A89" i="9"/>
  <c r="A42" i="9"/>
  <c r="A76" i="9"/>
  <c r="A86" i="9"/>
  <c r="A51" i="9"/>
  <c r="A56" i="9"/>
  <c r="A116" i="9"/>
  <c r="A102" i="9"/>
  <c r="A32" i="9"/>
  <c r="A21" i="9"/>
  <c r="A19" i="9"/>
  <c r="A10" i="9"/>
  <c r="A85" i="9"/>
  <c r="A106" i="9"/>
  <c r="A72" i="9"/>
  <c r="A97" i="9"/>
  <c r="A39" i="9"/>
  <c r="A120" i="9"/>
  <c r="A25" i="9"/>
  <c r="A18" i="9"/>
  <c r="A110" i="9"/>
  <c r="A100" i="9"/>
  <c r="A74" i="9"/>
  <c r="A98" i="9"/>
  <c r="A49" i="9"/>
  <c r="A99" i="9"/>
  <c r="A34" i="9"/>
  <c r="A14" i="9"/>
  <c r="A128" i="9"/>
  <c r="A129" i="9"/>
  <c r="A130" i="9"/>
  <c r="A131" i="9"/>
  <c r="A132" i="9"/>
  <c r="A133" i="9"/>
  <c r="A134" i="9"/>
  <c r="A135" i="9"/>
  <c r="A53" i="9"/>
  <c r="K42" i="11"/>
  <c r="K43" i="11"/>
  <c r="K44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C10" i="11" a="1"/>
  <c r="C10" i="11" s="1"/>
  <c r="A146" i="9"/>
  <c r="I43" i="11"/>
  <c r="I44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J7" i="19" l="1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289" i="19"/>
  <c r="I290" i="19"/>
  <c r="I291" i="19"/>
  <c r="I292" i="19"/>
  <c r="I293" i="19"/>
  <c r="I294" i="19"/>
  <c r="I295" i="19"/>
  <c r="I296" i="19"/>
  <c r="I297" i="19"/>
  <c r="I298" i="19"/>
  <c r="I299" i="19"/>
  <c r="I300" i="19"/>
  <c r="I301" i="19"/>
  <c r="I302" i="19"/>
  <c r="I303" i="19"/>
  <c r="I304" i="19"/>
  <c r="I305" i="19"/>
  <c r="I306" i="19"/>
  <c r="I307" i="19"/>
  <c r="I308" i="19"/>
  <c r="I309" i="19"/>
  <c r="I310" i="19"/>
  <c r="I311" i="19"/>
  <c r="I312" i="19"/>
  <c r="I313" i="19"/>
  <c r="I314" i="19"/>
  <c r="I315" i="19"/>
  <c r="I316" i="19"/>
  <c r="I317" i="19"/>
  <c r="I318" i="19"/>
  <c r="I319" i="19"/>
  <c r="I320" i="19"/>
  <c r="I321" i="19"/>
  <c r="I322" i="19"/>
  <c r="I323" i="19"/>
  <c r="I324" i="19"/>
  <c r="I325" i="19"/>
  <c r="I326" i="19"/>
  <c r="I327" i="19"/>
  <c r="I328" i="19"/>
  <c r="I329" i="19"/>
  <c r="I330" i="19"/>
  <c r="I331" i="19"/>
  <c r="I332" i="19"/>
  <c r="I333" i="19"/>
  <c r="I334" i="19"/>
  <c r="I335" i="19"/>
  <c r="I336" i="19"/>
  <c r="I337" i="19"/>
  <c r="I338" i="19"/>
  <c r="I339" i="19"/>
  <c r="I340" i="19"/>
  <c r="I341" i="19"/>
  <c r="I342" i="19"/>
  <c r="I343" i="19"/>
  <c r="I344" i="19"/>
  <c r="I345" i="19"/>
  <c r="I346" i="19"/>
  <c r="I347" i="19"/>
  <c r="I348" i="19"/>
  <c r="I349" i="19"/>
  <c r="I350" i="19"/>
  <c r="I351" i="19"/>
  <c r="I352" i="19"/>
  <c r="I353" i="19"/>
  <c r="I354" i="19"/>
  <c r="I355" i="19"/>
  <c r="I356" i="19"/>
  <c r="I357" i="19"/>
  <c r="I358" i="19"/>
  <c r="I359" i="19"/>
  <c r="I360" i="19"/>
  <c r="I361" i="19"/>
  <c r="I362" i="19"/>
  <c r="I363" i="19"/>
  <c r="I364" i="19"/>
  <c r="I365" i="19"/>
  <c r="I366" i="19"/>
  <c r="I367" i="19"/>
  <c r="I368" i="19"/>
  <c r="I369" i="19"/>
  <c r="I370" i="19"/>
  <c r="I371" i="19"/>
  <c r="I372" i="19"/>
  <c r="I373" i="19"/>
  <c r="I374" i="19"/>
  <c r="I375" i="19"/>
  <c r="I376" i="19"/>
  <c r="I377" i="19"/>
  <c r="I378" i="19"/>
  <c r="I379" i="19"/>
  <c r="I380" i="19"/>
  <c r="I381" i="19"/>
  <c r="I382" i="19"/>
  <c r="I383" i="19"/>
  <c r="I384" i="19"/>
  <c r="I385" i="19"/>
  <c r="I386" i="19"/>
  <c r="I387" i="19"/>
  <c r="I388" i="19"/>
  <c r="I389" i="19"/>
  <c r="I390" i="19"/>
  <c r="I391" i="19"/>
  <c r="I392" i="19"/>
  <c r="I393" i="19"/>
  <c r="I394" i="19"/>
  <c r="I395" i="19"/>
  <c r="I396" i="19"/>
  <c r="I397" i="19"/>
  <c r="I398" i="19"/>
  <c r="I399" i="19"/>
  <c r="I400" i="19"/>
  <c r="I401" i="19"/>
  <c r="I402" i="19"/>
  <c r="I403" i="19"/>
  <c r="I404" i="19"/>
  <c r="I405" i="19"/>
  <c r="I406" i="19"/>
  <c r="I407" i="19"/>
  <c r="I408" i="19"/>
  <c r="I409" i="19"/>
  <c r="I410" i="19"/>
  <c r="I411" i="19"/>
  <c r="I412" i="19"/>
  <c r="I413" i="19"/>
  <c r="I414" i="19"/>
  <c r="I415" i="19"/>
  <c r="I416" i="19"/>
  <c r="I417" i="19"/>
  <c r="I418" i="19"/>
  <c r="I419" i="19"/>
  <c r="I420" i="19"/>
  <c r="I421" i="19"/>
  <c r="I422" i="19"/>
  <c r="I423" i="19"/>
  <c r="I424" i="19"/>
  <c r="I425" i="19"/>
  <c r="I426" i="19"/>
  <c r="I427" i="19"/>
  <c r="I428" i="19"/>
  <c r="I429" i="19"/>
  <c r="I430" i="19"/>
  <c r="I431" i="19"/>
  <c r="I432" i="19"/>
  <c r="I433" i="19"/>
  <c r="I434" i="19"/>
  <c r="I435" i="19"/>
  <c r="I436" i="19"/>
  <c r="I437" i="19"/>
  <c r="I438" i="19"/>
  <c r="I439" i="19"/>
  <c r="I440" i="19"/>
  <c r="I441" i="19"/>
  <c r="I442" i="19"/>
  <c r="I443" i="19"/>
  <c r="I444" i="19"/>
  <c r="I445" i="19"/>
  <c r="I446" i="19"/>
  <c r="I447" i="19"/>
  <c r="I448" i="19"/>
  <c r="I449" i="19"/>
  <c r="I450" i="19"/>
  <c r="I451" i="19"/>
  <c r="I452" i="19"/>
  <c r="I453" i="19"/>
  <c r="I454" i="19"/>
  <c r="I455" i="19"/>
  <c r="I456" i="19"/>
  <c r="I457" i="19"/>
  <c r="I458" i="19"/>
  <c r="I459" i="19"/>
  <c r="I460" i="19"/>
  <c r="I461" i="19"/>
  <c r="I462" i="19"/>
  <c r="I463" i="19"/>
  <c r="I464" i="19"/>
  <c r="I465" i="19"/>
  <c r="I466" i="19"/>
  <c r="I467" i="19"/>
  <c r="I468" i="19"/>
  <c r="I469" i="19"/>
  <c r="I470" i="19"/>
  <c r="I471" i="19"/>
  <c r="I472" i="19"/>
  <c r="I473" i="19"/>
  <c r="I474" i="19"/>
  <c r="I475" i="19"/>
  <c r="I476" i="19"/>
  <c r="I477" i="19"/>
  <c r="I478" i="19"/>
  <c r="I479" i="19"/>
  <c r="I480" i="19"/>
  <c r="I481" i="19"/>
  <c r="I482" i="19"/>
  <c r="I483" i="19"/>
  <c r="I484" i="19"/>
  <c r="I485" i="19"/>
  <c r="I486" i="19"/>
  <c r="I487" i="19"/>
  <c r="I488" i="19"/>
  <c r="I489" i="19"/>
  <c r="I490" i="19"/>
  <c r="I491" i="19"/>
  <c r="I492" i="19"/>
  <c r="I493" i="19"/>
  <c r="I494" i="19"/>
  <c r="I495" i="19"/>
  <c r="I496" i="19"/>
  <c r="I497" i="19"/>
  <c r="I498" i="19"/>
  <c r="I499" i="19"/>
  <c r="I500" i="19"/>
  <c r="I501" i="19"/>
  <c r="I502" i="19"/>
  <c r="I503" i="19"/>
  <c r="I504" i="19"/>
  <c r="I505" i="19"/>
  <c r="I506" i="19"/>
  <c r="I507" i="19"/>
  <c r="I508" i="19"/>
  <c r="I509" i="19"/>
  <c r="I510" i="19"/>
  <c r="I511" i="19"/>
  <c r="I512" i="19"/>
  <c r="I513" i="19"/>
  <c r="I514" i="19"/>
  <c r="I515" i="19"/>
  <c r="I516" i="19"/>
  <c r="I517" i="19"/>
  <c r="I518" i="19"/>
  <c r="I519" i="19"/>
  <c r="I520" i="19"/>
  <c r="I521" i="19"/>
  <c r="I522" i="19"/>
  <c r="I523" i="19"/>
  <c r="I524" i="19"/>
  <c r="I525" i="19"/>
  <c r="I526" i="19"/>
  <c r="I527" i="19"/>
  <c r="I528" i="19"/>
  <c r="I529" i="19"/>
  <c r="I530" i="19"/>
  <c r="I531" i="19"/>
  <c r="I532" i="19"/>
  <c r="I533" i="19"/>
  <c r="I534" i="19"/>
  <c r="I535" i="19"/>
  <c r="I536" i="19"/>
  <c r="I537" i="19"/>
  <c r="I538" i="19"/>
  <c r="I539" i="19"/>
  <c r="I540" i="19"/>
  <c r="I541" i="19"/>
  <c r="I542" i="19"/>
  <c r="I543" i="19"/>
  <c r="I544" i="19"/>
  <c r="I545" i="19"/>
  <c r="I546" i="19"/>
  <c r="I547" i="19"/>
  <c r="I548" i="19"/>
  <c r="I549" i="19"/>
  <c r="I550" i="19"/>
  <c r="I551" i="19"/>
  <c r="I552" i="19"/>
  <c r="I553" i="19"/>
  <c r="I554" i="19"/>
  <c r="I555" i="19"/>
  <c r="I556" i="19"/>
  <c r="I557" i="19"/>
  <c r="I558" i="19"/>
  <c r="I559" i="19"/>
  <c r="I560" i="19"/>
  <c r="I561" i="19"/>
  <c r="I562" i="19"/>
  <c r="I563" i="19"/>
  <c r="I564" i="19"/>
  <c r="I565" i="19"/>
  <c r="I566" i="19"/>
  <c r="I567" i="19"/>
  <c r="I568" i="19"/>
  <c r="I569" i="19"/>
  <c r="I570" i="19"/>
  <c r="I571" i="19"/>
  <c r="I572" i="19"/>
  <c r="I573" i="19"/>
  <c r="I574" i="19"/>
  <c r="I575" i="19"/>
  <c r="I576" i="19"/>
  <c r="I577" i="19"/>
  <c r="I578" i="19"/>
  <c r="I579" i="19"/>
  <c r="I580" i="19"/>
  <c r="I581" i="19"/>
  <c r="I582" i="19"/>
  <c r="I583" i="19"/>
  <c r="I584" i="19"/>
  <c r="I585" i="19"/>
  <c r="I586" i="19"/>
  <c r="I587" i="19"/>
  <c r="I588" i="19"/>
  <c r="I589" i="19"/>
  <c r="I590" i="19"/>
  <c r="I591" i="19"/>
  <c r="I592" i="19"/>
  <c r="I593" i="19"/>
  <c r="I594" i="19"/>
  <c r="I595" i="19"/>
  <c r="I596" i="19"/>
  <c r="I597" i="19"/>
  <c r="I598" i="19"/>
  <c r="I599" i="19"/>
  <c r="I600" i="19"/>
  <c r="I601" i="19"/>
  <c r="I602" i="19"/>
  <c r="I603" i="19"/>
  <c r="I604" i="19"/>
  <c r="I605" i="19"/>
  <c r="I606" i="19"/>
  <c r="I607" i="19"/>
  <c r="I608" i="19"/>
  <c r="I609" i="19"/>
  <c r="I610" i="19"/>
  <c r="I611" i="19"/>
  <c r="I612" i="19"/>
  <c r="I613" i="19"/>
  <c r="I614" i="19"/>
  <c r="I615" i="19"/>
  <c r="I616" i="19"/>
  <c r="I617" i="19"/>
  <c r="I618" i="19"/>
  <c r="I619" i="19"/>
  <c r="I620" i="19"/>
  <c r="I621" i="19"/>
  <c r="I622" i="19"/>
  <c r="I623" i="19"/>
  <c r="I624" i="19"/>
  <c r="I625" i="19"/>
  <c r="I626" i="19"/>
  <c r="I627" i="19"/>
  <c r="I628" i="19"/>
  <c r="I629" i="19"/>
  <c r="I630" i="19"/>
  <c r="I631" i="19"/>
  <c r="I632" i="19"/>
  <c r="I633" i="19"/>
  <c r="I634" i="19"/>
  <c r="I635" i="19"/>
  <c r="I636" i="19"/>
  <c r="I637" i="19"/>
  <c r="I638" i="19"/>
  <c r="I639" i="19"/>
  <c r="I640" i="19"/>
  <c r="I641" i="19"/>
  <c r="I642" i="19"/>
  <c r="I643" i="19"/>
  <c r="I644" i="19"/>
  <c r="I645" i="19"/>
  <c r="I646" i="19"/>
  <c r="I647" i="19"/>
  <c r="I648" i="19"/>
  <c r="I649" i="19"/>
  <c r="I650" i="19"/>
  <c r="I651" i="19"/>
  <c r="I652" i="19"/>
  <c r="I653" i="19"/>
  <c r="I654" i="19"/>
  <c r="I655" i="19"/>
  <c r="I656" i="19"/>
  <c r="I657" i="19"/>
  <c r="I658" i="19"/>
  <c r="I659" i="19"/>
  <c r="I660" i="19"/>
  <c r="I661" i="19"/>
  <c r="I662" i="19"/>
  <c r="I663" i="19"/>
  <c r="I664" i="19"/>
  <c r="I665" i="19"/>
  <c r="I666" i="19"/>
  <c r="I667" i="19"/>
  <c r="I668" i="19"/>
  <c r="I669" i="19"/>
  <c r="I670" i="19"/>
  <c r="I671" i="19"/>
  <c r="I672" i="19"/>
  <c r="I673" i="19"/>
  <c r="I674" i="19"/>
  <c r="I675" i="19"/>
  <c r="I676" i="19"/>
  <c r="I677" i="19"/>
  <c r="I678" i="19"/>
  <c r="I679" i="19"/>
  <c r="I680" i="19"/>
  <c r="I681" i="19"/>
  <c r="I682" i="19"/>
  <c r="I683" i="19"/>
  <c r="I684" i="19"/>
  <c r="I685" i="19"/>
  <c r="I686" i="19"/>
  <c r="I687" i="19"/>
  <c r="I688" i="19"/>
  <c r="I689" i="19"/>
  <c r="I690" i="19"/>
  <c r="I691" i="19"/>
  <c r="I692" i="19"/>
  <c r="I693" i="19"/>
  <c r="I694" i="19"/>
  <c r="I695" i="19"/>
  <c r="I696" i="19"/>
  <c r="I697" i="19"/>
  <c r="I698" i="19"/>
  <c r="I699" i="19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Q45" i="20" s="1"/>
  <c r="H47" i="11"/>
  <c r="Q46" i="20" s="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" i="11"/>
  <c r="B3" i="11" a="1"/>
  <c r="B3" i="11" s="1"/>
  <c r="C3" i="11" a="1"/>
  <c r="C3" i="11" s="1"/>
  <c r="D3" i="11" a="1"/>
  <c r="D3" i="11" s="1"/>
  <c r="B4" i="11" a="1"/>
  <c r="B4" i="11" s="1"/>
  <c r="C4" i="11" a="1"/>
  <c r="C4" i="11" s="1"/>
  <c r="D4" i="11" a="1"/>
  <c r="D4" i="11" s="1"/>
  <c r="B5" i="11" a="1"/>
  <c r="B5" i="11" s="1"/>
  <c r="C5" i="11" a="1"/>
  <c r="C5" i="11" s="1"/>
  <c r="D5" i="11" a="1"/>
  <c r="D5" i="11" s="1"/>
  <c r="B6" i="11" a="1"/>
  <c r="B6" i="11" s="1"/>
  <c r="C6" i="11" a="1"/>
  <c r="C6" i="11" s="1"/>
  <c r="D6" i="11" a="1"/>
  <c r="D6" i="11" s="1"/>
  <c r="B7" i="11" a="1"/>
  <c r="B7" i="11" s="1"/>
  <c r="C7" i="11" a="1"/>
  <c r="C7" i="11" s="1"/>
  <c r="D7" i="11" a="1"/>
  <c r="D7" i="11" s="1"/>
  <c r="B8" i="11" a="1"/>
  <c r="B8" i="11" s="1"/>
  <c r="C8" i="11" a="1"/>
  <c r="C8" i="11" s="1"/>
  <c r="D8" i="11" a="1"/>
  <c r="D8" i="11" s="1"/>
  <c r="B9" i="11" a="1"/>
  <c r="B9" i="11" s="1"/>
  <c r="C9" i="11" a="1"/>
  <c r="C9" i="11" s="1"/>
  <c r="D9" i="11" a="1"/>
  <c r="D9" i="11" s="1"/>
  <c r="B10" i="11" a="1"/>
  <c r="B10" i="11" s="1"/>
  <c r="D10" i="11" a="1"/>
  <c r="D10" i="11" s="1"/>
  <c r="B11" i="11" a="1"/>
  <c r="B11" i="11" s="1"/>
  <c r="C11" i="11" a="1"/>
  <c r="C11" i="11" s="1"/>
  <c r="D11" i="11" a="1"/>
  <c r="D11" i="11" s="1"/>
  <c r="B12" i="11" a="1"/>
  <c r="B12" i="11" s="1"/>
  <c r="C12" i="11" a="1"/>
  <c r="C12" i="11" s="1"/>
  <c r="D12" i="11" a="1"/>
  <c r="D12" i="11" s="1"/>
  <c r="B13" i="11" a="1"/>
  <c r="B13" i="11" s="1"/>
  <c r="C13" i="11" a="1"/>
  <c r="C13" i="11" s="1"/>
  <c r="D13" i="11" a="1"/>
  <c r="D13" i="11" s="1"/>
  <c r="B14" i="11" a="1"/>
  <c r="B14" i="11" s="1"/>
  <c r="C14" i="11" a="1"/>
  <c r="C14" i="11" s="1"/>
  <c r="D14" i="11" a="1"/>
  <c r="D14" i="11" s="1"/>
  <c r="B15" i="11" a="1"/>
  <c r="B15" i="11" s="1"/>
  <c r="C15" i="11" a="1"/>
  <c r="C15" i="11" s="1"/>
  <c r="D15" i="11" a="1"/>
  <c r="D15" i="11" s="1"/>
  <c r="B16" i="11" a="1"/>
  <c r="B16" i="11" s="1"/>
  <c r="C16" i="11" a="1"/>
  <c r="C16" i="11" s="1"/>
  <c r="D16" i="11" a="1"/>
  <c r="D16" i="11" s="1"/>
  <c r="B17" i="11" a="1"/>
  <c r="B17" i="11" s="1"/>
  <c r="C17" i="11" a="1"/>
  <c r="C17" i="11" s="1"/>
  <c r="D17" i="11" a="1"/>
  <c r="D17" i="11" s="1"/>
  <c r="B18" i="11" a="1"/>
  <c r="B18" i="11" s="1"/>
  <c r="C18" i="11" a="1"/>
  <c r="C18" i="11" s="1"/>
  <c r="D18" i="11" a="1"/>
  <c r="D18" i="11" s="1"/>
  <c r="B50" i="11" a="1"/>
  <c r="B50" i="11" s="1"/>
  <c r="C50" i="11" a="1"/>
  <c r="C50" i="11" s="1"/>
  <c r="D50" i="11" a="1"/>
  <c r="D50" i="11" s="1"/>
  <c r="B51" i="11" a="1"/>
  <c r="B51" i="11" s="1"/>
  <c r="C51" i="11" a="1"/>
  <c r="C51" i="11" s="1"/>
  <c r="D51" i="11" a="1"/>
  <c r="D51" i="11" s="1"/>
  <c r="B52" i="11" a="1"/>
  <c r="B52" i="11" s="1"/>
  <c r="C52" i="11" a="1"/>
  <c r="C52" i="11" s="1"/>
  <c r="D52" i="11" a="1"/>
  <c r="D52" i="11" s="1"/>
  <c r="B53" i="11" a="1"/>
  <c r="B53" i="11" s="1"/>
  <c r="C53" i="11" a="1"/>
  <c r="C53" i="11" s="1"/>
  <c r="D53" i="11" a="1"/>
  <c r="D53" i="11" s="1"/>
  <c r="B54" i="11" a="1"/>
  <c r="B54" i="11" s="1"/>
  <c r="C54" i="11" a="1"/>
  <c r="C54" i="11" s="1"/>
  <c r="D54" i="11" a="1"/>
  <c r="D54" i="11" s="1"/>
  <c r="B55" i="11" a="1"/>
  <c r="B55" i="11" s="1"/>
  <c r="C55" i="11" a="1"/>
  <c r="C55" i="11" s="1"/>
  <c r="D55" i="11" a="1"/>
  <c r="D55" i="11" s="1"/>
  <c r="B56" i="11" a="1"/>
  <c r="B56" i="11" s="1"/>
  <c r="C56" i="11" a="1"/>
  <c r="C56" i="11" s="1"/>
  <c r="D56" i="11" a="1"/>
  <c r="D56" i="11" s="1"/>
  <c r="B57" i="11" a="1"/>
  <c r="B57" i="11" s="1"/>
  <c r="C57" i="11" a="1"/>
  <c r="C57" i="11" s="1"/>
  <c r="D57" i="11" a="1"/>
  <c r="D57" i="11" s="1"/>
  <c r="B58" i="11" a="1"/>
  <c r="B58" i="11" s="1"/>
  <c r="C58" i="11" a="1"/>
  <c r="C58" i="11" s="1"/>
  <c r="D58" i="11" a="1"/>
  <c r="D58" i="11" s="1"/>
  <c r="B59" i="11" a="1"/>
  <c r="B59" i="11" s="1"/>
  <c r="C59" i="11" a="1"/>
  <c r="C59" i="11" s="1"/>
  <c r="D59" i="11" a="1"/>
  <c r="D59" i="11" s="1"/>
  <c r="B60" i="11" a="1"/>
  <c r="B60" i="11" s="1"/>
  <c r="C60" i="11" a="1"/>
  <c r="C60" i="11" s="1"/>
  <c r="D60" i="11" a="1"/>
  <c r="D60" i="11" s="1"/>
  <c r="B61" i="11" a="1"/>
  <c r="B61" i="11" s="1"/>
  <c r="C61" i="11" a="1"/>
  <c r="C61" i="11" s="1"/>
  <c r="D61" i="11" a="1"/>
  <c r="D61" i="11" s="1"/>
  <c r="B62" i="11" a="1"/>
  <c r="B62" i="11" s="1"/>
  <c r="C62" i="11" a="1"/>
  <c r="C62" i="11" s="1"/>
  <c r="D62" i="11" a="1"/>
  <c r="D62" i="11" s="1"/>
  <c r="B63" i="11" a="1"/>
  <c r="B63" i="11" s="1"/>
  <c r="C63" i="11" a="1"/>
  <c r="C63" i="11" s="1"/>
  <c r="D63" i="11" a="1"/>
  <c r="D63" i="11" s="1"/>
  <c r="B64" i="11" a="1"/>
  <c r="B64" i="11" s="1"/>
  <c r="C64" i="11" a="1"/>
  <c r="C64" i="11" s="1"/>
  <c r="D64" i="11" a="1"/>
  <c r="D64" i="11" s="1"/>
  <c r="B65" i="11" a="1"/>
  <c r="B65" i="11" s="1"/>
  <c r="C65" i="11" a="1"/>
  <c r="C65" i="11" s="1"/>
  <c r="D65" i="11" a="1"/>
  <c r="D65" i="11" s="1"/>
  <c r="B66" i="11" a="1"/>
  <c r="B66" i="11" s="1"/>
  <c r="C66" i="11" a="1"/>
  <c r="C66" i="11" s="1"/>
  <c r="D66" i="11" a="1"/>
  <c r="D66" i="11" s="1"/>
  <c r="B67" i="11" a="1"/>
  <c r="B67" i="11" s="1"/>
  <c r="C67" i="11" a="1"/>
  <c r="C67" i="11" s="1"/>
  <c r="D67" i="11" a="1"/>
  <c r="D67" i="11" s="1"/>
  <c r="B68" i="11" a="1"/>
  <c r="B68" i="11" s="1"/>
  <c r="C68" i="11" a="1"/>
  <c r="C68" i="11" s="1"/>
  <c r="D68" i="11" a="1"/>
  <c r="D68" i="11" s="1"/>
  <c r="B69" i="11" a="1"/>
  <c r="B69" i="11" s="1"/>
  <c r="C69" i="11" a="1"/>
  <c r="C69" i="11" s="1"/>
  <c r="D69" i="11" a="1"/>
  <c r="D69" i="11" s="1"/>
  <c r="B70" i="11" a="1"/>
  <c r="B70" i="11" s="1"/>
  <c r="C70" i="11" a="1"/>
  <c r="C70" i="11" s="1"/>
  <c r="D70" i="11" a="1"/>
  <c r="D70" i="11" s="1"/>
  <c r="B71" i="11" a="1"/>
  <c r="B71" i="11" s="1"/>
  <c r="C71" i="11" a="1"/>
  <c r="C71" i="11" s="1"/>
  <c r="D71" i="11" a="1"/>
  <c r="D71" i="11" s="1"/>
  <c r="B72" i="11" a="1"/>
  <c r="B72" i="11" s="1"/>
  <c r="C72" i="11" a="1"/>
  <c r="C72" i="11" s="1"/>
  <c r="D72" i="11" a="1"/>
  <c r="D72" i="11" s="1"/>
  <c r="B73" i="11" a="1"/>
  <c r="B73" i="11" s="1"/>
  <c r="C73" i="11" a="1"/>
  <c r="C73" i="11" s="1"/>
  <c r="D73" i="11" a="1"/>
  <c r="D73" i="11" s="1"/>
  <c r="B74" i="11" a="1"/>
  <c r="B74" i="11" s="1"/>
  <c r="C74" i="11" a="1"/>
  <c r="C74" i="11" s="1"/>
  <c r="D74" i="11" a="1"/>
  <c r="D74" i="11" s="1"/>
  <c r="B75" i="11" a="1"/>
  <c r="B75" i="11" s="1"/>
  <c r="C75" i="11" a="1"/>
  <c r="C75" i="11" s="1"/>
  <c r="D75" i="11" a="1"/>
  <c r="D75" i="11" s="1"/>
  <c r="B76" i="11" a="1"/>
  <c r="B76" i="11" s="1"/>
  <c r="C76" i="11" a="1"/>
  <c r="C76" i="11" s="1"/>
  <c r="D76" i="11" a="1"/>
  <c r="D76" i="11" s="1"/>
  <c r="B77" i="11" a="1"/>
  <c r="B77" i="11" s="1"/>
  <c r="C77" i="11" a="1"/>
  <c r="C77" i="11" s="1"/>
  <c r="D77" i="11" a="1"/>
  <c r="D77" i="11" s="1"/>
  <c r="B78" i="11" a="1"/>
  <c r="B78" i="11" s="1"/>
  <c r="C78" i="11" a="1"/>
  <c r="C78" i="11" s="1"/>
  <c r="D78" i="11" a="1"/>
  <c r="D78" i="11" s="1"/>
  <c r="B79" i="11" a="1"/>
  <c r="B79" i="11" s="1"/>
  <c r="C79" i="11" a="1"/>
  <c r="C79" i="11" s="1"/>
  <c r="D79" i="11" a="1"/>
  <c r="D79" i="11" s="1"/>
  <c r="B80" i="11" a="1"/>
  <c r="B80" i="11" s="1"/>
  <c r="C80" i="11" a="1"/>
  <c r="C80" i="11" s="1"/>
  <c r="D80" i="11" a="1"/>
  <c r="D80" i="11" s="1"/>
  <c r="B81" i="11" a="1"/>
  <c r="B81" i="11" s="1"/>
  <c r="C81" i="11" a="1"/>
  <c r="C81" i="11" s="1"/>
  <c r="D81" i="11" a="1"/>
  <c r="D81" i="11" s="1"/>
  <c r="B82" i="11" a="1"/>
  <c r="B82" i="11" s="1"/>
  <c r="C82" i="11" a="1"/>
  <c r="C82" i="11" s="1"/>
  <c r="D82" i="11" a="1"/>
  <c r="D82" i="11" s="1"/>
  <c r="B83" i="11" a="1"/>
  <c r="B83" i="11" s="1"/>
  <c r="C83" i="11" a="1"/>
  <c r="C83" i="11" s="1"/>
  <c r="D83" i="11" a="1"/>
  <c r="D83" i="11" s="1"/>
  <c r="B84" i="11" a="1"/>
  <c r="B84" i="11" s="1"/>
  <c r="C84" i="11" a="1"/>
  <c r="C84" i="11" s="1"/>
  <c r="D84" i="11" a="1"/>
  <c r="D84" i="11" s="1"/>
  <c r="B85" i="11" a="1"/>
  <c r="B85" i="11" s="1"/>
  <c r="C85" i="11" a="1"/>
  <c r="C85" i="11" s="1"/>
  <c r="D85" i="11" a="1"/>
  <c r="D85" i="11" s="1"/>
  <c r="B86" i="11" a="1"/>
  <c r="B86" i="11" s="1"/>
  <c r="C86" i="11" a="1"/>
  <c r="C86" i="11" s="1"/>
  <c r="D86" i="11" a="1"/>
  <c r="D86" i="11" s="1"/>
  <c r="B87" i="11" a="1"/>
  <c r="B87" i="11" s="1"/>
  <c r="C87" i="11" a="1"/>
  <c r="C87" i="11" s="1"/>
  <c r="D87" i="11" a="1"/>
  <c r="D87" i="11" s="1"/>
  <c r="B88" i="11" a="1"/>
  <c r="B88" i="11" s="1"/>
  <c r="C88" i="11" a="1"/>
  <c r="C88" i="11" s="1"/>
  <c r="D88" i="11" a="1"/>
  <c r="D88" i="11" s="1"/>
  <c r="B89" i="11" a="1"/>
  <c r="B89" i="11" s="1"/>
  <c r="C89" i="11" a="1"/>
  <c r="C89" i="11" s="1"/>
  <c r="D89" i="11" a="1"/>
  <c r="D89" i="11" s="1"/>
  <c r="B90" i="11" a="1"/>
  <c r="B90" i="11" s="1"/>
  <c r="C90" i="11" a="1"/>
  <c r="C90" i="11" s="1"/>
  <c r="D90" i="11" a="1"/>
  <c r="D90" i="11" s="1"/>
  <c r="B91" i="11" a="1"/>
  <c r="B91" i="11" s="1"/>
  <c r="C91" i="11" a="1"/>
  <c r="C91" i="11" s="1"/>
  <c r="D91" i="11" a="1"/>
  <c r="D91" i="11" s="1"/>
  <c r="B92" i="11" a="1"/>
  <c r="B92" i="11" s="1"/>
  <c r="C92" i="11" a="1"/>
  <c r="C92" i="11" s="1"/>
  <c r="D92" i="11" a="1"/>
  <c r="D92" i="11" s="1"/>
  <c r="B93" i="11" a="1"/>
  <c r="B93" i="11" s="1"/>
  <c r="C93" i="11" a="1"/>
  <c r="C93" i="11" s="1"/>
  <c r="D93" i="11" a="1"/>
  <c r="D93" i="11" s="1"/>
  <c r="B94" i="11" a="1"/>
  <c r="B94" i="11" s="1"/>
  <c r="C94" i="11" a="1"/>
  <c r="C94" i="11" s="1"/>
  <c r="D94" i="11" a="1"/>
  <c r="D94" i="11" s="1"/>
  <c r="B95" i="11" a="1"/>
  <c r="B95" i="11" s="1"/>
  <c r="C95" i="11" a="1"/>
  <c r="C95" i="11" s="1"/>
  <c r="D95" i="11" a="1"/>
  <c r="D95" i="11" s="1"/>
  <c r="B96" i="11" a="1"/>
  <c r="B96" i="11" s="1"/>
  <c r="C96" i="11" a="1"/>
  <c r="C96" i="11" s="1"/>
  <c r="D96" i="11" a="1"/>
  <c r="D96" i="11" s="1"/>
  <c r="B97" i="11" a="1"/>
  <c r="B97" i="11" s="1"/>
  <c r="C97" i="11" a="1"/>
  <c r="C97" i="11" s="1"/>
  <c r="D97" i="11" a="1"/>
  <c r="D97" i="11" s="1"/>
  <c r="B98" i="11" a="1"/>
  <c r="B98" i="11" s="1"/>
  <c r="C98" i="11" a="1"/>
  <c r="C98" i="11" s="1"/>
  <c r="D98" i="11" a="1"/>
  <c r="D98" i="11" s="1"/>
  <c r="B99" i="11" a="1"/>
  <c r="B99" i="11" s="1"/>
  <c r="C99" i="11" a="1"/>
  <c r="C99" i="11" s="1"/>
  <c r="D99" i="11" a="1"/>
  <c r="D99" i="11" s="1"/>
  <c r="B100" i="11" a="1"/>
  <c r="B100" i="11" s="1"/>
  <c r="C100" i="11" a="1"/>
  <c r="C100" i="11" s="1"/>
  <c r="D100" i="11" a="1"/>
  <c r="D100" i="11" s="1"/>
  <c r="B101" i="11" a="1"/>
  <c r="B101" i="11" s="1"/>
  <c r="C101" i="11" a="1"/>
  <c r="C101" i="11" s="1"/>
  <c r="D101" i="11" a="1"/>
  <c r="D101" i="11" s="1"/>
  <c r="B102" i="11" a="1"/>
  <c r="B102" i="11" s="1"/>
  <c r="C102" i="11" a="1"/>
  <c r="C102" i="11" s="1"/>
  <c r="D102" i="11" a="1"/>
  <c r="D102" i="11" s="1"/>
  <c r="B103" i="11" a="1"/>
  <c r="B103" i="11" s="1"/>
  <c r="C103" i="11" a="1"/>
  <c r="C103" i="11" s="1"/>
  <c r="D103" i="11" a="1"/>
  <c r="D103" i="11" s="1"/>
  <c r="B104" i="11" a="1"/>
  <c r="B104" i="11" s="1"/>
  <c r="C104" i="11" a="1"/>
  <c r="C104" i="11" s="1"/>
  <c r="D104" i="11" a="1"/>
  <c r="D104" i="11" s="1"/>
  <c r="B105" i="11" a="1"/>
  <c r="B105" i="11" s="1"/>
  <c r="C105" i="11" a="1"/>
  <c r="C105" i="11" s="1"/>
  <c r="D105" i="11" a="1"/>
  <c r="D105" i="11" s="1"/>
  <c r="B106" i="11" a="1"/>
  <c r="B106" i="11" s="1"/>
  <c r="C106" i="11" a="1"/>
  <c r="C106" i="11" s="1"/>
  <c r="D106" i="11" a="1"/>
  <c r="D106" i="11" s="1"/>
  <c r="B107" i="11" a="1"/>
  <c r="B107" i="11" s="1"/>
  <c r="C107" i="11" a="1"/>
  <c r="C107" i="11" s="1"/>
  <c r="D107" i="11" a="1"/>
  <c r="D107" i="11" s="1"/>
  <c r="B108" i="11" a="1"/>
  <c r="B108" i="11" s="1"/>
  <c r="C108" i="11" a="1"/>
  <c r="C108" i="11" s="1"/>
  <c r="D108" i="11" a="1"/>
  <c r="D108" i="11" s="1"/>
  <c r="B109" i="11" a="1"/>
  <c r="B109" i="11" s="1"/>
  <c r="C109" i="11" a="1"/>
  <c r="C109" i="11" s="1"/>
  <c r="D109" i="11" a="1"/>
  <c r="D109" i="11" s="1"/>
  <c r="B110" i="11" a="1"/>
  <c r="B110" i="11" s="1"/>
  <c r="C110" i="11" a="1"/>
  <c r="C110" i="11" s="1"/>
  <c r="D110" i="11" a="1"/>
  <c r="D110" i="11" s="1"/>
  <c r="B111" i="11" a="1"/>
  <c r="B111" i="11" s="1"/>
  <c r="C111" i="11" a="1"/>
  <c r="C111" i="11" s="1"/>
  <c r="D111" i="11" a="1"/>
  <c r="D111" i="11" s="1"/>
  <c r="B112" i="11" a="1"/>
  <c r="B112" i="11" s="1"/>
  <c r="C112" i="11" a="1"/>
  <c r="C112" i="11" s="1"/>
  <c r="D112" i="11" a="1"/>
  <c r="D112" i="11" s="1"/>
  <c r="B113" i="11" a="1"/>
  <c r="B113" i="11" s="1"/>
  <c r="C113" i="11" a="1"/>
  <c r="C113" i="11" s="1"/>
  <c r="D113" i="11" a="1"/>
  <c r="D113" i="11" s="1"/>
  <c r="B114" i="11" a="1"/>
  <c r="B114" i="11" s="1"/>
  <c r="C114" i="11" a="1"/>
  <c r="C114" i="11" s="1"/>
  <c r="D114" i="11" a="1"/>
  <c r="D114" i="11" s="1"/>
  <c r="B115" i="11" a="1"/>
  <c r="B115" i="11" s="1"/>
  <c r="C115" i="11" a="1"/>
  <c r="C115" i="11" s="1"/>
  <c r="D115" i="11" a="1"/>
  <c r="D115" i="11" s="1"/>
  <c r="B116" i="11" a="1"/>
  <c r="B116" i="11" s="1"/>
  <c r="C116" i="11" a="1"/>
  <c r="C116" i="11" s="1"/>
  <c r="D116" i="11" a="1"/>
  <c r="D116" i="11" s="1"/>
  <c r="B117" i="11" a="1"/>
  <c r="B117" i="11" s="1"/>
  <c r="C117" i="11" a="1"/>
  <c r="C117" i="11" s="1"/>
  <c r="D117" i="11" a="1"/>
  <c r="D117" i="11" s="1"/>
  <c r="B118" i="11" a="1"/>
  <c r="B118" i="11" s="1"/>
  <c r="C118" i="11" a="1"/>
  <c r="C118" i="11" s="1"/>
  <c r="D118" i="11" a="1"/>
  <c r="D118" i="11" s="1"/>
  <c r="B119" i="11" a="1"/>
  <c r="B119" i="11" s="1"/>
  <c r="C119" i="11" a="1"/>
  <c r="C119" i="11" s="1"/>
  <c r="D119" i="11" a="1"/>
  <c r="D119" i="11" s="1"/>
  <c r="B120" i="11" a="1"/>
  <c r="B120" i="11" s="1"/>
  <c r="C120" i="11" a="1"/>
  <c r="C120" i="11" s="1"/>
  <c r="D120" i="11" a="1"/>
  <c r="D120" i="11" s="1"/>
  <c r="B121" i="11" a="1"/>
  <c r="B121" i="11" s="1"/>
  <c r="C121" i="11" a="1"/>
  <c r="C121" i="11" s="1"/>
  <c r="D121" i="11" a="1"/>
  <c r="D121" i="11" s="1"/>
  <c r="B122" i="11" a="1"/>
  <c r="B122" i="11" s="1"/>
  <c r="C122" i="11" a="1"/>
  <c r="C122" i="11" s="1"/>
  <c r="D122" i="11" a="1"/>
  <c r="D122" i="11" s="1"/>
  <c r="B123" i="11" a="1"/>
  <c r="B123" i="11" s="1"/>
  <c r="C123" i="11" a="1"/>
  <c r="C123" i="11" s="1"/>
  <c r="D123" i="11" a="1"/>
  <c r="D123" i="11" s="1"/>
  <c r="B124" i="11" a="1"/>
  <c r="B124" i="11" s="1"/>
  <c r="C124" i="11" a="1"/>
  <c r="C124" i="11" s="1"/>
  <c r="D124" i="11" a="1"/>
  <c r="D124" i="11" s="1"/>
  <c r="B125" i="11" a="1"/>
  <c r="B125" i="11" s="1"/>
  <c r="C125" i="11" a="1"/>
  <c r="C125" i="11" s="1"/>
  <c r="D125" i="11" a="1"/>
  <c r="D125" i="11" s="1"/>
  <c r="B126" i="11" a="1"/>
  <c r="B126" i="11" s="1"/>
  <c r="C126" i="11" a="1"/>
  <c r="C126" i="11" s="1"/>
  <c r="D126" i="11" a="1"/>
  <c r="D126" i="11" s="1"/>
  <c r="B127" i="11" a="1"/>
  <c r="B127" i="11" s="1"/>
  <c r="C127" i="11" a="1"/>
  <c r="C127" i="11" s="1"/>
  <c r="D127" i="11" a="1"/>
  <c r="D127" i="11" s="1"/>
  <c r="B128" i="11" a="1"/>
  <c r="B128" i="11" s="1"/>
  <c r="C128" i="11" a="1"/>
  <c r="C128" i="11" s="1"/>
  <c r="D128" i="11" a="1"/>
  <c r="D128" i="11" s="1"/>
  <c r="B129" i="11" a="1"/>
  <c r="B129" i="11" s="1"/>
  <c r="C129" i="11" a="1"/>
  <c r="C129" i="11" s="1"/>
  <c r="D129" i="11" a="1"/>
  <c r="D129" i="11" s="1"/>
  <c r="B130" i="11" a="1"/>
  <c r="B130" i="11" s="1"/>
  <c r="C130" i="11" a="1"/>
  <c r="C130" i="11" s="1"/>
  <c r="D130" i="11" a="1"/>
  <c r="D130" i="11" s="1"/>
  <c r="B131" i="11" a="1"/>
  <c r="B131" i="11" s="1"/>
  <c r="C131" i="11" a="1"/>
  <c r="C131" i="11" s="1"/>
  <c r="D131" i="11" a="1"/>
  <c r="D131" i="11" s="1"/>
  <c r="B132" i="11" a="1"/>
  <c r="B132" i="11" s="1"/>
  <c r="C132" i="11" a="1"/>
  <c r="C132" i="11" s="1"/>
  <c r="D132" i="11" a="1"/>
  <c r="D132" i="11" s="1"/>
  <c r="B133" i="11" a="1"/>
  <c r="B133" i="11" s="1"/>
  <c r="C133" i="11" a="1"/>
  <c r="C133" i="11" s="1"/>
  <c r="D133" i="11" a="1"/>
  <c r="D133" i="11" s="1"/>
  <c r="B134" i="11" a="1"/>
  <c r="B134" i="11" s="1"/>
  <c r="C134" i="11" a="1"/>
  <c r="C134" i="11" s="1"/>
  <c r="D134" i="11" a="1"/>
  <c r="D134" i="11" s="1"/>
  <c r="B135" i="11" a="1"/>
  <c r="B135" i="11" s="1"/>
  <c r="C135" i="11" a="1"/>
  <c r="C135" i="11" s="1"/>
  <c r="D135" i="11" a="1"/>
  <c r="D135" i="11" s="1"/>
  <c r="B136" i="11" a="1"/>
  <c r="B136" i="11" s="1"/>
  <c r="C136" i="11" a="1"/>
  <c r="C136" i="11" s="1"/>
  <c r="D136" i="11" a="1"/>
  <c r="D136" i="11" s="1"/>
  <c r="B137" i="11" a="1"/>
  <c r="B137" i="11" s="1"/>
  <c r="C137" i="11" a="1"/>
  <c r="C137" i="11" s="1"/>
  <c r="D137" i="11" a="1"/>
  <c r="D137" i="11" s="1"/>
  <c r="B138" i="11" a="1"/>
  <c r="B138" i="11" s="1"/>
  <c r="C138" i="11" a="1"/>
  <c r="C138" i="11" s="1"/>
  <c r="D138" i="11" a="1"/>
  <c r="D138" i="11" s="1"/>
  <c r="B139" i="11" a="1"/>
  <c r="B139" i="11" s="1"/>
  <c r="C139" i="11" a="1"/>
  <c r="C139" i="11" s="1"/>
  <c r="D139" i="11" a="1"/>
  <c r="D139" i="11" s="1"/>
  <c r="B140" i="11" a="1"/>
  <c r="B140" i="11" s="1"/>
  <c r="C140" i="11" a="1"/>
  <c r="C140" i="11" s="1"/>
  <c r="D140" i="11" a="1"/>
  <c r="D140" i="11" s="1"/>
  <c r="B141" i="11" a="1"/>
  <c r="B141" i="11" s="1"/>
  <c r="C141" i="11" a="1"/>
  <c r="C141" i="11" s="1"/>
  <c r="D141" i="11" a="1"/>
  <c r="D141" i="11" s="1"/>
  <c r="B142" i="11" a="1"/>
  <c r="B142" i="11" s="1"/>
  <c r="C142" i="11" a="1"/>
  <c r="C142" i="11" s="1"/>
  <c r="D142" i="11" a="1"/>
  <c r="D142" i="11" s="1"/>
  <c r="B143" i="11" a="1"/>
  <c r="B143" i="11" s="1"/>
  <c r="C143" i="11" a="1"/>
  <c r="C143" i="11" s="1"/>
  <c r="D143" i="11" a="1"/>
  <c r="D143" i="11" s="1"/>
  <c r="B144" i="11" a="1"/>
  <c r="B144" i="11" s="1"/>
  <c r="C144" i="11" a="1"/>
  <c r="C144" i="11" s="1"/>
  <c r="D144" i="11" a="1"/>
  <c r="D144" i="11" s="1"/>
  <c r="B145" i="11" a="1"/>
  <c r="B145" i="11" s="1"/>
  <c r="C145" i="11" a="1"/>
  <c r="C145" i="11" s="1"/>
  <c r="D145" i="11" a="1"/>
  <c r="D145" i="11" s="1"/>
  <c r="B146" i="11" a="1"/>
  <c r="B146" i="11" s="1"/>
  <c r="C146" i="11" a="1"/>
  <c r="C146" i="11" s="1"/>
  <c r="D146" i="11" a="1"/>
  <c r="D146" i="11" s="1"/>
  <c r="B147" i="11" a="1"/>
  <c r="B147" i="11" s="1"/>
  <c r="C147" i="11" a="1"/>
  <c r="C147" i="11" s="1"/>
  <c r="D147" i="11" a="1"/>
  <c r="D147" i="11" s="1"/>
  <c r="B148" i="11" a="1"/>
  <c r="B148" i="11" s="1"/>
  <c r="C148" i="11" a="1"/>
  <c r="C148" i="11" s="1"/>
  <c r="D148" i="11" a="1"/>
  <c r="D148" i="11" s="1"/>
  <c r="B149" i="11" a="1"/>
  <c r="B149" i="11" s="1"/>
  <c r="C149" i="11" a="1"/>
  <c r="C149" i="11" s="1"/>
  <c r="D149" i="11" a="1"/>
  <c r="D149" i="11" s="1"/>
  <c r="B150" i="11" a="1"/>
  <c r="B150" i="11" s="1"/>
  <c r="C150" i="11" a="1"/>
  <c r="C150" i="11" s="1"/>
  <c r="D150" i="11" a="1"/>
  <c r="D150" i="11" s="1"/>
  <c r="B151" i="11" a="1"/>
  <c r="B151" i="11" s="1"/>
  <c r="C151" i="11" a="1"/>
  <c r="C151" i="11" s="1"/>
  <c r="D151" i="11" a="1"/>
  <c r="D151" i="11" s="1"/>
  <c r="B152" i="11" a="1"/>
  <c r="B152" i="11" s="1"/>
  <c r="C152" i="11" a="1"/>
  <c r="C152" i="11" s="1"/>
  <c r="D152" i="11" a="1"/>
  <c r="D152" i="11" s="1"/>
  <c r="B153" i="11" a="1"/>
  <c r="B153" i="11" s="1"/>
  <c r="C153" i="11" a="1"/>
  <c r="C153" i="11" s="1"/>
  <c r="D153" i="11" a="1"/>
  <c r="D153" i="11" s="1"/>
  <c r="B154" i="11" a="1"/>
  <c r="B154" i="11" s="1"/>
  <c r="C154" i="11" a="1"/>
  <c r="C154" i="11" s="1"/>
  <c r="D154" i="11" a="1"/>
  <c r="D154" i="11" s="1"/>
  <c r="B155" i="11" a="1"/>
  <c r="B155" i="11" s="1"/>
  <c r="C155" i="11" a="1"/>
  <c r="C155" i="11" s="1"/>
  <c r="D155" i="11" a="1"/>
  <c r="D155" i="11" s="1"/>
  <c r="B156" i="11" a="1"/>
  <c r="B156" i="11" s="1"/>
  <c r="C156" i="11" a="1"/>
  <c r="C156" i="11" s="1"/>
  <c r="D156" i="11" a="1"/>
  <c r="D156" i="11" s="1"/>
  <c r="B157" i="11" a="1"/>
  <c r="B157" i="11" s="1"/>
  <c r="C157" i="11" a="1"/>
  <c r="C157" i="11" s="1"/>
  <c r="D157" i="11" a="1"/>
  <c r="D157" i="11" s="1"/>
  <c r="B158" i="11" a="1"/>
  <c r="B158" i="11" s="1"/>
  <c r="C158" i="11" a="1"/>
  <c r="C158" i="11" s="1"/>
  <c r="D158" i="11" a="1"/>
  <c r="D158" i="11" s="1"/>
  <c r="B159" i="11" a="1"/>
  <c r="B159" i="11" s="1"/>
  <c r="C159" i="11" a="1"/>
  <c r="C159" i="11" s="1"/>
  <c r="D159" i="11" a="1"/>
  <c r="D159" i="11" s="1"/>
  <c r="B160" i="11" a="1"/>
  <c r="B160" i="11" s="1"/>
  <c r="C160" i="11" a="1"/>
  <c r="C160" i="11" s="1"/>
  <c r="D160" i="11" a="1"/>
  <c r="D160" i="11" s="1"/>
  <c r="B161" i="11" a="1"/>
  <c r="B161" i="11" s="1"/>
  <c r="C161" i="11" a="1"/>
  <c r="C161" i="11" s="1"/>
  <c r="D161" i="11" a="1"/>
  <c r="D161" i="11" s="1"/>
  <c r="B162" i="11" a="1"/>
  <c r="B162" i="11" s="1"/>
  <c r="C162" i="11" a="1"/>
  <c r="C162" i="11" s="1"/>
  <c r="D162" i="11" a="1"/>
  <c r="D162" i="11" s="1"/>
  <c r="B163" i="11" a="1"/>
  <c r="B163" i="11" s="1"/>
  <c r="C163" i="11" a="1"/>
  <c r="C163" i="11" s="1"/>
  <c r="D163" i="11" a="1"/>
  <c r="D163" i="11" s="1"/>
  <c r="B164" i="11" a="1"/>
  <c r="B164" i="11" s="1"/>
  <c r="C164" i="11" a="1"/>
  <c r="C164" i="11" s="1"/>
  <c r="D164" i="11" a="1"/>
  <c r="D164" i="11" s="1"/>
  <c r="B165" i="11" a="1"/>
  <c r="B165" i="11" s="1"/>
  <c r="C165" i="11" a="1"/>
  <c r="C165" i="11" s="1"/>
  <c r="D165" i="11" a="1"/>
  <c r="D165" i="11" s="1"/>
  <c r="B166" i="11" a="1"/>
  <c r="B166" i="11" s="1"/>
  <c r="C166" i="11" a="1"/>
  <c r="C166" i="11" s="1"/>
  <c r="D166" i="11" a="1"/>
  <c r="D166" i="11" s="1"/>
  <c r="B167" i="11" a="1"/>
  <c r="B167" i="11" s="1"/>
  <c r="C167" i="11" a="1"/>
  <c r="C167" i="11" s="1"/>
  <c r="D167" i="11" a="1"/>
  <c r="D167" i="11" s="1"/>
  <c r="B168" i="11" a="1"/>
  <c r="B168" i="11" s="1"/>
  <c r="C168" i="11" a="1"/>
  <c r="C168" i="11" s="1"/>
  <c r="D168" i="11" a="1"/>
  <c r="D168" i="11" s="1"/>
  <c r="B169" i="11" a="1"/>
  <c r="B169" i="11" s="1"/>
  <c r="C169" i="11" a="1"/>
  <c r="C169" i="11" s="1"/>
  <c r="D169" i="11" a="1"/>
  <c r="D169" i="11" s="1"/>
  <c r="B170" i="11" a="1"/>
  <c r="B170" i="11" s="1"/>
  <c r="C170" i="11" a="1"/>
  <c r="C170" i="11" s="1"/>
  <c r="D170" i="11" a="1"/>
  <c r="D170" i="11" s="1"/>
  <c r="B171" i="11" a="1"/>
  <c r="B171" i="11" s="1"/>
  <c r="C171" i="11" a="1"/>
  <c r="C171" i="11" s="1"/>
  <c r="D171" i="11" a="1"/>
  <c r="D171" i="11" s="1"/>
  <c r="B172" i="11" a="1"/>
  <c r="B172" i="11" s="1"/>
  <c r="C172" i="11" a="1"/>
  <c r="C172" i="11" s="1"/>
  <c r="D172" i="11" a="1"/>
  <c r="D172" i="11" s="1"/>
  <c r="B173" i="11" a="1"/>
  <c r="B173" i="11"/>
  <c r="C173" i="11" a="1"/>
  <c r="C173" i="11" s="1"/>
  <c r="D173" i="11" a="1"/>
  <c r="D173" i="11"/>
  <c r="B174" i="11" a="1"/>
  <c r="B174" i="11"/>
  <c r="C174" i="11" a="1"/>
  <c r="C174" i="11" s="1"/>
  <c r="D174" i="11" a="1"/>
  <c r="D174" i="11"/>
  <c r="B175" i="11" a="1"/>
  <c r="B175" i="11"/>
  <c r="C175" i="11" a="1"/>
  <c r="C175" i="11" s="1"/>
  <c r="D175" i="11" a="1"/>
  <c r="D175" i="11" s="1"/>
  <c r="B176" i="11" a="1"/>
  <c r="B176" i="11"/>
  <c r="C176" i="11" a="1"/>
  <c r="C176" i="11" s="1"/>
  <c r="D176" i="11" a="1"/>
  <c r="D176" i="11"/>
  <c r="B177" i="11" a="1"/>
  <c r="B177" i="11"/>
  <c r="C177" i="11" a="1"/>
  <c r="C177" i="11" s="1"/>
  <c r="D177" i="11" a="1"/>
  <c r="D177" i="11"/>
  <c r="B178" i="11" a="1"/>
  <c r="B178" i="11" s="1"/>
  <c r="C178" i="11" a="1"/>
  <c r="C178" i="11" s="1"/>
  <c r="D178" i="11" a="1"/>
  <c r="D178" i="11"/>
  <c r="B179" i="11" a="1"/>
  <c r="B179" i="11"/>
  <c r="C179" i="11" a="1"/>
  <c r="C179" i="11" s="1"/>
  <c r="D179" i="11" a="1"/>
  <c r="D179" i="11"/>
  <c r="B180" i="11" a="1"/>
  <c r="B180" i="11"/>
  <c r="C180" i="11" a="1"/>
  <c r="C180" i="11" s="1"/>
  <c r="D180" i="11" a="1"/>
  <c r="D180" i="11" s="1"/>
  <c r="B181" i="11" a="1"/>
  <c r="B181" i="11"/>
  <c r="C181" i="11" a="1"/>
  <c r="C181" i="11" s="1"/>
  <c r="D181" i="11" a="1"/>
  <c r="D181" i="11"/>
  <c r="B182" i="11" a="1"/>
  <c r="B182" i="11"/>
  <c r="C182" i="11" a="1"/>
  <c r="C182" i="11" s="1"/>
  <c r="D182" i="11" a="1"/>
  <c r="D182" i="11"/>
  <c r="B183" i="11" a="1"/>
  <c r="B183" i="11" s="1"/>
  <c r="C183" i="11" a="1"/>
  <c r="C183" i="11" s="1"/>
  <c r="D183" i="11" a="1"/>
  <c r="D183" i="11"/>
  <c r="B184" i="11" a="1"/>
  <c r="B184" i="11"/>
  <c r="C184" i="11" a="1"/>
  <c r="C184" i="11" s="1"/>
  <c r="D184" i="11" a="1"/>
  <c r="D184" i="11"/>
  <c r="B185" i="11" a="1"/>
  <c r="B185" i="11"/>
  <c r="C185" i="11" a="1"/>
  <c r="C185" i="11" s="1"/>
  <c r="D185" i="11" a="1"/>
  <c r="D185" i="11"/>
  <c r="B186" i="11" a="1"/>
  <c r="B186" i="11"/>
  <c r="C186" i="11" a="1"/>
  <c r="C186" i="11" s="1"/>
  <c r="D186" i="11" a="1"/>
  <c r="D186" i="11"/>
  <c r="B187" i="11" a="1"/>
  <c r="B187" i="11"/>
  <c r="C187" i="11" a="1"/>
  <c r="C187" i="11" s="1"/>
  <c r="D187" i="11" a="1"/>
  <c r="D187" i="11" s="1"/>
  <c r="B188" i="11" a="1"/>
  <c r="B188" i="11"/>
  <c r="C188" i="11" a="1"/>
  <c r="C188" i="11" s="1"/>
  <c r="D188" i="11" a="1"/>
  <c r="D188" i="11"/>
  <c r="B189" i="11" a="1"/>
  <c r="B189" i="11"/>
  <c r="C189" i="11" a="1"/>
  <c r="C189" i="11" s="1"/>
  <c r="D189" i="11" a="1"/>
  <c r="D189" i="11"/>
  <c r="B190" i="11" a="1"/>
  <c r="B190" i="11" s="1"/>
  <c r="C190" i="11" a="1"/>
  <c r="C190" i="11" s="1"/>
  <c r="D190" i="11" a="1"/>
  <c r="D190" i="11"/>
  <c r="B191" i="11" a="1"/>
  <c r="B191" i="11"/>
  <c r="C191" i="11" a="1"/>
  <c r="C191" i="11" s="1"/>
  <c r="D191" i="11" a="1"/>
  <c r="D191" i="11"/>
  <c r="B192" i="11" a="1"/>
  <c r="B192" i="11"/>
  <c r="C192" i="11" a="1"/>
  <c r="C192" i="11" s="1"/>
  <c r="D192" i="11" a="1"/>
  <c r="D192" i="11" s="1"/>
  <c r="B193" i="11" a="1"/>
  <c r="B193" i="11"/>
  <c r="C193" i="11" a="1"/>
  <c r="C193" i="11" s="1"/>
  <c r="D193" i="11" a="1"/>
  <c r="D193" i="11"/>
  <c r="B194" i="11" a="1"/>
  <c r="B194" i="11"/>
  <c r="C194" i="11" a="1"/>
  <c r="C194" i="11" s="1"/>
  <c r="D194" i="11" a="1"/>
  <c r="D194" i="11"/>
  <c r="B195" i="11" a="1"/>
  <c r="B195" i="11" s="1"/>
  <c r="C195" i="11" a="1"/>
  <c r="C195" i="11" s="1"/>
  <c r="D195" i="11" a="1"/>
  <c r="D195" i="11"/>
  <c r="B196" i="11" a="1"/>
  <c r="B196" i="11"/>
  <c r="C196" i="11" a="1"/>
  <c r="C196" i="11" s="1"/>
  <c r="D196" i="11" a="1"/>
  <c r="D196" i="11"/>
  <c r="B197" i="11" a="1"/>
  <c r="B197" i="11"/>
  <c r="C197" i="11" a="1"/>
  <c r="C197" i="11" s="1"/>
  <c r="D197" i="11" a="1"/>
  <c r="D197" i="11"/>
  <c r="B198" i="11" a="1"/>
  <c r="B198" i="11" s="1"/>
  <c r="C198" i="11" a="1"/>
  <c r="C198" i="11" s="1"/>
  <c r="D198" i="11" a="1"/>
  <c r="D198" i="11"/>
  <c r="B199" i="11" a="1"/>
  <c r="B199" i="11"/>
  <c r="C199" i="11" a="1"/>
  <c r="C199" i="11" s="1"/>
  <c r="D199" i="11" a="1"/>
  <c r="D199" i="11"/>
  <c r="B200" i="11" a="1"/>
  <c r="B200" i="11" s="1"/>
  <c r="C200" i="11" a="1"/>
  <c r="C200" i="11" s="1"/>
  <c r="D200" i="11" a="1"/>
  <c r="D200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Z44" i="20" s="1"/>
  <c r="N46" i="11"/>
  <c r="Z45" i="20" s="1"/>
  <c r="N47" i="11"/>
  <c r="Z46" i="20" s="1"/>
  <c r="N48" i="11"/>
  <c r="Z47" i="20" s="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J5" i="11" a="1"/>
  <c r="J5" i="11" s="1"/>
  <c r="J6" i="11" a="1"/>
  <c r="J6" i="11" s="1"/>
  <c r="I6" i="11" s="1"/>
  <c r="J7" i="11" a="1"/>
  <c r="J7" i="11" s="1"/>
  <c r="I7" i="11" s="1"/>
  <c r="J8" i="11" a="1"/>
  <c r="J8" i="11" s="1"/>
  <c r="I8" i="11" s="1"/>
  <c r="J9" i="11" a="1"/>
  <c r="J9" i="11" s="1"/>
  <c r="I9" i="11" s="1"/>
  <c r="J10" i="11" a="1"/>
  <c r="J10" i="11" s="1"/>
  <c r="I10" i="11" s="1"/>
  <c r="J11" i="11" a="1"/>
  <c r="J11" i="11" s="1"/>
  <c r="I11" i="11" s="1"/>
  <c r="J12" i="11" a="1"/>
  <c r="J12" i="11" s="1"/>
  <c r="I12" i="11" s="1"/>
  <c r="J13" i="11" a="1"/>
  <c r="J13" i="11" s="1"/>
  <c r="I13" i="11" s="1"/>
  <c r="J14" i="11" a="1"/>
  <c r="J14" i="11" s="1"/>
  <c r="I14" i="11" s="1"/>
  <c r="J15" i="11" a="1"/>
  <c r="J15" i="11" s="1"/>
  <c r="L15" i="11" s="1"/>
  <c r="J16" i="11" a="1"/>
  <c r="J16" i="11" s="1"/>
  <c r="L16" i="11" s="1"/>
  <c r="J17" i="11" a="1"/>
  <c r="J17" i="11" s="1"/>
  <c r="L17" i="11" s="1"/>
  <c r="J18" i="11" a="1"/>
  <c r="J18" i="11" s="1"/>
  <c r="I18" i="11" s="1"/>
  <c r="J19" i="11" a="1"/>
  <c r="J19" i="11" s="1"/>
  <c r="I19" i="11" s="1"/>
  <c r="J20" i="11" a="1"/>
  <c r="J20" i="11" s="1"/>
  <c r="I20" i="11" s="1"/>
  <c r="J21" i="11" a="1"/>
  <c r="J21" i="11" s="1"/>
  <c r="I21" i="11" s="1"/>
  <c r="J22" i="11" a="1"/>
  <c r="J22" i="11" s="1"/>
  <c r="J23" i="11" a="1"/>
  <c r="J23" i="11" s="1"/>
  <c r="I23" i="11" s="1"/>
  <c r="J24" i="11" a="1"/>
  <c r="J24" i="11" s="1"/>
  <c r="J25" i="11" a="1"/>
  <c r="J25" i="11" s="1"/>
  <c r="I25" i="11" s="1"/>
  <c r="J26" i="11" a="1"/>
  <c r="J26" i="11" s="1"/>
  <c r="I26" i="11" s="1"/>
  <c r="J27" i="11" a="1"/>
  <c r="J27" i="11" s="1"/>
  <c r="J28" i="11" a="1"/>
  <c r="J28" i="11" s="1"/>
  <c r="J29" i="11" a="1"/>
  <c r="J29" i="11" s="1"/>
  <c r="J30" i="11" a="1"/>
  <c r="J30" i="11" s="1"/>
  <c r="I30" i="11" s="1"/>
  <c r="J31" i="11" a="1"/>
  <c r="J31" i="11" s="1"/>
  <c r="I31" i="11" s="1"/>
  <c r="J32" i="11" a="1"/>
  <c r="J32" i="11" s="1"/>
  <c r="I32" i="11" s="1"/>
  <c r="J33" i="11" a="1"/>
  <c r="J33" i="11" s="1"/>
  <c r="I33" i="11" s="1"/>
  <c r="J34" i="11" a="1"/>
  <c r="J34" i="11" s="1"/>
  <c r="J35" i="11" a="1"/>
  <c r="J35" i="11" s="1"/>
  <c r="I35" i="11" s="1"/>
  <c r="J36" i="11" a="1"/>
  <c r="J36" i="11" s="1"/>
  <c r="J37" i="11" a="1"/>
  <c r="J37" i="11" s="1"/>
  <c r="I37" i="11" s="1"/>
  <c r="J38" i="11" a="1"/>
  <c r="J38" i="11" s="1"/>
  <c r="I38" i="11" s="1"/>
  <c r="J39" i="11" a="1"/>
  <c r="J39" i="11" s="1"/>
  <c r="L39" i="11" s="1"/>
  <c r="J40" i="11" a="1"/>
  <c r="J40" i="11" s="1"/>
  <c r="J41" i="11" a="1"/>
  <c r="J41" i="11" s="1"/>
  <c r="J42" i="11" a="1"/>
  <c r="J42" i="11" s="1"/>
  <c r="Q42" i="11"/>
  <c r="J43" i="11" a="1"/>
  <c r="J43" i="11" s="1"/>
  <c r="Q43" i="11"/>
  <c r="J44" i="11" a="1"/>
  <c r="J44" i="11" s="1"/>
  <c r="Q44" i="11"/>
  <c r="J45" i="11" a="1"/>
  <c r="J45" i="11" s="1"/>
  <c r="I45" i="11" s="1"/>
  <c r="J46" i="11" a="1"/>
  <c r="J46" i="11" s="1"/>
  <c r="J47" i="11" a="1"/>
  <c r="J47" i="11" s="1"/>
  <c r="J48" i="11" a="1"/>
  <c r="J48" i="11" s="1"/>
  <c r="I48" i="11" s="1"/>
  <c r="J49" i="11" a="1"/>
  <c r="J49" i="11" s="1"/>
  <c r="Q49" i="11"/>
  <c r="J50" i="11" a="1"/>
  <c r="J50" i="11" s="1"/>
  <c r="Q50" i="11"/>
  <c r="J51" i="11" a="1"/>
  <c r="J51" i="11" s="1"/>
  <c r="L51" i="11" s="1"/>
  <c r="Q51" i="11"/>
  <c r="J52" i="11" a="1"/>
  <c r="J52" i="11" s="1"/>
  <c r="L52" i="11" s="1"/>
  <c r="J53" i="11" a="1"/>
  <c r="J53" i="11" s="1"/>
  <c r="L53" i="11" s="1"/>
  <c r="Q53" i="11"/>
  <c r="J54" i="11" a="1"/>
  <c r="J54" i="11" s="1"/>
  <c r="Q54" i="11"/>
  <c r="J55" i="11" a="1"/>
  <c r="J55" i="11" s="1"/>
  <c r="Q55" i="11"/>
  <c r="J56" i="11" a="1"/>
  <c r="J56" i="11" s="1"/>
  <c r="Q56" i="11"/>
  <c r="J57" i="11" a="1"/>
  <c r="J57" i="11" s="1"/>
  <c r="Q57" i="11"/>
  <c r="J58" i="11" a="1"/>
  <c r="J58" i="11" s="1"/>
  <c r="L58" i="11" s="1"/>
  <c r="J59" i="11" a="1"/>
  <c r="J59" i="11" s="1"/>
  <c r="Q59" i="11"/>
  <c r="J60" i="11" a="1"/>
  <c r="J60" i="11" s="1"/>
  <c r="Q60" i="11"/>
  <c r="J61" i="11" a="1"/>
  <c r="J61" i="11" s="1"/>
  <c r="Q61" i="11"/>
  <c r="J62" i="11" a="1"/>
  <c r="J62" i="11" s="1"/>
  <c r="Q62" i="11"/>
  <c r="J63" i="11" a="1"/>
  <c r="J63" i="11" s="1"/>
  <c r="L63" i="11" s="1"/>
  <c r="Q63" i="11"/>
  <c r="J64" i="11" a="1"/>
  <c r="J64" i="11" s="1"/>
  <c r="L64" i="11" s="1"/>
  <c r="J65" i="11" a="1"/>
  <c r="J65" i="11" s="1"/>
  <c r="L65" i="11" s="1"/>
  <c r="Q65" i="11"/>
  <c r="J66" i="11" a="1"/>
  <c r="J66" i="11" s="1"/>
  <c r="L66" i="11" s="1"/>
  <c r="Q66" i="11"/>
  <c r="J67" i="11" a="1"/>
  <c r="J67" i="11" s="1"/>
  <c r="Q67" i="11"/>
  <c r="J68" i="11" a="1"/>
  <c r="J68" i="11" s="1"/>
  <c r="Q68" i="11"/>
  <c r="J69" i="11" a="1"/>
  <c r="J69" i="11" s="1"/>
  <c r="Q69" i="11"/>
  <c r="J70" i="11" a="1"/>
  <c r="J70" i="11" s="1"/>
  <c r="L70" i="11" s="1"/>
  <c r="J71" i="11" a="1"/>
  <c r="J71" i="11" s="1"/>
  <c r="Q71" i="11"/>
  <c r="J72" i="11" a="1"/>
  <c r="J72" i="11" s="1"/>
  <c r="L72" i="11" s="1"/>
  <c r="Q72" i="11"/>
  <c r="J73" i="11" a="1"/>
  <c r="J73" i="11" s="1"/>
  <c r="Q73" i="11"/>
  <c r="J74" i="11" a="1"/>
  <c r="J74" i="11" s="1"/>
  <c r="Q74" i="11"/>
  <c r="J75" i="11" a="1"/>
  <c r="J75" i="11" s="1"/>
  <c r="L75" i="11" s="1"/>
  <c r="Q75" i="11"/>
  <c r="J76" i="11" a="1"/>
  <c r="J76" i="11" s="1"/>
  <c r="L76" i="11" s="1"/>
  <c r="J77" i="11" a="1"/>
  <c r="J77" i="11" s="1"/>
  <c r="L77" i="11" s="1"/>
  <c r="Q77" i="11"/>
  <c r="J78" i="11" a="1"/>
  <c r="J78" i="11" s="1"/>
  <c r="Q78" i="11"/>
  <c r="J79" i="11" a="1"/>
  <c r="J79" i="11" s="1"/>
  <c r="Q79" i="11"/>
  <c r="J80" i="11" a="1"/>
  <c r="J80" i="11" s="1"/>
  <c r="Q80" i="11"/>
  <c r="J81" i="11" a="1"/>
  <c r="J81" i="11" s="1"/>
  <c r="Q81" i="11"/>
  <c r="J82" i="11" a="1"/>
  <c r="J82" i="11" s="1"/>
  <c r="J83" i="11" a="1"/>
  <c r="J83" i="11" s="1"/>
  <c r="Q83" i="11"/>
  <c r="J84" i="11" a="1"/>
  <c r="J84" i="11" s="1"/>
  <c r="Q84" i="11"/>
  <c r="J85" i="11" a="1"/>
  <c r="J85" i="11" s="1"/>
  <c r="Q85" i="11"/>
  <c r="J86" i="11" a="1"/>
  <c r="J86" i="11" s="1"/>
  <c r="Q86" i="11"/>
  <c r="J87" i="11" a="1"/>
  <c r="J87" i="11" s="1"/>
  <c r="L87" i="11" s="1"/>
  <c r="Q87" i="11"/>
  <c r="J88" i="11" a="1"/>
  <c r="J88" i="11" s="1"/>
  <c r="L88" i="11" s="1"/>
  <c r="J89" i="11" a="1"/>
  <c r="J89" i="11" s="1"/>
  <c r="L89" i="11" s="1"/>
  <c r="Q89" i="11"/>
  <c r="J90" i="11" a="1"/>
  <c r="J90" i="11" s="1"/>
  <c r="Q90" i="11"/>
  <c r="J91" i="11" a="1"/>
  <c r="J91" i="11" s="1"/>
  <c r="Q91" i="11"/>
  <c r="J92" i="11" a="1"/>
  <c r="J92" i="11" s="1"/>
  <c r="Q92" i="11"/>
  <c r="J93" i="11" a="1"/>
  <c r="J93" i="11" s="1"/>
  <c r="Q93" i="11"/>
  <c r="J94" i="11" a="1"/>
  <c r="J94" i="11" s="1"/>
  <c r="J95" i="11" a="1"/>
  <c r="J95" i="11" s="1"/>
  <c r="Q95" i="11"/>
  <c r="J96" i="11" a="1"/>
  <c r="J96" i="11" s="1"/>
  <c r="Q96" i="11"/>
  <c r="J97" i="11" a="1"/>
  <c r="J97" i="11" s="1"/>
  <c r="Q97" i="11"/>
  <c r="J98" i="11" a="1"/>
  <c r="J98" i="11" s="1"/>
  <c r="Q98" i="11"/>
  <c r="J99" i="11" a="1"/>
  <c r="J99" i="11" s="1"/>
  <c r="L99" i="11" s="1"/>
  <c r="Q99" i="11"/>
  <c r="J100" i="11" a="1"/>
  <c r="J100" i="11" s="1"/>
  <c r="L100" i="11" s="1"/>
  <c r="J101" i="11" a="1"/>
  <c r="J101" i="11" s="1"/>
  <c r="L101" i="11" s="1"/>
  <c r="Q101" i="11"/>
  <c r="J102" i="11" a="1"/>
  <c r="J102" i="11" s="1"/>
  <c r="Q102" i="11"/>
  <c r="J103" i="11" a="1"/>
  <c r="J103" i="11" s="1"/>
  <c r="Q103" i="11"/>
  <c r="J104" i="11" a="1"/>
  <c r="J104" i="11" s="1"/>
  <c r="Q104" i="11"/>
  <c r="J105" i="11" a="1"/>
  <c r="J105" i="11" s="1"/>
  <c r="Q105" i="11"/>
  <c r="J106" i="11" a="1"/>
  <c r="J106" i="11" s="1"/>
  <c r="J107" i="11" a="1"/>
  <c r="J107" i="11" s="1"/>
  <c r="Q107" i="11"/>
  <c r="J108" i="11" a="1"/>
  <c r="J108" i="11" s="1"/>
  <c r="Q108" i="11"/>
  <c r="J109" i="11" a="1"/>
  <c r="J109" i="11" s="1"/>
  <c r="Q109" i="11"/>
  <c r="J110" i="11" a="1"/>
  <c r="J110" i="11" s="1"/>
  <c r="Q110" i="11"/>
  <c r="J111" i="11" a="1"/>
  <c r="J111" i="11" s="1"/>
  <c r="L111" i="11" s="1"/>
  <c r="Q111" i="11"/>
  <c r="J112" i="11" a="1"/>
  <c r="J112" i="11" s="1"/>
  <c r="L112" i="11" s="1"/>
  <c r="J113" i="11" a="1"/>
  <c r="J113" i="11" s="1"/>
  <c r="L113" i="11" s="1"/>
  <c r="Q113" i="11"/>
  <c r="J114" i="11" a="1"/>
  <c r="J114" i="11" s="1"/>
  <c r="L114" i="11" s="1"/>
  <c r="Q114" i="11"/>
  <c r="J115" i="11" a="1"/>
  <c r="J115" i="11" s="1"/>
  <c r="Q115" i="11"/>
  <c r="J116" i="11" a="1"/>
  <c r="J116" i="11" s="1"/>
  <c r="Q116" i="11"/>
  <c r="J117" i="11" a="1"/>
  <c r="J117" i="11" s="1"/>
  <c r="Q117" i="11"/>
  <c r="J118" i="11" a="1"/>
  <c r="J118" i="11" s="1"/>
  <c r="L118" i="11" s="1"/>
  <c r="J119" i="11" a="1"/>
  <c r="J119" i="11" s="1"/>
  <c r="Q119" i="11"/>
  <c r="J120" i="11" a="1"/>
  <c r="J120" i="11" s="1"/>
  <c r="Q120" i="11"/>
  <c r="J121" i="11" a="1"/>
  <c r="J121" i="11" s="1"/>
  <c r="Q121" i="11"/>
  <c r="J122" i="11" a="1"/>
  <c r="J122" i="11" s="1"/>
  <c r="Q122" i="11"/>
  <c r="J123" i="11" a="1"/>
  <c r="J123" i="11" s="1"/>
  <c r="L123" i="11" s="1"/>
  <c r="Q123" i="11"/>
  <c r="J124" i="11" a="1"/>
  <c r="J124" i="11" s="1"/>
  <c r="L124" i="11" s="1"/>
  <c r="J125" i="11" a="1"/>
  <c r="J125" i="11" s="1"/>
  <c r="L125" i="11" s="1"/>
  <c r="Q125" i="11"/>
  <c r="J126" i="11" a="1"/>
  <c r="J126" i="11" s="1"/>
  <c r="Q126" i="11"/>
  <c r="J127" i="11" a="1"/>
  <c r="J127" i="11" s="1"/>
  <c r="Q127" i="11"/>
  <c r="J128" i="11" a="1"/>
  <c r="J128" i="11" s="1"/>
  <c r="Q128" i="11"/>
  <c r="J129" i="11" a="1"/>
  <c r="J129" i="11" s="1"/>
  <c r="Q129" i="11"/>
  <c r="J130" i="11" a="1"/>
  <c r="J130" i="11" s="1"/>
  <c r="L130" i="11" s="1"/>
  <c r="J131" i="11" a="1"/>
  <c r="J131" i="11" s="1"/>
  <c r="Q131" i="11"/>
  <c r="J132" i="11" a="1"/>
  <c r="J132" i="11" s="1"/>
  <c r="Q132" i="11"/>
  <c r="J133" i="11" a="1"/>
  <c r="J133" i="11" s="1"/>
  <c r="Q133" i="11"/>
  <c r="J134" i="11" a="1"/>
  <c r="J134" i="11" s="1"/>
  <c r="Q134" i="11"/>
  <c r="J135" i="11" a="1"/>
  <c r="J135" i="11" s="1"/>
  <c r="L135" i="11" s="1"/>
  <c r="Q135" i="11"/>
  <c r="J136" i="11" a="1"/>
  <c r="J136" i="11" s="1"/>
  <c r="L136" i="11" s="1"/>
  <c r="J137" i="11" a="1"/>
  <c r="J137" i="11" s="1"/>
  <c r="L137" i="11" s="1"/>
  <c r="Q137" i="11"/>
  <c r="J138" i="11" a="1"/>
  <c r="J138" i="11" s="1"/>
  <c r="Q138" i="11"/>
  <c r="J139" i="11" a="1"/>
  <c r="J139" i="11" s="1"/>
  <c r="Q139" i="11"/>
  <c r="J140" i="11" a="1"/>
  <c r="J140" i="11" s="1"/>
  <c r="Q140" i="11"/>
  <c r="J141" i="11" a="1"/>
  <c r="J141" i="11" s="1"/>
  <c r="Q141" i="11"/>
  <c r="J142" i="11" a="1"/>
  <c r="J142" i="11" s="1"/>
  <c r="L142" i="11" s="1"/>
  <c r="J143" i="11" a="1"/>
  <c r="J143" i="11" s="1"/>
  <c r="Q143" i="11"/>
  <c r="J144" i="11" a="1"/>
  <c r="J144" i="11" s="1"/>
  <c r="L144" i="11" s="1"/>
  <c r="Q144" i="11"/>
  <c r="J145" i="11" a="1"/>
  <c r="J145" i="11" s="1"/>
  <c r="Q145" i="11"/>
  <c r="J146" i="11" a="1"/>
  <c r="J146" i="11" s="1"/>
  <c r="Q146" i="11"/>
  <c r="J147" i="11" a="1"/>
  <c r="J147" i="11" s="1"/>
  <c r="L147" i="11" s="1"/>
  <c r="Q147" i="11"/>
  <c r="J148" i="11" a="1"/>
  <c r="J148" i="11" s="1"/>
  <c r="L148" i="11" s="1"/>
  <c r="J149" i="11" a="1"/>
  <c r="J149" i="11" s="1"/>
  <c r="L149" i="11" s="1"/>
  <c r="Q149" i="11"/>
  <c r="J150" i="11" a="1"/>
  <c r="J150" i="11" s="1"/>
  <c r="Q150" i="11"/>
  <c r="J151" i="11" a="1"/>
  <c r="J151" i="11" s="1"/>
  <c r="Q151" i="11"/>
  <c r="J152" i="11" a="1"/>
  <c r="J152" i="11" s="1"/>
  <c r="Q152" i="11"/>
  <c r="J153" i="11" a="1"/>
  <c r="J153" i="11" s="1"/>
  <c r="Q153" i="11"/>
  <c r="J154" i="11" a="1"/>
  <c r="J154" i="11" s="1"/>
  <c r="J155" i="11" a="1"/>
  <c r="J155" i="11" s="1"/>
  <c r="Q155" i="11"/>
  <c r="J156" i="11" a="1"/>
  <c r="J156" i="11" s="1"/>
  <c r="Q156" i="11"/>
  <c r="J157" i="11" a="1"/>
  <c r="J157" i="11" s="1"/>
  <c r="Q157" i="11"/>
  <c r="J158" i="11" a="1"/>
  <c r="J158" i="11" s="1"/>
  <c r="Q158" i="11"/>
  <c r="J159" i="11" a="1"/>
  <c r="J159" i="11" s="1"/>
  <c r="L159" i="11" s="1"/>
  <c r="Q159" i="11"/>
  <c r="J160" i="11" a="1"/>
  <c r="J160" i="11" s="1"/>
  <c r="L160" i="11" s="1"/>
  <c r="J161" i="11" a="1"/>
  <c r="J161" i="11" s="1"/>
  <c r="L161" i="11" s="1"/>
  <c r="Q161" i="11"/>
  <c r="J162" i="11" a="1"/>
  <c r="J162" i="11" s="1"/>
  <c r="L162" i="11" s="1"/>
  <c r="Q162" i="11"/>
  <c r="J163" i="11" a="1"/>
  <c r="J163" i="11" s="1"/>
  <c r="L163" i="11" s="1"/>
  <c r="Q163" i="11"/>
  <c r="J164" i="11" a="1"/>
  <c r="J164" i="11" s="1"/>
  <c r="Q164" i="11"/>
  <c r="J165" i="11" a="1"/>
  <c r="J165" i="11" s="1"/>
  <c r="Q165" i="11"/>
  <c r="J166" i="11" a="1"/>
  <c r="J166" i="11" s="1"/>
  <c r="J167" i="11" a="1"/>
  <c r="J167" i="11" s="1"/>
  <c r="Q167" i="11"/>
  <c r="J168" i="11" a="1"/>
  <c r="J168" i="11" s="1"/>
  <c r="Q168" i="11"/>
  <c r="J169" i="11" a="1"/>
  <c r="J169" i="11" s="1"/>
  <c r="Q169" i="11"/>
  <c r="J170" i="11" a="1"/>
  <c r="J170" i="11" s="1"/>
  <c r="Q170" i="11"/>
  <c r="J171" i="11" a="1"/>
  <c r="J171" i="11" s="1"/>
  <c r="L171" i="11" s="1"/>
  <c r="Q171" i="11"/>
  <c r="J172" i="11" a="1"/>
  <c r="J172" i="11" s="1"/>
  <c r="L172" i="11" s="1"/>
  <c r="J173" i="11" a="1"/>
  <c r="J173" i="11" s="1"/>
  <c r="L173" i="11" s="1"/>
  <c r="Q173" i="11"/>
  <c r="J174" i="11" a="1"/>
  <c r="J174" i="11" s="1"/>
  <c r="Q174" i="11"/>
  <c r="J175" i="11" a="1"/>
  <c r="J175" i="11" s="1"/>
  <c r="L175" i="11" s="1"/>
  <c r="Q175" i="11"/>
  <c r="J176" i="11" a="1"/>
  <c r="J176" i="11" s="1"/>
  <c r="Q176" i="11"/>
  <c r="J177" i="11" a="1"/>
  <c r="J177" i="11" s="1"/>
  <c r="Q177" i="11"/>
  <c r="J178" i="11" a="1"/>
  <c r="J178" i="11" s="1"/>
  <c r="J179" i="11" a="1"/>
  <c r="J179" i="11" s="1"/>
  <c r="Q179" i="11"/>
  <c r="J180" i="11" a="1"/>
  <c r="J180" i="11" s="1"/>
  <c r="Q180" i="11"/>
  <c r="J181" i="11" a="1"/>
  <c r="J181" i="11" s="1"/>
  <c r="Q181" i="11"/>
  <c r="J182" i="11" a="1"/>
  <c r="J182" i="11" s="1"/>
  <c r="Q182" i="11"/>
  <c r="J183" i="11" a="1"/>
  <c r="J183" i="11" s="1"/>
  <c r="L183" i="11" s="1"/>
  <c r="Q183" i="11"/>
  <c r="J184" i="11" a="1"/>
  <c r="J184" i="11" s="1"/>
  <c r="L184" i="11" s="1"/>
  <c r="J185" i="11" a="1"/>
  <c r="J185" i="11" s="1"/>
  <c r="L185" i="11" s="1"/>
  <c r="Q185" i="11"/>
  <c r="J186" i="11" a="1"/>
  <c r="J186" i="11" s="1"/>
  <c r="Q186" i="11"/>
  <c r="J187" i="11" a="1"/>
  <c r="J187" i="11" s="1"/>
  <c r="Q187" i="11"/>
  <c r="J188" i="11" a="1"/>
  <c r="J188" i="11" s="1"/>
  <c r="Q188" i="11"/>
  <c r="J189" i="11" a="1"/>
  <c r="J189" i="11" s="1"/>
  <c r="Q189" i="11"/>
  <c r="J190" i="11" a="1"/>
  <c r="J190" i="11" s="1"/>
  <c r="L190" i="11" s="1"/>
  <c r="J191" i="11" a="1"/>
  <c r="J191" i="11" s="1"/>
  <c r="Q191" i="11"/>
  <c r="J192" i="11" a="1"/>
  <c r="J192" i="11" s="1"/>
  <c r="Q192" i="11"/>
  <c r="J193" i="11" a="1"/>
  <c r="J193" i="11" s="1"/>
  <c r="Q193" i="11"/>
  <c r="J194" i="11" a="1"/>
  <c r="J194" i="11" s="1"/>
  <c r="Q194" i="11"/>
  <c r="J195" i="11" a="1"/>
  <c r="J195" i="11" s="1"/>
  <c r="L195" i="11" s="1"/>
  <c r="Q195" i="11"/>
  <c r="J196" i="11" a="1"/>
  <c r="J196" i="11" s="1"/>
  <c r="L196" i="11" s="1"/>
  <c r="J197" i="11" a="1"/>
  <c r="J197" i="11" s="1"/>
  <c r="L197" i="11" s="1"/>
  <c r="Q197" i="11"/>
  <c r="J198" i="11" a="1"/>
  <c r="J198" i="11" s="1"/>
  <c r="Q198" i="11"/>
  <c r="J199" i="11" a="1"/>
  <c r="J199" i="11" s="1"/>
  <c r="Q199" i="11"/>
  <c r="J200" i="11" a="1"/>
  <c r="J200" i="11" s="1"/>
  <c r="Q200" i="11"/>
  <c r="J3" i="11" a="1"/>
  <c r="J3" i="11" s="1"/>
  <c r="I3" i="11" s="1"/>
  <c r="J4" i="11" a="1"/>
  <c r="J4" i="11" s="1"/>
  <c r="I4" i="11" s="1"/>
  <c r="K4" i="11" s="1"/>
  <c r="W3" i="12"/>
  <c r="X3" i="12"/>
  <c r="W4" i="12"/>
  <c r="X4" i="12"/>
  <c r="W5" i="12"/>
  <c r="X5" i="12"/>
  <c r="W6" i="12"/>
  <c r="X6" i="12"/>
  <c r="W7" i="12"/>
  <c r="X7" i="12"/>
  <c r="W8" i="12"/>
  <c r="X8" i="12"/>
  <c r="W9" i="12"/>
  <c r="X9" i="12"/>
  <c r="W10" i="12"/>
  <c r="X10" i="12"/>
  <c r="W11" i="12"/>
  <c r="X11" i="12"/>
  <c r="W12" i="12"/>
  <c r="X12" i="12"/>
  <c r="W13" i="12"/>
  <c r="X13" i="12"/>
  <c r="W14" i="12"/>
  <c r="X14" i="12"/>
  <c r="W15" i="12"/>
  <c r="X15" i="12"/>
  <c r="W16" i="12"/>
  <c r="X16" i="12"/>
  <c r="W17" i="12"/>
  <c r="X17" i="12"/>
  <c r="W18" i="12"/>
  <c r="X18" i="12"/>
  <c r="W19" i="12"/>
  <c r="X19" i="12"/>
  <c r="W20" i="12"/>
  <c r="X20" i="12"/>
  <c r="W21" i="12"/>
  <c r="X21" i="12"/>
  <c r="W22" i="12"/>
  <c r="X22" i="12"/>
  <c r="W23" i="12"/>
  <c r="X23" i="12"/>
  <c r="W24" i="12"/>
  <c r="X24" i="12"/>
  <c r="W25" i="12"/>
  <c r="X25" i="12"/>
  <c r="W26" i="12"/>
  <c r="X26" i="12"/>
  <c r="W27" i="12"/>
  <c r="X27" i="12"/>
  <c r="W28" i="12"/>
  <c r="X28" i="12"/>
  <c r="W29" i="12"/>
  <c r="X29" i="12"/>
  <c r="W30" i="12"/>
  <c r="X30" i="12"/>
  <c r="W31" i="12"/>
  <c r="X31" i="12"/>
  <c r="W32" i="12"/>
  <c r="X32" i="12"/>
  <c r="W33" i="12"/>
  <c r="X33" i="12"/>
  <c r="W34" i="12"/>
  <c r="X34" i="12"/>
  <c r="W35" i="12"/>
  <c r="X35" i="12"/>
  <c r="W36" i="12"/>
  <c r="X36" i="12"/>
  <c r="W37" i="12"/>
  <c r="X37" i="12"/>
  <c r="W38" i="12"/>
  <c r="X38" i="12"/>
  <c r="W39" i="12"/>
  <c r="X39" i="12"/>
  <c r="W40" i="12"/>
  <c r="X40" i="12"/>
  <c r="W41" i="12"/>
  <c r="X41" i="12"/>
  <c r="W42" i="12"/>
  <c r="X42" i="12"/>
  <c r="W43" i="12"/>
  <c r="X43" i="12"/>
  <c r="W44" i="12"/>
  <c r="X44" i="12"/>
  <c r="W45" i="12"/>
  <c r="X45" i="12"/>
  <c r="W46" i="12"/>
  <c r="X46" i="12"/>
  <c r="W47" i="12"/>
  <c r="X47" i="12"/>
  <c r="W48" i="12"/>
  <c r="X48" i="12"/>
  <c r="W49" i="12"/>
  <c r="X49" i="12"/>
  <c r="W50" i="12"/>
  <c r="X50" i="12"/>
  <c r="W51" i="12"/>
  <c r="X51" i="12"/>
  <c r="W52" i="12"/>
  <c r="X52" i="12"/>
  <c r="W53" i="12"/>
  <c r="X53" i="12"/>
  <c r="W54" i="12"/>
  <c r="X54" i="12"/>
  <c r="W55" i="12"/>
  <c r="X55" i="12"/>
  <c r="W56" i="12"/>
  <c r="X56" i="12"/>
  <c r="W57" i="12"/>
  <c r="X57" i="12"/>
  <c r="W58" i="12"/>
  <c r="X58" i="12"/>
  <c r="W59" i="12"/>
  <c r="X59" i="12"/>
  <c r="W60" i="12"/>
  <c r="X60" i="12"/>
  <c r="W61" i="12"/>
  <c r="X61" i="12"/>
  <c r="W62" i="12"/>
  <c r="X62" i="12"/>
  <c r="W63" i="12"/>
  <c r="X63" i="12"/>
  <c r="W64" i="12"/>
  <c r="X64" i="12"/>
  <c r="W65" i="12"/>
  <c r="X65" i="12"/>
  <c r="W66" i="12"/>
  <c r="X66" i="12"/>
  <c r="W67" i="12"/>
  <c r="X67" i="12"/>
  <c r="W68" i="12"/>
  <c r="X68" i="12"/>
  <c r="W69" i="12"/>
  <c r="X69" i="12"/>
  <c r="W70" i="12"/>
  <c r="X70" i="12"/>
  <c r="W71" i="12"/>
  <c r="X71" i="12"/>
  <c r="W72" i="12"/>
  <c r="X72" i="12"/>
  <c r="W73" i="12"/>
  <c r="X73" i="12"/>
  <c r="W74" i="12"/>
  <c r="X74" i="12"/>
  <c r="W75" i="12"/>
  <c r="X75" i="12"/>
  <c r="W76" i="12"/>
  <c r="X76" i="12"/>
  <c r="W77" i="12"/>
  <c r="X77" i="12"/>
  <c r="W78" i="12"/>
  <c r="X78" i="12"/>
  <c r="W79" i="12"/>
  <c r="X79" i="12"/>
  <c r="W80" i="12"/>
  <c r="X80" i="12"/>
  <c r="W81" i="12"/>
  <c r="X81" i="12"/>
  <c r="W82" i="12"/>
  <c r="X82" i="12"/>
  <c r="W83" i="12"/>
  <c r="X83" i="12"/>
  <c r="W84" i="12"/>
  <c r="X84" i="12"/>
  <c r="W85" i="12"/>
  <c r="X85" i="12"/>
  <c r="W86" i="12"/>
  <c r="X86" i="12"/>
  <c r="W87" i="12"/>
  <c r="X87" i="12"/>
  <c r="W88" i="12"/>
  <c r="X88" i="12"/>
  <c r="W89" i="12"/>
  <c r="X89" i="12"/>
  <c r="W90" i="12"/>
  <c r="X90" i="12"/>
  <c r="W91" i="12"/>
  <c r="X91" i="12"/>
  <c r="W92" i="12"/>
  <c r="X92" i="12"/>
  <c r="W93" i="12"/>
  <c r="X93" i="12"/>
  <c r="W94" i="12"/>
  <c r="X94" i="12"/>
  <c r="W95" i="12"/>
  <c r="X95" i="12"/>
  <c r="W96" i="12"/>
  <c r="X96" i="12"/>
  <c r="W97" i="12"/>
  <c r="X97" i="12"/>
  <c r="W98" i="12"/>
  <c r="X98" i="12"/>
  <c r="W99" i="12"/>
  <c r="X99" i="12"/>
  <c r="W100" i="12"/>
  <c r="X100" i="12"/>
  <c r="W101" i="12"/>
  <c r="X101" i="12"/>
  <c r="W102" i="12"/>
  <c r="X102" i="12"/>
  <c r="W103" i="12"/>
  <c r="X103" i="12"/>
  <c r="W104" i="12"/>
  <c r="X104" i="12"/>
  <c r="W105" i="12"/>
  <c r="X105" i="12"/>
  <c r="W106" i="12"/>
  <c r="X106" i="12"/>
  <c r="W107" i="12"/>
  <c r="X107" i="12"/>
  <c r="W108" i="12"/>
  <c r="X108" i="12"/>
  <c r="W109" i="12"/>
  <c r="X109" i="12"/>
  <c r="W110" i="12"/>
  <c r="X110" i="12"/>
  <c r="W111" i="12"/>
  <c r="X111" i="12"/>
  <c r="W112" i="12"/>
  <c r="X112" i="12"/>
  <c r="W113" i="12"/>
  <c r="X113" i="12"/>
  <c r="W114" i="12"/>
  <c r="X114" i="12"/>
  <c r="W115" i="12"/>
  <c r="X115" i="12"/>
  <c r="W116" i="12"/>
  <c r="X116" i="12"/>
  <c r="W117" i="12"/>
  <c r="X117" i="12"/>
  <c r="W118" i="12"/>
  <c r="X118" i="12"/>
  <c r="W119" i="12"/>
  <c r="X119" i="12"/>
  <c r="W120" i="12"/>
  <c r="X120" i="12"/>
  <c r="W121" i="12"/>
  <c r="X121" i="12"/>
  <c r="W122" i="12"/>
  <c r="X122" i="12"/>
  <c r="W123" i="12"/>
  <c r="X123" i="12"/>
  <c r="W124" i="12"/>
  <c r="X124" i="12"/>
  <c r="W125" i="12"/>
  <c r="X125" i="12"/>
  <c r="W126" i="12"/>
  <c r="X126" i="12"/>
  <c r="W127" i="12"/>
  <c r="X127" i="12"/>
  <c r="W128" i="12"/>
  <c r="X128" i="12"/>
  <c r="W129" i="12"/>
  <c r="X129" i="12"/>
  <c r="W130" i="12"/>
  <c r="X130" i="12"/>
  <c r="W131" i="12"/>
  <c r="X131" i="12"/>
  <c r="W132" i="12"/>
  <c r="X132" i="12"/>
  <c r="W133" i="12"/>
  <c r="X133" i="12"/>
  <c r="W134" i="12"/>
  <c r="X134" i="12"/>
  <c r="W135" i="12"/>
  <c r="X135" i="12"/>
  <c r="W136" i="12"/>
  <c r="X136" i="12"/>
  <c r="W137" i="12"/>
  <c r="X137" i="12"/>
  <c r="W138" i="12"/>
  <c r="X138" i="12"/>
  <c r="W139" i="12"/>
  <c r="X139" i="12"/>
  <c r="W140" i="12"/>
  <c r="X140" i="12"/>
  <c r="W141" i="12"/>
  <c r="X141" i="12"/>
  <c r="W142" i="12"/>
  <c r="X142" i="12"/>
  <c r="W143" i="12"/>
  <c r="X143" i="12"/>
  <c r="W144" i="12"/>
  <c r="X144" i="12"/>
  <c r="W145" i="12"/>
  <c r="X145" i="12"/>
  <c r="W146" i="12"/>
  <c r="X146" i="12"/>
  <c r="W147" i="12"/>
  <c r="X147" i="12"/>
  <c r="W148" i="12"/>
  <c r="X148" i="12"/>
  <c r="W149" i="12"/>
  <c r="X149" i="12"/>
  <c r="W150" i="12"/>
  <c r="X150" i="12"/>
  <c r="W151" i="12"/>
  <c r="X151" i="12"/>
  <c r="W152" i="12"/>
  <c r="X152" i="12"/>
  <c r="W153" i="12"/>
  <c r="X153" i="12"/>
  <c r="W154" i="12"/>
  <c r="X154" i="12"/>
  <c r="W155" i="12"/>
  <c r="X155" i="12"/>
  <c r="W156" i="12"/>
  <c r="X156" i="12"/>
  <c r="W157" i="12"/>
  <c r="X157" i="12"/>
  <c r="W158" i="12"/>
  <c r="X158" i="12"/>
  <c r="W159" i="12"/>
  <c r="X159" i="12"/>
  <c r="W160" i="12"/>
  <c r="X160" i="12"/>
  <c r="W161" i="12"/>
  <c r="X161" i="12"/>
  <c r="W162" i="12"/>
  <c r="X162" i="12"/>
  <c r="W163" i="12"/>
  <c r="X163" i="12"/>
  <c r="W164" i="12"/>
  <c r="X164" i="12"/>
  <c r="W165" i="12"/>
  <c r="X165" i="12"/>
  <c r="W166" i="12"/>
  <c r="X166" i="12"/>
  <c r="W167" i="12"/>
  <c r="X167" i="12"/>
  <c r="W168" i="12"/>
  <c r="X168" i="12"/>
  <c r="W169" i="12"/>
  <c r="X169" i="12"/>
  <c r="W170" i="12"/>
  <c r="X170" i="12"/>
  <c r="W171" i="12"/>
  <c r="X171" i="12"/>
  <c r="W172" i="12"/>
  <c r="X172" i="12"/>
  <c r="W173" i="12"/>
  <c r="X173" i="12"/>
  <c r="W174" i="12"/>
  <c r="X174" i="12"/>
  <c r="W175" i="12"/>
  <c r="X175" i="12"/>
  <c r="W176" i="12"/>
  <c r="X176" i="12"/>
  <c r="W177" i="12"/>
  <c r="X177" i="12"/>
  <c r="W178" i="12"/>
  <c r="X178" i="12"/>
  <c r="W179" i="12"/>
  <c r="X179" i="12"/>
  <c r="W180" i="12"/>
  <c r="X180" i="12"/>
  <c r="W181" i="12"/>
  <c r="X181" i="12"/>
  <c r="W182" i="12"/>
  <c r="X182" i="12"/>
  <c r="W183" i="12"/>
  <c r="X183" i="12"/>
  <c r="W184" i="12"/>
  <c r="X184" i="12"/>
  <c r="W185" i="12"/>
  <c r="X185" i="12"/>
  <c r="W186" i="12"/>
  <c r="X186" i="12"/>
  <c r="W187" i="12"/>
  <c r="X187" i="12"/>
  <c r="W188" i="12"/>
  <c r="X188" i="12"/>
  <c r="W189" i="12"/>
  <c r="X189" i="12"/>
  <c r="W190" i="12"/>
  <c r="X190" i="12"/>
  <c r="W191" i="12"/>
  <c r="X191" i="12"/>
  <c r="W192" i="12"/>
  <c r="X192" i="12"/>
  <c r="W193" i="12"/>
  <c r="X193" i="12"/>
  <c r="W194" i="12"/>
  <c r="X194" i="12"/>
  <c r="W195" i="12"/>
  <c r="X195" i="12"/>
  <c r="W196" i="12"/>
  <c r="X196" i="12"/>
  <c r="W197" i="12"/>
  <c r="X197" i="12"/>
  <c r="W198" i="12"/>
  <c r="X198" i="12"/>
  <c r="W199" i="12"/>
  <c r="X199" i="12"/>
  <c r="W200" i="12"/>
  <c r="X200" i="12"/>
  <c r="W201" i="12"/>
  <c r="X201" i="12"/>
  <c r="W202" i="12"/>
  <c r="X202" i="12"/>
  <c r="W203" i="12"/>
  <c r="X203" i="12"/>
  <c r="W204" i="12"/>
  <c r="X204" i="12"/>
  <c r="W205" i="12"/>
  <c r="X205" i="12"/>
  <c r="W206" i="12"/>
  <c r="X206" i="12"/>
  <c r="W207" i="12"/>
  <c r="X207" i="12"/>
  <c r="W208" i="12"/>
  <c r="X208" i="12"/>
  <c r="W209" i="12"/>
  <c r="X209" i="12"/>
  <c r="W210" i="12"/>
  <c r="X210" i="12"/>
  <c r="W211" i="12"/>
  <c r="X211" i="12"/>
  <c r="W212" i="12"/>
  <c r="X212" i="12"/>
  <c r="W213" i="12"/>
  <c r="X213" i="12"/>
  <c r="W214" i="12"/>
  <c r="X214" i="12"/>
  <c r="W215" i="12"/>
  <c r="X215" i="12"/>
  <c r="W216" i="12"/>
  <c r="X216" i="12"/>
  <c r="W217" i="12"/>
  <c r="X217" i="12"/>
  <c r="W218" i="12"/>
  <c r="X218" i="12"/>
  <c r="W219" i="12"/>
  <c r="X219" i="12"/>
  <c r="W220" i="12"/>
  <c r="X220" i="12"/>
  <c r="W221" i="12"/>
  <c r="X221" i="12"/>
  <c r="W222" i="12"/>
  <c r="X222" i="12"/>
  <c r="W223" i="12"/>
  <c r="X223" i="12"/>
  <c r="W224" i="12"/>
  <c r="X224" i="12"/>
  <c r="W225" i="12"/>
  <c r="X225" i="12"/>
  <c r="W226" i="12"/>
  <c r="X226" i="12"/>
  <c r="W227" i="12"/>
  <c r="X227" i="12"/>
  <c r="W228" i="12"/>
  <c r="X228" i="12"/>
  <c r="W229" i="12"/>
  <c r="X229" i="12"/>
  <c r="W230" i="12"/>
  <c r="X230" i="12"/>
  <c r="W231" i="12"/>
  <c r="X231" i="12"/>
  <c r="W232" i="12"/>
  <c r="X232" i="12"/>
  <c r="W233" i="12"/>
  <c r="X233" i="12"/>
  <c r="W234" i="12"/>
  <c r="X234" i="12"/>
  <c r="W235" i="12"/>
  <c r="X235" i="12"/>
  <c r="W236" i="12"/>
  <c r="X236" i="12"/>
  <c r="W237" i="12"/>
  <c r="X237" i="12"/>
  <c r="W238" i="12"/>
  <c r="X238" i="12"/>
  <c r="W239" i="12"/>
  <c r="X239" i="12"/>
  <c r="W240" i="12"/>
  <c r="X240" i="12"/>
  <c r="W241" i="12"/>
  <c r="X241" i="12"/>
  <c r="W242" i="12"/>
  <c r="X242" i="12"/>
  <c r="W243" i="12"/>
  <c r="X243" i="12"/>
  <c r="W244" i="12"/>
  <c r="X244" i="12"/>
  <c r="W245" i="12"/>
  <c r="X245" i="12"/>
  <c r="W246" i="12"/>
  <c r="X246" i="12"/>
  <c r="W247" i="12"/>
  <c r="X247" i="12"/>
  <c r="W248" i="12"/>
  <c r="X248" i="12"/>
  <c r="W249" i="12"/>
  <c r="X249" i="12"/>
  <c r="W250" i="12"/>
  <c r="X250" i="12"/>
  <c r="W251" i="12"/>
  <c r="X251" i="12"/>
  <c r="W252" i="12"/>
  <c r="X252" i="12"/>
  <c r="W253" i="12"/>
  <c r="X253" i="12"/>
  <c r="W254" i="12"/>
  <c r="X254" i="12"/>
  <c r="W255" i="12"/>
  <c r="X255" i="12"/>
  <c r="W256" i="12"/>
  <c r="X256" i="12"/>
  <c r="W257" i="12"/>
  <c r="X257" i="12"/>
  <c r="W258" i="12"/>
  <c r="X258" i="12"/>
  <c r="W259" i="12"/>
  <c r="X259" i="12"/>
  <c r="W260" i="12"/>
  <c r="X260" i="12"/>
  <c r="W261" i="12"/>
  <c r="X261" i="12"/>
  <c r="W262" i="12"/>
  <c r="X262" i="12"/>
  <c r="W263" i="12"/>
  <c r="X263" i="12"/>
  <c r="W264" i="12"/>
  <c r="X264" i="12"/>
  <c r="W265" i="12"/>
  <c r="X265" i="12"/>
  <c r="W266" i="12"/>
  <c r="X266" i="12"/>
  <c r="W267" i="12"/>
  <c r="X267" i="12"/>
  <c r="W268" i="12"/>
  <c r="X268" i="12"/>
  <c r="W269" i="12"/>
  <c r="X269" i="12"/>
  <c r="W270" i="12"/>
  <c r="X270" i="12"/>
  <c r="W271" i="12"/>
  <c r="X271" i="12"/>
  <c r="W272" i="12"/>
  <c r="X272" i="12"/>
  <c r="W273" i="12"/>
  <c r="X273" i="12"/>
  <c r="W274" i="12"/>
  <c r="X274" i="12"/>
  <c r="W275" i="12"/>
  <c r="X275" i="12"/>
  <c r="W276" i="12"/>
  <c r="X276" i="12"/>
  <c r="W277" i="12"/>
  <c r="X277" i="12"/>
  <c r="W278" i="12"/>
  <c r="X278" i="12"/>
  <c r="W279" i="12"/>
  <c r="X279" i="12"/>
  <c r="W280" i="12"/>
  <c r="X280" i="12"/>
  <c r="W281" i="12"/>
  <c r="X281" i="12"/>
  <c r="W282" i="12"/>
  <c r="X282" i="12"/>
  <c r="W283" i="12"/>
  <c r="X283" i="12"/>
  <c r="W284" i="12"/>
  <c r="X284" i="12"/>
  <c r="W285" i="12"/>
  <c r="X285" i="12"/>
  <c r="W286" i="12"/>
  <c r="X286" i="12"/>
  <c r="W287" i="12"/>
  <c r="X287" i="12"/>
  <c r="W288" i="12"/>
  <c r="X288" i="12"/>
  <c r="W289" i="12"/>
  <c r="X289" i="12"/>
  <c r="W290" i="12"/>
  <c r="X290" i="12"/>
  <c r="W291" i="12"/>
  <c r="X291" i="12"/>
  <c r="W292" i="12"/>
  <c r="X292" i="12"/>
  <c r="W293" i="12"/>
  <c r="X293" i="12"/>
  <c r="W294" i="12"/>
  <c r="X294" i="12"/>
  <c r="W295" i="12"/>
  <c r="X295" i="12"/>
  <c r="W296" i="12"/>
  <c r="X296" i="12"/>
  <c r="W297" i="12"/>
  <c r="X297" i="12"/>
  <c r="W298" i="12"/>
  <c r="X298" i="12"/>
  <c r="W299" i="12"/>
  <c r="X299" i="12"/>
  <c r="W300" i="12"/>
  <c r="X300" i="12"/>
  <c r="W301" i="12"/>
  <c r="X301" i="12"/>
  <c r="W302" i="12"/>
  <c r="X302" i="12"/>
  <c r="W303" i="12"/>
  <c r="X303" i="12"/>
  <c r="W304" i="12"/>
  <c r="X304" i="12"/>
  <c r="W305" i="12"/>
  <c r="X305" i="12"/>
  <c r="W306" i="12"/>
  <c r="X306" i="12"/>
  <c r="W307" i="12"/>
  <c r="X307" i="12"/>
  <c r="W308" i="12"/>
  <c r="X308" i="12"/>
  <c r="W309" i="12"/>
  <c r="X309" i="12"/>
  <c r="W310" i="12"/>
  <c r="X310" i="12"/>
  <c r="W311" i="12"/>
  <c r="X311" i="12"/>
  <c r="W312" i="12"/>
  <c r="X312" i="12"/>
  <c r="W313" i="12"/>
  <c r="X313" i="12"/>
  <c r="W314" i="12"/>
  <c r="X314" i="12"/>
  <c r="W315" i="12"/>
  <c r="X315" i="12"/>
  <c r="W316" i="12"/>
  <c r="X316" i="12"/>
  <c r="W317" i="12"/>
  <c r="X317" i="12"/>
  <c r="W318" i="12"/>
  <c r="X318" i="12"/>
  <c r="W319" i="12"/>
  <c r="X319" i="12"/>
  <c r="W320" i="12"/>
  <c r="X320" i="12"/>
  <c r="W321" i="12"/>
  <c r="X321" i="12"/>
  <c r="W322" i="12"/>
  <c r="X322" i="12"/>
  <c r="W323" i="12"/>
  <c r="X323" i="12"/>
  <c r="W324" i="12"/>
  <c r="X324" i="12"/>
  <c r="W325" i="12"/>
  <c r="X325" i="12"/>
  <c r="W326" i="12"/>
  <c r="X326" i="12"/>
  <c r="W327" i="12"/>
  <c r="X327" i="12"/>
  <c r="W328" i="12"/>
  <c r="X328" i="12"/>
  <c r="W329" i="12"/>
  <c r="X329" i="12"/>
  <c r="W330" i="12"/>
  <c r="X330" i="12"/>
  <c r="W331" i="12"/>
  <c r="X331" i="12"/>
  <c r="W332" i="12"/>
  <c r="X332" i="12"/>
  <c r="W333" i="12"/>
  <c r="X333" i="12"/>
  <c r="W334" i="12"/>
  <c r="X334" i="12"/>
  <c r="W335" i="12"/>
  <c r="X335" i="12"/>
  <c r="W336" i="12"/>
  <c r="X336" i="12"/>
  <c r="W337" i="12"/>
  <c r="X337" i="12"/>
  <c r="W338" i="12"/>
  <c r="X338" i="12"/>
  <c r="W339" i="12"/>
  <c r="X339" i="12"/>
  <c r="W340" i="12"/>
  <c r="X340" i="12"/>
  <c r="W341" i="12"/>
  <c r="X341" i="12"/>
  <c r="W342" i="12"/>
  <c r="X342" i="12"/>
  <c r="W343" i="12"/>
  <c r="X343" i="12"/>
  <c r="W344" i="12"/>
  <c r="X344" i="12"/>
  <c r="W345" i="12"/>
  <c r="X345" i="12"/>
  <c r="W346" i="12"/>
  <c r="X346" i="12"/>
  <c r="W347" i="12"/>
  <c r="X347" i="12"/>
  <c r="W348" i="12"/>
  <c r="X348" i="12"/>
  <c r="W349" i="12"/>
  <c r="X349" i="12"/>
  <c r="W350" i="12"/>
  <c r="X350" i="12"/>
  <c r="W351" i="12"/>
  <c r="X351" i="12"/>
  <c r="W352" i="12"/>
  <c r="X352" i="12"/>
  <c r="W353" i="12"/>
  <c r="X353" i="12"/>
  <c r="W354" i="12"/>
  <c r="X354" i="12"/>
  <c r="W355" i="12"/>
  <c r="X355" i="12"/>
  <c r="W356" i="12"/>
  <c r="X356" i="12"/>
  <c r="W357" i="12"/>
  <c r="X357" i="12"/>
  <c r="W358" i="12"/>
  <c r="X358" i="12"/>
  <c r="W359" i="12"/>
  <c r="X359" i="12"/>
  <c r="W360" i="12"/>
  <c r="X360" i="12"/>
  <c r="W361" i="12"/>
  <c r="X361" i="12"/>
  <c r="W362" i="12"/>
  <c r="X362" i="12"/>
  <c r="W363" i="12"/>
  <c r="X363" i="12"/>
  <c r="W364" i="12"/>
  <c r="X364" i="12"/>
  <c r="W365" i="12"/>
  <c r="X365" i="12"/>
  <c r="W366" i="12"/>
  <c r="X366" i="12"/>
  <c r="W367" i="12"/>
  <c r="X367" i="12"/>
  <c r="W368" i="12"/>
  <c r="X368" i="12"/>
  <c r="W369" i="12"/>
  <c r="X369" i="12"/>
  <c r="W370" i="12"/>
  <c r="X370" i="12"/>
  <c r="W371" i="12"/>
  <c r="X371" i="12"/>
  <c r="W372" i="12"/>
  <c r="X372" i="12"/>
  <c r="W373" i="12"/>
  <c r="X373" i="12"/>
  <c r="W374" i="12"/>
  <c r="X374" i="12"/>
  <c r="W375" i="12"/>
  <c r="X375" i="12"/>
  <c r="W376" i="12"/>
  <c r="X376" i="12"/>
  <c r="W377" i="12"/>
  <c r="X377" i="12"/>
  <c r="W378" i="12"/>
  <c r="X378" i="12"/>
  <c r="W379" i="12"/>
  <c r="X379" i="12"/>
  <c r="W380" i="12"/>
  <c r="X380" i="12"/>
  <c r="W381" i="12"/>
  <c r="X381" i="12"/>
  <c r="W382" i="12"/>
  <c r="X382" i="12"/>
  <c r="W383" i="12"/>
  <c r="X383" i="12"/>
  <c r="W384" i="12"/>
  <c r="X384" i="12"/>
  <c r="W385" i="12"/>
  <c r="X385" i="12"/>
  <c r="W386" i="12"/>
  <c r="X386" i="12"/>
  <c r="W387" i="12"/>
  <c r="X387" i="12"/>
  <c r="W388" i="12"/>
  <c r="X388" i="12"/>
  <c r="W389" i="12"/>
  <c r="X389" i="12"/>
  <c r="W390" i="12"/>
  <c r="X390" i="12"/>
  <c r="W391" i="12"/>
  <c r="X391" i="12"/>
  <c r="W392" i="12"/>
  <c r="X392" i="12"/>
  <c r="W393" i="12"/>
  <c r="X393" i="12"/>
  <c r="W394" i="12"/>
  <c r="X394" i="12"/>
  <c r="W395" i="12"/>
  <c r="X395" i="12"/>
  <c r="W396" i="12"/>
  <c r="X396" i="12"/>
  <c r="W397" i="12"/>
  <c r="X397" i="12"/>
  <c r="W398" i="12"/>
  <c r="X398" i="12"/>
  <c r="W399" i="12"/>
  <c r="X399" i="12"/>
  <c r="W400" i="12"/>
  <c r="X400" i="12"/>
  <c r="W2" i="12"/>
  <c r="X2" i="12"/>
  <c r="A1" i="12"/>
  <c r="B1" i="12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F1" i="12"/>
  <c r="AG1" i="12"/>
  <c r="AH1" i="12"/>
  <c r="AI1" i="12"/>
  <c r="AJ1" i="12"/>
  <c r="AK1" i="12"/>
  <c r="AL1" i="12"/>
  <c r="AM1" i="12"/>
  <c r="AN1" i="12"/>
  <c r="AO1" i="12"/>
  <c r="AP1" i="12"/>
  <c r="AQ1" i="12"/>
  <c r="AR1" i="12"/>
  <c r="AS1" i="12"/>
  <c r="AT1" i="12"/>
  <c r="AU1" i="12"/>
  <c r="AV1" i="12"/>
  <c r="AW1" i="12"/>
  <c r="AX1" i="12"/>
  <c r="AY1" i="12"/>
  <c r="AZ1" i="12"/>
  <c r="BA1" i="12"/>
  <c r="BB1" i="12"/>
  <c r="BC1" i="12"/>
  <c r="BD1" i="12"/>
  <c r="BE1" i="12"/>
  <c r="BF1" i="12"/>
  <c r="BG1" i="12"/>
  <c r="BH1" i="12"/>
  <c r="BI1" i="12"/>
  <c r="BJ1" i="12"/>
  <c r="BK1" i="12"/>
  <c r="BL1" i="12"/>
  <c r="BM1" i="12"/>
  <c r="BN1" i="12"/>
  <c r="A2" i="12"/>
  <c r="B2" i="12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A3" i="12"/>
  <c r="B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Z3" i="12"/>
  <c r="BA3" i="12"/>
  <c r="BB3" i="12"/>
  <c r="BC3" i="12"/>
  <c r="BD3" i="12"/>
  <c r="BE3" i="12"/>
  <c r="BF3" i="12"/>
  <c r="BG3" i="12"/>
  <c r="BH3" i="12"/>
  <c r="BI3" i="12"/>
  <c r="BJ3" i="12"/>
  <c r="BK3" i="12"/>
  <c r="BL3" i="12"/>
  <c r="BM3" i="12"/>
  <c r="BN3" i="12"/>
  <c r="A4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BC4" i="12"/>
  <c r="BD4" i="12"/>
  <c r="BE4" i="12"/>
  <c r="BF4" i="12"/>
  <c r="BG4" i="12"/>
  <c r="BH4" i="12"/>
  <c r="BI4" i="12"/>
  <c r="BJ4" i="12"/>
  <c r="BK4" i="12"/>
  <c r="BL4" i="12"/>
  <c r="BM4" i="12"/>
  <c r="BN4" i="12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A6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N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N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N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N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N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N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N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N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N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N31" i="12"/>
  <c r="A32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A33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N33" i="12"/>
  <c r="A34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A35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A36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A37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A38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A39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A40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A41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A42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A43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A44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N44" i="12"/>
  <c r="A45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N45" i="12"/>
  <c r="A46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N46" i="12"/>
  <c r="A47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N47" i="12"/>
  <c r="A48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AA48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N48" i="12"/>
  <c r="A49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A50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A51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A52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A53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A54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A55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A56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A57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A58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A59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A60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A61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AA61" i="12"/>
  <c r="AB61" i="12"/>
  <c r="AC61" i="12"/>
  <c r="AD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N61" i="12"/>
  <c r="A62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AA62" i="12"/>
  <c r="AB62" i="12"/>
  <c r="AC62" i="12"/>
  <c r="AD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A63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A64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N64" i="12"/>
  <c r="A65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N65" i="12"/>
  <c r="A66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N66" i="12"/>
  <c r="A67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A68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N68" i="12"/>
  <c r="A69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AA69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N69" i="12"/>
  <c r="A70" i="12"/>
  <c r="B70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N70" i="12"/>
  <c r="A71" i="12"/>
  <c r="B71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AA71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N71" i="12"/>
  <c r="A72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N72" i="12"/>
  <c r="A73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AA73" i="12"/>
  <c r="AB73" i="12"/>
  <c r="AC73" i="12"/>
  <c r="AD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N73" i="12"/>
  <c r="A74" i="12"/>
  <c r="B74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AA74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N74" i="12"/>
  <c r="A75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AA75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N75" i="12"/>
  <c r="A76" i="12"/>
  <c r="B76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AA76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N76" i="12"/>
  <c r="A77" i="12"/>
  <c r="B77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AA77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N77" i="12"/>
  <c r="A78" i="12"/>
  <c r="B78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AA78" i="12"/>
  <c r="AB78" i="12"/>
  <c r="AC78" i="12"/>
  <c r="AD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N78" i="12"/>
  <c r="A79" i="12"/>
  <c r="B79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AA79" i="12"/>
  <c r="AB79" i="12"/>
  <c r="AC79" i="12"/>
  <c r="AD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N79" i="12"/>
  <c r="A80" i="12"/>
  <c r="B80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N80" i="12"/>
  <c r="A81" i="12"/>
  <c r="B81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N81" i="12"/>
  <c r="A82" i="12"/>
  <c r="B82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AA82" i="12"/>
  <c r="AB82" i="12"/>
  <c r="AC82" i="12"/>
  <c r="AD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N82" i="12"/>
  <c r="A83" i="12"/>
  <c r="B83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AA83" i="12"/>
  <c r="AB83" i="12"/>
  <c r="AC83" i="12"/>
  <c r="AD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N83" i="12"/>
  <c r="A84" i="12"/>
  <c r="B84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AA84" i="12"/>
  <c r="AB84" i="12"/>
  <c r="AC84" i="12"/>
  <c r="AD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N84" i="12"/>
  <c r="A85" i="12"/>
  <c r="B85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AA85" i="12"/>
  <c r="AB85" i="12"/>
  <c r="AC85" i="12"/>
  <c r="AD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N85" i="12"/>
  <c r="A86" i="12"/>
  <c r="B86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AA86" i="12"/>
  <c r="AB86" i="12"/>
  <c r="AC86" i="12"/>
  <c r="AD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N86" i="12"/>
  <c r="A87" i="12"/>
  <c r="B87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AA87" i="12"/>
  <c r="AB87" i="12"/>
  <c r="AC87" i="12"/>
  <c r="AD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N87" i="12"/>
  <c r="A88" i="12"/>
  <c r="B88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AA88" i="12"/>
  <c r="AB88" i="12"/>
  <c r="AC88" i="12"/>
  <c r="AD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N88" i="12"/>
  <c r="A89" i="12"/>
  <c r="B89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AA89" i="12"/>
  <c r="AB89" i="12"/>
  <c r="AC89" i="12"/>
  <c r="AD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N89" i="12"/>
  <c r="A90" i="12"/>
  <c r="B90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R90" i="12"/>
  <c r="S90" i="12"/>
  <c r="T90" i="12"/>
  <c r="U90" i="12"/>
  <c r="V90" i="12"/>
  <c r="AA90" i="12"/>
  <c r="AB90" i="12"/>
  <c r="AC90" i="12"/>
  <c r="AD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N90" i="12"/>
  <c r="A91" i="12"/>
  <c r="B91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R91" i="12"/>
  <c r="S91" i="12"/>
  <c r="T91" i="12"/>
  <c r="U91" i="12"/>
  <c r="V91" i="12"/>
  <c r="AA91" i="12"/>
  <c r="AB91" i="12"/>
  <c r="AC91" i="12"/>
  <c r="AD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W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N91" i="12"/>
  <c r="A92" i="12"/>
  <c r="B92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R92" i="12"/>
  <c r="S92" i="12"/>
  <c r="T92" i="12"/>
  <c r="U92" i="12"/>
  <c r="V92" i="12"/>
  <c r="AA92" i="12"/>
  <c r="AB92" i="12"/>
  <c r="AC92" i="12"/>
  <c r="AD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W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N92" i="12"/>
  <c r="A93" i="12"/>
  <c r="B93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93" i="12"/>
  <c r="U93" i="12"/>
  <c r="V93" i="12"/>
  <c r="AA93" i="12"/>
  <c r="AB93" i="12"/>
  <c r="AC93" i="12"/>
  <c r="AD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W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N93" i="12"/>
  <c r="A94" i="12"/>
  <c r="B94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U94" i="12"/>
  <c r="V94" i="12"/>
  <c r="AA94" i="12"/>
  <c r="AB94" i="12"/>
  <c r="AC94" i="12"/>
  <c r="AD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W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N94" i="12"/>
  <c r="A95" i="12"/>
  <c r="B95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AA95" i="12"/>
  <c r="AB95" i="12"/>
  <c r="AC95" i="12"/>
  <c r="AD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W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N95" i="12"/>
  <c r="A96" i="12"/>
  <c r="B96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AA96" i="12"/>
  <c r="AB96" i="12"/>
  <c r="AC96" i="12"/>
  <c r="AD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W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N96" i="12"/>
  <c r="A97" i="12"/>
  <c r="B97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AA97" i="12"/>
  <c r="AB97" i="12"/>
  <c r="AC97" i="12"/>
  <c r="AD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W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N97" i="12"/>
  <c r="A98" i="12"/>
  <c r="B98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AA98" i="12"/>
  <c r="AB98" i="12"/>
  <c r="AC98" i="12"/>
  <c r="AD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W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N98" i="12"/>
  <c r="A99" i="12"/>
  <c r="B99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R99" i="12"/>
  <c r="S99" i="12"/>
  <c r="T99" i="12"/>
  <c r="U99" i="12"/>
  <c r="V99" i="12"/>
  <c r="AA99" i="12"/>
  <c r="AB99" i="12"/>
  <c r="AC99" i="12"/>
  <c r="AD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W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N99" i="12"/>
  <c r="A100" i="12"/>
  <c r="B100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V100" i="12"/>
  <c r="AA100" i="12"/>
  <c r="AB100" i="12"/>
  <c r="AC100" i="12"/>
  <c r="AD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W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N100" i="12"/>
  <c r="A101" i="12"/>
  <c r="B101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R101" i="12"/>
  <c r="S101" i="12"/>
  <c r="T101" i="12"/>
  <c r="U101" i="12"/>
  <c r="V101" i="12"/>
  <c r="AA101" i="12"/>
  <c r="AB101" i="12"/>
  <c r="AC101" i="12"/>
  <c r="AD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W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N101" i="12"/>
  <c r="A102" i="12"/>
  <c r="B102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R102" i="12"/>
  <c r="S102" i="12"/>
  <c r="T102" i="12"/>
  <c r="U102" i="12"/>
  <c r="V102" i="12"/>
  <c r="AA102" i="12"/>
  <c r="AB102" i="12"/>
  <c r="AC102" i="12"/>
  <c r="AD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W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N102" i="12"/>
  <c r="A103" i="12"/>
  <c r="B103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AA103" i="12"/>
  <c r="AB103" i="12"/>
  <c r="AC103" i="12"/>
  <c r="AD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W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N103" i="12"/>
  <c r="A104" i="12"/>
  <c r="B104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R104" i="12"/>
  <c r="S104" i="12"/>
  <c r="T104" i="12"/>
  <c r="U104" i="12"/>
  <c r="V104" i="12"/>
  <c r="AA104" i="12"/>
  <c r="AB104" i="12"/>
  <c r="AC104" i="12"/>
  <c r="AD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W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N104" i="12"/>
  <c r="A105" i="12"/>
  <c r="B105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R105" i="12"/>
  <c r="S105" i="12"/>
  <c r="T105" i="12"/>
  <c r="U105" i="12"/>
  <c r="V105" i="12"/>
  <c r="AA105" i="12"/>
  <c r="AB105" i="12"/>
  <c r="AC105" i="12"/>
  <c r="AD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W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N105" i="12"/>
  <c r="A106" i="12"/>
  <c r="B106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R106" i="12"/>
  <c r="S106" i="12"/>
  <c r="T106" i="12"/>
  <c r="U106" i="12"/>
  <c r="V106" i="12"/>
  <c r="AA106" i="12"/>
  <c r="AB106" i="12"/>
  <c r="AC106" i="12"/>
  <c r="AD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W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N106" i="12"/>
  <c r="A107" i="12"/>
  <c r="B107" i="12"/>
  <c r="C107" i="12"/>
  <c r="D107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AA107" i="12"/>
  <c r="AB107" i="12"/>
  <c r="AC107" i="12"/>
  <c r="AD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W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N107" i="12"/>
  <c r="A108" i="12"/>
  <c r="B108" i="12"/>
  <c r="C108" i="12"/>
  <c r="D108" i="12"/>
  <c r="E108" i="12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U108" i="12"/>
  <c r="V108" i="12"/>
  <c r="AA108" i="12"/>
  <c r="AB108" i="12"/>
  <c r="AC108" i="12"/>
  <c r="AD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W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N108" i="12"/>
  <c r="A109" i="12"/>
  <c r="B109" i="12"/>
  <c r="C109" i="12"/>
  <c r="D109" i="12"/>
  <c r="E109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09" i="12"/>
  <c r="U109" i="12"/>
  <c r="V109" i="12"/>
  <c r="AA109" i="12"/>
  <c r="AB109" i="12"/>
  <c r="AC109" i="12"/>
  <c r="AD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W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N109" i="12"/>
  <c r="A110" i="12"/>
  <c r="B110" i="12"/>
  <c r="C110" i="12"/>
  <c r="D110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10" i="12"/>
  <c r="U110" i="12"/>
  <c r="V110" i="12"/>
  <c r="AA110" i="12"/>
  <c r="AB110" i="12"/>
  <c r="AC110" i="12"/>
  <c r="AD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W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N110" i="12"/>
  <c r="A111" i="12"/>
  <c r="B111" i="12"/>
  <c r="C111" i="12"/>
  <c r="D111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AA111" i="12"/>
  <c r="AB111" i="12"/>
  <c r="AC111" i="12"/>
  <c r="AD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W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N111" i="12"/>
  <c r="A112" i="12"/>
  <c r="B112" i="12"/>
  <c r="C112" i="12"/>
  <c r="D112" i="12"/>
  <c r="E112" i="12"/>
  <c r="F112" i="12"/>
  <c r="G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AA112" i="12"/>
  <c r="AB112" i="12"/>
  <c r="AC112" i="12"/>
  <c r="AD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W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N112" i="12"/>
  <c r="A113" i="12"/>
  <c r="B113" i="12"/>
  <c r="C113" i="12"/>
  <c r="D113" i="12"/>
  <c r="E113" i="12"/>
  <c r="F113" i="12"/>
  <c r="G113" i="12"/>
  <c r="H113" i="12"/>
  <c r="I113" i="12"/>
  <c r="J113" i="12"/>
  <c r="K113" i="12"/>
  <c r="L113" i="12"/>
  <c r="M113" i="12"/>
  <c r="N113" i="12"/>
  <c r="O113" i="12"/>
  <c r="P113" i="12"/>
  <c r="Q113" i="12"/>
  <c r="R113" i="12"/>
  <c r="S113" i="12"/>
  <c r="T113" i="12"/>
  <c r="U113" i="12"/>
  <c r="V113" i="12"/>
  <c r="AA113" i="12"/>
  <c r="AB113" i="12"/>
  <c r="AC113" i="12"/>
  <c r="AD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W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N113" i="12"/>
  <c r="A114" i="12"/>
  <c r="B114" i="12"/>
  <c r="C114" i="12"/>
  <c r="D114" i="12"/>
  <c r="E114" i="12"/>
  <c r="F114" i="12"/>
  <c r="G114" i="12"/>
  <c r="H114" i="12"/>
  <c r="I114" i="12"/>
  <c r="J114" i="12"/>
  <c r="K114" i="12"/>
  <c r="L114" i="12"/>
  <c r="M114" i="12"/>
  <c r="N114" i="12"/>
  <c r="O114" i="12"/>
  <c r="P114" i="12"/>
  <c r="Q114" i="12"/>
  <c r="R114" i="12"/>
  <c r="S114" i="12"/>
  <c r="T114" i="12"/>
  <c r="U114" i="12"/>
  <c r="V114" i="12"/>
  <c r="AA114" i="12"/>
  <c r="AB114" i="12"/>
  <c r="AC114" i="12"/>
  <c r="AD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W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N114" i="12"/>
  <c r="A115" i="12"/>
  <c r="B115" i="12"/>
  <c r="C115" i="12"/>
  <c r="D115" i="12"/>
  <c r="E115" i="12"/>
  <c r="F115" i="12"/>
  <c r="G115" i="12"/>
  <c r="H115" i="12"/>
  <c r="I115" i="12"/>
  <c r="J115" i="12"/>
  <c r="K115" i="12"/>
  <c r="L115" i="12"/>
  <c r="M115" i="12"/>
  <c r="N115" i="12"/>
  <c r="O115" i="12"/>
  <c r="P115" i="12"/>
  <c r="Q115" i="12"/>
  <c r="R115" i="12"/>
  <c r="S115" i="12"/>
  <c r="T115" i="12"/>
  <c r="U115" i="12"/>
  <c r="V115" i="12"/>
  <c r="AA115" i="12"/>
  <c r="AB115" i="12"/>
  <c r="AC115" i="12"/>
  <c r="AD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W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N115" i="12"/>
  <c r="A116" i="12"/>
  <c r="B116" i="12"/>
  <c r="C116" i="12"/>
  <c r="D116" i="12"/>
  <c r="E116" i="12"/>
  <c r="F116" i="12"/>
  <c r="G116" i="12"/>
  <c r="H116" i="12"/>
  <c r="I116" i="12"/>
  <c r="J116" i="12"/>
  <c r="K116" i="12"/>
  <c r="L116" i="12"/>
  <c r="M116" i="12"/>
  <c r="N116" i="12"/>
  <c r="O116" i="12"/>
  <c r="P116" i="12"/>
  <c r="Q116" i="12"/>
  <c r="R116" i="12"/>
  <c r="S116" i="12"/>
  <c r="T116" i="12"/>
  <c r="U116" i="12"/>
  <c r="V116" i="12"/>
  <c r="AA116" i="12"/>
  <c r="AB116" i="12"/>
  <c r="AC116" i="12"/>
  <c r="AD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W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N116" i="12"/>
  <c r="A117" i="12"/>
  <c r="B117" i="12"/>
  <c r="C117" i="12"/>
  <c r="D117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AA117" i="12"/>
  <c r="AB117" i="12"/>
  <c r="AC117" i="12"/>
  <c r="AD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W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N117" i="12"/>
  <c r="A118" i="12"/>
  <c r="B118" i="12"/>
  <c r="C118" i="12"/>
  <c r="D118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AA118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W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N118" i="12"/>
  <c r="A119" i="12"/>
  <c r="B119" i="12"/>
  <c r="C119" i="12"/>
  <c r="D119" i="12"/>
  <c r="E119" i="12"/>
  <c r="F119" i="12"/>
  <c r="G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19" i="12"/>
  <c r="U119" i="12"/>
  <c r="V119" i="12"/>
  <c r="AA119" i="12"/>
  <c r="AB119" i="12"/>
  <c r="AC119" i="12"/>
  <c r="AD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W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N119" i="12"/>
  <c r="A120" i="12"/>
  <c r="B120" i="12"/>
  <c r="C120" i="12"/>
  <c r="D120" i="12"/>
  <c r="E120" i="12"/>
  <c r="F120" i="12"/>
  <c r="G120" i="12"/>
  <c r="H120" i="12"/>
  <c r="I120" i="12"/>
  <c r="J120" i="12"/>
  <c r="K120" i="12"/>
  <c r="L120" i="12"/>
  <c r="M120" i="12"/>
  <c r="N120" i="12"/>
  <c r="O120" i="12"/>
  <c r="P120" i="12"/>
  <c r="Q120" i="12"/>
  <c r="R120" i="12"/>
  <c r="S120" i="12"/>
  <c r="T120" i="12"/>
  <c r="U120" i="12"/>
  <c r="V120" i="12"/>
  <c r="AA120" i="12"/>
  <c r="AB120" i="12"/>
  <c r="AC120" i="12"/>
  <c r="AD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W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N120" i="12"/>
  <c r="A121" i="12"/>
  <c r="B121" i="12"/>
  <c r="C121" i="12"/>
  <c r="D121" i="12"/>
  <c r="E121" i="12"/>
  <c r="F121" i="12"/>
  <c r="G121" i="12"/>
  <c r="H121" i="12"/>
  <c r="I121" i="12"/>
  <c r="J121" i="12"/>
  <c r="K121" i="12"/>
  <c r="L121" i="12"/>
  <c r="M121" i="12"/>
  <c r="N121" i="12"/>
  <c r="O121" i="12"/>
  <c r="P121" i="12"/>
  <c r="Q121" i="12"/>
  <c r="R121" i="12"/>
  <c r="S121" i="12"/>
  <c r="T121" i="12"/>
  <c r="U121" i="12"/>
  <c r="V121" i="12"/>
  <c r="AA121" i="12"/>
  <c r="AB121" i="12"/>
  <c r="AC121" i="12"/>
  <c r="AD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W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N121" i="12"/>
  <c r="A122" i="12"/>
  <c r="B122" i="12"/>
  <c r="C122" i="12"/>
  <c r="D122" i="12"/>
  <c r="E122" i="12"/>
  <c r="F122" i="12"/>
  <c r="G122" i="12"/>
  <c r="H122" i="12"/>
  <c r="I122" i="12"/>
  <c r="J122" i="12"/>
  <c r="K122" i="12"/>
  <c r="L122" i="12"/>
  <c r="M122" i="12"/>
  <c r="N122" i="12"/>
  <c r="O122" i="12"/>
  <c r="P122" i="12"/>
  <c r="Q122" i="12"/>
  <c r="R122" i="12"/>
  <c r="S122" i="12"/>
  <c r="T122" i="12"/>
  <c r="U122" i="12"/>
  <c r="V122" i="12"/>
  <c r="AA122" i="12"/>
  <c r="AB122" i="12"/>
  <c r="AC122" i="12"/>
  <c r="AD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W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N122" i="12"/>
  <c r="A123" i="12"/>
  <c r="B123" i="12"/>
  <c r="C123" i="12"/>
  <c r="D123" i="12"/>
  <c r="E123" i="12"/>
  <c r="F123" i="12"/>
  <c r="G123" i="12"/>
  <c r="H123" i="12"/>
  <c r="I123" i="12"/>
  <c r="J123" i="12"/>
  <c r="K123" i="12"/>
  <c r="L123" i="12"/>
  <c r="M123" i="12"/>
  <c r="N123" i="12"/>
  <c r="O123" i="12"/>
  <c r="P123" i="12"/>
  <c r="Q123" i="12"/>
  <c r="R123" i="12"/>
  <c r="S123" i="12"/>
  <c r="T123" i="12"/>
  <c r="U123" i="12"/>
  <c r="V123" i="12"/>
  <c r="AA123" i="12"/>
  <c r="AB123" i="12"/>
  <c r="AC123" i="12"/>
  <c r="AD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N123" i="12"/>
  <c r="A124" i="12"/>
  <c r="B124" i="12"/>
  <c r="C124" i="12"/>
  <c r="D124" i="12"/>
  <c r="E124" i="12"/>
  <c r="F124" i="12"/>
  <c r="G124" i="12"/>
  <c r="H124" i="12"/>
  <c r="I124" i="12"/>
  <c r="J124" i="12"/>
  <c r="K124" i="12"/>
  <c r="L124" i="12"/>
  <c r="M124" i="12"/>
  <c r="N124" i="12"/>
  <c r="O124" i="12"/>
  <c r="P124" i="12"/>
  <c r="Q124" i="12"/>
  <c r="R124" i="12"/>
  <c r="S124" i="12"/>
  <c r="T124" i="12"/>
  <c r="U124" i="12"/>
  <c r="V124" i="12"/>
  <c r="AA124" i="12"/>
  <c r="AB124" i="12"/>
  <c r="AC124" i="12"/>
  <c r="AD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N124" i="12"/>
  <c r="A125" i="12"/>
  <c r="B125" i="12"/>
  <c r="C125" i="12"/>
  <c r="D125" i="12"/>
  <c r="E125" i="12"/>
  <c r="F125" i="12"/>
  <c r="G125" i="12"/>
  <c r="H125" i="12"/>
  <c r="I125" i="12"/>
  <c r="J125" i="12"/>
  <c r="K125" i="12"/>
  <c r="L125" i="12"/>
  <c r="M125" i="12"/>
  <c r="N125" i="12"/>
  <c r="O125" i="12"/>
  <c r="P125" i="12"/>
  <c r="Q125" i="12"/>
  <c r="R125" i="12"/>
  <c r="S125" i="12"/>
  <c r="T125" i="12"/>
  <c r="U125" i="12"/>
  <c r="V125" i="12"/>
  <c r="AA125" i="12"/>
  <c r="AB125" i="12"/>
  <c r="AC125" i="12"/>
  <c r="AD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W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N125" i="12"/>
  <c r="A126" i="12"/>
  <c r="B126" i="12"/>
  <c r="C126" i="12"/>
  <c r="D126" i="12"/>
  <c r="E126" i="12"/>
  <c r="F126" i="12"/>
  <c r="G126" i="12"/>
  <c r="H126" i="12"/>
  <c r="I126" i="12"/>
  <c r="J126" i="12"/>
  <c r="K126" i="12"/>
  <c r="L126" i="12"/>
  <c r="M126" i="12"/>
  <c r="N126" i="12"/>
  <c r="O126" i="12"/>
  <c r="P126" i="12"/>
  <c r="Q126" i="12"/>
  <c r="R126" i="12"/>
  <c r="S126" i="12"/>
  <c r="T126" i="12"/>
  <c r="U126" i="12"/>
  <c r="V126" i="12"/>
  <c r="AA126" i="12"/>
  <c r="AB126" i="12"/>
  <c r="AC126" i="12"/>
  <c r="AD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W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N126" i="12"/>
  <c r="A127" i="12"/>
  <c r="B127" i="12"/>
  <c r="C127" i="12"/>
  <c r="D127" i="12"/>
  <c r="E127" i="12"/>
  <c r="F127" i="12"/>
  <c r="G127" i="12"/>
  <c r="H127" i="12"/>
  <c r="I127" i="12"/>
  <c r="J127" i="12"/>
  <c r="K127" i="12"/>
  <c r="L127" i="12"/>
  <c r="M127" i="12"/>
  <c r="N127" i="12"/>
  <c r="O127" i="12"/>
  <c r="P127" i="12"/>
  <c r="Q127" i="12"/>
  <c r="R127" i="12"/>
  <c r="S127" i="12"/>
  <c r="T127" i="12"/>
  <c r="U127" i="12"/>
  <c r="V127" i="12"/>
  <c r="AA127" i="12"/>
  <c r="AB127" i="12"/>
  <c r="AC127" i="12"/>
  <c r="AD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W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N127" i="12"/>
  <c r="A128" i="12"/>
  <c r="B128" i="12"/>
  <c r="C128" i="12"/>
  <c r="D128" i="12"/>
  <c r="E128" i="12"/>
  <c r="F128" i="12"/>
  <c r="G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128" i="12"/>
  <c r="U128" i="12"/>
  <c r="V128" i="12"/>
  <c r="AA128" i="12"/>
  <c r="AB128" i="12"/>
  <c r="AC128" i="12"/>
  <c r="AD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W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N128" i="12"/>
  <c r="A129" i="12"/>
  <c r="B129" i="12"/>
  <c r="C129" i="12"/>
  <c r="D129" i="12"/>
  <c r="E129" i="12"/>
  <c r="F129" i="12"/>
  <c r="G129" i="12"/>
  <c r="H129" i="12"/>
  <c r="I129" i="12"/>
  <c r="J129" i="12"/>
  <c r="K129" i="12"/>
  <c r="L129" i="12"/>
  <c r="M129" i="12"/>
  <c r="N129" i="12"/>
  <c r="O129" i="12"/>
  <c r="P129" i="12"/>
  <c r="Q129" i="12"/>
  <c r="R129" i="12"/>
  <c r="S129" i="12"/>
  <c r="T129" i="12"/>
  <c r="U129" i="12"/>
  <c r="V129" i="12"/>
  <c r="AA129" i="12"/>
  <c r="AB129" i="12"/>
  <c r="AC129" i="12"/>
  <c r="AD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W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N129" i="12"/>
  <c r="A130" i="12"/>
  <c r="B130" i="12"/>
  <c r="C130" i="12"/>
  <c r="D130" i="12"/>
  <c r="E130" i="12"/>
  <c r="F130" i="12"/>
  <c r="G130" i="12"/>
  <c r="H130" i="12"/>
  <c r="I130" i="12"/>
  <c r="J130" i="12"/>
  <c r="K130" i="12"/>
  <c r="L130" i="12"/>
  <c r="M130" i="12"/>
  <c r="N130" i="12"/>
  <c r="O130" i="12"/>
  <c r="P130" i="12"/>
  <c r="Q130" i="12"/>
  <c r="R130" i="12"/>
  <c r="S130" i="12"/>
  <c r="T130" i="12"/>
  <c r="U130" i="12"/>
  <c r="V130" i="12"/>
  <c r="AA130" i="12"/>
  <c r="AB130" i="12"/>
  <c r="AC130" i="12"/>
  <c r="AD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W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N130" i="12"/>
  <c r="A131" i="12"/>
  <c r="B131" i="12"/>
  <c r="C131" i="12"/>
  <c r="D131" i="12"/>
  <c r="E131" i="12"/>
  <c r="F131" i="12"/>
  <c r="G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131" i="12"/>
  <c r="U131" i="12"/>
  <c r="V131" i="12"/>
  <c r="AA131" i="12"/>
  <c r="AB131" i="12"/>
  <c r="AC131" i="12"/>
  <c r="AD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N131" i="12"/>
  <c r="A132" i="12"/>
  <c r="B132" i="12"/>
  <c r="C132" i="12"/>
  <c r="D132" i="12"/>
  <c r="E132" i="12"/>
  <c r="F132" i="12"/>
  <c r="G132" i="12"/>
  <c r="H132" i="12"/>
  <c r="I132" i="12"/>
  <c r="J132" i="12"/>
  <c r="K132" i="12"/>
  <c r="L132" i="12"/>
  <c r="M132" i="12"/>
  <c r="N132" i="12"/>
  <c r="O132" i="12"/>
  <c r="P132" i="12"/>
  <c r="Q132" i="12"/>
  <c r="R132" i="12"/>
  <c r="S132" i="12"/>
  <c r="T132" i="12"/>
  <c r="U132" i="12"/>
  <c r="V132" i="12"/>
  <c r="AA132" i="12"/>
  <c r="AB132" i="12"/>
  <c r="AC132" i="12"/>
  <c r="AD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W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N132" i="12"/>
  <c r="A133" i="12"/>
  <c r="B133" i="12"/>
  <c r="C133" i="12"/>
  <c r="D133" i="12"/>
  <c r="E133" i="12"/>
  <c r="F133" i="12"/>
  <c r="G133" i="12"/>
  <c r="H133" i="12"/>
  <c r="I133" i="12"/>
  <c r="J133" i="12"/>
  <c r="K133" i="12"/>
  <c r="L133" i="12"/>
  <c r="M133" i="12"/>
  <c r="N133" i="12"/>
  <c r="O133" i="12"/>
  <c r="P133" i="12"/>
  <c r="Q133" i="12"/>
  <c r="R133" i="12"/>
  <c r="S133" i="12"/>
  <c r="T133" i="12"/>
  <c r="U133" i="12"/>
  <c r="V133" i="12"/>
  <c r="AA133" i="12"/>
  <c r="AB133" i="12"/>
  <c r="AC133" i="12"/>
  <c r="AD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W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N133" i="12"/>
  <c r="A134" i="12"/>
  <c r="B134" i="12"/>
  <c r="C134" i="12"/>
  <c r="D134" i="12"/>
  <c r="E134" i="12"/>
  <c r="F134" i="12"/>
  <c r="G134" i="12"/>
  <c r="H134" i="12"/>
  <c r="I134" i="12"/>
  <c r="J134" i="12"/>
  <c r="K134" i="12"/>
  <c r="L134" i="12"/>
  <c r="M134" i="12"/>
  <c r="N134" i="12"/>
  <c r="O134" i="12"/>
  <c r="P134" i="12"/>
  <c r="Q134" i="12"/>
  <c r="R134" i="12"/>
  <c r="S134" i="12"/>
  <c r="T134" i="12"/>
  <c r="U134" i="12"/>
  <c r="V134" i="12"/>
  <c r="AA134" i="12"/>
  <c r="AB134" i="12"/>
  <c r="AC134" i="12"/>
  <c r="AD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W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N134" i="12"/>
  <c r="A135" i="12"/>
  <c r="B135" i="12"/>
  <c r="C135" i="12"/>
  <c r="D135" i="12"/>
  <c r="E135" i="12"/>
  <c r="F135" i="12"/>
  <c r="G135" i="12"/>
  <c r="H135" i="12"/>
  <c r="I135" i="12"/>
  <c r="J135" i="12"/>
  <c r="K135" i="12"/>
  <c r="L135" i="12"/>
  <c r="M135" i="12"/>
  <c r="N135" i="12"/>
  <c r="O135" i="12"/>
  <c r="P135" i="12"/>
  <c r="Q135" i="12"/>
  <c r="R135" i="12"/>
  <c r="S135" i="12"/>
  <c r="T135" i="12"/>
  <c r="U135" i="12"/>
  <c r="V135" i="12"/>
  <c r="AA135" i="12"/>
  <c r="AB135" i="12"/>
  <c r="AC135" i="12"/>
  <c r="AD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W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N135" i="12"/>
  <c r="A136" i="12"/>
  <c r="B136" i="12"/>
  <c r="C136" i="12"/>
  <c r="D136" i="12"/>
  <c r="E136" i="12"/>
  <c r="F136" i="12"/>
  <c r="G136" i="12"/>
  <c r="H136" i="12"/>
  <c r="I136" i="12"/>
  <c r="J136" i="12"/>
  <c r="K136" i="12"/>
  <c r="L136" i="12"/>
  <c r="M136" i="12"/>
  <c r="N136" i="12"/>
  <c r="O136" i="12"/>
  <c r="P136" i="12"/>
  <c r="Q136" i="12"/>
  <c r="R136" i="12"/>
  <c r="S136" i="12"/>
  <c r="T136" i="12"/>
  <c r="U136" i="12"/>
  <c r="V136" i="12"/>
  <c r="AA136" i="12"/>
  <c r="AB136" i="12"/>
  <c r="AC136" i="12"/>
  <c r="AD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W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N136" i="12"/>
  <c r="A137" i="12"/>
  <c r="B137" i="12"/>
  <c r="C137" i="12"/>
  <c r="D137" i="12"/>
  <c r="E137" i="12"/>
  <c r="F137" i="12"/>
  <c r="G137" i="12"/>
  <c r="H137" i="12"/>
  <c r="I137" i="12"/>
  <c r="J137" i="12"/>
  <c r="K137" i="12"/>
  <c r="L137" i="12"/>
  <c r="M137" i="12"/>
  <c r="N137" i="12"/>
  <c r="O137" i="12"/>
  <c r="P137" i="12"/>
  <c r="Q137" i="12"/>
  <c r="R137" i="12"/>
  <c r="S137" i="12"/>
  <c r="T137" i="12"/>
  <c r="U137" i="12"/>
  <c r="V137" i="12"/>
  <c r="AA137" i="12"/>
  <c r="AB137" i="12"/>
  <c r="AC137" i="12"/>
  <c r="AD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W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N137" i="12"/>
  <c r="A138" i="12"/>
  <c r="B138" i="12"/>
  <c r="C138" i="12"/>
  <c r="D138" i="12"/>
  <c r="E138" i="12"/>
  <c r="F138" i="12"/>
  <c r="G138" i="12"/>
  <c r="H138" i="12"/>
  <c r="I138" i="12"/>
  <c r="J138" i="12"/>
  <c r="K138" i="12"/>
  <c r="L138" i="12"/>
  <c r="M138" i="12"/>
  <c r="N138" i="12"/>
  <c r="O138" i="12"/>
  <c r="P138" i="12"/>
  <c r="Q138" i="12"/>
  <c r="R138" i="12"/>
  <c r="S138" i="12"/>
  <c r="T138" i="12"/>
  <c r="U138" i="12"/>
  <c r="V138" i="12"/>
  <c r="AA138" i="12"/>
  <c r="AB138" i="12"/>
  <c r="AC138" i="12"/>
  <c r="AD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W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N138" i="12"/>
  <c r="A139" i="12"/>
  <c r="B139" i="12"/>
  <c r="C139" i="12"/>
  <c r="D139" i="12"/>
  <c r="E139" i="12"/>
  <c r="F139" i="12"/>
  <c r="G139" i="12"/>
  <c r="H139" i="12"/>
  <c r="I139" i="12"/>
  <c r="J139" i="12"/>
  <c r="K139" i="12"/>
  <c r="L139" i="12"/>
  <c r="M139" i="12"/>
  <c r="N139" i="12"/>
  <c r="O139" i="12"/>
  <c r="P139" i="12"/>
  <c r="Q139" i="12"/>
  <c r="R139" i="12"/>
  <c r="S139" i="12"/>
  <c r="T139" i="12"/>
  <c r="U139" i="12"/>
  <c r="V139" i="12"/>
  <c r="AA139" i="12"/>
  <c r="AB139" i="12"/>
  <c r="AC139" i="12"/>
  <c r="AD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W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N139" i="12"/>
  <c r="A140" i="12"/>
  <c r="B140" i="12"/>
  <c r="C140" i="12"/>
  <c r="D140" i="12"/>
  <c r="E140" i="12"/>
  <c r="F140" i="12"/>
  <c r="G140" i="12"/>
  <c r="H140" i="12"/>
  <c r="I140" i="12"/>
  <c r="J140" i="12"/>
  <c r="K140" i="12"/>
  <c r="L140" i="12"/>
  <c r="M140" i="12"/>
  <c r="N140" i="12"/>
  <c r="O140" i="12"/>
  <c r="P140" i="12"/>
  <c r="Q140" i="12"/>
  <c r="R140" i="12"/>
  <c r="S140" i="12"/>
  <c r="T140" i="12"/>
  <c r="U140" i="12"/>
  <c r="V140" i="12"/>
  <c r="AA140" i="12"/>
  <c r="AB140" i="12"/>
  <c r="AC140" i="12"/>
  <c r="AD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W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N140" i="12"/>
  <c r="A141" i="12"/>
  <c r="B141" i="12"/>
  <c r="C141" i="12"/>
  <c r="D141" i="12"/>
  <c r="E141" i="12"/>
  <c r="F141" i="12"/>
  <c r="G141" i="12"/>
  <c r="H141" i="12"/>
  <c r="I141" i="12"/>
  <c r="J141" i="12"/>
  <c r="K141" i="12"/>
  <c r="L141" i="12"/>
  <c r="M141" i="12"/>
  <c r="N141" i="12"/>
  <c r="O141" i="12"/>
  <c r="P141" i="12"/>
  <c r="Q141" i="12"/>
  <c r="R141" i="12"/>
  <c r="S141" i="12"/>
  <c r="T141" i="12"/>
  <c r="U141" i="12"/>
  <c r="V141" i="12"/>
  <c r="AA141" i="12"/>
  <c r="AB141" i="12"/>
  <c r="AC141" i="12"/>
  <c r="AD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W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N141" i="12"/>
  <c r="A142" i="12"/>
  <c r="B142" i="12"/>
  <c r="C142" i="12"/>
  <c r="D142" i="12"/>
  <c r="E142" i="12"/>
  <c r="F142" i="12"/>
  <c r="G142" i="12"/>
  <c r="H142" i="12"/>
  <c r="I142" i="12"/>
  <c r="J142" i="12"/>
  <c r="K142" i="12"/>
  <c r="L142" i="12"/>
  <c r="M142" i="12"/>
  <c r="N142" i="12"/>
  <c r="O142" i="12"/>
  <c r="P142" i="12"/>
  <c r="Q142" i="12"/>
  <c r="R142" i="12"/>
  <c r="S142" i="12"/>
  <c r="T142" i="12"/>
  <c r="U142" i="12"/>
  <c r="V142" i="12"/>
  <c r="AA142" i="12"/>
  <c r="AB142" i="12"/>
  <c r="AC142" i="12"/>
  <c r="AD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W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N142" i="12"/>
  <c r="A143" i="12"/>
  <c r="B143" i="12"/>
  <c r="C143" i="12"/>
  <c r="D143" i="12"/>
  <c r="E143" i="12"/>
  <c r="F143" i="12"/>
  <c r="G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143" i="12"/>
  <c r="U143" i="12"/>
  <c r="V143" i="12"/>
  <c r="AA143" i="12"/>
  <c r="AB143" i="12"/>
  <c r="AC143" i="12"/>
  <c r="AD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W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N143" i="12"/>
  <c r="A144" i="12"/>
  <c r="B144" i="12"/>
  <c r="C144" i="12"/>
  <c r="D144" i="12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AA144" i="12"/>
  <c r="AB144" i="12"/>
  <c r="AC144" i="12"/>
  <c r="AD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W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N144" i="12"/>
  <c r="A145" i="12"/>
  <c r="B145" i="12"/>
  <c r="C145" i="12"/>
  <c r="D145" i="12"/>
  <c r="E145" i="12"/>
  <c r="F145" i="12"/>
  <c r="G145" i="12"/>
  <c r="H145" i="12"/>
  <c r="I145" i="12"/>
  <c r="J145" i="12"/>
  <c r="K145" i="12"/>
  <c r="L145" i="12"/>
  <c r="M145" i="12"/>
  <c r="N145" i="12"/>
  <c r="O145" i="12"/>
  <c r="P145" i="12"/>
  <c r="Q145" i="12"/>
  <c r="R145" i="12"/>
  <c r="S145" i="12"/>
  <c r="T145" i="12"/>
  <c r="U145" i="12"/>
  <c r="V145" i="12"/>
  <c r="AA145" i="12"/>
  <c r="AB145" i="12"/>
  <c r="AC145" i="12"/>
  <c r="AD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W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N145" i="12"/>
  <c r="A146" i="12"/>
  <c r="B146" i="12"/>
  <c r="C146" i="12"/>
  <c r="D146" i="12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AA146" i="12"/>
  <c r="AB146" i="12"/>
  <c r="AC146" i="12"/>
  <c r="AD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W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N146" i="12"/>
  <c r="A147" i="12"/>
  <c r="B147" i="12"/>
  <c r="C147" i="12"/>
  <c r="D147" i="12"/>
  <c r="E147" i="12"/>
  <c r="F147" i="12"/>
  <c r="G147" i="12"/>
  <c r="H147" i="12"/>
  <c r="I147" i="12"/>
  <c r="J147" i="12"/>
  <c r="K147" i="12"/>
  <c r="L147" i="12"/>
  <c r="M147" i="12"/>
  <c r="N147" i="12"/>
  <c r="O147" i="12"/>
  <c r="P147" i="12"/>
  <c r="Q147" i="12"/>
  <c r="R147" i="12"/>
  <c r="S147" i="12"/>
  <c r="T147" i="12"/>
  <c r="U147" i="12"/>
  <c r="V147" i="12"/>
  <c r="AA147" i="12"/>
  <c r="AB147" i="12"/>
  <c r="AC147" i="12"/>
  <c r="AD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W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N147" i="12"/>
  <c r="A148" i="12"/>
  <c r="B148" i="12"/>
  <c r="C148" i="12"/>
  <c r="D148" i="12"/>
  <c r="E148" i="12"/>
  <c r="F148" i="12"/>
  <c r="G148" i="12"/>
  <c r="H148" i="12"/>
  <c r="I148" i="12"/>
  <c r="J148" i="12"/>
  <c r="K148" i="12"/>
  <c r="L148" i="12"/>
  <c r="M148" i="12"/>
  <c r="N148" i="12"/>
  <c r="O148" i="12"/>
  <c r="P148" i="12"/>
  <c r="Q148" i="12"/>
  <c r="R148" i="12"/>
  <c r="S148" i="12"/>
  <c r="T148" i="12"/>
  <c r="U148" i="12"/>
  <c r="V148" i="12"/>
  <c r="AA148" i="12"/>
  <c r="AB148" i="12"/>
  <c r="AC148" i="12"/>
  <c r="AD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W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N148" i="12"/>
  <c r="A149" i="12"/>
  <c r="B149" i="12"/>
  <c r="C149" i="12"/>
  <c r="D149" i="12"/>
  <c r="E149" i="12"/>
  <c r="F149" i="12"/>
  <c r="G149" i="12"/>
  <c r="H149" i="12"/>
  <c r="I149" i="12"/>
  <c r="J149" i="12"/>
  <c r="K149" i="12"/>
  <c r="L149" i="12"/>
  <c r="M149" i="12"/>
  <c r="N149" i="12"/>
  <c r="O149" i="12"/>
  <c r="P149" i="12"/>
  <c r="Q149" i="12"/>
  <c r="R149" i="12"/>
  <c r="S149" i="12"/>
  <c r="T149" i="12"/>
  <c r="U149" i="12"/>
  <c r="V149" i="12"/>
  <c r="AA149" i="12"/>
  <c r="AB149" i="12"/>
  <c r="AC149" i="12"/>
  <c r="AD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W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N149" i="12"/>
  <c r="A150" i="12"/>
  <c r="B150" i="12"/>
  <c r="C150" i="12"/>
  <c r="D150" i="12"/>
  <c r="E150" i="12"/>
  <c r="F150" i="12"/>
  <c r="G150" i="12"/>
  <c r="H150" i="12"/>
  <c r="I150" i="12"/>
  <c r="J150" i="12"/>
  <c r="K150" i="12"/>
  <c r="L150" i="12"/>
  <c r="M150" i="12"/>
  <c r="N150" i="12"/>
  <c r="O150" i="12"/>
  <c r="P150" i="12"/>
  <c r="Q150" i="12"/>
  <c r="R150" i="12"/>
  <c r="S150" i="12"/>
  <c r="T150" i="12"/>
  <c r="U150" i="12"/>
  <c r="V150" i="12"/>
  <c r="AA150" i="12"/>
  <c r="AB150" i="12"/>
  <c r="AC150" i="12"/>
  <c r="AD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W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N150" i="12"/>
  <c r="A151" i="12"/>
  <c r="B151" i="12"/>
  <c r="C151" i="12"/>
  <c r="D151" i="12"/>
  <c r="E151" i="12"/>
  <c r="F151" i="12"/>
  <c r="G151" i="12"/>
  <c r="H151" i="12"/>
  <c r="I151" i="12"/>
  <c r="J151" i="12"/>
  <c r="K151" i="12"/>
  <c r="L151" i="12"/>
  <c r="M151" i="12"/>
  <c r="N151" i="12"/>
  <c r="O151" i="12"/>
  <c r="P151" i="12"/>
  <c r="Q151" i="12"/>
  <c r="R151" i="12"/>
  <c r="S151" i="12"/>
  <c r="T151" i="12"/>
  <c r="U151" i="12"/>
  <c r="V151" i="12"/>
  <c r="AA151" i="12"/>
  <c r="AB151" i="12"/>
  <c r="AC151" i="12"/>
  <c r="AD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W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N151" i="12"/>
  <c r="A152" i="12"/>
  <c r="B152" i="12"/>
  <c r="C152" i="12"/>
  <c r="D152" i="12"/>
  <c r="E152" i="12"/>
  <c r="F152" i="12"/>
  <c r="G152" i="12"/>
  <c r="H152" i="12"/>
  <c r="I152" i="12"/>
  <c r="J152" i="12"/>
  <c r="K152" i="12"/>
  <c r="L152" i="12"/>
  <c r="M152" i="12"/>
  <c r="N152" i="12"/>
  <c r="O152" i="12"/>
  <c r="P152" i="12"/>
  <c r="Q152" i="12"/>
  <c r="R152" i="12"/>
  <c r="S152" i="12"/>
  <c r="T152" i="12"/>
  <c r="U152" i="12"/>
  <c r="V152" i="12"/>
  <c r="AA152" i="12"/>
  <c r="AB152" i="12"/>
  <c r="AC152" i="12"/>
  <c r="AD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W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N152" i="12"/>
  <c r="A153" i="12"/>
  <c r="B153" i="12"/>
  <c r="C153" i="12"/>
  <c r="D153" i="12"/>
  <c r="E153" i="12"/>
  <c r="F153" i="12"/>
  <c r="G153" i="12"/>
  <c r="H153" i="12"/>
  <c r="I153" i="12"/>
  <c r="J153" i="12"/>
  <c r="K153" i="12"/>
  <c r="L153" i="12"/>
  <c r="M153" i="12"/>
  <c r="N153" i="12"/>
  <c r="O153" i="12"/>
  <c r="P153" i="12"/>
  <c r="Q153" i="12"/>
  <c r="R153" i="12"/>
  <c r="S153" i="12"/>
  <c r="T153" i="12"/>
  <c r="U153" i="12"/>
  <c r="V153" i="12"/>
  <c r="AA153" i="12"/>
  <c r="AB153" i="12"/>
  <c r="AC153" i="12"/>
  <c r="AD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N153" i="12"/>
  <c r="A154" i="12"/>
  <c r="B154" i="12"/>
  <c r="C154" i="12"/>
  <c r="D154" i="12"/>
  <c r="E154" i="12"/>
  <c r="F154" i="12"/>
  <c r="G154" i="12"/>
  <c r="H154" i="12"/>
  <c r="I154" i="12"/>
  <c r="J154" i="12"/>
  <c r="K154" i="12"/>
  <c r="L154" i="12"/>
  <c r="M154" i="12"/>
  <c r="N154" i="12"/>
  <c r="O154" i="12"/>
  <c r="P154" i="12"/>
  <c r="Q154" i="12"/>
  <c r="R154" i="12"/>
  <c r="S154" i="12"/>
  <c r="T154" i="12"/>
  <c r="U154" i="12"/>
  <c r="V154" i="12"/>
  <c r="AA154" i="12"/>
  <c r="AB154" i="12"/>
  <c r="AC154" i="12"/>
  <c r="AD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W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N154" i="12"/>
  <c r="A155" i="12"/>
  <c r="B155" i="12"/>
  <c r="C155" i="12"/>
  <c r="D155" i="12"/>
  <c r="E155" i="12"/>
  <c r="F155" i="12"/>
  <c r="G155" i="12"/>
  <c r="H155" i="12"/>
  <c r="I155" i="12"/>
  <c r="J155" i="12"/>
  <c r="K155" i="12"/>
  <c r="L155" i="12"/>
  <c r="M155" i="12"/>
  <c r="N155" i="12"/>
  <c r="O155" i="12"/>
  <c r="P155" i="12"/>
  <c r="Q155" i="12"/>
  <c r="R155" i="12"/>
  <c r="S155" i="12"/>
  <c r="T155" i="12"/>
  <c r="U155" i="12"/>
  <c r="V155" i="12"/>
  <c r="AA155" i="12"/>
  <c r="AB155" i="12"/>
  <c r="AC155" i="12"/>
  <c r="AD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W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N155" i="12"/>
  <c r="A156" i="12"/>
  <c r="B156" i="12"/>
  <c r="C156" i="12"/>
  <c r="D156" i="12"/>
  <c r="E156" i="12"/>
  <c r="F156" i="12"/>
  <c r="G156" i="12"/>
  <c r="H156" i="12"/>
  <c r="I156" i="12"/>
  <c r="J156" i="12"/>
  <c r="K156" i="12"/>
  <c r="L156" i="12"/>
  <c r="M156" i="12"/>
  <c r="N156" i="12"/>
  <c r="O156" i="12"/>
  <c r="P156" i="12"/>
  <c r="Q156" i="12"/>
  <c r="R156" i="12"/>
  <c r="S156" i="12"/>
  <c r="T156" i="12"/>
  <c r="U156" i="12"/>
  <c r="V156" i="12"/>
  <c r="AA156" i="12"/>
  <c r="AB156" i="12"/>
  <c r="AC156" i="12"/>
  <c r="AD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W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N156" i="12"/>
  <c r="A157" i="12"/>
  <c r="B157" i="12"/>
  <c r="C157" i="12"/>
  <c r="D157" i="12"/>
  <c r="E157" i="12"/>
  <c r="F157" i="12"/>
  <c r="G157" i="12"/>
  <c r="H157" i="12"/>
  <c r="I157" i="12"/>
  <c r="J157" i="12"/>
  <c r="K157" i="12"/>
  <c r="L157" i="12"/>
  <c r="M157" i="12"/>
  <c r="N157" i="12"/>
  <c r="O157" i="12"/>
  <c r="P157" i="12"/>
  <c r="Q157" i="12"/>
  <c r="R157" i="12"/>
  <c r="S157" i="12"/>
  <c r="T157" i="12"/>
  <c r="U157" i="12"/>
  <c r="V157" i="12"/>
  <c r="AA157" i="12"/>
  <c r="AB157" i="12"/>
  <c r="AC157" i="12"/>
  <c r="AD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W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N157" i="12"/>
  <c r="A158" i="12"/>
  <c r="B158" i="12"/>
  <c r="C158" i="12"/>
  <c r="D158" i="12"/>
  <c r="E158" i="12"/>
  <c r="F158" i="12"/>
  <c r="G158" i="12"/>
  <c r="H158" i="12"/>
  <c r="I158" i="12"/>
  <c r="J158" i="12"/>
  <c r="K158" i="12"/>
  <c r="L158" i="12"/>
  <c r="M158" i="12"/>
  <c r="N158" i="12"/>
  <c r="O158" i="12"/>
  <c r="P158" i="12"/>
  <c r="Q158" i="12"/>
  <c r="R158" i="12"/>
  <c r="S158" i="12"/>
  <c r="T158" i="12"/>
  <c r="U158" i="12"/>
  <c r="V158" i="12"/>
  <c r="AA158" i="12"/>
  <c r="AB158" i="12"/>
  <c r="AC158" i="12"/>
  <c r="AD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W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N158" i="12"/>
  <c r="A159" i="12"/>
  <c r="B159" i="12"/>
  <c r="C159" i="12"/>
  <c r="D159" i="12"/>
  <c r="E159" i="12"/>
  <c r="F159" i="12"/>
  <c r="G159" i="12"/>
  <c r="H159" i="12"/>
  <c r="I159" i="12"/>
  <c r="J159" i="12"/>
  <c r="K159" i="12"/>
  <c r="L159" i="12"/>
  <c r="M159" i="12"/>
  <c r="N159" i="12"/>
  <c r="O159" i="12"/>
  <c r="P159" i="12"/>
  <c r="Q159" i="12"/>
  <c r="R159" i="12"/>
  <c r="S159" i="12"/>
  <c r="T159" i="12"/>
  <c r="U159" i="12"/>
  <c r="V159" i="12"/>
  <c r="AA159" i="12"/>
  <c r="AB159" i="12"/>
  <c r="AC159" i="12"/>
  <c r="AD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W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N159" i="12"/>
  <c r="A160" i="12"/>
  <c r="B160" i="12"/>
  <c r="C160" i="12"/>
  <c r="D160" i="12"/>
  <c r="E160" i="12"/>
  <c r="F160" i="12"/>
  <c r="G160" i="12"/>
  <c r="H160" i="12"/>
  <c r="I160" i="12"/>
  <c r="J160" i="12"/>
  <c r="K160" i="12"/>
  <c r="L160" i="12"/>
  <c r="M160" i="12"/>
  <c r="N160" i="12"/>
  <c r="O160" i="12"/>
  <c r="P160" i="12"/>
  <c r="Q160" i="12"/>
  <c r="R160" i="12"/>
  <c r="S160" i="12"/>
  <c r="T160" i="12"/>
  <c r="U160" i="12"/>
  <c r="V160" i="12"/>
  <c r="AA160" i="12"/>
  <c r="AB160" i="12"/>
  <c r="AC160" i="12"/>
  <c r="AD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W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N160" i="12"/>
  <c r="A161" i="12"/>
  <c r="B161" i="12"/>
  <c r="C161" i="12"/>
  <c r="D161" i="12"/>
  <c r="E161" i="12"/>
  <c r="F161" i="12"/>
  <c r="G161" i="12"/>
  <c r="H161" i="12"/>
  <c r="I161" i="12"/>
  <c r="J161" i="12"/>
  <c r="K161" i="12"/>
  <c r="L161" i="12"/>
  <c r="M161" i="12"/>
  <c r="N161" i="12"/>
  <c r="O161" i="12"/>
  <c r="P161" i="12"/>
  <c r="Q161" i="12"/>
  <c r="R161" i="12"/>
  <c r="S161" i="12"/>
  <c r="T161" i="12"/>
  <c r="U161" i="12"/>
  <c r="V161" i="12"/>
  <c r="AA161" i="12"/>
  <c r="AB161" i="12"/>
  <c r="AC161" i="12"/>
  <c r="AD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W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N161" i="12"/>
  <c r="A162" i="12"/>
  <c r="B162" i="12"/>
  <c r="C162" i="12"/>
  <c r="D162" i="12"/>
  <c r="E162" i="12"/>
  <c r="F162" i="12"/>
  <c r="G162" i="12"/>
  <c r="H162" i="12"/>
  <c r="I162" i="12"/>
  <c r="J162" i="12"/>
  <c r="K162" i="12"/>
  <c r="L162" i="12"/>
  <c r="M162" i="12"/>
  <c r="N162" i="12"/>
  <c r="O162" i="12"/>
  <c r="P162" i="12"/>
  <c r="Q162" i="12"/>
  <c r="R162" i="12"/>
  <c r="S162" i="12"/>
  <c r="T162" i="12"/>
  <c r="U162" i="12"/>
  <c r="V162" i="12"/>
  <c r="AA162" i="12"/>
  <c r="AB162" i="12"/>
  <c r="AC162" i="12"/>
  <c r="AD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W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N162" i="12"/>
  <c r="A163" i="12"/>
  <c r="B163" i="12"/>
  <c r="C163" i="12"/>
  <c r="D163" i="12"/>
  <c r="E163" i="12"/>
  <c r="F163" i="12"/>
  <c r="G163" i="12"/>
  <c r="H163" i="12"/>
  <c r="I163" i="12"/>
  <c r="J163" i="12"/>
  <c r="K163" i="12"/>
  <c r="L163" i="12"/>
  <c r="M163" i="12"/>
  <c r="N163" i="12"/>
  <c r="O163" i="12"/>
  <c r="P163" i="12"/>
  <c r="Q163" i="12"/>
  <c r="R163" i="12"/>
  <c r="S163" i="12"/>
  <c r="T163" i="12"/>
  <c r="U163" i="12"/>
  <c r="V163" i="12"/>
  <c r="AA163" i="12"/>
  <c r="AB163" i="12"/>
  <c r="AC163" i="12"/>
  <c r="AD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W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N163" i="12"/>
  <c r="A164" i="12"/>
  <c r="B164" i="12"/>
  <c r="C164" i="12"/>
  <c r="D164" i="12"/>
  <c r="E164" i="12"/>
  <c r="F164" i="12"/>
  <c r="G164" i="12"/>
  <c r="H164" i="12"/>
  <c r="I164" i="12"/>
  <c r="J164" i="12"/>
  <c r="K164" i="12"/>
  <c r="L164" i="12"/>
  <c r="M164" i="12"/>
  <c r="N164" i="12"/>
  <c r="O164" i="12"/>
  <c r="P164" i="12"/>
  <c r="Q164" i="12"/>
  <c r="R164" i="12"/>
  <c r="S164" i="12"/>
  <c r="T164" i="12"/>
  <c r="U164" i="12"/>
  <c r="V164" i="12"/>
  <c r="AA164" i="12"/>
  <c r="AB164" i="12"/>
  <c r="AC164" i="12"/>
  <c r="AD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W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N164" i="12"/>
  <c r="A165" i="12"/>
  <c r="B165" i="12"/>
  <c r="C165" i="12"/>
  <c r="D165" i="12"/>
  <c r="E165" i="12"/>
  <c r="F165" i="12"/>
  <c r="G165" i="12"/>
  <c r="H165" i="12"/>
  <c r="I165" i="12"/>
  <c r="J165" i="12"/>
  <c r="K165" i="12"/>
  <c r="L165" i="12"/>
  <c r="M165" i="12"/>
  <c r="N165" i="12"/>
  <c r="O165" i="12"/>
  <c r="P165" i="12"/>
  <c r="Q165" i="12"/>
  <c r="R165" i="12"/>
  <c r="S165" i="12"/>
  <c r="T165" i="12"/>
  <c r="U165" i="12"/>
  <c r="V165" i="12"/>
  <c r="AA165" i="12"/>
  <c r="AB165" i="12"/>
  <c r="AC165" i="12"/>
  <c r="AD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W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N165" i="12"/>
  <c r="A166" i="12"/>
  <c r="B166" i="12"/>
  <c r="C166" i="12"/>
  <c r="D166" i="12"/>
  <c r="E166" i="12"/>
  <c r="F166" i="12"/>
  <c r="G166" i="12"/>
  <c r="H166" i="12"/>
  <c r="I166" i="12"/>
  <c r="J166" i="12"/>
  <c r="K166" i="12"/>
  <c r="L166" i="12"/>
  <c r="M166" i="12"/>
  <c r="N166" i="12"/>
  <c r="O166" i="12"/>
  <c r="P166" i="12"/>
  <c r="Q166" i="12"/>
  <c r="R166" i="12"/>
  <c r="S166" i="12"/>
  <c r="T166" i="12"/>
  <c r="U166" i="12"/>
  <c r="V166" i="12"/>
  <c r="AA166" i="12"/>
  <c r="AB166" i="12"/>
  <c r="AC166" i="12"/>
  <c r="AD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W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N166" i="12"/>
  <c r="A167" i="12"/>
  <c r="B167" i="12"/>
  <c r="C167" i="12"/>
  <c r="D167" i="12"/>
  <c r="E167" i="12"/>
  <c r="F167" i="12"/>
  <c r="G167" i="12"/>
  <c r="H167" i="12"/>
  <c r="I167" i="12"/>
  <c r="J167" i="12"/>
  <c r="K167" i="12"/>
  <c r="L167" i="12"/>
  <c r="M167" i="12"/>
  <c r="N167" i="12"/>
  <c r="O167" i="12"/>
  <c r="P167" i="12"/>
  <c r="Q167" i="12"/>
  <c r="R167" i="12"/>
  <c r="S167" i="12"/>
  <c r="T167" i="12"/>
  <c r="U167" i="12"/>
  <c r="V167" i="12"/>
  <c r="AA167" i="12"/>
  <c r="AB167" i="12"/>
  <c r="AC167" i="12"/>
  <c r="AD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W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N167" i="12"/>
  <c r="A168" i="12"/>
  <c r="B168" i="12"/>
  <c r="C168" i="12"/>
  <c r="D168" i="12"/>
  <c r="E168" i="12"/>
  <c r="F168" i="12"/>
  <c r="G168" i="12"/>
  <c r="H168" i="12"/>
  <c r="I168" i="12"/>
  <c r="J168" i="12"/>
  <c r="K168" i="12"/>
  <c r="L168" i="12"/>
  <c r="M168" i="12"/>
  <c r="N168" i="12"/>
  <c r="O168" i="12"/>
  <c r="P168" i="12"/>
  <c r="Q168" i="12"/>
  <c r="R168" i="12"/>
  <c r="S168" i="12"/>
  <c r="T168" i="12"/>
  <c r="U168" i="12"/>
  <c r="V168" i="12"/>
  <c r="AA168" i="12"/>
  <c r="AB168" i="12"/>
  <c r="AC168" i="12"/>
  <c r="AD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W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N168" i="12"/>
  <c r="A169" i="12"/>
  <c r="B169" i="12"/>
  <c r="C169" i="12"/>
  <c r="D169" i="12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R169" i="12"/>
  <c r="S169" i="12"/>
  <c r="T169" i="12"/>
  <c r="U169" i="12"/>
  <c r="V169" i="12"/>
  <c r="AA169" i="12"/>
  <c r="AB169" i="12"/>
  <c r="AC169" i="12"/>
  <c r="AD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W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N169" i="12"/>
  <c r="A170" i="12"/>
  <c r="B170" i="12"/>
  <c r="C170" i="12"/>
  <c r="D170" i="12"/>
  <c r="E170" i="12"/>
  <c r="F170" i="12"/>
  <c r="G170" i="12"/>
  <c r="H170" i="12"/>
  <c r="I170" i="12"/>
  <c r="J170" i="12"/>
  <c r="K170" i="12"/>
  <c r="L170" i="12"/>
  <c r="M170" i="12"/>
  <c r="N170" i="12"/>
  <c r="O170" i="12"/>
  <c r="P170" i="12"/>
  <c r="Q170" i="12"/>
  <c r="R170" i="12"/>
  <c r="S170" i="12"/>
  <c r="T170" i="12"/>
  <c r="U170" i="12"/>
  <c r="V170" i="12"/>
  <c r="AA170" i="12"/>
  <c r="AB170" i="12"/>
  <c r="AC170" i="12"/>
  <c r="AD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W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N170" i="12"/>
  <c r="A171" i="12"/>
  <c r="B171" i="12"/>
  <c r="C171" i="12"/>
  <c r="D171" i="12"/>
  <c r="E171" i="12"/>
  <c r="F171" i="12"/>
  <c r="G171" i="12"/>
  <c r="H171" i="12"/>
  <c r="I171" i="12"/>
  <c r="J171" i="12"/>
  <c r="K171" i="12"/>
  <c r="L171" i="12"/>
  <c r="M171" i="12"/>
  <c r="N171" i="12"/>
  <c r="O171" i="12"/>
  <c r="P171" i="12"/>
  <c r="Q171" i="12"/>
  <c r="R171" i="12"/>
  <c r="S171" i="12"/>
  <c r="T171" i="12"/>
  <c r="U171" i="12"/>
  <c r="V171" i="12"/>
  <c r="AA171" i="12"/>
  <c r="AB171" i="12"/>
  <c r="AC171" i="12"/>
  <c r="AD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W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N171" i="12"/>
  <c r="A172" i="12"/>
  <c r="B172" i="12"/>
  <c r="C172" i="12"/>
  <c r="D172" i="12"/>
  <c r="E172" i="12"/>
  <c r="F172" i="12"/>
  <c r="G172" i="12"/>
  <c r="H172" i="12"/>
  <c r="I172" i="12"/>
  <c r="J172" i="12"/>
  <c r="K172" i="12"/>
  <c r="L172" i="12"/>
  <c r="M172" i="12"/>
  <c r="N172" i="12"/>
  <c r="O172" i="12"/>
  <c r="P172" i="12"/>
  <c r="Q172" i="12"/>
  <c r="R172" i="12"/>
  <c r="S172" i="12"/>
  <c r="T172" i="12"/>
  <c r="U172" i="12"/>
  <c r="V172" i="12"/>
  <c r="AA172" i="12"/>
  <c r="AB172" i="12"/>
  <c r="AC172" i="12"/>
  <c r="AD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N172" i="12"/>
  <c r="A173" i="12"/>
  <c r="B173" i="12"/>
  <c r="C173" i="12"/>
  <c r="D173" i="12"/>
  <c r="E173" i="12"/>
  <c r="F173" i="12"/>
  <c r="G173" i="12"/>
  <c r="H173" i="12"/>
  <c r="I173" i="12"/>
  <c r="J173" i="12"/>
  <c r="K173" i="12"/>
  <c r="L173" i="12"/>
  <c r="M173" i="12"/>
  <c r="N173" i="12"/>
  <c r="O173" i="12"/>
  <c r="P173" i="12"/>
  <c r="Q173" i="12"/>
  <c r="R173" i="12"/>
  <c r="S173" i="12"/>
  <c r="T173" i="12"/>
  <c r="U173" i="12"/>
  <c r="V173" i="12"/>
  <c r="AA173" i="12"/>
  <c r="AB173" i="12"/>
  <c r="AC173" i="12"/>
  <c r="AD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N173" i="12"/>
  <c r="A174" i="12"/>
  <c r="B174" i="12"/>
  <c r="C174" i="12"/>
  <c r="D174" i="12"/>
  <c r="E174" i="12"/>
  <c r="F174" i="12"/>
  <c r="G174" i="12"/>
  <c r="H174" i="12"/>
  <c r="I174" i="12"/>
  <c r="J174" i="12"/>
  <c r="K174" i="12"/>
  <c r="L174" i="12"/>
  <c r="M174" i="12"/>
  <c r="N174" i="12"/>
  <c r="O174" i="12"/>
  <c r="P174" i="12"/>
  <c r="Q174" i="12"/>
  <c r="R174" i="12"/>
  <c r="S174" i="12"/>
  <c r="T174" i="12"/>
  <c r="U174" i="12"/>
  <c r="V174" i="12"/>
  <c r="AA174" i="12"/>
  <c r="AB174" i="12"/>
  <c r="AC174" i="12"/>
  <c r="AD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N174" i="12"/>
  <c r="A175" i="12"/>
  <c r="B175" i="12"/>
  <c r="C175" i="12"/>
  <c r="D175" i="12"/>
  <c r="E175" i="12"/>
  <c r="F175" i="12"/>
  <c r="G175" i="12"/>
  <c r="H175" i="12"/>
  <c r="I175" i="12"/>
  <c r="J175" i="12"/>
  <c r="K175" i="12"/>
  <c r="L175" i="12"/>
  <c r="M175" i="12"/>
  <c r="N175" i="12"/>
  <c r="O175" i="12"/>
  <c r="P175" i="12"/>
  <c r="Q175" i="12"/>
  <c r="R175" i="12"/>
  <c r="S175" i="12"/>
  <c r="T175" i="12"/>
  <c r="U175" i="12"/>
  <c r="V175" i="12"/>
  <c r="AA175" i="12"/>
  <c r="AB175" i="12"/>
  <c r="AC175" i="12"/>
  <c r="AD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W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N175" i="12"/>
  <c r="A176" i="12"/>
  <c r="B176" i="12"/>
  <c r="C176" i="12"/>
  <c r="D176" i="12"/>
  <c r="E176" i="12"/>
  <c r="F176" i="12"/>
  <c r="G176" i="12"/>
  <c r="H176" i="12"/>
  <c r="I176" i="12"/>
  <c r="J176" i="12"/>
  <c r="K176" i="12"/>
  <c r="L176" i="12"/>
  <c r="M176" i="12"/>
  <c r="N176" i="12"/>
  <c r="O176" i="12"/>
  <c r="P176" i="12"/>
  <c r="Q176" i="12"/>
  <c r="R176" i="12"/>
  <c r="S176" i="12"/>
  <c r="T176" i="12"/>
  <c r="U176" i="12"/>
  <c r="V176" i="12"/>
  <c r="AA176" i="12"/>
  <c r="AB176" i="12"/>
  <c r="AC176" i="12"/>
  <c r="AD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W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N176" i="12"/>
  <c r="A177" i="12"/>
  <c r="B177" i="12"/>
  <c r="C177" i="12"/>
  <c r="D177" i="12"/>
  <c r="E177" i="12"/>
  <c r="F177" i="12"/>
  <c r="G177" i="12"/>
  <c r="H177" i="12"/>
  <c r="I177" i="12"/>
  <c r="J177" i="12"/>
  <c r="K177" i="12"/>
  <c r="L177" i="12"/>
  <c r="M177" i="12"/>
  <c r="N177" i="12"/>
  <c r="O177" i="12"/>
  <c r="P177" i="12"/>
  <c r="Q177" i="12"/>
  <c r="R177" i="12"/>
  <c r="S177" i="12"/>
  <c r="T177" i="12"/>
  <c r="U177" i="12"/>
  <c r="V177" i="12"/>
  <c r="AA177" i="12"/>
  <c r="AB177" i="12"/>
  <c r="AC177" i="12"/>
  <c r="AD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W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N177" i="12"/>
  <c r="A178" i="12"/>
  <c r="B178" i="12"/>
  <c r="C178" i="12"/>
  <c r="D178" i="12"/>
  <c r="E178" i="12"/>
  <c r="F178" i="12"/>
  <c r="G178" i="12"/>
  <c r="H178" i="12"/>
  <c r="I178" i="12"/>
  <c r="J178" i="12"/>
  <c r="K178" i="12"/>
  <c r="L178" i="12"/>
  <c r="M178" i="12"/>
  <c r="N178" i="12"/>
  <c r="O178" i="12"/>
  <c r="P178" i="12"/>
  <c r="Q178" i="12"/>
  <c r="R178" i="12"/>
  <c r="S178" i="12"/>
  <c r="T178" i="12"/>
  <c r="U178" i="12"/>
  <c r="V178" i="12"/>
  <c r="AA178" i="12"/>
  <c r="AB178" i="12"/>
  <c r="AC178" i="12"/>
  <c r="AD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W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N178" i="12"/>
  <c r="A179" i="12"/>
  <c r="B179" i="12"/>
  <c r="C179" i="12"/>
  <c r="D179" i="12"/>
  <c r="E179" i="12"/>
  <c r="F179" i="12"/>
  <c r="G179" i="12"/>
  <c r="H179" i="12"/>
  <c r="I179" i="12"/>
  <c r="J179" i="12"/>
  <c r="K179" i="12"/>
  <c r="L179" i="12"/>
  <c r="M179" i="12"/>
  <c r="N179" i="12"/>
  <c r="O179" i="12"/>
  <c r="P179" i="12"/>
  <c r="Q179" i="12"/>
  <c r="R179" i="12"/>
  <c r="S179" i="12"/>
  <c r="T179" i="12"/>
  <c r="U179" i="12"/>
  <c r="V179" i="12"/>
  <c r="AA179" i="12"/>
  <c r="AB179" i="12"/>
  <c r="AC179" i="12"/>
  <c r="AD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N179" i="12"/>
  <c r="A180" i="12"/>
  <c r="B180" i="12"/>
  <c r="C180" i="12"/>
  <c r="D180" i="12"/>
  <c r="E180" i="12"/>
  <c r="F180" i="12"/>
  <c r="G180" i="12"/>
  <c r="H180" i="12"/>
  <c r="I180" i="12"/>
  <c r="J180" i="12"/>
  <c r="K180" i="12"/>
  <c r="L180" i="12"/>
  <c r="M180" i="12"/>
  <c r="N180" i="12"/>
  <c r="O180" i="12"/>
  <c r="P180" i="12"/>
  <c r="Q180" i="12"/>
  <c r="R180" i="12"/>
  <c r="S180" i="12"/>
  <c r="T180" i="12"/>
  <c r="U180" i="12"/>
  <c r="V180" i="12"/>
  <c r="AA180" i="12"/>
  <c r="AB180" i="12"/>
  <c r="AC180" i="12"/>
  <c r="AD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W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N180" i="12"/>
  <c r="A181" i="12"/>
  <c r="B181" i="12"/>
  <c r="C181" i="12"/>
  <c r="D181" i="12"/>
  <c r="E181" i="12"/>
  <c r="F181" i="12"/>
  <c r="G181" i="12"/>
  <c r="H181" i="12"/>
  <c r="I181" i="12"/>
  <c r="J181" i="12"/>
  <c r="K181" i="12"/>
  <c r="L181" i="12"/>
  <c r="M181" i="12"/>
  <c r="N181" i="12"/>
  <c r="O181" i="12"/>
  <c r="P181" i="12"/>
  <c r="Q181" i="12"/>
  <c r="R181" i="12"/>
  <c r="S181" i="12"/>
  <c r="T181" i="12"/>
  <c r="U181" i="12"/>
  <c r="V181" i="12"/>
  <c r="AA181" i="12"/>
  <c r="AB181" i="12"/>
  <c r="AC181" i="12"/>
  <c r="AD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W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N181" i="12"/>
  <c r="A182" i="12"/>
  <c r="B182" i="12"/>
  <c r="C182" i="12"/>
  <c r="D182" i="12"/>
  <c r="E182" i="12"/>
  <c r="F182" i="12"/>
  <c r="G182" i="12"/>
  <c r="H182" i="12"/>
  <c r="I182" i="12"/>
  <c r="J182" i="12"/>
  <c r="K182" i="12"/>
  <c r="L182" i="12"/>
  <c r="M182" i="12"/>
  <c r="N182" i="12"/>
  <c r="O182" i="12"/>
  <c r="P182" i="12"/>
  <c r="Q182" i="12"/>
  <c r="R182" i="12"/>
  <c r="S182" i="12"/>
  <c r="T182" i="12"/>
  <c r="U182" i="12"/>
  <c r="V182" i="12"/>
  <c r="AA182" i="12"/>
  <c r="AB182" i="12"/>
  <c r="AC182" i="12"/>
  <c r="AD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W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N182" i="12"/>
  <c r="A183" i="12"/>
  <c r="B183" i="12"/>
  <c r="C183" i="12"/>
  <c r="D183" i="12"/>
  <c r="E183" i="12"/>
  <c r="F183" i="12"/>
  <c r="G183" i="12"/>
  <c r="H183" i="12"/>
  <c r="I183" i="12"/>
  <c r="J183" i="12"/>
  <c r="K183" i="12"/>
  <c r="L183" i="12"/>
  <c r="M183" i="12"/>
  <c r="N183" i="12"/>
  <c r="O183" i="12"/>
  <c r="P183" i="12"/>
  <c r="Q183" i="12"/>
  <c r="R183" i="12"/>
  <c r="S183" i="12"/>
  <c r="T183" i="12"/>
  <c r="U183" i="12"/>
  <c r="V183" i="12"/>
  <c r="AA183" i="12"/>
  <c r="AB183" i="12"/>
  <c r="AC183" i="12"/>
  <c r="AD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W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N183" i="12"/>
  <c r="A184" i="12"/>
  <c r="B184" i="12"/>
  <c r="C184" i="12"/>
  <c r="D184" i="12"/>
  <c r="E184" i="12"/>
  <c r="F184" i="12"/>
  <c r="G184" i="12"/>
  <c r="H184" i="12"/>
  <c r="I184" i="12"/>
  <c r="J184" i="12"/>
  <c r="K184" i="12"/>
  <c r="L184" i="12"/>
  <c r="M184" i="12"/>
  <c r="N184" i="12"/>
  <c r="O184" i="12"/>
  <c r="P184" i="12"/>
  <c r="Q184" i="12"/>
  <c r="R184" i="12"/>
  <c r="S184" i="12"/>
  <c r="T184" i="12"/>
  <c r="U184" i="12"/>
  <c r="V184" i="12"/>
  <c r="AA184" i="12"/>
  <c r="AB184" i="12"/>
  <c r="AC184" i="12"/>
  <c r="AD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W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N184" i="12"/>
  <c r="A185" i="12"/>
  <c r="B185" i="12"/>
  <c r="C185" i="12"/>
  <c r="D185" i="12"/>
  <c r="E185" i="12"/>
  <c r="F185" i="12"/>
  <c r="G185" i="12"/>
  <c r="H185" i="12"/>
  <c r="I185" i="12"/>
  <c r="J185" i="12"/>
  <c r="K185" i="12"/>
  <c r="L185" i="12"/>
  <c r="M185" i="12"/>
  <c r="N185" i="12"/>
  <c r="O185" i="12"/>
  <c r="P185" i="12"/>
  <c r="Q185" i="12"/>
  <c r="R185" i="12"/>
  <c r="S185" i="12"/>
  <c r="T185" i="12"/>
  <c r="U185" i="12"/>
  <c r="V185" i="12"/>
  <c r="AA185" i="12"/>
  <c r="AB185" i="12"/>
  <c r="AC185" i="12"/>
  <c r="AD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W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N185" i="12"/>
  <c r="A186" i="12"/>
  <c r="B186" i="12"/>
  <c r="C186" i="12"/>
  <c r="D186" i="12"/>
  <c r="E186" i="12"/>
  <c r="F186" i="12"/>
  <c r="G186" i="12"/>
  <c r="H186" i="12"/>
  <c r="I186" i="12"/>
  <c r="J186" i="12"/>
  <c r="K186" i="12"/>
  <c r="L186" i="12"/>
  <c r="M186" i="12"/>
  <c r="N186" i="12"/>
  <c r="O186" i="12"/>
  <c r="P186" i="12"/>
  <c r="Q186" i="12"/>
  <c r="R186" i="12"/>
  <c r="S186" i="12"/>
  <c r="T186" i="12"/>
  <c r="U186" i="12"/>
  <c r="V186" i="12"/>
  <c r="AA186" i="12"/>
  <c r="AB186" i="12"/>
  <c r="AC186" i="12"/>
  <c r="AD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W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N186" i="12"/>
  <c r="A187" i="12"/>
  <c r="B187" i="12"/>
  <c r="C187" i="12"/>
  <c r="D187" i="12"/>
  <c r="E187" i="12"/>
  <c r="F187" i="12"/>
  <c r="G187" i="12"/>
  <c r="H187" i="12"/>
  <c r="I187" i="12"/>
  <c r="J187" i="12"/>
  <c r="K187" i="12"/>
  <c r="L187" i="12"/>
  <c r="M187" i="12"/>
  <c r="N187" i="12"/>
  <c r="O187" i="12"/>
  <c r="P187" i="12"/>
  <c r="Q187" i="12"/>
  <c r="R187" i="12"/>
  <c r="S187" i="12"/>
  <c r="T187" i="12"/>
  <c r="U187" i="12"/>
  <c r="V187" i="12"/>
  <c r="AA187" i="12"/>
  <c r="AB187" i="12"/>
  <c r="AC187" i="12"/>
  <c r="AD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N187" i="12"/>
  <c r="A188" i="12"/>
  <c r="B188" i="12"/>
  <c r="C188" i="12"/>
  <c r="D188" i="12"/>
  <c r="E188" i="12"/>
  <c r="F188" i="12"/>
  <c r="G188" i="12"/>
  <c r="H188" i="12"/>
  <c r="I188" i="12"/>
  <c r="J188" i="12"/>
  <c r="K188" i="12"/>
  <c r="L188" i="12"/>
  <c r="M188" i="12"/>
  <c r="N188" i="12"/>
  <c r="O188" i="12"/>
  <c r="P188" i="12"/>
  <c r="Q188" i="12"/>
  <c r="R188" i="12"/>
  <c r="S188" i="12"/>
  <c r="T188" i="12"/>
  <c r="U188" i="12"/>
  <c r="V188" i="12"/>
  <c r="AA188" i="12"/>
  <c r="AB188" i="12"/>
  <c r="AC188" i="12"/>
  <c r="AD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W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N188" i="12"/>
  <c r="A189" i="12"/>
  <c r="B189" i="12"/>
  <c r="C189" i="12"/>
  <c r="D189" i="12"/>
  <c r="E189" i="12"/>
  <c r="F189" i="12"/>
  <c r="G189" i="12"/>
  <c r="H189" i="12"/>
  <c r="I189" i="12"/>
  <c r="J189" i="12"/>
  <c r="K189" i="12"/>
  <c r="L189" i="12"/>
  <c r="M189" i="12"/>
  <c r="N189" i="12"/>
  <c r="O189" i="12"/>
  <c r="P189" i="12"/>
  <c r="Q189" i="12"/>
  <c r="R189" i="12"/>
  <c r="S189" i="12"/>
  <c r="T189" i="12"/>
  <c r="U189" i="12"/>
  <c r="V189" i="12"/>
  <c r="AA189" i="12"/>
  <c r="AB189" i="12"/>
  <c r="AC189" i="12"/>
  <c r="AD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W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N189" i="12"/>
  <c r="A190" i="12"/>
  <c r="B190" i="12"/>
  <c r="C190" i="12"/>
  <c r="D190" i="12"/>
  <c r="E190" i="12"/>
  <c r="F190" i="12"/>
  <c r="G190" i="12"/>
  <c r="H190" i="12"/>
  <c r="I190" i="12"/>
  <c r="J190" i="12"/>
  <c r="K190" i="12"/>
  <c r="L190" i="12"/>
  <c r="M190" i="12"/>
  <c r="N190" i="12"/>
  <c r="O190" i="12"/>
  <c r="P190" i="12"/>
  <c r="Q190" i="12"/>
  <c r="R190" i="12"/>
  <c r="S190" i="12"/>
  <c r="T190" i="12"/>
  <c r="U190" i="12"/>
  <c r="V190" i="12"/>
  <c r="AA190" i="12"/>
  <c r="AB190" i="12"/>
  <c r="AC190" i="12"/>
  <c r="AD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W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N190" i="12"/>
  <c r="A191" i="12"/>
  <c r="B191" i="12"/>
  <c r="C191" i="12"/>
  <c r="D191" i="12"/>
  <c r="E191" i="12"/>
  <c r="F191" i="12"/>
  <c r="G191" i="12"/>
  <c r="H191" i="12"/>
  <c r="I191" i="12"/>
  <c r="J191" i="12"/>
  <c r="K191" i="12"/>
  <c r="L191" i="12"/>
  <c r="M191" i="12"/>
  <c r="N191" i="12"/>
  <c r="O191" i="12"/>
  <c r="P191" i="12"/>
  <c r="Q191" i="12"/>
  <c r="R191" i="12"/>
  <c r="S191" i="12"/>
  <c r="T191" i="12"/>
  <c r="U191" i="12"/>
  <c r="V191" i="12"/>
  <c r="AA191" i="12"/>
  <c r="AB191" i="12"/>
  <c r="AC191" i="12"/>
  <c r="AD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W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N191" i="12"/>
  <c r="A192" i="12"/>
  <c r="B192" i="12"/>
  <c r="C192" i="12"/>
  <c r="D192" i="12"/>
  <c r="E192" i="12"/>
  <c r="F192" i="12"/>
  <c r="G192" i="12"/>
  <c r="H192" i="12"/>
  <c r="I192" i="12"/>
  <c r="J192" i="12"/>
  <c r="K192" i="12"/>
  <c r="L192" i="12"/>
  <c r="M192" i="12"/>
  <c r="N192" i="12"/>
  <c r="O192" i="12"/>
  <c r="P192" i="12"/>
  <c r="Q192" i="12"/>
  <c r="R192" i="12"/>
  <c r="S192" i="12"/>
  <c r="T192" i="12"/>
  <c r="U192" i="12"/>
  <c r="V192" i="12"/>
  <c r="AA192" i="12"/>
  <c r="AB192" i="12"/>
  <c r="AC192" i="12"/>
  <c r="AD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W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N192" i="12"/>
  <c r="A193" i="12"/>
  <c r="B193" i="12"/>
  <c r="C193" i="12"/>
  <c r="D193" i="12"/>
  <c r="E193" i="12"/>
  <c r="F193" i="12"/>
  <c r="G193" i="12"/>
  <c r="H193" i="12"/>
  <c r="I193" i="12"/>
  <c r="J193" i="12"/>
  <c r="K193" i="12"/>
  <c r="L193" i="12"/>
  <c r="M193" i="12"/>
  <c r="N193" i="12"/>
  <c r="O193" i="12"/>
  <c r="P193" i="12"/>
  <c r="Q193" i="12"/>
  <c r="R193" i="12"/>
  <c r="S193" i="12"/>
  <c r="T193" i="12"/>
  <c r="U193" i="12"/>
  <c r="V193" i="12"/>
  <c r="AA193" i="12"/>
  <c r="AB193" i="12"/>
  <c r="AC193" i="12"/>
  <c r="AD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W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N193" i="12"/>
  <c r="A194" i="12"/>
  <c r="B194" i="12"/>
  <c r="C194" i="12"/>
  <c r="D194" i="12"/>
  <c r="E194" i="12"/>
  <c r="F194" i="12"/>
  <c r="G194" i="12"/>
  <c r="H194" i="12"/>
  <c r="I194" i="12"/>
  <c r="J194" i="12"/>
  <c r="K194" i="12"/>
  <c r="L194" i="12"/>
  <c r="M194" i="12"/>
  <c r="N194" i="12"/>
  <c r="O194" i="12"/>
  <c r="P194" i="12"/>
  <c r="Q194" i="12"/>
  <c r="R194" i="12"/>
  <c r="S194" i="12"/>
  <c r="T194" i="12"/>
  <c r="U194" i="12"/>
  <c r="V194" i="12"/>
  <c r="AA194" i="12"/>
  <c r="AB194" i="12"/>
  <c r="AC194" i="12"/>
  <c r="AD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W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N194" i="12"/>
  <c r="A195" i="12"/>
  <c r="B195" i="12"/>
  <c r="C195" i="12"/>
  <c r="D195" i="12"/>
  <c r="E195" i="12"/>
  <c r="F195" i="12"/>
  <c r="G195" i="12"/>
  <c r="H195" i="12"/>
  <c r="I195" i="12"/>
  <c r="J195" i="12"/>
  <c r="K195" i="12"/>
  <c r="L195" i="12"/>
  <c r="M195" i="12"/>
  <c r="N195" i="12"/>
  <c r="O195" i="12"/>
  <c r="P195" i="12"/>
  <c r="Q195" i="12"/>
  <c r="R195" i="12"/>
  <c r="S195" i="12"/>
  <c r="T195" i="12"/>
  <c r="U195" i="12"/>
  <c r="V195" i="12"/>
  <c r="AA195" i="12"/>
  <c r="AB195" i="12"/>
  <c r="AC195" i="12"/>
  <c r="AD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N195" i="12"/>
  <c r="A196" i="12"/>
  <c r="B196" i="12"/>
  <c r="C196" i="12"/>
  <c r="D196" i="12"/>
  <c r="E196" i="12"/>
  <c r="F196" i="12"/>
  <c r="G196" i="12"/>
  <c r="H196" i="12"/>
  <c r="I196" i="12"/>
  <c r="J196" i="12"/>
  <c r="K196" i="12"/>
  <c r="L196" i="12"/>
  <c r="M196" i="12"/>
  <c r="N196" i="12"/>
  <c r="O196" i="12"/>
  <c r="P196" i="12"/>
  <c r="Q196" i="12"/>
  <c r="R196" i="12"/>
  <c r="S196" i="12"/>
  <c r="T196" i="12"/>
  <c r="U196" i="12"/>
  <c r="V196" i="12"/>
  <c r="AA196" i="12"/>
  <c r="AB196" i="12"/>
  <c r="AC196" i="12"/>
  <c r="AD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W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N196" i="12"/>
  <c r="A197" i="12"/>
  <c r="B197" i="12"/>
  <c r="C197" i="12"/>
  <c r="D197" i="12"/>
  <c r="E197" i="12"/>
  <c r="F197" i="12"/>
  <c r="G197" i="12"/>
  <c r="H197" i="12"/>
  <c r="I197" i="12"/>
  <c r="J197" i="12"/>
  <c r="K197" i="12"/>
  <c r="L197" i="12"/>
  <c r="M197" i="12"/>
  <c r="N197" i="12"/>
  <c r="O197" i="12"/>
  <c r="P197" i="12"/>
  <c r="Q197" i="12"/>
  <c r="R197" i="12"/>
  <c r="S197" i="12"/>
  <c r="T197" i="12"/>
  <c r="U197" i="12"/>
  <c r="V197" i="12"/>
  <c r="AA197" i="12"/>
  <c r="AB197" i="12"/>
  <c r="AC197" i="12"/>
  <c r="AD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W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N197" i="12"/>
  <c r="A198" i="12"/>
  <c r="B198" i="12"/>
  <c r="C198" i="12"/>
  <c r="D198" i="12"/>
  <c r="E198" i="12"/>
  <c r="F198" i="12"/>
  <c r="G198" i="12"/>
  <c r="H198" i="12"/>
  <c r="I198" i="12"/>
  <c r="J198" i="12"/>
  <c r="K198" i="12"/>
  <c r="L198" i="12"/>
  <c r="M198" i="12"/>
  <c r="N198" i="12"/>
  <c r="O198" i="12"/>
  <c r="P198" i="12"/>
  <c r="Q198" i="12"/>
  <c r="R198" i="12"/>
  <c r="S198" i="12"/>
  <c r="T198" i="12"/>
  <c r="U198" i="12"/>
  <c r="V198" i="12"/>
  <c r="AA198" i="12"/>
  <c r="AB198" i="12"/>
  <c r="AC198" i="12"/>
  <c r="AD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W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N198" i="12"/>
  <c r="A199" i="12"/>
  <c r="B199" i="12"/>
  <c r="C199" i="12"/>
  <c r="D199" i="12"/>
  <c r="E199" i="12"/>
  <c r="F199" i="12"/>
  <c r="G199" i="12"/>
  <c r="H199" i="12"/>
  <c r="I199" i="12"/>
  <c r="J199" i="12"/>
  <c r="K199" i="12"/>
  <c r="L199" i="12"/>
  <c r="M199" i="12"/>
  <c r="N199" i="12"/>
  <c r="O199" i="12"/>
  <c r="P199" i="12"/>
  <c r="Q199" i="12"/>
  <c r="R199" i="12"/>
  <c r="S199" i="12"/>
  <c r="T199" i="12"/>
  <c r="U199" i="12"/>
  <c r="V199" i="12"/>
  <c r="AA199" i="12"/>
  <c r="AB199" i="12"/>
  <c r="AC199" i="12"/>
  <c r="AD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W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N199" i="12"/>
  <c r="A200" i="12"/>
  <c r="B200" i="12"/>
  <c r="C200" i="12"/>
  <c r="D200" i="12"/>
  <c r="E200" i="12"/>
  <c r="F200" i="12"/>
  <c r="G200" i="12"/>
  <c r="H200" i="12"/>
  <c r="I200" i="12"/>
  <c r="J200" i="12"/>
  <c r="K200" i="12"/>
  <c r="L200" i="12"/>
  <c r="M200" i="12"/>
  <c r="N200" i="12"/>
  <c r="O200" i="12"/>
  <c r="P200" i="12"/>
  <c r="Q200" i="12"/>
  <c r="R200" i="12"/>
  <c r="S200" i="12"/>
  <c r="T200" i="12"/>
  <c r="U200" i="12"/>
  <c r="V200" i="12"/>
  <c r="AA200" i="12"/>
  <c r="AB200" i="12"/>
  <c r="AC200" i="12"/>
  <c r="AD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W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N200" i="12"/>
  <c r="A201" i="12"/>
  <c r="B201" i="12"/>
  <c r="C201" i="12"/>
  <c r="D201" i="12"/>
  <c r="E201" i="12"/>
  <c r="F201" i="12"/>
  <c r="G201" i="12"/>
  <c r="H201" i="12"/>
  <c r="I201" i="12"/>
  <c r="J201" i="12"/>
  <c r="K201" i="12"/>
  <c r="L201" i="12"/>
  <c r="M201" i="12"/>
  <c r="N201" i="12"/>
  <c r="O201" i="12"/>
  <c r="P201" i="12"/>
  <c r="Q201" i="12"/>
  <c r="R201" i="12"/>
  <c r="S201" i="12"/>
  <c r="T201" i="12"/>
  <c r="U201" i="12"/>
  <c r="V201" i="12"/>
  <c r="AA201" i="12"/>
  <c r="AB201" i="12"/>
  <c r="AC201" i="12"/>
  <c r="AD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N201" i="12"/>
  <c r="A202" i="12"/>
  <c r="B202" i="12"/>
  <c r="C202" i="12"/>
  <c r="D202" i="12"/>
  <c r="E202" i="12"/>
  <c r="F202" i="12"/>
  <c r="G202" i="12"/>
  <c r="H202" i="12"/>
  <c r="I202" i="12"/>
  <c r="J202" i="12"/>
  <c r="K202" i="12"/>
  <c r="L202" i="12"/>
  <c r="M202" i="12"/>
  <c r="N202" i="12"/>
  <c r="O202" i="12"/>
  <c r="P202" i="12"/>
  <c r="Q202" i="12"/>
  <c r="R202" i="12"/>
  <c r="S202" i="12"/>
  <c r="T202" i="12"/>
  <c r="U202" i="12"/>
  <c r="V202" i="12"/>
  <c r="AA202" i="12"/>
  <c r="AB202" i="12"/>
  <c r="AC202" i="12"/>
  <c r="AD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W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N202" i="12"/>
  <c r="A203" i="12"/>
  <c r="B203" i="12"/>
  <c r="C203" i="12"/>
  <c r="D203" i="12"/>
  <c r="E203" i="12"/>
  <c r="F203" i="12"/>
  <c r="G203" i="12"/>
  <c r="H203" i="12"/>
  <c r="I203" i="12"/>
  <c r="J203" i="12"/>
  <c r="K203" i="12"/>
  <c r="L203" i="12"/>
  <c r="M203" i="12"/>
  <c r="N203" i="12"/>
  <c r="O203" i="12"/>
  <c r="P203" i="12"/>
  <c r="Q203" i="12"/>
  <c r="R203" i="12"/>
  <c r="S203" i="12"/>
  <c r="T203" i="12"/>
  <c r="U203" i="12"/>
  <c r="V203" i="12"/>
  <c r="AA203" i="12"/>
  <c r="AB203" i="12"/>
  <c r="AC203" i="12"/>
  <c r="AD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W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N203" i="12"/>
  <c r="A204" i="12"/>
  <c r="B204" i="12"/>
  <c r="C204" i="12"/>
  <c r="D204" i="12"/>
  <c r="E204" i="12"/>
  <c r="F204" i="12"/>
  <c r="G204" i="12"/>
  <c r="H204" i="12"/>
  <c r="I204" i="12"/>
  <c r="J204" i="12"/>
  <c r="K204" i="12"/>
  <c r="L204" i="12"/>
  <c r="M204" i="12"/>
  <c r="N204" i="12"/>
  <c r="O204" i="12"/>
  <c r="P204" i="12"/>
  <c r="Q204" i="12"/>
  <c r="R204" i="12"/>
  <c r="S204" i="12"/>
  <c r="T204" i="12"/>
  <c r="U204" i="12"/>
  <c r="V204" i="12"/>
  <c r="AA204" i="12"/>
  <c r="AB204" i="12"/>
  <c r="AC204" i="12"/>
  <c r="AD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W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N204" i="12"/>
  <c r="A205" i="12"/>
  <c r="B205" i="12"/>
  <c r="C205" i="12"/>
  <c r="D205" i="12"/>
  <c r="E205" i="12"/>
  <c r="F205" i="12"/>
  <c r="G205" i="12"/>
  <c r="H205" i="12"/>
  <c r="I205" i="12"/>
  <c r="J205" i="12"/>
  <c r="K205" i="12"/>
  <c r="L205" i="12"/>
  <c r="M205" i="12"/>
  <c r="N205" i="12"/>
  <c r="O205" i="12"/>
  <c r="P205" i="12"/>
  <c r="Q205" i="12"/>
  <c r="R205" i="12"/>
  <c r="S205" i="12"/>
  <c r="T205" i="12"/>
  <c r="U205" i="12"/>
  <c r="V205" i="12"/>
  <c r="AA205" i="12"/>
  <c r="AB205" i="12"/>
  <c r="AC205" i="12"/>
  <c r="AD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W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N205" i="12"/>
  <c r="A206" i="12"/>
  <c r="B206" i="12"/>
  <c r="C206" i="12"/>
  <c r="D206" i="12"/>
  <c r="E206" i="12"/>
  <c r="F206" i="12"/>
  <c r="G206" i="12"/>
  <c r="H206" i="12"/>
  <c r="I206" i="12"/>
  <c r="J206" i="12"/>
  <c r="K206" i="12"/>
  <c r="L206" i="12"/>
  <c r="M206" i="12"/>
  <c r="N206" i="12"/>
  <c r="O206" i="12"/>
  <c r="P206" i="12"/>
  <c r="Q206" i="12"/>
  <c r="R206" i="12"/>
  <c r="S206" i="12"/>
  <c r="T206" i="12"/>
  <c r="U206" i="12"/>
  <c r="V206" i="12"/>
  <c r="AA206" i="12"/>
  <c r="AB206" i="12"/>
  <c r="AC206" i="12"/>
  <c r="AD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W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N206" i="12"/>
  <c r="A207" i="12"/>
  <c r="B207" i="12"/>
  <c r="C207" i="12"/>
  <c r="D207" i="12"/>
  <c r="E207" i="12"/>
  <c r="F207" i="12"/>
  <c r="G207" i="12"/>
  <c r="H207" i="12"/>
  <c r="I207" i="12"/>
  <c r="J207" i="12"/>
  <c r="K207" i="12"/>
  <c r="L207" i="12"/>
  <c r="M207" i="12"/>
  <c r="N207" i="12"/>
  <c r="O207" i="12"/>
  <c r="P207" i="12"/>
  <c r="Q207" i="12"/>
  <c r="R207" i="12"/>
  <c r="S207" i="12"/>
  <c r="T207" i="12"/>
  <c r="U207" i="12"/>
  <c r="V207" i="12"/>
  <c r="AA207" i="12"/>
  <c r="AB207" i="12"/>
  <c r="AC207" i="12"/>
  <c r="AD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W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N207" i="12"/>
  <c r="A208" i="12"/>
  <c r="B208" i="12"/>
  <c r="C208" i="12"/>
  <c r="D208" i="12"/>
  <c r="E208" i="12"/>
  <c r="F208" i="12"/>
  <c r="G208" i="12"/>
  <c r="H208" i="12"/>
  <c r="I208" i="12"/>
  <c r="J208" i="12"/>
  <c r="K208" i="12"/>
  <c r="L208" i="12"/>
  <c r="M208" i="12"/>
  <c r="N208" i="12"/>
  <c r="O208" i="12"/>
  <c r="P208" i="12"/>
  <c r="Q208" i="12"/>
  <c r="R208" i="12"/>
  <c r="S208" i="12"/>
  <c r="T208" i="12"/>
  <c r="U208" i="12"/>
  <c r="V208" i="12"/>
  <c r="AA208" i="12"/>
  <c r="AB208" i="12"/>
  <c r="AC208" i="12"/>
  <c r="AD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N208" i="12"/>
  <c r="A209" i="12"/>
  <c r="B209" i="12"/>
  <c r="C209" i="12"/>
  <c r="D209" i="12"/>
  <c r="E209" i="12"/>
  <c r="F209" i="12"/>
  <c r="G209" i="12"/>
  <c r="H209" i="12"/>
  <c r="I209" i="12"/>
  <c r="J209" i="12"/>
  <c r="K209" i="12"/>
  <c r="L209" i="12"/>
  <c r="M209" i="12"/>
  <c r="N209" i="12"/>
  <c r="O209" i="12"/>
  <c r="P209" i="12"/>
  <c r="Q209" i="12"/>
  <c r="R209" i="12"/>
  <c r="S209" i="12"/>
  <c r="T209" i="12"/>
  <c r="U209" i="12"/>
  <c r="V209" i="12"/>
  <c r="AA209" i="12"/>
  <c r="AB209" i="12"/>
  <c r="AC209" i="12"/>
  <c r="AD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W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N209" i="12"/>
  <c r="A210" i="12"/>
  <c r="B210" i="12"/>
  <c r="C210" i="12"/>
  <c r="D210" i="12"/>
  <c r="E210" i="12"/>
  <c r="F210" i="12"/>
  <c r="G210" i="12"/>
  <c r="H210" i="12"/>
  <c r="I210" i="12"/>
  <c r="J210" i="12"/>
  <c r="K210" i="12"/>
  <c r="L210" i="12"/>
  <c r="M210" i="12"/>
  <c r="N210" i="12"/>
  <c r="O210" i="12"/>
  <c r="P210" i="12"/>
  <c r="Q210" i="12"/>
  <c r="R210" i="12"/>
  <c r="S210" i="12"/>
  <c r="T210" i="12"/>
  <c r="U210" i="12"/>
  <c r="V210" i="12"/>
  <c r="AA210" i="12"/>
  <c r="AB210" i="12"/>
  <c r="AC210" i="12"/>
  <c r="AD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N210" i="12"/>
  <c r="A211" i="12"/>
  <c r="B211" i="12"/>
  <c r="C211" i="12"/>
  <c r="D211" i="12"/>
  <c r="E211" i="12"/>
  <c r="F211" i="12"/>
  <c r="G211" i="12"/>
  <c r="H211" i="12"/>
  <c r="I211" i="12"/>
  <c r="J211" i="12"/>
  <c r="K211" i="12"/>
  <c r="L211" i="12"/>
  <c r="M211" i="12"/>
  <c r="N211" i="12"/>
  <c r="O211" i="12"/>
  <c r="P211" i="12"/>
  <c r="Q211" i="12"/>
  <c r="R211" i="12"/>
  <c r="S211" i="12"/>
  <c r="T211" i="12"/>
  <c r="U211" i="12"/>
  <c r="V211" i="12"/>
  <c r="AA211" i="12"/>
  <c r="AB211" i="12"/>
  <c r="AC211" i="12"/>
  <c r="AD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N211" i="12"/>
  <c r="A212" i="12"/>
  <c r="B212" i="12"/>
  <c r="C212" i="12"/>
  <c r="D212" i="12"/>
  <c r="E212" i="12"/>
  <c r="F212" i="12"/>
  <c r="G212" i="12"/>
  <c r="H212" i="12"/>
  <c r="I212" i="12"/>
  <c r="J212" i="12"/>
  <c r="K212" i="12"/>
  <c r="L212" i="12"/>
  <c r="M212" i="12"/>
  <c r="N212" i="12"/>
  <c r="O212" i="12"/>
  <c r="P212" i="12"/>
  <c r="Q212" i="12"/>
  <c r="R212" i="12"/>
  <c r="S212" i="12"/>
  <c r="T212" i="12"/>
  <c r="U212" i="12"/>
  <c r="V212" i="12"/>
  <c r="AA212" i="12"/>
  <c r="AB212" i="12"/>
  <c r="AC212" i="12"/>
  <c r="AD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W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N212" i="12"/>
  <c r="A213" i="12"/>
  <c r="B213" i="12"/>
  <c r="C213" i="12"/>
  <c r="D213" i="12"/>
  <c r="E213" i="12"/>
  <c r="F213" i="12"/>
  <c r="G213" i="12"/>
  <c r="H213" i="12"/>
  <c r="I213" i="12"/>
  <c r="J213" i="12"/>
  <c r="K213" i="12"/>
  <c r="L213" i="12"/>
  <c r="M213" i="12"/>
  <c r="N213" i="12"/>
  <c r="O213" i="12"/>
  <c r="P213" i="12"/>
  <c r="Q213" i="12"/>
  <c r="R213" i="12"/>
  <c r="S213" i="12"/>
  <c r="T213" i="12"/>
  <c r="U213" i="12"/>
  <c r="V213" i="12"/>
  <c r="AA213" i="12"/>
  <c r="AB213" i="12"/>
  <c r="AC213" i="12"/>
  <c r="AD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W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N213" i="12"/>
  <c r="A214" i="12"/>
  <c r="B214" i="12"/>
  <c r="C214" i="12"/>
  <c r="D214" i="12"/>
  <c r="E214" i="12"/>
  <c r="F214" i="12"/>
  <c r="G214" i="12"/>
  <c r="H214" i="12"/>
  <c r="I214" i="12"/>
  <c r="J214" i="12"/>
  <c r="K214" i="12"/>
  <c r="L214" i="12"/>
  <c r="M214" i="12"/>
  <c r="N214" i="12"/>
  <c r="O214" i="12"/>
  <c r="P214" i="12"/>
  <c r="Q214" i="12"/>
  <c r="R214" i="12"/>
  <c r="S214" i="12"/>
  <c r="T214" i="12"/>
  <c r="U214" i="12"/>
  <c r="V214" i="12"/>
  <c r="AA214" i="12"/>
  <c r="AB214" i="12"/>
  <c r="AC214" i="12"/>
  <c r="AD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W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N214" i="12"/>
  <c r="A215" i="12"/>
  <c r="B215" i="12"/>
  <c r="C215" i="12"/>
  <c r="D215" i="12"/>
  <c r="E215" i="12"/>
  <c r="F215" i="12"/>
  <c r="G215" i="12"/>
  <c r="H215" i="12"/>
  <c r="I215" i="12"/>
  <c r="J215" i="12"/>
  <c r="K215" i="12"/>
  <c r="L215" i="12"/>
  <c r="M215" i="12"/>
  <c r="N215" i="12"/>
  <c r="O215" i="12"/>
  <c r="P215" i="12"/>
  <c r="Q215" i="12"/>
  <c r="R215" i="12"/>
  <c r="S215" i="12"/>
  <c r="T215" i="12"/>
  <c r="U215" i="12"/>
  <c r="V215" i="12"/>
  <c r="AA215" i="12"/>
  <c r="AB215" i="12"/>
  <c r="AC215" i="12"/>
  <c r="AD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N215" i="12"/>
  <c r="A216" i="12"/>
  <c r="B216" i="12"/>
  <c r="C216" i="12"/>
  <c r="D216" i="12"/>
  <c r="E216" i="12"/>
  <c r="F216" i="12"/>
  <c r="G216" i="12"/>
  <c r="H216" i="12"/>
  <c r="I216" i="12"/>
  <c r="J216" i="12"/>
  <c r="K216" i="12"/>
  <c r="L216" i="12"/>
  <c r="M216" i="12"/>
  <c r="N216" i="12"/>
  <c r="O216" i="12"/>
  <c r="P216" i="12"/>
  <c r="Q216" i="12"/>
  <c r="R216" i="12"/>
  <c r="S216" i="12"/>
  <c r="T216" i="12"/>
  <c r="U216" i="12"/>
  <c r="V216" i="12"/>
  <c r="AA216" i="12"/>
  <c r="AB216" i="12"/>
  <c r="AC216" i="12"/>
  <c r="AD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W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N216" i="12"/>
  <c r="A217" i="12"/>
  <c r="B217" i="12"/>
  <c r="C217" i="12"/>
  <c r="D217" i="12"/>
  <c r="E217" i="12"/>
  <c r="F217" i="12"/>
  <c r="G217" i="12"/>
  <c r="H217" i="12"/>
  <c r="I217" i="12"/>
  <c r="J217" i="12"/>
  <c r="K217" i="12"/>
  <c r="L217" i="12"/>
  <c r="M217" i="12"/>
  <c r="N217" i="12"/>
  <c r="O217" i="12"/>
  <c r="P217" i="12"/>
  <c r="Q217" i="12"/>
  <c r="R217" i="12"/>
  <c r="S217" i="12"/>
  <c r="T217" i="12"/>
  <c r="U217" i="12"/>
  <c r="V217" i="12"/>
  <c r="AA217" i="12"/>
  <c r="AB217" i="12"/>
  <c r="AC217" i="12"/>
  <c r="AD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W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N217" i="12"/>
  <c r="A218" i="12"/>
  <c r="B218" i="12"/>
  <c r="C218" i="12"/>
  <c r="D218" i="12"/>
  <c r="E218" i="12"/>
  <c r="F218" i="12"/>
  <c r="G218" i="12"/>
  <c r="H218" i="12"/>
  <c r="I218" i="12"/>
  <c r="J218" i="12"/>
  <c r="K218" i="12"/>
  <c r="L218" i="12"/>
  <c r="M218" i="12"/>
  <c r="N218" i="12"/>
  <c r="O218" i="12"/>
  <c r="P218" i="12"/>
  <c r="Q218" i="12"/>
  <c r="R218" i="12"/>
  <c r="S218" i="12"/>
  <c r="T218" i="12"/>
  <c r="U218" i="12"/>
  <c r="V218" i="12"/>
  <c r="AA218" i="12"/>
  <c r="AB218" i="12"/>
  <c r="AC218" i="12"/>
  <c r="AD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W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N218" i="12"/>
  <c r="A219" i="12"/>
  <c r="B219" i="12"/>
  <c r="C219" i="12"/>
  <c r="D219" i="12"/>
  <c r="E219" i="12"/>
  <c r="F219" i="12"/>
  <c r="G219" i="12"/>
  <c r="H219" i="12"/>
  <c r="I219" i="12"/>
  <c r="J219" i="12"/>
  <c r="K219" i="12"/>
  <c r="L219" i="12"/>
  <c r="M219" i="12"/>
  <c r="N219" i="12"/>
  <c r="O219" i="12"/>
  <c r="P219" i="12"/>
  <c r="Q219" i="12"/>
  <c r="R219" i="12"/>
  <c r="S219" i="12"/>
  <c r="T219" i="12"/>
  <c r="U219" i="12"/>
  <c r="V219" i="12"/>
  <c r="AA219" i="12"/>
  <c r="AB219" i="12"/>
  <c r="AC219" i="12"/>
  <c r="AD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W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N219" i="12"/>
  <c r="A220" i="12"/>
  <c r="B220" i="12"/>
  <c r="C220" i="12"/>
  <c r="D220" i="12"/>
  <c r="E220" i="12"/>
  <c r="F220" i="12"/>
  <c r="G220" i="12"/>
  <c r="H220" i="12"/>
  <c r="I220" i="12"/>
  <c r="J220" i="12"/>
  <c r="K220" i="12"/>
  <c r="L220" i="12"/>
  <c r="M220" i="12"/>
  <c r="N220" i="12"/>
  <c r="O220" i="12"/>
  <c r="P220" i="12"/>
  <c r="Q220" i="12"/>
  <c r="R220" i="12"/>
  <c r="S220" i="12"/>
  <c r="T220" i="12"/>
  <c r="U220" i="12"/>
  <c r="V220" i="12"/>
  <c r="AA220" i="12"/>
  <c r="AB220" i="12"/>
  <c r="AC220" i="12"/>
  <c r="AD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W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N220" i="12"/>
  <c r="A221" i="12"/>
  <c r="B221" i="12"/>
  <c r="C221" i="12"/>
  <c r="D221" i="12"/>
  <c r="E221" i="12"/>
  <c r="F221" i="12"/>
  <c r="G221" i="12"/>
  <c r="H221" i="12"/>
  <c r="I221" i="12"/>
  <c r="J221" i="12"/>
  <c r="K221" i="12"/>
  <c r="L221" i="12"/>
  <c r="M221" i="12"/>
  <c r="N221" i="12"/>
  <c r="O221" i="12"/>
  <c r="P221" i="12"/>
  <c r="Q221" i="12"/>
  <c r="R221" i="12"/>
  <c r="S221" i="12"/>
  <c r="T221" i="12"/>
  <c r="U221" i="12"/>
  <c r="V221" i="12"/>
  <c r="AA221" i="12"/>
  <c r="AB221" i="12"/>
  <c r="AC221" i="12"/>
  <c r="AD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N221" i="12"/>
  <c r="A222" i="12"/>
  <c r="B222" i="12"/>
  <c r="C222" i="12"/>
  <c r="D222" i="12"/>
  <c r="E222" i="12"/>
  <c r="F222" i="12"/>
  <c r="G222" i="12"/>
  <c r="H222" i="12"/>
  <c r="I222" i="12"/>
  <c r="J222" i="12"/>
  <c r="K222" i="12"/>
  <c r="L222" i="12"/>
  <c r="M222" i="12"/>
  <c r="N222" i="12"/>
  <c r="O222" i="12"/>
  <c r="P222" i="12"/>
  <c r="Q222" i="12"/>
  <c r="R222" i="12"/>
  <c r="S222" i="12"/>
  <c r="T222" i="12"/>
  <c r="U222" i="12"/>
  <c r="V222" i="12"/>
  <c r="AA222" i="12"/>
  <c r="AB222" i="12"/>
  <c r="AC222" i="12"/>
  <c r="AD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W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N222" i="12"/>
  <c r="A223" i="12"/>
  <c r="B223" i="12"/>
  <c r="C223" i="12"/>
  <c r="D223" i="12"/>
  <c r="E223" i="12"/>
  <c r="F223" i="12"/>
  <c r="G223" i="12"/>
  <c r="H223" i="12"/>
  <c r="I223" i="12"/>
  <c r="J223" i="12"/>
  <c r="K223" i="12"/>
  <c r="L223" i="12"/>
  <c r="M223" i="12"/>
  <c r="N223" i="12"/>
  <c r="O223" i="12"/>
  <c r="P223" i="12"/>
  <c r="Q223" i="12"/>
  <c r="R223" i="12"/>
  <c r="S223" i="12"/>
  <c r="T223" i="12"/>
  <c r="U223" i="12"/>
  <c r="V223" i="12"/>
  <c r="AA223" i="12"/>
  <c r="AB223" i="12"/>
  <c r="AC223" i="12"/>
  <c r="AD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N223" i="12"/>
  <c r="A224" i="12"/>
  <c r="B224" i="12"/>
  <c r="C224" i="12"/>
  <c r="D224" i="12"/>
  <c r="E224" i="12"/>
  <c r="F224" i="12"/>
  <c r="G224" i="12"/>
  <c r="H224" i="12"/>
  <c r="I224" i="12"/>
  <c r="J224" i="12"/>
  <c r="K224" i="12"/>
  <c r="L224" i="12"/>
  <c r="M224" i="12"/>
  <c r="N224" i="12"/>
  <c r="O224" i="12"/>
  <c r="P224" i="12"/>
  <c r="Q224" i="12"/>
  <c r="R224" i="12"/>
  <c r="S224" i="12"/>
  <c r="T224" i="12"/>
  <c r="U224" i="12"/>
  <c r="V224" i="12"/>
  <c r="AA224" i="12"/>
  <c r="AB224" i="12"/>
  <c r="AC224" i="12"/>
  <c r="AD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N224" i="12"/>
  <c r="A225" i="12"/>
  <c r="B225" i="12"/>
  <c r="C225" i="12"/>
  <c r="D225" i="12"/>
  <c r="E225" i="12"/>
  <c r="F225" i="12"/>
  <c r="G225" i="12"/>
  <c r="H225" i="12"/>
  <c r="I225" i="12"/>
  <c r="J225" i="12"/>
  <c r="K225" i="12"/>
  <c r="L225" i="12"/>
  <c r="M225" i="12"/>
  <c r="N225" i="12"/>
  <c r="O225" i="12"/>
  <c r="P225" i="12"/>
  <c r="Q225" i="12"/>
  <c r="R225" i="12"/>
  <c r="S225" i="12"/>
  <c r="T225" i="12"/>
  <c r="U225" i="12"/>
  <c r="V225" i="12"/>
  <c r="AA225" i="12"/>
  <c r="AB225" i="12"/>
  <c r="AC225" i="12"/>
  <c r="AD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W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N225" i="12"/>
  <c r="A226" i="12"/>
  <c r="B226" i="12"/>
  <c r="C226" i="12"/>
  <c r="D226" i="12"/>
  <c r="E226" i="12"/>
  <c r="F226" i="12"/>
  <c r="G226" i="12"/>
  <c r="H226" i="12"/>
  <c r="I226" i="12"/>
  <c r="J226" i="12"/>
  <c r="K226" i="12"/>
  <c r="L226" i="12"/>
  <c r="M226" i="12"/>
  <c r="N226" i="12"/>
  <c r="O226" i="12"/>
  <c r="P226" i="12"/>
  <c r="Q226" i="12"/>
  <c r="R226" i="12"/>
  <c r="S226" i="12"/>
  <c r="T226" i="12"/>
  <c r="U226" i="12"/>
  <c r="V226" i="12"/>
  <c r="AA226" i="12"/>
  <c r="AB226" i="12"/>
  <c r="AC226" i="12"/>
  <c r="AD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W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N226" i="12"/>
  <c r="A227" i="12"/>
  <c r="B227" i="12"/>
  <c r="C227" i="12"/>
  <c r="D227" i="12"/>
  <c r="E227" i="12"/>
  <c r="F227" i="12"/>
  <c r="G227" i="12"/>
  <c r="H227" i="12"/>
  <c r="I227" i="12"/>
  <c r="J227" i="12"/>
  <c r="K227" i="12"/>
  <c r="L227" i="12"/>
  <c r="M227" i="12"/>
  <c r="N227" i="12"/>
  <c r="O227" i="12"/>
  <c r="P227" i="12"/>
  <c r="Q227" i="12"/>
  <c r="R227" i="12"/>
  <c r="S227" i="12"/>
  <c r="T227" i="12"/>
  <c r="U227" i="12"/>
  <c r="V227" i="12"/>
  <c r="AA227" i="12"/>
  <c r="AB227" i="12"/>
  <c r="AC227" i="12"/>
  <c r="AD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W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N227" i="12"/>
  <c r="A228" i="12"/>
  <c r="B228" i="12"/>
  <c r="C228" i="12"/>
  <c r="D228" i="12"/>
  <c r="E228" i="12"/>
  <c r="F228" i="12"/>
  <c r="G228" i="12"/>
  <c r="H228" i="12"/>
  <c r="I228" i="12"/>
  <c r="J228" i="12"/>
  <c r="K228" i="12"/>
  <c r="L228" i="12"/>
  <c r="M228" i="12"/>
  <c r="N228" i="12"/>
  <c r="O228" i="12"/>
  <c r="P228" i="12"/>
  <c r="Q228" i="12"/>
  <c r="R228" i="12"/>
  <c r="S228" i="12"/>
  <c r="T228" i="12"/>
  <c r="U228" i="12"/>
  <c r="V228" i="12"/>
  <c r="AA228" i="12"/>
  <c r="AB228" i="12"/>
  <c r="AC228" i="12"/>
  <c r="AD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W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N228" i="12"/>
  <c r="A229" i="12"/>
  <c r="B229" i="12"/>
  <c r="C229" i="12"/>
  <c r="D229" i="12"/>
  <c r="E229" i="12"/>
  <c r="F229" i="12"/>
  <c r="G229" i="12"/>
  <c r="H229" i="12"/>
  <c r="I229" i="12"/>
  <c r="J229" i="12"/>
  <c r="K229" i="12"/>
  <c r="L229" i="12"/>
  <c r="M229" i="12"/>
  <c r="N229" i="12"/>
  <c r="O229" i="12"/>
  <c r="P229" i="12"/>
  <c r="Q229" i="12"/>
  <c r="R229" i="12"/>
  <c r="S229" i="12"/>
  <c r="T229" i="12"/>
  <c r="U229" i="12"/>
  <c r="V229" i="12"/>
  <c r="AA229" i="12"/>
  <c r="AB229" i="12"/>
  <c r="AC229" i="12"/>
  <c r="AD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W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N229" i="12"/>
  <c r="A230" i="12"/>
  <c r="B230" i="12"/>
  <c r="C230" i="12"/>
  <c r="D230" i="12"/>
  <c r="E230" i="12"/>
  <c r="F230" i="12"/>
  <c r="G230" i="12"/>
  <c r="H230" i="12"/>
  <c r="I230" i="12"/>
  <c r="J230" i="12"/>
  <c r="K230" i="12"/>
  <c r="L230" i="12"/>
  <c r="M230" i="12"/>
  <c r="N230" i="12"/>
  <c r="O230" i="12"/>
  <c r="P230" i="12"/>
  <c r="Q230" i="12"/>
  <c r="R230" i="12"/>
  <c r="S230" i="12"/>
  <c r="T230" i="12"/>
  <c r="U230" i="12"/>
  <c r="V230" i="12"/>
  <c r="AA230" i="12"/>
  <c r="AB230" i="12"/>
  <c r="AC230" i="12"/>
  <c r="AD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W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N230" i="12"/>
  <c r="A231" i="12"/>
  <c r="B231" i="12"/>
  <c r="C231" i="12"/>
  <c r="D231" i="12"/>
  <c r="E231" i="12"/>
  <c r="F231" i="12"/>
  <c r="G231" i="12"/>
  <c r="H231" i="12"/>
  <c r="I231" i="12"/>
  <c r="J231" i="12"/>
  <c r="K231" i="12"/>
  <c r="L231" i="12"/>
  <c r="M231" i="12"/>
  <c r="N231" i="12"/>
  <c r="O231" i="12"/>
  <c r="P231" i="12"/>
  <c r="Q231" i="12"/>
  <c r="R231" i="12"/>
  <c r="S231" i="12"/>
  <c r="T231" i="12"/>
  <c r="U231" i="12"/>
  <c r="V231" i="12"/>
  <c r="AA231" i="12"/>
  <c r="AB231" i="12"/>
  <c r="AC231" i="12"/>
  <c r="AD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W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N231" i="12"/>
  <c r="A232" i="12"/>
  <c r="B232" i="12"/>
  <c r="C232" i="12"/>
  <c r="D232" i="12"/>
  <c r="E232" i="12"/>
  <c r="F232" i="12"/>
  <c r="G232" i="12"/>
  <c r="H232" i="12"/>
  <c r="I232" i="12"/>
  <c r="J232" i="12"/>
  <c r="K232" i="12"/>
  <c r="L232" i="12"/>
  <c r="M232" i="12"/>
  <c r="N232" i="12"/>
  <c r="O232" i="12"/>
  <c r="P232" i="12"/>
  <c r="Q232" i="12"/>
  <c r="R232" i="12"/>
  <c r="S232" i="12"/>
  <c r="T232" i="12"/>
  <c r="U232" i="12"/>
  <c r="V232" i="12"/>
  <c r="AA232" i="12"/>
  <c r="AB232" i="12"/>
  <c r="AC232" i="12"/>
  <c r="AD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W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N232" i="12"/>
  <c r="A233" i="12"/>
  <c r="B233" i="12"/>
  <c r="C233" i="12"/>
  <c r="D233" i="12"/>
  <c r="E233" i="12"/>
  <c r="F233" i="12"/>
  <c r="G233" i="12"/>
  <c r="H233" i="12"/>
  <c r="I233" i="12"/>
  <c r="J233" i="12"/>
  <c r="K233" i="12"/>
  <c r="L233" i="12"/>
  <c r="M233" i="12"/>
  <c r="N233" i="12"/>
  <c r="O233" i="12"/>
  <c r="P233" i="12"/>
  <c r="Q233" i="12"/>
  <c r="R233" i="12"/>
  <c r="S233" i="12"/>
  <c r="T233" i="12"/>
  <c r="U233" i="12"/>
  <c r="V233" i="12"/>
  <c r="AA233" i="12"/>
  <c r="AB233" i="12"/>
  <c r="AC233" i="12"/>
  <c r="AD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N233" i="12"/>
  <c r="A234" i="12"/>
  <c r="B234" i="12"/>
  <c r="C234" i="12"/>
  <c r="D234" i="12"/>
  <c r="E234" i="12"/>
  <c r="F234" i="12"/>
  <c r="G234" i="12"/>
  <c r="H234" i="12"/>
  <c r="I234" i="12"/>
  <c r="J234" i="12"/>
  <c r="K234" i="12"/>
  <c r="L234" i="12"/>
  <c r="M234" i="12"/>
  <c r="N234" i="12"/>
  <c r="O234" i="12"/>
  <c r="P234" i="12"/>
  <c r="Q234" i="12"/>
  <c r="R234" i="12"/>
  <c r="S234" i="12"/>
  <c r="T234" i="12"/>
  <c r="U234" i="12"/>
  <c r="V234" i="12"/>
  <c r="AA234" i="12"/>
  <c r="AB234" i="12"/>
  <c r="AC234" i="12"/>
  <c r="AD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W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N234" i="12"/>
  <c r="A235" i="12"/>
  <c r="B235" i="12"/>
  <c r="C235" i="12"/>
  <c r="D235" i="12"/>
  <c r="E235" i="12"/>
  <c r="F235" i="12"/>
  <c r="G235" i="12"/>
  <c r="H235" i="12"/>
  <c r="I235" i="12"/>
  <c r="J235" i="12"/>
  <c r="K235" i="12"/>
  <c r="L235" i="12"/>
  <c r="M235" i="12"/>
  <c r="N235" i="12"/>
  <c r="O235" i="12"/>
  <c r="P235" i="12"/>
  <c r="Q235" i="12"/>
  <c r="R235" i="12"/>
  <c r="S235" i="12"/>
  <c r="T235" i="12"/>
  <c r="U235" i="12"/>
  <c r="V235" i="12"/>
  <c r="AA235" i="12"/>
  <c r="AB235" i="12"/>
  <c r="AC235" i="12"/>
  <c r="AD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W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N235" i="12"/>
  <c r="A236" i="12"/>
  <c r="B236" i="12"/>
  <c r="C236" i="12"/>
  <c r="D236" i="12"/>
  <c r="E236" i="12"/>
  <c r="F236" i="12"/>
  <c r="G236" i="12"/>
  <c r="H236" i="12"/>
  <c r="I236" i="12"/>
  <c r="J236" i="12"/>
  <c r="K236" i="12"/>
  <c r="L236" i="12"/>
  <c r="M236" i="12"/>
  <c r="N236" i="12"/>
  <c r="O236" i="12"/>
  <c r="P236" i="12"/>
  <c r="Q236" i="12"/>
  <c r="R236" i="12"/>
  <c r="S236" i="12"/>
  <c r="T236" i="12"/>
  <c r="U236" i="12"/>
  <c r="V236" i="12"/>
  <c r="AA236" i="12"/>
  <c r="AB236" i="12"/>
  <c r="AC236" i="12"/>
  <c r="AD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W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N236" i="12"/>
  <c r="A237" i="12"/>
  <c r="B237" i="12"/>
  <c r="C237" i="12"/>
  <c r="D237" i="12"/>
  <c r="E237" i="12"/>
  <c r="F237" i="12"/>
  <c r="G237" i="12"/>
  <c r="H237" i="12"/>
  <c r="I237" i="12"/>
  <c r="J237" i="12"/>
  <c r="K237" i="12"/>
  <c r="L237" i="12"/>
  <c r="M237" i="12"/>
  <c r="N237" i="12"/>
  <c r="O237" i="12"/>
  <c r="P237" i="12"/>
  <c r="Q237" i="12"/>
  <c r="R237" i="12"/>
  <c r="S237" i="12"/>
  <c r="T237" i="12"/>
  <c r="U237" i="12"/>
  <c r="V237" i="12"/>
  <c r="AA237" i="12"/>
  <c r="AB237" i="12"/>
  <c r="AC237" i="12"/>
  <c r="AD237" i="12"/>
  <c r="AE237" i="12"/>
  <c r="AF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W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N237" i="12"/>
  <c r="A238" i="12"/>
  <c r="B238" i="12"/>
  <c r="C238" i="12"/>
  <c r="D238" i="12"/>
  <c r="E238" i="12"/>
  <c r="F238" i="12"/>
  <c r="G238" i="12"/>
  <c r="H238" i="12"/>
  <c r="I238" i="12"/>
  <c r="J238" i="12"/>
  <c r="K238" i="12"/>
  <c r="L238" i="12"/>
  <c r="M238" i="12"/>
  <c r="N238" i="12"/>
  <c r="O238" i="12"/>
  <c r="P238" i="12"/>
  <c r="Q238" i="12"/>
  <c r="R238" i="12"/>
  <c r="S238" i="12"/>
  <c r="T238" i="12"/>
  <c r="U238" i="12"/>
  <c r="V238" i="12"/>
  <c r="AA238" i="12"/>
  <c r="AB238" i="12"/>
  <c r="AC238" i="12"/>
  <c r="AD238" i="12"/>
  <c r="AE238" i="12"/>
  <c r="AF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W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N238" i="12"/>
  <c r="A239" i="12"/>
  <c r="B239" i="12"/>
  <c r="C239" i="12"/>
  <c r="D239" i="12"/>
  <c r="E239" i="12"/>
  <c r="F239" i="12"/>
  <c r="G239" i="12"/>
  <c r="H239" i="12"/>
  <c r="I239" i="12"/>
  <c r="J239" i="12"/>
  <c r="K239" i="12"/>
  <c r="L239" i="12"/>
  <c r="M239" i="12"/>
  <c r="N239" i="12"/>
  <c r="O239" i="12"/>
  <c r="P239" i="12"/>
  <c r="Q239" i="12"/>
  <c r="R239" i="12"/>
  <c r="S239" i="12"/>
  <c r="T239" i="12"/>
  <c r="U239" i="12"/>
  <c r="V239" i="12"/>
  <c r="AA239" i="12"/>
  <c r="AB239" i="12"/>
  <c r="AC239" i="12"/>
  <c r="AD239" i="12"/>
  <c r="AE239" i="12"/>
  <c r="AF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W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N239" i="12"/>
  <c r="A240" i="12"/>
  <c r="B240" i="12"/>
  <c r="C240" i="12"/>
  <c r="D240" i="12"/>
  <c r="E240" i="12"/>
  <c r="F240" i="12"/>
  <c r="G240" i="12"/>
  <c r="H240" i="12"/>
  <c r="I240" i="12"/>
  <c r="J240" i="12"/>
  <c r="K240" i="12"/>
  <c r="L240" i="12"/>
  <c r="M240" i="12"/>
  <c r="N240" i="12"/>
  <c r="O240" i="12"/>
  <c r="P240" i="12"/>
  <c r="Q240" i="12"/>
  <c r="R240" i="12"/>
  <c r="S240" i="12"/>
  <c r="T240" i="12"/>
  <c r="U240" i="12"/>
  <c r="V240" i="12"/>
  <c r="AA240" i="12"/>
  <c r="AB240" i="12"/>
  <c r="AC240" i="12"/>
  <c r="AD240" i="12"/>
  <c r="AE240" i="12"/>
  <c r="AF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W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N240" i="12"/>
  <c r="A241" i="12"/>
  <c r="B241" i="12"/>
  <c r="C241" i="12"/>
  <c r="D241" i="12"/>
  <c r="E241" i="12"/>
  <c r="F241" i="12"/>
  <c r="G241" i="12"/>
  <c r="H241" i="12"/>
  <c r="I241" i="12"/>
  <c r="J241" i="12"/>
  <c r="K241" i="12"/>
  <c r="L241" i="12"/>
  <c r="M241" i="12"/>
  <c r="N241" i="12"/>
  <c r="O241" i="12"/>
  <c r="P241" i="12"/>
  <c r="Q241" i="12"/>
  <c r="R241" i="12"/>
  <c r="S241" i="12"/>
  <c r="T241" i="12"/>
  <c r="U241" i="12"/>
  <c r="V241" i="12"/>
  <c r="AA241" i="12"/>
  <c r="AB241" i="12"/>
  <c r="AC241" i="12"/>
  <c r="AD241" i="12"/>
  <c r="AE241" i="12"/>
  <c r="AF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W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N241" i="12"/>
  <c r="A242" i="12"/>
  <c r="B242" i="12"/>
  <c r="C242" i="12"/>
  <c r="D242" i="12"/>
  <c r="E242" i="12"/>
  <c r="F242" i="12"/>
  <c r="G242" i="12"/>
  <c r="H242" i="12"/>
  <c r="I242" i="12"/>
  <c r="J242" i="12"/>
  <c r="K242" i="12"/>
  <c r="L242" i="12"/>
  <c r="M242" i="12"/>
  <c r="N242" i="12"/>
  <c r="O242" i="12"/>
  <c r="P242" i="12"/>
  <c r="Q242" i="12"/>
  <c r="R242" i="12"/>
  <c r="S242" i="12"/>
  <c r="T242" i="12"/>
  <c r="U242" i="12"/>
  <c r="V242" i="12"/>
  <c r="AA242" i="12"/>
  <c r="AB242" i="12"/>
  <c r="AC242" i="12"/>
  <c r="AD242" i="12"/>
  <c r="AE242" i="12"/>
  <c r="AF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W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N242" i="12"/>
  <c r="A243" i="12"/>
  <c r="B243" i="12"/>
  <c r="C243" i="12"/>
  <c r="D243" i="12"/>
  <c r="E243" i="12"/>
  <c r="F243" i="12"/>
  <c r="G243" i="12"/>
  <c r="H243" i="12"/>
  <c r="I243" i="12"/>
  <c r="J243" i="12"/>
  <c r="K243" i="12"/>
  <c r="L243" i="12"/>
  <c r="M243" i="12"/>
  <c r="N243" i="12"/>
  <c r="O243" i="12"/>
  <c r="P243" i="12"/>
  <c r="Q243" i="12"/>
  <c r="R243" i="12"/>
  <c r="S243" i="12"/>
  <c r="T243" i="12"/>
  <c r="U243" i="12"/>
  <c r="V243" i="12"/>
  <c r="AA243" i="12"/>
  <c r="AB243" i="12"/>
  <c r="AC243" i="12"/>
  <c r="AD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N243" i="12"/>
  <c r="A244" i="12"/>
  <c r="B244" i="12"/>
  <c r="C244" i="12"/>
  <c r="D244" i="12"/>
  <c r="E244" i="12"/>
  <c r="F244" i="12"/>
  <c r="G244" i="12"/>
  <c r="H244" i="12"/>
  <c r="I244" i="12"/>
  <c r="J244" i="12"/>
  <c r="K244" i="12"/>
  <c r="L244" i="12"/>
  <c r="M244" i="12"/>
  <c r="N244" i="12"/>
  <c r="O244" i="12"/>
  <c r="P244" i="12"/>
  <c r="Q244" i="12"/>
  <c r="R244" i="12"/>
  <c r="S244" i="12"/>
  <c r="T244" i="12"/>
  <c r="U244" i="12"/>
  <c r="V244" i="12"/>
  <c r="AA244" i="12"/>
  <c r="AB244" i="12"/>
  <c r="AC244" i="12"/>
  <c r="AD244" i="12"/>
  <c r="AE244" i="12"/>
  <c r="AF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W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N244" i="12"/>
  <c r="A245" i="12"/>
  <c r="B245" i="12"/>
  <c r="C245" i="12"/>
  <c r="D245" i="12"/>
  <c r="E245" i="12"/>
  <c r="F245" i="12"/>
  <c r="G245" i="12"/>
  <c r="H245" i="12"/>
  <c r="I245" i="12"/>
  <c r="J245" i="12"/>
  <c r="K245" i="12"/>
  <c r="L245" i="12"/>
  <c r="M245" i="12"/>
  <c r="N245" i="12"/>
  <c r="O245" i="12"/>
  <c r="P245" i="12"/>
  <c r="Q245" i="12"/>
  <c r="R245" i="12"/>
  <c r="S245" i="12"/>
  <c r="T245" i="12"/>
  <c r="U245" i="12"/>
  <c r="V245" i="12"/>
  <c r="AA245" i="12"/>
  <c r="AB245" i="12"/>
  <c r="AC245" i="12"/>
  <c r="AD245" i="12"/>
  <c r="AE245" i="12"/>
  <c r="AF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W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N245" i="12"/>
  <c r="A246" i="12"/>
  <c r="B246" i="12"/>
  <c r="C246" i="12"/>
  <c r="D246" i="12"/>
  <c r="E246" i="12"/>
  <c r="F246" i="12"/>
  <c r="G246" i="12"/>
  <c r="H246" i="12"/>
  <c r="I246" i="12"/>
  <c r="J246" i="12"/>
  <c r="K246" i="12"/>
  <c r="L246" i="12"/>
  <c r="M246" i="12"/>
  <c r="N246" i="12"/>
  <c r="O246" i="12"/>
  <c r="P246" i="12"/>
  <c r="Q246" i="12"/>
  <c r="R246" i="12"/>
  <c r="S246" i="12"/>
  <c r="T246" i="12"/>
  <c r="U246" i="12"/>
  <c r="V246" i="12"/>
  <c r="AA246" i="12"/>
  <c r="AB246" i="12"/>
  <c r="AC246" i="12"/>
  <c r="AD246" i="12"/>
  <c r="AE246" i="12"/>
  <c r="AF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W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N246" i="12"/>
  <c r="A247" i="12"/>
  <c r="B247" i="12"/>
  <c r="C247" i="12"/>
  <c r="D247" i="12"/>
  <c r="E247" i="12"/>
  <c r="F247" i="12"/>
  <c r="G247" i="12"/>
  <c r="H247" i="12"/>
  <c r="I247" i="12"/>
  <c r="J247" i="12"/>
  <c r="K247" i="12"/>
  <c r="L247" i="12"/>
  <c r="M247" i="12"/>
  <c r="N247" i="12"/>
  <c r="O247" i="12"/>
  <c r="P247" i="12"/>
  <c r="Q247" i="12"/>
  <c r="R247" i="12"/>
  <c r="S247" i="12"/>
  <c r="T247" i="12"/>
  <c r="U247" i="12"/>
  <c r="V247" i="12"/>
  <c r="AA247" i="12"/>
  <c r="AB247" i="12"/>
  <c r="AC247" i="12"/>
  <c r="AD247" i="12"/>
  <c r="AE247" i="12"/>
  <c r="AF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W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N247" i="12"/>
  <c r="A248" i="12"/>
  <c r="B248" i="12"/>
  <c r="C248" i="12"/>
  <c r="D248" i="12"/>
  <c r="E248" i="12"/>
  <c r="F248" i="12"/>
  <c r="G248" i="12"/>
  <c r="H248" i="12"/>
  <c r="I248" i="12"/>
  <c r="J248" i="12"/>
  <c r="K248" i="12"/>
  <c r="L248" i="12"/>
  <c r="M248" i="12"/>
  <c r="N248" i="12"/>
  <c r="O248" i="12"/>
  <c r="P248" i="12"/>
  <c r="Q248" i="12"/>
  <c r="R248" i="12"/>
  <c r="S248" i="12"/>
  <c r="T248" i="12"/>
  <c r="U248" i="12"/>
  <c r="V248" i="12"/>
  <c r="AA248" i="12"/>
  <c r="AB248" i="12"/>
  <c r="AC248" i="12"/>
  <c r="AD248" i="12"/>
  <c r="AE248" i="12"/>
  <c r="AF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W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N248" i="12"/>
  <c r="A249" i="12"/>
  <c r="B249" i="12"/>
  <c r="C249" i="12"/>
  <c r="D249" i="12"/>
  <c r="E249" i="12"/>
  <c r="F249" i="12"/>
  <c r="G249" i="12"/>
  <c r="H249" i="12"/>
  <c r="I249" i="12"/>
  <c r="J249" i="12"/>
  <c r="K249" i="12"/>
  <c r="L249" i="12"/>
  <c r="M249" i="12"/>
  <c r="N249" i="12"/>
  <c r="O249" i="12"/>
  <c r="P249" i="12"/>
  <c r="Q249" i="12"/>
  <c r="R249" i="12"/>
  <c r="S249" i="12"/>
  <c r="T249" i="12"/>
  <c r="U249" i="12"/>
  <c r="V249" i="12"/>
  <c r="AA249" i="12"/>
  <c r="AB249" i="12"/>
  <c r="AC249" i="12"/>
  <c r="AD249" i="12"/>
  <c r="AE249" i="12"/>
  <c r="AF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W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N249" i="12"/>
  <c r="A250" i="12"/>
  <c r="B250" i="12"/>
  <c r="C250" i="12"/>
  <c r="D250" i="12"/>
  <c r="E250" i="12"/>
  <c r="F250" i="12"/>
  <c r="G250" i="12"/>
  <c r="H250" i="12"/>
  <c r="I250" i="12"/>
  <c r="J250" i="12"/>
  <c r="K250" i="12"/>
  <c r="L250" i="12"/>
  <c r="M250" i="12"/>
  <c r="N250" i="12"/>
  <c r="O250" i="12"/>
  <c r="P250" i="12"/>
  <c r="Q250" i="12"/>
  <c r="R250" i="12"/>
  <c r="S250" i="12"/>
  <c r="T250" i="12"/>
  <c r="U250" i="12"/>
  <c r="V250" i="12"/>
  <c r="AA250" i="12"/>
  <c r="AB250" i="12"/>
  <c r="AC250" i="12"/>
  <c r="AD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N250" i="12"/>
  <c r="A251" i="12"/>
  <c r="B251" i="12"/>
  <c r="C251" i="12"/>
  <c r="D251" i="12"/>
  <c r="E251" i="12"/>
  <c r="F251" i="12"/>
  <c r="G251" i="12"/>
  <c r="H251" i="12"/>
  <c r="I251" i="12"/>
  <c r="J251" i="12"/>
  <c r="K251" i="12"/>
  <c r="L251" i="12"/>
  <c r="M251" i="12"/>
  <c r="N251" i="12"/>
  <c r="O251" i="12"/>
  <c r="P251" i="12"/>
  <c r="Q251" i="12"/>
  <c r="R251" i="12"/>
  <c r="S251" i="12"/>
  <c r="T251" i="12"/>
  <c r="U251" i="12"/>
  <c r="V251" i="12"/>
  <c r="AA251" i="12"/>
  <c r="AB251" i="12"/>
  <c r="AC251" i="12"/>
  <c r="AD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W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N251" i="12"/>
  <c r="A252" i="12"/>
  <c r="B252" i="12"/>
  <c r="C252" i="12"/>
  <c r="D252" i="12"/>
  <c r="E252" i="12"/>
  <c r="F252" i="12"/>
  <c r="G252" i="12"/>
  <c r="H252" i="12"/>
  <c r="I252" i="12"/>
  <c r="J252" i="12"/>
  <c r="K252" i="12"/>
  <c r="L252" i="12"/>
  <c r="M252" i="12"/>
  <c r="N252" i="12"/>
  <c r="O252" i="12"/>
  <c r="P252" i="12"/>
  <c r="Q252" i="12"/>
  <c r="R252" i="12"/>
  <c r="S252" i="12"/>
  <c r="T252" i="12"/>
  <c r="U252" i="12"/>
  <c r="V252" i="12"/>
  <c r="AA252" i="12"/>
  <c r="AB252" i="12"/>
  <c r="AC252" i="12"/>
  <c r="AD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W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N252" i="12"/>
  <c r="A253" i="12"/>
  <c r="B253" i="12"/>
  <c r="C253" i="12"/>
  <c r="D253" i="12"/>
  <c r="E253" i="12"/>
  <c r="F253" i="12"/>
  <c r="G253" i="12"/>
  <c r="H253" i="12"/>
  <c r="I253" i="12"/>
  <c r="J253" i="12"/>
  <c r="K253" i="12"/>
  <c r="L253" i="12"/>
  <c r="M253" i="12"/>
  <c r="N253" i="12"/>
  <c r="O253" i="12"/>
  <c r="P253" i="12"/>
  <c r="Q253" i="12"/>
  <c r="R253" i="12"/>
  <c r="S253" i="12"/>
  <c r="T253" i="12"/>
  <c r="U253" i="12"/>
  <c r="V253" i="12"/>
  <c r="AA253" i="12"/>
  <c r="AB253" i="12"/>
  <c r="AC253" i="12"/>
  <c r="AD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W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N253" i="12"/>
  <c r="A254" i="12"/>
  <c r="B254" i="12"/>
  <c r="C254" i="12"/>
  <c r="D254" i="12"/>
  <c r="E254" i="12"/>
  <c r="F254" i="12"/>
  <c r="G254" i="12"/>
  <c r="H254" i="12"/>
  <c r="I254" i="12"/>
  <c r="J254" i="12"/>
  <c r="K254" i="12"/>
  <c r="L254" i="12"/>
  <c r="M254" i="12"/>
  <c r="N254" i="12"/>
  <c r="O254" i="12"/>
  <c r="P254" i="12"/>
  <c r="Q254" i="12"/>
  <c r="R254" i="12"/>
  <c r="S254" i="12"/>
  <c r="T254" i="12"/>
  <c r="U254" i="12"/>
  <c r="V254" i="12"/>
  <c r="AA254" i="12"/>
  <c r="AB254" i="12"/>
  <c r="AC254" i="12"/>
  <c r="AD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W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N254" i="12"/>
  <c r="A255" i="12"/>
  <c r="B255" i="12"/>
  <c r="C255" i="12"/>
  <c r="D255" i="12"/>
  <c r="E255" i="12"/>
  <c r="F255" i="12"/>
  <c r="G255" i="12"/>
  <c r="H255" i="12"/>
  <c r="I255" i="12"/>
  <c r="J255" i="12"/>
  <c r="K255" i="12"/>
  <c r="L255" i="12"/>
  <c r="M255" i="12"/>
  <c r="N255" i="12"/>
  <c r="O255" i="12"/>
  <c r="P255" i="12"/>
  <c r="Q255" i="12"/>
  <c r="R255" i="12"/>
  <c r="S255" i="12"/>
  <c r="T255" i="12"/>
  <c r="U255" i="12"/>
  <c r="V255" i="12"/>
  <c r="AA255" i="12"/>
  <c r="AB255" i="12"/>
  <c r="AC255" i="12"/>
  <c r="AD255" i="12"/>
  <c r="AE255" i="12"/>
  <c r="AF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W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N255" i="12"/>
  <c r="A256" i="12"/>
  <c r="B256" i="12"/>
  <c r="C256" i="12"/>
  <c r="D256" i="12"/>
  <c r="E256" i="12"/>
  <c r="F256" i="12"/>
  <c r="G256" i="12"/>
  <c r="H256" i="12"/>
  <c r="I256" i="12"/>
  <c r="J256" i="12"/>
  <c r="K256" i="12"/>
  <c r="L256" i="12"/>
  <c r="M256" i="12"/>
  <c r="N256" i="12"/>
  <c r="O256" i="12"/>
  <c r="P256" i="12"/>
  <c r="Q256" i="12"/>
  <c r="R256" i="12"/>
  <c r="S256" i="12"/>
  <c r="T256" i="12"/>
  <c r="U256" i="12"/>
  <c r="V256" i="12"/>
  <c r="AA256" i="12"/>
  <c r="AB256" i="12"/>
  <c r="AC256" i="12"/>
  <c r="AD256" i="12"/>
  <c r="AE256" i="12"/>
  <c r="AF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W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N256" i="12"/>
  <c r="A257" i="12"/>
  <c r="B257" i="12"/>
  <c r="C257" i="12"/>
  <c r="D257" i="12"/>
  <c r="E257" i="12"/>
  <c r="F257" i="12"/>
  <c r="G257" i="12"/>
  <c r="H257" i="12"/>
  <c r="I257" i="12"/>
  <c r="J257" i="12"/>
  <c r="K257" i="12"/>
  <c r="L257" i="12"/>
  <c r="M257" i="12"/>
  <c r="N257" i="12"/>
  <c r="O257" i="12"/>
  <c r="P257" i="12"/>
  <c r="Q257" i="12"/>
  <c r="R257" i="12"/>
  <c r="S257" i="12"/>
  <c r="T257" i="12"/>
  <c r="U257" i="12"/>
  <c r="V257" i="12"/>
  <c r="AA257" i="12"/>
  <c r="AB257" i="12"/>
  <c r="AC257" i="12"/>
  <c r="AD257" i="12"/>
  <c r="AE257" i="12"/>
  <c r="AF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W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N257" i="12"/>
  <c r="A258" i="12"/>
  <c r="B258" i="12"/>
  <c r="C258" i="12"/>
  <c r="D258" i="12"/>
  <c r="E258" i="12"/>
  <c r="F258" i="12"/>
  <c r="G258" i="12"/>
  <c r="H258" i="12"/>
  <c r="I258" i="12"/>
  <c r="J258" i="12"/>
  <c r="K258" i="12"/>
  <c r="L258" i="12"/>
  <c r="M258" i="12"/>
  <c r="N258" i="12"/>
  <c r="O258" i="12"/>
  <c r="P258" i="12"/>
  <c r="Q258" i="12"/>
  <c r="R258" i="12"/>
  <c r="S258" i="12"/>
  <c r="T258" i="12"/>
  <c r="U258" i="12"/>
  <c r="V258" i="12"/>
  <c r="AA258" i="12"/>
  <c r="AB258" i="12"/>
  <c r="AC258" i="12"/>
  <c r="AD258" i="12"/>
  <c r="AE258" i="12"/>
  <c r="AF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W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N258" i="12"/>
  <c r="A259" i="12"/>
  <c r="B259" i="12"/>
  <c r="C259" i="12"/>
  <c r="D259" i="12"/>
  <c r="E259" i="12"/>
  <c r="F259" i="12"/>
  <c r="G259" i="12"/>
  <c r="H259" i="12"/>
  <c r="I259" i="12"/>
  <c r="J259" i="12"/>
  <c r="K259" i="12"/>
  <c r="L259" i="12"/>
  <c r="M259" i="12"/>
  <c r="N259" i="12"/>
  <c r="O259" i="12"/>
  <c r="P259" i="12"/>
  <c r="Q259" i="12"/>
  <c r="R259" i="12"/>
  <c r="S259" i="12"/>
  <c r="T259" i="12"/>
  <c r="U259" i="12"/>
  <c r="V259" i="12"/>
  <c r="AA259" i="12"/>
  <c r="AB259" i="12"/>
  <c r="AC259" i="12"/>
  <c r="AD259" i="12"/>
  <c r="AE259" i="12"/>
  <c r="AF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W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N259" i="12"/>
  <c r="A260" i="12"/>
  <c r="B260" i="12"/>
  <c r="C260" i="12"/>
  <c r="D260" i="12"/>
  <c r="E260" i="12"/>
  <c r="F260" i="12"/>
  <c r="G260" i="12"/>
  <c r="H260" i="12"/>
  <c r="I260" i="12"/>
  <c r="J260" i="12"/>
  <c r="K260" i="12"/>
  <c r="L260" i="12"/>
  <c r="M260" i="12"/>
  <c r="N260" i="12"/>
  <c r="O260" i="12"/>
  <c r="P260" i="12"/>
  <c r="Q260" i="12"/>
  <c r="R260" i="12"/>
  <c r="S260" i="12"/>
  <c r="T260" i="12"/>
  <c r="U260" i="12"/>
  <c r="V260" i="12"/>
  <c r="AA260" i="12"/>
  <c r="AB260" i="12"/>
  <c r="AC260" i="12"/>
  <c r="AD260" i="12"/>
  <c r="AE260" i="12"/>
  <c r="AF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W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N260" i="12"/>
  <c r="A261" i="12"/>
  <c r="B261" i="12"/>
  <c r="C261" i="12"/>
  <c r="D261" i="12"/>
  <c r="E261" i="12"/>
  <c r="F261" i="12"/>
  <c r="G261" i="12"/>
  <c r="H261" i="12"/>
  <c r="I261" i="12"/>
  <c r="J261" i="12"/>
  <c r="K261" i="12"/>
  <c r="L261" i="12"/>
  <c r="M261" i="12"/>
  <c r="N261" i="12"/>
  <c r="O261" i="12"/>
  <c r="P261" i="12"/>
  <c r="Q261" i="12"/>
  <c r="R261" i="12"/>
  <c r="S261" i="12"/>
  <c r="T261" i="12"/>
  <c r="U261" i="12"/>
  <c r="V261" i="12"/>
  <c r="AA261" i="12"/>
  <c r="AB261" i="12"/>
  <c r="AC261" i="12"/>
  <c r="AD261" i="12"/>
  <c r="AE261" i="12"/>
  <c r="AF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W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N261" i="12"/>
  <c r="A262" i="12"/>
  <c r="B262" i="12"/>
  <c r="C262" i="12"/>
  <c r="D262" i="12"/>
  <c r="E262" i="12"/>
  <c r="F262" i="12"/>
  <c r="G262" i="12"/>
  <c r="H262" i="12"/>
  <c r="I262" i="12"/>
  <c r="J262" i="12"/>
  <c r="K262" i="12"/>
  <c r="L262" i="12"/>
  <c r="M262" i="12"/>
  <c r="N262" i="12"/>
  <c r="O262" i="12"/>
  <c r="P262" i="12"/>
  <c r="Q262" i="12"/>
  <c r="R262" i="12"/>
  <c r="S262" i="12"/>
  <c r="T262" i="12"/>
  <c r="U262" i="12"/>
  <c r="V262" i="12"/>
  <c r="AA262" i="12"/>
  <c r="AB262" i="12"/>
  <c r="AC262" i="12"/>
  <c r="AD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W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N262" i="12"/>
  <c r="A263" i="12"/>
  <c r="B263" i="12"/>
  <c r="C263" i="12"/>
  <c r="D263" i="12"/>
  <c r="E263" i="12"/>
  <c r="F263" i="12"/>
  <c r="G263" i="12"/>
  <c r="H263" i="12"/>
  <c r="I263" i="12"/>
  <c r="J263" i="12"/>
  <c r="K263" i="12"/>
  <c r="L263" i="12"/>
  <c r="M263" i="12"/>
  <c r="N263" i="12"/>
  <c r="O263" i="12"/>
  <c r="P263" i="12"/>
  <c r="Q263" i="12"/>
  <c r="R263" i="12"/>
  <c r="S263" i="12"/>
  <c r="T263" i="12"/>
  <c r="U263" i="12"/>
  <c r="V263" i="12"/>
  <c r="AA263" i="12"/>
  <c r="AB263" i="12"/>
  <c r="AC263" i="12"/>
  <c r="AD263" i="12"/>
  <c r="AE263" i="12"/>
  <c r="AF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W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N263" i="12"/>
  <c r="A264" i="12"/>
  <c r="B264" i="12"/>
  <c r="C264" i="12"/>
  <c r="D264" i="12"/>
  <c r="E264" i="12"/>
  <c r="F264" i="12"/>
  <c r="G264" i="12"/>
  <c r="H264" i="12"/>
  <c r="I264" i="12"/>
  <c r="J264" i="12"/>
  <c r="K264" i="12"/>
  <c r="L264" i="12"/>
  <c r="M264" i="12"/>
  <c r="N264" i="12"/>
  <c r="O264" i="12"/>
  <c r="P264" i="12"/>
  <c r="Q264" i="12"/>
  <c r="R264" i="12"/>
  <c r="S264" i="12"/>
  <c r="T264" i="12"/>
  <c r="U264" i="12"/>
  <c r="V264" i="12"/>
  <c r="AA264" i="12"/>
  <c r="AB264" i="12"/>
  <c r="AC264" i="12"/>
  <c r="AD264" i="12"/>
  <c r="AE264" i="12"/>
  <c r="AF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W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N264" i="12"/>
  <c r="A265" i="12"/>
  <c r="B265" i="12"/>
  <c r="C265" i="12"/>
  <c r="D265" i="12"/>
  <c r="E265" i="12"/>
  <c r="F265" i="12"/>
  <c r="G265" i="12"/>
  <c r="H265" i="12"/>
  <c r="I265" i="12"/>
  <c r="J265" i="12"/>
  <c r="K265" i="12"/>
  <c r="L265" i="12"/>
  <c r="M265" i="12"/>
  <c r="N265" i="12"/>
  <c r="O265" i="12"/>
  <c r="P265" i="12"/>
  <c r="Q265" i="12"/>
  <c r="R265" i="12"/>
  <c r="S265" i="12"/>
  <c r="T265" i="12"/>
  <c r="U265" i="12"/>
  <c r="V265" i="12"/>
  <c r="AA265" i="12"/>
  <c r="AB265" i="12"/>
  <c r="AC265" i="12"/>
  <c r="AD265" i="12"/>
  <c r="AE265" i="12"/>
  <c r="AF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W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N265" i="12"/>
  <c r="A266" i="12"/>
  <c r="B266" i="12"/>
  <c r="C266" i="12"/>
  <c r="D266" i="12"/>
  <c r="E266" i="12"/>
  <c r="F266" i="12"/>
  <c r="G266" i="12"/>
  <c r="H266" i="12"/>
  <c r="I266" i="12"/>
  <c r="J266" i="12"/>
  <c r="K266" i="12"/>
  <c r="L266" i="12"/>
  <c r="M266" i="12"/>
  <c r="N266" i="12"/>
  <c r="O266" i="12"/>
  <c r="P266" i="12"/>
  <c r="Q266" i="12"/>
  <c r="R266" i="12"/>
  <c r="S266" i="12"/>
  <c r="T266" i="12"/>
  <c r="U266" i="12"/>
  <c r="V266" i="12"/>
  <c r="AA266" i="12"/>
  <c r="AB266" i="12"/>
  <c r="AC266" i="12"/>
  <c r="AD266" i="12"/>
  <c r="AE266" i="12"/>
  <c r="AF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W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N266" i="12"/>
  <c r="A267" i="12"/>
  <c r="B267" i="12"/>
  <c r="C267" i="12"/>
  <c r="D267" i="12"/>
  <c r="E267" i="12"/>
  <c r="F267" i="12"/>
  <c r="G267" i="12"/>
  <c r="H267" i="12"/>
  <c r="I267" i="12"/>
  <c r="J267" i="12"/>
  <c r="K267" i="12"/>
  <c r="L267" i="12"/>
  <c r="M267" i="12"/>
  <c r="N267" i="12"/>
  <c r="O267" i="12"/>
  <c r="P267" i="12"/>
  <c r="Q267" i="12"/>
  <c r="R267" i="12"/>
  <c r="S267" i="12"/>
  <c r="T267" i="12"/>
  <c r="U267" i="12"/>
  <c r="V267" i="12"/>
  <c r="AA267" i="12"/>
  <c r="AB267" i="12"/>
  <c r="AC267" i="12"/>
  <c r="AD267" i="12"/>
  <c r="AE267" i="12"/>
  <c r="AF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W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N267" i="12"/>
  <c r="A268" i="12"/>
  <c r="B268" i="12"/>
  <c r="C268" i="12"/>
  <c r="D268" i="12"/>
  <c r="E268" i="12"/>
  <c r="F268" i="12"/>
  <c r="G268" i="12"/>
  <c r="H268" i="12"/>
  <c r="I268" i="12"/>
  <c r="J268" i="12"/>
  <c r="K268" i="12"/>
  <c r="L268" i="12"/>
  <c r="M268" i="12"/>
  <c r="N268" i="12"/>
  <c r="O268" i="12"/>
  <c r="P268" i="12"/>
  <c r="Q268" i="12"/>
  <c r="R268" i="12"/>
  <c r="S268" i="12"/>
  <c r="T268" i="12"/>
  <c r="U268" i="12"/>
  <c r="V268" i="12"/>
  <c r="AA268" i="12"/>
  <c r="AB268" i="12"/>
  <c r="AC268" i="12"/>
  <c r="AD268" i="12"/>
  <c r="AE268" i="12"/>
  <c r="AF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W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N268" i="12"/>
  <c r="A269" i="12"/>
  <c r="B269" i="12"/>
  <c r="C269" i="12"/>
  <c r="D269" i="12"/>
  <c r="E269" i="12"/>
  <c r="F269" i="12"/>
  <c r="G269" i="12"/>
  <c r="H269" i="12"/>
  <c r="I269" i="12"/>
  <c r="J269" i="12"/>
  <c r="K269" i="12"/>
  <c r="L269" i="12"/>
  <c r="M269" i="12"/>
  <c r="N269" i="12"/>
  <c r="O269" i="12"/>
  <c r="P269" i="12"/>
  <c r="Q269" i="12"/>
  <c r="R269" i="12"/>
  <c r="S269" i="12"/>
  <c r="T269" i="12"/>
  <c r="U269" i="12"/>
  <c r="V269" i="12"/>
  <c r="AA269" i="12"/>
  <c r="AB269" i="12"/>
  <c r="AC269" i="12"/>
  <c r="AD269" i="12"/>
  <c r="AE269" i="12"/>
  <c r="AF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W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N269" i="12"/>
  <c r="A270" i="12"/>
  <c r="B270" i="12"/>
  <c r="C270" i="12"/>
  <c r="D270" i="12"/>
  <c r="E270" i="12"/>
  <c r="F270" i="12"/>
  <c r="G270" i="12"/>
  <c r="H270" i="12"/>
  <c r="I270" i="12"/>
  <c r="J270" i="12"/>
  <c r="K270" i="12"/>
  <c r="L270" i="12"/>
  <c r="M270" i="12"/>
  <c r="N270" i="12"/>
  <c r="O270" i="12"/>
  <c r="P270" i="12"/>
  <c r="Q270" i="12"/>
  <c r="R270" i="12"/>
  <c r="S270" i="12"/>
  <c r="T270" i="12"/>
  <c r="U270" i="12"/>
  <c r="V270" i="12"/>
  <c r="AA270" i="12"/>
  <c r="AB270" i="12"/>
  <c r="AC270" i="12"/>
  <c r="AD270" i="12"/>
  <c r="AE270" i="12"/>
  <c r="AF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W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N270" i="12"/>
  <c r="A271" i="12"/>
  <c r="B271" i="12"/>
  <c r="C271" i="12"/>
  <c r="D271" i="12"/>
  <c r="E271" i="12"/>
  <c r="F271" i="12"/>
  <c r="G271" i="12"/>
  <c r="H271" i="12"/>
  <c r="I271" i="12"/>
  <c r="J271" i="12"/>
  <c r="K271" i="12"/>
  <c r="L271" i="12"/>
  <c r="M271" i="12"/>
  <c r="N271" i="12"/>
  <c r="O271" i="12"/>
  <c r="P271" i="12"/>
  <c r="Q271" i="12"/>
  <c r="R271" i="12"/>
  <c r="S271" i="12"/>
  <c r="T271" i="12"/>
  <c r="U271" i="12"/>
  <c r="V271" i="12"/>
  <c r="AA271" i="12"/>
  <c r="AB271" i="12"/>
  <c r="AC271" i="12"/>
  <c r="AD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N271" i="12"/>
  <c r="A272" i="12"/>
  <c r="B272" i="12"/>
  <c r="C272" i="12"/>
  <c r="D272" i="12"/>
  <c r="E272" i="12"/>
  <c r="F272" i="12"/>
  <c r="G272" i="12"/>
  <c r="H272" i="12"/>
  <c r="I272" i="12"/>
  <c r="J272" i="12"/>
  <c r="K272" i="12"/>
  <c r="L272" i="12"/>
  <c r="M272" i="12"/>
  <c r="N272" i="12"/>
  <c r="O272" i="12"/>
  <c r="P272" i="12"/>
  <c r="Q272" i="12"/>
  <c r="R272" i="12"/>
  <c r="S272" i="12"/>
  <c r="T272" i="12"/>
  <c r="U272" i="12"/>
  <c r="V272" i="12"/>
  <c r="AA272" i="12"/>
  <c r="AB272" i="12"/>
  <c r="AC272" i="12"/>
  <c r="AD272" i="12"/>
  <c r="AE272" i="12"/>
  <c r="AF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W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N272" i="12"/>
  <c r="A273" i="12"/>
  <c r="B273" i="12"/>
  <c r="C273" i="12"/>
  <c r="D273" i="12"/>
  <c r="E273" i="12"/>
  <c r="F273" i="12"/>
  <c r="G273" i="12"/>
  <c r="H273" i="12"/>
  <c r="I273" i="12"/>
  <c r="J273" i="12"/>
  <c r="K273" i="12"/>
  <c r="L273" i="12"/>
  <c r="M273" i="12"/>
  <c r="N273" i="12"/>
  <c r="O273" i="12"/>
  <c r="P273" i="12"/>
  <c r="Q273" i="12"/>
  <c r="R273" i="12"/>
  <c r="S273" i="12"/>
  <c r="T273" i="12"/>
  <c r="U273" i="12"/>
  <c r="V273" i="12"/>
  <c r="AA273" i="12"/>
  <c r="AB273" i="12"/>
  <c r="AC273" i="12"/>
  <c r="AD273" i="12"/>
  <c r="AE273" i="12"/>
  <c r="AF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W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N273" i="12"/>
  <c r="A274" i="12"/>
  <c r="B274" i="12"/>
  <c r="C274" i="12"/>
  <c r="D274" i="12"/>
  <c r="E274" i="12"/>
  <c r="F274" i="12"/>
  <c r="G274" i="12"/>
  <c r="H274" i="12"/>
  <c r="I274" i="12"/>
  <c r="J274" i="12"/>
  <c r="K274" i="12"/>
  <c r="L274" i="12"/>
  <c r="M274" i="12"/>
  <c r="N274" i="12"/>
  <c r="O274" i="12"/>
  <c r="P274" i="12"/>
  <c r="Q274" i="12"/>
  <c r="R274" i="12"/>
  <c r="S274" i="12"/>
  <c r="T274" i="12"/>
  <c r="U274" i="12"/>
  <c r="V274" i="12"/>
  <c r="AA274" i="12"/>
  <c r="AB274" i="12"/>
  <c r="AC274" i="12"/>
  <c r="AD274" i="12"/>
  <c r="AE274" i="12"/>
  <c r="AF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W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N274" i="12"/>
  <c r="A275" i="12"/>
  <c r="B275" i="12"/>
  <c r="C275" i="12"/>
  <c r="D275" i="12"/>
  <c r="E275" i="12"/>
  <c r="F275" i="12"/>
  <c r="G275" i="12"/>
  <c r="H275" i="12"/>
  <c r="I275" i="12"/>
  <c r="J275" i="12"/>
  <c r="K275" i="12"/>
  <c r="L275" i="12"/>
  <c r="M275" i="12"/>
  <c r="N275" i="12"/>
  <c r="O275" i="12"/>
  <c r="P275" i="12"/>
  <c r="Q275" i="12"/>
  <c r="R275" i="12"/>
  <c r="S275" i="12"/>
  <c r="T275" i="12"/>
  <c r="U275" i="12"/>
  <c r="V275" i="12"/>
  <c r="AA275" i="12"/>
  <c r="AB275" i="12"/>
  <c r="AC275" i="12"/>
  <c r="AD275" i="12"/>
  <c r="AE275" i="12"/>
  <c r="AF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U275" i="12"/>
  <c r="AV275" i="12"/>
  <c r="AW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L275" i="12"/>
  <c r="BM275" i="12"/>
  <c r="BN275" i="12"/>
  <c r="A276" i="12"/>
  <c r="B276" i="12"/>
  <c r="C276" i="12"/>
  <c r="D276" i="12"/>
  <c r="E276" i="12"/>
  <c r="F276" i="12"/>
  <c r="G276" i="12"/>
  <c r="H276" i="12"/>
  <c r="I276" i="12"/>
  <c r="J276" i="12"/>
  <c r="K276" i="12"/>
  <c r="L276" i="12"/>
  <c r="M276" i="12"/>
  <c r="N276" i="12"/>
  <c r="O276" i="12"/>
  <c r="P276" i="12"/>
  <c r="Q276" i="12"/>
  <c r="R276" i="12"/>
  <c r="S276" i="12"/>
  <c r="T276" i="12"/>
  <c r="U276" i="12"/>
  <c r="V276" i="12"/>
  <c r="AA276" i="12"/>
  <c r="AB276" i="12"/>
  <c r="AC276" i="12"/>
  <c r="AD276" i="12"/>
  <c r="AE276" i="12"/>
  <c r="AF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U276" i="12"/>
  <c r="AV276" i="12"/>
  <c r="AW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L276" i="12"/>
  <c r="BM276" i="12"/>
  <c r="BN276" i="12"/>
  <c r="A277" i="12"/>
  <c r="B277" i="12"/>
  <c r="C277" i="12"/>
  <c r="D277" i="12"/>
  <c r="E277" i="12"/>
  <c r="F277" i="12"/>
  <c r="G277" i="12"/>
  <c r="H277" i="12"/>
  <c r="I277" i="12"/>
  <c r="J277" i="12"/>
  <c r="K277" i="12"/>
  <c r="L277" i="12"/>
  <c r="M277" i="12"/>
  <c r="N277" i="12"/>
  <c r="O277" i="12"/>
  <c r="P277" i="12"/>
  <c r="Q277" i="12"/>
  <c r="R277" i="12"/>
  <c r="S277" i="12"/>
  <c r="T277" i="12"/>
  <c r="U277" i="12"/>
  <c r="V277" i="12"/>
  <c r="AA277" i="12"/>
  <c r="AB277" i="12"/>
  <c r="AC277" i="12"/>
  <c r="AD277" i="12"/>
  <c r="AE277" i="12"/>
  <c r="AF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U277" i="12"/>
  <c r="AV277" i="12"/>
  <c r="AW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L277" i="12"/>
  <c r="BM277" i="12"/>
  <c r="BN277" i="12"/>
  <c r="A278" i="12"/>
  <c r="B278" i="12"/>
  <c r="C278" i="12"/>
  <c r="D278" i="12"/>
  <c r="E278" i="12"/>
  <c r="F278" i="12"/>
  <c r="G278" i="12"/>
  <c r="H278" i="12"/>
  <c r="I278" i="12"/>
  <c r="J278" i="12"/>
  <c r="K278" i="12"/>
  <c r="L278" i="12"/>
  <c r="M278" i="12"/>
  <c r="N278" i="12"/>
  <c r="O278" i="12"/>
  <c r="P278" i="12"/>
  <c r="Q278" i="12"/>
  <c r="R278" i="12"/>
  <c r="S278" i="12"/>
  <c r="T278" i="12"/>
  <c r="U278" i="12"/>
  <c r="V278" i="12"/>
  <c r="AA278" i="12"/>
  <c r="AB278" i="12"/>
  <c r="AC278" i="12"/>
  <c r="AD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U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L278" i="12"/>
  <c r="BM278" i="12"/>
  <c r="BN278" i="12"/>
  <c r="A279" i="12"/>
  <c r="B279" i="12"/>
  <c r="C279" i="12"/>
  <c r="D279" i="12"/>
  <c r="E279" i="12"/>
  <c r="F279" i="12"/>
  <c r="G279" i="12"/>
  <c r="H279" i="12"/>
  <c r="I279" i="12"/>
  <c r="J279" i="12"/>
  <c r="K279" i="12"/>
  <c r="L279" i="12"/>
  <c r="M279" i="12"/>
  <c r="N279" i="12"/>
  <c r="O279" i="12"/>
  <c r="P279" i="12"/>
  <c r="Q279" i="12"/>
  <c r="R279" i="12"/>
  <c r="S279" i="12"/>
  <c r="T279" i="12"/>
  <c r="U279" i="12"/>
  <c r="V279" i="12"/>
  <c r="AA279" i="12"/>
  <c r="AB279" i="12"/>
  <c r="AC279" i="12"/>
  <c r="AD279" i="12"/>
  <c r="AE279" i="12"/>
  <c r="AF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U279" i="12"/>
  <c r="AV279" i="12"/>
  <c r="AW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L279" i="12"/>
  <c r="BM279" i="12"/>
  <c r="BN279" i="12"/>
  <c r="A280" i="12"/>
  <c r="B280" i="12"/>
  <c r="C280" i="12"/>
  <c r="D280" i="12"/>
  <c r="E280" i="12"/>
  <c r="F280" i="12"/>
  <c r="G280" i="12"/>
  <c r="H280" i="12"/>
  <c r="I280" i="12"/>
  <c r="J280" i="12"/>
  <c r="K280" i="12"/>
  <c r="L280" i="12"/>
  <c r="M280" i="12"/>
  <c r="N280" i="12"/>
  <c r="O280" i="12"/>
  <c r="P280" i="12"/>
  <c r="Q280" i="12"/>
  <c r="R280" i="12"/>
  <c r="S280" i="12"/>
  <c r="T280" i="12"/>
  <c r="U280" i="12"/>
  <c r="V280" i="12"/>
  <c r="AA280" i="12"/>
  <c r="AB280" i="12"/>
  <c r="AC280" i="12"/>
  <c r="AD280" i="12"/>
  <c r="AE280" i="12"/>
  <c r="AF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U280" i="12"/>
  <c r="AV280" i="12"/>
  <c r="AW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L280" i="12"/>
  <c r="BM280" i="12"/>
  <c r="BN280" i="12"/>
  <c r="A281" i="12"/>
  <c r="B281" i="12"/>
  <c r="C281" i="12"/>
  <c r="D281" i="12"/>
  <c r="E281" i="12"/>
  <c r="F281" i="12"/>
  <c r="G281" i="12"/>
  <c r="H281" i="12"/>
  <c r="I281" i="12"/>
  <c r="J281" i="12"/>
  <c r="K281" i="12"/>
  <c r="L281" i="12"/>
  <c r="M281" i="12"/>
  <c r="N281" i="12"/>
  <c r="O281" i="12"/>
  <c r="P281" i="12"/>
  <c r="Q281" i="12"/>
  <c r="R281" i="12"/>
  <c r="S281" i="12"/>
  <c r="T281" i="12"/>
  <c r="U281" i="12"/>
  <c r="V281" i="12"/>
  <c r="AA281" i="12"/>
  <c r="AB281" i="12"/>
  <c r="AC281" i="12"/>
  <c r="AD281" i="12"/>
  <c r="AE281" i="12"/>
  <c r="AF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U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L281" i="12"/>
  <c r="BM281" i="12"/>
  <c r="BN281" i="12"/>
  <c r="A282" i="12"/>
  <c r="B282" i="12"/>
  <c r="C282" i="12"/>
  <c r="D282" i="12"/>
  <c r="E282" i="12"/>
  <c r="F282" i="12"/>
  <c r="G282" i="12"/>
  <c r="H282" i="12"/>
  <c r="I282" i="12"/>
  <c r="J282" i="12"/>
  <c r="K282" i="12"/>
  <c r="L282" i="12"/>
  <c r="M282" i="12"/>
  <c r="N282" i="12"/>
  <c r="O282" i="12"/>
  <c r="P282" i="12"/>
  <c r="Q282" i="12"/>
  <c r="R282" i="12"/>
  <c r="S282" i="12"/>
  <c r="T282" i="12"/>
  <c r="U282" i="12"/>
  <c r="V282" i="12"/>
  <c r="AA282" i="12"/>
  <c r="AB282" i="12"/>
  <c r="AC282" i="12"/>
  <c r="AD282" i="12"/>
  <c r="AE282" i="12"/>
  <c r="AF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U282" i="12"/>
  <c r="AV282" i="12"/>
  <c r="AW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L282" i="12"/>
  <c r="BM282" i="12"/>
  <c r="BN282" i="12"/>
  <c r="A283" i="12"/>
  <c r="B283" i="12"/>
  <c r="C283" i="12"/>
  <c r="D283" i="12"/>
  <c r="E283" i="12"/>
  <c r="F283" i="12"/>
  <c r="G283" i="12"/>
  <c r="H283" i="12"/>
  <c r="I283" i="12"/>
  <c r="J283" i="12"/>
  <c r="K283" i="12"/>
  <c r="L283" i="12"/>
  <c r="M283" i="12"/>
  <c r="N283" i="12"/>
  <c r="O283" i="12"/>
  <c r="P283" i="12"/>
  <c r="Q283" i="12"/>
  <c r="R283" i="12"/>
  <c r="S283" i="12"/>
  <c r="T283" i="12"/>
  <c r="U283" i="12"/>
  <c r="V283" i="12"/>
  <c r="AA283" i="12"/>
  <c r="AB283" i="12"/>
  <c r="AC283" i="12"/>
  <c r="AD283" i="12"/>
  <c r="AE283" i="12"/>
  <c r="AF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U283" i="12"/>
  <c r="AV283" i="12"/>
  <c r="AW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L283" i="12"/>
  <c r="BM283" i="12"/>
  <c r="BN283" i="12"/>
  <c r="A284" i="12"/>
  <c r="B284" i="12"/>
  <c r="C284" i="12"/>
  <c r="D284" i="12"/>
  <c r="E284" i="12"/>
  <c r="F284" i="12"/>
  <c r="G284" i="12"/>
  <c r="H284" i="12"/>
  <c r="I284" i="12"/>
  <c r="J284" i="12"/>
  <c r="K284" i="12"/>
  <c r="L284" i="12"/>
  <c r="M284" i="12"/>
  <c r="N284" i="12"/>
  <c r="O284" i="12"/>
  <c r="P284" i="12"/>
  <c r="Q284" i="12"/>
  <c r="R284" i="12"/>
  <c r="S284" i="12"/>
  <c r="T284" i="12"/>
  <c r="U284" i="12"/>
  <c r="V284" i="12"/>
  <c r="AA284" i="12"/>
  <c r="AB284" i="12"/>
  <c r="AC284" i="12"/>
  <c r="AD284" i="12"/>
  <c r="AE284" i="12"/>
  <c r="AF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U284" i="12"/>
  <c r="AV284" i="12"/>
  <c r="AW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L284" i="12"/>
  <c r="BM284" i="12"/>
  <c r="BN284" i="12"/>
  <c r="A285" i="12"/>
  <c r="B285" i="12"/>
  <c r="C285" i="12"/>
  <c r="D285" i="12"/>
  <c r="E285" i="12"/>
  <c r="F285" i="12"/>
  <c r="G285" i="12"/>
  <c r="H285" i="12"/>
  <c r="I285" i="12"/>
  <c r="J285" i="12"/>
  <c r="K285" i="12"/>
  <c r="L285" i="12"/>
  <c r="M285" i="12"/>
  <c r="N285" i="12"/>
  <c r="O285" i="12"/>
  <c r="P285" i="12"/>
  <c r="Q285" i="12"/>
  <c r="R285" i="12"/>
  <c r="S285" i="12"/>
  <c r="T285" i="12"/>
  <c r="U285" i="12"/>
  <c r="V285" i="12"/>
  <c r="AA285" i="12"/>
  <c r="AB285" i="12"/>
  <c r="AC285" i="12"/>
  <c r="AD285" i="12"/>
  <c r="AE285" i="12"/>
  <c r="AF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U285" i="12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L285" i="12"/>
  <c r="BM285" i="12"/>
  <c r="BN285" i="12"/>
  <c r="A286" i="12"/>
  <c r="B286" i="12"/>
  <c r="C286" i="12"/>
  <c r="D286" i="12"/>
  <c r="E286" i="12"/>
  <c r="F286" i="12"/>
  <c r="G286" i="12"/>
  <c r="H286" i="12"/>
  <c r="I286" i="12"/>
  <c r="J286" i="12"/>
  <c r="K286" i="12"/>
  <c r="L286" i="12"/>
  <c r="M286" i="12"/>
  <c r="N286" i="12"/>
  <c r="O286" i="12"/>
  <c r="P286" i="12"/>
  <c r="Q286" i="12"/>
  <c r="R286" i="12"/>
  <c r="S286" i="12"/>
  <c r="T286" i="12"/>
  <c r="U286" i="12"/>
  <c r="V286" i="12"/>
  <c r="AA286" i="12"/>
  <c r="AB286" i="12"/>
  <c r="AC286" i="12"/>
  <c r="AD286" i="12"/>
  <c r="AE286" i="12"/>
  <c r="AF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U286" i="12"/>
  <c r="AV286" i="12"/>
  <c r="AW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L286" i="12"/>
  <c r="BM286" i="12"/>
  <c r="BN286" i="12"/>
  <c r="A287" i="12"/>
  <c r="B287" i="12"/>
  <c r="C287" i="12"/>
  <c r="D287" i="12"/>
  <c r="E287" i="12"/>
  <c r="F287" i="12"/>
  <c r="G287" i="12"/>
  <c r="H287" i="12"/>
  <c r="I287" i="12"/>
  <c r="J287" i="12"/>
  <c r="K287" i="12"/>
  <c r="L287" i="12"/>
  <c r="M287" i="12"/>
  <c r="N287" i="12"/>
  <c r="O287" i="12"/>
  <c r="P287" i="12"/>
  <c r="Q287" i="12"/>
  <c r="R287" i="12"/>
  <c r="S287" i="12"/>
  <c r="T287" i="12"/>
  <c r="U287" i="12"/>
  <c r="V287" i="12"/>
  <c r="AA287" i="12"/>
  <c r="AB287" i="12"/>
  <c r="AC287" i="12"/>
  <c r="AD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U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L287" i="12"/>
  <c r="BM287" i="12"/>
  <c r="BN287" i="12"/>
  <c r="A288" i="12"/>
  <c r="B288" i="12"/>
  <c r="C288" i="12"/>
  <c r="D288" i="12"/>
  <c r="E288" i="12"/>
  <c r="F288" i="12"/>
  <c r="G288" i="12"/>
  <c r="H288" i="12"/>
  <c r="I288" i="12"/>
  <c r="J288" i="12"/>
  <c r="K288" i="12"/>
  <c r="L288" i="12"/>
  <c r="M288" i="12"/>
  <c r="N288" i="12"/>
  <c r="O288" i="12"/>
  <c r="P288" i="12"/>
  <c r="Q288" i="12"/>
  <c r="R288" i="12"/>
  <c r="S288" i="12"/>
  <c r="T288" i="12"/>
  <c r="U288" i="12"/>
  <c r="V288" i="12"/>
  <c r="AA288" i="12"/>
  <c r="AB288" i="12"/>
  <c r="AC288" i="12"/>
  <c r="AD288" i="12"/>
  <c r="AE288" i="12"/>
  <c r="AF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U288" i="12"/>
  <c r="AV288" i="12"/>
  <c r="AW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L288" i="12"/>
  <c r="BM288" i="12"/>
  <c r="BN288" i="12"/>
  <c r="A289" i="12"/>
  <c r="B289" i="12"/>
  <c r="C289" i="12"/>
  <c r="D289" i="12"/>
  <c r="E289" i="12"/>
  <c r="F289" i="12"/>
  <c r="G289" i="12"/>
  <c r="H289" i="12"/>
  <c r="I289" i="12"/>
  <c r="J289" i="12"/>
  <c r="K289" i="12"/>
  <c r="L289" i="12"/>
  <c r="M289" i="12"/>
  <c r="N289" i="12"/>
  <c r="O289" i="12"/>
  <c r="P289" i="12"/>
  <c r="Q289" i="12"/>
  <c r="R289" i="12"/>
  <c r="S289" i="12"/>
  <c r="T289" i="12"/>
  <c r="U289" i="12"/>
  <c r="V289" i="12"/>
  <c r="AA289" i="12"/>
  <c r="AB289" i="12"/>
  <c r="AC289" i="12"/>
  <c r="AD289" i="12"/>
  <c r="AE289" i="12"/>
  <c r="AF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U289" i="12"/>
  <c r="AV289" i="12"/>
  <c r="AW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L289" i="12"/>
  <c r="BM289" i="12"/>
  <c r="BN289" i="12"/>
  <c r="A290" i="12"/>
  <c r="B290" i="12"/>
  <c r="C290" i="12"/>
  <c r="D290" i="12"/>
  <c r="E290" i="12"/>
  <c r="F290" i="12"/>
  <c r="G290" i="12"/>
  <c r="H290" i="12"/>
  <c r="I290" i="12"/>
  <c r="J290" i="12"/>
  <c r="K290" i="12"/>
  <c r="L290" i="12"/>
  <c r="M290" i="12"/>
  <c r="N290" i="12"/>
  <c r="O290" i="12"/>
  <c r="P290" i="12"/>
  <c r="Q290" i="12"/>
  <c r="R290" i="12"/>
  <c r="S290" i="12"/>
  <c r="T290" i="12"/>
  <c r="U290" i="12"/>
  <c r="V290" i="12"/>
  <c r="AA290" i="12"/>
  <c r="AB290" i="12"/>
  <c r="AC290" i="12"/>
  <c r="AD290" i="12"/>
  <c r="AE290" i="12"/>
  <c r="AF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U290" i="12"/>
  <c r="AV290" i="12"/>
  <c r="AW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L290" i="12"/>
  <c r="BM290" i="12"/>
  <c r="BN290" i="12"/>
  <c r="A291" i="12"/>
  <c r="B291" i="12"/>
  <c r="C291" i="12"/>
  <c r="D291" i="12"/>
  <c r="E291" i="12"/>
  <c r="F291" i="12"/>
  <c r="G291" i="12"/>
  <c r="H291" i="12"/>
  <c r="I291" i="12"/>
  <c r="J291" i="12"/>
  <c r="K291" i="12"/>
  <c r="L291" i="12"/>
  <c r="M291" i="12"/>
  <c r="N291" i="12"/>
  <c r="O291" i="12"/>
  <c r="P291" i="12"/>
  <c r="Q291" i="12"/>
  <c r="R291" i="12"/>
  <c r="S291" i="12"/>
  <c r="T291" i="12"/>
  <c r="U291" i="12"/>
  <c r="V291" i="12"/>
  <c r="AA291" i="12"/>
  <c r="AB291" i="12"/>
  <c r="AC291" i="12"/>
  <c r="AD291" i="12"/>
  <c r="AE291" i="12"/>
  <c r="AF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U291" i="12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L291" i="12"/>
  <c r="BM291" i="12"/>
  <c r="BN291" i="12"/>
  <c r="A292" i="12"/>
  <c r="B292" i="12"/>
  <c r="C292" i="12"/>
  <c r="D292" i="12"/>
  <c r="E292" i="12"/>
  <c r="F292" i="12"/>
  <c r="G292" i="12"/>
  <c r="H292" i="12"/>
  <c r="I292" i="12"/>
  <c r="J292" i="12"/>
  <c r="K292" i="12"/>
  <c r="L292" i="12"/>
  <c r="M292" i="12"/>
  <c r="N292" i="12"/>
  <c r="O292" i="12"/>
  <c r="P292" i="12"/>
  <c r="Q292" i="12"/>
  <c r="R292" i="12"/>
  <c r="S292" i="12"/>
  <c r="T292" i="12"/>
  <c r="U292" i="12"/>
  <c r="V292" i="12"/>
  <c r="AA292" i="12"/>
  <c r="AB292" i="12"/>
  <c r="AC292" i="12"/>
  <c r="AD292" i="12"/>
  <c r="AE292" i="12"/>
  <c r="AF292" i="12"/>
  <c r="AG292" i="12"/>
  <c r="AH292" i="12"/>
  <c r="AI292" i="12"/>
  <c r="AJ292" i="12"/>
  <c r="AK292" i="12"/>
  <c r="AL292" i="12"/>
  <c r="AM292" i="12"/>
  <c r="AN292" i="12"/>
  <c r="AO292" i="12"/>
  <c r="AP292" i="12"/>
  <c r="AQ292" i="12"/>
  <c r="AR292" i="12"/>
  <c r="AS292" i="12"/>
  <c r="AT292" i="12"/>
  <c r="AU292" i="12"/>
  <c r="AV292" i="12"/>
  <c r="AW292" i="12"/>
  <c r="AX292" i="12"/>
  <c r="AY292" i="12"/>
  <c r="AZ292" i="12"/>
  <c r="BA292" i="12"/>
  <c r="BB292" i="12"/>
  <c r="BC292" i="12"/>
  <c r="BD292" i="12"/>
  <c r="BE292" i="12"/>
  <c r="BF292" i="12"/>
  <c r="BG292" i="12"/>
  <c r="BH292" i="12"/>
  <c r="BI292" i="12"/>
  <c r="BJ292" i="12"/>
  <c r="BK292" i="12"/>
  <c r="BL292" i="12"/>
  <c r="BM292" i="12"/>
  <c r="BN292" i="12"/>
  <c r="A293" i="12"/>
  <c r="B293" i="12"/>
  <c r="C293" i="12"/>
  <c r="D293" i="12"/>
  <c r="E293" i="12"/>
  <c r="F293" i="12"/>
  <c r="G293" i="12"/>
  <c r="H293" i="12"/>
  <c r="I293" i="12"/>
  <c r="J293" i="12"/>
  <c r="K293" i="12"/>
  <c r="L293" i="12"/>
  <c r="M293" i="12"/>
  <c r="N293" i="12"/>
  <c r="O293" i="12"/>
  <c r="P293" i="12"/>
  <c r="Q293" i="12"/>
  <c r="R293" i="12"/>
  <c r="S293" i="12"/>
  <c r="T293" i="12"/>
  <c r="U293" i="12"/>
  <c r="V293" i="12"/>
  <c r="AA293" i="12"/>
  <c r="AB293" i="12"/>
  <c r="AC293" i="12"/>
  <c r="AD293" i="12"/>
  <c r="AE293" i="12"/>
  <c r="AF293" i="12"/>
  <c r="AG293" i="12"/>
  <c r="AH293" i="12"/>
  <c r="AI293" i="12"/>
  <c r="AJ293" i="12"/>
  <c r="AK293" i="12"/>
  <c r="AL293" i="12"/>
  <c r="AM293" i="12"/>
  <c r="AN293" i="12"/>
  <c r="AO293" i="12"/>
  <c r="AP293" i="12"/>
  <c r="AQ293" i="12"/>
  <c r="AR293" i="12"/>
  <c r="AS293" i="12"/>
  <c r="AT293" i="12"/>
  <c r="AU293" i="12"/>
  <c r="AV293" i="12"/>
  <c r="AW293" i="12"/>
  <c r="AX293" i="12"/>
  <c r="AY293" i="12"/>
  <c r="AZ293" i="12"/>
  <c r="BA293" i="12"/>
  <c r="BB293" i="12"/>
  <c r="BC293" i="12"/>
  <c r="BD293" i="12"/>
  <c r="BE293" i="12"/>
  <c r="BF293" i="12"/>
  <c r="BG293" i="12"/>
  <c r="BH293" i="12"/>
  <c r="BI293" i="12"/>
  <c r="BJ293" i="12"/>
  <c r="BK293" i="12"/>
  <c r="BL293" i="12"/>
  <c r="BM293" i="12"/>
  <c r="BN293" i="12"/>
  <c r="A294" i="12"/>
  <c r="B294" i="12"/>
  <c r="C294" i="12"/>
  <c r="D294" i="12"/>
  <c r="E294" i="12"/>
  <c r="F294" i="12"/>
  <c r="G294" i="12"/>
  <c r="H294" i="12"/>
  <c r="I294" i="12"/>
  <c r="J294" i="12"/>
  <c r="K294" i="12"/>
  <c r="L294" i="12"/>
  <c r="M294" i="12"/>
  <c r="N294" i="12"/>
  <c r="O294" i="12"/>
  <c r="P294" i="12"/>
  <c r="Q294" i="12"/>
  <c r="R294" i="12"/>
  <c r="S294" i="12"/>
  <c r="T294" i="12"/>
  <c r="U294" i="12"/>
  <c r="V294" i="12"/>
  <c r="AA294" i="12"/>
  <c r="AB294" i="12"/>
  <c r="AC294" i="12"/>
  <c r="AD294" i="12"/>
  <c r="AE294" i="12"/>
  <c r="AF294" i="12"/>
  <c r="AG294" i="12"/>
  <c r="AH294" i="12"/>
  <c r="AI294" i="12"/>
  <c r="AJ294" i="12"/>
  <c r="AK294" i="12"/>
  <c r="AL294" i="12"/>
  <c r="AM294" i="12"/>
  <c r="AN294" i="12"/>
  <c r="AO294" i="12"/>
  <c r="AP294" i="12"/>
  <c r="AQ294" i="12"/>
  <c r="AR294" i="12"/>
  <c r="AS294" i="12"/>
  <c r="AT294" i="12"/>
  <c r="AU294" i="12"/>
  <c r="AV294" i="12"/>
  <c r="AW294" i="12"/>
  <c r="AX294" i="12"/>
  <c r="AY294" i="12"/>
  <c r="AZ294" i="12"/>
  <c r="BA294" i="12"/>
  <c r="BB294" i="12"/>
  <c r="BC294" i="12"/>
  <c r="BD294" i="12"/>
  <c r="BE294" i="12"/>
  <c r="BF294" i="12"/>
  <c r="BG294" i="12"/>
  <c r="BH294" i="12"/>
  <c r="BI294" i="12"/>
  <c r="BJ294" i="12"/>
  <c r="BK294" i="12"/>
  <c r="BL294" i="12"/>
  <c r="BM294" i="12"/>
  <c r="BN294" i="12"/>
  <c r="A295" i="12"/>
  <c r="B295" i="12"/>
  <c r="C295" i="12"/>
  <c r="D295" i="12"/>
  <c r="E295" i="12"/>
  <c r="F295" i="12"/>
  <c r="G295" i="12"/>
  <c r="H295" i="12"/>
  <c r="I295" i="12"/>
  <c r="J295" i="12"/>
  <c r="K295" i="12"/>
  <c r="L295" i="12"/>
  <c r="M295" i="12"/>
  <c r="N295" i="12"/>
  <c r="O295" i="12"/>
  <c r="P295" i="12"/>
  <c r="Q295" i="12"/>
  <c r="R295" i="12"/>
  <c r="S295" i="12"/>
  <c r="T295" i="12"/>
  <c r="U295" i="12"/>
  <c r="V295" i="12"/>
  <c r="AA295" i="12"/>
  <c r="AB295" i="12"/>
  <c r="AC295" i="12"/>
  <c r="AD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U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L295" i="12"/>
  <c r="BM295" i="12"/>
  <c r="BN295" i="12"/>
  <c r="A296" i="12"/>
  <c r="B296" i="12"/>
  <c r="C296" i="12"/>
  <c r="D296" i="12"/>
  <c r="E296" i="12"/>
  <c r="F296" i="12"/>
  <c r="G296" i="12"/>
  <c r="H296" i="12"/>
  <c r="I296" i="12"/>
  <c r="J296" i="12"/>
  <c r="K296" i="12"/>
  <c r="L296" i="12"/>
  <c r="M296" i="12"/>
  <c r="N296" i="12"/>
  <c r="O296" i="12"/>
  <c r="P296" i="12"/>
  <c r="Q296" i="12"/>
  <c r="R296" i="12"/>
  <c r="S296" i="12"/>
  <c r="T296" i="12"/>
  <c r="U296" i="12"/>
  <c r="V296" i="12"/>
  <c r="AA296" i="12"/>
  <c r="AB296" i="12"/>
  <c r="AC296" i="12"/>
  <c r="AD296" i="12"/>
  <c r="AE296" i="12"/>
  <c r="AF296" i="12"/>
  <c r="AG296" i="12"/>
  <c r="AH296" i="12"/>
  <c r="AI296" i="12"/>
  <c r="AJ296" i="12"/>
  <c r="AK296" i="12"/>
  <c r="AL296" i="12"/>
  <c r="AM296" i="12"/>
  <c r="AN296" i="12"/>
  <c r="AO296" i="12"/>
  <c r="AP296" i="12"/>
  <c r="AQ296" i="12"/>
  <c r="AR296" i="12"/>
  <c r="AS296" i="12"/>
  <c r="AT296" i="12"/>
  <c r="AU296" i="12"/>
  <c r="AV296" i="12"/>
  <c r="AW296" i="12"/>
  <c r="AX296" i="12"/>
  <c r="AY296" i="12"/>
  <c r="AZ296" i="12"/>
  <c r="BA296" i="12"/>
  <c r="BB296" i="12"/>
  <c r="BC296" i="12"/>
  <c r="BD296" i="12"/>
  <c r="BE296" i="12"/>
  <c r="BF296" i="12"/>
  <c r="BG296" i="12"/>
  <c r="BH296" i="12"/>
  <c r="BI296" i="12"/>
  <c r="BJ296" i="12"/>
  <c r="BK296" i="12"/>
  <c r="BL296" i="12"/>
  <c r="BM296" i="12"/>
  <c r="BN296" i="12"/>
  <c r="A297" i="12"/>
  <c r="B297" i="12"/>
  <c r="C297" i="12"/>
  <c r="D297" i="12"/>
  <c r="E297" i="12"/>
  <c r="F297" i="12"/>
  <c r="G297" i="12"/>
  <c r="H297" i="12"/>
  <c r="I297" i="12"/>
  <c r="J297" i="12"/>
  <c r="K297" i="12"/>
  <c r="L297" i="12"/>
  <c r="M297" i="12"/>
  <c r="N297" i="12"/>
  <c r="O297" i="12"/>
  <c r="P297" i="12"/>
  <c r="Q297" i="12"/>
  <c r="R297" i="12"/>
  <c r="S297" i="12"/>
  <c r="T297" i="12"/>
  <c r="U297" i="12"/>
  <c r="V297" i="12"/>
  <c r="AA297" i="12"/>
  <c r="AB297" i="12"/>
  <c r="AC297" i="12"/>
  <c r="AD297" i="12"/>
  <c r="AE297" i="12"/>
  <c r="AF297" i="12"/>
  <c r="AG297" i="12"/>
  <c r="AH297" i="12"/>
  <c r="AI297" i="12"/>
  <c r="AJ297" i="12"/>
  <c r="AK297" i="12"/>
  <c r="AL297" i="12"/>
  <c r="AM297" i="12"/>
  <c r="AN297" i="12"/>
  <c r="AO297" i="12"/>
  <c r="AP297" i="12"/>
  <c r="AQ297" i="12"/>
  <c r="AR297" i="12"/>
  <c r="AS297" i="12"/>
  <c r="AT297" i="12"/>
  <c r="AU297" i="12"/>
  <c r="AV297" i="12"/>
  <c r="AW297" i="12"/>
  <c r="AX297" i="12"/>
  <c r="AY297" i="12"/>
  <c r="AZ297" i="12"/>
  <c r="BA297" i="12"/>
  <c r="BB297" i="12"/>
  <c r="BC297" i="12"/>
  <c r="BD297" i="12"/>
  <c r="BE297" i="12"/>
  <c r="BF297" i="12"/>
  <c r="BG297" i="12"/>
  <c r="BH297" i="12"/>
  <c r="BI297" i="12"/>
  <c r="BJ297" i="12"/>
  <c r="BK297" i="12"/>
  <c r="BL297" i="12"/>
  <c r="BM297" i="12"/>
  <c r="BN297" i="12"/>
  <c r="A298" i="12"/>
  <c r="B298" i="12"/>
  <c r="C298" i="12"/>
  <c r="D298" i="12"/>
  <c r="E298" i="12"/>
  <c r="F298" i="12"/>
  <c r="G298" i="12"/>
  <c r="H298" i="12"/>
  <c r="I298" i="12"/>
  <c r="J298" i="12"/>
  <c r="K298" i="12"/>
  <c r="L298" i="12"/>
  <c r="M298" i="12"/>
  <c r="N298" i="12"/>
  <c r="O298" i="12"/>
  <c r="P298" i="12"/>
  <c r="Q298" i="12"/>
  <c r="R298" i="12"/>
  <c r="S298" i="12"/>
  <c r="T298" i="12"/>
  <c r="U298" i="12"/>
  <c r="V298" i="12"/>
  <c r="AA298" i="12"/>
  <c r="AB298" i="12"/>
  <c r="AC298" i="12"/>
  <c r="AD298" i="12"/>
  <c r="AE298" i="12"/>
  <c r="AF298" i="12"/>
  <c r="AG298" i="12"/>
  <c r="AH298" i="12"/>
  <c r="AI298" i="12"/>
  <c r="AJ298" i="12"/>
  <c r="AK298" i="12"/>
  <c r="AL298" i="12"/>
  <c r="AM298" i="12"/>
  <c r="AN298" i="12"/>
  <c r="AO298" i="12"/>
  <c r="AP298" i="12"/>
  <c r="AQ298" i="12"/>
  <c r="AR298" i="12"/>
  <c r="AS298" i="12"/>
  <c r="AT298" i="12"/>
  <c r="AU298" i="12"/>
  <c r="AV298" i="12"/>
  <c r="AW298" i="12"/>
  <c r="AX298" i="12"/>
  <c r="AY298" i="12"/>
  <c r="AZ298" i="12"/>
  <c r="BA298" i="12"/>
  <c r="BB298" i="12"/>
  <c r="BC298" i="12"/>
  <c r="BD298" i="12"/>
  <c r="BE298" i="12"/>
  <c r="BF298" i="12"/>
  <c r="BG298" i="12"/>
  <c r="BH298" i="12"/>
  <c r="BI298" i="12"/>
  <c r="BJ298" i="12"/>
  <c r="BK298" i="12"/>
  <c r="BL298" i="12"/>
  <c r="BM298" i="12"/>
  <c r="BN298" i="12"/>
  <c r="A299" i="12"/>
  <c r="B299" i="12"/>
  <c r="C299" i="12"/>
  <c r="D299" i="12"/>
  <c r="E299" i="12"/>
  <c r="F299" i="12"/>
  <c r="G299" i="12"/>
  <c r="H299" i="12"/>
  <c r="I299" i="12"/>
  <c r="J299" i="12"/>
  <c r="K299" i="12"/>
  <c r="L299" i="12"/>
  <c r="M299" i="12"/>
  <c r="N299" i="12"/>
  <c r="O299" i="12"/>
  <c r="P299" i="12"/>
  <c r="Q299" i="12"/>
  <c r="R299" i="12"/>
  <c r="S299" i="12"/>
  <c r="T299" i="12"/>
  <c r="U299" i="12"/>
  <c r="V299" i="12"/>
  <c r="AA299" i="12"/>
  <c r="AB299" i="12"/>
  <c r="AC299" i="12"/>
  <c r="AD299" i="12"/>
  <c r="AE299" i="12"/>
  <c r="AF299" i="12"/>
  <c r="AG299" i="12"/>
  <c r="AH299" i="12"/>
  <c r="AI299" i="12"/>
  <c r="AJ299" i="12"/>
  <c r="AK299" i="12"/>
  <c r="AL299" i="12"/>
  <c r="AM299" i="12"/>
  <c r="AN299" i="12"/>
  <c r="AO299" i="12"/>
  <c r="AP299" i="12"/>
  <c r="AQ299" i="12"/>
  <c r="AR299" i="12"/>
  <c r="AS299" i="12"/>
  <c r="AT299" i="12"/>
  <c r="AU299" i="12"/>
  <c r="AV299" i="12"/>
  <c r="AW299" i="12"/>
  <c r="AX299" i="12"/>
  <c r="AY299" i="12"/>
  <c r="AZ299" i="12"/>
  <c r="BA299" i="12"/>
  <c r="BB299" i="12"/>
  <c r="BC299" i="12"/>
  <c r="BD299" i="12"/>
  <c r="BE299" i="12"/>
  <c r="BF299" i="12"/>
  <c r="BG299" i="12"/>
  <c r="BH299" i="12"/>
  <c r="BI299" i="12"/>
  <c r="BJ299" i="12"/>
  <c r="BK299" i="12"/>
  <c r="BL299" i="12"/>
  <c r="BM299" i="12"/>
  <c r="BN299" i="12"/>
  <c r="A300" i="12"/>
  <c r="B300" i="12"/>
  <c r="C300" i="12"/>
  <c r="D300" i="12"/>
  <c r="E300" i="12"/>
  <c r="F300" i="12"/>
  <c r="G300" i="12"/>
  <c r="H300" i="12"/>
  <c r="I300" i="12"/>
  <c r="J300" i="12"/>
  <c r="K300" i="12"/>
  <c r="L300" i="12"/>
  <c r="M300" i="12"/>
  <c r="N300" i="12"/>
  <c r="O300" i="12"/>
  <c r="P300" i="12"/>
  <c r="Q300" i="12"/>
  <c r="R300" i="12"/>
  <c r="S300" i="12"/>
  <c r="T300" i="12"/>
  <c r="U300" i="12"/>
  <c r="V300" i="12"/>
  <c r="AA300" i="12"/>
  <c r="AB300" i="12"/>
  <c r="AC300" i="12"/>
  <c r="AD300" i="12"/>
  <c r="AE300" i="12"/>
  <c r="AF300" i="12"/>
  <c r="AG300" i="12"/>
  <c r="AH300" i="12"/>
  <c r="AI300" i="12"/>
  <c r="AJ300" i="12"/>
  <c r="AK300" i="12"/>
  <c r="AL300" i="12"/>
  <c r="AM300" i="12"/>
  <c r="AN300" i="12"/>
  <c r="AO300" i="12"/>
  <c r="AP300" i="12"/>
  <c r="AQ300" i="12"/>
  <c r="AR300" i="12"/>
  <c r="AS300" i="12"/>
  <c r="AT300" i="12"/>
  <c r="AU300" i="12"/>
  <c r="AV300" i="12"/>
  <c r="AW300" i="12"/>
  <c r="AX300" i="12"/>
  <c r="AY300" i="12"/>
  <c r="AZ300" i="12"/>
  <c r="BA300" i="12"/>
  <c r="BB300" i="12"/>
  <c r="BC300" i="12"/>
  <c r="BD300" i="12"/>
  <c r="BE300" i="12"/>
  <c r="BF300" i="12"/>
  <c r="BG300" i="12"/>
  <c r="BH300" i="12"/>
  <c r="BI300" i="12"/>
  <c r="BJ300" i="12"/>
  <c r="BK300" i="12"/>
  <c r="BL300" i="12"/>
  <c r="BM300" i="12"/>
  <c r="BN300" i="12"/>
  <c r="A301" i="12"/>
  <c r="B301" i="12"/>
  <c r="C301" i="12"/>
  <c r="D301" i="12"/>
  <c r="E301" i="12"/>
  <c r="F301" i="12"/>
  <c r="G301" i="12"/>
  <c r="H301" i="12"/>
  <c r="I301" i="12"/>
  <c r="J301" i="12"/>
  <c r="K301" i="12"/>
  <c r="L301" i="12"/>
  <c r="M301" i="12"/>
  <c r="N301" i="12"/>
  <c r="O301" i="12"/>
  <c r="P301" i="12"/>
  <c r="Q301" i="12"/>
  <c r="R301" i="12"/>
  <c r="S301" i="12"/>
  <c r="T301" i="12"/>
  <c r="U301" i="12"/>
  <c r="V301" i="12"/>
  <c r="AA301" i="12"/>
  <c r="AB301" i="12"/>
  <c r="AC301" i="12"/>
  <c r="AD301" i="12"/>
  <c r="AE301" i="12"/>
  <c r="AF301" i="12"/>
  <c r="AG301" i="12"/>
  <c r="AH301" i="12"/>
  <c r="AI301" i="12"/>
  <c r="AJ301" i="12"/>
  <c r="AK301" i="12"/>
  <c r="AL301" i="12"/>
  <c r="AM301" i="12"/>
  <c r="AN301" i="12"/>
  <c r="AO301" i="12"/>
  <c r="AP301" i="12"/>
  <c r="AQ301" i="12"/>
  <c r="AR301" i="12"/>
  <c r="AS301" i="12"/>
  <c r="AT301" i="12"/>
  <c r="AU301" i="12"/>
  <c r="AV301" i="12"/>
  <c r="AW301" i="12"/>
  <c r="AX301" i="12"/>
  <c r="AY301" i="12"/>
  <c r="AZ301" i="12"/>
  <c r="BA301" i="12"/>
  <c r="BB301" i="12"/>
  <c r="BC301" i="12"/>
  <c r="BD301" i="12"/>
  <c r="BE301" i="12"/>
  <c r="BF301" i="12"/>
  <c r="BG301" i="12"/>
  <c r="BH301" i="12"/>
  <c r="BI301" i="12"/>
  <c r="BJ301" i="12"/>
  <c r="BK301" i="12"/>
  <c r="BL301" i="12"/>
  <c r="BM301" i="12"/>
  <c r="BN301" i="12"/>
  <c r="A302" i="12"/>
  <c r="B302" i="12"/>
  <c r="C302" i="12"/>
  <c r="D302" i="12"/>
  <c r="E302" i="12"/>
  <c r="F302" i="12"/>
  <c r="G302" i="12"/>
  <c r="H302" i="12"/>
  <c r="I302" i="12"/>
  <c r="J302" i="12"/>
  <c r="K302" i="12"/>
  <c r="L302" i="12"/>
  <c r="M302" i="12"/>
  <c r="N302" i="12"/>
  <c r="O302" i="12"/>
  <c r="P302" i="12"/>
  <c r="Q302" i="12"/>
  <c r="R302" i="12"/>
  <c r="S302" i="12"/>
  <c r="T302" i="12"/>
  <c r="U302" i="12"/>
  <c r="V302" i="12"/>
  <c r="AA302" i="12"/>
  <c r="AB302" i="12"/>
  <c r="AC302" i="12"/>
  <c r="AD302" i="12"/>
  <c r="AE302" i="12"/>
  <c r="AF302" i="12"/>
  <c r="AG302" i="12"/>
  <c r="AH302" i="12"/>
  <c r="AI302" i="12"/>
  <c r="AJ302" i="12"/>
  <c r="AK302" i="12"/>
  <c r="AL302" i="12"/>
  <c r="AM302" i="12"/>
  <c r="AN302" i="12"/>
  <c r="AO302" i="12"/>
  <c r="AP302" i="12"/>
  <c r="AQ302" i="12"/>
  <c r="AR302" i="12"/>
  <c r="AS302" i="12"/>
  <c r="AT302" i="12"/>
  <c r="AU302" i="12"/>
  <c r="AV302" i="12"/>
  <c r="AW302" i="12"/>
  <c r="AX302" i="12"/>
  <c r="AY302" i="12"/>
  <c r="AZ302" i="12"/>
  <c r="BA302" i="12"/>
  <c r="BB302" i="12"/>
  <c r="BC302" i="12"/>
  <c r="BD302" i="12"/>
  <c r="BE302" i="12"/>
  <c r="BF302" i="12"/>
  <c r="BG302" i="12"/>
  <c r="BH302" i="12"/>
  <c r="BI302" i="12"/>
  <c r="BJ302" i="12"/>
  <c r="BK302" i="12"/>
  <c r="BL302" i="12"/>
  <c r="BM302" i="12"/>
  <c r="BN302" i="12"/>
  <c r="A303" i="12"/>
  <c r="B303" i="12"/>
  <c r="C303" i="12"/>
  <c r="D303" i="12"/>
  <c r="E303" i="12"/>
  <c r="F303" i="12"/>
  <c r="G303" i="12"/>
  <c r="H303" i="12"/>
  <c r="I303" i="12"/>
  <c r="J303" i="12"/>
  <c r="K303" i="12"/>
  <c r="L303" i="12"/>
  <c r="M303" i="12"/>
  <c r="N303" i="12"/>
  <c r="O303" i="12"/>
  <c r="P303" i="12"/>
  <c r="Q303" i="12"/>
  <c r="R303" i="12"/>
  <c r="S303" i="12"/>
  <c r="T303" i="12"/>
  <c r="U303" i="12"/>
  <c r="V303" i="12"/>
  <c r="AA303" i="12"/>
  <c r="AB303" i="12"/>
  <c r="AC303" i="12"/>
  <c r="AD303" i="12"/>
  <c r="AE303" i="12"/>
  <c r="AF303" i="12"/>
  <c r="AG303" i="12"/>
  <c r="AH303" i="12"/>
  <c r="AI303" i="12"/>
  <c r="AJ303" i="12"/>
  <c r="AK303" i="12"/>
  <c r="AL303" i="12"/>
  <c r="AM303" i="12"/>
  <c r="AN303" i="12"/>
  <c r="AO303" i="12"/>
  <c r="AP303" i="12"/>
  <c r="AQ303" i="12"/>
  <c r="AR303" i="12"/>
  <c r="AS303" i="12"/>
  <c r="AT303" i="12"/>
  <c r="AU303" i="12"/>
  <c r="AV303" i="12"/>
  <c r="AW303" i="12"/>
  <c r="AX303" i="12"/>
  <c r="AY303" i="12"/>
  <c r="AZ303" i="12"/>
  <c r="BA303" i="12"/>
  <c r="BB303" i="12"/>
  <c r="BC303" i="12"/>
  <c r="BD303" i="12"/>
  <c r="BE303" i="12"/>
  <c r="BF303" i="12"/>
  <c r="BG303" i="12"/>
  <c r="BH303" i="12"/>
  <c r="BI303" i="12"/>
  <c r="BJ303" i="12"/>
  <c r="BK303" i="12"/>
  <c r="BL303" i="12"/>
  <c r="BM303" i="12"/>
  <c r="BN303" i="12"/>
  <c r="A304" i="12"/>
  <c r="B304" i="12"/>
  <c r="C304" i="12"/>
  <c r="D304" i="12"/>
  <c r="E304" i="12"/>
  <c r="F304" i="12"/>
  <c r="G304" i="12"/>
  <c r="H304" i="12"/>
  <c r="I304" i="12"/>
  <c r="J304" i="12"/>
  <c r="K304" i="12"/>
  <c r="L304" i="12"/>
  <c r="M304" i="12"/>
  <c r="N304" i="12"/>
  <c r="O304" i="12"/>
  <c r="P304" i="12"/>
  <c r="Q304" i="12"/>
  <c r="R304" i="12"/>
  <c r="S304" i="12"/>
  <c r="T304" i="12"/>
  <c r="U304" i="12"/>
  <c r="V304" i="12"/>
  <c r="AA304" i="12"/>
  <c r="AB304" i="12"/>
  <c r="AC304" i="12"/>
  <c r="AD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U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L304" i="12"/>
  <c r="BM304" i="12"/>
  <c r="BN304" i="12"/>
  <c r="A305" i="12"/>
  <c r="B305" i="12"/>
  <c r="C305" i="12"/>
  <c r="D305" i="12"/>
  <c r="E305" i="12"/>
  <c r="F305" i="12"/>
  <c r="G305" i="12"/>
  <c r="H305" i="12"/>
  <c r="I305" i="12"/>
  <c r="J305" i="12"/>
  <c r="K305" i="12"/>
  <c r="L305" i="12"/>
  <c r="M305" i="12"/>
  <c r="N305" i="12"/>
  <c r="O305" i="12"/>
  <c r="P305" i="12"/>
  <c r="Q305" i="12"/>
  <c r="R305" i="12"/>
  <c r="S305" i="12"/>
  <c r="T305" i="12"/>
  <c r="U305" i="12"/>
  <c r="V305" i="12"/>
  <c r="AA305" i="12"/>
  <c r="AB305" i="12"/>
  <c r="AC305" i="12"/>
  <c r="AD305" i="12"/>
  <c r="AE305" i="12"/>
  <c r="AF305" i="12"/>
  <c r="AG305" i="12"/>
  <c r="AH305" i="12"/>
  <c r="AI305" i="12"/>
  <c r="AJ305" i="12"/>
  <c r="AK305" i="12"/>
  <c r="AL305" i="12"/>
  <c r="AM305" i="12"/>
  <c r="AN305" i="12"/>
  <c r="AO305" i="12"/>
  <c r="AP305" i="12"/>
  <c r="AQ305" i="12"/>
  <c r="AR305" i="12"/>
  <c r="AS305" i="12"/>
  <c r="AT305" i="12"/>
  <c r="AU305" i="12"/>
  <c r="AV305" i="12"/>
  <c r="AW305" i="12"/>
  <c r="AX305" i="12"/>
  <c r="AY305" i="12"/>
  <c r="AZ305" i="12"/>
  <c r="BA305" i="12"/>
  <c r="BB305" i="12"/>
  <c r="BC305" i="12"/>
  <c r="BD305" i="12"/>
  <c r="BE305" i="12"/>
  <c r="BF305" i="12"/>
  <c r="BG305" i="12"/>
  <c r="BH305" i="12"/>
  <c r="BI305" i="12"/>
  <c r="BJ305" i="12"/>
  <c r="BK305" i="12"/>
  <c r="BL305" i="12"/>
  <c r="BM305" i="12"/>
  <c r="BN305" i="12"/>
  <c r="A306" i="12"/>
  <c r="B306" i="12"/>
  <c r="C306" i="12"/>
  <c r="D306" i="12"/>
  <c r="E306" i="12"/>
  <c r="F306" i="12"/>
  <c r="G306" i="12"/>
  <c r="H306" i="12"/>
  <c r="I306" i="12"/>
  <c r="J306" i="12"/>
  <c r="K306" i="12"/>
  <c r="L306" i="12"/>
  <c r="M306" i="12"/>
  <c r="N306" i="12"/>
  <c r="O306" i="12"/>
  <c r="P306" i="12"/>
  <c r="Q306" i="12"/>
  <c r="R306" i="12"/>
  <c r="S306" i="12"/>
  <c r="T306" i="12"/>
  <c r="U306" i="12"/>
  <c r="V306" i="12"/>
  <c r="AA306" i="12"/>
  <c r="AB306" i="12"/>
  <c r="AC306" i="12"/>
  <c r="AD306" i="12"/>
  <c r="AE306" i="12"/>
  <c r="AF306" i="12"/>
  <c r="AG306" i="12"/>
  <c r="AH306" i="12"/>
  <c r="AI306" i="12"/>
  <c r="AJ306" i="12"/>
  <c r="AK306" i="12"/>
  <c r="AL306" i="12"/>
  <c r="AM306" i="12"/>
  <c r="AN306" i="12"/>
  <c r="AO306" i="12"/>
  <c r="AP306" i="12"/>
  <c r="AQ306" i="12"/>
  <c r="AR306" i="12"/>
  <c r="AS306" i="12"/>
  <c r="AT306" i="12"/>
  <c r="AU306" i="12"/>
  <c r="AV306" i="12"/>
  <c r="AW306" i="12"/>
  <c r="AX306" i="12"/>
  <c r="AY306" i="12"/>
  <c r="AZ306" i="12"/>
  <c r="BA306" i="12"/>
  <c r="BB306" i="12"/>
  <c r="BC306" i="12"/>
  <c r="BD306" i="12"/>
  <c r="BE306" i="12"/>
  <c r="BF306" i="12"/>
  <c r="BG306" i="12"/>
  <c r="BH306" i="12"/>
  <c r="BI306" i="12"/>
  <c r="BJ306" i="12"/>
  <c r="BK306" i="12"/>
  <c r="BL306" i="12"/>
  <c r="BM306" i="12"/>
  <c r="BN306" i="12"/>
  <c r="A307" i="12"/>
  <c r="B307" i="12"/>
  <c r="C307" i="12"/>
  <c r="D307" i="12"/>
  <c r="E307" i="12"/>
  <c r="F307" i="12"/>
  <c r="G307" i="12"/>
  <c r="H307" i="12"/>
  <c r="I307" i="12"/>
  <c r="J307" i="12"/>
  <c r="K307" i="12"/>
  <c r="L307" i="12"/>
  <c r="M307" i="12"/>
  <c r="N307" i="12"/>
  <c r="O307" i="12"/>
  <c r="P307" i="12"/>
  <c r="Q307" i="12"/>
  <c r="R307" i="12"/>
  <c r="S307" i="12"/>
  <c r="T307" i="12"/>
  <c r="U307" i="12"/>
  <c r="V307" i="12"/>
  <c r="AA307" i="12"/>
  <c r="AB307" i="12"/>
  <c r="AC307" i="12"/>
  <c r="AD307" i="12"/>
  <c r="AE307" i="12"/>
  <c r="AF307" i="12"/>
  <c r="AG307" i="12"/>
  <c r="AH307" i="12"/>
  <c r="AI307" i="12"/>
  <c r="AJ307" i="12"/>
  <c r="AK307" i="12"/>
  <c r="AL307" i="12"/>
  <c r="AM307" i="12"/>
  <c r="AN307" i="12"/>
  <c r="AO307" i="12"/>
  <c r="AP307" i="12"/>
  <c r="AQ307" i="12"/>
  <c r="AR307" i="12"/>
  <c r="AS307" i="12"/>
  <c r="AT307" i="12"/>
  <c r="AU307" i="12"/>
  <c r="AV307" i="12"/>
  <c r="AW307" i="12"/>
  <c r="AX307" i="12"/>
  <c r="AY307" i="12"/>
  <c r="AZ307" i="12"/>
  <c r="BA307" i="12"/>
  <c r="BB307" i="12"/>
  <c r="BC307" i="12"/>
  <c r="BD307" i="12"/>
  <c r="BE307" i="12"/>
  <c r="BF307" i="12"/>
  <c r="BG307" i="12"/>
  <c r="BH307" i="12"/>
  <c r="BI307" i="12"/>
  <c r="BJ307" i="12"/>
  <c r="BK307" i="12"/>
  <c r="BL307" i="12"/>
  <c r="BM307" i="12"/>
  <c r="BN307" i="12"/>
  <c r="A308" i="12"/>
  <c r="B308" i="12"/>
  <c r="C308" i="12"/>
  <c r="D308" i="12"/>
  <c r="E308" i="12"/>
  <c r="F308" i="12"/>
  <c r="G308" i="12"/>
  <c r="H308" i="12"/>
  <c r="I308" i="12"/>
  <c r="J308" i="12"/>
  <c r="K308" i="12"/>
  <c r="L308" i="12"/>
  <c r="M308" i="12"/>
  <c r="N308" i="12"/>
  <c r="O308" i="12"/>
  <c r="P308" i="12"/>
  <c r="Q308" i="12"/>
  <c r="R308" i="12"/>
  <c r="S308" i="12"/>
  <c r="T308" i="12"/>
  <c r="U308" i="12"/>
  <c r="V308" i="12"/>
  <c r="AA308" i="12"/>
  <c r="AB308" i="12"/>
  <c r="AC308" i="12"/>
  <c r="AD308" i="12"/>
  <c r="AE308" i="12"/>
  <c r="AF308" i="12"/>
  <c r="AG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U308" i="12"/>
  <c r="AV308" i="12"/>
  <c r="AW308" i="12"/>
  <c r="AX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L308" i="12"/>
  <c r="BM308" i="12"/>
  <c r="BN308" i="12"/>
  <c r="A309" i="12"/>
  <c r="B309" i="12"/>
  <c r="C309" i="12"/>
  <c r="D309" i="12"/>
  <c r="E309" i="12"/>
  <c r="F309" i="12"/>
  <c r="G309" i="12"/>
  <c r="H309" i="12"/>
  <c r="I309" i="12"/>
  <c r="J309" i="12"/>
  <c r="K309" i="12"/>
  <c r="L309" i="12"/>
  <c r="M309" i="12"/>
  <c r="N309" i="12"/>
  <c r="O309" i="12"/>
  <c r="P309" i="12"/>
  <c r="Q309" i="12"/>
  <c r="R309" i="12"/>
  <c r="S309" i="12"/>
  <c r="T309" i="12"/>
  <c r="U309" i="12"/>
  <c r="V309" i="12"/>
  <c r="AA309" i="12"/>
  <c r="AB309" i="12"/>
  <c r="AC309" i="12"/>
  <c r="AD309" i="12"/>
  <c r="AE309" i="12"/>
  <c r="AF309" i="12"/>
  <c r="AG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U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L309" i="12"/>
  <c r="BM309" i="12"/>
  <c r="BN309" i="12"/>
  <c r="A310" i="12"/>
  <c r="B310" i="12"/>
  <c r="C310" i="12"/>
  <c r="D310" i="12"/>
  <c r="E310" i="12"/>
  <c r="F310" i="12"/>
  <c r="G310" i="12"/>
  <c r="H310" i="12"/>
  <c r="I310" i="12"/>
  <c r="J310" i="12"/>
  <c r="K310" i="12"/>
  <c r="L310" i="12"/>
  <c r="M310" i="12"/>
  <c r="N310" i="12"/>
  <c r="O310" i="12"/>
  <c r="P310" i="12"/>
  <c r="Q310" i="12"/>
  <c r="R310" i="12"/>
  <c r="S310" i="12"/>
  <c r="T310" i="12"/>
  <c r="U310" i="12"/>
  <c r="V310" i="12"/>
  <c r="AA310" i="12"/>
  <c r="AB310" i="12"/>
  <c r="AC310" i="12"/>
  <c r="AD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U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L310" i="12"/>
  <c r="BM310" i="12"/>
  <c r="BN310" i="12"/>
  <c r="A311" i="12"/>
  <c r="B311" i="12"/>
  <c r="C311" i="12"/>
  <c r="D311" i="12"/>
  <c r="E311" i="12"/>
  <c r="F311" i="12"/>
  <c r="G311" i="12"/>
  <c r="H311" i="12"/>
  <c r="I311" i="12"/>
  <c r="J311" i="12"/>
  <c r="K311" i="12"/>
  <c r="L311" i="12"/>
  <c r="M311" i="12"/>
  <c r="N311" i="12"/>
  <c r="O311" i="12"/>
  <c r="P311" i="12"/>
  <c r="Q311" i="12"/>
  <c r="R311" i="12"/>
  <c r="S311" i="12"/>
  <c r="T311" i="12"/>
  <c r="U311" i="12"/>
  <c r="V311" i="12"/>
  <c r="AA311" i="12"/>
  <c r="AB311" i="12"/>
  <c r="AC311" i="12"/>
  <c r="AD311" i="12"/>
  <c r="AE311" i="12"/>
  <c r="AF311" i="12"/>
  <c r="AG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U311" i="12"/>
  <c r="AV311" i="12"/>
  <c r="AW311" i="12"/>
  <c r="AX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L311" i="12"/>
  <c r="BM311" i="12"/>
  <c r="BN311" i="12"/>
  <c r="A312" i="12"/>
  <c r="B312" i="12"/>
  <c r="C312" i="12"/>
  <c r="D312" i="12"/>
  <c r="E312" i="12"/>
  <c r="F312" i="12"/>
  <c r="G312" i="12"/>
  <c r="H312" i="12"/>
  <c r="I312" i="12"/>
  <c r="J312" i="12"/>
  <c r="K312" i="12"/>
  <c r="L312" i="12"/>
  <c r="M312" i="12"/>
  <c r="N312" i="12"/>
  <c r="O312" i="12"/>
  <c r="P312" i="12"/>
  <c r="Q312" i="12"/>
  <c r="R312" i="12"/>
  <c r="S312" i="12"/>
  <c r="T312" i="12"/>
  <c r="U312" i="12"/>
  <c r="V312" i="12"/>
  <c r="AA312" i="12"/>
  <c r="AB312" i="12"/>
  <c r="AC312" i="12"/>
  <c r="AD312" i="12"/>
  <c r="AE312" i="12"/>
  <c r="AF312" i="12"/>
  <c r="AG312" i="12"/>
  <c r="AH312" i="12"/>
  <c r="AI312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U312" i="12"/>
  <c r="AV312" i="12"/>
  <c r="AW312" i="12"/>
  <c r="AX312" i="12"/>
  <c r="AY312" i="12"/>
  <c r="AZ312" i="12"/>
  <c r="BA312" i="12"/>
  <c r="BB312" i="12"/>
  <c r="BC312" i="12"/>
  <c r="BD312" i="12"/>
  <c r="BE312" i="12"/>
  <c r="BF312" i="12"/>
  <c r="BG312" i="12"/>
  <c r="BH312" i="12"/>
  <c r="BI312" i="12"/>
  <c r="BJ312" i="12"/>
  <c r="BK312" i="12"/>
  <c r="BL312" i="12"/>
  <c r="BM312" i="12"/>
  <c r="BN312" i="12"/>
  <c r="A313" i="12"/>
  <c r="B313" i="12"/>
  <c r="C313" i="12"/>
  <c r="D313" i="12"/>
  <c r="E313" i="12"/>
  <c r="F313" i="12"/>
  <c r="G313" i="12"/>
  <c r="H313" i="12"/>
  <c r="I313" i="12"/>
  <c r="J313" i="12"/>
  <c r="K313" i="12"/>
  <c r="L313" i="12"/>
  <c r="M313" i="12"/>
  <c r="N313" i="12"/>
  <c r="O313" i="12"/>
  <c r="P313" i="12"/>
  <c r="Q313" i="12"/>
  <c r="R313" i="12"/>
  <c r="S313" i="12"/>
  <c r="T313" i="12"/>
  <c r="U313" i="12"/>
  <c r="V313" i="12"/>
  <c r="AA313" i="12"/>
  <c r="AB313" i="12"/>
  <c r="AC313" i="12"/>
  <c r="AD313" i="12"/>
  <c r="AE313" i="12"/>
  <c r="AF313" i="12"/>
  <c r="AG313" i="12"/>
  <c r="AH313" i="12"/>
  <c r="AI313" i="12"/>
  <c r="AJ313" i="12"/>
  <c r="AK313" i="12"/>
  <c r="AL313" i="12"/>
  <c r="AM313" i="12"/>
  <c r="AN313" i="12"/>
  <c r="AO313" i="12"/>
  <c r="AP313" i="12"/>
  <c r="AQ313" i="12"/>
  <c r="AR313" i="12"/>
  <c r="AS313" i="12"/>
  <c r="AT313" i="12"/>
  <c r="AU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BH313" i="12"/>
  <c r="BI313" i="12"/>
  <c r="BJ313" i="12"/>
  <c r="BK313" i="12"/>
  <c r="BL313" i="12"/>
  <c r="BM313" i="12"/>
  <c r="BN313" i="12"/>
  <c r="A314" i="12"/>
  <c r="B314" i="12"/>
  <c r="C314" i="12"/>
  <c r="D314" i="12"/>
  <c r="E314" i="12"/>
  <c r="F314" i="12"/>
  <c r="G314" i="12"/>
  <c r="H314" i="12"/>
  <c r="I314" i="12"/>
  <c r="J314" i="12"/>
  <c r="K314" i="12"/>
  <c r="L314" i="12"/>
  <c r="M314" i="12"/>
  <c r="N314" i="12"/>
  <c r="O314" i="12"/>
  <c r="P314" i="12"/>
  <c r="Q314" i="12"/>
  <c r="R314" i="12"/>
  <c r="S314" i="12"/>
  <c r="T314" i="12"/>
  <c r="U314" i="12"/>
  <c r="V314" i="12"/>
  <c r="AA314" i="12"/>
  <c r="AB314" i="12"/>
  <c r="AC314" i="12"/>
  <c r="AD314" i="12"/>
  <c r="AE314" i="12"/>
  <c r="AF314" i="12"/>
  <c r="AG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U314" i="12"/>
  <c r="AV314" i="12"/>
  <c r="AW314" i="12"/>
  <c r="AX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L314" i="12"/>
  <c r="BM314" i="12"/>
  <c r="BN314" i="12"/>
  <c r="A315" i="12"/>
  <c r="B315" i="12"/>
  <c r="C315" i="12"/>
  <c r="D315" i="12"/>
  <c r="E315" i="12"/>
  <c r="F315" i="12"/>
  <c r="G315" i="12"/>
  <c r="H315" i="12"/>
  <c r="I315" i="12"/>
  <c r="J315" i="12"/>
  <c r="K315" i="12"/>
  <c r="L315" i="12"/>
  <c r="M315" i="12"/>
  <c r="N315" i="12"/>
  <c r="O315" i="12"/>
  <c r="P315" i="12"/>
  <c r="Q315" i="12"/>
  <c r="R315" i="12"/>
  <c r="S315" i="12"/>
  <c r="T315" i="12"/>
  <c r="U315" i="12"/>
  <c r="V315" i="12"/>
  <c r="AA315" i="12"/>
  <c r="AB315" i="12"/>
  <c r="AC315" i="12"/>
  <c r="AD315" i="12"/>
  <c r="AE315" i="12"/>
  <c r="AF315" i="12"/>
  <c r="AG315" i="12"/>
  <c r="AH315" i="12"/>
  <c r="AI315" i="12"/>
  <c r="AJ315" i="12"/>
  <c r="AK315" i="12"/>
  <c r="AL315" i="12"/>
  <c r="AM315" i="12"/>
  <c r="AN315" i="12"/>
  <c r="AO315" i="12"/>
  <c r="AP315" i="12"/>
  <c r="AQ315" i="12"/>
  <c r="AR315" i="12"/>
  <c r="AS315" i="12"/>
  <c r="AT315" i="12"/>
  <c r="AU315" i="12"/>
  <c r="AV315" i="12"/>
  <c r="AW315" i="12"/>
  <c r="AX315" i="12"/>
  <c r="AY315" i="12"/>
  <c r="AZ315" i="12"/>
  <c r="BA315" i="12"/>
  <c r="BB315" i="12"/>
  <c r="BC315" i="12"/>
  <c r="BD315" i="12"/>
  <c r="BE315" i="12"/>
  <c r="BF315" i="12"/>
  <c r="BG315" i="12"/>
  <c r="BH315" i="12"/>
  <c r="BI315" i="12"/>
  <c r="BJ315" i="12"/>
  <c r="BK315" i="12"/>
  <c r="BL315" i="12"/>
  <c r="BM315" i="12"/>
  <c r="BN315" i="12"/>
  <c r="A316" i="12"/>
  <c r="B316" i="12"/>
  <c r="C316" i="12"/>
  <c r="D316" i="12"/>
  <c r="E316" i="12"/>
  <c r="F316" i="12"/>
  <c r="G316" i="12"/>
  <c r="H316" i="12"/>
  <c r="I316" i="12"/>
  <c r="J316" i="12"/>
  <c r="K316" i="12"/>
  <c r="L316" i="12"/>
  <c r="M316" i="12"/>
  <c r="N316" i="12"/>
  <c r="O316" i="12"/>
  <c r="P316" i="12"/>
  <c r="Q316" i="12"/>
  <c r="R316" i="12"/>
  <c r="S316" i="12"/>
  <c r="T316" i="12"/>
  <c r="U316" i="12"/>
  <c r="V316" i="12"/>
  <c r="AA316" i="12"/>
  <c r="AB316" i="12"/>
  <c r="AC316" i="12"/>
  <c r="AD316" i="12"/>
  <c r="AE316" i="12"/>
  <c r="AF316" i="12"/>
  <c r="AG316" i="12"/>
  <c r="AH316" i="12"/>
  <c r="AI316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U316" i="12"/>
  <c r="AV316" i="12"/>
  <c r="AW316" i="12"/>
  <c r="AX316" i="12"/>
  <c r="AY316" i="12"/>
  <c r="AZ316" i="12"/>
  <c r="BA316" i="12"/>
  <c r="BB316" i="12"/>
  <c r="BC316" i="12"/>
  <c r="BD316" i="12"/>
  <c r="BE316" i="12"/>
  <c r="BF316" i="12"/>
  <c r="BG316" i="12"/>
  <c r="BH316" i="12"/>
  <c r="BI316" i="12"/>
  <c r="BJ316" i="12"/>
  <c r="BK316" i="12"/>
  <c r="BL316" i="12"/>
  <c r="BM316" i="12"/>
  <c r="BN316" i="12"/>
  <c r="A317" i="12"/>
  <c r="B317" i="12"/>
  <c r="C317" i="12"/>
  <c r="D317" i="12"/>
  <c r="E317" i="12"/>
  <c r="F317" i="12"/>
  <c r="G317" i="12"/>
  <c r="H317" i="12"/>
  <c r="I317" i="12"/>
  <c r="J317" i="12"/>
  <c r="K317" i="12"/>
  <c r="L317" i="12"/>
  <c r="M317" i="12"/>
  <c r="N317" i="12"/>
  <c r="O317" i="12"/>
  <c r="P317" i="12"/>
  <c r="Q317" i="12"/>
  <c r="R317" i="12"/>
  <c r="S317" i="12"/>
  <c r="T317" i="12"/>
  <c r="U317" i="12"/>
  <c r="V317" i="12"/>
  <c r="AA317" i="12"/>
  <c r="AB317" i="12"/>
  <c r="AC317" i="12"/>
  <c r="AD317" i="12"/>
  <c r="AE317" i="12"/>
  <c r="AF317" i="12"/>
  <c r="AG317" i="12"/>
  <c r="AH317" i="12"/>
  <c r="AI317" i="12"/>
  <c r="AJ317" i="12"/>
  <c r="AK317" i="12"/>
  <c r="AL317" i="12"/>
  <c r="AM317" i="12"/>
  <c r="AN317" i="12"/>
  <c r="AO317" i="12"/>
  <c r="AP317" i="12"/>
  <c r="AQ317" i="12"/>
  <c r="AR317" i="12"/>
  <c r="AS317" i="12"/>
  <c r="AT317" i="12"/>
  <c r="AU317" i="12"/>
  <c r="AV317" i="12"/>
  <c r="AW317" i="12"/>
  <c r="AX317" i="12"/>
  <c r="AY317" i="12"/>
  <c r="AZ317" i="12"/>
  <c r="BA317" i="12"/>
  <c r="BB317" i="12"/>
  <c r="BC317" i="12"/>
  <c r="BD317" i="12"/>
  <c r="BE317" i="12"/>
  <c r="BF317" i="12"/>
  <c r="BG317" i="12"/>
  <c r="BH317" i="12"/>
  <c r="BI317" i="12"/>
  <c r="BJ317" i="12"/>
  <c r="BK317" i="12"/>
  <c r="BL317" i="12"/>
  <c r="BM317" i="12"/>
  <c r="BN317" i="12"/>
  <c r="A318" i="12"/>
  <c r="B318" i="12"/>
  <c r="C318" i="12"/>
  <c r="D318" i="12"/>
  <c r="E318" i="12"/>
  <c r="F318" i="12"/>
  <c r="G318" i="12"/>
  <c r="H318" i="12"/>
  <c r="I318" i="12"/>
  <c r="J318" i="12"/>
  <c r="K318" i="12"/>
  <c r="L318" i="12"/>
  <c r="M318" i="12"/>
  <c r="N318" i="12"/>
  <c r="O318" i="12"/>
  <c r="P318" i="12"/>
  <c r="Q318" i="12"/>
  <c r="R318" i="12"/>
  <c r="S318" i="12"/>
  <c r="T318" i="12"/>
  <c r="U318" i="12"/>
  <c r="V318" i="12"/>
  <c r="AA318" i="12"/>
  <c r="AB318" i="12"/>
  <c r="AC318" i="12"/>
  <c r="AD318" i="12"/>
  <c r="AE318" i="12"/>
  <c r="AF318" i="12"/>
  <c r="AG318" i="12"/>
  <c r="AH318" i="12"/>
  <c r="AI318" i="12"/>
  <c r="AJ318" i="12"/>
  <c r="AK318" i="12"/>
  <c r="AL318" i="12"/>
  <c r="AM318" i="12"/>
  <c r="AN318" i="12"/>
  <c r="AO318" i="12"/>
  <c r="AP318" i="12"/>
  <c r="AQ318" i="12"/>
  <c r="AR318" i="12"/>
  <c r="AS318" i="12"/>
  <c r="AT318" i="12"/>
  <c r="AU318" i="12"/>
  <c r="AV318" i="12"/>
  <c r="AW318" i="12"/>
  <c r="AX318" i="12"/>
  <c r="AY318" i="12"/>
  <c r="AZ318" i="12"/>
  <c r="BA318" i="12"/>
  <c r="BB318" i="12"/>
  <c r="BC318" i="12"/>
  <c r="BD318" i="12"/>
  <c r="BE318" i="12"/>
  <c r="BF318" i="12"/>
  <c r="BG318" i="12"/>
  <c r="BH318" i="12"/>
  <c r="BI318" i="12"/>
  <c r="BJ318" i="12"/>
  <c r="BK318" i="12"/>
  <c r="BL318" i="12"/>
  <c r="BM318" i="12"/>
  <c r="BN318" i="12"/>
  <c r="A319" i="12"/>
  <c r="B319" i="12"/>
  <c r="C319" i="12"/>
  <c r="D319" i="12"/>
  <c r="E319" i="12"/>
  <c r="F319" i="12"/>
  <c r="G319" i="12"/>
  <c r="H319" i="12"/>
  <c r="I319" i="12"/>
  <c r="J319" i="12"/>
  <c r="K319" i="12"/>
  <c r="L319" i="12"/>
  <c r="M319" i="12"/>
  <c r="N319" i="12"/>
  <c r="O319" i="12"/>
  <c r="P319" i="12"/>
  <c r="Q319" i="12"/>
  <c r="R319" i="12"/>
  <c r="S319" i="12"/>
  <c r="T319" i="12"/>
  <c r="U319" i="12"/>
  <c r="V319" i="12"/>
  <c r="AA319" i="12"/>
  <c r="AB319" i="12"/>
  <c r="AC319" i="12"/>
  <c r="AD319" i="12"/>
  <c r="AE319" i="12"/>
  <c r="AF319" i="12"/>
  <c r="AG319" i="12"/>
  <c r="AH319" i="12"/>
  <c r="AI319" i="12"/>
  <c r="AJ319" i="12"/>
  <c r="AK319" i="12"/>
  <c r="AL319" i="12"/>
  <c r="AM319" i="12"/>
  <c r="AN319" i="12"/>
  <c r="AO319" i="12"/>
  <c r="AP319" i="12"/>
  <c r="AQ319" i="12"/>
  <c r="AR319" i="12"/>
  <c r="AS319" i="12"/>
  <c r="AT319" i="12"/>
  <c r="AU319" i="12"/>
  <c r="AV319" i="12"/>
  <c r="AW319" i="12"/>
  <c r="AX319" i="12"/>
  <c r="AY319" i="12"/>
  <c r="AZ319" i="12"/>
  <c r="BA319" i="12"/>
  <c r="BB319" i="12"/>
  <c r="BC319" i="12"/>
  <c r="BD319" i="12"/>
  <c r="BE319" i="12"/>
  <c r="BF319" i="12"/>
  <c r="BG319" i="12"/>
  <c r="BH319" i="12"/>
  <c r="BI319" i="12"/>
  <c r="BJ319" i="12"/>
  <c r="BK319" i="12"/>
  <c r="BL319" i="12"/>
  <c r="BM319" i="12"/>
  <c r="BN319" i="12"/>
  <c r="A320" i="12"/>
  <c r="B320" i="12"/>
  <c r="C320" i="12"/>
  <c r="D320" i="12"/>
  <c r="E320" i="12"/>
  <c r="F320" i="12"/>
  <c r="G320" i="12"/>
  <c r="H320" i="12"/>
  <c r="I320" i="12"/>
  <c r="J320" i="12"/>
  <c r="K320" i="12"/>
  <c r="L320" i="12"/>
  <c r="M320" i="12"/>
  <c r="N320" i="12"/>
  <c r="O320" i="12"/>
  <c r="P320" i="12"/>
  <c r="Q320" i="12"/>
  <c r="R320" i="12"/>
  <c r="S320" i="12"/>
  <c r="T320" i="12"/>
  <c r="U320" i="12"/>
  <c r="V320" i="12"/>
  <c r="AA320" i="12"/>
  <c r="AB320" i="12"/>
  <c r="AC320" i="12"/>
  <c r="AD320" i="12"/>
  <c r="AE320" i="12"/>
  <c r="AF320" i="12"/>
  <c r="AG320" i="12"/>
  <c r="AH320" i="12"/>
  <c r="AI320" i="12"/>
  <c r="AJ320" i="12"/>
  <c r="AK320" i="12"/>
  <c r="AL320" i="12"/>
  <c r="AM320" i="12"/>
  <c r="AN320" i="12"/>
  <c r="AO320" i="12"/>
  <c r="AP320" i="12"/>
  <c r="AQ320" i="12"/>
  <c r="AR320" i="12"/>
  <c r="AS320" i="12"/>
  <c r="AT320" i="12"/>
  <c r="AU320" i="12"/>
  <c r="AV320" i="12"/>
  <c r="AW320" i="12"/>
  <c r="AX320" i="12"/>
  <c r="AY320" i="12"/>
  <c r="AZ320" i="12"/>
  <c r="BA320" i="12"/>
  <c r="BB320" i="12"/>
  <c r="BC320" i="12"/>
  <c r="BD320" i="12"/>
  <c r="BE320" i="12"/>
  <c r="BF320" i="12"/>
  <c r="BG320" i="12"/>
  <c r="BH320" i="12"/>
  <c r="BI320" i="12"/>
  <c r="BJ320" i="12"/>
  <c r="BK320" i="12"/>
  <c r="BL320" i="12"/>
  <c r="BM320" i="12"/>
  <c r="BN320" i="12"/>
  <c r="A321" i="12"/>
  <c r="B321" i="12"/>
  <c r="C321" i="12"/>
  <c r="D321" i="12"/>
  <c r="E321" i="12"/>
  <c r="F321" i="12"/>
  <c r="G321" i="12"/>
  <c r="H321" i="12"/>
  <c r="I321" i="12"/>
  <c r="J321" i="12"/>
  <c r="K321" i="12"/>
  <c r="L321" i="12"/>
  <c r="M321" i="12"/>
  <c r="N321" i="12"/>
  <c r="O321" i="12"/>
  <c r="P321" i="12"/>
  <c r="Q321" i="12"/>
  <c r="R321" i="12"/>
  <c r="S321" i="12"/>
  <c r="T321" i="12"/>
  <c r="U321" i="12"/>
  <c r="V321" i="12"/>
  <c r="AA321" i="12"/>
  <c r="AB321" i="12"/>
  <c r="AC321" i="12"/>
  <c r="AD321" i="12"/>
  <c r="AE321" i="12"/>
  <c r="AF321" i="12"/>
  <c r="AG321" i="12"/>
  <c r="AH321" i="12"/>
  <c r="AI321" i="12"/>
  <c r="AJ321" i="12"/>
  <c r="AK321" i="12"/>
  <c r="AL321" i="12"/>
  <c r="AM321" i="12"/>
  <c r="AN321" i="12"/>
  <c r="AO321" i="12"/>
  <c r="AP321" i="12"/>
  <c r="AQ321" i="12"/>
  <c r="AR321" i="12"/>
  <c r="AS321" i="12"/>
  <c r="AT321" i="12"/>
  <c r="AU321" i="12"/>
  <c r="AV321" i="12"/>
  <c r="AW321" i="12"/>
  <c r="AX321" i="12"/>
  <c r="AY321" i="12"/>
  <c r="AZ321" i="12"/>
  <c r="BA321" i="12"/>
  <c r="BB321" i="12"/>
  <c r="BC321" i="12"/>
  <c r="BD321" i="12"/>
  <c r="BE321" i="12"/>
  <c r="BF321" i="12"/>
  <c r="BG321" i="12"/>
  <c r="BH321" i="12"/>
  <c r="BI321" i="12"/>
  <c r="BJ321" i="12"/>
  <c r="BK321" i="12"/>
  <c r="BL321" i="12"/>
  <c r="BM321" i="12"/>
  <c r="BN321" i="12"/>
  <c r="A322" i="12"/>
  <c r="B322" i="12"/>
  <c r="C322" i="12"/>
  <c r="D322" i="12"/>
  <c r="E322" i="12"/>
  <c r="F322" i="12"/>
  <c r="G322" i="12"/>
  <c r="H322" i="12"/>
  <c r="I322" i="12"/>
  <c r="J322" i="12"/>
  <c r="K322" i="12"/>
  <c r="L322" i="12"/>
  <c r="M322" i="12"/>
  <c r="N322" i="12"/>
  <c r="O322" i="12"/>
  <c r="P322" i="12"/>
  <c r="Q322" i="12"/>
  <c r="R322" i="12"/>
  <c r="S322" i="12"/>
  <c r="T322" i="12"/>
  <c r="U322" i="12"/>
  <c r="V322" i="12"/>
  <c r="AA322" i="12"/>
  <c r="AB322" i="12"/>
  <c r="AC322" i="12"/>
  <c r="AD322" i="12"/>
  <c r="AE322" i="12"/>
  <c r="AF322" i="12"/>
  <c r="AG322" i="12"/>
  <c r="AH322" i="12"/>
  <c r="AI322" i="12"/>
  <c r="AJ322" i="12"/>
  <c r="AK322" i="12"/>
  <c r="AL322" i="12"/>
  <c r="AM322" i="12"/>
  <c r="AN322" i="12"/>
  <c r="AO322" i="12"/>
  <c r="AP322" i="12"/>
  <c r="AQ322" i="12"/>
  <c r="AR322" i="12"/>
  <c r="AS322" i="12"/>
  <c r="AT322" i="12"/>
  <c r="AU322" i="12"/>
  <c r="AV322" i="12"/>
  <c r="AW322" i="12"/>
  <c r="AX322" i="12"/>
  <c r="AY322" i="12"/>
  <c r="AZ322" i="12"/>
  <c r="BA322" i="12"/>
  <c r="BB322" i="12"/>
  <c r="BC322" i="12"/>
  <c r="BD322" i="12"/>
  <c r="BE322" i="12"/>
  <c r="BF322" i="12"/>
  <c r="BG322" i="12"/>
  <c r="BH322" i="12"/>
  <c r="BI322" i="12"/>
  <c r="BJ322" i="12"/>
  <c r="BK322" i="12"/>
  <c r="BL322" i="12"/>
  <c r="BM322" i="12"/>
  <c r="BN322" i="12"/>
  <c r="A323" i="12"/>
  <c r="B323" i="12"/>
  <c r="C323" i="12"/>
  <c r="D323" i="12"/>
  <c r="E323" i="12"/>
  <c r="F323" i="12"/>
  <c r="G323" i="12"/>
  <c r="H323" i="12"/>
  <c r="I323" i="12"/>
  <c r="J323" i="12"/>
  <c r="K323" i="12"/>
  <c r="L323" i="12"/>
  <c r="M323" i="12"/>
  <c r="N323" i="12"/>
  <c r="O323" i="12"/>
  <c r="P323" i="12"/>
  <c r="Q323" i="12"/>
  <c r="R323" i="12"/>
  <c r="S323" i="12"/>
  <c r="T323" i="12"/>
  <c r="U323" i="12"/>
  <c r="V323" i="12"/>
  <c r="AA323" i="12"/>
  <c r="AB323" i="12"/>
  <c r="AC323" i="12"/>
  <c r="AD323" i="12"/>
  <c r="AE323" i="12"/>
  <c r="AF323" i="12"/>
  <c r="AG323" i="12"/>
  <c r="AH323" i="12"/>
  <c r="AI323" i="12"/>
  <c r="AJ323" i="12"/>
  <c r="AK323" i="12"/>
  <c r="AL323" i="12"/>
  <c r="AM323" i="12"/>
  <c r="AN323" i="12"/>
  <c r="AO323" i="12"/>
  <c r="AP323" i="12"/>
  <c r="AQ323" i="12"/>
  <c r="AR323" i="12"/>
  <c r="AS323" i="12"/>
  <c r="AT323" i="12"/>
  <c r="AU323" i="12"/>
  <c r="AV323" i="12"/>
  <c r="AW323" i="12"/>
  <c r="AX323" i="12"/>
  <c r="AY323" i="12"/>
  <c r="AZ323" i="12"/>
  <c r="BA323" i="12"/>
  <c r="BB323" i="12"/>
  <c r="BC323" i="12"/>
  <c r="BD323" i="12"/>
  <c r="BE323" i="12"/>
  <c r="BF323" i="12"/>
  <c r="BG323" i="12"/>
  <c r="BH323" i="12"/>
  <c r="BI323" i="12"/>
  <c r="BJ323" i="12"/>
  <c r="BK323" i="12"/>
  <c r="BL323" i="12"/>
  <c r="BM323" i="12"/>
  <c r="BN323" i="12"/>
  <c r="A324" i="12"/>
  <c r="B324" i="12"/>
  <c r="C324" i="12"/>
  <c r="D324" i="12"/>
  <c r="E324" i="12"/>
  <c r="F324" i="12"/>
  <c r="G324" i="12"/>
  <c r="H324" i="12"/>
  <c r="I324" i="12"/>
  <c r="J324" i="12"/>
  <c r="K324" i="12"/>
  <c r="L324" i="12"/>
  <c r="M324" i="12"/>
  <c r="N324" i="12"/>
  <c r="O324" i="12"/>
  <c r="P324" i="12"/>
  <c r="Q324" i="12"/>
  <c r="R324" i="12"/>
  <c r="S324" i="12"/>
  <c r="T324" i="12"/>
  <c r="U324" i="12"/>
  <c r="V324" i="12"/>
  <c r="AA324" i="12"/>
  <c r="AB324" i="12"/>
  <c r="AC324" i="12"/>
  <c r="AD324" i="12"/>
  <c r="AE324" i="12"/>
  <c r="AF324" i="12"/>
  <c r="AG324" i="12"/>
  <c r="AH324" i="12"/>
  <c r="AI324" i="12"/>
  <c r="AJ324" i="12"/>
  <c r="AK324" i="12"/>
  <c r="AL324" i="12"/>
  <c r="AM324" i="12"/>
  <c r="AN324" i="12"/>
  <c r="AO324" i="12"/>
  <c r="AP324" i="12"/>
  <c r="AQ324" i="12"/>
  <c r="AR324" i="12"/>
  <c r="AS324" i="12"/>
  <c r="AT324" i="12"/>
  <c r="AU324" i="12"/>
  <c r="AV324" i="12"/>
  <c r="AW324" i="12"/>
  <c r="AX324" i="12"/>
  <c r="AY324" i="12"/>
  <c r="AZ324" i="12"/>
  <c r="BA324" i="12"/>
  <c r="BB324" i="12"/>
  <c r="BC324" i="12"/>
  <c r="BD324" i="12"/>
  <c r="BE324" i="12"/>
  <c r="BF324" i="12"/>
  <c r="BG324" i="12"/>
  <c r="BH324" i="12"/>
  <c r="BI324" i="12"/>
  <c r="BJ324" i="12"/>
  <c r="BK324" i="12"/>
  <c r="BL324" i="12"/>
  <c r="BM324" i="12"/>
  <c r="BN324" i="12"/>
  <c r="A325" i="12"/>
  <c r="B325" i="12"/>
  <c r="C325" i="12"/>
  <c r="D325" i="12"/>
  <c r="E325" i="12"/>
  <c r="F325" i="12"/>
  <c r="G325" i="12"/>
  <c r="H325" i="12"/>
  <c r="I325" i="12"/>
  <c r="J325" i="12"/>
  <c r="K325" i="12"/>
  <c r="L325" i="12"/>
  <c r="M325" i="12"/>
  <c r="N325" i="12"/>
  <c r="O325" i="12"/>
  <c r="P325" i="12"/>
  <c r="Q325" i="12"/>
  <c r="R325" i="12"/>
  <c r="S325" i="12"/>
  <c r="T325" i="12"/>
  <c r="U325" i="12"/>
  <c r="V325" i="12"/>
  <c r="AA325" i="12"/>
  <c r="AB325" i="12"/>
  <c r="AC325" i="12"/>
  <c r="AD325" i="12"/>
  <c r="AE325" i="12"/>
  <c r="AF325" i="12"/>
  <c r="AG325" i="12"/>
  <c r="AH325" i="12"/>
  <c r="AI325" i="12"/>
  <c r="AJ325" i="12"/>
  <c r="AK325" i="12"/>
  <c r="AL325" i="12"/>
  <c r="AM325" i="12"/>
  <c r="AN325" i="12"/>
  <c r="AO325" i="12"/>
  <c r="AP325" i="12"/>
  <c r="AQ325" i="12"/>
  <c r="AR325" i="12"/>
  <c r="AS325" i="12"/>
  <c r="AT325" i="12"/>
  <c r="AU325" i="12"/>
  <c r="AV325" i="12"/>
  <c r="AW325" i="12"/>
  <c r="AX325" i="12"/>
  <c r="AY325" i="12"/>
  <c r="AZ325" i="12"/>
  <c r="BA325" i="12"/>
  <c r="BB325" i="12"/>
  <c r="BC325" i="12"/>
  <c r="BD325" i="12"/>
  <c r="BE325" i="12"/>
  <c r="BF325" i="12"/>
  <c r="BG325" i="12"/>
  <c r="BH325" i="12"/>
  <c r="BI325" i="12"/>
  <c r="BJ325" i="12"/>
  <c r="BK325" i="12"/>
  <c r="BL325" i="12"/>
  <c r="BM325" i="12"/>
  <c r="BN325" i="12"/>
  <c r="A326" i="12"/>
  <c r="B326" i="12"/>
  <c r="C326" i="12"/>
  <c r="D326" i="12"/>
  <c r="E326" i="12"/>
  <c r="F326" i="12"/>
  <c r="G326" i="12"/>
  <c r="H326" i="12"/>
  <c r="I326" i="12"/>
  <c r="J326" i="12"/>
  <c r="K326" i="12"/>
  <c r="L326" i="12"/>
  <c r="M326" i="12"/>
  <c r="N326" i="12"/>
  <c r="O326" i="12"/>
  <c r="P326" i="12"/>
  <c r="Q326" i="12"/>
  <c r="R326" i="12"/>
  <c r="S326" i="12"/>
  <c r="T326" i="12"/>
  <c r="U326" i="12"/>
  <c r="V326" i="12"/>
  <c r="AA326" i="12"/>
  <c r="AB326" i="12"/>
  <c r="AC326" i="12"/>
  <c r="AD326" i="12"/>
  <c r="AE326" i="12"/>
  <c r="AF326" i="12"/>
  <c r="AG326" i="12"/>
  <c r="AH326" i="12"/>
  <c r="AI326" i="12"/>
  <c r="AJ326" i="12"/>
  <c r="AK326" i="12"/>
  <c r="AL326" i="12"/>
  <c r="AM326" i="12"/>
  <c r="AN326" i="12"/>
  <c r="AO326" i="12"/>
  <c r="AP326" i="12"/>
  <c r="AQ326" i="12"/>
  <c r="AR326" i="12"/>
  <c r="AS326" i="12"/>
  <c r="AT326" i="12"/>
  <c r="AU326" i="12"/>
  <c r="AV326" i="12"/>
  <c r="AW326" i="12"/>
  <c r="AX326" i="12"/>
  <c r="AY326" i="12"/>
  <c r="AZ326" i="12"/>
  <c r="BA326" i="12"/>
  <c r="BB326" i="12"/>
  <c r="BC326" i="12"/>
  <c r="BD326" i="12"/>
  <c r="BE326" i="12"/>
  <c r="BF326" i="12"/>
  <c r="BG326" i="12"/>
  <c r="BH326" i="12"/>
  <c r="BI326" i="12"/>
  <c r="BJ326" i="12"/>
  <c r="BK326" i="12"/>
  <c r="BL326" i="12"/>
  <c r="BM326" i="12"/>
  <c r="BN326" i="12"/>
  <c r="A327" i="12"/>
  <c r="B327" i="12"/>
  <c r="C327" i="12"/>
  <c r="D327" i="12"/>
  <c r="E327" i="12"/>
  <c r="F327" i="12"/>
  <c r="G327" i="12"/>
  <c r="H327" i="12"/>
  <c r="I327" i="12"/>
  <c r="J327" i="12"/>
  <c r="K327" i="12"/>
  <c r="L327" i="12"/>
  <c r="M327" i="12"/>
  <c r="N327" i="12"/>
  <c r="O327" i="12"/>
  <c r="P327" i="12"/>
  <c r="Q327" i="12"/>
  <c r="R327" i="12"/>
  <c r="S327" i="12"/>
  <c r="T327" i="12"/>
  <c r="U327" i="12"/>
  <c r="V327" i="12"/>
  <c r="AA327" i="12"/>
  <c r="AB327" i="12"/>
  <c r="AC327" i="12"/>
  <c r="AD327" i="12"/>
  <c r="AE327" i="12"/>
  <c r="AF327" i="12"/>
  <c r="AG327" i="12"/>
  <c r="AH327" i="12"/>
  <c r="AI327" i="12"/>
  <c r="AJ327" i="12"/>
  <c r="AK327" i="12"/>
  <c r="AL327" i="12"/>
  <c r="AM327" i="12"/>
  <c r="AN327" i="12"/>
  <c r="AO327" i="12"/>
  <c r="AP327" i="12"/>
  <c r="AQ327" i="12"/>
  <c r="AR327" i="12"/>
  <c r="AS327" i="12"/>
  <c r="AT327" i="12"/>
  <c r="AU327" i="12"/>
  <c r="AV327" i="12"/>
  <c r="AW327" i="12"/>
  <c r="AX327" i="12"/>
  <c r="AY327" i="12"/>
  <c r="AZ327" i="12"/>
  <c r="BA327" i="12"/>
  <c r="BB327" i="12"/>
  <c r="BC327" i="12"/>
  <c r="BD327" i="12"/>
  <c r="BE327" i="12"/>
  <c r="BF327" i="12"/>
  <c r="BG327" i="12"/>
  <c r="BH327" i="12"/>
  <c r="BI327" i="12"/>
  <c r="BJ327" i="12"/>
  <c r="BK327" i="12"/>
  <c r="BL327" i="12"/>
  <c r="BM327" i="12"/>
  <c r="BN327" i="12"/>
  <c r="A328" i="12"/>
  <c r="B328" i="12"/>
  <c r="C328" i="12"/>
  <c r="D328" i="12"/>
  <c r="E328" i="12"/>
  <c r="F328" i="12"/>
  <c r="G328" i="12"/>
  <c r="H328" i="12"/>
  <c r="I328" i="12"/>
  <c r="J328" i="12"/>
  <c r="K328" i="12"/>
  <c r="L328" i="12"/>
  <c r="M328" i="12"/>
  <c r="N328" i="12"/>
  <c r="O328" i="12"/>
  <c r="P328" i="12"/>
  <c r="Q328" i="12"/>
  <c r="R328" i="12"/>
  <c r="S328" i="12"/>
  <c r="T328" i="12"/>
  <c r="U328" i="12"/>
  <c r="V328" i="12"/>
  <c r="AA328" i="12"/>
  <c r="AB328" i="12"/>
  <c r="AC328" i="12"/>
  <c r="AD328" i="12"/>
  <c r="AE328" i="12"/>
  <c r="AF328" i="12"/>
  <c r="AG328" i="12"/>
  <c r="AH328" i="12"/>
  <c r="AI328" i="12"/>
  <c r="AJ328" i="12"/>
  <c r="AK328" i="12"/>
  <c r="AL328" i="12"/>
  <c r="AM328" i="12"/>
  <c r="AN328" i="12"/>
  <c r="AO328" i="12"/>
  <c r="AP328" i="12"/>
  <c r="AQ328" i="12"/>
  <c r="AR328" i="12"/>
  <c r="AS328" i="12"/>
  <c r="AT328" i="12"/>
  <c r="AU328" i="12"/>
  <c r="AV328" i="12"/>
  <c r="AW328" i="12"/>
  <c r="AX328" i="12"/>
  <c r="AY328" i="12"/>
  <c r="AZ328" i="12"/>
  <c r="BA328" i="12"/>
  <c r="BB328" i="12"/>
  <c r="BC328" i="12"/>
  <c r="BD328" i="12"/>
  <c r="BE328" i="12"/>
  <c r="BF328" i="12"/>
  <c r="BG328" i="12"/>
  <c r="BH328" i="12"/>
  <c r="BI328" i="12"/>
  <c r="BJ328" i="12"/>
  <c r="BK328" i="12"/>
  <c r="BL328" i="12"/>
  <c r="BM328" i="12"/>
  <c r="BN328" i="12"/>
  <c r="A329" i="12"/>
  <c r="B329" i="12"/>
  <c r="C329" i="12"/>
  <c r="D329" i="12"/>
  <c r="E329" i="12"/>
  <c r="F329" i="12"/>
  <c r="G329" i="12"/>
  <c r="H329" i="12"/>
  <c r="I329" i="12"/>
  <c r="J329" i="12"/>
  <c r="K329" i="12"/>
  <c r="L329" i="12"/>
  <c r="M329" i="12"/>
  <c r="N329" i="12"/>
  <c r="O329" i="12"/>
  <c r="P329" i="12"/>
  <c r="Q329" i="12"/>
  <c r="R329" i="12"/>
  <c r="S329" i="12"/>
  <c r="T329" i="12"/>
  <c r="U329" i="12"/>
  <c r="V329" i="12"/>
  <c r="AA329" i="12"/>
  <c r="AB329" i="12"/>
  <c r="AC329" i="12"/>
  <c r="AD329" i="12"/>
  <c r="AE329" i="12"/>
  <c r="AF329" i="12"/>
  <c r="AG329" i="12"/>
  <c r="AH329" i="12"/>
  <c r="AI329" i="12"/>
  <c r="AJ329" i="12"/>
  <c r="AK329" i="12"/>
  <c r="AL329" i="12"/>
  <c r="AM329" i="12"/>
  <c r="AN329" i="12"/>
  <c r="AO329" i="12"/>
  <c r="AP329" i="12"/>
  <c r="AQ329" i="12"/>
  <c r="AR329" i="12"/>
  <c r="AS329" i="12"/>
  <c r="AT329" i="12"/>
  <c r="AU329" i="12"/>
  <c r="AV329" i="12"/>
  <c r="AW329" i="12"/>
  <c r="AX329" i="12"/>
  <c r="AY329" i="12"/>
  <c r="AZ329" i="12"/>
  <c r="BA329" i="12"/>
  <c r="BB329" i="12"/>
  <c r="BC329" i="12"/>
  <c r="BD329" i="12"/>
  <c r="BE329" i="12"/>
  <c r="BF329" i="12"/>
  <c r="BG329" i="12"/>
  <c r="BH329" i="12"/>
  <c r="BI329" i="12"/>
  <c r="BJ329" i="12"/>
  <c r="BK329" i="12"/>
  <c r="BL329" i="12"/>
  <c r="BM329" i="12"/>
  <c r="BN329" i="12"/>
  <c r="A330" i="12"/>
  <c r="B330" i="12"/>
  <c r="C330" i="12"/>
  <c r="D330" i="12"/>
  <c r="E330" i="12"/>
  <c r="F330" i="12"/>
  <c r="G330" i="12"/>
  <c r="H330" i="12"/>
  <c r="I330" i="12"/>
  <c r="J330" i="12"/>
  <c r="K330" i="12"/>
  <c r="L330" i="12"/>
  <c r="M330" i="12"/>
  <c r="N330" i="12"/>
  <c r="O330" i="12"/>
  <c r="P330" i="12"/>
  <c r="Q330" i="12"/>
  <c r="R330" i="12"/>
  <c r="S330" i="12"/>
  <c r="T330" i="12"/>
  <c r="U330" i="12"/>
  <c r="V330" i="12"/>
  <c r="AA330" i="12"/>
  <c r="AB330" i="12"/>
  <c r="AC330" i="12"/>
  <c r="AD330" i="12"/>
  <c r="AE330" i="12"/>
  <c r="AF330" i="12"/>
  <c r="AG330" i="12"/>
  <c r="AH330" i="12"/>
  <c r="AI330" i="12"/>
  <c r="AJ330" i="12"/>
  <c r="AK330" i="12"/>
  <c r="AL330" i="12"/>
  <c r="AM330" i="12"/>
  <c r="AN330" i="12"/>
  <c r="AO330" i="12"/>
  <c r="AP330" i="12"/>
  <c r="AQ330" i="12"/>
  <c r="AR330" i="12"/>
  <c r="AS330" i="12"/>
  <c r="AT330" i="12"/>
  <c r="AU330" i="12"/>
  <c r="AV330" i="12"/>
  <c r="AW330" i="12"/>
  <c r="AX330" i="12"/>
  <c r="AY330" i="12"/>
  <c r="AZ330" i="12"/>
  <c r="BA330" i="12"/>
  <c r="BB330" i="12"/>
  <c r="BC330" i="12"/>
  <c r="BD330" i="12"/>
  <c r="BE330" i="12"/>
  <c r="BF330" i="12"/>
  <c r="BG330" i="12"/>
  <c r="BH330" i="12"/>
  <c r="BI330" i="12"/>
  <c r="BJ330" i="12"/>
  <c r="BK330" i="12"/>
  <c r="BL330" i="12"/>
  <c r="BM330" i="12"/>
  <c r="BN330" i="12"/>
  <c r="A331" i="12"/>
  <c r="B331" i="12"/>
  <c r="C331" i="12"/>
  <c r="D331" i="12"/>
  <c r="E331" i="12"/>
  <c r="F331" i="12"/>
  <c r="G331" i="12"/>
  <c r="H331" i="12"/>
  <c r="I331" i="12"/>
  <c r="J331" i="12"/>
  <c r="K331" i="12"/>
  <c r="L331" i="12"/>
  <c r="M331" i="12"/>
  <c r="N331" i="12"/>
  <c r="O331" i="12"/>
  <c r="P331" i="12"/>
  <c r="Q331" i="12"/>
  <c r="R331" i="12"/>
  <c r="S331" i="12"/>
  <c r="T331" i="12"/>
  <c r="U331" i="12"/>
  <c r="V331" i="12"/>
  <c r="AA331" i="12"/>
  <c r="AB331" i="12"/>
  <c r="AC331" i="12"/>
  <c r="AD331" i="12"/>
  <c r="AE331" i="12"/>
  <c r="AF331" i="12"/>
  <c r="AG331" i="12"/>
  <c r="AH331" i="12"/>
  <c r="AI331" i="12"/>
  <c r="AJ331" i="12"/>
  <c r="AK331" i="12"/>
  <c r="AL331" i="12"/>
  <c r="AM331" i="12"/>
  <c r="AN331" i="12"/>
  <c r="AO331" i="12"/>
  <c r="AP331" i="12"/>
  <c r="AQ331" i="12"/>
  <c r="AR331" i="12"/>
  <c r="AS331" i="12"/>
  <c r="AT331" i="12"/>
  <c r="AU331" i="12"/>
  <c r="AV331" i="12"/>
  <c r="AW331" i="12"/>
  <c r="AX331" i="12"/>
  <c r="AY331" i="12"/>
  <c r="AZ331" i="12"/>
  <c r="BA331" i="12"/>
  <c r="BB331" i="12"/>
  <c r="BC331" i="12"/>
  <c r="BD331" i="12"/>
  <c r="BE331" i="12"/>
  <c r="BF331" i="12"/>
  <c r="BG331" i="12"/>
  <c r="BH331" i="12"/>
  <c r="BI331" i="12"/>
  <c r="BJ331" i="12"/>
  <c r="BK331" i="12"/>
  <c r="BL331" i="12"/>
  <c r="BM331" i="12"/>
  <c r="BN331" i="12"/>
  <c r="A332" i="12"/>
  <c r="B332" i="12"/>
  <c r="C332" i="12"/>
  <c r="D332" i="12"/>
  <c r="E332" i="12"/>
  <c r="F332" i="12"/>
  <c r="G332" i="12"/>
  <c r="H332" i="12"/>
  <c r="I332" i="12"/>
  <c r="J332" i="12"/>
  <c r="K332" i="12"/>
  <c r="L332" i="12"/>
  <c r="M332" i="12"/>
  <c r="N332" i="12"/>
  <c r="O332" i="12"/>
  <c r="P332" i="12"/>
  <c r="Q332" i="12"/>
  <c r="R332" i="12"/>
  <c r="S332" i="12"/>
  <c r="T332" i="12"/>
  <c r="U332" i="12"/>
  <c r="V332" i="12"/>
  <c r="AA332" i="12"/>
  <c r="AB332" i="12"/>
  <c r="AC332" i="12"/>
  <c r="AD332" i="12"/>
  <c r="AE332" i="12"/>
  <c r="AF332" i="12"/>
  <c r="AG332" i="12"/>
  <c r="AH332" i="12"/>
  <c r="AI332" i="12"/>
  <c r="AJ332" i="12"/>
  <c r="AK332" i="12"/>
  <c r="AL332" i="12"/>
  <c r="AM332" i="12"/>
  <c r="AN332" i="12"/>
  <c r="AO332" i="12"/>
  <c r="AP332" i="12"/>
  <c r="AQ332" i="12"/>
  <c r="AR332" i="12"/>
  <c r="AS332" i="12"/>
  <c r="AT332" i="12"/>
  <c r="AU332" i="12"/>
  <c r="AV332" i="12"/>
  <c r="AW332" i="12"/>
  <c r="AX332" i="12"/>
  <c r="AY332" i="12"/>
  <c r="AZ332" i="12"/>
  <c r="BA332" i="12"/>
  <c r="BB332" i="12"/>
  <c r="BC332" i="12"/>
  <c r="BD332" i="12"/>
  <c r="BE332" i="12"/>
  <c r="BF332" i="12"/>
  <c r="BG332" i="12"/>
  <c r="BH332" i="12"/>
  <c r="BI332" i="12"/>
  <c r="BJ332" i="12"/>
  <c r="BK332" i="12"/>
  <c r="BL332" i="12"/>
  <c r="BM332" i="12"/>
  <c r="BN332" i="12"/>
  <c r="A333" i="12"/>
  <c r="B333" i="12"/>
  <c r="C333" i="12"/>
  <c r="D333" i="12"/>
  <c r="E333" i="12"/>
  <c r="F333" i="12"/>
  <c r="G333" i="12"/>
  <c r="H333" i="12"/>
  <c r="I333" i="12"/>
  <c r="J333" i="12"/>
  <c r="K333" i="12"/>
  <c r="L333" i="12"/>
  <c r="M333" i="12"/>
  <c r="N333" i="12"/>
  <c r="O333" i="12"/>
  <c r="P333" i="12"/>
  <c r="Q333" i="12"/>
  <c r="R333" i="12"/>
  <c r="S333" i="12"/>
  <c r="T333" i="12"/>
  <c r="U333" i="12"/>
  <c r="V333" i="12"/>
  <c r="AA333" i="12"/>
  <c r="AB333" i="12"/>
  <c r="AC333" i="12"/>
  <c r="AD333" i="12"/>
  <c r="AE333" i="12"/>
  <c r="AF333" i="12"/>
  <c r="AG333" i="12"/>
  <c r="AH333" i="12"/>
  <c r="AI333" i="12"/>
  <c r="AJ333" i="12"/>
  <c r="AK333" i="12"/>
  <c r="AL333" i="12"/>
  <c r="AM333" i="12"/>
  <c r="AN333" i="12"/>
  <c r="AO333" i="12"/>
  <c r="AP333" i="12"/>
  <c r="AQ333" i="12"/>
  <c r="AR333" i="12"/>
  <c r="AS333" i="12"/>
  <c r="AT333" i="12"/>
  <c r="AU333" i="12"/>
  <c r="AV333" i="12"/>
  <c r="AW333" i="12"/>
  <c r="AX333" i="12"/>
  <c r="AY333" i="12"/>
  <c r="AZ333" i="12"/>
  <c r="BA333" i="12"/>
  <c r="BB333" i="12"/>
  <c r="BC333" i="12"/>
  <c r="BD333" i="12"/>
  <c r="BE333" i="12"/>
  <c r="BF333" i="12"/>
  <c r="BG333" i="12"/>
  <c r="BH333" i="12"/>
  <c r="BI333" i="12"/>
  <c r="BJ333" i="12"/>
  <c r="BK333" i="12"/>
  <c r="BL333" i="12"/>
  <c r="BM333" i="12"/>
  <c r="BN333" i="12"/>
  <c r="A334" i="12"/>
  <c r="B334" i="12"/>
  <c r="C334" i="12"/>
  <c r="D334" i="12"/>
  <c r="E334" i="12"/>
  <c r="F334" i="12"/>
  <c r="G334" i="12"/>
  <c r="H334" i="12"/>
  <c r="I334" i="12"/>
  <c r="J334" i="12"/>
  <c r="K334" i="12"/>
  <c r="L334" i="12"/>
  <c r="M334" i="12"/>
  <c r="N334" i="12"/>
  <c r="O334" i="12"/>
  <c r="P334" i="12"/>
  <c r="Q334" i="12"/>
  <c r="R334" i="12"/>
  <c r="S334" i="12"/>
  <c r="T334" i="12"/>
  <c r="U334" i="12"/>
  <c r="V334" i="12"/>
  <c r="AA334" i="12"/>
  <c r="AB334" i="12"/>
  <c r="AC334" i="12"/>
  <c r="AD334" i="12"/>
  <c r="AE334" i="12"/>
  <c r="AF334" i="12"/>
  <c r="AG334" i="12"/>
  <c r="AH334" i="12"/>
  <c r="AI334" i="12"/>
  <c r="AJ334" i="12"/>
  <c r="AK334" i="12"/>
  <c r="AL334" i="12"/>
  <c r="AM334" i="12"/>
  <c r="AN334" i="12"/>
  <c r="AO334" i="12"/>
  <c r="AP334" i="12"/>
  <c r="AQ334" i="12"/>
  <c r="AR334" i="12"/>
  <c r="AS334" i="12"/>
  <c r="AT334" i="12"/>
  <c r="AU334" i="12"/>
  <c r="AV334" i="12"/>
  <c r="AW334" i="12"/>
  <c r="AX334" i="12"/>
  <c r="AY334" i="12"/>
  <c r="AZ334" i="12"/>
  <c r="BA334" i="12"/>
  <c r="BB334" i="12"/>
  <c r="BC334" i="12"/>
  <c r="BD334" i="12"/>
  <c r="BE334" i="12"/>
  <c r="BF334" i="12"/>
  <c r="BG334" i="12"/>
  <c r="BH334" i="12"/>
  <c r="BI334" i="12"/>
  <c r="BJ334" i="12"/>
  <c r="BK334" i="12"/>
  <c r="BL334" i="12"/>
  <c r="BM334" i="12"/>
  <c r="BN334" i="12"/>
  <c r="A335" i="12"/>
  <c r="B335" i="12"/>
  <c r="C335" i="12"/>
  <c r="D335" i="12"/>
  <c r="E335" i="12"/>
  <c r="F335" i="12"/>
  <c r="G335" i="12"/>
  <c r="H335" i="12"/>
  <c r="I335" i="12"/>
  <c r="J335" i="12"/>
  <c r="K335" i="12"/>
  <c r="L335" i="12"/>
  <c r="M335" i="12"/>
  <c r="N335" i="12"/>
  <c r="O335" i="12"/>
  <c r="P335" i="12"/>
  <c r="Q335" i="12"/>
  <c r="R335" i="12"/>
  <c r="S335" i="12"/>
  <c r="T335" i="12"/>
  <c r="U335" i="12"/>
  <c r="V335" i="12"/>
  <c r="AA335" i="12"/>
  <c r="AB335" i="12"/>
  <c r="AC335" i="12"/>
  <c r="AD335" i="12"/>
  <c r="AE335" i="12"/>
  <c r="AF335" i="12"/>
  <c r="AG335" i="12"/>
  <c r="AH335" i="12"/>
  <c r="AI335" i="12"/>
  <c r="AJ335" i="12"/>
  <c r="AK335" i="12"/>
  <c r="AL335" i="12"/>
  <c r="AM335" i="12"/>
  <c r="AN335" i="12"/>
  <c r="AO335" i="12"/>
  <c r="AP335" i="12"/>
  <c r="AQ335" i="12"/>
  <c r="AR335" i="12"/>
  <c r="AS335" i="12"/>
  <c r="AT335" i="12"/>
  <c r="AU335" i="12"/>
  <c r="AV335" i="12"/>
  <c r="AW335" i="12"/>
  <c r="AX335" i="12"/>
  <c r="AY335" i="12"/>
  <c r="AZ335" i="12"/>
  <c r="BA335" i="12"/>
  <c r="BB335" i="12"/>
  <c r="BC335" i="12"/>
  <c r="BD335" i="12"/>
  <c r="BE335" i="12"/>
  <c r="BF335" i="12"/>
  <c r="BG335" i="12"/>
  <c r="BH335" i="12"/>
  <c r="BI335" i="12"/>
  <c r="BJ335" i="12"/>
  <c r="BK335" i="12"/>
  <c r="BL335" i="12"/>
  <c r="BM335" i="12"/>
  <c r="BN335" i="12"/>
  <c r="A336" i="12"/>
  <c r="B336" i="12"/>
  <c r="C336" i="12"/>
  <c r="D336" i="12"/>
  <c r="E336" i="12"/>
  <c r="F336" i="12"/>
  <c r="G336" i="12"/>
  <c r="H336" i="12"/>
  <c r="I336" i="12"/>
  <c r="J336" i="12"/>
  <c r="K336" i="12"/>
  <c r="L336" i="12"/>
  <c r="M336" i="12"/>
  <c r="N336" i="12"/>
  <c r="O336" i="12"/>
  <c r="P336" i="12"/>
  <c r="Q336" i="12"/>
  <c r="R336" i="12"/>
  <c r="S336" i="12"/>
  <c r="T336" i="12"/>
  <c r="U336" i="12"/>
  <c r="V336" i="12"/>
  <c r="AA336" i="12"/>
  <c r="AB336" i="12"/>
  <c r="AC336" i="12"/>
  <c r="AD336" i="12"/>
  <c r="AE336" i="12"/>
  <c r="AF336" i="12"/>
  <c r="AG336" i="12"/>
  <c r="AH336" i="12"/>
  <c r="AI336" i="12"/>
  <c r="AJ336" i="12"/>
  <c r="AK336" i="12"/>
  <c r="AL336" i="12"/>
  <c r="AM336" i="12"/>
  <c r="AN336" i="12"/>
  <c r="AO336" i="12"/>
  <c r="AP336" i="12"/>
  <c r="AQ336" i="12"/>
  <c r="AR336" i="12"/>
  <c r="AS336" i="12"/>
  <c r="AT336" i="12"/>
  <c r="AU336" i="12"/>
  <c r="AV336" i="12"/>
  <c r="AW336" i="12"/>
  <c r="AX336" i="12"/>
  <c r="AY336" i="12"/>
  <c r="AZ336" i="12"/>
  <c r="BA336" i="12"/>
  <c r="BB336" i="12"/>
  <c r="BC336" i="12"/>
  <c r="BD336" i="12"/>
  <c r="BE336" i="12"/>
  <c r="BF336" i="12"/>
  <c r="BG336" i="12"/>
  <c r="BH336" i="12"/>
  <c r="BI336" i="12"/>
  <c r="BJ336" i="12"/>
  <c r="BK336" i="12"/>
  <c r="BL336" i="12"/>
  <c r="BM336" i="12"/>
  <c r="BN336" i="12"/>
  <c r="A337" i="12"/>
  <c r="B337" i="12"/>
  <c r="C337" i="12"/>
  <c r="D337" i="12"/>
  <c r="E337" i="12"/>
  <c r="F337" i="12"/>
  <c r="G337" i="12"/>
  <c r="H337" i="12"/>
  <c r="I337" i="12"/>
  <c r="J337" i="12"/>
  <c r="K337" i="12"/>
  <c r="L337" i="12"/>
  <c r="M337" i="12"/>
  <c r="N337" i="12"/>
  <c r="O337" i="12"/>
  <c r="P337" i="12"/>
  <c r="Q337" i="12"/>
  <c r="R337" i="12"/>
  <c r="S337" i="12"/>
  <c r="T337" i="12"/>
  <c r="U337" i="12"/>
  <c r="V337" i="12"/>
  <c r="AA337" i="12"/>
  <c r="AB337" i="12"/>
  <c r="AC337" i="12"/>
  <c r="AD337" i="12"/>
  <c r="AE337" i="12"/>
  <c r="AF337" i="12"/>
  <c r="AG337" i="12"/>
  <c r="AH337" i="12"/>
  <c r="AI337" i="12"/>
  <c r="AJ337" i="12"/>
  <c r="AK337" i="12"/>
  <c r="AL337" i="12"/>
  <c r="AM337" i="12"/>
  <c r="AN337" i="12"/>
  <c r="AO337" i="12"/>
  <c r="AP337" i="12"/>
  <c r="AQ337" i="12"/>
  <c r="AR337" i="12"/>
  <c r="AS337" i="12"/>
  <c r="AT337" i="12"/>
  <c r="AU337" i="12"/>
  <c r="AV337" i="12"/>
  <c r="AW337" i="12"/>
  <c r="AX337" i="12"/>
  <c r="AY337" i="12"/>
  <c r="AZ337" i="12"/>
  <c r="BA337" i="12"/>
  <c r="BB337" i="12"/>
  <c r="BC337" i="12"/>
  <c r="BD337" i="12"/>
  <c r="BE337" i="12"/>
  <c r="BF337" i="12"/>
  <c r="BG337" i="12"/>
  <c r="BH337" i="12"/>
  <c r="BI337" i="12"/>
  <c r="BJ337" i="12"/>
  <c r="BK337" i="12"/>
  <c r="BL337" i="12"/>
  <c r="BM337" i="12"/>
  <c r="BN337" i="12"/>
  <c r="A338" i="12"/>
  <c r="B338" i="12"/>
  <c r="C338" i="12"/>
  <c r="D338" i="12"/>
  <c r="E338" i="12"/>
  <c r="F338" i="12"/>
  <c r="G338" i="12"/>
  <c r="H338" i="12"/>
  <c r="I338" i="12"/>
  <c r="J338" i="12"/>
  <c r="K338" i="12"/>
  <c r="L338" i="12"/>
  <c r="M338" i="12"/>
  <c r="N338" i="12"/>
  <c r="O338" i="12"/>
  <c r="P338" i="12"/>
  <c r="Q338" i="12"/>
  <c r="R338" i="12"/>
  <c r="S338" i="12"/>
  <c r="T338" i="12"/>
  <c r="U338" i="12"/>
  <c r="V338" i="12"/>
  <c r="AA338" i="12"/>
  <c r="AB338" i="12"/>
  <c r="AC338" i="12"/>
  <c r="AD338" i="12"/>
  <c r="AE338" i="12"/>
  <c r="AF338" i="12"/>
  <c r="AG338" i="12"/>
  <c r="AH338" i="12"/>
  <c r="AI338" i="12"/>
  <c r="AJ338" i="12"/>
  <c r="AK338" i="12"/>
  <c r="AL338" i="12"/>
  <c r="AM338" i="12"/>
  <c r="AN338" i="12"/>
  <c r="AO338" i="12"/>
  <c r="AP338" i="12"/>
  <c r="AQ338" i="12"/>
  <c r="AR338" i="12"/>
  <c r="AS338" i="12"/>
  <c r="AT338" i="12"/>
  <c r="AU338" i="12"/>
  <c r="AV338" i="12"/>
  <c r="AW338" i="12"/>
  <c r="AX338" i="12"/>
  <c r="AY338" i="12"/>
  <c r="AZ338" i="12"/>
  <c r="BA338" i="12"/>
  <c r="BB338" i="12"/>
  <c r="BC338" i="12"/>
  <c r="BD338" i="12"/>
  <c r="BE338" i="12"/>
  <c r="BF338" i="12"/>
  <c r="BG338" i="12"/>
  <c r="BH338" i="12"/>
  <c r="BI338" i="12"/>
  <c r="BJ338" i="12"/>
  <c r="BK338" i="12"/>
  <c r="BL338" i="12"/>
  <c r="BM338" i="12"/>
  <c r="BN338" i="12"/>
  <c r="A339" i="12"/>
  <c r="B339" i="12"/>
  <c r="C339" i="12"/>
  <c r="D339" i="12"/>
  <c r="E339" i="12"/>
  <c r="F339" i="12"/>
  <c r="G339" i="12"/>
  <c r="H339" i="12"/>
  <c r="I339" i="12"/>
  <c r="J339" i="12"/>
  <c r="K339" i="12"/>
  <c r="L339" i="12"/>
  <c r="M339" i="12"/>
  <c r="N339" i="12"/>
  <c r="O339" i="12"/>
  <c r="P339" i="12"/>
  <c r="Q339" i="12"/>
  <c r="R339" i="12"/>
  <c r="S339" i="12"/>
  <c r="T339" i="12"/>
  <c r="U339" i="12"/>
  <c r="V339" i="12"/>
  <c r="AA339" i="12"/>
  <c r="AB339" i="12"/>
  <c r="AC339" i="12"/>
  <c r="AD339" i="12"/>
  <c r="AE339" i="12"/>
  <c r="AF339" i="12"/>
  <c r="AG339" i="12"/>
  <c r="AH339" i="12"/>
  <c r="AI339" i="12"/>
  <c r="AJ339" i="12"/>
  <c r="AK339" i="12"/>
  <c r="AL339" i="12"/>
  <c r="AM339" i="12"/>
  <c r="AN339" i="12"/>
  <c r="AO339" i="12"/>
  <c r="AP339" i="12"/>
  <c r="AQ339" i="12"/>
  <c r="AR339" i="12"/>
  <c r="AS339" i="12"/>
  <c r="AT339" i="12"/>
  <c r="AU339" i="12"/>
  <c r="AV339" i="12"/>
  <c r="AW339" i="12"/>
  <c r="AX339" i="12"/>
  <c r="AY339" i="12"/>
  <c r="AZ339" i="12"/>
  <c r="BA339" i="12"/>
  <c r="BB339" i="12"/>
  <c r="BC339" i="12"/>
  <c r="BD339" i="12"/>
  <c r="BE339" i="12"/>
  <c r="BF339" i="12"/>
  <c r="BG339" i="12"/>
  <c r="BH339" i="12"/>
  <c r="BI339" i="12"/>
  <c r="BJ339" i="12"/>
  <c r="BK339" i="12"/>
  <c r="BL339" i="12"/>
  <c r="BM339" i="12"/>
  <c r="BN339" i="12"/>
  <c r="A340" i="12"/>
  <c r="B340" i="12"/>
  <c r="C340" i="12"/>
  <c r="D340" i="12"/>
  <c r="E340" i="12"/>
  <c r="F340" i="12"/>
  <c r="G340" i="12"/>
  <c r="H340" i="12"/>
  <c r="I340" i="12"/>
  <c r="J340" i="12"/>
  <c r="K340" i="12"/>
  <c r="L340" i="12"/>
  <c r="M340" i="12"/>
  <c r="N340" i="12"/>
  <c r="O340" i="12"/>
  <c r="P340" i="12"/>
  <c r="Q340" i="12"/>
  <c r="R340" i="12"/>
  <c r="S340" i="12"/>
  <c r="T340" i="12"/>
  <c r="U340" i="12"/>
  <c r="V340" i="12"/>
  <c r="AA340" i="12"/>
  <c r="AB340" i="12"/>
  <c r="AC340" i="12"/>
  <c r="AD340" i="12"/>
  <c r="AE340" i="12"/>
  <c r="AF340" i="12"/>
  <c r="AG340" i="12"/>
  <c r="AH340" i="12"/>
  <c r="AI340" i="12"/>
  <c r="AJ340" i="12"/>
  <c r="AK340" i="12"/>
  <c r="AL340" i="12"/>
  <c r="AM340" i="12"/>
  <c r="AN340" i="12"/>
  <c r="AO340" i="12"/>
  <c r="AP340" i="12"/>
  <c r="AQ340" i="12"/>
  <c r="AR340" i="12"/>
  <c r="AS340" i="12"/>
  <c r="AT340" i="12"/>
  <c r="AU340" i="12"/>
  <c r="AV340" i="12"/>
  <c r="AW340" i="12"/>
  <c r="AX340" i="12"/>
  <c r="AY340" i="12"/>
  <c r="AZ340" i="12"/>
  <c r="BA340" i="12"/>
  <c r="BB340" i="12"/>
  <c r="BC340" i="12"/>
  <c r="BD340" i="12"/>
  <c r="BE340" i="12"/>
  <c r="BF340" i="12"/>
  <c r="BG340" i="12"/>
  <c r="BH340" i="12"/>
  <c r="BI340" i="12"/>
  <c r="BJ340" i="12"/>
  <c r="BK340" i="12"/>
  <c r="BL340" i="12"/>
  <c r="BM340" i="12"/>
  <c r="BN340" i="12"/>
  <c r="A341" i="12"/>
  <c r="B341" i="12"/>
  <c r="C341" i="12"/>
  <c r="D341" i="12"/>
  <c r="E341" i="12"/>
  <c r="F341" i="12"/>
  <c r="G341" i="12"/>
  <c r="H341" i="12"/>
  <c r="I341" i="12"/>
  <c r="J341" i="12"/>
  <c r="K341" i="12"/>
  <c r="L341" i="12"/>
  <c r="M341" i="12"/>
  <c r="N341" i="12"/>
  <c r="O341" i="12"/>
  <c r="P341" i="12"/>
  <c r="Q341" i="12"/>
  <c r="R341" i="12"/>
  <c r="S341" i="12"/>
  <c r="T341" i="12"/>
  <c r="U341" i="12"/>
  <c r="V341" i="12"/>
  <c r="AA341" i="12"/>
  <c r="AB341" i="12"/>
  <c r="AC341" i="12"/>
  <c r="AD341" i="12"/>
  <c r="AE341" i="12"/>
  <c r="AF341" i="12"/>
  <c r="AG341" i="12"/>
  <c r="AH341" i="12"/>
  <c r="AI341" i="12"/>
  <c r="AJ341" i="12"/>
  <c r="AK341" i="12"/>
  <c r="AL341" i="12"/>
  <c r="AM341" i="12"/>
  <c r="AN341" i="12"/>
  <c r="AO341" i="12"/>
  <c r="AP341" i="12"/>
  <c r="AQ341" i="12"/>
  <c r="AR341" i="12"/>
  <c r="AS341" i="12"/>
  <c r="AT341" i="12"/>
  <c r="AU341" i="12"/>
  <c r="AV341" i="12"/>
  <c r="AW341" i="12"/>
  <c r="AX341" i="12"/>
  <c r="AY341" i="12"/>
  <c r="AZ341" i="12"/>
  <c r="BA341" i="12"/>
  <c r="BB341" i="12"/>
  <c r="BC341" i="12"/>
  <c r="BD341" i="12"/>
  <c r="BE341" i="12"/>
  <c r="BF341" i="12"/>
  <c r="BG341" i="12"/>
  <c r="BH341" i="12"/>
  <c r="BI341" i="12"/>
  <c r="BJ341" i="12"/>
  <c r="BK341" i="12"/>
  <c r="BL341" i="12"/>
  <c r="BM341" i="12"/>
  <c r="BN341" i="12"/>
  <c r="A342" i="12"/>
  <c r="B342" i="12"/>
  <c r="C342" i="12"/>
  <c r="D342" i="12"/>
  <c r="E342" i="12"/>
  <c r="F342" i="12"/>
  <c r="G342" i="12"/>
  <c r="H342" i="12"/>
  <c r="I342" i="12"/>
  <c r="J342" i="12"/>
  <c r="K342" i="12"/>
  <c r="L342" i="12"/>
  <c r="M342" i="12"/>
  <c r="N342" i="12"/>
  <c r="O342" i="12"/>
  <c r="P342" i="12"/>
  <c r="Q342" i="12"/>
  <c r="R342" i="12"/>
  <c r="S342" i="12"/>
  <c r="T342" i="12"/>
  <c r="U342" i="12"/>
  <c r="V342" i="12"/>
  <c r="AA342" i="12"/>
  <c r="AB342" i="12"/>
  <c r="AC342" i="12"/>
  <c r="AD342" i="12"/>
  <c r="AE342" i="12"/>
  <c r="AF342" i="12"/>
  <c r="AG342" i="12"/>
  <c r="AH342" i="12"/>
  <c r="AI342" i="12"/>
  <c r="AJ342" i="12"/>
  <c r="AK342" i="12"/>
  <c r="AL342" i="12"/>
  <c r="AM342" i="12"/>
  <c r="AN342" i="12"/>
  <c r="AO342" i="12"/>
  <c r="AP342" i="12"/>
  <c r="AQ342" i="12"/>
  <c r="AR342" i="12"/>
  <c r="AS342" i="12"/>
  <c r="AT342" i="12"/>
  <c r="AU342" i="12"/>
  <c r="AV342" i="12"/>
  <c r="AW342" i="12"/>
  <c r="AX342" i="12"/>
  <c r="AY342" i="12"/>
  <c r="AZ342" i="12"/>
  <c r="BA342" i="12"/>
  <c r="BB342" i="12"/>
  <c r="BC342" i="12"/>
  <c r="BD342" i="12"/>
  <c r="BE342" i="12"/>
  <c r="BF342" i="12"/>
  <c r="BG342" i="12"/>
  <c r="BH342" i="12"/>
  <c r="BI342" i="12"/>
  <c r="BJ342" i="12"/>
  <c r="BK342" i="12"/>
  <c r="BL342" i="12"/>
  <c r="BM342" i="12"/>
  <c r="BN342" i="12"/>
  <c r="A343" i="12"/>
  <c r="B343" i="12"/>
  <c r="C343" i="12"/>
  <c r="D343" i="12"/>
  <c r="E343" i="12"/>
  <c r="F343" i="12"/>
  <c r="G343" i="12"/>
  <c r="H343" i="12"/>
  <c r="I343" i="12"/>
  <c r="J343" i="12"/>
  <c r="K343" i="12"/>
  <c r="L343" i="12"/>
  <c r="M343" i="12"/>
  <c r="N343" i="12"/>
  <c r="O343" i="12"/>
  <c r="P343" i="12"/>
  <c r="Q343" i="12"/>
  <c r="R343" i="12"/>
  <c r="S343" i="12"/>
  <c r="T343" i="12"/>
  <c r="U343" i="12"/>
  <c r="V343" i="12"/>
  <c r="AA343" i="12"/>
  <c r="AB343" i="12"/>
  <c r="AC343" i="12"/>
  <c r="AD343" i="12"/>
  <c r="AE343" i="12"/>
  <c r="AF343" i="12"/>
  <c r="AG343" i="12"/>
  <c r="AH343" i="12"/>
  <c r="AI343" i="12"/>
  <c r="AJ343" i="12"/>
  <c r="AK343" i="12"/>
  <c r="AL343" i="12"/>
  <c r="AM343" i="12"/>
  <c r="AN343" i="12"/>
  <c r="AO343" i="12"/>
  <c r="AP343" i="12"/>
  <c r="AQ343" i="12"/>
  <c r="AR343" i="12"/>
  <c r="AS343" i="12"/>
  <c r="AT343" i="12"/>
  <c r="AU343" i="12"/>
  <c r="AV343" i="12"/>
  <c r="AW343" i="12"/>
  <c r="AX343" i="12"/>
  <c r="AY343" i="12"/>
  <c r="AZ343" i="12"/>
  <c r="BA343" i="12"/>
  <c r="BB343" i="12"/>
  <c r="BC343" i="12"/>
  <c r="BD343" i="12"/>
  <c r="BE343" i="12"/>
  <c r="BF343" i="12"/>
  <c r="BG343" i="12"/>
  <c r="BH343" i="12"/>
  <c r="BI343" i="12"/>
  <c r="BJ343" i="12"/>
  <c r="BK343" i="12"/>
  <c r="BL343" i="12"/>
  <c r="BM343" i="12"/>
  <c r="BN343" i="12"/>
  <c r="A344" i="12"/>
  <c r="B344" i="12"/>
  <c r="C344" i="12"/>
  <c r="D344" i="12"/>
  <c r="E344" i="12"/>
  <c r="F344" i="12"/>
  <c r="G344" i="12"/>
  <c r="H344" i="12"/>
  <c r="I344" i="12"/>
  <c r="J344" i="12"/>
  <c r="K344" i="12"/>
  <c r="L344" i="12"/>
  <c r="M344" i="12"/>
  <c r="N344" i="12"/>
  <c r="O344" i="12"/>
  <c r="P344" i="12"/>
  <c r="Q344" i="12"/>
  <c r="R344" i="12"/>
  <c r="S344" i="12"/>
  <c r="T344" i="12"/>
  <c r="U344" i="12"/>
  <c r="V344" i="12"/>
  <c r="AA344" i="12"/>
  <c r="AB344" i="12"/>
  <c r="AC344" i="12"/>
  <c r="AD344" i="12"/>
  <c r="AE344" i="12"/>
  <c r="AF344" i="12"/>
  <c r="AG344" i="12"/>
  <c r="AH344" i="12"/>
  <c r="AI344" i="12"/>
  <c r="AJ344" i="12"/>
  <c r="AK344" i="12"/>
  <c r="AL344" i="12"/>
  <c r="AM344" i="12"/>
  <c r="AN344" i="12"/>
  <c r="AO344" i="12"/>
  <c r="AP344" i="12"/>
  <c r="AQ344" i="12"/>
  <c r="AR344" i="12"/>
  <c r="AS344" i="12"/>
  <c r="AT344" i="12"/>
  <c r="AU344" i="12"/>
  <c r="AV344" i="12"/>
  <c r="AW344" i="12"/>
  <c r="AX344" i="12"/>
  <c r="AY344" i="12"/>
  <c r="AZ344" i="12"/>
  <c r="BA344" i="12"/>
  <c r="BB344" i="12"/>
  <c r="BC344" i="12"/>
  <c r="BD344" i="12"/>
  <c r="BE344" i="12"/>
  <c r="BF344" i="12"/>
  <c r="BG344" i="12"/>
  <c r="BH344" i="12"/>
  <c r="BI344" i="12"/>
  <c r="BJ344" i="12"/>
  <c r="BK344" i="12"/>
  <c r="BL344" i="12"/>
  <c r="BM344" i="12"/>
  <c r="BN344" i="12"/>
  <c r="A345" i="12"/>
  <c r="B345" i="12"/>
  <c r="C345" i="12"/>
  <c r="D345" i="12"/>
  <c r="E345" i="12"/>
  <c r="F345" i="12"/>
  <c r="G345" i="12"/>
  <c r="H345" i="12"/>
  <c r="I345" i="12"/>
  <c r="J345" i="12"/>
  <c r="K345" i="12"/>
  <c r="L345" i="12"/>
  <c r="M345" i="12"/>
  <c r="N345" i="12"/>
  <c r="O345" i="12"/>
  <c r="P345" i="12"/>
  <c r="Q345" i="12"/>
  <c r="R345" i="12"/>
  <c r="S345" i="12"/>
  <c r="T345" i="12"/>
  <c r="U345" i="12"/>
  <c r="V345" i="12"/>
  <c r="AA345" i="12"/>
  <c r="AB345" i="12"/>
  <c r="AC345" i="12"/>
  <c r="AD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AR345" i="12"/>
  <c r="AS345" i="12"/>
  <c r="AT345" i="12"/>
  <c r="AU345" i="12"/>
  <c r="AV345" i="12"/>
  <c r="AW345" i="12"/>
  <c r="AX345" i="12"/>
  <c r="AY345" i="12"/>
  <c r="AZ345" i="12"/>
  <c r="BA345" i="12"/>
  <c r="BB345" i="12"/>
  <c r="BC345" i="12"/>
  <c r="BD345" i="12"/>
  <c r="BE345" i="12"/>
  <c r="BF345" i="12"/>
  <c r="BG345" i="12"/>
  <c r="BH345" i="12"/>
  <c r="BI345" i="12"/>
  <c r="BJ345" i="12"/>
  <c r="BK345" i="12"/>
  <c r="BL345" i="12"/>
  <c r="BM345" i="12"/>
  <c r="BN345" i="12"/>
  <c r="A346" i="12"/>
  <c r="B346" i="12"/>
  <c r="C346" i="12"/>
  <c r="D346" i="12"/>
  <c r="E346" i="12"/>
  <c r="F346" i="12"/>
  <c r="G346" i="12"/>
  <c r="H346" i="12"/>
  <c r="I346" i="12"/>
  <c r="J346" i="12"/>
  <c r="K346" i="12"/>
  <c r="L346" i="12"/>
  <c r="M346" i="12"/>
  <c r="N346" i="12"/>
  <c r="O346" i="12"/>
  <c r="P346" i="12"/>
  <c r="Q346" i="12"/>
  <c r="R346" i="12"/>
  <c r="S346" i="12"/>
  <c r="T346" i="12"/>
  <c r="U346" i="12"/>
  <c r="V346" i="12"/>
  <c r="AA346" i="12"/>
  <c r="AB346" i="12"/>
  <c r="AC346" i="12"/>
  <c r="AD346" i="12"/>
  <c r="AE346" i="12"/>
  <c r="AF346" i="12"/>
  <c r="AG346" i="12"/>
  <c r="AH346" i="12"/>
  <c r="AI346" i="12"/>
  <c r="AJ346" i="12"/>
  <c r="AK346" i="12"/>
  <c r="AL346" i="12"/>
  <c r="AM346" i="12"/>
  <c r="AN346" i="12"/>
  <c r="AO346" i="12"/>
  <c r="AP346" i="12"/>
  <c r="AQ346" i="12"/>
  <c r="AR346" i="12"/>
  <c r="AS346" i="12"/>
  <c r="AT346" i="12"/>
  <c r="AU346" i="12"/>
  <c r="AV346" i="12"/>
  <c r="AW346" i="12"/>
  <c r="AX346" i="12"/>
  <c r="AY346" i="12"/>
  <c r="AZ346" i="12"/>
  <c r="BA346" i="12"/>
  <c r="BB346" i="12"/>
  <c r="BC346" i="12"/>
  <c r="BD346" i="12"/>
  <c r="BE346" i="12"/>
  <c r="BF346" i="12"/>
  <c r="BG346" i="12"/>
  <c r="BH346" i="12"/>
  <c r="BI346" i="12"/>
  <c r="BJ346" i="12"/>
  <c r="BK346" i="12"/>
  <c r="BL346" i="12"/>
  <c r="BM346" i="12"/>
  <c r="BN346" i="12"/>
  <c r="A347" i="12"/>
  <c r="B347" i="12"/>
  <c r="C347" i="12"/>
  <c r="D347" i="12"/>
  <c r="E347" i="12"/>
  <c r="F347" i="12"/>
  <c r="G347" i="12"/>
  <c r="H347" i="12"/>
  <c r="I347" i="12"/>
  <c r="J347" i="12"/>
  <c r="K347" i="12"/>
  <c r="L347" i="12"/>
  <c r="M347" i="12"/>
  <c r="N347" i="12"/>
  <c r="O347" i="12"/>
  <c r="P347" i="12"/>
  <c r="Q347" i="12"/>
  <c r="R347" i="12"/>
  <c r="S347" i="12"/>
  <c r="T347" i="12"/>
  <c r="U347" i="12"/>
  <c r="V347" i="12"/>
  <c r="AA347" i="12"/>
  <c r="AB347" i="12"/>
  <c r="AC347" i="12"/>
  <c r="AD347" i="12"/>
  <c r="AE347" i="12"/>
  <c r="AF347" i="12"/>
  <c r="AG347" i="12"/>
  <c r="AH347" i="12"/>
  <c r="AI347" i="12"/>
  <c r="AJ347" i="12"/>
  <c r="AK347" i="12"/>
  <c r="AL347" i="12"/>
  <c r="AM347" i="12"/>
  <c r="AN347" i="12"/>
  <c r="AO347" i="12"/>
  <c r="AP347" i="12"/>
  <c r="AQ347" i="12"/>
  <c r="AR347" i="12"/>
  <c r="AS347" i="12"/>
  <c r="AT347" i="12"/>
  <c r="AU347" i="12"/>
  <c r="AV347" i="12"/>
  <c r="AW347" i="12"/>
  <c r="AX347" i="12"/>
  <c r="AY347" i="12"/>
  <c r="AZ347" i="12"/>
  <c r="BA347" i="12"/>
  <c r="BB347" i="12"/>
  <c r="BC347" i="12"/>
  <c r="BD347" i="12"/>
  <c r="BE347" i="12"/>
  <c r="BF347" i="12"/>
  <c r="BG347" i="12"/>
  <c r="BH347" i="12"/>
  <c r="BI347" i="12"/>
  <c r="BJ347" i="12"/>
  <c r="BK347" i="12"/>
  <c r="BL347" i="12"/>
  <c r="BM347" i="12"/>
  <c r="BN347" i="12"/>
  <c r="A348" i="12"/>
  <c r="B348" i="12"/>
  <c r="C348" i="12"/>
  <c r="D348" i="12"/>
  <c r="E348" i="12"/>
  <c r="F348" i="12"/>
  <c r="G348" i="12"/>
  <c r="H348" i="12"/>
  <c r="I348" i="12"/>
  <c r="J348" i="12"/>
  <c r="K348" i="12"/>
  <c r="L348" i="12"/>
  <c r="M348" i="12"/>
  <c r="N348" i="12"/>
  <c r="O348" i="12"/>
  <c r="P348" i="12"/>
  <c r="Q348" i="12"/>
  <c r="R348" i="12"/>
  <c r="S348" i="12"/>
  <c r="T348" i="12"/>
  <c r="U348" i="12"/>
  <c r="V348" i="12"/>
  <c r="AA348" i="12"/>
  <c r="AB348" i="12"/>
  <c r="AC348" i="12"/>
  <c r="AD348" i="12"/>
  <c r="AE348" i="12"/>
  <c r="AF348" i="12"/>
  <c r="AG348" i="12"/>
  <c r="AH348" i="12"/>
  <c r="AI348" i="12"/>
  <c r="AJ348" i="12"/>
  <c r="AK348" i="12"/>
  <c r="AL348" i="12"/>
  <c r="AM348" i="12"/>
  <c r="AN348" i="12"/>
  <c r="AO348" i="12"/>
  <c r="AP348" i="12"/>
  <c r="AQ348" i="12"/>
  <c r="AR348" i="12"/>
  <c r="AS348" i="12"/>
  <c r="AT348" i="12"/>
  <c r="AU348" i="12"/>
  <c r="AV348" i="12"/>
  <c r="AW348" i="12"/>
  <c r="AX348" i="12"/>
  <c r="AY348" i="12"/>
  <c r="AZ348" i="12"/>
  <c r="BA348" i="12"/>
  <c r="BB348" i="12"/>
  <c r="BC348" i="12"/>
  <c r="BD348" i="12"/>
  <c r="BE348" i="12"/>
  <c r="BF348" i="12"/>
  <c r="BG348" i="12"/>
  <c r="BH348" i="12"/>
  <c r="BI348" i="12"/>
  <c r="BJ348" i="12"/>
  <c r="BK348" i="12"/>
  <c r="BL348" i="12"/>
  <c r="BM348" i="12"/>
  <c r="BN348" i="12"/>
  <c r="A349" i="12"/>
  <c r="B349" i="12"/>
  <c r="C349" i="12"/>
  <c r="D349" i="12"/>
  <c r="E349" i="12"/>
  <c r="F349" i="12"/>
  <c r="G349" i="12"/>
  <c r="H349" i="12"/>
  <c r="I349" i="12"/>
  <c r="J349" i="12"/>
  <c r="K349" i="12"/>
  <c r="L349" i="12"/>
  <c r="M349" i="12"/>
  <c r="N349" i="12"/>
  <c r="O349" i="12"/>
  <c r="P349" i="12"/>
  <c r="Q349" i="12"/>
  <c r="R349" i="12"/>
  <c r="S349" i="12"/>
  <c r="T349" i="12"/>
  <c r="U349" i="12"/>
  <c r="V349" i="12"/>
  <c r="AA349" i="12"/>
  <c r="AB349" i="12"/>
  <c r="AC349" i="12"/>
  <c r="AD349" i="12"/>
  <c r="AE349" i="12"/>
  <c r="AF349" i="12"/>
  <c r="AG349" i="12"/>
  <c r="AH349" i="12"/>
  <c r="AI349" i="12"/>
  <c r="AJ349" i="12"/>
  <c r="AK349" i="12"/>
  <c r="AL349" i="12"/>
  <c r="AM349" i="12"/>
  <c r="AN349" i="12"/>
  <c r="AO349" i="12"/>
  <c r="AP349" i="12"/>
  <c r="AQ349" i="12"/>
  <c r="AR349" i="12"/>
  <c r="AS349" i="12"/>
  <c r="AT349" i="12"/>
  <c r="AU349" i="12"/>
  <c r="AV349" i="12"/>
  <c r="AW349" i="12"/>
  <c r="AX349" i="12"/>
  <c r="AY349" i="12"/>
  <c r="AZ349" i="12"/>
  <c r="BA349" i="12"/>
  <c r="BB349" i="12"/>
  <c r="BC349" i="12"/>
  <c r="BD349" i="12"/>
  <c r="BE349" i="12"/>
  <c r="BF349" i="12"/>
  <c r="BG349" i="12"/>
  <c r="BH349" i="12"/>
  <c r="BI349" i="12"/>
  <c r="BJ349" i="12"/>
  <c r="BK349" i="12"/>
  <c r="BL349" i="12"/>
  <c r="BM349" i="12"/>
  <c r="BN349" i="12"/>
  <c r="A350" i="12"/>
  <c r="B350" i="12"/>
  <c r="C350" i="12"/>
  <c r="D350" i="12"/>
  <c r="E350" i="12"/>
  <c r="F350" i="12"/>
  <c r="G350" i="12"/>
  <c r="H350" i="12"/>
  <c r="I350" i="12"/>
  <c r="J350" i="12"/>
  <c r="K350" i="12"/>
  <c r="L350" i="12"/>
  <c r="M350" i="12"/>
  <c r="N350" i="12"/>
  <c r="O350" i="12"/>
  <c r="P350" i="12"/>
  <c r="Q350" i="12"/>
  <c r="R350" i="12"/>
  <c r="S350" i="12"/>
  <c r="T350" i="12"/>
  <c r="U350" i="12"/>
  <c r="V350" i="12"/>
  <c r="AA350" i="12"/>
  <c r="AB350" i="12"/>
  <c r="AC350" i="12"/>
  <c r="AD350" i="12"/>
  <c r="AE350" i="12"/>
  <c r="AF350" i="12"/>
  <c r="AG350" i="12"/>
  <c r="AH350" i="12"/>
  <c r="AI350" i="12"/>
  <c r="AJ350" i="12"/>
  <c r="AK350" i="12"/>
  <c r="AL350" i="12"/>
  <c r="AM350" i="12"/>
  <c r="AN350" i="12"/>
  <c r="AO350" i="12"/>
  <c r="AP350" i="12"/>
  <c r="AQ350" i="12"/>
  <c r="AR350" i="12"/>
  <c r="AS350" i="12"/>
  <c r="AT350" i="12"/>
  <c r="AU350" i="12"/>
  <c r="AV350" i="12"/>
  <c r="AW350" i="12"/>
  <c r="AX350" i="12"/>
  <c r="AY350" i="12"/>
  <c r="AZ350" i="12"/>
  <c r="BA350" i="12"/>
  <c r="BB350" i="12"/>
  <c r="BC350" i="12"/>
  <c r="BD350" i="12"/>
  <c r="BE350" i="12"/>
  <c r="BF350" i="12"/>
  <c r="BG350" i="12"/>
  <c r="BH350" i="12"/>
  <c r="BI350" i="12"/>
  <c r="BJ350" i="12"/>
  <c r="BK350" i="12"/>
  <c r="BL350" i="12"/>
  <c r="BM350" i="12"/>
  <c r="BN350" i="12"/>
  <c r="A351" i="12"/>
  <c r="B351" i="12"/>
  <c r="C351" i="12"/>
  <c r="D351" i="12"/>
  <c r="E351" i="12"/>
  <c r="F351" i="12"/>
  <c r="G351" i="12"/>
  <c r="H351" i="12"/>
  <c r="I351" i="12"/>
  <c r="J351" i="12"/>
  <c r="K351" i="12"/>
  <c r="L351" i="12"/>
  <c r="M351" i="12"/>
  <c r="N351" i="12"/>
  <c r="O351" i="12"/>
  <c r="P351" i="12"/>
  <c r="Q351" i="12"/>
  <c r="R351" i="12"/>
  <c r="S351" i="12"/>
  <c r="T351" i="12"/>
  <c r="U351" i="12"/>
  <c r="V351" i="12"/>
  <c r="AA351" i="12"/>
  <c r="AB351" i="12"/>
  <c r="AC351" i="12"/>
  <c r="AD351" i="12"/>
  <c r="AE351" i="12"/>
  <c r="AF351" i="12"/>
  <c r="AG351" i="12"/>
  <c r="AH351" i="12"/>
  <c r="AI351" i="12"/>
  <c r="AJ351" i="12"/>
  <c r="AK351" i="12"/>
  <c r="AL351" i="12"/>
  <c r="AM351" i="12"/>
  <c r="AN351" i="12"/>
  <c r="AO351" i="12"/>
  <c r="AP351" i="12"/>
  <c r="AQ351" i="12"/>
  <c r="AR351" i="12"/>
  <c r="AS351" i="12"/>
  <c r="AT351" i="12"/>
  <c r="AU351" i="12"/>
  <c r="AV351" i="12"/>
  <c r="AW351" i="12"/>
  <c r="AX351" i="12"/>
  <c r="AY351" i="12"/>
  <c r="AZ351" i="12"/>
  <c r="BA351" i="12"/>
  <c r="BB351" i="12"/>
  <c r="BC351" i="12"/>
  <c r="BD351" i="12"/>
  <c r="BE351" i="12"/>
  <c r="BF351" i="12"/>
  <c r="BG351" i="12"/>
  <c r="BH351" i="12"/>
  <c r="BI351" i="12"/>
  <c r="BJ351" i="12"/>
  <c r="BK351" i="12"/>
  <c r="BL351" i="12"/>
  <c r="BM351" i="12"/>
  <c r="BN351" i="12"/>
  <c r="A352" i="12"/>
  <c r="B352" i="12"/>
  <c r="C352" i="12"/>
  <c r="D352" i="12"/>
  <c r="E352" i="12"/>
  <c r="F352" i="12"/>
  <c r="G352" i="12"/>
  <c r="H352" i="12"/>
  <c r="I352" i="12"/>
  <c r="J352" i="12"/>
  <c r="K352" i="12"/>
  <c r="L352" i="12"/>
  <c r="M352" i="12"/>
  <c r="N352" i="12"/>
  <c r="O352" i="12"/>
  <c r="P352" i="12"/>
  <c r="Q352" i="12"/>
  <c r="R352" i="12"/>
  <c r="S352" i="12"/>
  <c r="T352" i="12"/>
  <c r="U352" i="12"/>
  <c r="V352" i="12"/>
  <c r="AA352" i="12"/>
  <c r="AB352" i="12"/>
  <c r="AC352" i="12"/>
  <c r="AD352" i="12"/>
  <c r="AE352" i="12"/>
  <c r="AF352" i="12"/>
  <c r="AG352" i="12"/>
  <c r="AH352" i="12"/>
  <c r="AI352" i="12"/>
  <c r="AJ352" i="12"/>
  <c r="AK352" i="12"/>
  <c r="AL352" i="12"/>
  <c r="AM352" i="12"/>
  <c r="AN352" i="12"/>
  <c r="AO352" i="12"/>
  <c r="AP352" i="12"/>
  <c r="AQ352" i="12"/>
  <c r="AR352" i="12"/>
  <c r="AS352" i="12"/>
  <c r="AT352" i="12"/>
  <c r="AU352" i="12"/>
  <c r="AV352" i="12"/>
  <c r="AW352" i="12"/>
  <c r="AX352" i="12"/>
  <c r="AY352" i="12"/>
  <c r="AZ352" i="12"/>
  <c r="BA352" i="12"/>
  <c r="BB352" i="12"/>
  <c r="BC352" i="12"/>
  <c r="BD352" i="12"/>
  <c r="BE352" i="12"/>
  <c r="BF352" i="12"/>
  <c r="BG352" i="12"/>
  <c r="BH352" i="12"/>
  <c r="BI352" i="12"/>
  <c r="BJ352" i="12"/>
  <c r="BK352" i="12"/>
  <c r="BL352" i="12"/>
  <c r="BM352" i="12"/>
  <c r="BN352" i="12"/>
  <c r="A353" i="12"/>
  <c r="B353" i="12"/>
  <c r="C353" i="12"/>
  <c r="D353" i="12"/>
  <c r="E353" i="12"/>
  <c r="F353" i="12"/>
  <c r="G353" i="12"/>
  <c r="H353" i="12"/>
  <c r="I353" i="12"/>
  <c r="J353" i="12"/>
  <c r="K353" i="12"/>
  <c r="L353" i="12"/>
  <c r="M353" i="12"/>
  <c r="N353" i="12"/>
  <c r="O353" i="12"/>
  <c r="P353" i="12"/>
  <c r="Q353" i="12"/>
  <c r="R353" i="12"/>
  <c r="S353" i="12"/>
  <c r="T353" i="12"/>
  <c r="U353" i="12"/>
  <c r="V353" i="12"/>
  <c r="AA353" i="12"/>
  <c r="AB353" i="12"/>
  <c r="AC353" i="12"/>
  <c r="AD353" i="12"/>
  <c r="AE353" i="12"/>
  <c r="AF353" i="12"/>
  <c r="AG353" i="12"/>
  <c r="AH353" i="12"/>
  <c r="AI353" i="12"/>
  <c r="AJ353" i="12"/>
  <c r="AK353" i="12"/>
  <c r="AL353" i="12"/>
  <c r="AM353" i="12"/>
  <c r="AN353" i="12"/>
  <c r="AO353" i="12"/>
  <c r="AP353" i="12"/>
  <c r="AQ353" i="12"/>
  <c r="AR353" i="12"/>
  <c r="AS353" i="12"/>
  <c r="AT353" i="12"/>
  <c r="AU353" i="12"/>
  <c r="AV353" i="12"/>
  <c r="AW353" i="12"/>
  <c r="AX353" i="12"/>
  <c r="AY353" i="12"/>
  <c r="AZ353" i="12"/>
  <c r="BA353" i="12"/>
  <c r="BB353" i="12"/>
  <c r="BC353" i="12"/>
  <c r="BD353" i="12"/>
  <c r="BE353" i="12"/>
  <c r="BF353" i="12"/>
  <c r="BG353" i="12"/>
  <c r="BH353" i="12"/>
  <c r="BI353" i="12"/>
  <c r="BJ353" i="12"/>
  <c r="BK353" i="12"/>
  <c r="BL353" i="12"/>
  <c r="BM353" i="12"/>
  <c r="BN353" i="12"/>
  <c r="A354" i="12"/>
  <c r="B354" i="12"/>
  <c r="C354" i="12"/>
  <c r="D354" i="12"/>
  <c r="E354" i="12"/>
  <c r="F354" i="12"/>
  <c r="G354" i="12"/>
  <c r="H354" i="12"/>
  <c r="I354" i="12"/>
  <c r="J354" i="12"/>
  <c r="K354" i="12"/>
  <c r="L354" i="12"/>
  <c r="M354" i="12"/>
  <c r="N354" i="12"/>
  <c r="O354" i="12"/>
  <c r="P354" i="12"/>
  <c r="Q354" i="12"/>
  <c r="R354" i="12"/>
  <c r="S354" i="12"/>
  <c r="T354" i="12"/>
  <c r="U354" i="12"/>
  <c r="V354" i="12"/>
  <c r="AA354" i="12"/>
  <c r="AB354" i="12"/>
  <c r="AC354" i="12"/>
  <c r="AD354" i="12"/>
  <c r="AE354" i="12"/>
  <c r="AF354" i="12"/>
  <c r="AG354" i="12"/>
  <c r="AH354" i="12"/>
  <c r="AI354" i="12"/>
  <c r="AJ354" i="12"/>
  <c r="AK354" i="12"/>
  <c r="AL354" i="12"/>
  <c r="AM354" i="12"/>
  <c r="AN354" i="12"/>
  <c r="AO354" i="12"/>
  <c r="AP354" i="12"/>
  <c r="AQ354" i="12"/>
  <c r="AR354" i="12"/>
  <c r="AS354" i="12"/>
  <c r="AT354" i="12"/>
  <c r="AU354" i="12"/>
  <c r="AV354" i="12"/>
  <c r="AW354" i="12"/>
  <c r="AX354" i="12"/>
  <c r="AY354" i="12"/>
  <c r="AZ354" i="12"/>
  <c r="BA354" i="12"/>
  <c r="BB354" i="12"/>
  <c r="BC354" i="12"/>
  <c r="BD354" i="12"/>
  <c r="BE354" i="12"/>
  <c r="BF354" i="12"/>
  <c r="BG354" i="12"/>
  <c r="BH354" i="12"/>
  <c r="BI354" i="12"/>
  <c r="BJ354" i="12"/>
  <c r="BK354" i="12"/>
  <c r="BL354" i="12"/>
  <c r="BM354" i="12"/>
  <c r="BN354" i="12"/>
  <c r="A355" i="12"/>
  <c r="B355" i="12"/>
  <c r="C355" i="12"/>
  <c r="D355" i="12"/>
  <c r="E355" i="12"/>
  <c r="F355" i="12"/>
  <c r="G355" i="12"/>
  <c r="H355" i="12"/>
  <c r="I355" i="12"/>
  <c r="J355" i="12"/>
  <c r="K355" i="12"/>
  <c r="L355" i="12"/>
  <c r="M355" i="12"/>
  <c r="N355" i="12"/>
  <c r="O355" i="12"/>
  <c r="P355" i="12"/>
  <c r="Q355" i="12"/>
  <c r="R355" i="12"/>
  <c r="S355" i="12"/>
  <c r="T355" i="12"/>
  <c r="U355" i="12"/>
  <c r="V355" i="12"/>
  <c r="AA355" i="12"/>
  <c r="AB355" i="12"/>
  <c r="AC355" i="12"/>
  <c r="AD355" i="12"/>
  <c r="AE355" i="12"/>
  <c r="AF355" i="12"/>
  <c r="AG355" i="12"/>
  <c r="AH355" i="12"/>
  <c r="AI355" i="12"/>
  <c r="AJ355" i="12"/>
  <c r="AK355" i="12"/>
  <c r="AL355" i="12"/>
  <c r="AM355" i="12"/>
  <c r="AN355" i="12"/>
  <c r="AO355" i="12"/>
  <c r="AP355" i="12"/>
  <c r="AQ355" i="12"/>
  <c r="AR355" i="12"/>
  <c r="AS355" i="12"/>
  <c r="AT355" i="12"/>
  <c r="AU355" i="12"/>
  <c r="AV355" i="12"/>
  <c r="AW355" i="12"/>
  <c r="AX355" i="12"/>
  <c r="AY355" i="12"/>
  <c r="AZ355" i="12"/>
  <c r="BA355" i="12"/>
  <c r="BB355" i="12"/>
  <c r="BC355" i="12"/>
  <c r="BD355" i="12"/>
  <c r="BE355" i="12"/>
  <c r="BF355" i="12"/>
  <c r="BG355" i="12"/>
  <c r="BH355" i="12"/>
  <c r="BI355" i="12"/>
  <c r="BJ355" i="12"/>
  <c r="BK355" i="12"/>
  <c r="BL355" i="12"/>
  <c r="BM355" i="12"/>
  <c r="BN355" i="12"/>
  <c r="A356" i="12"/>
  <c r="B356" i="12"/>
  <c r="C356" i="12"/>
  <c r="D356" i="12"/>
  <c r="E356" i="12"/>
  <c r="F356" i="12"/>
  <c r="G356" i="12"/>
  <c r="H356" i="12"/>
  <c r="I356" i="12"/>
  <c r="J356" i="12"/>
  <c r="K356" i="12"/>
  <c r="L356" i="12"/>
  <c r="M356" i="12"/>
  <c r="N356" i="12"/>
  <c r="O356" i="12"/>
  <c r="P356" i="12"/>
  <c r="Q356" i="12"/>
  <c r="R356" i="12"/>
  <c r="S356" i="12"/>
  <c r="T356" i="12"/>
  <c r="U356" i="12"/>
  <c r="V356" i="12"/>
  <c r="AA356" i="12"/>
  <c r="AB356" i="12"/>
  <c r="AC356" i="12"/>
  <c r="AD356" i="12"/>
  <c r="AE356" i="12"/>
  <c r="AF356" i="12"/>
  <c r="AG356" i="12"/>
  <c r="AH356" i="12"/>
  <c r="AI356" i="12"/>
  <c r="AJ356" i="12"/>
  <c r="AK356" i="12"/>
  <c r="AL356" i="12"/>
  <c r="AM356" i="12"/>
  <c r="AN356" i="12"/>
  <c r="AO356" i="12"/>
  <c r="AP356" i="12"/>
  <c r="AQ356" i="12"/>
  <c r="AR356" i="12"/>
  <c r="AS356" i="12"/>
  <c r="AT356" i="12"/>
  <c r="AU356" i="12"/>
  <c r="AV356" i="12"/>
  <c r="AW356" i="12"/>
  <c r="AX356" i="12"/>
  <c r="AY356" i="12"/>
  <c r="AZ356" i="12"/>
  <c r="BA356" i="12"/>
  <c r="BB356" i="12"/>
  <c r="BC356" i="12"/>
  <c r="BD356" i="12"/>
  <c r="BE356" i="12"/>
  <c r="BF356" i="12"/>
  <c r="BG356" i="12"/>
  <c r="BH356" i="12"/>
  <c r="BI356" i="12"/>
  <c r="BJ356" i="12"/>
  <c r="BK356" i="12"/>
  <c r="BL356" i="12"/>
  <c r="BM356" i="12"/>
  <c r="BN356" i="12"/>
  <c r="A357" i="12"/>
  <c r="B357" i="12"/>
  <c r="C357" i="12"/>
  <c r="D357" i="12"/>
  <c r="E357" i="12"/>
  <c r="F357" i="12"/>
  <c r="G357" i="12"/>
  <c r="H357" i="12"/>
  <c r="I357" i="12"/>
  <c r="J357" i="12"/>
  <c r="K357" i="12"/>
  <c r="L357" i="12"/>
  <c r="M357" i="12"/>
  <c r="N357" i="12"/>
  <c r="O357" i="12"/>
  <c r="P357" i="12"/>
  <c r="Q357" i="12"/>
  <c r="R357" i="12"/>
  <c r="S357" i="12"/>
  <c r="T357" i="12"/>
  <c r="U357" i="12"/>
  <c r="V357" i="12"/>
  <c r="AA357" i="12"/>
  <c r="AB357" i="12"/>
  <c r="AC357" i="12"/>
  <c r="AD357" i="12"/>
  <c r="AE357" i="12"/>
  <c r="AF357" i="12"/>
  <c r="AG357" i="12"/>
  <c r="AH357" i="12"/>
  <c r="AI357" i="12"/>
  <c r="AJ357" i="12"/>
  <c r="AK357" i="12"/>
  <c r="AL357" i="12"/>
  <c r="AM357" i="12"/>
  <c r="AN357" i="12"/>
  <c r="AO357" i="12"/>
  <c r="AP357" i="12"/>
  <c r="AQ357" i="12"/>
  <c r="AR357" i="12"/>
  <c r="AS357" i="12"/>
  <c r="AT357" i="12"/>
  <c r="AU357" i="12"/>
  <c r="AV357" i="12"/>
  <c r="AW357" i="12"/>
  <c r="AX357" i="12"/>
  <c r="AY357" i="12"/>
  <c r="AZ357" i="12"/>
  <c r="BA357" i="12"/>
  <c r="BB357" i="12"/>
  <c r="BC357" i="12"/>
  <c r="BD357" i="12"/>
  <c r="BE357" i="12"/>
  <c r="BF357" i="12"/>
  <c r="BG357" i="12"/>
  <c r="BH357" i="12"/>
  <c r="BI357" i="12"/>
  <c r="BJ357" i="12"/>
  <c r="BK357" i="12"/>
  <c r="BL357" i="12"/>
  <c r="BM357" i="12"/>
  <c r="BN357" i="12"/>
  <c r="A358" i="12"/>
  <c r="B358" i="12"/>
  <c r="C358" i="12"/>
  <c r="D358" i="12"/>
  <c r="E358" i="12"/>
  <c r="F358" i="12"/>
  <c r="G358" i="12"/>
  <c r="H358" i="12"/>
  <c r="I358" i="12"/>
  <c r="J358" i="12"/>
  <c r="K358" i="12"/>
  <c r="L358" i="12"/>
  <c r="M358" i="12"/>
  <c r="N358" i="12"/>
  <c r="O358" i="12"/>
  <c r="P358" i="12"/>
  <c r="Q358" i="12"/>
  <c r="R358" i="12"/>
  <c r="S358" i="12"/>
  <c r="T358" i="12"/>
  <c r="U358" i="12"/>
  <c r="V358" i="12"/>
  <c r="AA358" i="12"/>
  <c r="AB358" i="12"/>
  <c r="AC358" i="12"/>
  <c r="AD358" i="12"/>
  <c r="AE358" i="12"/>
  <c r="AF358" i="12"/>
  <c r="AG358" i="12"/>
  <c r="AH358" i="12"/>
  <c r="AI358" i="12"/>
  <c r="AJ358" i="12"/>
  <c r="AK358" i="12"/>
  <c r="AL358" i="12"/>
  <c r="AM358" i="12"/>
  <c r="AN358" i="12"/>
  <c r="AO358" i="12"/>
  <c r="AP358" i="12"/>
  <c r="AQ358" i="12"/>
  <c r="AR358" i="12"/>
  <c r="AS358" i="12"/>
  <c r="AT358" i="12"/>
  <c r="AU358" i="12"/>
  <c r="AV358" i="12"/>
  <c r="AW358" i="12"/>
  <c r="AX358" i="12"/>
  <c r="AY358" i="12"/>
  <c r="AZ358" i="12"/>
  <c r="BA358" i="12"/>
  <c r="BB358" i="12"/>
  <c r="BC358" i="12"/>
  <c r="BD358" i="12"/>
  <c r="BE358" i="12"/>
  <c r="BF358" i="12"/>
  <c r="BG358" i="12"/>
  <c r="BH358" i="12"/>
  <c r="BI358" i="12"/>
  <c r="BJ358" i="12"/>
  <c r="BK358" i="12"/>
  <c r="BL358" i="12"/>
  <c r="BM358" i="12"/>
  <c r="BN358" i="12"/>
  <c r="A359" i="12"/>
  <c r="B359" i="12"/>
  <c r="C359" i="12"/>
  <c r="D359" i="12"/>
  <c r="E359" i="12"/>
  <c r="F359" i="12"/>
  <c r="G359" i="12"/>
  <c r="H359" i="12"/>
  <c r="I359" i="12"/>
  <c r="J359" i="12"/>
  <c r="K359" i="12"/>
  <c r="L359" i="12"/>
  <c r="M359" i="12"/>
  <c r="N359" i="12"/>
  <c r="O359" i="12"/>
  <c r="P359" i="12"/>
  <c r="Q359" i="12"/>
  <c r="R359" i="12"/>
  <c r="S359" i="12"/>
  <c r="T359" i="12"/>
  <c r="U359" i="12"/>
  <c r="V359" i="12"/>
  <c r="AA359" i="12"/>
  <c r="AB359" i="12"/>
  <c r="AC359" i="12"/>
  <c r="AD359" i="12"/>
  <c r="AE359" i="12"/>
  <c r="AF359" i="12"/>
  <c r="AG359" i="12"/>
  <c r="AH359" i="12"/>
  <c r="AI359" i="12"/>
  <c r="AJ359" i="12"/>
  <c r="AK359" i="12"/>
  <c r="AL359" i="12"/>
  <c r="AM359" i="12"/>
  <c r="AN359" i="12"/>
  <c r="AO359" i="12"/>
  <c r="AP359" i="12"/>
  <c r="AQ359" i="12"/>
  <c r="AR359" i="12"/>
  <c r="AS359" i="12"/>
  <c r="AT359" i="12"/>
  <c r="AU359" i="12"/>
  <c r="AV359" i="12"/>
  <c r="AW359" i="12"/>
  <c r="AX359" i="12"/>
  <c r="AY359" i="12"/>
  <c r="AZ359" i="12"/>
  <c r="BA359" i="12"/>
  <c r="BB359" i="12"/>
  <c r="BC359" i="12"/>
  <c r="BD359" i="12"/>
  <c r="BE359" i="12"/>
  <c r="BF359" i="12"/>
  <c r="BG359" i="12"/>
  <c r="BH359" i="12"/>
  <c r="BI359" i="12"/>
  <c r="BJ359" i="12"/>
  <c r="BK359" i="12"/>
  <c r="BL359" i="12"/>
  <c r="BM359" i="12"/>
  <c r="BN359" i="12"/>
  <c r="A360" i="12"/>
  <c r="B360" i="12"/>
  <c r="C360" i="12"/>
  <c r="D360" i="12"/>
  <c r="E360" i="12"/>
  <c r="F360" i="12"/>
  <c r="G360" i="12"/>
  <c r="H360" i="12"/>
  <c r="I360" i="12"/>
  <c r="J360" i="12"/>
  <c r="K360" i="12"/>
  <c r="L360" i="12"/>
  <c r="M360" i="12"/>
  <c r="N360" i="12"/>
  <c r="O360" i="12"/>
  <c r="P360" i="12"/>
  <c r="Q360" i="12"/>
  <c r="R360" i="12"/>
  <c r="S360" i="12"/>
  <c r="T360" i="12"/>
  <c r="U360" i="12"/>
  <c r="V360" i="12"/>
  <c r="AA360" i="12"/>
  <c r="AB360" i="12"/>
  <c r="AC360" i="12"/>
  <c r="AD360" i="12"/>
  <c r="AE360" i="12"/>
  <c r="AF360" i="12"/>
  <c r="AG360" i="12"/>
  <c r="AH360" i="12"/>
  <c r="AI360" i="12"/>
  <c r="AJ360" i="12"/>
  <c r="AK360" i="12"/>
  <c r="AL360" i="12"/>
  <c r="AM360" i="12"/>
  <c r="AN360" i="12"/>
  <c r="AO360" i="12"/>
  <c r="AP360" i="12"/>
  <c r="AQ360" i="12"/>
  <c r="AR360" i="12"/>
  <c r="AS360" i="12"/>
  <c r="AT360" i="12"/>
  <c r="AU360" i="12"/>
  <c r="AV360" i="12"/>
  <c r="AW360" i="12"/>
  <c r="AX360" i="12"/>
  <c r="AY360" i="12"/>
  <c r="AZ360" i="12"/>
  <c r="BA360" i="12"/>
  <c r="BB360" i="12"/>
  <c r="BC360" i="12"/>
  <c r="BD360" i="12"/>
  <c r="BE360" i="12"/>
  <c r="BF360" i="12"/>
  <c r="BG360" i="12"/>
  <c r="BH360" i="12"/>
  <c r="BI360" i="12"/>
  <c r="BJ360" i="12"/>
  <c r="BK360" i="12"/>
  <c r="BL360" i="12"/>
  <c r="BM360" i="12"/>
  <c r="BN360" i="12"/>
  <c r="A361" i="12"/>
  <c r="B361" i="12"/>
  <c r="C361" i="12"/>
  <c r="D361" i="12"/>
  <c r="E361" i="12"/>
  <c r="F361" i="12"/>
  <c r="G361" i="12"/>
  <c r="H361" i="12"/>
  <c r="I361" i="12"/>
  <c r="J361" i="12"/>
  <c r="K361" i="12"/>
  <c r="L361" i="12"/>
  <c r="M361" i="12"/>
  <c r="N361" i="12"/>
  <c r="O361" i="12"/>
  <c r="P361" i="12"/>
  <c r="Q361" i="12"/>
  <c r="R361" i="12"/>
  <c r="S361" i="12"/>
  <c r="T361" i="12"/>
  <c r="U361" i="12"/>
  <c r="V361" i="12"/>
  <c r="AA361" i="12"/>
  <c r="AB361" i="12"/>
  <c r="AC361" i="12"/>
  <c r="AD361" i="12"/>
  <c r="AE361" i="12"/>
  <c r="AF361" i="12"/>
  <c r="AG361" i="12"/>
  <c r="AH361" i="12"/>
  <c r="AI361" i="12"/>
  <c r="AJ361" i="12"/>
  <c r="AK361" i="12"/>
  <c r="AL361" i="12"/>
  <c r="AM361" i="12"/>
  <c r="AN361" i="12"/>
  <c r="AO361" i="12"/>
  <c r="AP361" i="12"/>
  <c r="AQ361" i="12"/>
  <c r="AR361" i="12"/>
  <c r="AS361" i="12"/>
  <c r="AT361" i="12"/>
  <c r="AU361" i="12"/>
  <c r="AV361" i="12"/>
  <c r="AW361" i="12"/>
  <c r="AX361" i="12"/>
  <c r="AY361" i="12"/>
  <c r="AZ361" i="12"/>
  <c r="BA361" i="12"/>
  <c r="BB361" i="12"/>
  <c r="BC361" i="12"/>
  <c r="BD361" i="12"/>
  <c r="BE361" i="12"/>
  <c r="BF361" i="12"/>
  <c r="BG361" i="12"/>
  <c r="BH361" i="12"/>
  <c r="BI361" i="12"/>
  <c r="BJ361" i="12"/>
  <c r="BK361" i="12"/>
  <c r="BL361" i="12"/>
  <c r="BM361" i="12"/>
  <c r="BN361" i="12"/>
  <c r="A362" i="12"/>
  <c r="B362" i="12"/>
  <c r="C362" i="12"/>
  <c r="D362" i="12"/>
  <c r="E362" i="12"/>
  <c r="F362" i="12"/>
  <c r="G362" i="12"/>
  <c r="H362" i="12"/>
  <c r="I362" i="12"/>
  <c r="J362" i="12"/>
  <c r="K362" i="12"/>
  <c r="L362" i="12"/>
  <c r="M362" i="12"/>
  <c r="N362" i="12"/>
  <c r="O362" i="12"/>
  <c r="P362" i="12"/>
  <c r="Q362" i="12"/>
  <c r="R362" i="12"/>
  <c r="S362" i="12"/>
  <c r="T362" i="12"/>
  <c r="U362" i="12"/>
  <c r="V362" i="12"/>
  <c r="AA362" i="12"/>
  <c r="AB362" i="12"/>
  <c r="AC362" i="12"/>
  <c r="AD362" i="12"/>
  <c r="AE362" i="12"/>
  <c r="AF362" i="12"/>
  <c r="AG362" i="12"/>
  <c r="AH362" i="12"/>
  <c r="AI362" i="12"/>
  <c r="AJ362" i="12"/>
  <c r="AK362" i="12"/>
  <c r="AL362" i="12"/>
  <c r="AM362" i="12"/>
  <c r="AN362" i="12"/>
  <c r="AO362" i="12"/>
  <c r="AP362" i="12"/>
  <c r="AQ362" i="12"/>
  <c r="AR362" i="12"/>
  <c r="AS362" i="12"/>
  <c r="AT362" i="12"/>
  <c r="AU362" i="12"/>
  <c r="AV362" i="12"/>
  <c r="AW362" i="12"/>
  <c r="AX362" i="12"/>
  <c r="AY362" i="12"/>
  <c r="AZ362" i="12"/>
  <c r="BA362" i="12"/>
  <c r="BB362" i="12"/>
  <c r="BC362" i="12"/>
  <c r="BD362" i="12"/>
  <c r="BE362" i="12"/>
  <c r="BF362" i="12"/>
  <c r="BG362" i="12"/>
  <c r="BH362" i="12"/>
  <c r="BI362" i="12"/>
  <c r="BJ362" i="12"/>
  <c r="BK362" i="12"/>
  <c r="BL362" i="12"/>
  <c r="BM362" i="12"/>
  <c r="BN362" i="12"/>
  <c r="A363" i="12"/>
  <c r="B363" i="12"/>
  <c r="C363" i="12"/>
  <c r="D363" i="12"/>
  <c r="E363" i="12"/>
  <c r="F363" i="12"/>
  <c r="G363" i="12"/>
  <c r="H363" i="12"/>
  <c r="I363" i="12"/>
  <c r="J363" i="12"/>
  <c r="K363" i="12"/>
  <c r="L363" i="12"/>
  <c r="M363" i="12"/>
  <c r="N363" i="12"/>
  <c r="O363" i="12"/>
  <c r="P363" i="12"/>
  <c r="Q363" i="12"/>
  <c r="R363" i="12"/>
  <c r="S363" i="12"/>
  <c r="T363" i="12"/>
  <c r="U363" i="12"/>
  <c r="V363" i="12"/>
  <c r="AA363" i="12"/>
  <c r="AB363" i="12"/>
  <c r="AC363" i="12"/>
  <c r="AD363" i="12"/>
  <c r="AE363" i="12"/>
  <c r="AF363" i="12"/>
  <c r="AG363" i="12"/>
  <c r="AH363" i="12"/>
  <c r="AI363" i="12"/>
  <c r="AJ363" i="12"/>
  <c r="AK363" i="12"/>
  <c r="AL363" i="12"/>
  <c r="AM363" i="12"/>
  <c r="AN363" i="12"/>
  <c r="AO363" i="12"/>
  <c r="AP363" i="12"/>
  <c r="AQ363" i="12"/>
  <c r="AR363" i="12"/>
  <c r="AS363" i="12"/>
  <c r="AT363" i="12"/>
  <c r="AU363" i="12"/>
  <c r="AV363" i="12"/>
  <c r="AW363" i="12"/>
  <c r="AX363" i="12"/>
  <c r="AY363" i="12"/>
  <c r="AZ363" i="12"/>
  <c r="BA363" i="12"/>
  <c r="BB363" i="12"/>
  <c r="BC363" i="12"/>
  <c r="BD363" i="12"/>
  <c r="BE363" i="12"/>
  <c r="BF363" i="12"/>
  <c r="BG363" i="12"/>
  <c r="BH363" i="12"/>
  <c r="BI363" i="12"/>
  <c r="BJ363" i="12"/>
  <c r="BK363" i="12"/>
  <c r="BL363" i="12"/>
  <c r="BM363" i="12"/>
  <c r="BN363" i="12"/>
  <c r="A364" i="12"/>
  <c r="B364" i="12"/>
  <c r="C364" i="12"/>
  <c r="D364" i="12"/>
  <c r="E364" i="12"/>
  <c r="F364" i="12"/>
  <c r="G364" i="12"/>
  <c r="H364" i="12"/>
  <c r="I364" i="12"/>
  <c r="J364" i="12"/>
  <c r="K364" i="12"/>
  <c r="L364" i="12"/>
  <c r="M364" i="12"/>
  <c r="N364" i="12"/>
  <c r="O364" i="12"/>
  <c r="P364" i="12"/>
  <c r="Q364" i="12"/>
  <c r="R364" i="12"/>
  <c r="S364" i="12"/>
  <c r="T364" i="12"/>
  <c r="U364" i="12"/>
  <c r="V364" i="12"/>
  <c r="AA364" i="12"/>
  <c r="AB364" i="12"/>
  <c r="AC364" i="12"/>
  <c r="AD364" i="12"/>
  <c r="AE364" i="12"/>
  <c r="AF364" i="12"/>
  <c r="AG364" i="12"/>
  <c r="AH364" i="12"/>
  <c r="AI364" i="12"/>
  <c r="AJ364" i="12"/>
  <c r="AK364" i="12"/>
  <c r="AL364" i="12"/>
  <c r="AM364" i="12"/>
  <c r="AN364" i="12"/>
  <c r="AO364" i="12"/>
  <c r="AP364" i="12"/>
  <c r="AQ364" i="12"/>
  <c r="AR364" i="12"/>
  <c r="AS364" i="12"/>
  <c r="AT364" i="12"/>
  <c r="AU364" i="12"/>
  <c r="AV364" i="12"/>
  <c r="AW364" i="12"/>
  <c r="AX364" i="12"/>
  <c r="AY364" i="12"/>
  <c r="AZ364" i="12"/>
  <c r="BA364" i="12"/>
  <c r="BB364" i="12"/>
  <c r="BC364" i="12"/>
  <c r="BD364" i="12"/>
  <c r="BE364" i="12"/>
  <c r="BF364" i="12"/>
  <c r="BG364" i="12"/>
  <c r="BH364" i="12"/>
  <c r="BI364" i="12"/>
  <c r="BJ364" i="12"/>
  <c r="BK364" i="12"/>
  <c r="BL364" i="12"/>
  <c r="BM364" i="12"/>
  <c r="BN364" i="12"/>
  <c r="A365" i="12"/>
  <c r="B365" i="12"/>
  <c r="C365" i="12"/>
  <c r="D365" i="12"/>
  <c r="E365" i="12"/>
  <c r="F365" i="12"/>
  <c r="G365" i="12"/>
  <c r="H365" i="12"/>
  <c r="I365" i="12"/>
  <c r="J365" i="12"/>
  <c r="K365" i="12"/>
  <c r="L365" i="12"/>
  <c r="M365" i="12"/>
  <c r="N365" i="12"/>
  <c r="O365" i="12"/>
  <c r="P365" i="12"/>
  <c r="Q365" i="12"/>
  <c r="R365" i="12"/>
  <c r="S365" i="12"/>
  <c r="T365" i="12"/>
  <c r="U365" i="12"/>
  <c r="V365" i="12"/>
  <c r="AA365" i="12"/>
  <c r="AB365" i="12"/>
  <c r="AC365" i="12"/>
  <c r="AD365" i="12"/>
  <c r="AE365" i="12"/>
  <c r="AF365" i="12"/>
  <c r="AG365" i="12"/>
  <c r="AH365" i="12"/>
  <c r="AI365" i="12"/>
  <c r="AJ365" i="12"/>
  <c r="AK365" i="12"/>
  <c r="AL365" i="12"/>
  <c r="AM365" i="12"/>
  <c r="AN365" i="12"/>
  <c r="AO365" i="12"/>
  <c r="AP365" i="12"/>
  <c r="AQ365" i="12"/>
  <c r="AR365" i="12"/>
  <c r="AS365" i="12"/>
  <c r="AT365" i="12"/>
  <c r="AU365" i="12"/>
  <c r="AV365" i="12"/>
  <c r="AW365" i="12"/>
  <c r="AX365" i="12"/>
  <c r="AY365" i="12"/>
  <c r="AZ365" i="12"/>
  <c r="BA365" i="12"/>
  <c r="BB365" i="12"/>
  <c r="BC365" i="12"/>
  <c r="BD365" i="12"/>
  <c r="BE365" i="12"/>
  <c r="BF365" i="12"/>
  <c r="BG365" i="12"/>
  <c r="BH365" i="12"/>
  <c r="BI365" i="12"/>
  <c r="BJ365" i="12"/>
  <c r="BK365" i="12"/>
  <c r="BL365" i="12"/>
  <c r="BM365" i="12"/>
  <c r="BN365" i="12"/>
  <c r="A366" i="12"/>
  <c r="B366" i="12"/>
  <c r="C366" i="12"/>
  <c r="D366" i="12"/>
  <c r="E366" i="12"/>
  <c r="F366" i="12"/>
  <c r="G366" i="12"/>
  <c r="H366" i="12"/>
  <c r="I366" i="12"/>
  <c r="J366" i="12"/>
  <c r="K366" i="12"/>
  <c r="L366" i="12"/>
  <c r="M366" i="12"/>
  <c r="N366" i="12"/>
  <c r="O366" i="12"/>
  <c r="P366" i="12"/>
  <c r="Q366" i="12"/>
  <c r="R366" i="12"/>
  <c r="S366" i="12"/>
  <c r="T366" i="12"/>
  <c r="U366" i="12"/>
  <c r="V366" i="12"/>
  <c r="AA366" i="12"/>
  <c r="AB366" i="12"/>
  <c r="AC366" i="12"/>
  <c r="AD366" i="12"/>
  <c r="AE366" i="12"/>
  <c r="AF366" i="12"/>
  <c r="AG366" i="12"/>
  <c r="AH366" i="12"/>
  <c r="AI366" i="12"/>
  <c r="AJ366" i="12"/>
  <c r="AK366" i="12"/>
  <c r="AL366" i="12"/>
  <c r="AM366" i="12"/>
  <c r="AN366" i="12"/>
  <c r="AO366" i="12"/>
  <c r="AP366" i="12"/>
  <c r="AQ366" i="12"/>
  <c r="AR366" i="12"/>
  <c r="AS366" i="12"/>
  <c r="AT366" i="12"/>
  <c r="AU366" i="12"/>
  <c r="AV366" i="12"/>
  <c r="AW366" i="12"/>
  <c r="AX366" i="12"/>
  <c r="AY366" i="12"/>
  <c r="AZ366" i="12"/>
  <c r="BA366" i="12"/>
  <c r="BB366" i="12"/>
  <c r="BC366" i="12"/>
  <c r="BD366" i="12"/>
  <c r="BE366" i="12"/>
  <c r="BF366" i="12"/>
  <c r="BG366" i="12"/>
  <c r="BH366" i="12"/>
  <c r="BI366" i="12"/>
  <c r="BJ366" i="12"/>
  <c r="BK366" i="12"/>
  <c r="BL366" i="12"/>
  <c r="BM366" i="12"/>
  <c r="BN366" i="12"/>
  <c r="A367" i="12"/>
  <c r="B367" i="12"/>
  <c r="C367" i="12"/>
  <c r="D367" i="12"/>
  <c r="E367" i="12"/>
  <c r="F367" i="12"/>
  <c r="G367" i="12"/>
  <c r="H367" i="12"/>
  <c r="I367" i="12"/>
  <c r="J367" i="12"/>
  <c r="K367" i="12"/>
  <c r="L367" i="12"/>
  <c r="M367" i="12"/>
  <c r="N367" i="12"/>
  <c r="O367" i="12"/>
  <c r="P367" i="12"/>
  <c r="Q367" i="12"/>
  <c r="R367" i="12"/>
  <c r="S367" i="12"/>
  <c r="T367" i="12"/>
  <c r="U367" i="12"/>
  <c r="V367" i="12"/>
  <c r="AA367" i="12"/>
  <c r="AB367" i="12"/>
  <c r="AC367" i="12"/>
  <c r="AD367" i="12"/>
  <c r="AE367" i="12"/>
  <c r="AF367" i="12"/>
  <c r="AG367" i="12"/>
  <c r="AH367" i="12"/>
  <c r="AI367" i="12"/>
  <c r="AJ367" i="12"/>
  <c r="AK367" i="12"/>
  <c r="AL367" i="12"/>
  <c r="AM367" i="12"/>
  <c r="AN367" i="12"/>
  <c r="AO367" i="12"/>
  <c r="AP367" i="12"/>
  <c r="AQ367" i="12"/>
  <c r="AR367" i="12"/>
  <c r="AS367" i="12"/>
  <c r="AT367" i="12"/>
  <c r="AU367" i="12"/>
  <c r="AV367" i="12"/>
  <c r="AW367" i="12"/>
  <c r="AX367" i="12"/>
  <c r="AY367" i="12"/>
  <c r="AZ367" i="12"/>
  <c r="BA367" i="12"/>
  <c r="BB367" i="12"/>
  <c r="BC367" i="12"/>
  <c r="BD367" i="12"/>
  <c r="BE367" i="12"/>
  <c r="BF367" i="12"/>
  <c r="BG367" i="12"/>
  <c r="BH367" i="12"/>
  <c r="BI367" i="12"/>
  <c r="BJ367" i="12"/>
  <c r="BK367" i="12"/>
  <c r="BL367" i="12"/>
  <c r="BM367" i="12"/>
  <c r="BN367" i="12"/>
  <c r="A368" i="12"/>
  <c r="B368" i="12"/>
  <c r="C368" i="12"/>
  <c r="D368" i="12"/>
  <c r="E368" i="12"/>
  <c r="F368" i="12"/>
  <c r="G368" i="12"/>
  <c r="H368" i="12"/>
  <c r="I368" i="12"/>
  <c r="J368" i="12"/>
  <c r="K368" i="12"/>
  <c r="L368" i="12"/>
  <c r="M368" i="12"/>
  <c r="N368" i="12"/>
  <c r="O368" i="12"/>
  <c r="P368" i="12"/>
  <c r="Q368" i="12"/>
  <c r="R368" i="12"/>
  <c r="S368" i="12"/>
  <c r="T368" i="12"/>
  <c r="U368" i="12"/>
  <c r="V368" i="12"/>
  <c r="AA368" i="12"/>
  <c r="AB368" i="12"/>
  <c r="AC368" i="12"/>
  <c r="AD368" i="12"/>
  <c r="AE368" i="12"/>
  <c r="AF368" i="12"/>
  <c r="AG368" i="12"/>
  <c r="AH368" i="12"/>
  <c r="AI368" i="12"/>
  <c r="AJ368" i="12"/>
  <c r="AK368" i="12"/>
  <c r="AL368" i="12"/>
  <c r="AM368" i="12"/>
  <c r="AN368" i="12"/>
  <c r="AO368" i="12"/>
  <c r="AP368" i="12"/>
  <c r="AQ368" i="12"/>
  <c r="AR368" i="12"/>
  <c r="AS368" i="12"/>
  <c r="AT368" i="12"/>
  <c r="AU368" i="12"/>
  <c r="AV368" i="12"/>
  <c r="AW368" i="12"/>
  <c r="AX368" i="12"/>
  <c r="AY368" i="12"/>
  <c r="AZ368" i="12"/>
  <c r="BA368" i="12"/>
  <c r="BB368" i="12"/>
  <c r="BC368" i="12"/>
  <c r="BD368" i="12"/>
  <c r="BE368" i="12"/>
  <c r="BF368" i="12"/>
  <c r="BG368" i="12"/>
  <c r="BH368" i="12"/>
  <c r="BI368" i="12"/>
  <c r="BJ368" i="12"/>
  <c r="BK368" i="12"/>
  <c r="BL368" i="12"/>
  <c r="BM368" i="12"/>
  <c r="BN368" i="12"/>
  <c r="A369" i="12"/>
  <c r="B369" i="12"/>
  <c r="C369" i="12"/>
  <c r="D369" i="12"/>
  <c r="E369" i="12"/>
  <c r="F369" i="12"/>
  <c r="G369" i="12"/>
  <c r="H369" i="12"/>
  <c r="I369" i="12"/>
  <c r="J369" i="12"/>
  <c r="K369" i="12"/>
  <c r="L369" i="12"/>
  <c r="M369" i="12"/>
  <c r="N369" i="12"/>
  <c r="O369" i="12"/>
  <c r="P369" i="12"/>
  <c r="Q369" i="12"/>
  <c r="R369" i="12"/>
  <c r="S369" i="12"/>
  <c r="T369" i="12"/>
  <c r="U369" i="12"/>
  <c r="V369" i="12"/>
  <c r="AA369" i="12"/>
  <c r="AB369" i="12"/>
  <c r="AC369" i="12"/>
  <c r="AD369" i="12"/>
  <c r="AE369" i="12"/>
  <c r="AF369" i="12"/>
  <c r="AG369" i="12"/>
  <c r="AH369" i="12"/>
  <c r="AI369" i="12"/>
  <c r="AJ369" i="12"/>
  <c r="AK369" i="12"/>
  <c r="AL369" i="12"/>
  <c r="AM369" i="12"/>
  <c r="AN369" i="12"/>
  <c r="AO369" i="12"/>
  <c r="AP369" i="12"/>
  <c r="AQ369" i="12"/>
  <c r="AR369" i="12"/>
  <c r="AS369" i="12"/>
  <c r="AT369" i="12"/>
  <c r="AU369" i="12"/>
  <c r="AV369" i="12"/>
  <c r="AW369" i="12"/>
  <c r="AX369" i="12"/>
  <c r="AY369" i="12"/>
  <c r="AZ369" i="12"/>
  <c r="BA369" i="12"/>
  <c r="BB369" i="12"/>
  <c r="BC369" i="12"/>
  <c r="BD369" i="12"/>
  <c r="BE369" i="12"/>
  <c r="BF369" i="12"/>
  <c r="BG369" i="12"/>
  <c r="BH369" i="12"/>
  <c r="BI369" i="12"/>
  <c r="BJ369" i="12"/>
  <c r="BK369" i="12"/>
  <c r="BL369" i="12"/>
  <c r="BM369" i="12"/>
  <c r="BN369" i="12"/>
  <c r="A370" i="12"/>
  <c r="B370" i="12"/>
  <c r="C370" i="12"/>
  <c r="D370" i="12"/>
  <c r="E370" i="12"/>
  <c r="F370" i="12"/>
  <c r="G370" i="12"/>
  <c r="H370" i="12"/>
  <c r="I370" i="12"/>
  <c r="J370" i="12"/>
  <c r="K370" i="12"/>
  <c r="L370" i="12"/>
  <c r="M370" i="12"/>
  <c r="N370" i="12"/>
  <c r="O370" i="12"/>
  <c r="P370" i="12"/>
  <c r="Q370" i="12"/>
  <c r="R370" i="12"/>
  <c r="S370" i="12"/>
  <c r="T370" i="12"/>
  <c r="U370" i="12"/>
  <c r="V370" i="12"/>
  <c r="AA370" i="12"/>
  <c r="AB370" i="12"/>
  <c r="AC370" i="12"/>
  <c r="AD370" i="12"/>
  <c r="AE370" i="12"/>
  <c r="AF370" i="12"/>
  <c r="AG370" i="12"/>
  <c r="AH370" i="12"/>
  <c r="AI370" i="12"/>
  <c r="AJ370" i="12"/>
  <c r="AK370" i="12"/>
  <c r="AL370" i="12"/>
  <c r="AM370" i="12"/>
  <c r="AN370" i="12"/>
  <c r="AO370" i="12"/>
  <c r="AP370" i="12"/>
  <c r="AQ370" i="12"/>
  <c r="AR370" i="12"/>
  <c r="AS370" i="12"/>
  <c r="AT370" i="12"/>
  <c r="AU370" i="12"/>
  <c r="AV370" i="12"/>
  <c r="AW370" i="12"/>
  <c r="AX370" i="12"/>
  <c r="AY370" i="12"/>
  <c r="AZ370" i="12"/>
  <c r="BA370" i="12"/>
  <c r="BB370" i="12"/>
  <c r="BC370" i="12"/>
  <c r="BD370" i="12"/>
  <c r="BE370" i="12"/>
  <c r="BF370" i="12"/>
  <c r="BG370" i="12"/>
  <c r="BH370" i="12"/>
  <c r="BI370" i="12"/>
  <c r="BJ370" i="12"/>
  <c r="BK370" i="12"/>
  <c r="BL370" i="12"/>
  <c r="BM370" i="12"/>
  <c r="BN370" i="12"/>
  <c r="A371" i="12"/>
  <c r="B371" i="12"/>
  <c r="C371" i="12"/>
  <c r="D371" i="12"/>
  <c r="E371" i="12"/>
  <c r="F371" i="12"/>
  <c r="G371" i="12"/>
  <c r="H371" i="12"/>
  <c r="I371" i="12"/>
  <c r="J371" i="12"/>
  <c r="K371" i="12"/>
  <c r="L371" i="12"/>
  <c r="M371" i="12"/>
  <c r="N371" i="12"/>
  <c r="O371" i="12"/>
  <c r="P371" i="12"/>
  <c r="Q371" i="12"/>
  <c r="R371" i="12"/>
  <c r="S371" i="12"/>
  <c r="T371" i="12"/>
  <c r="U371" i="12"/>
  <c r="V371" i="12"/>
  <c r="AA371" i="12"/>
  <c r="AB371" i="12"/>
  <c r="AC371" i="12"/>
  <c r="AD371" i="12"/>
  <c r="AE371" i="12"/>
  <c r="AF371" i="12"/>
  <c r="AG371" i="12"/>
  <c r="AH371" i="12"/>
  <c r="AI371" i="12"/>
  <c r="AJ371" i="12"/>
  <c r="AK371" i="12"/>
  <c r="AL371" i="12"/>
  <c r="AM371" i="12"/>
  <c r="AN371" i="12"/>
  <c r="AO371" i="12"/>
  <c r="AP371" i="12"/>
  <c r="AQ371" i="12"/>
  <c r="AR371" i="12"/>
  <c r="AS371" i="12"/>
  <c r="AT371" i="12"/>
  <c r="AU371" i="12"/>
  <c r="AV371" i="12"/>
  <c r="AW371" i="12"/>
  <c r="AX371" i="12"/>
  <c r="AY371" i="12"/>
  <c r="AZ371" i="12"/>
  <c r="BA371" i="12"/>
  <c r="BB371" i="12"/>
  <c r="BC371" i="12"/>
  <c r="BD371" i="12"/>
  <c r="BE371" i="12"/>
  <c r="BF371" i="12"/>
  <c r="BG371" i="12"/>
  <c r="BH371" i="12"/>
  <c r="BI371" i="12"/>
  <c r="BJ371" i="12"/>
  <c r="BK371" i="12"/>
  <c r="BL371" i="12"/>
  <c r="BM371" i="12"/>
  <c r="BN371" i="12"/>
  <c r="A372" i="12"/>
  <c r="B372" i="12"/>
  <c r="C372" i="12"/>
  <c r="D372" i="12"/>
  <c r="E372" i="12"/>
  <c r="F372" i="12"/>
  <c r="G372" i="12"/>
  <c r="H372" i="12"/>
  <c r="I372" i="12"/>
  <c r="J372" i="12"/>
  <c r="K372" i="12"/>
  <c r="L372" i="12"/>
  <c r="M372" i="12"/>
  <c r="N372" i="12"/>
  <c r="O372" i="12"/>
  <c r="P372" i="12"/>
  <c r="Q372" i="12"/>
  <c r="R372" i="12"/>
  <c r="S372" i="12"/>
  <c r="T372" i="12"/>
  <c r="U372" i="12"/>
  <c r="V372" i="12"/>
  <c r="AA372" i="12"/>
  <c r="AB372" i="12"/>
  <c r="AC372" i="12"/>
  <c r="AD372" i="12"/>
  <c r="AE372" i="12"/>
  <c r="AF372" i="12"/>
  <c r="AG372" i="12"/>
  <c r="AH372" i="12"/>
  <c r="AI372" i="12"/>
  <c r="AJ372" i="12"/>
  <c r="AK372" i="12"/>
  <c r="AL372" i="12"/>
  <c r="AM372" i="12"/>
  <c r="AN372" i="12"/>
  <c r="AO372" i="12"/>
  <c r="AP372" i="12"/>
  <c r="AQ372" i="12"/>
  <c r="AR372" i="12"/>
  <c r="AS372" i="12"/>
  <c r="AT372" i="12"/>
  <c r="AU372" i="12"/>
  <c r="AV372" i="12"/>
  <c r="AW372" i="12"/>
  <c r="AX372" i="12"/>
  <c r="AY372" i="12"/>
  <c r="AZ372" i="12"/>
  <c r="BA372" i="12"/>
  <c r="BB372" i="12"/>
  <c r="BC372" i="12"/>
  <c r="BD372" i="12"/>
  <c r="BE372" i="12"/>
  <c r="BF372" i="12"/>
  <c r="BG372" i="12"/>
  <c r="BH372" i="12"/>
  <c r="BI372" i="12"/>
  <c r="BJ372" i="12"/>
  <c r="BK372" i="12"/>
  <c r="BL372" i="12"/>
  <c r="BM372" i="12"/>
  <c r="BN372" i="12"/>
  <c r="A373" i="12"/>
  <c r="B373" i="12"/>
  <c r="C373" i="12"/>
  <c r="D373" i="12"/>
  <c r="E373" i="12"/>
  <c r="F373" i="12"/>
  <c r="G373" i="12"/>
  <c r="H373" i="12"/>
  <c r="I373" i="12"/>
  <c r="J373" i="12"/>
  <c r="K373" i="12"/>
  <c r="L373" i="12"/>
  <c r="M373" i="12"/>
  <c r="N373" i="12"/>
  <c r="O373" i="12"/>
  <c r="P373" i="12"/>
  <c r="Q373" i="12"/>
  <c r="R373" i="12"/>
  <c r="S373" i="12"/>
  <c r="T373" i="12"/>
  <c r="U373" i="12"/>
  <c r="V373" i="12"/>
  <c r="AA373" i="12"/>
  <c r="AB373" i="12"/>
  <c r="AC373" i="12"/>
  <c r="AD373" i="12"/>
  <c r="AE373" i="12"/>
  <c r="AF373" i="12"/>
  <c r="AG373" i="12"/>
  <c r="AH373" i="12"/>
  <c r="AI373" i="12"/>
  <c r="AJ373" i="12"/>
  <c r="AK373" i="12"/>
  <c r="AL373" i="12"/>
  <c r="AM373" i="12"/>
  <c r="AN373" i="12"/>
  <c r="AO373" i="12"/>
  <c r="AP373" i="12"/>
  <c r="AQ373" i="12"/>
  <c r="AR373" i="12"/>
  <c r="AS373" i="12"/>
  <c r="AT373" i="12"/>
  <c r="AU373" i="12"/>
  <c r="AV373" i="12"/>
  <c r="AW373" i="12"/>
  <c r="AX373" i="12"/>
  <c r="AY373" i="12"/>
  <c r="AZ373" i="12"/>
  <c r="BA373" i="12"/>
  <c r="BB373" i="12"/>
  <c r="BC373" i="12"/>
  <c r="BD373" i="12"/>
  <c r="BE373" i="12"/>
  <c r="BF373" i="12"/>
  <c r="BG373" i="12"/>
  <c r="BH373" i="12"/>
  <c r="BI373" i="12"/>
  <c r="BJ373" i="12"/>
  <c r="BK373" i="12"/>
  <c r="BL373" i="12"/>
  <c r="BM373" i="12"/>
  <c r="BN373" i="12"/>
  <c r="A374" i="12"/>
  <c r="B374" i="12"/>
  <c r="C374" i="12"/>
  <c r="D374" i="12"/>
  <c r="E374" i="12"/>
  <c r="F374" i="12"/>
  <c r="G374" i="12"/>
  <c r="H374" i="12"/>
  <c r="I374" i="12"/>
  <c r="J374" i="12"/>
  <c r="K374" i="12"/>
  <c r="L374" i="12"/>
  <c r="M374" i="12"/>
  <c r="N374" i="12"/>
  <c r="O374" i="12"/>
  <c r="P374" i="12"/>
  <c r="Q374" i="12"/>
  <c r="R374" i="12"/>
  <c r="S374" i="12"/>
  <c r="T374" i="12"/>
  <c r="U374" i="12"/>
  <c r="V374" i="12"/>
  <c r="AA374" i="12"/>
  <c r="AB374" i="12"/>
  <c r="AC374" i="12"/>
  <c r="AD374" i="12"/>
  <c r="AE374" i="12"/>
  <c r="AF374" i="12"/>
  <c r="AG374" i="12"/>
  <c r="AH374" i="12"/>
  <c r="AI374" i="12"/>
  <c r="AJ374" i="12"/>
  <c r="AK374" i="12"/>
  <c r="AL374" i="12"/>
  <c r="AM374" i="12"/>
  <c r="AN374" i="12"/>
  <c r="AO374" i="12"/>
  <c r="AP374" i="12"/>
  <c r="AQ374" i="12"/>
  <c r="AR374" i="12"/>
  <c r="AS374" i="12"/>
  <c r="AT374" i="12"/>
  <c r="AU374" i="12"/>
  <c r="AV374" i="12"/>
  <c r="AW374" i="12"/>
  <c r="AX374" i="12"/>
  <c r="AY374" i="12"/>
  <c r="AZ374" i="12"/>
  <c r="BA374" i="12"/>
  <c r="BB374" i="12"/>
  <c r="BC374" i="12"/>
  <c r="BD374" i="12"/>
  <c r="BE374" i="12"/>
  <c r="BF374" i="12"/>
  <c r="BG374" i="12"/>
  <c r="BH374" i="12"/>
  <c r="BI374" i="12"/>
  <c r="BJ374" i="12"/>
  <c r="BK374" i="12"/>
  <c r="BL374" i="12"/>
  <c r="BM374" i="12"/>
  <c r="BN374" i="12"/>
  <c r="A375" i="12"/>
  <c r="B375" i="12"/>
  <c r="C375" i="12"/>
  <c r="D375" i="12"/>
  <c r="E375" i="12"/>
  <c r="F375" i="12"/>
  <c r="G375" i="12"/>
  <c r="H375" i="12"/>
  <c r="I375" i="12"/>
  <c r="J375" i="12"/>
  <c r="K375" i="12"/>
  <c r="L375" i="12"/>
  <c r="M375" i="12"/>
  <c r="N375" i="12"/>
  <c r="O375" i="12"/>
  <c r="P375" i="12"/>
  <c r="Q375" i="12"/>
  <c r="R375" i="12"/>
  <c r="S375" i="12"/>
  <c r="T375" i="12"/>
  <c r="U375" i="12"/>
  <c r="V375" i="12"/>
  <c r="AA375" i="12"/>
  <c r="AB375" i="12"/>
  <c r="AC375" i="12"/>
  <c r="AD375" i="12"/>
  <c r="AE375" i="12"/>
  <c r="AF375" i="12"/>
  <c r="AG375" i="12"/>
  <c r="AH375" i="12"/>
  <c r="AI375" i="12"/>
  <c r="AJ375" i="12"/>
  <c r="AK375" i="12"/>
  <c r="AL375" i="12"/>
  <c r="AM375" i="12"/>
  <c r="AN375" i="12"/>
  <c r="AO375" i="12"/>
  <c r="AP375" i="12"/>
  <c r="AQ375" i="12"/>
  <c r="AR375" i="12"/>
  <c r="AS375" i="12"/>
  <c r="AT375" i="12"/>
  <c r="AU375" i="12"/>
  <c r="AV375" i="12"/>
  <c r="AW375" i="12"/>
  <c r="AX375" i="12"/>
  <c r="AY375" i="12"/>
  <c r="AZ375" i="12"/>
  <c r="BA375" i="12"/>
  <c r="BB375" i="12"/>
  <c r="BC375" i="12"/>
  <c r="BD375" i="12"/>
  <c r="BE375" i="12"/>
  <c r="BF375" i="12"/>
  <c r="BG375" i="12"/>
  <c r="BH375" i="12"/>
  <c r="BI375" i="12"/>
  <c r="BJ375" i="12"/>
  <c r="BK375" i="12"/>
  <c r="BL375" i="12"/>
  <c r="BM375" i="12"/>
  <c r="BN375" i="12"/>
  <c r="A376" i="12"/>
  <c r="B376" i="12"/>
  <c r="C376" i="12"/>
  <c r="D376" i="12"/>
  <c r="E376" i="12"/>
  <c r="F376" i="12"/>
  <c r="G376" i="12"/>
  <c r="H376" i="12"/>
  <c r="I376" i="12"/>
  <c r="J376" i="12"/>
  <c r="K376" i="12"/>
  <c r="L376" i="12"/>
  <c r="M376" i="12"/>
  <c r="N376" i="12"/>
  <c r="O376" i="12"/>
  <c r="P376" i="12"/>
  <c r="Q376" i="12"/>
  <c r="R376" i="12"/>
  <c r="S376" i="12"/>
  <c r="T376" i="12"/>
  <c r="U376" i="12"/>
  <c r="V376" i="12"/>
  <c r="AA376" i="12"/>
  <c r="AB376" i="12"/>
  <c r="AC376" i="12"/>
  <c r="AD376" i="12"/>
  <c r="AE376" i="12"/>
  <c r="AF376" i="12"/>
  <c r="AG376" i="12"/>
  <c r="AH376" i="12"/>
  <c r="AI376" i="12"/>
  <c r="AJ376" i="12"/>
  <c r="AK376" i="12"/>
  <c r="AL376" i="12"/>
  <c r="AM376" i="12"/>
  <c r="AN376" i="12"/>
  <c r="AO376" i="12"/>
  <c r="AP376" i="12"/>
  <c r="AQ376" i="12"/>
  <c r="AR376" i="12"/>
  <c r="AS376" i="12"/>
  <c r="AT376" i="12"/>
  <c r="AU376" i="12"/>
  <c r="AV376" i="12"/>
  <c r="AW376" i="12"/>
  <c r="AX376" i="12"/>
  <c r="AY376" i="12"/>
  <c r="AZ376" i="12"/>
  <c r="BA376" i="12"/>
  <c r="BB376" i="12"/>
  <c r="BC376" i="12"/>
  <c r="BD376" i="12"/>
  <c r="BE376" i="12"/>
  <c r="BF376" i="12"/>
  <c r="BG376" i="12"/>
  <c r="BH376" i="12"/>
  <c r="BI376" i="12"/>
  <c r="BJ376" i="12"/>
  <c r="BK376" i="12"/>
  <c r="BL376" i="12"/>
  <c r="BM376" i="12"/>
  <c r="BN376" i="12"/>
  <c r="A377" i="12"/>
  <c r="B377" i="12"/>
  <c r="C377" i="12"/>
  <c r="D377" i="12"/>
  <c r="E377" i="12"/>
  <c r="F377" i="12"/>
  <c r="G377" i="12"/>
  <c r="H377" i="12"/>
  <c r="I377" i="12"/>
  <c r="J377" i="12"/>
  <c r="K377" i="12"/>
  <c r="L377" i="12"/>
  <c r="M377" i="12"/>
  <c r="N377" i="12"/>
  <c r="O377" i="12"/>
  <c r="P377" i="12"/>
  <c r="Q377" i="12"/>
  <c r="R377" i="12"/>
  <c r="S377" i="12"/>
  <c r="T377" i="12"/>
  <c r="U377" i="12"/>
  <c r="V377" i="12"/>
  <c r="AA377" i="12"/>
  <c r="AB377" i="12"/>
  <c r="AC377" i="12"/>
  <c r="AD377" i="12"/>
  <c r="AE377" i="12"/>
  <c r="AF377" i="12"/>
  <c r="AG377" i="12"/>
  <c r="AH377" i="12"/>
  <c r="AI377" i="12"/>
  <c r="AJ377" i="12"/>
  <c r="AK377" i="12"/>
  <c r="AL377" i="12"/>
  <c r="AM377" i="12"/>
  <c r="AN377" i="12"/>
  <c r="AO377" i="12"/>
  <c r="AP377" i="12"/>
  <c r="AQ377" i="12"/>
  <c r="AR377" i="12"/>
  <c r="AS377" i="12"/>
  <c r="AT377" i="12"/>
  <c r="AU377" i="12"/>
  <c r="AV377" i="12"/>
  <c r="AW377" i="12"/>
  <c r="AX377" i="12"/>
  <c r="AY377" i="12"/>
  <c r="AZ377" i="12"/>
  <c r="BA377" i="12"/>
  <c r="BB377" i="12"/>
  <c r="BC377" i="12"/>
  <c r="BD377" i="12"/>
  <c r="BE377" i="12"/>
  <c r="BF377" i="12"/>
  <c r="BG377" i="12"/>
  <c r="BH377" i="12"/>
  <c r="BI377" i="12"/>
  <c r="BJ377" i="12"/>
  <c r="BK377" i="12"/>
  <c r="BL377" i="12"/>
  <c r="BM377" i="12"/>
  <c r="BN377" i="12"/>
  <c r="A378" i="12"/>
  <c r="B378" i="12"/>
  <c r="C378" i="12"/>
  <c r="D378" i="12"/>
  <c r="E378" i="12"/>
  <c r="F378" i="12"/>
  <c r="G378" i="12"/>
  <c r="H378" i="12"/>
  <c r="I378" i="12"/>
  <c r="J378" i="12"/>
  <c r="K378" i="12"/>
  <c r="L378" i="12"/>
  <c r="M378" i="12"/>
  <c r="N378" i="12"/>
  <c r="O378" i="12"/>
  <c r="P378" i="12"/>
  <c r="Q378" i="12"/>
  <c r="R378" i="12"/>
  <c r="S378" i="12"/>
  <c r="T378" i="12"/>
  <c r="U378" i="12"/>
  <c r="V378" i="12"/>
  <c r="AA378" i="12"/>
  <c r="AB378" i="12"/>
  <c r="AC378" i="12"/>
  <c r="AD378" i="12"/>
  <c r="AE378" i="12"/>
  <c r="AF378" i="12"/>
  <c r="AG378" i="12"/>
  <c r="AH378" i="12"/>
  <c r="AI378" i="12"/>
  <c r="AJ378" i="12"/>
  <c r="AK378" i="12"/>
  <c r="AL378" i="12"/>
  <c r="AM378" i="12"/>
  <c r="AN378" i="12"/>
  <c r="AO378" i="12"/>
  <c r="AP378" i="12"/>
  <c r="AQ378" i="12"/>
  <c r="AR378" i="12"/>
  <c r="AS378" i="12"/>
  <c r="AT378" i="12"/>
  <c r="AU378" i="12"/>
  <c r="AV378" i="12"/>
  <c r="AW378" i="12"/>
  <c r="AX378" i="12"/>
  <c r="AY378" i="12"/>
  <c r="AZ378" i="12"/>
  <c r="BA378" i="12"/>
  <c r="BB378" i="12"/>
  <c r="BC378" i="12"/>
  <c r="BD378" i="12"/>
  <c r="BE378" i="12"/>
  <c r="BF378" i="12"/>
  <c r="BG378" i="12"/>
  <c r="BH378" i="12"/>
  <c r="BI378" i="12"/>
  <c r="BJ378" i="12"/>
  <c r="BK378" i="12"/>
  <c r="BL378" i="12"/>
  <c r="BM378" i="12"/>
  <c r="BN378" i="12"/>
  <c r="A379" i="12"/>
  <c r="B379" i="12"/>
  <c r="C379" i="12"/>
  <c r="D379" i="12"/>
  <c r="E379" i="12"/>
  <c r="F379" i="12"/>
  <c r="G379" i="12"/>
  <c r="H379" i="12"/>
  <c r="I379" i="12"/>
  <c r="J379" i="12"/>
  <c r="K379" i="12"/>
  <c r="L379" i="12"/>
  <c r="M379" i="12"/>
  <c r="N379" i="12"/>
  <c r="O379" i="12"/>
  <c r="P379" i="12"/>
  <c r="Q379" i="12"/>
  <c r="R379" i="12"/>
  <c r="S379" i="12"/>
  <c r="T379" i="12"/>
  <c r="U379" i="12"/>
  <c r="V379" i="12"/>
  <c r="AA379" i="12"/>
  <c r="AB379" i="12"/>
  <c r="AC379" i="12"/>
  <c r="AD379" i="12"/>
  <c r="AE379" i="12"/>
  <c r="AF379" i="12"/>
  <c r="AG379" i="12"/>
  <c r="AH379" i="12"/>
  <c r="AI379" i="12"/>
  <c r="AJ379" i="12"/>
  <c r="AK379" i="12"/>
  <c r="AL379" i="12"/>
  <c r="AM379" i="12"/>
  <c r="AN379" i="12"/>
  <c r="AO379" i="12"/>
  <c r="AP379" i="12"/>
  <c r="AQ379" i="12"/>
  <c r="AR379" i="12"/>
  <c r="AS379" i="12"/>
  <c r="AT379" i="12"/>
  <c r="AU379" i="12"/>
  <c r="AV379" i="12"/>
  <c r="AW379" i="12"/>
  <c r="AX379" i="12"/>
  <c r="AY379" i="12"/>
  <c r="AZ379" i="12"/>
  <c r="BA379" i="12"/>
  <c r="BB379" i="12"/>
  <c r="BC379" i="12"/>
  <c r="BD379" i="12"/>
  <c r="BE379" i="12"/>
  <c r="BF379" i="12"/>
  <c r="BG379" i="12"/>
  <c r="BH379" i="12"/>
  <c r="BI379" i="12"/>
  <c r="BJ379" i="12"/>
  <c r="BK379" i="12"/>
  <c r="BL379" i="12"/>
  <c r="BM379" i="12"/>
  <c r="BN379" i="12"/>
  <c r="A380" i="12"/>
  <c r="B380" i="12"/>
  <c r="C380" i="12"/>
  <c r="D380" i="12"/>
  <c r="E380" i="12"/>
  <c r="F380" i="12"/>
  <c r="G380" i="12"/>
  <c r="H380" i="12"/>
  <c r="I380" i="12"/>
  <c r="J380" i="12"/>
  <c r="K380" i="12"/>
  <c r="L380" i="12"/>
  <c r="M380" i="12"/>
  <c r="N380" i="12"/>
  <c r="O380" i="12"/>
  <c r="P380" i="12"/>
  <c r="Q380" i="12"/>
  <c r="R380" i="12"/>
  <c r="S380" i="12"/>
  <c r="T380" i="12"/>
  <c r="U380" i="12"/>
  <c r="V380" i="12"/>
  <c r="AA380" i="12"/>
  <c r="AB380" i="12"/>
  <c r="AC380" i="12"/>
  <c r="AD380" i="12"/>
  <c r="AE380" i="12"/>
  <c r="AF380" i="12"/>
  <c r="AG380" i="12"/>
  <c r="AH380" i="12"/>
  <c r="AI380" i="12"/>
  <c r="AJ380" i="12"/>
  <c r="AK380" i="12"/>
  <c r="AL380" i="12"/>
  <c r="AM380" i="12"/>
  <c r="AN380" i="12"/>
  <c r="AO380" i="12"/>
  <c r="AP380" i="12"/>
  <c r="AQ380" i="12"/>
  <c r="AR380" i="12"/>
  <c r="AS380" i="12"/>
  <c r="AT380" i="12"/>
  <c r="AU380" i="12"/>
  <c r="AV380" i="12"/>
  <c r="AW380" i="12"/>
  <c r="AX380" i="12"/>
  <c r="AY380" i="12"/>
  <c r="AZ380" i="12"/>
  <c r="BA380" i="12"/>
  <c r="BB380" i="12"/>
  <c r="BC380" i="12"/>
  <c r="BD380" i="12"/>
  <c r="BE380" i="12"/>
  <c r="BF380" i="12"/>
  <c r="BG380" i="12"/>
  <c r="BH380" i="12"/>
  <c r="BI380" i="12"/>
  <c r="BJ380" i="12"/>
  <c r="BK380" i="12"/>
  <c r="BL380" i="12"/>
  <c r="BM380" i="12"/>
  <c r="BN380" i="12"/>
  <c r="A381" i="12"/>
  <c r="B381" i="12"/>
  <c r="C381" i="12"/>
  <c r="D381" i="12"/>
  <c r="E381" i="12"/>
  <c r="F381" i="12"/>
  <c r="G381" i="12"/>
  <c r="H381" i="12"/>
  <c r="I381" i="12"/>
  <c r="J381" i="12"/>
  <c r="K381" i="12"/>
  <c r="L381" i="12"/>
  <c r="M381" i="12"/>
  <c r="N381" i="12"/>
  <c r="O381" i="12"/>
  <c r="P381" i="12"/>
  <c r="Q381" i="12"/>
  <c r="R381" i="12"/>
  <c r="S381" i="12"/>
  <c r="T381" i="12"/>
  <c r="U381" i="12"/>
  <c r="V381" i="12"/>
  <c r="AA381" i="12"/>
  <c r="AB381" i="12"/>
  <c r="AC381" i="12"/>
  <c r="AD381" i="12"/>
  <c r="AE381" i="12"/>
  <c r="AF381" i="12"/>
  <c r="AG381" i="12"/>
  <c r="AH381" i="12"/>
  <c r="AI381" i="12"/>
  <c r="AJ381" i="12"/>
  <c r="AK381" i="12"/>
  <c r="AL381" i="12"/>
  <c r="AM381" i="12"/>
  <c r="AN381" i="12"/>
  <c r="AO381" i="12"/>
  <c r="AP381" i="12"/>
  <c r="AQ381" i="12"/>
  <c r="AR381" i="12"/>
  <c r="AS381" i="12"/>
  <c r="AT381" i="12"/>
  <c r="AU381" i="12"/>
  <c r="AV381" i="12"/>
  <c r="AW381" i="12"/>
  <c r="AX381" i="12"/>
  <c r="AY381" i="12"/>
  <c r="AZ381" i="12"/>
  <c r="BA381" i="12"/>
  <c r="BB381" i="12"/>
  <c r="BC381" i="12"/>
  <c r="BD381" i="12"/>
  <c r="BE381" i="12"/>
  <c r="BF381" i="12"/>
  <c r="BG381" i="12"/>
  <c r="BH381" i="12"/>
  <c r="BI381" i="12"/>
  <c r="BJ381" i="12"/>
  <c r="BK381" i="12"/>
  <c r="BL381" i="12"/>
  <c r="BM381" i="12"/>
  <c r="BN381" i="12"/>
  <c r="A382" i="12"/>
  <c r="B382" i="12"/>
  <c r="C382" i="12"/>
  <c r="D382" i="12"/>
  <c r="E382" i="12"/>
  <c r="F382" i="12"/>
  <c r="G382" i="12"/>
  <c r="H382" i="12"/>
  <c r="I382" i="12"/>
  <c r="J382" i="12"/>
  <c r="K382" i="12"/>
  <c r="L382" i="12"/>
  <c r="M382" i="12"/>
  <c r="N382" i="12"/>
  <c r="O382" i="12"/>
  <c r="P382" i="12"/>
  <c r="Q382" i="12"/>
  <c r="R382" i="12"/>
  <c r="S382" i="12"/>
  <c r="T382" i="12"/>
  <c r="U382" i="12"/>
  <c r="V382" i="12"/>
  <c r="AA382" i="12"/>
  <c r="AB382" i="12"/>
  <c r="AC382" i="12"/>
  <c r="AD382" i="12"/>
  <c r="AE382" i="12"/>
  <c r="AF382" i="12"/>
  <c r="AG382" i="12"/>
  <c r="AH382" i="12"/>
  <c r="AI382" i="12"/>
  <c r="AJ382" i="12"/>
  <c r="AK382" i="12"/>
  <c r="AL382" i="12"/>
  <c r="AM382" i="12"/>
  <c r="AN382" i="12"/>
  <c r="AO382" i="12"/>
  <c r="AP382" i="12"/>
  <c r="AQ382" i="12"/>
  <c r="AR382" i="12"/>
  <c r="AS382" i="12"/>
  <c r="AT382" i="12"/>
  <c r="AU382" i="12"/>
  <c r="AV382" i="12"/>
  <c r="AW382" i="12"/>
  <c r="AX382" i="12"/>
  <c r="AY382" i="12"/>
  <c r="AZ382" i="12"/>
  <c r="BA382" i="12"/>
  <c r="BB382" i="12"/>
  <c r="BC382" i="12"/>
  <c r="BD382" i="12"/>
  <c r="BE382" i="12"/>
  <c r="BF382" i="12"/>
  <c r="BG382" i="12"/>
  <c r="BH382" i="12"/>
  <c r="BI382" i="12"/>
  <c r="BJ382" i="12"/>
  <c r="BK382" i="12"/>
  <c r="BL382" i="12"/>
  <c r="BM382" i="12"/>
  <c r="BN382" i="12"/>
  <c r="A383" i="12"/>
  <c r="B383" i="12"/>
  <c r="C383" i="12"/>
  <c r="D383" i="12"/>
  <c r="E383" i="12"/>
  <c r="F383" i="12"/>
  <c r="G383" i="12"/>
  <c r="H383" i="12"/>
  <c r="I383" i="12"/>
  <c r="J383" i="12"/>
  <c r="K383" i="12"/>
  <c r="L383" i="12"/>
  <c r="M383" i="12"/>
  <c r="N383" i="12"/>
  <c r="O383" i="12"/>
  <c r="P383" i="12"/>
  <c r="Q383" i="12"/>
  <c r="R383" i="12"/>
  <c r="S383" i="12"/>
  <c r="T383" i="12"/>
  <c r="U383" i="12"/>
  <c r="V383" i="12"/>
  <c r="AA383" i="12"/>
  <c r="AB383" i="12"/>
  <c r="AC383" i="12"/>
  <c r="AD383" i="12"/>
  <c r="AE383" i="12"/>
  <c r="AF383" i="12"/>
  <c r="AG383" i="12"/>
  <c r="AH383" i="12"/>
  <c r="AI383" i="12"/>
  <c r="AJ383" i="12"/>
  <c r="AK383" i="12"/>
  <c r="AL383" i="12"/>
  <c r="AM383" i="12"/>
  <c r="AN383" i="12"/>
  <c r="AO383" i="12"/>
  <c r="AP383" i="12"/>
  <c r="AQ383" i="12"/>
  <c r="AR383" i="12"/>
  <c r="AS383" i="12"/>
  <c r="AT383" i="12"/>
  <c r="AU383" i="12"/>
  <c r="AV383" i="12"/>
  <c r="AW383" i="12"/>
  <c r="AX383" i="12"/>
  <c r="AY383" i="12"/>
  <c r="AZ383" i="12"/>
  <c r="BA383" i="12"/>
  <c r="BB383" i="12"/>
  <c r="BC383" i="12"/>
  <c r="BD383" i="12"/>
  <c r="BE383" i="12"/>
  <c r="BF383" i="12"/>
  <c r="BG383" i="12"/>
  <c r="BH383" i="12"/>
  <c r="BI383" i="12"/>
  <c r="BJ383" i="12"/>
  <c r="BK383" i="12"/>
  <c r="BL383" i="12"/>
  <c r="BM383" i="12"/>
  <c r="BN383" i="12"/>
  <c r="A384" i="12"/>
  <c r="B384" i="12"/>
  <c r="C384" i="12"/>
  <c r="D384" i="12"/>
  <c r="E384" i="12"/>
  <c r="F384" i="12"/>
  <c r="G384" i="12"/>
  <c r="H384" i="12"/>
  <c r="I384" i="12"/>
  <c r="J384" i="12"/>
  <c r="K384" i="12"/>
  <c r="L384" i="12"/>
  <c r="M384" i="12"/>
  <c r="N384" i="12"/>
  <c r="O384" i="12"/>
  <c r="P384" i="12"/>
  <c r="Q384" i="12"/>
  <c r="R384" i="12"/>
  <c r="S384" i="12"/>
  <c r="T384" i="12"/>
  <c r="U384" i="12"/>
  <c r="V384" i="12"/>
  <c r="AA384" i="12"/>
  <c r="AB384" i="12"/>
  <c r="AC384" i="12"/>
  <c r="AD384" i="12"/>
  <c r="AE384" i="12"/>
  <c r="AF384" i="12"/>
  <c r="AG384" i="12"/>
  <c r="AH384" i="12"/>
  <c r="AI384" i="12"/>
  <c r="AJ384" i="12"/>
  <c r="AK384" i="12"/>
  <c r="AL384" i="12"/>
  <c r="AM384" i="12"/>
  <c r="AN384" i="12"/>
  <c r="AO384" i="12"/>
  <c r="AP384" i="12"/>
  <c r="AQ384" i="12"/>
  <c r="AR384" i="12"/>
  <c r="AS384" i="12"/>
  <c r="AT384" i="12"/>
  <c r="AU384" i="12"/>
  <c r="AV384" i="12"/>
  <c r="AW384" i="12"/>
  <c r="AX384" i="12"/>
  <c r="AY384" i="12"/>
  <c r="AZ384" i="12"/>
  <c r="BA384" i="12"/>
  <c r="BB384" i="12"/>
  <c r="BC384" i="12"/>
  <c r="BD384" i="12"/>
  <c r="BE384" i="12"/>
  <c r="BF384" i="12"/>
  <c r="BG384" i="12"/>
  <c r="BH384" i="12"/>
  <c r="BI384" i="12"/>
  <c r="BJ384" i="12"/>
  <c r="BK384" i="12"/>
  <c r="BL384" i="12"/>
  <c r="BM384" i="12"/>
  <c r="BN384" i="12"/>
  <c r="A385" i="12"/>
  <c r="B385" i="12"/>
  <c r="C385" i="12"/>
  <c r="D385" i="12"/>
  <c r="E385" i="12"/>
  <c r="F385" i="12"/>
  <c r="G385" i="12"/>
  <c r="H385" i="12"/>
  <c r="I385" i="12"/>
  <c r="J385" i="12"/>
  <c r="K385" i="12"/>
  <c r="L385" i="12"/>
  <c r="M385" i="12"/>
  <c r="N385" i="12"/>
  <c r="O385" i="12"/>
  <c r="P385" i="12"/>
  <c r="Q385" i="12"/>
  <c r="R385" i="12"/>
  <c r="S385" i="12"/>
  <c r="T385" i="12"/>
  <c r="U385" i="12"/>
  <c r="V385" i="12"/>
  <c r="AA385" i="12"/>
  <c r="AB385" i="12"/>
  <c r="AC385" i="12"/>
  <c r="AD385" i="12"/>
  <c r="AE385" i="12"/>
  <c r="AF385" i="12"/>
  <c r="AG385" i="12"/>
  <c r="AH385" i="12"/>
  <c r="AI385" i="12"/>
  <c r="AJ385" i="12"/>
  <c r="AK385" i="12"/>
  <c r="AL385" i="12"/>
  <c r="AM385" i="12"/>
  <c r="AN385" i="12"/>
  <c r="AO385" i="12"/>
  <c r="AP385" i="12"/>
  <c r="AQ385" i="12"/>
  <c r="AR385" i="12"/>
  <c r="AS385" i="12"/>
  <c r="AT385" i="12"/>
  <c r="AU385" i="12"/>
  <c r="AV385" i="12"/>
  <c r="AW385" i="12"/>
  <c r="AX385" i="12"/>
  <c r="AY385" i="12"/>
  <c r="AZ385" i="12"/>
  <c r="BA385" i="12"/>
  <c r="BB385" i="12"/>
  <c r="BC385" i="12"/>
  <c r="BD385" i="12"/>
  <c r="BE385" i="12"/>
  <c r="BF385" i="12"/>
  <c r="BG385" i="12"/>
  <c r="BH385" i="12"/>
  <c r="BI385" i="12"/>
  <c r="BJ385" i="12"/>
  <c r="BK385" i="12"/>
  <c r="BL385" i="12"/>
  <c r="BM385" i="12"/>
  <c r="BN385" i="12"/>
  <c r="A386" i="12"/>
  <c r="B386" i="12"/>
  <c r="C386" i="12"/>
  <c r="D386" i="12"/>
  <c r="E386" i="12"/>
  <c r="F386" i="12"/>
  <c r="G386" i="12"/>
  <c r="H386" i="12"/>
  <c r="I386" i="12"/>
  <c r="J386" i="12"/>
  <c r="K386" i="12"/>
  <c r="L386" i="12"/>
  <c r="M386" i="12"/>
  <c r="N386" i="12"/>
  <c r="O386" i="12"/>
  <c r="P386" i="12"/>
  <c r="Q386" i="12"/>
  <c r="R386" i="12"/>
  <c r="S386" i="12"/>
  <c r="T386" i="12"/>
  <c r="U386" i="12"/>
  <c r="V386" i="12"/>
  <c r="AA386" i="12"/>
  <c r="AB386" i="12"/>
  <c r="AC386" i="12"/>
  <c r="AD386" i="12"/>
  <c r="AE386" i="12"/>
  <c r="AF386" i="12"/>
  <c r="AG386" i="12"/>
  <c r="AH386" i="12"/>
  <c r="AI386" i="12"/>
  <c r="AJ386" i="12"/>
  <c r="AK386" i="12"/>
  <c r="AL386" i="12"/>
  <c r="AM386" i="12"/>
  <c r="AN386" i="12"/>
  <c r="AO386" i="12"/>
  <c r="AP386" i="12"/>
  <c r="AQ386" i="12"/>
  <c r="AR386" i="12"/>
  <c r="AS386" i="12"/>
  <c r="AT386" i="12"/>
  <c r="AU386" i="12"/>
  <c r="AV386" i="12"/>
  <c r="AW386" i="12"/>
  <c r="AX386" i="12"/>
  <c r="AY386" i="12"/>
  <c r="AZ386" i="12"/>
  <c r="BA386" i="12"/>
  <c r="BB386" i="12"/>
  <c r="BC386" i="12"/>
  <c r="BD386" i="12"/>
  <c r="BE386" i="12"/>
  <c r="BF386" i="12"/>
  <c r="BG386" i="12"/>
  <c r="BH386" i="12"/>
  <c r="BI386" i="12"/>
  <c r="BJ386" i="12"/>
  <c r="BK386" i="12"/>
  <c r="BL386" i="12"/>
  <c r="BM386" i="12"/>
  <c r="BN386" i="12"/>
  <c r="A387" i="12"/>
  <c r="B387" i="12"/>
  <c r="C387" i="12"/>
  <c r="D387" i="12"/>
  <c r="E387" i="12"/>
  <c r="F387" i="12"/>
  <c r="G387" i="12"/>
  <c r="H387" i="12"/>
  <c r="I387" i="12"/>
  <c r="J387" i="12"/>
  <c r="K387" i="12"/>
  <c r="L387" i="12"/>
  <c r="M387" i="12"/>
  <c r="N387" i="12"/>
  <c r="O387" i="12"/>
  <c r="P387" i="12"/>
  <c r="Q387" i="12"/>
  <c r="R387" i="12"/>
  <c r="S387" i="12"/>
  <c r="T387" i="12"/>
  <c r="U387" i="12"/>
  <c r="V387" i="12"/>
  <c r="AA387" i="12"/>
  <c r="AB387" i="12"/>
  <c r="AC387" i="12"/>
  <c r="AD387" i="12"/>
  <c r="AE387" i="12"/>
  <c r="AF387" i="12"/>
  <c r="AG387" i="12"/>
  <c r="AH387" i="12"/>
  <c r="AI387" i="12"/>
  <c r="AJ387" i="12"/>
  <c r="AK387" i="12"/>
  <c r="AL387" i="12"/>
  <c r="AM387" i="12"/>
  <c r="AN387" i="12"/>
  <c r="AO387" i="12"/>
  <c r="AP387" i="12"/>
  <c r="AQ387" i="12"/>
  <c r="AR387" i="12"/>
  <c r="AS387" i="12"/>
  <c r="AT387" i="12"/>
  <c r="AU387" i="12"/>
  <c r="AV387" i="12"/>
  <c r="AW387" i="12"/>
  <c r="AX387" i="12"/>
  <c r="AY387" i="12"/>
  <c r="AZ387" i="12"/>
  <c r="BA387" i="12"/>
  <c r="BB387" i="12"/>
  <c r="BC387" i="12"/>
  <c r="BD387" i="12"/>
  <c r="BE387" i="12"/>
  <c r="BF387" i="12"/>
  <c r="BG387" i="12"/>
  <c r="BH387" i="12"/>
  <c r="BI387" i="12"/>
  <c r="BJ387" i="12"/>
  <c r="BK387" i="12"/>
  <c r="BL387" i="12"/>
  <c r="BM387" i="12"/>
  <c r="BN387" i="12"/>
  <c r="A388" i="12"/>
  <c r="B388" i="12"/>
  <c r="C388" i="12"/>
  <c r="D388" i="12"/>
  <c r="E388" i="12"/>
  <c r="F388" i="12"/>
  <c r="G388" i="12"/>
  <c r="H388" i="12"/>
  <c r="I388" i="12"/>
  <c r="J388" i="12"/>
  <c r="K388" i="12"/>
  <c r="L388" i="12"/>
  <c r="M388" i="12"/>
  <c r="N388" i="12"/>
  <c r="O388" i="12"/>
  <c r="P388" i="12"/>
  <c r="Q388" i="12"/>
  <c r="R388" i="12"/>
  <c r="S388" i="12"/>
  <c r="T388" i="12"/>
  <c r="U388" i="12"/>
  <c r="V388" i="12"/>
  <c r="AA388" i="12"/>
  <c r="AB388" i="12"/>
  <c r="AC388" i="12"/>
  <c r="AD388" i="12"/>
  <c r="AE388" i="12"/>
  <c r="AF388" i="12"/>
  <c r="AG388" i="12"/>
  <c r="AH388" i="12"/>
  <c r="AI388" i="12"/>
  <c r="AJ388" i="12"/>
  <c r="AK388" i="12"/>
  <c r="AL388" i="12"/>
  <c r="AM388" i="12"/>
  <c r="AN388" i="12"/>
  <c r="AO388" i="12"/>
  <c r="AP388" i="12"/>
  <c r="AQ388" i="12"/>
  <c r="AR388" i="12"/>
  <c r="AS388" i="12"/>
  <c r="AT388" i="12"/>
  <c r="AU388" i="12"/>
  <c r="AV388" i="12"/>
  <c r="AW388" i="12"/>
  <c r="AX388" i="12"/>
  <c r="AY388" i="12"/>
  <c r="AZ388" i="12"/>
  <c r="BA388" i="12"/>
  <c r="BB388" i="12"/>
  <c r="BC388" i="12"/>
  <c r="BD388" i="12"/>
  <c r="BE388" i="12"/>
  <c r="BF388" i="12"/>
  <c r="BG388" i="12"/>
  <c r="BH388" i="12"/>
  <c r="BI388" i="12"/>
  <c r="BJ388" i="12"/>
  <c r="BK388" i="12"/>
  <c r="BL388" i="12"/>
  <c r="BM388" i="12"/>
  <c r="BN388" i="12"/>
  <c r="A389" i="12"/>
  <c r="B389" i="12"/>
  <c r="C389" i="12"/>
  <c r="D389" i="12"/>
  <c r="E389" i="12"/>
  <c r="F389" i="12"/>
  <c r="G389" i="12"/>
  <c r="H389" i="12"/>
  <c r="I389" i="12"/>
  <c r="J389" i="12"/>
  <c r="K389" i="12"/>
  <c r="L389" i="12"/>
  <c r="M389" i="12"/>
  <c r="N389" i="12"/>
  <c r="O389" i="12"/>
  <c r="P389" i="12"/>
  <c r="Q389" i="12"/>
  <c r="R389" i="12"/>
  <c r="S389" i="12"/>
  <c r="T389" i="12"/>
  <c r="U389" i="12"/>
  <c r="V389" i="12"/>
  <c r="AA389" i="12"/>
  <c r="AB389" i="12"/>
  <c r="AC389" i="12"/>
  <c r="AD389" i="12"/>
  <c r="AE389" i="12"/>
  <c r="AF389" i="12"/>
  <c r="AG389" i="12"/>
  <c r="AH389" i="12"/>
  <c r="AI389" i="12"/>
  <c r="AJ389" i="12"/>
  <c r="AK389" i="12"/>
  <c r="AL389" i="12"/>
  <c r="AM389" i="12"/>
  <c r="AN389" i="12"/>
  <c r="AO389" i="12"/>
  <c r="AP389" i="12"/>
  <c r="AQ389" i="12"/>
  <c r="AR389" i="12"/>
  <c r="AS389" i="12"/>
  <c r="AT389" i="12"/>
  <c r="AU389" i="12"/>
  <c r="AV389" i="12"/>
  <c r="AW389" i="12"/>
  <c r="AX389" i="12"/>
  <c r="AY389" i="12"/>
  <c r="AZ389" i="12"/>
  <c r="BA389" i="12"/>
  <c r="BB389" i="12"/>
  <c r="BC389" i="12"/>
  <c r="BD389" i="12"/>
  <c r="BE389" i="12"/>
  <c r="BF389" i="12"/>
  <c r="BG389" i="12"/>
  <c r="BH389" i="12"/>
  <c r="BI389" i="12"/>
  <c r="BJ389" i="12"/>
  <c r="BK389" i="12"/>
  <c r="BL389" i="12"/>
  <c r="BM389" i="12"/>
  <c r="BN389" i="12"/>
  <c r="A390" i="12"/>
  <c r="B390" i="12"/>
  <c r="C390" i="12"/>
  <c r="D390" i="12"/>
  <c r="E390" i="12"/>
  <c r="F390" i="12"/>
  <c r="G390" i="12"/>
  <c r="H390" i="12"/>
  <c r="I390" i="12"/>
  <c r="J390" i="12"/>
  <c r="K390" i="12"/>
  <c r="L390" i="12"/>
  <c r="M390" i="12"/>
  <c r="N390" i="12"/>
  <c r="O390" i="12"/>
  <c r="P390" i="12"/>
  <c r="Q390" i="12"/>
  <c r="R390" i="12"/>
  <c r="S390" i="12"/>
  <c r="T390" i="12"/>
  <c r="U390" i="12"/>
  <c r="V390" i="12"/>
  <c r="AA390" i="12"/>
  <c r="AB390" i="12"/>
  <c r="AC390" i="12"/>
  <c r="AD390" i="12"/>
  <c r="AE390" i="12"/>
  <c r="AF390" i="12"/>
  <c r="AG390" i="12"/>
  <c r="AH390" i="12"/>
  <c r="AI390" i="12"/>
  <c r="AJ390" i="12"/>
  <c r="AK390" i="12"/>
  <c r="AL390" i="12"/>
  <c r="AM390" i="12"/>
  <c r="AN390" i="12"/>
  <c r="AO390" i="12"/>
  <c r="AP390" i="12"/>
  <c r="AQ390" i="12"/>
  <c r="AR390" i="12"/>
  <c r="AS390" i="12"/>
  <c r="AT390" i="12"/>
  <c r="AU390" i="12"/>
  <c r="AV390" i="12"/>
  <c r="AW390" i="12"/>
  <c r="AX390" i="12"/>
  <c r="AY390" i="12"/>
  <c r="AZ390" i="12"/>
  <c r="BA390" i="12"/>
  <c r="BB390" i="12"/>
  <c r="BC390" i="12"/>
  <c r="BD390" i="12"/>
  <c r="BE390" i="12"/>
  <c r="BF390" i="12"/>
  <c r="BG390" i="12"/>
  <c r="BH390" i="12"/>
  <c r="BI390" i="12"/>
  <c r="BJ390" i="12"/>
  <c r="BK390" i="12"/>
  <c r="BL390" i="12"/>
  <c r="BM390" i="12"/>
  <c r="BN390" i="12"/>
  <c r="A391" i="12"/>
  <c r="B391" i="12"/>
  <c r="C391" i="12"/>
  <c r="D391" i="12"/>
  <c r="E391" i="12"/>
  <c r="F391" i="12"/>
  <c r="G391" i="12"/>
  <c r="H391" i="12"/>
  <c r="I391" i="12"/>
  <c r="J391" i="12"/>
  <c r="K391" i="12"/>
  <c r="L391" i="12"/>
  <c r="M391" i="12"/>
  <c r="N391" i="12"/>
  <c r="O391" i="12"/>
  <c r="P391" i="12"/>
  <c r="Q391" i="12"/>
  <c r="R391" i="12"/>
  <c r="S391" i="12"/>
  <c r="T391" i="12"/>
  <c r="U391" i="12"/>
  <c r="V391" i="12"/>
  <c r="AA391" i="12"/>
  <c r="AB391" i="12"/>
  <c r="AC391" i="12"/>
  <c r="AD391" i="12"/>
  <c r="AE391" i="12"/>
  <c r="AF391" i="12"/>
  <c r="AG391" i="12"/>
  <c r="AH391" i="12"/>
  <c r="AI391" i="12"/>
  <c r="AJ391" i="12"/>
  <c r="AK391" i="12"/>
  <c r="AL391" i="12"/>
  <c r="AM391" i="12"/>
  <c r="AN391" i="12"/>
  <c r="AO391" i="12"/>
  <c r="AP391" i="12"/>
  <c r="AQ391" i="12"/>
  <c r="AR391" i="12"/>
  <c r="AS391" i="12"/>
  <c r="AT391" i="12"/>
  <c r="AU391" i="12"/>
  <c r="AV391" i="12"/>
  <c r="AW391" i="12"/>
  <c r="AX391" i="12"/>
  <c r="AY391" i="12"/>
  <c r="AZ391" i="12"/>
  <c r="BA391" i="12"/>
  <c r="BB391" i="12"/>
  <c r="BC391" i="12"/>
  <c r="BD391" i="12"/>
  <c r="BE391" i="12"/>
  <c r="BF391" i="12"/>
  <c r="BG391" i="12"/>
  <c r="BH391" i="12"/>
  <c r="BI391" i="12"/>
  <c r="BJ391" i="12"/>
  <c r="BK391" i="12"/>
  <c r="BL391" i="12"/>
  <c r="BM391" i="12"/>
  <c r="BN391" i="12"/>
  <c r="A392" i="12"/>
  <c r="B392" i="12"/>
  <c r="C392" i="12"/>
  <c r="D392" i="12"/>
  <c r="E392" i="12"/>
  <c r="F392" i="12"/>
  <c r="G392" i="12"/>
  <c r="H392" i="12"/>
  <c r="I392" i="12"/>
  <c r="J392" i="12"/>
  <c r="K392" i="12"/>
  <c r="L392" i="12"/>
  <c r="M392" i="12"/>
  <c r="N392" i="12"/>
  <c r="O392" i="12"/>
  <c r="P392" i="12"/>
  <c r="Q392" i="12"/>
  <c r="R392" i="12"/>
  <c r="S392" i="12"/>
  <c r="T392" i="12"/>
  <c r="U392" i="12"/>
  <c r="V392" i="12"/>
  <c r="AA392" i="12"/>
  <c r="AB392" i="12"/>
  <c r="AC392" i="12"/>
  <c r="AD392" i="12"/>
  <c r="AE392" i="12"/>
  <c r="AF392" i="12"/>
  <c r="AG392" i="12"/>
  <c r="AH392" i="12"/>
  <c r="AI392" i="12"/>
  <c r="AJ392" i="12"/>
  <c r="AK392" i="12"/>
  <c r="AL392" i="12"/>
  <c r="AM392" i="12"/>
  <c r="AN392" i="12"/>
  <c r="AO392" i="12"/>
  <c r="AP392" i="12"/>
  <c r="AQ392" i="12"/>
  <c r="AR392" i="12"/>
  <c r="AS392" i="12"/>
  <c r="AT392" i="12"/>
  <c r="AU392" i="12"/>
  <c r="AV392" i="12"/>
  <c r="AW392" i="12"/>
  <c r="AX392" i="12"/>
  <c r="AY392" i="12"/>
  <c r="AZ392" i="12"/>
  <c r="BA392" i="12"/>
  <c r="BB392" i="12"/>
  <c r="BC392" i="12"/>
  <c r="BD392" i="12"/>
  <c r="BE392" i="12"/>
  <c r="BF392" i="12"/>
  <c r="BG392" i="12"/>
  <c r="BH392" i="12"/>
  <c r="BI392" i="12"/>
  <c r="BJ392" i="12"/>
  <c r="BK392" i="12"/>
  <c r="BL392" i="12"/>
  <c r="BM392" i="12"/>
  <c r="BN392" i="12"/>
  <c r="A393" i="12"/>
  <c r="B393" i="12"/>
  <c r="C393" i="12"/>
  <c r="D393" i="12"/>
  <c r="E393" i="12"/>
  <c r="F393" i="12"/>
  <c r="G393" i="12"/>
  <c r="H393" i="12"/>
  <c r="I393" i="12"/>
  <c r="J393" i="12"/>
  <c r="K393" i="12"/>
  <c r="L393" i="12"/>
  <c r="M393" i="12"/>
  <c r="N393" i="12"/>
  <c r="O393" i="12"/>
  <c r="P393" i="12"/>
  <c r="Q393" i="12"/>
  <c r="R393" i="12"/>
  <c r="S393" i="12"/>
  <c r="T393" i="12"/>
  <c r="U393" i="12"/>
  <c r="V393" i="12"/>
  <c r="AA393" i="12"/>
  <c r="AB393" i="12"/>
  <c r="AC393" i="12"/>
  <c r="AD393" i="12"/>
  <c r="AE393" i="12"/>
  <c r="AF393" i="12"/>
  <c r="AG393" i="12"/>
  <c r="AH393" i="12"/>
  <c r="AI393" i="12"/>
  <c r="AJ393" i="12"/>
  <c r="AK393" i="12"/>
  <c r="AL393" i="12"/>
  <c r="AM393" i="12"/>
  <c r="AN393" i="12"/>
  <c r="AO393" i="12"/>
  <c r="AP393" i="12"/>
  <c r="AQ393" i="12"/>
  <c r="AR393" i="12"/>
  <c r="AS393" i="12"/>
  <c r="AT393" i="12"/>
  <c r="AU393" i="12"/>
  <c r="AV393" i="12"/>
  <c r="AW393" i="12"/>
  <c r="AX393" i="12"/>
  <c r="AY393" i="12"/>
  <c r="AZ393" i="12"/>
  <c r="BA393" i="12"/>
  <c r="BB393" i="12"/>
  <c r="BC393" i="12"/>
  <c r="BD393" i="12"/>
  <c r="BE393" i="12"/>
  <c r="BF393" i="12"/>
  <c r="BG393" i="12"/>
  <c r="BH393" i="12"/>
  <c r="BI393" i="12"/>
  <c r="BJ393" i="12"/>
  <c r="BK393" i="12"/>
  <c r="BL393" i="12"/>
  <c r="BM393" i="12"/>
  <c r="BN393" i="12"/>
  <c r="A394" i="12"/>
  <c r="B394" i="12"/>
  <c r="C394" i="12"/>
  <c r="D394" i="12"/>
  <c r="E394" i="12"/>
  <c r="F394" i="12"/>
  <c r="G394" i="12"/>
  <c r="H394" i="12"/>
  <c r="I394" i="12"/>
  <c r="J394" i="12"/>
  <c r="K394" i="12"/>
  <c r="L394" i="12"/>
  <c r="M394" i="12"/>
  <c r="N394" i="12"/>
  <c r="O394" i="12"/>
  <c r="P394" i="12"/>
  <c r="Q394" i="12"/>
  <c r="R394" i="12"/>
  <c r="S394" i="12"/>
  <c r="T394" i="12"/>
  <c r="U394" i="12"/>
  <c r="V394" i="12"/>
  <c r="AA394" i="12"/>
  <c r="AB394" i="12"/>
  <c r="AC394" i="12"/>
  <c r="AD394" i="12"/>
  <c r="AE394" i="12"/>
  <c r="AF394" i="12"/>
  <c r="AG394" i="12"/>
  <c r="AH394" i="12"/>
  <c r="AI394" i="12"/>
  <c r="AJ394" i="12"/>
  <c r="AK394" i="12"/>
  <c r="AL394" i="12"/>
  <c r="AM394" i="12"/>
  <c r="AN394" i="12"/>
  <c r="AO394" i="12"/>
  <c r="AP394" i="12"/>
  <c r="AQ394" i="12"/>
  <c r="AR394" i="12"/>
  <c r="AS394" i="12"/>
  <c r="AT394" i="12"/>
  <c r="AU394" i="12"/>
  <c r="AV394" i="12"/>
  <c r="AW394" i="12"/>
  <c r="AX394" i="12"/>
  <c r="AY394" i="12"/>
  <c r="AZ394" i="12"/>
  <c r="BA394" i="12"/>
  <c r="BB394" i="12"/>
  <c r="BC394" i="12"/>
  <c r="BD394" i="12"/>
  <c r="BE394" i="12"/>
  <c r="BF394" i="12"/>
  <c r="BG394" i="12"/>
  <c r="BH394" i="12"/>
  <c r="BI394" i="12"/>
  <c r="BJ394" i="12"/>
  <c r="BK394" i="12"/>
  <c r="BL394" i="12"/>
  <c r="BM394" i="12"/>
  <c r="BN394" i="12"/>
  <c r="A395" i="12"/>
  <c r="B395" i="12"/>
  <c r="C395" i="12"/>
  <c r="D395" i="12"/>
  <c r="E395" i="12"/>
  <c r="F395" i="12"/>
  <c r="G395" i="12"/>
  <c r="H395" i="12"/>
  <c r="I395" i="12"/>
  <c r="J395" i="12"/>
  <c r="K395" i="12"/>
  <c r="L395" i="12"/>
  <c r="M395" i="12"/>
  <c r="N395" i="12"/>
  <c r="O395" i="12"/>
  <c r="P395" i="12"/>
  <c r="Q395" i="12"/>
  <c r="R395" i="12"/>
  <c r="S395" i="12"/>
  <c r="T395" i="12"/>
  <c r="U395" i="12"/>
  <c r="V395" i="12"/>
  <c r="AA395" i="12"/>
  <c r="AB395" i="12"/>
  <c r="AC395" i="12"/>
  <c r="AD395" i="12"/>
  <c r="AE395" i="12"/>
  <c r="AF395" i="12"/>
  <c r="AG395" i="12"/>
  <c r="AH395" i="12"/>
  <c r="AI395" i="12"/>
  <c r="AJ395" i="12"/>
  <c r="AK395" i="12"/>
  <c r="AL395" i="12"/>
  <c r="AM395" i="12"/>
  <c r="AN395" i="12"/>
  <c r="AO395" i="12"/>
  <c r="AP395" i="12"/>
  <c r="AQ395" i="12"/>
  <c r="AR395" i="12"/>
  <c r="AS395" i="12"/>
  <c r="AT395" i="12"/>
  <c r="AU395" i="12"/>
  <c r="AV395" i="12"/>
  <c r="AW395" i="12"/>
  <c r="AX395" i="12"/>
  <c r="AY395" i="12"/>
  <c r="AZ395" i="12"/>
  <c r="BA395" i="12"/>
  <c r="BB395" i="12"/>
  <c r="BC395" i="12"/>
  <c r="BD395" i="12"/>
  <c r="BE395" i="12"/>
  <c r="BF395" i="12"/>
  <c r="BG395" i="12"/>
  <c r="BH395" i="12"/>
  <c r="BI395" i="12"/>
  <c r="BJ395" i="12"/>
  <c r="BK395" i="12"/>
  <c r="BL395" i="12"/>
  <c r="BM395" i="12"/>
  <c r="BN395" i="12"/>
  <c r="A396" i="12"/>
  <c r="B396" i="12"/>
  <c r="C396" i="12"/>
  <c r="D396" i="12"/>
  <c r="E396" i="12"/>
  <c r="F396" i="12"/>
  <c r="G396" i="12"/>
  <c r="H396" i="12"/>
  <c r="I396" i="12"/>
  <c r="J396" i="12"/>
  <c r="K396" i="12"/>
  <c r="L396" i="12"/>
  <c r="M396" i="12"/>
  <c r="N396" i="12"/>
  <c r="O396" i="12"/>
  <c r="P396" i="12"/>
  <c r="Q396" i="12"/>
  <c r="R396" i="12"/>
  <c r="S396" i="12"/>
  <c r="T396" i="12"/>
  <c r="U396" i="12"/>
  <c r="V396" i="12"/>
  <c r="AA396" i="12"/>
  <c r="AB396" i="12"/>
  <c r="AC396" i="12"/>
  <c r="AD396" i="12"/>
  <c r="AE396" i="12"/>
  <c r="AF396" i="12"/>
  <c r="AG396" i="12"/>
  <c r="AH396" i="12"/>
  <c r="AI396" i="12"/>
  <c r="AJ396" i="12"/>
  <c r="AK396" i="12"/>
  <c r="AL396" i="12"/>
  <c r="AM396" i="12"/>
  <c r="AN396" i="12"/>
  <c r="AO396" i="12"/>
  <c r="AP396" i="12"/>
  <c r="AQ396" i="12"/>
  <c r="AR396" i="12"/>
  <c r="AS396" i="12"/>
  <c r="AT396" i="12"/>
  <c r="AU396" i="12"/>
  <c r="AV396" i="12"/>
  <c r="AW396" i="12"/>
  <c r="AX396" i="12"/>
  <c r="AY396" i="12"/>
  <c r="AZ396" i="12"/>
  <c r="BA396" i="12"/>
  <c r="BB396" i="12"/>
  <c r="BC396" i="12"/>
  <c r="BD396" i="12"/>
  <c r="BE396" i="12"/>
  <c r="BF396" i="12"/>
  <c r="BG396" i="12"/>
  <c r="BH396" i="12"/>
  <c r="BI396" i="12"/>
  <c r="BJ396" i="12"/>
  <c r="BK396" i="12"/>
  <c r="BL396" i="12"/>
  <c r="BM396" i="12"/>
  <c r="BN396" i="12"/>
  <c r="A397" i="12"/>
  <c r="B397" i="12"/>
  <c r="C397" i="12"/>
  <c r="D397" i="12"/>
  <c r="E397" i="12"/>
  <c r="F397" i="12"/>
  <c r="G397" i="12"/>
  <c r="H397" i="12"/>
  <c r="I397" i="12"/>
  <c r="J397" i="12"/>
  <c r="K397" i="12"/>
  <c r="L397" i="12"/>
  <c r="M397" i="12"/>
  <c r="N397" i="12"/>
  <c r="O397" i="12"/>
  <c r="P397" i="12"/>
  <c r="Q397" i="12"/>
  <c r="R397" i="12"/>
  <c r="S397" i="12"/>
  <c r="T397" i="12"/>
  <c r="U397" i="12"/>
  <c r="V397" i="12"/>
  <c r="AA397" i="12"/>
  <c r="AB397" i="12"/>
  <c r="AC397" i="12"/>
  <c r="AD397" i="12"/>
  <c r="AE397" i="12"/>
  <c r="AF397" i="12"/>
  <c r="AG397" i="12"/>
  <c r="AH397" i="12"/>
  <c r="AI397" i="12"/>
  <c r="AJ397" i="12"/>
  <c r="AK397" i="12"/>
  <c r="AL397" i="12"/>
  <c r="AM397" i="12"/>
  <c r="AN397" i="12"/>
  <c r="AO397" i="12"/>
  <c r="AP397" i="12"/>
  <c r="AQ397" i="12"/>
  <c r="AR397" i="12"/>
  <c r="AS397" i="12"/>
  <c r="AT397" i="12"/>
  <c r="AU397" i="12"/>
  <c r="AV397" i="12"/>
  <c r="AW397" i="12"/>
  <c r="AX397" i="12"/>
  <c r="AY397" i="12"/>
  <c r="AZ397" i="12"/>
  <c r="BA397" i="12"/>
  <c r="BB397" i="12"/>
  <c r="BC397" i="12"/>
  <c r="BD397" i="12"/>
  <c r="BE397" i="12"/>
  <c r="BF397" i="12"/>
  <c r="BG397" i="12"/>
  <c r="BH397" i="12"/>
  <c r="BI397" i="12"/>
  <c r="BJ397" i="12"/>
  <c r="BK397" i="12"/>
  <c r="BL397" i="12"/>
  <c r="BM397" i="12"/>
  <c r="BN397" i="12"/>
  <c r="A398" i="12"/>
  <c r="B398" i="12"/>
  <c r="C398" i="12"/>
  <c r="D398" i="12"/>
  <c r="E398" i="12"/>
  <c r="F398" i="12"/>
  <c r="G398" i="12"/>
  <c r="H398" i="12"/>
  <c r="I398" i="12"/>
  <c r="J398" i="12"/>
  <c r="K398" i="12"/>
  <c r="L398" i="12"/>
  <c r="M398" i="12"/>
  <c r="N398" i="12"/>
  <c r="O398" i="12"/>
  <c r="P398" i="12"/>
  <c r="Q398" i="12"/>
  <c r="R398" i="12"/>
  <c r="S398" i="12"/>
  <c r="T398" i="12"/>
  <c r="U398" i="12"/>
  <c r="V398" i="12"/>
  <c r="AA398" i="12"/>
  <c r="AB398" i="12"/>
  <c r="AC398" i="12"/>
  <c r="AD398" i="12"/>
  <c r="AE398" i="12"/>
  <c r="AF398" i="12"/>
  <c r="AG398" i="12"/>
  <c r="AH398" i="12"/>
  <c r="AI398" i="12"/>
  <c r="AJ398" i="12"/>
  <c r="AK398" i="12"/>
  <c r="AL398" i="12"/>
  <c r="AM398" i="12"/>
  <c r="AN398" i="12"/>
  <c r="AO398" i="12"/>
  <c r="AP398" i="12"/>
  <c r="AQ398" i="12"/>
  <c r="AR398" i="12"/>
  <c r="AS398" i="12"/>
  <c r="AT398" i="12"/>
  <c r="AU398" i="12"/>
  <c r="AV398" i="12"/>
  <c r="AW398" i="12"/>
  <c r="AX398" i="12"/>
  <c r="AY398" i="12"/>
  <c r="AZ398" i="12"/>
  <c r="BA398" i="12"/>
  <c r="BB398" i="12"/>
  <c r="BC398" i="12"/>
  <c r="BD398" i="12"/>
  <c r="BE398" i="12"/>
  <c r="BF398" i="12"/>
  <c r="BG398" i="12"/>
  <c r="BH398" i="12"/>
  <c r="BI398" i="12"/>
  <c r="BJ398" i="12"/>
  <c r="BK398" i="12"/>
  <c r="BL398" i="12"/>
  <c r="BM398" i="12"/>
  <c r="BN398" i="12"/>
  <c r="A399" i="12"/>
  <c r="B399" i="12"/>
  <c r="C399" i="12"/>
  <c r="D399" i="12"/>
  <c r="E399" i="12"/>
  <c r="F399" i="12"/>
  <c r="G399" i="12"/>
  <c r="H399" i="12"/>
  <c r="I399" i="12"/>
  <c r="J399" i="12"/>
  <c r="K399" i="12"/>
  <c r="L399" i="12"/>
  <c r="M399" i="12"/>
  <c r="N399" i="12"/>
  <c r="O399" i="12"/>
  <c r="P399" i="12"/>
  <c r="Q399" i="12"/>
  <c r="R399" i="12"/>
  <c r="S399" i="12"/>
  <c r="T399" i="12"/>
  <c r="U399" i="12"/>
  <c r="V399" i="12"/>
  <c r="AA399" i="12"/>
  <c r="AB399" i="12"/>
  <c r="AC399" i="12"/>
  <c r="AD399" i="12"/>
  <c r="AE399" i="12"/>
  <c r="AF399" i="12"/>
  <c r="AG399" i="12"/>
  <c r="AH399" i="12"/>
  <c r="AI399" i="12"/>
  <c r="AJ399" i="12"/>
  <c r="AK399" i="12"/>
  <c r="AL399" i="12"/>
  <c r="AM399" i="12"/>
  <c r="AN399" i="12"/>
  <c r="AO399" i="12"/>
  <c r="AP399" i="12"/>
  <c r="AQ399" i="12"/>
  <c r="AR399" i="12"/>
  <c r="AS399" i="12"/>
  <c r="AT399" i="12"/>
  <c r="AU399" i="12"/>
  <c r="AV399" i="12"/>
  <c r="AW399" i="12"/>
  <c r="AX399" i="12"/>
  <c r="AY399" i="12"/>
  <c r="AZ399" i="12"/>
  <c r="BA399" i="12"/>
  <c r="BB399" i="12"/>
  <c r="BC399" i="12"/>
  <c r="BD399" i="12"/>
  <c r="BE399" i="12"/>
  <c r="BF399" i="12"/>
  <c r="BG399" i="12"/>
  <c r="BH399" i="12"/>
  <c r="BI399" i="12"/>
  <c r="BJ399" i="12"/>
  <c r="BK399" i="12"/>
  <c r="BL399" i="12"/>
  <c r="BM399" i="12"/>
  <c r="BN399" i="12"/>
  <c r="A400" i="12"/>
  <c r="B400" i="12"/>
  <c r="C400" i="12"/>
  <c r="D400" i="12"/>
  <c r="E400" i="12"/>
  <c r="F400" i="12"/>
  <c r="G400" i="12"/>
  <c r="H400" i="12"/>
  <c r="I400" i="12"/>
  <c r="J400" i="12"/>
  <c r="K400" i="12"/>
  <c r="L400" i="12"/>
  <c r="M400" i="12"/>
  <c r="N400" i="12"/>
  <c r="O400" i="12"/>
  <c r="P400" i="12"/>
  <c r="Q400" i="12"/>
  <c r="R400" i="12"/>
  <c r="S400" i="12"/>
  <c r="T400" i="12"/>
  <c r="U400" i="12"/>
  <c r="V400" i="12"/>
  <c r="AA400" i="12"/>
  <c r="AB400" i="12"/>
  <c r="AC400" i="12"/>
  <c r="AD400" i="12"/>
  <c r="AE400" i="12"/>
  <c r="AF400" i="12"/>
  <c r="AG400" i="12"/>
  <c r="AH400" i="12"/>
  <c r="AI400" i="12"/>
  <c r="AJ400" i="12"/>
  <c r="AK400" i="12"/>
  <c r="AL400" i="12"/>
  <c r="AM400" i="12"/>
  <c r="AN400" i="12"/>
  <c r="AO400" i="12"/>
  <c r="AP400" i="12"/>
  <c r="AQ400" i="12"/>
  <c r="AR400" i="12"/>
  <c r="AS400" i="12"/>
  <c r="AT400" i="12"/>
  <c r="AU400" i="12"/>
  <c r="AV400" i="12"/>
  <c r="AW400" i="12"/>
  <c r="AX400" i="12"/>
  <c r="AY400" i="12"/>
  <c r="AZ400" i="12"/>
  <c r="BA400" i="12"/>
  <c r="BB400" i="12"/>
  <c r="BC400" i="12"/>
  <c r="BD400" i="12"/>
  <c r="BE400" i="12"/>
  <c r="BF400" i="12"/>
  <c r="BG400" i="12"/>
  <c r="BH400" i="12"/>
  <c r="BI400" i="12"/>
  <c r="BJ400" i="12"/>
  <c r="BK400" i="12"/>
  <c r="BL400" i="12"/>
  <c r="BM400" i="12"/>
  <c r="BN400" i="12"/>
  <c r="J2" i="11" a="1"/>
  <c r="J2" i="11" s="1"/>
  <c r="I2" i="11" s="1"/>
  <c r="D2" i="11" a="1"/>
  <c r="D2" i="11" s="1"/>
  <c r="C2" i="11" a="1"/>
  <c r="C2" i="11" s="1"/>
  <c r="B2" i="11" a="1"/>
  <c r="B2" i="11" s="1"/>
  <c r="I47" i="11" l="1"/>
  <c r="U46" i="20" s="1"/>
  <c r="V46" i="20"/>
  <c r="Y46" i="20" s="1"/>
  <c r="I46" i="11"/>
  <c r="U45" i="20" s="1"/>
  <c r="V45" i="20"/>
  <c r="Y45" i="20" s="1"/>
  <c r="Z401" i="12"/>
  <c r="Y401" i="12" s="1"/>
  <c r="Z402" i="12"/>
  <c r="Y402" i="12" s="1"/>
  <c r="Z403" i="12"/>
  <c r="Y403" i="12" s="1"/>
  <c r="Z404" i="12"/>
  <c r="Y404" i="12" s="1"/>
  <c r="Z405" i="12"/>
  <c r="Y405" i="12" s="1"/>
  <c r="Z406" i="12"/>
  <c r="Y406" i="12" s="1"/>
  <c r="Z407" i="12"/>
  <c r="Y407" i="12" s="1"/>
  <c r="Z408" i="12"/>
  <c r="Y408" i="12" s="1"/>
  <c r="Z409" i="12"/>
  <c r="Y409" i="12" s="1"/>
  <c r="Z410" i="12"/>
  <c r="Y410" i="12" s="1"/>
  <c r="Z411" i="12"/>
  <c r="Y411" i="12" s="1"/>
  <c r="Z412" i="12"/>
  <c r="Y412" i="12" s="1"/>
  <c r="Z413" i="12"/>
  <c r="Y413" i="12" s="1"/>
  <c r="Z414" i="12"/>
  <c r="Y414" i="12" s="1"/>
  <c r="Z415" i="12"/>
  <c r="Y415" i="12" s="1"/>
  <c r="Z416" i="12"/>
  <c r="Y416" i="12" s="1"/>
  <c r="Z417" i="12"/>
  <c r="Y417" i="12" s="1"/>
  <c r="Z418" i="12"/>
  <c r="Y418" i="12" s="1"/>
  <c r="Z419" i="12"/>
  <c r="Y419" i="12" s="1"/>
  <c r="Z420" i="12"/>
  <c r="Y420" i="12" s="1"/>
  <c r="Z421" i="12"/>
  <c r="Y421" i="12" s="1"/>
  <c r="Z422" i="12"/>
  <c r="Y422" i="12" s="1"/>
  <c r="Z423" i="12"/>
  <c r="Y423" i="12" s="1"/>
  <c r="Z424" i="12"/>
  <c r="Y424" i="12" s="1"/>
  <c r="Z425" i="12"/>
  <c r="Y425" i="12" s="1"/>
  <c r="Z426" i="12"/>
  <c r="Y426" i="12" s="1"/>
  <c r="Z429" i="12"/>
  <c r="Y429" i="12" s="1"/>
  <c r="Z432" i="12"/>
  <c r="Y432" i="12" s="1"/>
  <c r="Z435" i="12"/>
  <c r="Y435" i="12" s="1"/>
  <c r="Z438" i="12"/>
  <c r="Y438" i="12" s="1"/>
  <c r="Z441" i="12"/>
  <c r="Y441" i="12" s="1"/>
  <c r="Z444" i="12"/>
  <c r="Y444" i="12" s="1"/>
  <c r="Z447" i="12"/>
  <c r="Y447" i="12" s="1"/>
  <c r="Z450" i="12"/>
  <c r="Y450" i="12" s="1"/>
  <c r="Z453" i="12"/>
  <c r="Y453" i="12" s="1"/>
  <c r="Z456" i="12"/>
  <c r="Y456" i="12" s="1"/>
  <c r="Z459" i="12"/>
  <c r="Y459" i="12" s="1"/>
  <c r="Z462" i="12"/>
  <c r="Y462" i="12" s="1"/>
  <c r="Z465" i="12"/>
  <c r="Y465" i="12" s="1"/>
  <c r="Z468" i="12"/>
  <c r="Y468" i="12" s="1"/>
  <c r="Z471" i="12"/>
  <c r="Y471" i="12" s="1"/>
  <c r="Z474" i="12"/>
  <c r="Y474" i="12" s="1"/>
  <c r="Z477" i="12"/>
  <c r="Y477" i="12" s="1"/>
  <c r="Z480" i="12"/>
  <c r="Y480" i="12" s="1"/>
  <c r="Z483" i="12"/>
  <c r="Y483" i="12" s="1"/>
  <c r="Z486" i="12"/>
  <c r="Y486" i="12" s="1"/>
  <c r="Z489" i="12"/>
  <c r="Y489" i="12" s="1"/>
  <c r="Z492" i="12"/>
  <c r="Y492" i="12" s="1"/>
  <c r="Z495" i="12"/>
  <c r="Y495" i="12" s="1"/>
  <c r="Z498" i="12"/>
  <c r="Y498" i="12" s="1"/>
  <c r="Z500" i="12"/>
  <c r="Y500" i="12" s="1"/>
  <c r="Z499" i="12"/>
  <c r="Y499" i="12" s="1"/>
  <c r="Z497" i="12"/>
  <c r="Y497" i="12" s="1"/>
  <c r="Z496" i="12"/>
  <c r="Y496" i="12" s="1"/>
  <c r="Z494" i="12"/>
  <c r="Y494" i="12" s="1"/>
  <c r="Z493" i="12"/>
  <c r="Y493" i="12" s="1"/>
  <c r="Z491" i="12"/>
  <c r="Y491" i="12" s="1"/>
  <c r="Z490" i="12"/>
  <c r="Y490" i="12" s="1"/>
  <c r="Z488" i="12"/>
  <c r="Y488" i="12" s="1"/>
  <c r="Z487" i="12"/>
  <c r="Y487" i="12" s="1"/>
  <c r="Z485" i="12"/>
  <c r="Y485" i="12" s="1"/>
  <c r="Z484" i="12"/>
  <c r="Y484" i="12" s="1"/>
  <c r="Z482" i="12"/>
  <c r="Y482" i="12" s="1"/>
  <c r="Z481" i="12"/>
  <c r="Y481" i="12" s="1"/>
  <c r="Z479" i="12"/>
  <c r="Y479" i="12" s="1"/>
  <c r="Z478" i="12"/>
  <c r="Y478" i="12" s="1"/>
  <c r="Z476" i="12"/>
  <c r="Y476" i="12" s="1"/>
  <c r="Z475" i="12"/>
  <c r="Y475" i="12" s="1"/>
  <c r="Z473" i="12"/>
  <c r="Y473" i="12" s="1"/>
  <c r="Z472" i="12"/>
  <c r="Y472" i="12" s="1"/>
  <c r="Z470" i="12"/>
  <c r="Y470" i="12" s="1"/>
  <c r="Z469" i="12"/>
  <c r="Y469" i="12" s="1"/>
  <c r="Z467" i="12"/>
  <c r="Y467" i="12" s="1"/>
  <c r="Z466" i="12"/>
  <c r="Y466" i="12" s="1"/>
  <c r="Z464" i="12"/>
  <c r="Y464" i="12" s="1"/>
  <c r="Z463" i="12"/>
  <c r="Y463" i="12" s="1"/>
  <c r="Z461" i="12"/>
  <c r="Y461" i="12" s="1"/>
  <c r="Z460" i="12"/>
  <c r="Y460" i="12" s="1"/>
  <c r="Z458" i="12"/>
  <c r="Y458" i="12" s="1"/>
  <c r="Z457" i="12"/>
  <c r="Y457" i="12" s="1"/>
  <c r="Z455" i="12"/>
  <c r="Y455" i="12" s="1"/>
  <c r="Z454" i="12"/>
  <c r="Y454" i="12" s="1"/>
  <c r="Z452" i="12"/>
  <c r="Y452" i="12" s="1"/>
  <c r="Z451" i="12"/>
  <c r="Y451" i="12" s="1"/>
  <c r="Z449" i="12"/>
  <c r="Y449" i="12" s="1"/>
  <c r="Z448" i="12"/>
  <c r="Y448" i="12" s="1"/>
  <c r="Z446" i="12"/>
  <c r="Y446" i="12" s="1"/>
  <c r="Z445" i="12"/>
  <c r="Y445" i="12" s="1"/>
  <c r="Z443" i="12"/>
  <c r="Y443" i="12" s="1"/>
  <c r="Z442" i="12"/>
  <c r="Y442" i="12" s="1"/>
  <c r="Z440" i="12"/>
  <c r="Y440" i="12" s="1"/>
  <c r="Z439" i="12"/>
  <c r="Y439" i="12" s="1"/>
  <c r="Z437" i="12"/>
  <c r="Y437" i="12" s="1"/>
  <c r="Z436" i="12"/>
  <c r="Y436" i="12" s="1"/>
  <c r="Z434" i="12"/>
  <c r="Y434" i="12" s="1"/>
  <c r="Z433" i="12"/>
  <c r="Y433" i="12" s="1"/>
  <c r="Z431" i="12"/>
  <c r="Y431" i="12" s="1"/>
  <c r="Z430" i="12"/>
  <c r="Y430" i="12" s="1"/>
  <c r="Z428" i="12"/>
  <c r="Y428" i="12" s="1"/>
  <c r="Z427" i="12"/>
  <c r="Y427" i="12" s="1"/>
  <c r="K48" i="11"/>
  <c r="Q48" i="11" s="1"/>
  <c r="L46" i="11"/>
  <c r="L42" i="11"/>
  <c r="I42" i="11"/>
  <c r="L41" i="11"/>
  <c r="I41" i="11"/>
  <c r="L40" i="11"/>
  <c r="I40" i="11"/>
  <c r="L168" i="11"/>
  <c r="L96" i="11"/>
  <c r="L154" i="11"/>
  <c r="L82" i="11"/>
  <c r="L180" i="11"/>
  <c r="L167" i="11"/>
  <c r="L166" i="11"/>
  <c r="L94" i="11"/>
  <c r="L55" i="11"/>
  <c r="L84" i="11"/>
  <c r="L108" i="11"/>
  <c r="L192" i="11"/>
  <c r="L120" i="11"/>
  <c r="L48" i="11"/>
  <c r="L106" i="11"/>
  <c r="L178" i="11"/>
  <c r="L191" i="11"/>
  <c r="L132" i="11"/>
  <c r="L60" i="11"/>
  <c r="I39" i="11"/>
  <c r="L34" i="11"/>
  <c r="I34" i="11"/>
  <c r="L36" i="11"/>
  <c r="I36" i="11"/>
  <c r="L24" i="11"/>
  <c r="I24" i="11"/>
  <c r="L22" i="11"/>
  <c r="I22" i="11"/>
  <c r="L28" i="11"/>
  <c r="I28" i="11"/>
  <c r="L27" i="11"/>
  <c r="I27" i="11"/>
  <c r="L29" i="11"/>
  <c r="I29" i="11"/>
  <c r="K18" i="11"/>
  <c r="Q18" i="11" s="1"/>
  <c r="I17" i="11"/>
  <c r="I16" i="11"/>
  <c r="I15" i="11"/>
  <c r="L134" i="11"/>
  <c r="L98" i="11"/>
  <c r="L74" i="11"/>
  <c r="L62" i="11"/>
  <c r="L157" i="11"/>
  <c r="L146" i="11"/>
  <c r="L122" i="11"/>
  <c r="L110" i="11"/>
  <c r="L86" i="11"/>
  <c r="L38" i="11"/>
  <c r="L26" i="11"/>
  <c r="L14" i="11"/>
  <c r="L169" i="11"/>
  <c r="L177" i="11"/>
  <c r="L140" i="11"/>
  <c r="L128" i="11"/>
  <c r="L116" i="11"/>
  <c r="L104" i="11"/>
  <c r="L92" i="11"/>
  <c r="L80" i="11"/>
  <c r="L68" i="11"/>
  <c r="L56" i="11"/>
  <c r="L44" i="11"/>
  <c r="L32" i="11"/>
  <c r="L20" i="11"/>
  <c r="L151" i="11"/>
  <c r="L138" i="11"/>
  <c r="L126" i="11"/>
  <c r="L102" i="11"/>
  <c r="L90" i="11"/>
  <c r="L78" i="11"/>
  <c r="L54" i="11"/>
  <c r="L30" i="11"/>
  <c r="L18" i="11"/>
  <c r="L12" i="11"/>
  <c r="L6" i="11"/>
  <c r="L10" i="11"/>
  <c r="L5" i="11"/>
  <c r="I5" i="11"/>
  <c r="L69" i="11"/>
  <c r="L194" i="11"/>
  <c r="L150" i="11"/>
  <c r="L57" i="11"/>
  <c r="L189" i="11"/>
  <c r="L182" i="11"/>
  <c r="L174" i="11"/>
  <c r="L153" i="11"/>
  <c r="L45" i="11"/>
  <c r="L158" i="11"/>
  <c r="L198" i="11"/>
  <c r="L186" i="11"/>
  <c r="L141" i="11"/>
  <c r="L200" i="11"/>
  <c r="L188" i="11"/>
  <c r="L164" i="11"/>
  <c r="L139" i="11"/>
  <c r="L31" i="11"/>
  <c r="L199" i="11"/>
  <c r="L187" i="11"/>
  <c r="L152" i="11"/>
  <c r="L93" i="11"/>
  <c r="L79" i="11"/>
  <c r="L9" i="11"/>
  <c r="Q130" i="11"/>
  <c r="L117" i="11"/>
  <c r="L103" i="11"/>
  <c r="L127" i="11"/>
  <c r="L33" i="11"/>
  <c r="L19" i="11"/>
  <c r="Q58" i="11"/>
  <c r="L176" i="11"/>
  <c r="L8" i="11"/>
  <c r="L43" i="11"/>
  <c r="Q148" i="11"/>
  <c r="L81" i="11"/>
  <c r="L165" i="11"/>
  <c r="L105" i="11"/>
  <c r="L67" i="11"/>
  <c r="L7" i="11"/>
  <c r="Q136" i="11"/>
  <c r="Q76" i="11"/>
  <c r="L129" i="11"/>
  <c r="L91" i="11"/>
  <c r="L21" i="11"/>
  <c r="L115" i="11"/>
  <c r="Q64" i="11"/>
  <c r="L143" i="11"/>
  <c r="L119" i="11"/>
  <c r="L95" i="11"/>
  <c r="L71" i="11"/>
  <c r="Q142" i="11"/>
  <c r="Q70" i="11"/>
  <c r="L170" i="11"/>
  <c r="L49" i="11"/>
  <c r="L25" i="11"/>
  <c r="Q154" i="11"/>
  <c r="Q82" i="11"/>
  <c r="L145" i="11"/>
  <c r="L121" i="11"/>
  <c r="L97" i="11"/>
  <c r="L73" i="11"/>
  <c r="L35" i="11"/>
  <c r="L11" i="11"/>
  <c r="Q160" i="11"/>
  <c r="Q88" i="11"/>
  <c r="L179" i="11"/>
  <c r="L131" i="11"/>
  <c r="L107" i="11"/>
  <c r="L83" i="11"/>
  <c r="L59" i="11"/>
  <c r="Q166" i="11"/>
  <c r="Q94" i="11"/>
  <c r="L155" i="11"/>
  <c r="Q172" i="11"/>
  <c r="Q100" i="11"/>
  <c r="Q178" i="11"/>
  <c r="Q106" i="11"/>
  <c r="L193" i="11"/>
  <c r="Q184" i="11"/>
  <c r="Q112" i="11"/>
  <c r="L37" i="11"/>
  <c r="L13" i="11"/>
  <c r="Q190" i="11"/>
  <c r="Q118" i="11"/>
  <c r="L181" i="11"/>
  <c r="L133" i="11"/>
  <c r="L109" i="11"/>
  <c r="L85" i="11"/>
  <c r="L61" i="11"/>
  <c r="L47" i="11"/>
  <c r="L23" i="11"/>
  <c r="Q196" i="11"/>
  <c r="Q124" i="11"/>
  <c r="Q52" i="11"/>
  <c r="Z250" i="12"/>
  <c r="Y250" i="12" s="1"/>
  <c r="L156" i="11"/>
  <c r="L50" i="11"/>
  <c r="Q4" i="11"/>
  <c r="L4" i="11"/>
  <c r="L3" i="11"/>
  <c r="Z254" i="12"/>
  <c r="Y254" i="12" s="1"/>
  <c r="Z238" i="12"/>
  <c r="Z175" i="12"/>
  <c r="Z394" i="12"/>
  <c r="Z324" i="12"/>
  <c r="Y324" i="12" s="1"/>
  <c r="Z242" i="12"/>
  <c r="Z398" i="12"/>
  <c r="Z328" i="12"/>
  <c r="Y328" i="12" s="1"/>
  <c r="Z287" i="12"/>
  <c r="Z246" i="12"/>
  <c r="Y246" i="12" s="1"/>
  <c r="Z332" i="12"/>
  <c r="Z291" i="12"/>
  <c r="Y291" i="12" s="1"/>
  <c r="Z336" i="12"/>
  <c r="Y336" i="12" s="1"/>
  <c r="Z179" i="12"/>
  <c r="Z200" i="12"/>
  <c r="Z190" i="12"/>
  <c r="Z2" i="12"/>
  <c r="Y2" i="12" s="1"/>
  <c r="Z397" i="12"/>
  <c r="Z393" i="12"/>
  <c r="Y393" i="12" s="1"/>
  <c r="Z335" i="12"/>
  <c r="Z331" i="12"/>
  <c r="Z327" i="12"/>
  <c r="Y327" i="12" s="1"/>
  <c r="Z323" i="12"/>
  <c r="Z290" i="12"/>
  <c r="Z286" i="12"/>
  <c r="Z257" i="12"/>
  <c r="Y257" i="12" s="1"/>
  <c r="Z253" i="12"/>
  <c r="Z249" i="12"/>
  <c r="Z245" i="12"/>
  <c r="Y245" i="12" s="1"/>
  <c r="Z241" i="12"/>
  <c r="Y241" i="12" s="1"/>
  <c r="Z237" i="12"/>
  <c r="Z208" i="12"/>
  <c r="Z167" i="12"/>
  <c r="Y167" i="12" s="1"/>
  <c r="Z400" i="12"/>
  <c r="Y400" i="12" s="1"/>
  <c r="Z396" i="12"/>
  <c r="Y396" i="12" s="1"/>
  <c r="Z338" i="12"/>
  <c r="Z334" i="12"/>
  <c r="Z330" i="12"/>
  <c r="Y330" i="12" s="1"/>
  <c r="Z326" i="12"/>
  <c r="Z322" i="12"/>
  <c r="Z293" i="12"/>
  <c r="Z289" i="12"/>
  <c r="Z285" i="12"/>
  <c r="Y285" i="12" s="1"/>
  <c r="Z256" i="12"/>
  <c r="Z252" i="12"/>
  <c r="Y252" i="12" s="1"/>
  <c r="Z248" i="12"/>
  <c r="Y248" i="12" s="1"/>
  <c r="Z244" i="12"/>
  <c r="Y244" i="12" s="1"/>
  <c r="Z240" i="12"/>
  <c r="Z236" i="12"/>
  <c r="Z143" i="12"/>
  <c r="Z399" i="12"/>
  <c r="Y399" i="12" s="1"/>
  <c r="Z395" i="12"/>
  <c r="Z337" i="12"/>
  <c r="Y337" i="12" s="1"/>
  <c r="Z333" i="12"/>
  <c r="Y333" i="12" s="1"/>
  <c r="Z329" i="12"/>
  <c r="Z325" i="12"/>
  <c r="Z321" i="12"/>
  <c r="Y321" i="12" s="1"/>
  <c r="Z292" i="12"/>
  <c r="Y292" i="12" s="1"/>
  <c r="Z288" i="12"/>
  <c r="Y288" i="12" s="1"/>
  <c r="Z255" i="12"/>
  <c r="Y255" i="12" s="1"/>
  <c r="Z251" i="12"/>
  <c r="Y251" i="12" s="1"/>
  <c r="Z247" i="12"/>
  <c r="Y247" i="12" s="1"/>
  <c r="Z243" i="12"/>
  <c r="Y243" i="12" s="1"/>
  <c r="Z239" i="12"/>
  <c r="Z235" i="12"/>
  <c r="Z123" i="12"/>
  <c r="Y123" i="12" s="1"/>
  <c r="Z107" i="12"/>
  <c r="Z103" i="12"/>
  <c r="Z87" i="12"/>
  <c r="Y87" i="12" s="1"/>
  <c r="Z83" i="12"/>
  <c r="Z75" i="12"/>
  <c r="Y75" i="12" s="1"/>
  <c r="Z14" i="12"/>
  <c r="Z392" i="12"/>
  <c r="Z388" i="12"/>
  <c r="Z380" i="12"/>
  <c r="Y380" i="12" s="1"/>
  <c r="Z376" i="12"/>
  <c r="Z372" i="12"/>
  <c r="Y372" i="12" s="1"/>
  <c r="Z368" i="12"/>
  <c r="Z317" i="12"/>
  <c r="Z313" i="12"/>
  <c r="Z282" i="12"/>
  <c r="Y282" i="12" s="1"/>
  <c r="Z278" i="12"/>
  <c r="Z274" i="12"/>
  <c r="Y274" i="12" s="1"/>
  <c r="Z270" i="12"/>
  <c r="Y270" i="12" s="1"/>
  <c r="Z66" i="12"/>
  <c r="Y66" i="12" s="1"/>
  <c r="Z62" i="12"/>
  <c r="Z58" i="12"/>
  <c r="Y58" i="12" s="1"/>
  <c r="Z46" i="12"/>
  <c r="Y46" i="12" s="1"/>
  <c r="Z38" i="12"/>
  <c r="Y38" i="12" s="1"/>
  <c r="Z34" i="12"/>
  <c r="Y34" i="12" s="1"/>
  <c r="Z30" i="12"/>
  <c r="Y30" i="12" s="1"/>
  <c r="Z22" i="12"/>
  <c r="Y22" i="12" s="1"/>
  <c r="Z18" i="12"/>
  <c r="Y18" i="12" s="1"/>
  <c r="Z384" i="12"/>
  <c r="Y384" i="12" s="1"/>
  <c r="Z364" i="12"/>
  <c r="Y364" i="12" s="1"/>
  <c r="Z360" i="12"/>
  <c r="Y360" i="12" s="1"/>
  <c r="Z356" i="12"/>
  <c r="Z352" i="12"/>
  <c r="Z348" i="12"/>
  <c r="Y348" i="12" s="1"/>
  <c r="Z344" i="12"/>
  <c r="Z340" i="12"/>
  <c r="Y340" i="12" s="1"/>
  <c r="Z309" i="12"/>
  <c r="Y309" i="12" s="1"/>
  <c r="Z305" i="12"/>
  <c r="Z301" i="12"/>
  <c r="Y301" i="12" s="1"/>
  <c r="Z297" i="12"/>
  <c r="Y297" i="12" s="1"/>
  <c r="Z266" i="12"/>
  <c r="Z262" i="12"/>
  <c r="Y262" i="12" s="1"/>
  <c r="Z258" i="12"/>
  <c r="Y258" i="12" s="1"/>
  <c r="Z186" i="12"/>
  <c r="Z182" i="12"/>
  <c r="Z174" i="12"/>
  <c r="Z170" i="12"/>
  <c r="Z166" i="12"/>
  <c r="Z162" i="12"/>
  <c r="Z158" i="12"/>
  <c r="Z154" i="12"/>
  <c r="Y154" i="12" s="1"/>
  <c r="Z150" i="12"/>
  <c r="Z146" i="12"/>
  <c r="Z142" i="12"/>
  <c r="Z138" i="12"/>
  <c r="Y138" i="12" s="1"/>
  <c r="Z134" i="12"/>
  <c r="Z126" i="12"/>
  <c r="Y126" i="12" s="1"/>
  <c r="Z122" i="12"/>
  <c r="Z118" i="12"/>
  <c r="Z114" i="12"/>
  <c r="Y114" i="12" s="1"/>
  <c r="Z110" i="12"/>
  <c r="Z106" i="12"/>
  <c r="Y106" i="12" s="1"/>
  <c r="Z102" i="12"/>
  <c r="Y102" i="12" s="1"/>
  <c r="Z98" i="12"/>
  <c r="Z94" i="12"/>
  <c r="Y94" i="12" s="1"/>
  <c r="Z90" i="12"/>
  <c r="Y90" i="12" s="1"/>
  <c r="Z78" i="12"/>
  <c r="Y78" i="12" s="1"/>
  <c r="Z74" i="12"/>
  <c r="Z13" i="12"/>
  <c r="Y13" i="12" s="1"/>
  <c r="Z9" i="12"/>
  <c r="Y9" i="12" s="1"/>
  <c r="Z5" i="12"/>
  <c r="Z391" i="12"/>
  <c r="Y391" i="12" s="1"/>
  <c r="Z383" i="12"/>
  <c r="Z379" i="12"/>
  <c r="Z375" i="12"/>
  <c r="Y375" i="12" s="1"/>
  <c r="Z371" i="12"/>
  <c r="Z367" i="12"/>
  <c r="Z320" i="12"/>
  <c r="Z316" i="12"/>
  <c r="Z312" i="12"/>
  <c r="Y312" i="12" s="1"/>
  <c r="Z281" i="12"/>
  <c r="Y281" i="12" s="1"/>
  <c r="Z277" i="12"/>
  <c r="Z273" i="12"/>
  <c r="Y273" i="12" s="1"/>
  <c r="Z269" i="12"/>
  <c r="Y269" i="12" s="1"/>
  <c r="Z65" i="12"/>
  <c r="Z61" i="12"/>
  <c r="Y61" i="12" s="1"/>
  <c r="Z57" i="12"/>
  <c r="Y57" i="12" s="1"/>
  <c r="Z49" i="12"/>
  <c r="Y49" i="12" s="1"/>
  <c r="Z45" i="12"/>
  <c r="Y45" i="12" s="1"/>
  <c r="Z37" i="12"/>
  <c r="Y37" i="12" s="1"/>
  <c r="Z29" i="12"/>
  <c r="Z25" i="12"/>
  <c r="Y25" i="12" s="1"/>
  <c r="Z21" i="12"/>
  <c r="Y21" i="12" s="1"/>
  <c r="Z17" i="12"/>
  <c r="Z387" i="12"/>
  <c r="Y387" i="12" s="1"/>
  <c r="Z363" i="12"/>
  <c r="Y363" i="12" s="1"/>
  <c r="Z359" i="12"/>
  <c r="Z355" i="12"/>
  <c r="Y355" i="12" s="1"/>
  <c r="Z351" i="12"/>
  <c r="Y351" i="12" s="1"/>
  <c r="Z347" i="12"/>
  <c r="Z343" i="12"/>
  <c r="Z339" i="12"/>
  <c r="Y339" i="12" s="1"/>
  <c r="Z308" i="12"/>
  <c r="Y308" i="12" s="1"/>
  <c r="Z304" i="12"/>
  <c r="Z300" i="12"/>
  <c r="Y300" i="12" s="1"/>
  <c r="Z296" i="12"/>
  <c r="Z265" i="12"/>
  <c r="Y265" i="12" s="1"/>
  <c r="Z261" i="12"/>
  <c r="Y261" i="12" s="1"/>
  <c r="Z185" i="12"/>
  <c r="Y185" i="12" s="1"/>
  <c r="Z181" i="12"/>
  <c r="Z177" i="12"/>
  <c r="Z173" i="12"/>
  <c r="Y173" i="12" s="1"/>
  <c r="Z169" i="12"/>
  <c r="Y169" i="12" s="1"/>
  <c r="Z165" i="12"/>
  <c r="Y165" i="12" s="1"/>
  <c r="Z161" i="12"/>
  <c r="Z157" i="12"/>
  <c r="Z153" i="12"/>
  <c r="Z149" i="12"/>
  <c r="Y149" i="12" s="1"/>
  <c r="Z145" i="12"/>
  <c r="Z141" i="12"/>
  <c r="Y141" i="12" s="1"/>
  <c r="Z137" i="12"/>
  <c r="Z129" i="12"/>
  <c r="Y129" i="12" s="1"/>
  <c r="Z125" i="12"/>
  <c r="Z121" i="12"/>
  <c r="Z117" i="12"/>
  <c r="Y117" i="12" s="1"/>
  <c r="Z113" i="12"/>
  <c r="Y113" i="12" s="1"/>
  <c r="Z109" i="12"/>
  <c r="Z105" i="12"/>
  <c r="Y105" i="12" s="1"/>
  <c r="Z101" i="12"/>
  <c r="Y101" i="12" s="1"/>
  <c r="Z97" i="12"/>
  <c r="Y97" i="12" s="1"/>
  <c r="Z93" i="12"/>
  <c r="Y93" i="12" s="1"/>
  <c r="Z89" i="12"/>
  <c r="Y89" i="12" s="1"/>
  <c r="Z85" i="12"/>
  <c r="Y85" i="12" s="1"/>
  <c r="Z81" i="12"/>
  <c r="Y81" i="12" s="1"/>
  <c r="Z77" i="12"/>
  <c r="Y77" i="12" s="1"/>
  <c r="Z73" i="12"/>
  <c r="Y73" i="12" s="1"/>
  <c r="Z12" i="12"/>
  <c r="Y12" i="12" s="1"/>
  <c r="Z8" i="12"/>
  <c r="Z4" i="12"/>
  <c r="Y4" i="12" s="1"/>
  <c r="Z390" i="12"/>
  <c r="Y390" i="12" s="1"/>
  <c r="Z386" i="12"/>
  <c r="Z382" i="12"/>
  <c r="Y382" i="12" s="1"/>
  <c r="Z374" i="12"/>
  <c r="Y374" i="12" s="1"/>
  <c r="Z370" i="12"/>
  <c r="Y370" i="12" s="1"/>
  <c r="Z366" i="12"/>
  <c r="Y366" i="12" s="1"/>
  <c r="Z319" i="12"/>
  <c r="Y319" i="12" s="1"/>
  <c r="Z315" i="12"/>
  <c r="Y315" i="12" s="1"/>
  <c r="Z284" i="12"/>
  <c r="Y284" i="12" s="1"/>
  <c r="Z280" i="12"/>
  <c r="Y280" i="12" s="1"/>
  <c r="Z276" i="12"/>
  <c r="Y276" i="12" s="1"/>
  <c r="Z272" i="12"/>
  <c r="Y272" i="12" s="1"/>
  <c r="Z268" i="12"/>
  <c r="Y268" i="12" s="1"/>
  <c r="Z68" i="12"/>
  <c r="Z56" i="12"/>
  <c r="Y56" i="12" s="1"/>
  <c r="Z52" i="12"/>
  <c r="Y52" i="12" s="1"/>
  <c r="Z48" i="12"/>
  <c r="Y48" i="12" s="1"/>
  <c r="Z36" i="12"/>
  <c r="Y36" i="12" s="1"/>
  <c r="Z32" i="12"/>
  <c r="Y32" i="12" s="1"/>
  <c r="Z28" i="12"/>
  <c r="Y28" i="12" s="1"/>
  <c r="Z20" i="12"/>
  <c r="Y20" i="12" s="1"/>
  <c r="Z378" i="12"/>
  <c r="Y378" i="12" s="1"/>
  <c r="Z362" i="12"/>
  <c r="Y362" i="12" s="1"/>
  <c r="Z358" i="12"/>
  <c r="Y358" i="12" s="1"/>
  <c r="Z354" i="12"/>
  <c r="Y354" i="12" s="1"/>
  <c r="Z350" i="12"/>
  <c r="Y350" i="12" s="1"/>
  <c r="Z346" i="12"/>
  <c r="Y346" i="12" s="1"/>
  <c r="Z342" i="12"/>
  <c r="Y342" i="12" s="1"/>
  <c r="Y323" i="12"/>
  <c r="Z311" i="12"/>
  <c r="Y311" i="12" s="1"/>
  <c r="Z307" i="12"/>
  <c r="Y307" i="12" s="1"/>
  <c r="Z303" i="12"/>
  <c r="Y303" i="12" s="1"/>
  <c r="Z299" i="12"/>
  <c r="Y299" i="12" s="1"/>
  <c r="Z295" i="12"/>
  <c r="Y295" i="12" s="1"/>
  <c r="Z264" i="12"/>
  <c r="Y264" i="12" s="1"/>
  <c r="Z260" i="12"/>
  <c r="Y260" i="12" s="1"/>
  <c r="Z188" i="12"/>
  <c r="Y188" i="12" s="1"/>
  <c r="Z180" i="12"/>
  <c r="Y180" i="12" s="1"/>
  <c r="Z176" i="12"/>
  <c r="Y176" i="12" s="1"/>
  <c r="Z172" i="12"/>
  <c r="Y172" i="12" s="1"/>
  <c r="Z168" i="12"/>
  <c r="Y168" i="12" s="1"/>
  <c r="Z164" i="12"/>
  <c r="Y164" i="12" s="1"/>
  <c r="Z160" i="12"/>
  <c r="Y160" i="12" s="1"/>
  <c r="Z156" i="12"/>
  <c r="Y156" i="12" s="1"/>
  <c r="Z152" i="12"/>
  <c r="Y152" i="12" s="1"/>
  <c r="Z148" i="12"/>
  <c r="Y148" i="12" s="1"/>
  <c r="Z144" i="12"/>
  <c r="Y144" i="12" s="1"/>
  <c r="Z140" i="12"/>
  <c r="Y140" i="12" s="1"/>
  <c r="Z136" i="12"/>
  <c r="Y136" i="12" s="1"/>
  <c r="Z132" i="12"/>
  <c r="Y132" i="12" s="1"/>
  <c r="Z124" i="12"/>
  <c r="Y124" i="12" s="1"/>
  <c r="Z120" i="12"/>
  <c r="Y120" i="12" s="1"/>
  <c r="Z116" i="12"/>
  <c r="Y116" i="12" s="1"/>
  <c r="Z112" i="12"/>
  <c r="Y112" i="12" s="1"/>
  <c r="Z108" i="12"/>
  <c r="Y108" i="12" s="1"/>
  <c r="Z104" i="12"/>
  <c r="Y104" i="12" s="1"/>
  <c r="Z100" i="12"/>
  <c r="Y100" i="12" s="1"/>
  <c r="Z96" i="12"/>
  <c r="Y96" i="12" s="1"/>
  <c r="Z92" i="12"/>
  <c r="Y92" i="12" s="1"/>
  <c r="Z88" i="12"/>
  <c r="Y88" i="12" s="1"/>
  <c r="Z84" i="12"/>
  <c r="Y84" i="12" s="1"/>
  <c r="Z80" i="12"/>
  <c r="Y80" i="12" s="1"/>
  <c r="Z15" i="12"/>
  <c r="Y15" i="12" s="1"/>
  <c r="Z11" i="12"/>
  <c r="Y11" i="12" s="1"/>
  <c r="Z7" i="12"/>
  <c r="Y7" i="12" s="1"/>
  <c r="Z3" i="12"/>
  <c r="Y3" i="12" s="1"/>
  <c r="Z389" i="12"/>
  <c r="Y389" i="12" s="1"/>
  <c r="Z385" i="12"/>
  <c r="Y385" i="12" s="1"/>
  <c r="Z381" i="12"/>
  <c r="Y381" i="12" s="1"/>
  <c r="Z377" i="12"/>
  <c r="Y377" i="12" s="1"/>
  <c r="Z373" i="12"/>
  <c r="Y373" i="12" s="1"/>
  <c r="Z369" i="12"/>
  <c r="Y369" i="12" s="1"/>
  <c r="Z318" i="12"/>
  <c r="Y318" i="12" s="1"/>
  <c r="Z314" i="12"/>
  <c r="Y314" i="12" s="1"/>
  <c r="Z283" i="12"/>
  <c r="Y283" i="12" s="1"/>
  <c r="Z279" i="12"/>
  <c r="Y279" i="12" s="1"/>
  <c r="Z275" i="12"/>
  <c r="Y275" i="12" s="1"/>
  <c r="Z271" i="12"/>
  <c r="Y271" i="12" s="1"/>
  <c r="Z267" i="12"/>
  <c r="Y267" i="12" s="1"/>
  <c r="Z67" i="12"/>
  <c r="Y67" i="12" s="1"/>
  <c r="Z63" i="12"/>
  <c r="Y63" i="12" s="1"/>
  <c r="Z55" i="12"/>
  <c r="Y55" i="12" s="1"/>
  <c r="Z51" i="12"/>
  <c r="Y51" i="12" s="1"/>
  <c r="Z47" i="12"/>
  <c r="Y47" i="12" s="1"/>
  <c r="Z43" i="12"/>
  <c r="Y43" i="12" s="1"/>
  <c r="Z39" i="12"/>
  <c r="Y39" i="12" s="1"/>
  <c r="Z35" i="12"/>
  <c r="Y35" i="12" s="1"/>
  <c r="Z31" i="12"/>
  <c r="Y31" i="12" s="1"/>
  <c r="Z27" i="12"/>
  <c r="Y27" i="12" s="1"/>
  <c r="Z23" i="12"/>
  <c r="Y23" i="12" s="1"/>
  <c r="Z19" i="12"/>
  <c r="Y19" i="12" s="1"/>
  <c r="Z365" i="12"/>
  <c r="Y365" i="12" s="1"/>
  <c r="Z361" i="12"/>
  <c r="Y361" i="12" s="1"/>
  <c r="Z357" i="12"/>
  <c r="Y357" i="12" s="1"/>
  <c r="Z353" i="12"/>
  <c r="Y353" i="12" s="1"/>
  <c r="Z349" i="12"/>
  <c r="Y349" i="12" s="1"/>
  <c r="Z345" i="12"/>
  <c r="Y345" i="12" s="1"/>
  <c r="Z341" i="12"/>
  <c r="Y341" i="12" s="1"/>
  <c r="Y326" i="12"/>
  <c r="Z310" i="12"/>
  <c r="Y310" i="12" s="1"/>
  <c r="Z306" i="12"/>
  <c r="Y306" i="12" s="1"/>
  <c r="Z302" i="12"/>
  <c r="Y302" i="12" s="1"/>
  <c r="Z298" i="12"/>
  <c r="Y298" i="12" s="1"/>
  <c r="Z294" i="12"/>
  <c r="Y294" i="12" s="1"/>
  <c r="Z263" i="12"/>
  <c r="Y263" i="12" s="1"/>
  <c r="Z259" i="12"/>
  <c r="Y259" i="12" s="1"/>
  <c r="Z71" i="12"/>
  <c r="Y71" i="12" s="1"/>
  <c r="Y335" i="12"/>
  <c r="Y287" i="12"/>
  <c r="Y398" i="12"/>
  <c r="Y371" i="12"/>
  <c r="Y344" i="12"/>
  <c r="Y317" i="12"/>
  <c r="Y290" i="12"/>
  <c r="Y305" i="12"/>
  <c r="Y395" i="12"/>
  <c r="Y359" i="12"/>
  <c r="Y394" i="12"/>
  <c r="Y376" i="12"/>
  <c r="Y322" i="12"/>
  <c r="Y304" i="12"/>
  <c r="Y286" i="12"/>
  <c r="Y397" i="12"/>
  <c r="Y379" i="12"/>
  <c r="Y343" i="12"/>
  <c r="Y325" i="12"/>
  <c r="Y289" i="12"/>
  <c r="Y383" i="12"/>
  <c r="Y347" i="12"/>
  <c r="Y329" i="12"/>
  <c r="Y293" i="12"/>
  <c r="Y296" i="12"/>
  <c r="Y278" i="12"/>
  <c r="Y386" i="12"/>
  <c r="Y368" i="12"/>
  <c r="Y332" i="12"/>
  <c r="Y367" i="12"/>
  <c r="Y331" i="12"/>
  <c r="Y313" i="12"/>
  <c r="Y277" i="12"/>
  <c r="Y388" i="12"/>
  <c r="Y352" i="12"/>
  <c r="Y334" i="12"/>
  <c r="Y316" i="12"/>
  <c r="Y392" i="12"/>
  <c r="Y356" i="12"/>
  <c r="Y338" i="12"/>
  <c r="Y320" i="12"/>
  <c r="Y266" i="12"/>
  <c r="Y242" i="12"/>
  <c r="Y238" i="12"/>
  <c r="Y190" i="12"/>
  <c r="Y186" i="12"/>
  <c r="Y182" i="12"/>
  <c r="Y174" i="12"/>
  <c r="Y170" i="12"/>
  <c r="Y166" i="12"/>
  <c r="Y162" i="12"/>
  <c r="Y158" i="12"/>
  <c r="Y150" i="12"/>
  <c r="Y146" i="12"/>
  <c r="Y142" i="12"/>
  <c r="Y134" i="12"/>
  <c r="Y122" i="12"/>
  <c r="Y118" i="12"/>
  <c r="Y110" i="12"/>
  <c r="Y98" i="12"/>
  <c r="Y74" i="12"/>
  <c r="Y62" i="12"/>
  <c r="Y14" i="12"/>
  <c r="Y253" i="12"/>
  <c r="Y249" i="12"/>
  <c r="Y237" i="12"/>
  <c r="Y181" i="12"/>
  <c r="Y177" i="12"/>
  <c r="Y161" i="12"/>
  <c r="Y157" i="12"/>
  <c r="Y153" i="12"/>
  <c r="Y145" i="12"/>
  <c r="Y137" i="12"/>
  <c r="Y125" i="12"/>
  <c r="Y121" i="12"/>
  <c r="Y109" i="12"/>
  <c r="Y65" i="12"/>
  <c r="Y29" i="12"/>
  <c r="Y17" i="12"/>
  <c r="Y5" i="12"/>
  <c r="Y256" i="12"/>
  <c r="Y240" i="12"/>
  <c r="Y236" i="12"/>
  <c r="Y208" i="12"/>
  <c r="Y200" i="12"/>
  <c r="Y68" i="12"/>
  <c r="Y8" i="12"/>
  <c r="Y239" i="12"/>
  <c r="Y235" i="12"/>
  <c r="Y179" i="12"/>
  <c r="Y175" i="12"/>
  <c r="Y143" i="12"/>
  <c r="Y107" i="12"/>
  <c r="Y103" i="12"/>
  <c r="Y83" i="12"/>
  <c r="A502" i="12" l="1" a="1"/>
  <c r="K5" i="11" s="1"/>
  <c r="Q5" i="11" s="1"/>
  <c r="Z223" i="12"/>
  <c r="Y223" i="12" s="1"/>
  <c r="Z213" i="12"/>
  <c r="Y213" i="12" s="1"/>
  <c r="Z50" i="12"/>
  <c r="Y50" i="12" s="1"/>
  <c r="Z70" i="12"/>
  <c r="Y70" i="12" s="1"/>
  <c r="Z64" i="12"/>
  <c r="Y64" i="12" s="1"/>
  <c r="Z24" i="12"/>
  <c r="Y24" i="12" s="1"/>
  <c r="Z40" i="12"/>
  <c r="Y40" i="12" s="1"/>
  <c r="Z26" i="12"/>
  <c r="Y26" i="12" s="1"/>
  <c r="Z42" i="12"/>
  <c r="Y42" i="12" s="1"/>
  <c r="Z60" i="12"/>
  <c r="Y60" i="12" s="1"/>
  <c r="Z59" i="12"/>
  <c r="Y59" i="12" s="1"/>
  <c r="Z44" i="12"/>
  <c r="Y44" i="12" s="1"/>
  <c r="Z41" i="12"/>
  <c r="Y41" i="12" s="1"/>
  <c r="Z86" i="12"/>
  <c r="Y86" i="12" s="1"/>
  <c r="Z115" i="12"/>
  <c r="Y115" i="12" s="1"/>
  <c r="Z147" i="12"/>
  <c r="Y147" i="12" s="1"/>
  <c r="Z171" i="12"/>
  <c r="Y171" i="12" s="1"/>
  <c r="Z111" i="12"/>
  <c r="Y111" i="12" s="1"/>
  <c r="Z6" i="12"/>
  <c r="Y6" i="12" s="1"/>
  <c r="Z91" i="12"/>
  <c r="Y91" i="12" s="1"/>
  <c r="Z10" i="12"/>
  <c r="Y10" i="12" s="1"/>
  <c r="Z79" i="12"/>
  <c r="Y79" i="12" s="1"/>
  <c r="Z135" i="12"/>
  <c r="Y135" i="12" s="1"/>
  <c r="Z232" i="12"/>
  <c r="Y232" i="12" s="1"/>
  <c r="Z151" i="12"/>
  <c r="Y151" i="12" s="1"/>
  <c r="Z119" i="12"/>
  <c r="Y119" i="12" s="1"/>
  <c r="Z183" i="12"/>
  <c r="Y183" i="12" s="1"/>
  <c r="Z233" i="12"/>
  <c r="Y233" i="12" s="1"/>
  <c r="Z16" i="12"/>
  <c r="Y16" i="12" s="1"/>
  <c r="Z193" i="12"/>
  <c r="Y193" i="12" s="1"/>
  <c r="Z221" i="12"/>
  <c r="Y221" i="12" s="1"/>
  <c r="Z218" i="12"/>
  <c r="Y218" i="12" s="1"/>
  <c r="Z159" i="12"/>
  <c r="Y159" i="12" s="1"/>
  <c r="Z234" i="12"/>
  <c r="Y234" i="12" s="1"/>
  <c r="Z127" i="12"/>
  <c r="Y127" i="12" s="1"/>
  <c r="Z139" i="12"/>
  <c r="Y139" i="12" s="1"/>
  <c r="Z155" i="12"/>
  <c r="Y155" i="12" s="1"/>
  <c r="Z178" i="12"/>
  <c r="Y178" i="12" s="1"/>
  <c r="Z163" i="12"/>
  <c r="Y163" i="12" s="1"/>
  <c r="Z184" i="12"/>
  <c r="Y184" i="12" s="1"/>
  <c r="N2" i="11"/>
  <c r="Z76" i="12" l="1"/>
  <c r="Y76" i="12" s="1"/>
  <c r="Z214" i="12"/>
  <c r="Y214" i="12" s="1"/>
  <c r="A502" i="12"/>
  <c r="K9" i="11"/>
  <c r="Q9" i="11" s="1"/>
  <c r="Z198" i="12" s="1"/>
  <c r="Y198" i="12" s="1"/>
  <c r="K13" i="11"/>
  <c r="Q13" i="11" s="1"/>
  <c r="Z210" i="12" s="1"/>
  <c r="Y210" i="12" s="1"/>
  <c r="K11" i="11"/>
  <c r="Q11" i="11" s="1"/>
  <c r="Z201" i="12" s="1"/>
  <c r="Y201" i="12" s="1"/>
  <c r="K32" i="11"/>
  <c r="Q32" i="11" s="1"/>
  <c r="Z230" i="12" s="1"/>
  <c r="Y230" i="12" s="1"/>
  <c r="K46" i="11"/>
  <c r="Q46" i="11" s="1"/>
  <c r="K20" i="11"/>
  <c r="Q20" i="11" s="1"/>
  <c r="Z226" i="12" s="1"/>
  <c r="Y226" i="12" s="1"/>
  <c r="K37" i="11"/>
  <c r="Q37" i="11" s="1"/>
  <c r="Z191" i="12" s="1"/>
  <c r="Y191" i="12" s="1"/>
  <c r="K23" i="11"/>
  <c r="Q23" i="11" s="1"/>
  <c r="Z197" i="12" s="1"/>
  <c r="Y197" i="12" s="1"/>
  <c r="K19" i="11"/>
  <c r="Q19" i="11" s="1"/>
  <c r="Z222" i="12" s="1"/>
  <c r="Y222" i="12" s="1"/>
  <c r="K30" i="11"/>
  <c r="Q30" i="11" s="1"/>
  <c r="Z229" i="12" s="1"/>
  <c r="Y229" i="12" s="1"/>
  <c r="K14" i="11"/>
  <c r="Q14" i="11" s="1"/>
  <c r="Z224" i="12" s="1"/>
  <c r="Y224" i="12" s="1"/>
  <c r="K6" i="11"/>
  <c r="Q6" i="11" s="1"/>
  <c r="Z206" i="12" s="1"/>
  <c r="Y206" i="12" s="1"/>
  <c r="K10" i="11"/>
  <c r="Q10" i="11" s="1"/>
  <c r="Z205" i="12" s="1"/>
  <c r="Y205" i="12" s="1"/>
  <c r="K8" i="11"/>
  <c r="Q8" i="11" s="1"/>
  <c r="Z207" i="12" s="1"/>
  <c r="Y207" i="12" s="1"/>
  <c r="K25" i="11"/>
  <c r="Q25" i="11" s="1"/>
  <c r="Z199" i="12" s="1"/>
  <c r="Y199" i="12" s="1"/>
  <c r="K33" i="11"/>
  <c r="Q33" i="11" s="1"/>
  <c r="Z187" i="12" s="1"/>
  <c r="Y187" i="12" s="1"/>
  <c r="K21" i="11"/>
  <c r="Q21" i="11" s="1"/>
  <c r="Z211" i="12" s="1"/>
  <c r="Y211" i="12" s="1"/>
  <c r="K12" i="11"/>
  <c r="Q12" i="11" s="1"/>
  <c r="Z194" i="12" s="1"/>
  <c r="Y194" i="12" s="1"/>
  <c r="K3" i="11"/>
  <c r="Q3" i="11" s="1"/>
  <c r="Z53" i="12" s="1"/>
  <c r="Y53" i="12" s="1"/>
  <c r="K7" i="11"/>
  <c r="Q7" i="11" s="1"/>
  <c r="Z202" i="12" s="1"/>
  <c r="Y202" i="12" s="1"/>
  <c r="K47" i="11"/>
  <c r="Q47" i="11" s="1"/>
  <c r="K45" i="11"/>
  <c r="Q45" i="11" s="1"/>
  <c r="K38" i="11"/>
  <c r="Q38" i="11" s="1"/>
  <c r="Z209" i="12" s="1"/>
  <c r="Y209" i="12" s="1"/>
  <c r="K26" i="11"/>
  <c r="Q26" i="11" s="1"/>
  <c r="Z219" i="12" s="1"/>
  <c r="Y219" i="12" s="1"/>
  <c r="K35" i="11"/>
  <c r="Q35" i="11" s="1"/>
  <c r="Z192" i="12" s="1"/>
  <c r="Y192" i="12" s="1"/>
  <c r="K31" i="11"/>
  <c r="Q31" i="11" s="1"/>
  <c r="Z195" i="12" s="1"/>
  <c r="Y195" i="12" s="1"/>
  <c r="K2" i="11"/>
  <c r="Q2" i="11" s="1"/>
  <c r="Z54" i="12" s="1"/>
  <c r="Y54" i="12" s="1"/>
  <c r="K24" i="11"/>
  <c r="Q24" i="11" s="1"/>
  <c r="Z220" i="12" s="1"/>
  <c r="Y220" i="12" s="1"/>
  <c r="K28" i="11"/>
  <c r="Q28" i="11" s="1"/>
  <c r="Z215" i="12" s="1"/>
  <c r="Y215" i="12" s="1"/>
  <c r="K22" i="11"/>
  <c r="Q22" i="11" s="1"/>
  <c r="Z228" i="12" s="1"/>
  <c r="Y228" i="12" s="1"/>
  <c r="K40" i="11"/>
  <c r="Q40" i="11" s="1"/>
  <c r="Z227" i="12" s="1"/>
  <c r="Y227" i="12" s="1"/>
  <c r="K27" i="11"/>
  <c r="Q27" i="11" s="1"/>
  <c r="Z189" i="12" s="1"/>
  <c r="Y189" i="12" s="1"/>
  <c r="K41" i="11"/>
  <c r="Q41" i="11" s="1"/>
  <c r="Z225" i="12" s="1"/>
  <c r="Y225" i="12" s="1"/>
  <c r="K15" i="11"/>
  <c r="Q15" i="11" s="1"/>
  <c r="Z196" i="12" s="1"/>
  <c r="Y196" i="12" s="1"/>
  <c r="K29" i="11"/>
  <c r="Q29" i="11" s="1"/>
  <c r="Z212" i="12" s="1"/>
  <c r="Y212" i="12" s="1"/>
  <c r="K34" i="11"/>
  <c r="Q34" i="11" s="1"/>
  <c r="Z231" i="12" s="1"/>
  <c r="Y231" i="12" s="1"/>
  <c r="K16" i="11"/>
  <c r="Q16" i="11" s="1"/>
  <c r="Z216" i="12" s="1"/>
  <c r="Y216" i="12" s="1"/>
  <c r="K39" i="11"/>
  <c r="Q39" i="11" s="1"/>
  <c r="Z203" i="12" s="1"/>
  <c r="Y203" i="12" s="1"/>
  <c r="K36" i="11"/>
  <c r="Q36" i="11" s="1"/>
  <c r="Z204" i="12" s="1"/>
  <c r="Y204" i="12" s="1"/>
  <c r="K17" i="11"/>
  <c r="Q17" i="11" s="1"/>
  <c r="Z217" i="12" s="1"/>
  <c r="Y217" i="12" s="1"/>
  <c r="Z82" i="12"/>
  <c r="Y82" i="12" s="1"/>
  <c r="Z128" i="12"/>
  <c r="Y128" i="12" s="1"/>
  <c r="Z131" i="12"/>
  <c r="Y131" i="12" s="1"/>
  <c r="Z133" i="12"/>
  <c r="Y133" i="12" s="1"/>
  <c r="Z130" i="12"/>
  <c r="Y130" i="12" s="1"/>
  <c r="Z69" i="12"/>
  <c r="Y69" i="12" s="1"/>
  <c r="Z33" i="12"/>
  <c r="Y33" i="12" s="1"/>
  <c r="Z72" i="12"/>
  <c r="Y72" i="12" s="1"/>
  <c r="Z99" i="12"/>
  <c r="Y99" i="12" s="1"/>
  <c r="Z95" i="12"/>
  <c r="Y95" i="12" s="1"/>
  <c r="L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A688B2-F141-47B1-A5FE-AA5E2EB7B6A2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<sst xmlns="http://schemas.openxmlformats.org/spreadsheetml/2006/main" count="18259" uniqueCount="645">
  <si>
    <t>rOper_name</t>
  </si>
  <si>
    <t>Modern Trade (Makro)</t>
  </si>
  <si>
    <t>rBst_code</t>
  </si>
  <si>
    <t>rProduct_group_code2</t>
  </si>
  <si>
    <t>(ทั้งหมด)</t>
  </si>
  <si>
    <t>rShip_name</t>
  </si>
  <si>
    <t>rPO_no</t>
  </si>
  <si>
    <t>rReq_date</t>
  </si>
  <si>
    <t>14/5/2569</t>
  </si>
  <si>
    <t>rDoc_number</t>
  </si>
  <si>
    <t>คืน 13.5</t>
  </si>
  <si>
    <t>Sum of rPlan_wgt</t>
  </si>
  <si>
    <t>rProduct_code</t>
  </si>
  <si>
    <t>rProduct_name</t>
  </si>
  <si>
    <t>ผลรวม</t>
  </si>
  <si>
    <t>ชิ้นมันคอ</t>
  </si>
  <si>
    <t>ซี่โครงหั่นชิ้น</t>
  </si>
  <si>
    <t>หมุบดเบอร์ 1</t>
  </si>
  <si>
    <t>เนื้อไหล่(M)</t>
  </si>
  <si>
    <t>สะโพก(M)</t>
  </si>
  <si>
    <t>สันนอก(M)</t>
  </si>
  <si>
    <t>สันใน(M)</t>
  </si>
  <si>
    <t>สันคอ(M)</t>
  </si>
  <si>
    <t>สามชั้น(M)</t>
  </si>
  <si>
    <t>ซี่โครง(M)</t>
  </si>
  <si>
    <t>คอหมูย่าง (M)</t>
  </si>
  <si>
    <t>มันสันหลัง (M)</t>
  </si>
  <si>
    <t>หนังสันหลัง (M)</t>
  </si>
  <si>
    <t>กระดูกซุป (M)</t>
  </si>
  <si>
    <t>ตับหมู (M)</t>
  </si>
  <si>
    <t>ขั้วตับ (M)</t>
  </si>
  <si>
    <t>ไต (M)</t>
  </si>
  <si>
    <t>หัวใจหมู (M)</t>
  </si>
  <si>
    <t>ไส้อ่อน (M)</t>
  </si>
  <si>
    <t>ไส้ใหญ่(ลวก) (M)</t>
  </si>
  <si>
    <t>กระดูกข้อ(คาตั๊ง) (M)</t>
  </si>
  <si>
    <t>หน้ากากหมูเผา(M)</t>
  </si>
  <si>
    <t>ไส้ตันลวก(M)</t>
  </si>
  <si>
    <t>หมูบดเบอร์ 1(1 กก.)</t>
  </si>
  <si>
    <t>ขาหลังเผา(M)</t>
  </si>
  <si>
    <t>สะโพกสไลด์</t>
  </si>
  <si>
    <t>สันนอกสไลด์</t>
  </si>
  <si>
    <t>สันคอสไลด์</t>
  </si>
  <si>
    <t>สามชั้นสไลด์</t>
  </si>
  <si>
    <t>ไส้ขม(M)</t>
  </si>
  <si>
    <t>กระดูกอ่อน(M)</t>
  </si>
  <si>
    <t>กระดูกซุปติดเนื้อพิเศษ(M)</t>
  </si>
  <si>
    <t>สามชั้นหมูตัดเส้น 3-4 นิ้ว</t>
  </si>
  <si>
    <t>หมูบด (M)</t>
  </si>
  <si>
    <t>ซี่โครงหมูสไลด์รวม (M)</t>
  </si>
  <si>
    <t>กระดูกอก(M)</t>
  </si>
  <si>
    <t>มันตัดเส้น(M)</t>
  </si>
  <si>
    <t>เลือดหมูก้อนปรุงรสพาสเจอร์ไรซ์400กรัม-C</t>
  </si>
  <si>
    <t>เนื้อไหล่ติดหนังสไลด์</t>
  </si>
  <si>
    <t>สะโพกหมูตัดเส้น(M)</t>
  </si>
  <si>
    <t>เนื้อไหล่หมูติดหนังหั่นชิ้น(M)</t>
  </si>
  <si>
    <t>เครื่องในหมูรวมหั่นชิ้น (M)</t>
  </si>
  <si>
    <t>ขาหมูเผาเลาะกระดูกหั่นชิ้นSpec-1(M)</t>
  </si>
  <si>
    <t>เนื้อไหล่หมูบด 1 กก. (M)</t>
  </si>
  <si>
    <t>เนื้อไหล่หมูตัดชิ้น 1 กก. (M)</t>
  </si>
  <si>
    <t>ตับหมูสไลซ์ 1 กก. (M)</t>
  </si>
  <si>
    <t>ตับหมู 1 กก. (M)</t>
  </si>
  <si>
    <t>สะโพกหมูตัดชิ้น 1 กก. (M)</t>
  </si>
  <si>
    <t>สะโพกหมูสไลซ์ 1 กก. (M)</t>
  </si>
  <si>
    <t>สันในหมู 1 กก. (M)</t>
  </si>
  <si>
    <t>สันคอหมูตัดชิ้น 1 กก. (M)</t>
  </si>
  <si>
    <t>สันคอหมูสไลซ์ 1 กก. (M)</t>
  </si>
  <si>
    <t>สามชั้นหมูตัดเส้น 1 กก. (M)</t>
  </si>
  <si>
    <t>สามชั้นหมูสไลซ์ 1 กก. (M)</t>
  </si>
  <si>
    <t>ขาหมูเผาหั่นชิ้น กก.ละ(M)</t>
  </si>
  <si>
    <t>มันหั่นเต๋า กก ละ</t>
  </si>
  <si>
    <t>เนื้อหมูตัดชิ้น(M)</t>
  </si>
  <si>
    <t>หมูบดปนมัน 30%(M)</t>
  </si>
  <si>
    <t>เซพแพ็ค หัวไหล่หมู กก.ละ</t>
  </si>
  <si>
    <t>เซพแพ็ค สันนอกหมู กก. ละ</t>
  </si>
  <si>
    <t>เซพแพ็ค สะโพกหมู กก.ละ</t>
  </si>
  <si>
    <t>เซพแพ็ค สามชั้นหมู กก.ละ</t>
  </si>
  <si>
    <t>หมูบดปนมัน 30% แพ็ค กก.(M)</t>
  </si>
  <si>
    <t>ขาหมูเผาเลาะติดหนัง กก.ละ</t>
  </si>
  <si>
    <t>สามชั้นหมูชีวาสไลซ์(ตรา ยูฟาร์ม)250 กรัม</t>
  </si>
  <si>
    <t>สันนอกหมูชีวาสไลซ์(ตรา ยูฟาร์ม) 250 กรัม</t>
  </si>
  <si>
    <t>สันคอหมูชีวาสไลซ์(ตรา ยูฟาร์ม) 250 กรัม</t>
  </si>
  <si>
    <t>สะโพกหมูชีวา (ตรา ยูฟาร์ม) 400 กรัม</t>
  </si>
  <si>
    <t>สามชั้นหมูชีวา (ตรา ยูฟาร์ม) 400 กรัม</t>
  </si>
  <si>
    <t>หมูชีวาบด (ตรา ยูฟาร์ม) 400 กรัม</t>
  </si>
  <si>
    <t>ตับหมูชีวา 400 กรัม</t>
  </si>
  <si>
    <t>หมูบด ผสมมัน 30% แพ็คถาด 1 กก.</t>
  </si>
  <si>
    <t>สะโพกหมูสไลซ์ แพ็คถาด 1 กก.</t>
  </si>
  <si>
    <t>หมูบด ผสมมัน 10% แพ็คถาด 1 กก.</t>
  </si>
  <si>
    <t>สันนอกหมูสดสไลซ์ แพ็คถาด 1 กก.</t>
  </si>
  <si>
    <t>สามชั้นหมูสดสไลซ์ แพ็คถาด 1 กก.</t>
  </si>
  <si>
    <t>สันคอหมูสดสไลซ์ แพ็คถาด 1 กก.</t>
  </si>
  <si>
    <t>หมูบด ผสมมัน 30% แพ็คถาด 500 กรัม</t>
  </si>
  <si>
    <t>สามชั้นหมูสดสไลซ์แพ็คถาด 500 กรัม</t>
  </si>
  <si>
    <t>สันคอหมูสดสไลซ์ แพ็คถาด 500 กรัม</t>
  </si>
  <si>
    <t>สันนอกหมูสดสไลซ์ แพ็คถาด 500 กรัม</t>
  </si>
  <si>
    <t>สะโพกหมูสไลซ์ แพ็คถาด 500 กรัม</t>
  </si>
  <si>
    <t>หมูบด ผสมมัน 10% แพ็คถาด 500 กรัม</t>
  </si>
  <si>
    <t>สามชั้นหั่นพะโล้ แพ็คถาด 500 กรัม</t>
  </si>
  <si>
    <t>เนื้อหมูหั่นแกง แพ็คถาด 1 กก.</t>
  </si>
  <si>
    <t>สามชั้นหมูหั่นแกง แพ็คถาด 1 กก.</t>
  </si>
  <si>
    <t>สามชั้นหั่นพะโล้ แพ็คถาด 1 กก.</t>
  </si>
  <si>
    <t>สะโพกหมูหั่นแดดเดียว แพ็ค 1 กก.</t>
  </si>
  <si>
    <t>น้ำมันหมู (ตรา ซีพี)</t>
  </si>
  <si>
    <t>มันหมูหั่นเต๋า แพ็คถาด 500 กรัม</t>
  </si>
  <si>
    <t>สามชั้นหมูหั่นแกง แพ็คถาด 500 กรัม</t>
  </si>
  <si>
    <t>สะโพกหมูหั่นแดดเดียวแพ็คถาด 500 กรัม</t>
  </si>
  <si>
    <t>เนื้อหมูหั่นแกง แพ็คถาด 500 กรัม</t>
  </si>
  <si>
    <t>เลือดก้อน(M)</t>
  </si>
  <si>
    <t>หางหมูเผา(M)</t>
  </si>
  <si>
    <t>ปอด(M)</t>
  </si>
  <si>
    <t>กระเพาะหมู(M)</t>
  </si>
  <si>
    <t>กระเพาะลวก (M)</t>
  </si>
  <si>
    <t>ขาหน้าเผา (M)</t>
  </si>
  <si>
    <t>ม้าม (M)</t>
  </si>
  <si>
    <t>ลิ้นหมู(M)</t>
  </si>
  <si>
    <t>ตับหมูสไลด์ (M)</t>
  </si>
  <si>
    <t>สามชั้นหมูตัดเส้น 1-2 นิ้ว(M)</t>
  </si>
  <si>
    <t>ชุดหมูสไลซ์รวม 1500 กรัม</t>
  </si>
  <si>
    <t>พอร์คช็อป</t>
  </si>
  <si>
    <t>เนื้อหมูหั่นแกง แพ็ค 1 กก.</t>
  </si>
  <si>
    <t>สามชั้นหั่นพะโล้ กก.ละ</t>
  </si>
  <si>
    <t>สะโพกหมูแต่งพิเศษ(แยกกล้ามเนื้อ)Spec7(M)</t>
  </si>
  <si>
    <t>สะโพกหมูสไลซ์(M)</t>
  </si>
  <si>
    <t>หน้ากากหมูหั่นชิ้น แพ็คถาด 500 กรัม</t>
  </si>
  <si>
    <t>เครื่องในหมูรวม แพ็คถาด 500 กรัม</t>
  </si>
  <si>
    <t>ไส้ตันหมู กก.ละ</t>
  </si>
  <si>
    <t>พอร์คชอพตัดสเต็ก กก.ละ</t>
  </si>
  <si>
    <t>หนังหมูรวม(M)</t>
  </si>
  <si>
    <t>เนื้อไหล่หมูตัดชิ้น (M)</t>
  </si>
  <si>
    <t>สะโพกหมูตัดชิ้น (M)</t>
  </si>
  <si>
    <t>สันคอหมูตัดชิ้น (M)</t>
  </si>
  <si>
    <t>สันนอกหมูตัดชิ้น (M)</t>
  </si>
  <si>
    <t>ผลรวมทั้งหมด</t>
  </si>
  <si>
    <t>บมจ. ซีพีเอฟ โกลบอล ฟู้ด โซลูชั่น</t>
  </si>
  <si>
    <t>rDate1</t>
  </si>
  <si>
    <t>rDate2</t>
  </si>
  <si>
    <t>rRDate1</t>
  </si>
  <si>
    <t>rRDate2</t>
  </si>
  <si>
    <t>rRDate3</t>
  </si>
  <si>
    <t>rOper_code</t>
  </si>
  <si>
    <t>rSub_oper</t>
  </si>
  <si>
    <t>rSub_name</t>
  </si>
  <si>
    <t>rWarehouse</t>
  </si>
  <si>
    <t>rSub_warehouse</t>
  </si>
  <si>
    <t>rBst_name</t>
  </si>
  <si>
    <t>rCv_code</t>
  </si>
  <si>
    <t>rCv_name</t>
  </si>
  <si>
    <t>rShip_to</t>
  </si>
  <si>
    <t>rDoc_date</t>
  </si>
  <si>
    <t>rStock_qty</t>
  </si>
  <si>
    <t>rStock_wgt</t>
  </si>
  <si>
    <t>rPlan_qty</t>
  </si>
  <si>
    <t>rPlan_wgt</t>
  </si>
  <si>
    <t>rDiff_stock_qty_plan</t>
  </si>
  <si>
    <t>rDiff_stock_wgt_plan</t>
  </si>
  <si>
    <t>rAllocate_stock_qty</t>
  </si>
  <si>
    <t>rAllocate_stock_wgt</t>
  </si>
  <si>
    <t>rDiff_stock_qty</t>
  </si>
  <si>
    <t>rDiff_stock_wgt</t>
  </si>
  <si>
    <t>rPlan_byquota_qty</t>
  </si>
  <si>
    <t>rPlan_byquota_wgt</t>
  </si>
  <si>
    <t>rBreak</t>
  </si>
  <si>
    <t>rEntry_type</t>
  </si>
  <si>
    <t>rProduct_group_code1</t>
  </si>
  <si>
    <t>rProduct_group_dim1</t>
  </si>
  <si>
    <t>rCv_channel</t>
  </si>
  <si>
    <t>rCV_FLAG1</t>
  </si>
  <si>
    <t>rCV_FLAG2</t>
  </si>
  <si>
    <t>rCV_FLAG3</t>
  </si>
  <si>
    <t>rCV_FLAG4</t>
  </si>
  <si>
    <t>rCV_FLAG5</t>
  </si>
  <si>
    <t>rOwner_so</t>
  </si>
  <si>
    <t>rCreate_date_so</t>
  </si>
  <si>
    <t>rUm_stock_qty</t>
  </si>
  <si>
    <t>rUm_stock_wgt</t>
  </si>
  <si>
    <t>rArea</t>
  </si>
  <si>
    <t>nShow_area</t>
  </si>
  <si>
    <t>rModel</t>
  </si>
  <si>
    <t>rDO_no</t>
  </si>
  <si>
    <t>rINV_no</t>
  </si>
  <si>
    <t>rDoc_issue</t>
  </si>
  <si>
    <t>rPlant_code</t>
  </si>
  <si>
    <t>rAllocate_remark</t>
  </si>
  <si>
    <t>rVendor_code</t>
  </si>
  <si>
    <t>rStatus</t>
  </si>
  <si>
    <t>rStock_qty_pur</t>
  </si>
  <si>
    <t>rStock_wgt_pur</t>
  </si>
  <si>
    <t>rCut_off_time</t>
  </si>
  <si>
    <t>rOwner_create</t>
  </si>
  <si>
    <t>rCo_load</t>
  </si>
  <si>
    <t>rLicense_plate</t>
  </si>
  <si>
    <t>489M</t>
  </si>
  <si>
    <t>หน่วยงานกลาง</t>
  </si>
  <si>
    <t>F213  DMCW-รชล-พระพุทธบาท</t>
  </si>
  <si>
    <t>00000  หน่วยงานกลาง</t>
  </si>
  <si>
    <t>1A53017200</t>
  </si>
  <si>
    <t>บมจ. ซีพี แอ็กซ์ตร้า สาขาชัยนาท</t>
  </si>
  <si>
    <t>MAKRO 0164 สาขาชัยนาท</t>
  </si>
  <si>
    <t>H6954RMA0058184</t>
  </si>
  <si>
    <t>OPRCD489MOPRCD00000OPRCDF213OPRCD00000OPRCD923</t>
  </si>
  <si>
    <t>ซื้อ / ขาย</t>
  </si>
  <si>
    <t>Main proudct</t>
  </si>
  <si>
    <t>Bulk Normal</t>
  </si>
  <si>
    <t>สุกร</t>
  </si>
  <si>
    <t>MT2001 SUPER MK.-Makro</t>
  </si>
  <si>
    <t>MT</t>
  </si>
  <si>
    <t>เบญจพจน์ เพชรเหลี่ยม</t>
  </si>
  <si>
    <t>2026-05-08-13.09.12.000000</t>
  </si>
  <si>
    <t>ก.ก.</t>
  </si>
  <si>
    <t xml:space="preserve"> </t>
  </si>
  <si>
    <t>N</t>
  </si>
  <si>
    <t>;0000</t>
  </si>
  <si>
    <t>G</t>
  </si>
  <si>
    <t>SYSBATCH</t>
  </si>
  <si>
    <t>By proudct</t>
  </si>
  <si>
    <t>แพ็ค</t>
  </si>
  <si>
    <t>ถุง</t>
  </si>
  <si>
    <t>1A53008400</t>
  </si>
  <si>
    <t>บมจ. ซีพี แอ็กซ์ตร้า สาขานครอินทร์</t>
  </si>
  <si>
    <t>MAKRO 0083 นครอินทร์</t>
  </si>
  <si>
    <t>H6954RMA0059103</t>
  </si>
  <si>
    <t>OT002 CC-Makro</t>
  </si>
  <si>
    <t>System Batch</t>
  </si>
  <si>
    <t>2026-05-11-12.40.50.000000</t>
  </si>
  <si>
    <t>Seal Pack</t>
  </si>
  <si>
    <t>1A53010800</t>
  </si>
  <si>
    <t>บมจ. ซีพี แอ็กซ์ตร้า สาขาสิงห์บุรี</t>
  </si>
  <si>
    <t>MAKRO 0114 สิงห์บุรี</t>
  </si>
  <si>
    <t>H6954RMA0059110</t>
  </si>
  <si>
    <t>1A53003900</t>
  </si>
  <si>
    <t>บมจ. ซีพี แอ็กซ์ตร้า สาขาสระบุรี</t>
  </si>
  <si>
    <t>MAKRO 0038 สระบุรี</t>
  </si>
  <si>
    <t>H6954RMA0059184</t>
  </si>
  <si>
    <t>2026-05-11-13.33.46.000000</t>
  </si>
  <si>
    <t>1A53004800</t>
  </si>
  <si>
    <t>บมจ. ซีพี แอ็กซ์ตร้า สาขาลพบุรี</t>
  </si>
  <si>
    <t>MAKRO 0047 ลพบุรี</t>
  </si>
  <si>
    <t>H6954RMA0059202</t>
  </si>
  <si>
    <t>1A53005200</t>
  </si>
  <si>
    <t>บมจ. ซีพี แอ็กซ์ตร้า สาขาอยุธยา</t>
  </si>
  <si>
    <t>MAKRO 0051 อยุธยา</t>
  </si>
  <si>
    <t>H6954RMA0059205</t>
  </si>
  <si>
    <t>H6954RMA0059232</t>
  </si>
  <si>
    <t>H6954RMA0059255</t>
  </si>
  <si>
    <t>H6954RMA0059669</t>
  </si>
  <si>
    <t>Wrap</t>
  </si>
  <si>
    <t>สุภาวดี มีแทน</t>
  </si>
  <si>
    <t>2026-05-12-08.48.58.000000</t>
  </si>
  <si>
    <t>ถาด</t>
  </si>
  <si>
    <t>H6954RMA0059671</t>
  </si>
  <si>
    <t>H6954RMA0059681</t>
  </si>
  <si>
    <t>H6954RMA0059701</t>
  </si>
  <si>
    <t>H6954RMA0059738</t>
  </si>
  <si>
    <t>CP Brand(ซอง)</t>
  </si>
  <si>
    <t>2026-05-12-11.01.14.000000</t>
  </si>
  <si>
    <t>1A53009300</t>
  </si>
  <si>
    <t>บมจ. ซีพี แอ็กซ์ตร้า สาขาทาวน์ อิน ทาวน์</t>
  </si>
  <si>
    <t>MAKRO 0096 ทาวน์ อิน ทาวน์</t>
  </si>
  <si>
    <t>H6954RMA0059841</t>
  </si>
  <si>
    <t>2026-05-12-12.55.46.000000</t>
  </si>
  <si>
    <t>(หลายรายการ)</t>
  </si>
  <si>
    <t>คัน</t>
  </si>
  <si>
    <t>Values</t>
  </si>
  <si>
    <t>Sum of rPlan_qty</t>
  </si>
  <si>
    <t>สายพาน</t>
  </si>
  <si>
    <t>ตัวช่วยแยกข้อมูล</t>
  </si>
  <si>
    <t>ใส่ข้อมูลดิบ</t>
  </si>
  <si>
    <t>ใส่เลขสาขา</t>
  </si>
  <si>
    <t>ชื่อสาขา</t>
  </si>
  <si>
    <t>SAP</t>
  </si>
  <si>
    <t>ชื่อสินค้า</t>
  </si>
  <si>
    <t>จำนวน po</t>
  </si>
  <si>
    <t>น้ำหนักเดิม</t>
  </si>
  <si>
    <t>แก้ไขเป็น</t>
  </si>
  <si>
    <t>น้ำหนัก final</t>
  </si>
  <si>
    <t>งด</t>
  </si>
  <si>
    <t>เพิ่ม SO</t>
  </si>
  <si>
    <t>ทด</t>
  </si>
  <si>
    <t>คำหมือน</t>
  </si>
  <si>
    <t>Master</t>
  </si>
  <si>
    <t>กระดูกข้อ</t>
  </si>
  <si>
    <t>เซพแพ็ค สันคอหมู กก.ละ</t>
  </si>
  <si>
    <t>คาตั๊ง</t>
  </si>
  <si>
    <t>กระดูกซุป</t>
  </si>
  <si>
    <t>กระดูกซุปหมู</t>
  </si>
  <si>
    <t>กระดูกซุบ</t>
  </si>
  <si>
    <t>เล้ง</t>
  </si>
  <si>
    <t>กระดูกซุปติดเนื้อพิเศษ</t>
  </si>
  <si>
    <t>กระดูกซุปติดเนื้อ</t>
  </si>
  <si>
    <t>กระดูกซุปติดเนื้อพิเศษแพ็คถาด</t>
  </si>
  <si>
    <t>กระดูกซุปติดเนื้อพิเศษแพ็คถาด กก.ละ</t>
  </si>
  <si>
    <t>กระดูกซุปหมู แพ็คถาด กก. ละ</t>
  </si>
  <si>
    <t>กระดูกอ</t>
  </si>
  <si>
    <t>กระดูกอก</t>
  </si>
  <si>
    <t>กระดูกอ่อน</t>
  </si>
  <si>
    <t>กระดูกอ่อนใบพาย แพ็คถาด กก.ละ</t>
  </si>
  <si>
    <t>กระเพาะลวก</t>
  </si>
  <si>
    <t>กะเพาะลวก</t>
  </si>
  <si>
    <t>กระเพาะหมูลวก</t>
  </si>
  <si>
    <t>กระเพาะหมู</t>
  </si>
  <si>
    <t>กะเพาะหมู</t>
  </si>
  <si>
    <t>กะเพาะสด</t>
  </si>
  <si>
    <t>กระเพาะสด</t>
  </si>
  <si>
    <t>กระเพาะหมูลวก แพ็คถาด กก.ละ</t>
  </si>
  <si>
    <t>ขั้วตับ</t>
  </si>
  <si>
    <t>คั่วตับ</t>
  </si>
  <si>
    <t>ขั้วตับหมู</t>
  </si>
  <si>
    <t>ขั้วตับหมู แพ็คถาด กก.ละ</t>
  </si>
  <si>
    <t>ขาหน้า</t>
  </si>
  <si>
    <t>ขาหน้าหมู</t>
  </si>
  <si>
    <t>ขาหน้าเผา</t>
  </si>
  <si>
    <t>ขาหน้าหมูเผา</t>
  </si>
  <si>
    <t>ขาเลาะ</t>
  </si>
  <si>
    <t>ขาหมูเลาะ</t>
  </si>
  <si>
    <t>ขาหมูเลาะติดหนัง</t>
  </si>
  <si>
    <t>ขาหมูเผาเลาะติดหนัง</t>
  </si>
  <si>
    <t>ขาเลาะติดหนัง</t>
  </si>
  <si>
    <t>ขาหมูเผาหั่นชิ้น</t>
  </si>
  <si>
    <t>ขาหมูเลาะกระดูก ตัดชิ้นแพ็ค กก.ละ</t>
  </si>
  <si>
    <t>ขาหมูเลาะกระดูกติดหนัง แพ็ค กก.ละ</t>
  </si>
  <si>
    <t>ขาหมูหั่นชิ้น แพ็คถาด กก. ละ</t>
  </si>
  <si>
    <t>ขาหลัง</t>
  </si>
  <si>
    <t>ขาหลังหมู</t>
  </si>
  <si>
    <t>ขาหลังเผา</t>
  </si>
  <si>
    <t>คอย่าง</t>
  </si>
  <si>
    <t>คอหมูย่าง</t>
  </si>
  <si>
    <t>คอหมูสำหรับย่าง</t>
  </si>
  <si>
    <t>คอหมูสำหรับย่าง แพ็คถาด กก.ละ</t>
  </si>
  <si>
    <t>เครื่องในหมูรวม</t>
  </si>
  <si>
    <t>เครื่องในหมูรวมหั่นชิ้น</t>
  </si>
  <si>
    <t>อ้อมคอ</t>
  </si>
  <si>
    <t>อ่อมคอ</t>
  </si>
  <si>
    <t>อ้อมคอหมู</t>
  </si>
  <si>
    <t>ซี่โครงหมู</t>
  </si>
  <si>
    <t>ซี่โครง</t>
  </si>
  <si>
    <t>ซี่โคง</t>
  </si>
  <si>
    <t>ซี่โครงแผ่น</t>
  </si>
  <si>
    <t>ซี่โครงหมูแผ่น</t>
  </si>
  <si>
    <t>ซี่โครงหมูชีวา</t>
  </si>
  <si>
    <t>ซี่โครงหมูชีวา (ตรา ยูฟาร์ม) 400 กรัม</t>
  </si>
  <si>
    <t>ซี่โครงชีวา</t>
  </si>
  <si>
    <t>ซี่โครงหมูตัดเส้น 1 กก</t>
  </si>
  <si>
    <t>ซี่โครงหมูตัดเส้น 1 กก. (M)</t>
  </si>
  <si>
    <t>ซี่โครงตัดเส้น 1 กก</t>
  </si>
  <si>
    <t>ซี่โครงหมูตัดเส้น แพ็คถาด กก.ละ</t>
  </si>
  <si>
    <t>ซี่โครงตัดเส้น</t>
  </si>
  <si>
    <t>ซี่โครงหมูสไลด์</t>
  </si>
  <si>
    <t>ซี่โครงสไลด์</t>
  </si>
  <si>
    <t xml:space="preserve">ซี่โครงหมูหั่นชิ้น 2 นิ้ว </t>
  </si>
  <si>
    <t>ซี่โครงหมูหั่นชิ้น 2 นิ้ว (M)</t>
  </si>
  <si>
    <t>ซี่โครงหมูหั่นชิ้น แพ็คถาด กก.ละ</t>
  </si>
  <si>
    <t>ซี่โครงหมูหั่นชิ้นอนามัยซีพี</t>
  </si>
  <si>
    <t>ซี่โครงหมูหั่นชิ้นอนามัยซีพี-W1000กรัม</t>
  </si>
  <si>
    <t>ซี่โครงหมูอ่อนหั่นชิ้น แพ็คถาด กก.ละ</t>
  </si>
  <si>
    <t>ซี่โครงหมูอ่อนหั่นชิ้นอนามัยซีพี</t>
  </si>
  <si>
    <t>ซี่โครงหมูอ่อนหั่นชิ้นอนามัยซีพี-W1000g</t>
  </si>
  <si>
    <t>ซี่โครงหมูหั่นชิ้น</t>
  </si>
  <si>
    <t>ซี่โครงอ่อน</t>
  </si>
  <si>
    <t>ซี่โครงอ่อนสไลด์</t>
  </si>
  <si>
    <t>ซี่โครงอ่อนสไลซ์</t>
  </si>
  <si>
    <t>ซี่โครงอ่อนหมูชีวาสไลซ์ตรายูฟาร์ม</t>
  </si>
  <si>
    <t>ซี่โครงอ่อนหมูชีวาสไลซ์ตรายูฟาร์ม400กรัม</t>
  </si>
  <si>
    <t>เซ่งจี้หมู (ไตหมู) แพ็คถาด กก.ละ</t>
  </si>
  <si>
    <t>ตับหมู</t>
  </si>
  <si>
    <t>ตับ</t>
  </si>
  <si>
    <t>ตับหมู 1 กก.</t>
  </si>
  <si>
    <t>ตับหมู แพ็คถาด กก.ละ</t>
  </si>
  <si>
    <t>ตับหมูชีวา</t>
  </si>
  <si>
    <t>ตับหมูสไลซ์ 1 กก.</t>
  </si>
  <si>
    <t>ตับหมูสไลด์</t>
  </si>
  <si>
    <t>ตับสไลด์</t>
  </si>
  <si>
    <t>ตับหมูสไลซ์</t>
  </si>
  <si>
    <t>ตับสไลซ์</t>
  </si>
  <si>
    <t>ไต</t>
  </si>
  <si>
    <t>ไตหมู</t>
  </si>
  <si>
    <t>น้ำมันหมู</t>
  </si>
  <si>
    <t>เศษหมูบด</t>
  </si>
  <si>
    <t>เนื้อหมูตัดชิ้น</t>
  </si>
  <si>
    <t>เนื้อหมูหั่นแกง</t>
  </si>
  <si>
    <t>หัวไหล่</t>
  </si>
  <si>
    <t>ไหล่</t>
  </si>
  <si>
    <t>เนื้อไหล</t>
  </si>
  <si>
    <t>เนือไหล่</t>
  </si>
  <si>
    <t>ไหล</t>
  </si>
  <si>
    <t>หัวไหล่สไลด์</t>
  </si>
  <si>
    <t>หัวไหล่หมูติดหนังสไลด์</t>
  </si>
  <si>
    <t>ไหล่ติดหนังสไลด์</t>
  </si>
  <si>
    <t>เนื้อไหล่ติดหนังสไลซ์</t>
  </si>
  <si>
    <t>ไหล่ติดหนังสไลซ์</t>
  </si>
  <si>
    <t>เนื้อไหล่หมูตัดชิ้น</t>
  </si>
  <si>
    <t>ไหล่หมูตัดชิ้น</t>
  </si>
  <si>
    <t>หัวไหล่หมูติดหนังหั่นชิ้น</t>
  </si>
  <si>
    <t>หัวไหล่ติดหนังหั่นชิ้น</t>
  </si>
  <si>
    <t>เนื้อไหล่หมูติดหนังหั่นชิ้น</t>
  </si>
  <si>
    <t>ไหล่หมูติดหนังหั่นชิ้น</t>
  </si>
  <si>
    <t>เนื้อไหล่หมูบด</t>
  </si>
  <si>
    <t>ไหล่หมูบด</t>
  </si>
  <si>
    <t>ปอด</t>
  </si>
  <si>
    <t>ปอดหมู</t>
  </si>
  <si>
    <t>พอร์คช็อพ</t>
  </si>
  <si>
    <t>พอร์คชอป</t>
  </si>
  <si>
    <t>พ๊อคชอป</t>
  </si>
  <si>
    <t>พอร์คช็อปชีวา</t>
  </si>
  <si>
    <t>พอร์คช็อปชีวา (ตรา ยูฟาร์ม) 300 กรัม</t>
  </si>
  <si>
    <t>พอร์คชอพตัดสเต็ก</t>
  </si>
  <si>
    <t>พอร์คชอพตัดสเต็ก แพ็คถาด กก. ละ</t>
  </si>
  <si>
    <t>มันตัดเส้น</t>
  </si>
  <si>
    <t>มันเส้น</t>
  </si>
  <si>
    <t>มันสันหลัง</t>
  </si>
  <si>
    <t>มันหมู แพ็คถาด กก.ละ</t>
  </si>
  <si>
    <t>มันหมูตัดเส้น แพ็คถาด 1 กก.</t>
  </si>
  <si>
    <t>มันหมูตัดเส้น แพ็คถาด 500 กรัม</t>
  </si>
  <si>
    <t>มันหมูหั่นชิ้น</t>
  </si>
  <si>
    <t>มันหมูหั่นชิ้น(M)</t>
  </si>
  <si>
    <t>มันหั่นชิ้น</t>
  </si>
  <si>
    <t>มันหั่นเต๋า</t>
  </si>
  <si>
    <t>มันหันเต่า</t>
  </si>
  <si>
    <t>ม้าม</t>
  </si>
  <si>
    <t>ม้ามหมู</t>
  </si>
  <si>
    <t>ลิ้นหมู</t>
  </si>
  <si>
    <t>ลิ้นหมูสด แพ็คถาด กก.ละ</t>
  </si>
  <si>
    <t>เลือดก้อน</t>
  </si>
  <si>
    <t>เลือดหมูต้ม</t>
  </si>
  <si>
    <t>สะโพก</t>
  </si>
  <si>
    <t>สะพก</t>
  </si>
  <si>
    <t>สะโพกหมู</t>
  </si>
  <si>
    <t>สะโพกติดหนัง</t>
  </si>
  <si>
    <t>สะพกติดหนัง</t>
  </si>
  <si>
    <t>สะโพกสไลซ์</t>
  </si>
  <si>
    <t>สะโพกหมู แพ็ค กก.ละ</t>
  </si>
  <si>
    <t>สะโพกหมูชีวา</t>
  </si>
  <si>
    <t>สะโพกหมูตัดชิ้น</t>
  </si>
  <si>
    <t>สะพกหมูตัดชิ้น</t>
  </si>
  <si>
    <t>สะโพกตัดชิ้น</t>
  </si>
  <si>
    <t>สะพกตัดชิ้น</t>
  </si>
  <si>
    <t>สะโพกหมูตัดชิ้น แพ็คถาด กก. ละ</t>
  </si>
  <si>
    <t>สะโพกหมูตัดแต่ง แพ็ค กก.ละ</t>
  </si>
  <si>
    <t>สะโพกหมูตัดเส้น</t>
  </si>
  <si>
    <t>สะโพกตัดเส้น</t>
  </si>
  <si>
    <t>สะโพกหมูแต่งพิเศษ</t>
  </si>
  <si>
    <t>สะโพกแต่งพิเศษ</t>
  </si>
  <si>
    <t>สะโพกหมูพิเศษ</t>
  </si>
  <si>
    <t>สะโพกพิเศษ</t>
  </si>
  <si>
    <t>สะโพกหมูสไลซ์ 1 กก.</t>
  </si>
  <si>
    <t>สะโพกหมูสไลซ์</t>
  </si>
  <si>
    <t>สะโพกหมูสไลด์</t>
  </si>
  <si>
    <t>สันคอหมู</t>
  </si>
  <si>
    <t>สันคอ</t>
  </si>
  <si>
    <t>สันคอตัดชิ้น แพ็คถาด กก.ละ</t>
  </si>
  <si>
    <t>สันคอตัดสเต๊ก แพ็คถาด กก.ละ</t>
  </si>
  <si>
    <t>สันคอสไลซ์</t>
  </si>
  <si>
    <t>สันคอหมูชีวาสไลซ์</t>
  </si>
  <si>
    <t xml:space="preserve">สันคอหมูตัดชิ้น 1 กก. </t>
  </si>
  <si>
    <t>สันคอหมูบั้ง</t>
  </si>
  <si>
    <t>สันคอหมูบั้ง แพ็ค กก.ละ</t>
  </si>
  <si>
    <t>สันคอหมูอนามัยซีพี</t>
  </si>
  <si>
    <t>สันคอหมูอนามัยซีพี-W1000กรัม</t>
  </si>
  <si>
    <t>สันอกหมู</t>
  </si>
  <si>
    <t>สันนอกหมู</t>
  </si>
  <si>
    <t>สันนอก</t>
  </si>
  <si>
    <t>สันนอกตัดชิ้น แพ็คถาด กก.ละ</t>
  </si>
  <si>
    <t>สันนอกตัดสเต๊ก แพ็คถาด กก ละ</t>
  </si>
  <si>
    <t>สันนอกสไลซ์</t>
  </si>
  <si>
    <t>สันนอกหมู แพ็ค กก.ละ</t>
  </si>
  <si>
    <t>สันนอกหมูชีวาสไลซ์</t>
  </si>
  <si>
    <t>สันนอกหมูตัดชิ้น 1 กก.</t>
  </si>
  <si>
    <t>สันนอกหมูตัดชิ้น1 กก. (M)</t>
  </si>
  <si>
    <t>สันนอกหมูสไลซ์ 1 กก</t>
  </si>
  <si>
    <t>สันนอกหมูสไลซ์ 1 กก (M)</t>
  </si>
  <si>
    <t>สันนอกหมูห่อชีท</t>
  </si>
  <si>
    <t>สันนอกหมูห่อชีท กก.ละ</t>
  </si>
  <si>
    <t>สันนอกหมูอนามัยซีพี</t>
  </si>
  <si>
    <t>สันนอกหมูอนามัยซีพี-W1000กรัม</t>
  </si>
  <si>
    <t>สันในหมู</t>
  </si>
  <si>
    <t>สันใน</t>
  </si>
  <si>
    <t>สันในหมู 1 กก.</t>
  </si>
  <si>
    <t>สันใน 1 กก.</t>
  </si>
  <si>
    <t>สันในหมู แพ็คถาด กก. ละ</t>
  </si>
  <si>
    <t>สันในหมูอนามัยซีพี</t>
  </si>
  <si>
    <t>สันในหมูอนามัยซีพี-W1000กรัม</t>
  </si>
  <si>
    <t>สามชั้นหมู</t>
  </si>
  <si>
    <t>สามชั้น</t>
  </si>
  <si>
    <t>สามชั้นแผ่น</t>
  </si>
  <si>
    <t>สามชั้น spec 1</t>
  </si>
  <si>
    <t>สามชั้นTT-spec 1</t>
  </si>
  <si>
    <t>สามชั้นสไลซ์</t>
  </si>
  <si>
    <t>สามชั้นหมูชีวา</t>
  </si>
  <si>
    <t>สามชั้นหมูชีวาสไลซ์</t>
  </si>
  <si>
    <t>สามชั้นหมูตัดเส้น 1 กก.</t>
  </si>
  <si>
    <t>สามชั้นหมูตัดเส้น 1-2 นิ้ว</t>
  </si>
  <si>
    <t>สามชั้นหมูตัดเส้น แพ็คถาด กก. ละ</t>
  </si>
  <si>
    <t>สามชั้นหั่นชิ้น</t>
  </si>
  <si>
    <t>สามชั้นหั่นชิ้น (M)</t>
  </si>
  <si>
    <t xml:space="preserve">สามชั้นหั่นพะโล้ </t>
  </si>
  <si>
    <t>ไส้ขมหมู</t>
  </si>
  <si>
    <t>ไส้ขม</t>
  </si>
  <si>
    <t>ใส้ตัน</t>
  </si>
  <si>
    <t>ไส้ตัน</t>
  </si>
  <si>
    <t>ไส้ตันลวก</t>
  </si>
  <si>
    <t>ไส้ใหญ่</t>
  </si>
  <si>
    <t>ไส้ใหญ่ลวก</t>
  </si>
  <si>
    <t>ไส้ใหญ่หมู แพ็คถาด กก.ละ</t>
  </si>
  <si>
    <t>ไส้อ่อน</t>
  </si>
  <si>
    <t>ไส้อ่อนหมู</t>
  </si>
  <si>
    <t>ไส้อ่อนหมู แพ็คถาด กก.ละ</t>
  </si>
  <si>
    <t>หนังสันหลัง</t>
  </si>
  <si>
    <t>หน้ากาก</t>
  </si>
  <si>
    <t>หน้ากากหมูเผา</t>
  </si>
  <si>
    <t>หน้ากากหมู</t>
  </si>
  <si>
    <t>หมูบดเบอร์ 1</t>
  </si>
  <si>
    <t>หมูบด</t>
  </si>
  <si>
    <t>หมูบดปนมัน 30% แพ็ค กก.</t>
  </si>
  <si>
    <t>หมูบดปนมัน 30%</t>
  </si>
  <si>
    <t>หมูบดและสะโพกหมูชีวาหั่นชิ้น 350 กรัม</t>
  </si>
  <si>
    <t>หมูบดและสันคอหมูชีวาหั่นเต๋า  350 กรัม</t>
  </si>
  <si>
    <t>หมูบดและสามชั้นหมูชีวาหั่นชิ้น 350 กรัม</t>
  </si>
  <si>
    <t>หมูบดอนามัยซีพี</t>
  </si>
  <si>
    <t>หมูบดอนามัยซีพี-W1000กรัม</t>
  </si>
  <si>
    <t>หมูสามชั้นอนามัยซีพี</t>
  </si>
  <si>
    <t>หมูสามชั้นอนามัยซีพี-W1000กรัม</t>
  </si>
  <si>
    <t>หัวใจ</t>
  </si>
  <si>
    <t>หัวใจหมู</t>
  </si>
  <si>
    <t>หัวใจหมู แพ็คถาด กก.ละ</t>
  </si>
  <si>
    <t>หัวติดลิ้น size M</t>
  </si>
  <si>
    <t>หัวไหล่ตัดชิ้น แพ็คถาด กก.ละ</t>
  </si>
  <si>
    <t>หัวไหล่หมู เเพ็ค กก.ละ</t>
  </si>
  <si>
    <t>หางหมูเผา</t>
  </si>
  <si>
    <t>หางหมู</t>
  </si>
  <si>
    <t>หางเผา</t>
  </si>
  <si>
    <t>ไหล่หมูตัดแต่ง แพ็ค กก.ละ</t>
  </si>
  <si>
    <t>CustomerForPlan2</t>
  </si>
  <si>
    <t>ProductForPlan8</t>
  </si>
  <si>
    <t>ProductForPlan10</t>
  </si>
  <si>
    <t>ProductCode</t>
  </si>
  <si>
    <t>ProductNameTha</t>
  </si>
  <si>
    <t>Step</t>
  </si>
  <si>
    <t>เลขสาขา</t>
  </si>
  <si>
    <t>Makro</t>
  </si>
  <si>
    <t>By Product</t>
  </si>
  <si>
    <t>กลุ่มเครื่องในชุด</t>
  </si>
  <si>
    <t>Step2</t>
  </si>
  <si>
    <t>เครื่องใน</t>
  </si>
  <si>
    <t>ไหล่พิเศษ</t>
  </si>
  <si>
    <t>กลุ่มเลือดหมู</t>
  </si>
  <si>
    <t>ต้มเลือด</t>
  </si>
  <si>
    <t>สามชั้นพิเศษ</t>
  </si>
  <si>
    <t>กลุ่มเศษมัน</t>
  </si>
  <si>
    <t>MAKRO 0054 คลองหลวง</t>
  </si>
  <si>
    <t>กลุ่มไต</t>
  </si>
  <si>
    <t>Step1</t>
  </si>
  <si>
    <t>MAKRO 0082 นครนายก</t>
  </si>
  <si>
    <t>กลุ่มไส้ใหญ่</t>
  </si>
  <si>
    <t>Step3</t>
  </si>
  <si>
    <t>ลวก</t>
  </si>
  <si>
    <t>สไลด์</t>
  </si>
  <si>
    <t>เลาะขา</t>
  </si>
  <si>
    <t>กลุ่มไส้ขม</t>
  </si>
  <si>
    <t>กลุ่มไส้ตัน</t>
  </si>
  <si>
    <t>เผาขา</t>
  </si>
  <si>
    <t>บด</t>
  </si>
  <si>
    <t>กลุ่มไส้อ่อน</t>
  </si>
  <si>
    <t>กลุ่มกระเพาะ</t>
  </si>
  <si>
    <t>กลุ่มกระดูกใบพาย</t>
  </si>
  <si>
    <t>กลุ่มกระดูกข้อ</t>
  </si>
  <si>
    <t>กลุ่มกระดูกซุป</t>
  </si>
  <si>
    <t>กลุ่มกระดูกอ่อน</t>
  </si>
  <si>
    <t>กลุ่มขั้วตับ</t>
  </si>
  <si>
    <t>กลุ่มขาหน้า</t>
  </si>
  <si>
    <t>กลุ่มขาหลัง</t>
  </si>
  <si>
    <t>กลุ่มตับ</t>
  </si>
  <si>
    <t>กลุ่มปอด</t>
  </si>
  <si>
    <t>กลุ่มมันแข็ง</t>
  </si>
  <si>
    <t>กลุ่มมันสันหลัง</t>
  </si>
  <si>
    <t>กลุ่มม้าม</t>
  </si>
  <si>
    <t>กลุ่มลิ้นหมู</t>
  </si>
  <si>
    <t>กลุ่มหนัง</t>
  </si>
  <si>
    <t>กลุ่มหน้ากากหมู</t>
  </si>
  <si>
    <t>กลุ่มหัวใจ</t>
  </si>
  <si>
    <t>กลุ่มหัวหมู</t>
  </si>
  <si>
    <t/>
  </si>
  <si>
    <t>เชือด</t>
  </si>
  <si>
    <t>กลุ่มหางหมู</t>
  </si>
  <si>
    <t>Main Product</t>
  </si>
  <si>
    <t>กลุ่มเนื้อไหล่</t>
  </si>
  <si>
    <t>กลุ่มเนื้อสะโพก</t>
  </si>
  <si>
    <t>กลุ่มคอหมูย่าง</t>
  </si>
  <si>
    <t>กลุ่มซี่โครง</t>
  </si>
  <si>
    <t>กลุ่มสันใน</t>
  </si>
  <si>
    <t>กลุ่มสันคอ</t>
  </si>
  <si>
    <t>กลุ่มสันนอก</t>
  </si>
  <si>
    <t>กลุ่มสามชั้น</t>
  </si>
  <si>
    <t>กลุ่มหมูบด</t>
  </si>
  <si>
    <t>Ready To Eat</t>
  </si>
  <si>
    <t>กลุ่มมันเปลว</t>
  </si>
  <si>
    <t>โอน</t>
  </si>
  <si>
    <t>ชุดหมูรวม (บด/หั่นแกง) 900 กรัม</t>
  </si>
  <si>
    <t>หน้ากากหมูหั่นชิ้น(M)</t>
  </si>
  <si>
    <t>31/03/2569</t>
  </si>
  <si>
    <t>H6954RMA0038591</t>
  </si>
  <si>
    <t>2026-03-31-11.01.27.000000</t>
  </si>
  <si>
    <t>H6954RMA0040495</t>
  </si>
  <si>
    <t>2026-04-03-16.41.57.000000</t>
  </si>
  <si>
    <t>H6954RMA0040579</t>
  </si>
  <si>
    <t>2026-04-03-17.21.51.000000</t>
  </si>
  <si>
    <t>H6954RMA0040636</t>
  </si>
  <si>
    <t>H6954RMA0040655</t>
  </si>
  <si>
    <t>H6954RMA0040800</t>
  </si>
  <si>
    <t>H6954RMA0041012</t>
  </si>
  <si>
    <t>2026-04-03-18.11.49.000000</t>
  </si>
  <si>
    <t>H6954RMA0041070</t>
  </si>
  <si>
    <t>H6954RMA0041098</t>
  </si>
  <si>
    <t>1A53008300</t>
  </si>
  <si>
    <t>บมจ. ซีพี แอ็กซ์ตร้า สาขานครนายก</t>
  </si>
  <si>
    <t>H6954RMA0041294</t>
  </si>
  <si>
    <t>H6954RMA0041298</t>
  </si>
  <si>
    <t>H6954RMA0042093</t>
  </si>
  <si>
    <t>เบญจวรรณ บำรุงสิน</t>
  </si>
  <si>
    <t>2026-04-03-18.37.32.000000</t>
  </si>
  <si>
    <t>H6954RMA0042125</t>
  </si>
  <si>
    <t>H6954RMA0042137</t>
  </si>
  <si>
    <t>H6954RMA0042261</t>
  </si>
  <si>
    <t>H6954RMA0042322</t>
  </si>
  <si>
    <t>H6954RMA0042529</t>
  </si>
  <si>
    <t>H6954RMA0042579</t>
  </si>
  <si>
    <t>2026-04-03-19.15.02.000000</t>
  </si>
  <si>
    <t>H6954RMA0043028</t>
  </si>
  <si>
    <t>สาวิตรี เตมียะ</t>
  </si>
  <si>
    <t>2026-04-03-20.10.49.000000</t>
  </si>
  <si>
    <t>H6954RMA0043211</t>
  </si>
  <si>
    <t>ศศิธร จักพุดซา</t>
  </si>
  <si>
    <t>2026-04-03-20.17.24.000000</t>
  </si>
  <si>
    <t>H6954RMA0044170</t>
  </si>
  <si>
    <t>2026-04-03-20.42.29.000000</t>
  </si>
  <si>
    <t>H6954RMA0044948</t>
  </si>
  <si>
    <t>2026-04-07-11.22.43.000000</t>
  </si>
  <si>
    <t>H6954RMA0045430</t>
  </si>
  <si>
    <t>2026-04-07-15.34.49.000000</t>
  </si>
  <si>
    <t>H6954RMA0045689</t>
  </si>
  <si>
    <t>H6954RMA0045990</t>
  </si>
  <si>
    <t>H6954RMA0046122</t>
  </si>
  <si>
    <t>2026-04-08-10.51.00.000000</t>
  </si>
  <si>
    <t>SO ในระบบ</t>
  </si>
  <si>
    <t>SO แก้เอง</t>
  </si>
  <si>
    <t>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</si>
</sst>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theme="9"/>
      </patternFill>
    </fill>
    <fill>
      <patternFill patternType="solid">
        <fgColor theme="9" tint="0.59999389629810485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4" fontId="2" fillId="0" borderId="0" applyFont="0" applyFill="0" applyBorder="0" applyAlignment="0" applyProtection="0"/>
  </cellStyleXfs>
  <cellXfs count="5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17" fillId="0" borderId="0" xfId="0" pivotButton="1" applyFont="1"/>
    <xf numFmtId="0" fontId="17" fillId="0" borderId="0" xfId="0" applyFont="1" applyAlignment="1">
      <alignment horizontal="left"/>
    </xf>
    <xf numFmtId="0" fontId="17" fillId="33" borderId="0" xfId="0" applyFont="1" applyFill="1"/>
    <xf numFmtId="0" fontId="17" fillId="34" borderId="0" xfId="0" applyFont="1" applyFill="1"/>
    <xf numFmtId="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4" borderId="0" xfId="0" applyFill="1"/>
    <xf numFmtId="0" fontId="0" fillId="37" borderId="0" xfId="0" applyFill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8" borderId="12" xfId="0" applyFill="1" applyBorder="1" applyAlignment="1">
      <alignment horizontal="left"/>
    </xf>
    <xf numFmtId="0" fontId="0" fillId="38" borderId="12" xfId="0" applyFill="1" applyBorder="1" applyAlignment="1">
      <alignment horizontal="center"/>
    </xf>
    <xf numFmtId="14" fontId="0" fillId="34" borderId="0" xfId="0" applyNumberFormat="1" applyFill="1"/>
    <xf numFmtId="49" fontId="0" fillId="0" borderId="0" xfId="0" applyNumberFormat="1"/>
    <xf numFmtId="1" fontId="0" fillId="0" borderId="0" xfId="42" applyNumberFormat="1" applyFont="1"/>
    <xf numFmtId="0" fontId="0" fillId="0" borderId="0" xfId="0" quotePrefix="1" applyAlignment="1">
      <alignment horizontal="center"/>
    </xf>
    <xf numFmtId="0" fontId="0" fillId="36" borderId="0" xfId="0" applyFill="1" applyAlignment="1">
      <alignment horizontal="center"/>
    </xf>
    <xf numFmtId="0" fontId="0" fillId="36" borderId="0" xfId="0" applyFill="1"/>
    <xf numFmtId="0" fontId="0" fillId="38" borderId="13" xfId="0" applyFill="1" applyBorder="1" applyAlignment="1">
      <alignment horizontal="left"/>
    </xf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19" fillId="33" borderId="0" xfId="0" applyFont="1" applyFill="1"/>
    <xf numFmtId="0" fontId="20" fillId="0" borderId="0" xfId="0" applyFont="1" applyAlignment="1">
      <alignment horizontal="center"/>
    </xf>
    <xf numFmtId="0" fontId="0" fillId="34" borderId="12" xfId="0" applyFill="1" applyBorder="1" applyAlignment="1">
      <alignment horizontal="center"/>
    </xf>
    <xf numFmtId="0" fontId="17" fillId="41" borderId="10" xfId="0" applyFont="1" applyFill="1" applyBorder="1"/>
    <xf numFmtId="0" fontId="17" fillId="42" borderId="11" xfId="0" applyFont="1" applyFill="1" applyBorder="1"/>
    <xf numFmtId="0" fontId="0" fillId="43" borderId="12" xfId="0" applyFill="1" applyBorder="1" applyAlignment="1">
      <alignment horizontal="center"/>
    </xf>
    <xf numFmtId="0" fontId="22" fillId="0" borderId="0" xfId="0" applyFont="1"/>
    <xf numFmtId="14" fontId="22" fillId="0" borderId="0" xfId="0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5" borderId="0" xfId="0" applyFill="1"/>
    <xf numFmtId="0" fontId="0" fillId="46" borderId="0" xfId="0" applyFill="1"/>
    <xf numFmtId="0" fontId="0" fillId="46" borderId="0" xfId="0" applyFill="1" applyAlignment="1">
      <alignment horizontal="center"/>
    </xf>
    <xf numFmtId="0" fontId="0" fillId="44" borderId="12" xfId="0" applyFill="1" applyBorder="1" applyAlignment="1">
      <alignment horizontal="center"/>
    </xf>
    <xf numFmtId="0" fontId="0" fillId="47" borderId="0" xfId="0" applyFill="1"/>
    <xf numFmtId="14" fontId="0" fillId="47" borderId="0" xfId="0" applyNumberFormat="1" applyFill="1"/>
    <xf numFmtId="1" fontId="0" fillId="47" borderId="0" xfId="42" applyNumberFormat="1" applyFont="1" applyFill="1"/>
    <xf numFmtId="0" fontId="21" fillId="40" borderId="14" xfId="0" applyFont="1" applyFill="1" applyBorder="1" applyAlignment="1">
      <alignment horizontal="center"/>
    </xf>
    <xf numFmtId="0" fontId="20" fillId="0" borderId="14" xfId="0" applyFont="1" applyBorder="1"/>
    <xf numFmtId="0" fontId="21" fillId="35" borderId="15" xfId="0" applyFont="1" applyFill="1" applyBorder="1" applyAlignment="1">
      <alignment horizontal="left"/>
    </xf>
    <xf numFmtId="0" fontId="21" fillId="40" borderId="16" xfId="0" applyFont="1" applyFill="1" applyBorder="1" applyAlignment="1">
      <alignment horizontal="center"/>
    </xf>
    <xf numFmtId="0" fontId="20" fillId="0" borderId="15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6" xfId="0" applyFont="1" applyBorder="1"/>
    <xf numFmtId="14" fontId="17" fillId="0" borderId="0" xfId="0" applyNumberFormat="1" applyFont="1"/>
    <xf numFmtId="0" fontId="0" fillId="36" borderId="12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fgColor rgb="FFFFC000"/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D8BEEC"/>
        </patternFill>
      </fill>
    </dxf>
    <dxf>
      <fill>
        <patternFill>
          <bgColor rgb="FFD8BEE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fgColor rgb="FFFFC000"/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D8BEEC"/>
        </patternFill>
      </fill>
    </dxf>
    <dxf>
      <fill>
        <patternFill>
          <bgColor rgb="FFD8BEEC"/>
        </patternFill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D8BEEC"/>
      <color rgb="FFD8C2F0"/>
      <color rgb="FFC5A5E9"/>
      <color rgb="FFFACC06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microsoft.com/office/2017/06/relationships/rdArray" Target="richData/rdarray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microsoft.com/office/2017/06/relationships/rdSupportingPropertyBag" Target="richData/rdsupporting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" Target="richData/rdrichvalue.xml"/><Relationship Id="rId30" Type="http://schemas.microsoft.com/office/2017/06/relationships/rdSupportingPropertyBagStructure" Target="richData/rdsupportingpropertybagstructure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6155.507524884262" createdVersion="8" refreshedVersion="8" minRefreshableVersion="3" recordCount="502" xr:uid="{6C0EF9D1-0421-4162-B11F-34095EDC15CD}">
  <cacheSource type="worksheet">
    <worksheetSource ref="A1:BN5002" sheet="Mk หลังแก้"/>
  </cacheSource>
  <cacheFields count="66">
    <cacheField name="rDate1" numFmtId="0">
      <sharedItems containsBlank="1" containsMixedTypes="1" containsNumber="1" containsInteger="1" minValue="0" maxValue="0"/>
    </cacheField>
    <cacheField name="rDate2" numFmtId="0">
      <sharedItems containsString="0" containsBlank="1" containsNumber="1" containsInteger="1" minValue="0" maxValue="0"/>
    </cacheField>
    <cacheField name="rRDate1" numFmtId="14">
      <sharedItems containsDate="1" containsBlank="1" containsMixedTypes="1" minDate="1899-12-30T00:00:00" maxDate="1899-12-31T00:00:00"/>
    </cacheField>
    <cacheField name="rRDate2" numFmtId="14">
      <sharedItems containsDate="1" containsBlank="1" containsMixedTypes="1" minDate="1899-12-30T00:00:00" maxDate="1899-12-31T00:00:00"/>
    </cacheField>
    <cacheField name="rRDate3" numFmtId="0">
      <sharedItems containsString="0" containsBlank="1" containsNumber="1" containsInteger="1" minValue="0" maxValue="0"/>
    </cacheField>
    <cacheField name="rOper_code" numFmtId="0">
      <sharedItems containsBlank="1" containsMixedTypes="1" containsNumber="1" containsInteger="1" minValue="0" maxValue="0"/>
    </cacheField>
    <cacheField name="rOper_name" numFmtId="0">
      <sharedItems containsBlank="1" containsMixedTypes="1" containsNumber="1" containsInteger="1" minValue="0" maxValue="0" count="3">
        <s v="Modern Trade (Makro)"/>
        <n v="0"/>
        <m/>
      </sharedItems>
    </cacheField>
    <cacheField name="rSub_oper" numFmtId="0">
      <sharedItems containsString="0" containsBlank="1" containsNumber="1" containsInteger="1" minValue="0" maxValue="0"/>
    </cacheField>
    <cacheField name="rSub_name" numFmtId="0">
      <sharedItems containsBlank="1" containsMixedTypes="1" containsNumber="1" containsInteger="1" minValue="0" maxValue="0"/>
    </cacheField>
    <cacheField name="rWarehouse" numFmtId="0">
      <sharedItems containsBlank="1" containsMixedTypes="1" containsNumber="1" containsInteger="1" minValue="0" maxValue="0"/>
    </cacheField>
    <cacheField name="rSub_warehouse" numFmtId="0">
      <sharedItems containsBlank="1" containsMixedTypes="1" containsNumber="1" containsInteger="1" minValue="0" maxValue="0"/>
    </cacheField>
    <cacheField name="rBst_code" numFmtId="0">
      <sharedItems containsString="0" containsBlank="1" containsNumber="1" containsInteger="1" minValue="0" maxValue="923" count="3">
        <n v="923"/>
        <n v="0"/>
        <m/>
      </sharedItems>
    </cacheField>
    <cacheField name="rBst_name" numFmtId="0">
      <sharedItems containsString="0" containsBlank="1" containsNumber="1" containsInteger="1" minValue="0" maxValue="0"/>
    </cacheField>
    <cacheField name="rCv_code" numFmtId="0">
      <sharedItems containsBlank="1" containsMixedTypes="1" containsNumber="1" containsInteger="1" minValue="0" maxValue="0"/>
    </cacheField>
    <cacheField name="rCv_name" numFmtId="0">
      <sharedItems containsBlank="1" containsMixedTypes="1" containsNumber="1" containsInteger="1" minValue="0" maxValue="0"/>
    </cacheField>
    <cacheField name="rShip_to" numFmtId="0">
      <sharedItems containsString="0" containsBlank="1" containsNumber="1" containsInteger="1" minValue="0" maxValue="2"/>
    </cacheField>
    <cacheField name="rShip_name" numFmtId="0">
      <sharedItems containsBlank="1" containsMixedTypes="1" containsNumber="1" containsInteger="1" minValue="0" maxValue="0" count="9">
        <s v="MAKRO 0164 สาขาชัยนาท"/>
        <s v="MAKRO 0083 นครอินทร์"/>
        <s v="MAKRO 0114 สิงห์บุรี"/>
        <s v="MAKRO 0038 สระบุรี"/>
        <s v="MAKRO 0047 ลพบุรี"/>
        <s v="MAKRO 0051 อยุธยา"/>
        <s v="MAKRO 0096 ทาวน์ อิน ทาวน์"/>
        <n v="0"/>
        <m/>
      </sharedItems>
    </cacheField>
    <cacheField name="rDoc_date" numFmtId="14">
      <sharedItems containsNonDate="0" containsDate="1" containsString="0" containsBlank="1" minDate="1899-12-30T00:00:00" maxDate="2569-12-06T00:00:00"/>
    </cacheField>
    <cacheField name="rReq_date" numFmtId="14">
      <sharedItems containsDate="1" containsBlank="1" containsMixedTypes="1" minDate="1899-12-30T00:00:00" maxDate="2569-10-05T00:00:00" count="4">
        <s v="14/5/2569"/>
        <d v="1899-12-30T00:00:00"/>
        <m/>
        <d v="2569-10-04T00:00:00" u="1"/>
      </sharedItems>
    </cacheField>
    <cacheField name="rDoc_number" numFmtId="0">
      <sharedItems containsBlank="1" containsMixedTypes="1" containsNumber="1" containsInteger="1" minValue="0" maxValue="0" count="16">
        <s v="H6954RMA0058184"/>
        <s v="H6954RMA0059103"/>
        <s v="H6954RMA0059110"/>
        <s v="H6954RMA0059184"/>
        <s v="H6954RMA0059202"/>
        <s v="H6954RMA0059205"/>
        <s v="H6954RMA0059232"/>
        <s v="H6954RMA0059255"/>
        <s v="H6954RMA0059669"/>
        <s v="H6954RMA0059671"/>
        <s v="H6954RMA0059681"/>
        <s v="H6954RMA0059701"/>
        <s v="H6954RMA0059738"/>
        <s v="H6954RMA0059841"/>
        <n v="0"/>
        <m/>
      </sharedItems>
    </cacheField>
    <cacheField name="rProduct_code" numFmtId="0">
      <sharedItems containsString="0" containsBlank="1" containsNumber="1" containsInteger="1" minValue="0" maxValue="23111038" count="133">
        <n v="23057821"/>
        <n v="23057812"/>
        <n v="23065143"/>
        <n v="23109326"/>
        <n v="23062101"/>
        <n v="23058556"/>
        <n v="23073188"/>
        <n v="23088036"/>
        <n v="23098991"/>
        <n v="23062105"/>
        <n v="23058551"/>
        <n v="23062095"/>
        <n v="23058555"/>
        <n v="23062967"/>
        <n v="23105753"/>
        <n v="23058584"/>
        <n v="23000206"/>
        <n v="23057824"/>
        <n v="23058552"/>
        <n v="23066879"/>
        <n v="23088112"/>
        <n v="23088348"/>
        <n v="23105751"/>
        <n v="23104868"/>
        <n v="23058587"/>
        <n v="23058586"/>
        <n v="23057809"/>
        <n v="23062111"/>
        <n v="23067590"/>
        <n v="23062107"/>
        <n v="23058585"/>
        <n v="23058588"/>
        <n v="23063759"/>
        <n v="23087034"/>
        <n v="23086658"/>
        <n v="23062103"/>
        <n v="23065140"/>
        <n v="23105702"/>
        <n v="23105754"/>
        <n v="23065142"/>
        <n v="23065141"/>
        <n v="23098995"/>
        <n v="23058589"/>
        <n v="23058591"/>
        <n v="23075089"/>
        <n v="23058590"/>
        <n v="23057818"/>
        <n v="23057815"/>
        <n v="23058553"/>
        <n v="23062097"/>
        <n v="23097791"/>
        <n v="23097783"/>
        <n v="23109359"/>
        <n v="23109357"/>
        <n v="23109351"/>
        <n v="23097788"/>
        <n v="23109358"/>
        <n v="23109532"/>
        <n v="23097793"/>
        <n v="23109352"/>
        <n v="23109353"/>
        <n v="23097790"/>
        <n v="23097787"/>
        <n v="23097797"/>
        <n v="23110588"/>
        <n v="23110595"/>
        <n v="23098986"/>
        <n v="23110619"/>
        <n v="23110600"/>
        <n v="23110596"/>
        <n v="23111028"/>
        <n v="23097784"/>
        <n v="23097789"/>
        <n v="23110593"/>
        <n v="23110584"/>
        <n v="23111035"/>
        <n v="23110597"/>
        <n v="23111038"/>
        <n v="23111030"/>
        <n v="23111031"/>
        <n v="23110624"/>
        <n v="23111037"/>
        <n v="23111036"/>
        <n v="23111029"/>
        <n v="23110587"/>
        <n v="23097796"/>
        <n v="23111033"/>
        <n v="23110590"/>
        <n v="23110631"/>
        <n v="23097792"/>
        <n v="23111034"/>
        <n v="23110589"/>
        <n v="23110623"/>
        <n v="23068390"/>
        <n v="23108462"/>
        <n v="23015265"/>
        <n v="23057827"/>
        <n v="23066875"/>
        <n v="23087679"/>
        <n v="23047038"/>
        <n v="23098989"/>
        <n v="23105752"/>
        <n v="23093507"/>
        <n v="23071884"/>
        <n v="23073308"/>
        <n v="23074624"/>
        <n v="23070475"/>
        <n v="23074625"/>
        <n v="23074626"/>
        <n v="23074627"/>
        <n v="23015198"/>
        <n v="23106549"/>
        <n v="23098990"/>
        <n v="23105820"/>
        <n v="23071881"/>
        <n v="23084674"/>
        <n v="23083450"/>
        <n v="23071882"/>
        <n v="0"/>
        <m/>
        <n v="23097795" u="1"/>
        <n v="23097785" u="1"/>
        <n v="23097794" u="1"/>
        <n v="23025326" u="1"/>
        <n v="23074622" u="1"/>
        <n v="23074623" u="1"/>
        <n v="23025320" u="1"/>
        <n v="23025323" u="1"/>
        <n v="23000130" u="1"/>
        <n v="23015268" u="1"/>
        <n v="23088111" u="1"/>
        <n v="23105755" u="1"/>
        <n v="23110630" u="1"/>
      </sharedItems>
    </cacheField>
    <cacheField name="rProduct_name" numFmtId="0">
      <sharedItems containsBlank="1" containsMixedTypes="1" containsNumber="1" containsInteger="1" minValue="0" maxValue="0" count="120">
        <s v="สันคอ(M)"/>
        <s v="สะโพก(M)"/>
        <s v="สามชั้นสไลด์"/>
        <s v="ขาหมูเผาเลาะติดหนัง กก.ละ"/>
        <s v="หางหมูเผา(M)"/>
        <s v="กระเพาะลวก (M)"/>
        <s v="กระดูกอก(M)"/>
        <s v="เนื้อไหล่หมูติดหนังหั่นชิ้น(M)"/>
        <s v="พอร์คชอพตัดสเต็ก กก.ละ"/>
        <s v="ไส้ตันลวก(M)"/>
        <s v="คอหมูย่าง (M)"/>
        <s v="หน้ากากหมูเผา(M)"/>
        <s v="กระดูกซุป (M)"/>
        <s v="หมูบดเบอร์ 1(1 กก.)"/>
        <s v="เซพแพ็ค สะโพกหมู กก.ละ"/>
        <s v="ตับหมู (M)"/>
        <s v="ชิ้นมันคอ"/>
        <s v="สามชั้น(M)"/>
        <s v="มันสันหลัง (M)"/>
        <s v="กระดูกอ่อน(M)"/>
        <s v="เครื่องในหมูรวมหั่นชิ้น (M)"/>
        <s v="ขาหมูเผาเลาะกระดูกหั่นชิ้นSpec-1(M)"/>
        <s v="เซพแพ็ค หัวไหล่หมู กก.ละ"/>
        <s v="เนื้อหมูตัดชิ้น(M)"/>
        <s v="หัวใจหมู (M)"/>
        <s v="ไต (M)"/>
        <s v="เนื้อไหล่(M)"/>
        <s v="ปอด(M)"/>
        <s v="ขาหน้าเผา (M)"/>
        <s v="เลือดก้อน(M)"/>
        <s v="ขั้วตับ (M)"/>
        <s v="ม้าม (M)"/>
        <s v="ขาหลังเผา(M)"/>
        <s v="สะโพกหมูตัดเส้น(M)"/>
        <s v="เนื้อไหล่ติดหนังสไลด์"/>
        <s v="กระเพาะหมู(M)"/>
        <s v="สะโพกสไลด์"/>
        <s v="หมูบดปนมัน 30%(M)"/>
        <s v="เซพแพ็ค สามชั้นหมู กก.ละ"/>
        <s v="สันคอสไลด์"/>
        <s v="สันนอกสไลด์"/>
        <s v="มันหั่นเต๋า กก ละ"/>
        <s v="ไส้อ่อน (M)"/>
        <s v="กระดูกข้อ(คาตั๊ง) (M)"/>
        <s v="มันตัดเส้น(M)"/>
        <s v="ไส้ใหญ่(ลวก) (M)"/>
        <s v="สันใน(M)"/>
        <s v="สันนอก(M)"/>
        <s v="หนังสันหลัง (M)"/>
        <s v="ลิ้นหมู(M)"/>
        <s v="สันในหมู 1 กก. (M)"/>
        <s v="เนื้อไหล่หมูบด 1 กก. (M)"/>
        <s v="หมูชีวาบด (ตรา ยูฟาร์ม) 400 กรัม"/>
        <s v="สะโพกหมูชีวา (ตรา ยูฟาร์ม) 400 กรัม"/>
        <s v="สามชั้นหมูชีวาสไลซ์(ตรา ยูฟาร์ม)250 กรัม"/>
        <s v="ตับหมู 1 กก. (M)"/>
        <s v="สามชั้นหมูชีวา (ตรา ยูฟาร์ม) 400 กรัม"/>
        <s v="ตับหมูชีวา 400 กรัม"/>
        <s v="สันคอหมูสไลซ์ 1 กก. (M)"/>
        <s v="สันนอกหมูชีวาสไลซ์(ตรา ยูฟาร์ม) 250 กรัม"/>
        <s v="สันคอหมูชีวาสไลซ์(ตรา ยูฟาร์ม) 250 กรัม"/>
        <s v="สะโพกหมูสไลซ์ 1 กก. (M)"/>
        <s v="ตับหมูสไลซ์ 1 กก. (M)"/>
        <s v="สามชั้นหมูสไลซ์ 1 กก. (M)"/>
        <s v="สะโพกหมูหั่นแดดเดียว แพ็ค 1 กก."/>
        <s v="สามชั้นหมูสดสไลซ์ แพ็คถาด 1 กก."/>
        <s v="เนื้อหมูหั่นแกง แพ็ค 1 กก."/>
        <s v="มันหมูหั่นเต๋า แพ็คถาด 500 กรัม"/>
        <s v="สันคอหมูสดสไลซ์ แพ็คถาด 1 กก."/>
        <s v="สามชั้นหมูหั่นแกง แพ็คถาด 1 กก."/>
        <s v="หมูบด ผสมมัน 30% แพ็คถาด 500 กรัม"/>
        <s v="เนื้อไหล่หมูตัดชิ้น 1 กก. (M)"/>
        <s v="สะโพกหมูตัดชิ้น 1 กก. (M)"/>
        <s v="สันนอกหมูสดสไลซ์ แพ็คถาด 1 กก."/>
        <s v="หมูบด ผสมมัน 30% แพ็คถาด 1 กก."/>
        <s v="สันนอกหมูสดสไลซ์ แพ็คถาด 500 กรัม"/>
        <s v="สามชั้นหั่นพะโล้ แพ็คถาด 1 กก."/>
        <s v="สามชั้นหมูหั่นแกง แพ็คถาด 500 กรัม"/>
        <s v="สะโพกหมูหั่นแดดเดียวแพ็คถาด 500 กรัม"/>
        <s v="สามชั้นหั่นพะโล้ แพ็คถาด 500 กรัม"/>
        <s v="เครื่องในหมูรวม แพ็คถาด 500 กรัม"/>
        <s v="หมูบด ผสมมัน 10% แพ็คถาด 500 กรัม"/>
        <s v="สะโพกหมูสไลซ์ แพ็คถาด 500 กรัม"/>
        <s v="เนื้อหมูหั่นแกง แพ็คถาด 500 กรัม"/>
        <s v="สะโพกหมูสไลซ์ แพ็คถาด 1 กก."/>
        <s v="สามชั้นหมูตัดเส้น 1 กก. (M)"/>
        <s v="สามชั้นหมูสดสไลซ์แพ็คถาด 500 กรัม"/>
        <s v="หมูบด ผสมมัน 10% แพ็คถาด 1 กก."/>
        <s v="ชุดหมูสไลซ์รวม 1500 กรัม"/>
        <s v="สันคอหมูตัดชิ้น 1 กก. (M)"/>
        <s v="สันคอหมูสดสไลซ์ แพ็คถาด 500 กรัม"/>
        <s v="เนื้อหมูหั่นแกง แพ็คถาด 1 กก."/>
        <s v="หน้ากากหมูหั่นชิ้น แพ็คถาด 500 กรัม"/>
        <s v="กระดูกซุปติดเนื้อพิเศษ(M)"/>
        <s v="หมูบดปนมัน 30% แพ็ค กก.(M)"/>
        <s v="ซี่โครงหั่นชิ้น"/>
        <s v="ซี่โครง(M)"/>
        <s v="ไส้ขม(M)"/>
        <s v="หนังหมูรวม(M)"/>
        <s v="หมุบดเบอร์ 1"/>
        <s v="ขาหมูเผาหั่นชิ้น กก.ละ(M)"/>
        <s v="เซพแพ็ค สันนอกหมู กก. ละ"/>
        <s v="ไส้ตันหมู กก.ละ"/>
        <s v="ตับหมูสไลด์ (M)"/>
        <s v="สามชั้นหมูตัดเส้น 1-2 นิ้ว(M)"/>
        <s v="เนื้อไหล่หมูตัดชิ้น (M)"/>
        <s v="สามชั้นหมูตัดเส้น 3-4 นิ้ว"/>
        <s v="สะโพกหมูตัดชิ้น (M)"/>
        <s v="สันคอหมูตัดชิ้น (M)"/>
        <s v="สันนอกหมูตัดชิ้น (M)"/>
        <s v="พอร์คช็อป"/>
        <s v="สะโพกหมูแต่งพิเศษ(แยกกล้ามเนื้อ)Spec7(M)"/>
        <s v="สามชั้นหั่นพะโล้ กก.ละ"/>
        <s v="สะโพกหมูสไลซ์(M)"/>
        <s v="หมูบด (M)"/>
        <s v="เลือดหมูก้อนปรุงรสพาสเจอร์ไรซ์400กรัม-C"/>
        <s v="น้ำมันหมู (ตรา ซีพี)"/>
        <s v="ซี่โครงหมูสไลด์รวม (M)"/>
        <n v="0"/>
        <m/>
      </sharedItems>
    </cacheField>
    <cacheField name="rStock_qty" numFmtId="0">
      <sharedItems containsString="0" containsBlank="1" containsNumber="1" minValue="0" maxValue="400"/>
    </cacheField>
    <cacheField name="rStock_wgt" numFmtId="0">
      <sharedItems containsString="0" containsBlank="1" containsNumber="1" minValue="0" maxValue="400"/>
    </cacheField>
    <cacheField name="rPlan_qty" numFmtId="0">
      <sharedItems containsString="0" containsBlank="1" containsNumber="1" minValue="0" maxValue="400"/>
    </cacheField>
    <cacheField name="rPlan_wgt" numFmtId="0">
      <sharedItems containsString="0" containsBlank="1" containsNumber="1" minValue="0" maxValue="400"/>
    </cacheField>
    <cacheField name="rDiff_stock_qty_plan" numFmtId="0">
      <sharedItems containsString="0" containsBlank="1" containsNumber="1" containsInteger="1" minValue="0" maxValue="0"/>
    </cacheField>
    <cacheField name="rDiff_stock_wgt_plan" numFmtId="0">
      <sharedItems containsString="0" containsBlank="1" containsNumber="1" minValue="-4.0000000000000003E-5" maxValue="0"/>
    </cacheField>
    <cacheField name="rAllocate_stock_qty" numFmtId="0">
      <sharedItems containsString="0" containsBlank="1" containsNumber="1" containsInteger="1" minValue="0" maxValue="0"/>
    </cacheField>
    <cacheField name="rAllocate_stock_wgt" numFmtId="0">
      <sharedItems containsString="0" containsBlank="1" containsNumber="1" containsInteger="1" minValue="0" maxValue="0"/>
    </cacheField>
    <cacheField name="rDiff_stock_qty" numFmtId="0">
      <sharedItems containsString="0" containsBlank="1" containsNumber="1" minValue="0" maxValue="400"/>
    </cacheField>
    <cacheField name="rDiff_stock_wgt" numFmtId="0">
      <sharedItems containsString="0" containsBlank="1" containsNumber="1" minValue="0" maxValue="400"/>
    </cacheField>
    <cacheField name="rPlan_byquota_qty" numFmtId="0">
      <sharedItems containsString="0" containsBlank="1" containsNumber="1" containsInteger="1" minValue="0" maxValue="0"/>
    </cacheField>
    <cacheField name="rPlan_byquota_wgt" numFmtId="0">
      <sharedItems containsString="0" containsBlank="1" containsNumber="1" containsInteger="1" minValue="0" maxValue="0"/>
    </cacheField>
    <cacheField name="rBreak" numFmtId="0">
      <sharedItems containsBlank="1" containsMixedTypes="1" containsNumber="1" containsInteger="1" minValue="0" maxValue="0"/>
    </cacheField>
    <cacheField name="rEntry_type" numFmtId="0">
      <sharedItems containsBlank="1" containsMixedTypes="1" containsNumber="1" containsInteger="1" minValue="0" maxValue="0"/>
    </cacheField>
    <cacheField name="rProduct_group_code1" numFmtId="0">
      <sharedItems containsBlank="1" containsMixedTypes="1" containsNumber="1" containsInteger="1" minValue="0" maxValue="0"/>
    </cacheField>
    <cacheField name="rProduct_group_code2" numFmtId="0">
      <sharedItems containsBlank="1" containsMixedTypes="1" containsNumber="1" containsInteger="1" minValue="0" maxValue="0" count="6">
        <s v="Bulk Normal"/>
        <s v="Seal Pack"/>
        <n v="0"/>
        <s v="Wrap"/>
        <s v="CP Brand(ซอง)"/>
        <m/>
      </sharedItems>
    </cacheField>
    <cacheField name="rProduct_group_dim1" numFmtId="0">
      <sharedItems containsBlank="1" containsMixedTypes="1" containsNumber="1" containsInteger="1" minValue="0" maxValue="0"/>
    </cacheField>
    <cacheField name="rCv_channel" numFmtId="0">
      <sharedItems containsBlank="1" containsMixedTypes="1" containsNumber="1" containsInteger="1" minValue="0" maxValue="0"/>
    </cacheField>
    <cacheField name="rCV_FLAG1" numFmtId="0">
      <sharedItems containsBlank="1" containsMixedTypes="1" containsNumber="1" containsInteger="1" minValue="0" maxValue="0"/>
    </cacheField>
    <cacheField name="rCV_FLAG2" numFmtId="0">
      <sharedItems containsString="0" containsBlank="1" containsNumber="1" containsInteger="1" minValue="0" maxValue="20"/>
    </cacheField>
    <cacheField name="rCV_FLAG3" numFmtId="0">
      <sharedItems containsString="0" containsBlank="1" containsNumber="1" containsInteger="1" minValue="0" maxValue="1"/>
    </cacheField>
    <cacheField name="rCV_FLAG4" numFmtId="0">
      <sharedItems containsString="0" containsBlank="1" containsNumber="1" containsInteger="1" minValue="0" maxValue="0"/>
    </cacheField>
    <cacheField name="rCV_FLAG5" numFmtId="0">
      <sharedItems containsString="0" containsBlank="1" containsNumber="1" containsInteger="1" minValue="0" maxValue="0"/>
    </cacheField>
    <cacheField name="rOwner_so" numFmtId="0">
      <sharedItems containsBlank="1" containsMixedTypes="1" containsNumber="1" containsInteger="1" minValue="0" maxValue="0"/>
    </cacheField>
    <cacheField name="rCreate_date_so" numFmtId="0">
      <sharedItems containsBlank="1" containsMixedTypes="1" containsNumber="1" containsInteger="1" minValue="0" maxValue="0"/>
    </cacheField>
    <cacheField name="rUm_stock_qty" numFmtId="0">
      <sharedItems containsBlank="1" containsMixedTypes="1" containsNumber="1" containsInteger="1" minValue="0" maxValue="0"/>
    </cacheField>
    <cacheField name="rUm_stock_wgt" numFmtId="0">
      <sharedItems containsBlank="1" containsMixedTypes="1" containsNumber="1" containsInteger="1" minValue="0" maxValue="0"/>
    </cacheField>
    <cacheField name="rArea" numFmtId="0">
      <sharedItems containsBlank="1" containsMixedTypes="1" containsNumber="1" containsInteger="1" minValue="0" maxValue="0"/>
    </cacheField>
    <cacheField name="nShow_area" numFmtId="0">
      <sharedItems containsString="0" containsBlank="1" containsNumber="1" containsInteger="1" minValue="0" maxValue="0"/>
    </cacheField>
    <cacheField name="rModel" numFmtId="0">
      <sharedItems containsBlank="1" containsMixedTypes="1" containsNumber="1" containsInteger="1" minValue="0" maxValue="0"/>
    </cacheField>
    <cacheField name="rPO_no" numFmtId="0">
      <sharedItems containsString="0" containsBlank="1" containsNumber="1" containsInteger="1" minValue="0" maxValue="9045089567219" count="42">
        <n v="9044989472405"/>
        <n v="9045089536563"/>
        <n v="9045089536574"/>
        <n v="9044989536402"/>
        <n v="9044989536419"/>
        <n v="9044989536422"/>
        <n v="9044989536447"/>
        <n v="9044989536467"/>
        <n v="9045089556849"/>
        <n v="9045089556851"/>
        <n v="9045089556861"/>
        <n v="9045089556881"/>
        <n v="9045089567219"/>
        <n v="9044989567153"/>
        <n v="0"/>
        <m/>
        <n v="9045088524599" u="1"/>
        <n v="9045088637538" u="1"/>
        <n v="9045088641265" u="1"/>
        <n v="9045088641329" u="1"/>
        <n v="9045088641348" u="1"/>
        <n v="9045088641497" u="1"/>
        <n v="9044988632609" u="1"/>
        <n v="9044988632667" u="1"/>
        <n v="9044988632688" u="1"/>
        <n v="9044988632868" u="1"/>
        <n v="9044988632872" u="1"/>
        <n v="9044988640789" u="1"/>
        <n v="9044988640821" u="1"/>
        <n v="9044988640833" u="1"/>
        <n v="9044988640957" u="1"/>
        <n v="9044988641018" u="1"/>
        <n v="9044988641225" u="1"/>
        <n v="9045088641293" u="1"/>
        <n v="9044988633261" u="1"/>
        <n v="9044988632979" u="1"/>
        <n v="9044988648947" u="1"/>
        <n v="9045088719716" u="1"/>
        <n v="9044988728183" u="1"/>
        <n v="9044988728442" u="1"/>
        <n v="9044988730481" u="1"/>
        <n v="9045088758854" u="1"/>
      </sharedItems>
    </cacheField>
    <cacheField name="rDO_no" numFmtId="0">
      <sharedItems containsString="0" containsBlank="1" containsNumber="1" containsInteger="1" minValue="0" maxValue="0"/>
    </cacheField>
    <cacheField name="rINV_no" numFmtId="0">
      <sharedItems containsString="0" containsBlank="1" containsNumber="1" containsInteger="1" minValue="0" maxValue="0"/>
    </cacheField>
    <cacheField name="rDoc_issue" numFmtId="0">
      <sharedItems containsString="0" containsBlank="1" containsNumber="1" containsInteger="1" minValue="0" maxValue="1"/>
    </cacheField>
    <cacheField name="rPlant_code" numFmtId="0">
      <sharedItems containsString="0" containsBlank="1" containsNumber="1" containsInteger="1" minValue="0" maxValue="0"/>
    </cacheField>
    <cacheField name="rAllocate_remark" numFmtId="0">
      <sharedItems containsBlank="1" containsMixedTypes="1" containsNumber="1" containsInteger="1" minValue="0" maxValue="0"/>
    </cacheField>
    <cacheField name="rVendor_code" numFmtId="0">
      <sharedItems containsString="0" containsBlank="1" containsNumber="1" containsInteger="1" minValue="0" maxValue="1333314600"/>
    </cacheField>
    <cacheField name="rStatus" numFmtId="0">
      <sharedItems containsBlank="1" containsMixedTypes="1" containsNumber="1" containsInteger="1" minValue="0" maxValue="0"/>
    </cacheField>
    <cacheField name="rStock_qty_pur" numFmtId="0">
      <sharedItems containsString="0" containsBlank="1" containsNumber="1" minValue="0" maxValue="400"/>
    </cacheField>
    <cacheField name="rStock_wgt_pur" numFmtId="0">
      <sharedItems containsString="0" containsBlank="1" containsNumber="1" minValue="0" maxValue="400"/>
    </cacheField>
    <cacheField name="rCut_off_time" numFmtId="0">
      <sharedItems containsString="0" containsBlank="1" containsNumber="1" containsInteger="1" minValue="0" maxValue="1300"/>
    </cacheField>
    <cacheField name="rOwner_create" numFmtId="0">
      <sharedItems containsBlank="1" containsMixedTypes="1" containsNumber="1" containsInteger="1" minValue="0" maxValue="0"/>
    </cacheField>
    <cacheField name="rCo_load" numFmtId="0">
      <sharedItems containsString="0" containsBlank="1" containsNumber="1" containsInteger="1" minValue="0" maxValue="0"/>
    </cacheField>
    <cacheField name="rLicense_plate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6C0EF9D1-0421-4162-B11F-34095EDC15CD}" pivotIgnoreInvalidCache="1" r:id="rId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6155.507524884262" createdVersion="8" refreshedVersion="8" minRefreshableVersion="3" recordCount="502" xr:uid="{0CB24D73-233C-4B6C-B2B2-267855C9AEA7}">
  <cacheSource type="worksheet">
    <worksheetSource ref="A1:BN4000" sheet="Mk หลังแก้"/>
  </cacheSource>
  <cacheFields count="66">
    <cacheField name="rDate1" numFmtId="0">
      <sharedItems containsBlank="1" containsMixedTypes="1" containsNumber="1" containsInteger="1" minValue="0" maxValue="0"/>
    </cacheField>
    <cacheField name="rDate2" numFmtId="0">
      <sharedItems containsString="0" containsBlank="1" containsNumber="1" containsInteger="1" minValue="0" maxValue="0"/>
    </cacheField>
    <cacheField name="rRDate1" numFmtId="14">
      <sharedItems containsDate="1" containsBlank="1" containsMixedTypes="1" minDate="1899-12-30T00:00:00" maxDate="1899-12-31T00:00:00"/>
    </cacheField>
    <cacheField name="rRDate2" numFmtId="14">
      <sharedItems containsDate="1" containsBlank="1" containsMixedTypes="1" minDate="1899-12-30T00:00:00" maxDate="1899-12-31T00:00:00"/>
    </cacheField>
    <cacheField name="rRDate3" numFmtId="0">
      <sharedItems containsString="0" containsBlank="1" containsNumber="1" containsInteger="1" minValue="0" maxValue="0"/>
    </cacheField>
    <cacheField name="rOper_code" numFmtId="0">
      <sharedItems containsBlank="1" containsMixedTypes="1" containsNumber="1" containsInteger="1" minValue="0" maxValue="0"/>
    </cacheField>
    <cacheField name="rOper_name" numFmtId="0">
      <sharedItems containsBlank="1" containsMixedTypes="1" containsNumber="1" containsInteger="1" minValue="0" maxValue="0" count="3">
        <s v="Modern Trade (Makro)"/>
        <n v="0"/>
        <m/>
      </sharedItems>
    </cacheField>
    <cacheField name="rSub_oper" numFmtId="0">
      <sharedItems containsString="0" containsBlank="1" containsNumber="1" containsInteger="1" minValue="0" maxValue="0"/>
    </cacheField>
    <cacheField name="rSub_name" numFmtId="0">
      <sharedItems containsBlank="1" containsMixedTypes="1" containsNumber="1" containsInteger="1" minValue="0" maxValue="0"/>
    </cacheField>
    <cacheField name="rWarehouse" numFmtId="0">
      <sharedItems containsBlank="1" containsMixedTypes="1" containsNumber="1" containsInteger="1" minValue="0" maxValue="0"/>
    </cacheField>
    <cacheField name="rSub_warehouse" numFmtId="0">
      <sharedItems containsBlank="1" containsMixedTypes="1" containsNumber="1" containsInteger="1" minValue="0" maxValue="0"/>
    </cacheField>
    <cacheField name="rBst_code" numFmtId="0">
      <sharedItems containsString="0" containsBlank="1" containsNumber="1" containsInteger="1" minValue="0" maxValue="923" count="3">
        <n v="923"/>
        <n v="0"/>
        <m/>
      </sharedItems>
    </cacheField>
    <cacheField name="rBst_name" numFmtId="0">
      <sharedItems containsString="0" containsBlank="1" containsNumber="1" containsInteger="1" minValue="0" maxValue="0"/>
    </cacheField>
    <cacheField name="rCv_code" numFmtId="0">
      <sharedItems containsBlank="1" containsMixedTypes="1" containsNumber="1" containsInteger="1" minValue="0" maxValue="0" count="9">
        <s v="1A53017200"/>
        <s v="1A53008400"/>
        <s v="1A53010800"/>
        <s v="1A53003900"/>
        <s v="1A53004800"/>
        <s v="1A53005200"/>
        <s v="1A53009300"/>
        <n v="0"/>
        <m/>
      </sharedItems>
    </cacheField>
    <cacheField name="rCv_name" numFmtId="0">
      <sharedItems containsBlank="1" containsMixedTypes="1" containsNumber="1" containsInteger="1" minValue="0" maxValue="0" count="9">
        <s v="บมจ. ซีพี แอ็กซ์ตร้า สาขาชัยนาท"/>
        <s v="บมจ. ซีพี แอ็กซ์ตร้า สาขานครอินทร์"/>
        <s v="บมจ. ซีพี แอ็กซ์ตร้า สาขาสิงห์บุรี"/>
        <s v="บมจ. ซีพี แอ็กซ์ตร้า สาขาสระบุรี"/>
        <s v="บมจ. ซีพี แอ็กซ์ตร้า สาขาลพบุรี"/>
        <s v="บมจ. ซีพี แอ็กซ์ตร้า สาขาอยุธยา"/>
        <s v="บมจ. ซีพี แอ็กซ์ตร้า สาขาทาวน์ อิน ทาวน์"/>
        <n v="0"/>
        <m/>
      </sharedItems>
    </cacheField>
    <cacheField name="rShip_to" numFmtId="0">
      <sharedItems containsString="0" containsBlank="1" containsNumber="1" containsInteger="1" minValue="0" maxValue="2"/>
    </cacheField>
    <cacheField name="rShip_name" numFmtId="0">
      <sharedItems containsBlank="1" containsMixedTypes="1" containsNumber="1" containsInteger="1" minValue="0" maxValue="0" count="9">
        <s v="MAKRO 0164 สาขาชัยนาท"/>
        <s v="MAKRO 0083 นครอินทร์"/>
        <s v="MAKRO 0114 สิงห์บุรี"/>
        <s v="MAKRO 0038 สระบุรี"/>
        <s v="MAKRO 0047 ลพบุรี"/>
        <s v="MAKRO 0051 อยุธยา"/>
        <s v="MAKRO 0096 ทาวน์ อิน ทาวน์"/>
        <n v="0"/>
        <m/>
      </sharedItems>
    </cacheField>
    <cacheField name="rDoc_date" numFmtId="14">
      <sharedItems containsNonDate="0" containsDate="1" containsString="0" containsBlank="1" minDate="1899-12-30T00:00:00" maxDate="2569-12-06T00:00:00"/>
    </cacheField>
    <cacheField name="rReq_date" numFmtId="14">
      <sharedItems containsDate="1" containsBlank="1" containsMixedTypes="1" minDate="1899-12-30T00:00:00" maxDate="2569-10-05T00:00:00" count="5">
        <s v="14/5/2569"/>
        <d v="1899-12-30T00:00:00"/>
        <m/>
        <d v="2569-10-04T00:00:00" u="1"/>
        <d v="2569-03-11T00:00:00" u="1"/>
      </sharedItems>
    </cacheField>
    <cacheField name="rDoc_number" numFmtId="0">
      <sharedItems containsBlank="1" containsMixedTypes="1" containsNumber="1" containsInteger="1" minValue="0" maxValue="0" count="16">
        <s v="H6954RMA0058184"/>
        <s v="H6954RMA0059103"/>
        <s v="H6954RMA0059110"/>
        <s v="H6954RMA0059184"/>
        <s v="H6954RMA0059202"/>
        <s v="H6954RMA0059205"/>
        <s v="H6954RMA0059232"/>
        <s v="H6954RMA0059255"/>
        <s v="H6954RMA0059669"/>
        <s v="H6954RMA0059671"/>
        <s v="H6954RMA0059681"/>
        <s v="H6954RMA0059701"/>
        <s v="H6954RMA0059738"/>
        <s v="H6954RMA0059841"/>
        <n v="0"/>
        <m/>
      </sharedItems>
    </cacheField>
    <cacheField name="rProduct_code" numFmtId="0">
      <sharedItems containsString="0" containsBlank="1" containsNumber="1" containsInteger="1" minValue="0" maxValue="23111038" count="177">
        <n v="23057821"/>
        <n v="23057812"/>
        <n v="23065143"/>
        <n v="23109326"/>
        <n v="23062101"/>
        <n v="23058556"/>
        <n v="23073188"/>
        <n v="23088036"/>
        <n v="23098991"/>
        <n v="23062105"/>
        <n v="23058551"/>
        <n v="23062095"/>
        <n v="23058555"/>
        <n v="23062967"/>
        <n v="23105753"/>
        <n v="23058584"/>
        <n v="23000206"/>
        <n v="23057824"/>
        <n v="23058552"/>
        <n v="23066879"/>
        <n v="23088112"/>
        <n v="23088348"/>
        <n v="23105751"/>
        <n v="23104868"/>
        <n v="23058587"/>
        <n v="23058586"/>
        <n v="23057809"/>
        <n v="23062111"/>
        <n v="23067590"/>
        <n v="23062107"/>
        <n v="23058585"/>
        <n v="23058588"/>
        <n v="23063759"/>
        <n v="23087034"/>
        <n v="23086658"/>
        <n v="23062103"/>
        <n v="23065140"/>
        <n v="23105702"/>
        <n v="23105754"/>
        <n v="23065142"/>
        <n v="23065141"/>
        <n v="23098995"/>
        <n v="23058589"/>
        <n v="23058591"/>
        <n v="23075089"/>
        <n v="23058590"/>
        <n v="23057818"/>
        <n v="23057815"/>
        <n v="23058553"/>
        <n v="23062097"/>
        <n v="23097791"/>
        <n v="23097783"/>
        <n v="23109359"/>
        <n v="23109357"/>
        <n v="23109351"/>
        <n v="23097788"/>
        <n v="23109358"/>
        <n v="23109532"/>
        <n v="23097793"/>
        <n v="23109352"/>
        <n v="23109353"/>
        <n v="23097790"/>
        <n v="23097787"/>
        <n v="23097797"/>
        <n v="23110588"/>
        <n v="23110595"/>
        <n v="23098986"/>
        <n v="23110619"/>
        <n v="23110600"/>
        <n v="23110596"/>
        <n v="23111028"/>
        <n v="23097784"/>
        <n v="23097789"/>
        <n v="23110593"/>
        <n v="23110584"/>
        <n v="23111035"/>
        <n v="23110597"/>
        <n v="23111038"/>
        <n v="23111030"/>
        <n v="23111031"/>
        <n v="23110624"/>
        <n v="23111037"/>
        <n v="23111036"/>
        <n v="23111029"/>
        <n v="23110587"/>
        <n v="23097796"/>
        <n v="23111033"/>
        <n v="23110590"/>
        <n v="23110631"/>
        <n v="23097792"/>
        <n v="23111034"/>
        <n v="23110589"/>
        <n v="23110623"/>
        <n v="23068390"/>
        <n v="23108462"/>
        <n v="23015265"/>
        <n v="23057827"/>
        <n v="23066875"/>
        <n v="23087679"/>
        <n v="23047038"/>
        <n v="23098989"/>
        <n v="23105752"/>
        <n v="23093507"/>
        <n v="23071884"/>
        <n v="23073308"/>
        <n v="23074624"/>
        <n v="23070475"/>
        <n v="23074625"/>
        <n v="23074626"/>
        <n v="23074627"/>
        <n v="23015198"/>
        <n v="23106549"/>
        <n v="23098990"/>
        <n v="23105820"/>
        <n v="23071881"/>
        <n v="23084674"/>
        <n v="23083450"/>
        <n v="23071882"/>
        <n v="0"/>
        <m/>
        <n v="23097795" u="1"/>
        <n v="23097785" u="1"/>
        <n v="23097794" u="1"/>
        <n v="23025326" u="1"/>
        <n v="23074622" u="1"/>
        <n v="23074623" u="1"/>
        <n v="23025320" u="1"/>
        <n v="23025323" u="1"/>
        <n v="23000130" u="1"/>
        <n v="23015268" u="1"/>
        <n v="23088111" u="1"/>
        <n v="23105755" u="1"/>
        <n v="23110630" u="1"/>
        <n v="23092652" u="1"/>
        <n v="23109355" u="1"/>
        <n v="23025303" u="1"/>
        <n v="23025287" u="1"/>
        <n v="23025306" u="1"/>
        <n v="23025313" u="1"/>
        <n v="23109354" u="1"/>
        <n v="23110578" u="1"/>
        <n v="23110577" u="1"/>
        <n v="23110612" u="1"/>
        <n v="23110615" u="1"/>
        <n v="23110622" u="1"/>
        <n v="23110611" u="1"/>
        <n v="23110610" u="1"/>
        <n v="23110609" u="1"/>
        <n v="23110601" u="1"/>
        <n v="23109356" u="1"/>
        <n v="23110604" u="1"/>
        <n v="23110605" u="1"/>
        <n v="23110603" u="1"/>
        <n v="23110617" u="1"/>
        <n v="23110581" u="1"/>
        <n v="23110602" u="1"/>
        <n v="23110618" u="1"/>
        <n v="23111032" u="1"/>
        <n v="23110616" u="1"/>
        <n v="23110876" u="1"/>
        <n v="23110586" u="1"/>
        <n v="23110598" u="1"/>
        <n v="23110599" u="1"/>
        <n v="23110873" u="1"/>
        <n v="23110591" u="1"/>
        <n v="23110592" u="1"/>
        <n v="23110607" u="1"/>
        <n v="23110576" u="1"/>
        <n v="23110594" u="1"/>
        <n v="23110621" u="1"/>
        <n v="23110620" u="1"/>
        <n v="23109533" u="1"/>
        <n v="23109535" u="1"/>
        <n v="23109534" u="1"/>
        <n v="23110580" u="1"/>
        <n v="23110583" u="1"/>
        <n v="23110608" u="1"/>
      </sharedItems>
    </cacheField>
    <cacheField name="rProduct_name" numFmtId="0">
      <sharedItems containsBlank="1" containsMixedTypes="1" containsNumber="1" containsInteger="1" minValue="0" maxValue="0" count="120">
        <s v="สันคอ(M)"/>
        <s v="สะโพก(M)"/>
        <s v="สามชั้นสไลด์"/>
        <s v="ขาหมูเผาเลาะติดหนัง กก.ละ"/>
        <s v="หางหมูเผา(M)"/>
        <s v="กระเพาะลวก (M)"/>
        <s v="กระดูกอก(M)"/>
        <s v="เนื้อไหล่หมูติดหนังหั่นชิ้น(M)"/>
        <s v="พอร์คชอพตัดสเต็ก กก.ละ"/>
        <s v="ไส้ตันลวก(M)"/>
        <s v="คอหมูย่าง (M)"/>
        <s v="หน้ากากหมูเผา(M)"/>
        <s v="กระดูกซุป (M)"/>
        <s v="หมูบดเบอร์ 1(1 กก.)"/>
        <s v="เซพแพ็ค สะโพกหมู กก.ละ"/>
        <s v="ตับหมู (M)"/>
        <s v="ชิ้นมันคอ"/>
        <s v="สามชั้น(M)"/>
        <s v="มันสันหลัง (M)"/>
        <s v="กระดูกอ่อน(M)"/>
        <s v="เครื่องในหมูรวมหั่นชิ้น (M)"/>
        <s v="ขาหมูเผาเลาะกระดูกหั่นชิ้นSpec-1(M)"/>
        <s v="เซพแพ็ค หัวไหล่หมู กก.ละ"/>
        <s v="เนื้อหมูตัดชิ้น(M)"/>
        <s v="หัวใจหมู (M)"/>
        <s v="ไต (M)"/>
        <s v="เนื้อไหล่(M)"/>
        <s v="ปอด(M)"/>
        <s v="ขาหน้าเผา (M)"/>
        <s v="เลือดก้อน(M)"/>
        <s v="ขั้วตับ (M)"/>
        <s v="ม้าม (M)"/>
        <s v="ขาหลังเผา(M)"/>
        <s v="สะโพกหมูตัดเส้น(M)"/>
        <s v="เนื้อไหล่ติดหนังสไลด์"/>
        <s v="กระเพาะหมู(M)"/>
        <s v="สะโพกสไลด์"/>
        <s v="หมูบดปนมัน 30%(M)"/>
        <s v="เซพแพ็ค สามชั้นหมู กก.ละ"/>
        <s v="สันคอสไลด์"/>
        <s v="สันนอกสไลด์"/>
        <s v="มันหั่นเต๋า กก ละ"/>
        <s v="ไส้อ่อน (M)"/>
        <s v="กระดูกข้อ(คาตั๊ง) (M)"/>
        <s v="มันตัดเส้น(M)"/>
        <s v="ไส้ใหญ่(ลวก) (M)"/>
        <s v="สันใน(M)"/>
        <s v="สันนอก(M)"/>
        <s v="หนังสันหลัง (M)"/>
        <s v="ลิ้นหมู(M)"/>
        <s v="สันในหมู 1 กก. (M)"/>
        <s v="เนื้อไหล่หมูบด 1 กก. (M)"/>
        <s v="หมูชีวาบด (ตรา ยูฟาร์ม) 400 กรัม"/>
        <s v="สะโพกหมูชีวา (ตรา ยูฟาร์ม) 400 กรัม"/>
        <s v="สามชั้นหมูชีวาสไลซ์(ตรา ยูฟาร์ม)250 กรัม"/>
        <s v="ตับหมู 1 กก. (M)"/>
        <s v="สามชั้นหมูชีวา (ตรา ยูฟาร์ม) 400 กรัม"/>
        <s v="ตับหมูชีวา 400 กรัม"/>
        <s v="สันคอหมูสไลซ์ 1 กก. (M)"/>
        <s v="สันนอกหมูชีวาสไลซ์(ตรา ยูฟาร์ม) 250 กรัม"/>
        <s v="สันคอหมูชีวาสไลซ์(ตรา ยูฟาร์ม) 250 กรัม"/>
        <s v="สะโพกหมูสไลซ์ 1 กก. (M)"/>
        <s v="ตับหมูสไลซ์ 1 กก. (M)"/>
        <s v="สามชั้นหมูสไลซ์ 1 กก. (M)"/>
        <s v="สะโพกหมูหั่นแดดเดียว แพ็ค 1 กก."/>
        <s v="สามชั้นหมูสดสไลซ์ แพ็คถาด 1 กก."/>
        <s v="เนื้อหมูหั่นแกง แพ็ค 1 กก."/>
        <s v="มันหมูหั่นเต๋า แพ็คถาด 500 กรัม"/>
        <s v="สันคอหมูสดสไลซ์ แพ็คถาด 1 กก."/>
        <s v="สามชั้นหมูหั่นแกง แพ็คถาด 1 กก."/>
        <s v="หมูบด ผสมมัน 30% แพ็คถาด 500 กรัม"/>
        <s v="เนื้อไหล่หมูตัดชิ้น 1 กก. (M)"/>
        <s v="สะโพกหมูตัดชิ้น 1 กก. (M)"/>
        <s v="สันนอกหมูสดสไลซ์ แพ็คถาด 1 กก."/>
        <s v="หมูบด ผสมมัน 30% แพ็คถาด 1 กก."/>
        <s v="สันนอกหมูสดสไลซ์ แพ็คถาด 500 กรัม"/>
        <s v="สามชั้นหั่นพะโล้ แพ็คถาด 1 กก."/>
        <s v="สามชั้นหมูหั่นแกง แพ็คถาด 500 กรัม"/>
        <s v="สะโพกหมูหั่นแดดเดียวแพ็คถาด 500 กรัม"/>
        <s v="สามชั้นหั่นพะโล้ แพ็คถาด 500 กรัม"/>
        <s v="เครื่องในหมูรวม แพ็คถาด 500 กรัม"/>
        <s v="หมูบด ผสมมัน 10% แพ็คถาด 500 กรัม"/>
        <s v="สะโพกหมูสไลซ์ แพ็คถาด 500 กรัม"/>
        <s v="เนื้อหมูหั่นแกง แพ็คถาด 500 กรัม"/>
        <s v="สะโพกหมูสไลซ์ แพ็คถาด 1 กก."/>
        <s v="สามชั้นหมูตัดเส้น 1 กก. (M)"/>
        <s v="สามชั้นหมูสดสไลซ์แพ็คถาด 500 กรัม"/>
        <s v="หมูบด ผสมมัน 10% แพ็คถาด 1 กก."/>
        <s v="ชุดหมูสไลซ์รวม 1500 กรัม"/>
        <s v="สันคอหมูตัดชิ้น 1 กก. (M)"/>
        <s v="สันคอหมูสดสไลซ์ แพ็คถาด 500 กรัม"/>
        <s v="เนื้อหมูหั่นแกง แพ็คถาด 1 กก."/>
        <s v="หน้ากากหมูหั่นชิ้น แพ็คถาด 500 กรัม"/>
        <s v="กระดูกซุปติดเนื้อพิเศษ(M)"/>
        <s v="หมูบดปนมัน 30% แพ็ค กก.(M)"/>
        <s v="ซี่โครงหั่นชิ้น"/>
        <s v="ซี่โครง(M)"/>
        <s v="ไส้ขม(M)"/>
        <s v="หนังหมูรวม(M)"/>
        <s v="หมุบดเบอร์ 1"/>
        <s v="ขาหมูเผาหั่นชิ้น กก.ละ(M)"/>
        <s v="เซพแพ็ค สันนอกหมู กก. ละ"/>
        <s v="ไส้ตันหมู กก.ละ"/>
        <s v="ตับหมูสไลด์ (M)"/>
        <s v="สามชั้นหมูตัดเส้น 1-2 นิ้ว(M)"/>
        <s v="เนื้อไหล่หมูตัดชิ้น (M)"/>
        <s v="สามชั้นหมูตัดเส้น 3-4 นิ้ว"/>
        <s v="สะโพกหมูตัดชิ้น (M)"/>
        <s v="สันคอหมูตัดชิ้น (M)"/>
        <s v="สันนอกหมูตัดชิ้น (M)"/>
        <s v="พอร์คช็อป"/>
        <s v="สะโพกหมูแต่งพิเศษ(แยกกล้ามเนื้อ)Spec7(M)"/>
        <s v="สามชั้นหั่นพะโล้ กก.ละ"/>
        <s v="สะโพกหมูสไลซ์(M)"/>
        <s v="หมูบด (M)"/>
        <s v="เลือดหมูก้อนปรุงรสพาสเจอร์ไรซ์400กรัม-C"/>
        <s v="น้ำมันหมู (ตรา ซีพี)"/>
        <s v="ซี่โครงหมูสไลด์รวม (M)"/>
        <n v="0"/>
        <m/>
      </sharedItems>
    </cacheField>
    <cacheField name="rStock_qty" numFmtId="0">
      <sharedItems containsString="0" containsBlank="1" containsNumber="1" minValue="0" maxValue="400"/>
    </cacheField>
    <cacheField name="rStock_wgt" numFmtId="0">
      <sharedItems containsString="0" containsBlank="1" containsNumber="1" minValue="0" maxValue="400"/>
    </cacheField>
    <cacheField name="rPlan_qty" numFmtId="0">
      <sharedItems containsString="0" containsBlank="1" containsNumber="1" minValue="0" maxValue="400"/>
    </cacheField>
    <cacheField name="rPlan_wgt" numFmtId="0">
      <sharedItems containsString="0" containsBlank="1" containsNumber="1" minValue="0" maxValue="400"/>
    </cacheField>
    <cacheField name="rDiff_stock_qty_plan" numFmtId="0">
      <sharedItems containsString="0" containsBlank="1" containsNumber="1" containsInteger="1" minValue="0" maxValue="0"/>
    </cacheField>
    <cacheField name="rDiff_stock_wgt_plan" numFmtId="0">
      <sharedItems containsString="0" containsBlank="1" containsNumber="1" minValue="-4.0000000000000003E-5" maxValue="0"/>
    </cacheField>
    <cacheField name="rAllocate_stock_qty" numFmtId="0">
      <sharedItems containsString="0" containsBlank="1" containsNumber="1" containsInteger="1" minValue="0" maxValue="0"/>
    </cacheField>
    <cacheField name="rAllocate_stock_wgt" numFmtId="0">
      <sharedItems containsString="0" containsBlank="1" containsNumber="1" containsInteger="1" minValue="0" maxValue="0"/>
    </cacheField>
    <cacheField name="rDiff_stock_qty" numFmtId="0">
      <sharedItems containsString="0" containsBlank="1" containsNumber="1" minValue="0" maxValue="400"/>
    </cacheField>
    <cacheField name="rDiff_stock_wgt" numFmtId="0">
      <sharedItems containsString="0" containsBlank="1" containsNumber="1" minValue="0" maxValue="400"/>
    </cacheField>
    <cacheField name="rPlan_byquota_qty" numFmtId="0">
      <sharedItems containsString="0" containsBlank="1" containsNumber="1" containsInteger="1" minValue="0" maxValue="0"/>
    </cacheField>
    <cacheField name="rPlan_byquota_wgt" numFmtId="0">
      <sharedItems containsString="0" containsBlank="1" containsNumber="1" containsInteger="1" minValue="0" maxValue="0"/>
    </cacheField>
    <cacheField name="rBreak" numFmtId="0">
      <sharedItems containsBlank="1" containsMixedTypes="1" containsNumber="1" containsInteger="1" minValue="0" maxValue="0"/>
    </cacheField>
    <cacheField name="rEntry_type" numFmtId="0">
      <sharedItems containsBlank="1" containsMixedTypes="1" containsNumber="1" containsInteger="1" minValue="0" maxValue="0"/>
    </cacheField>
    <cacheField name="rProduct_group_code1" numFmtId="0">
      <sharedItems containsBlank="1" containsMixedTypes="1" containsNumber="1" containsInteger="1" minValue="0" maxValue="0"/>
    </cacheField>
    <cacheField name="rProduct_group_code2" numFmtId="0">
      <sharedItems containsBlank="1" containsMixedTypes="1" containsNumber="1" containsInteger="1" minValue="0" maxValue="0" count="6">
        <s v="Bulk Normal"/>
        <s v="Seal Pack"/>
        <n v="0"/>
        <s v="Wrap"/>
        <s v="CP Brand(ซอง)"/>
        <m/>
      </sharedItems>
    </cacheField>
    <cacheField name="rProduct_group_dim1" numFmtId="0">
      <sharedItems containsBlank="1" containsMixedTypes="1" containsNumber="1" containsInteger="1" minValue="0" maxValue="0"/>
    </cacheField>
    <cacheField name="rCv_channel" numFmtId="0">
      <sharedItems containsBlank="1" containsMixedTypes="1" containsNumber="1" containsInteger="1" minValue="0" maxValue="0"/>
    </cacheField>
    <cacheField name="rCV_FLAG1" numFmtId="0">
      <sharedItems containsBlank="1" containsMixedTypes="1" containsNumber="1" containsInteger="1" minValue="0" maxValue="0"/>
    </cacheField>
    <cacheField name="rCV_FLAG2" numFmtId="0">
      <sharedItems containsString="0" containsBlank="1" containsNumber="1" containsInteger="1" minValue="0" maxValue="20"/>
    </cacheField>
    <cacheField name="rCV_FLAG3" numFmtId="0">
      <sharedItems containsString="0" containsBlank="1" containsNumber="1" containsInteger="1" minValue="0" maxValue="1"/>
    </cacheField>
    <cacheField name="rCV_FLAG4" numFmtId="0">
      <sharedItems containsString="0" containsBlank="1" containsNumber="1" containsInteger="1" minValue="0" maxValue="0"/>
    </cacheField>
    <cacheField name="rCV_FLAG5" numFmtId="0">
      <sharedItems containsString="0" containsBlank="1" containsNumber="1" containsInteger="1" minValue="0" maxValue="0"/>
    </cacheField>
    <cacheField name="rOwner_so" numFmtId="0">
      <sharedItems containsBlank="1" containsMixedTypes="1" containsNumber="1" containsInteger="1" minValue="0" maxValue="0"/>
    </cacheField>
    <cacheField name="rCreate_date_so" numFmtId="0">
      <sharedItems containsBlank="1" containsMixedTypes="1" containsNumber="1" containsInteger="1" minValue="0" maxValue="0"/>
    </cacheField>
    <cacheField name="rUm_stock_qty" numFmtId="0">
      <sharedItems containsBlank="1" containsMixedTypes="1" containsNumber="1" containsInteger="1" minValue="0" maxValue="0"/>
    </cacheField>
    <cacheField name="rUm_stock_wgt" numFmtId="0">
      <sharedItems containsBlank="1" containsMixedTypes="1" containsNumber="1" containsInteger="1" minValue="0" maxValue="0"/>
    </cacheField>
    <cacheField name="rArea" numFmtId="0">
      <sharedItems containsBlank="1" containsMixedTypes="1" containsNumber="1" containsInteger="1" minValue="0" maxValue="0"/>
    </cacheField>
    <cacheField name="nShow_area" numFmtId="0">
      <sharedItems containsString="0" containsBlank="1" containsNumber="1" containsInteger="1" minValue="0" maxValue="0"/>
    </cacheField>
    <cacheField name="rModel" numFmtId="0">
      <sharedItems containsBlank="1" containsMixedTypes="1" containsNumber="1" containsInteger="1" minValue="0" maxValue="0"/>
    </cacheField>
    <cacheField name="rPO_no" numFmtId="0">
      <sharedItems containsString="0" containsBlank="1" containsNumber="1" containsInteger="1" minValue="0" maxValue="9050000000000" count="73">
        <n v="9044989472405"/>
        <n v="9045089536563"/>
        <n v="9045089536574"/>
        <n v="9044989536402"/>
        <n v="9044989536419"/>
        <n v="9044989536422"/>
        <n v="9044989536447"/>
        <n v="9044989536467"/>
        <n v="9045089556849"/>
        <n v="9045089556851"/>
        <n v="9045089556861"/>
        <n v="9045089556881"/>
        <n v="9045089567219"/>
        <n v="9044989567153"/>
        <n v="0"/>
        <m/>
        <n v="9045088524599" u="1"/>
        <n v="9045088637538" u="1"/>
        <n v="9045088641265" u="1"/>
        <n v="9045088641329" u="1"/>
        <n v="9045088641348" u="1"/>
        <n v="9045088641497" u="1"/>
        <n v="9044988632609" u="1"/>
        <n v="9044988632667" u="1"/>
        <n v="9044988632688" u="1"/>
        <n v="9044988632868" u="1"/>
        <n v="9044988632872" u="1"/>
        <n v="9044988640789" u="1"/>
        <n v="9044988640821" u="1"/>
        <n v="9044988640833" u="1"/>
        <n v="9044988640957" u="1"/>
        <n v="9044988641018" u="1"/>
        <n v="9044988641225" u="1"/>
        <n v="9045088641293" u="1"/>
        <n v="9044988633261" u="1"/>
        <n v="9044988632979" u="1"/>
        <n v="9044988648947" u="1"/>
        <n v="9045088719716" u="1"/>
        <n v="9044988728183" u="1"/>
        <n v="9044988728442" u="1"/>
        <n v="9044988730481" u="1"/>
        <n v="9045088758854" u="1"/>
        <n v="9045090000000" u="1"/>
        <n v="9044990000000" u="1"/>
        <n v="9050000000000" u="1"/>
        <n v="9040000000000" u="1"/>
        <n v="9045088215865" u="1"/>
        <n v="9044988215788" u="1"/>
        <n v="9044988224721" u="1"/>
        <n v="9044988228224" u="1"/>
        <n v="9044988228229" u="1"/>
        <n v="9044988228255" u="1"/>
        <n v="9044988235199" u="1"/>
        <n v="9044988235202" u="1"/>
        <n v="9044988235248" u="1"/>
        <n v="9045088290050" u="1"/>
        <n v="9045088290052" u="1"/>
        <n v="9044988290036" u="1"/>
        <n v="9044987806779" u="1"/>
        <n v="9044987900696" u="1"/>
        <n v="9044987806771" u="1"/>
        <n v="9044987806809" u="1"/>
        <n v="9044987859116" u="1"/>
        <n v="9044987806836" u="1"/>
        <n v="9045087805190" u="1"/>
        <n v="9045087795816" u="1"/>
        <n v="9045087859207" u="1"/>
        <n v="9044987771745" u="1"/>
        <n v="9044987771797" u="1"/>
        <n v="9044987772001" u="1"/>
        <n v="9044987772312" u="1"/>
        <n v="9045087772545" u="1"/>
        <n v="9044987795786" u="1"/>
      </sharedItems>
    </cacheField>
    <cacheField name="rDO_no" numFmtId="0">
      <sharedItems containsString="0" containsBlank="1" containsNumber="1" containsInteger="1" minValue="0" maxValue="0"/>
    </cacheField>
    <cacheField name="rINV_no" numFmtId="0">
      <sharedItems containsString="0" containsBlank="1" containsNumber="1" containsInteger="1" minValue="0" maxValue="0"/>
    </cacheField>
    <cacheField name="rDoc_issue" numFmtId="0">
      <sharedItems containsString="0" containsBlank="1" containsNumber="1" containsInteger="1" minValue="0" maxValue="1"/>
    </cacheField>
    <cacheField name="rPlant_code" numFmtId="0">
      <sharedItems containsString="0" containsBlank="1" containsNumber="1" containsInteger="1" minValue="0" maxValue="0"/>
    </cacheField>
    <cacheField name="rAllocate_remark" numFmtId="0">
      <sharedItems containsBlank="1" containsMixedTypes="1" containsNumber="1" containsInteger="1" minValue="0" maxValue="0"/>
    </cacheField>
    <cacheField name="rVendor_code" numFmtId="0">
      <sharedItems containsString="0" containsBlank="1" containsNumber="1" containsInteger="1" minValue="0" maxValue="1333314600"/>
    </cacheField>
    <cacheField name="rStatus" numFmtId="0">
      <sharedItems containsBlank="1" containsMixedTypes="1" containsNumber="1" containsInteger="1" minValue="0" maxValue="0"/>
    </cacheField>
    <cacheField name="rStock_qty_pur" numFmtId="0">
      <sharedItems containsString="0" containsBlank="1" containsNumber="1" minValue="0" maxValue="400"/>
    </cacheField>
    <cacheField name="rStock_wgt_pur" numFmtId="0">
      <sharedItems containsString="0" containsBlank="1" containsNumber="1" minValue="0" maxValue="400"/>
    </cacheField>
    <cacheField name="rCut_off_time" numFmtId="0">
      <sharedItems containsString="0" containsBlank="1" containsNumber="1" containsInteger="1" minValue="0" maxValue="1300"/>
    </cacheField>
    <cacheField name="rOwner_create" numFmtId="0">
      <sharedItems containsBlank="1" containsMixedTypes="1" containsNumber="1" containsInteger="1" minValue="0" maxValue="0"/>
    </cacheField>
    <cacheField name="rCo_load" numFmtId="0">
      <sharedItems containsString="0" containsBlank="1" containsNumber="1" containsInteger="1" minValue="0" maxValue="0"/>
    </cacheField>
    <cacheField name="rLicense_plate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0CB24D73-233C-4B6C-B2B2-267855C9AEA7}" pivotIgnoreInvalidCache="1" r:id="rId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5.507525231478" createdVersion="8" refreshedVersion="8" minRefreshableVersion="3" recordCount="372" xr:uid="{D5803C7D-BAD5-46B5-BE87-BFCCF55C9976}">
  <cacheSource type="worksheet">
    <worksheetSource ref="A2:BL3240" sheet="SO recheck"/>
  </cacheSource>
  <cacheFields count="64">
    <cacheField name="rDate1" numFmtId="0">
      <sharedItems containsNonDate="0" containsString="0" containsBlank="1"/>
    </cacheField>
    <cacheField name="rDate2" numFmtId="0">
      <sharedItems containsNonDate="0" containsString="0" containsBlank="1"/>
    </cacheField>
    <cacheField name="rRDate1" numFmtId="0">
      <sharedItems containsNonDate="0" containsDate="1" containsString="0" containsBlank="1" minDate="2569-10-04T00:00:00" maxDate="2569-10-05T00:00:00"/>
    </cacheField>
    <cacheField name="rRDate2" numFmtId="0">
      <sharedItems containsNonDate="0" containsDate="1" containsString="0" containsBlank="1" minDate="2569-10-04T00:00:00" maxDate="2569-10-05T00:00:00"/>
    </cacheField>
    <cacheField name="rRDate3" numFmtId="0">
      <sharedItems containsNonDate="0" containsString="0" containsBlank="1"/>
    </cacheField>
    <cacheField name="rOper_code" numFmtId="0">
      <sharedItems containsBlank="1"/>
    </cacheField>
    <cacheField name="rOper_name" numFmtId="0">
      <sharedItems containsBlank="1" count="2">
        <s v="Modern Trade (Makro)"/>
        <m/>
      </sharedItems>
    </cacheField>
    <cacheField name="rSub_oper" numFmtId="0">
      <sharedItems containsString="0" containsBlank="1" containsNumber="1" containsInteger="1" minValue="0" maxValue="0"/>
    </cacheField>
    <cacheField name="rSub_name" numFmtId="0">
      <sharedItems containsBlank="1"/>
    </cacheField>
    <cacheField name="rWarehouse" numFmtId="0">
      <sharedItems containsBlank="1"/>
    </cacheField>
    <cacheField name="rSub_warehouse" numFmtId="0">
      <sharedItems containsBlank="1"/>
    </cacheField>
    <cacheField name="rBst_code" numFmtId="0">
      <sharedItems containsString="0" containsBlank="1" containsNumber="1" containsInteger="1" minValue="923" maxValue="923" count="2">
        <n v="923"/>
        <m/>
      </sharedItems>
    </cacheField>
    <cacheField name="rBst_name" numFmtId="0">
      <sharedItems containsNonDate="0" containsString="0" containsBlank="1"/>
    </cacheField>
    <cacheField name="rCv_code" numFmtId="0">
      <sharedItems containsBlank="1"/>
    </cacheField>
    <cacheField name="rCv_name" numFmtId="0">
      <sharedItems containsBlank="1"/>
    </cacheField>
    <cacheField name="rShip_to" numFmtId="0">
      <sharedItems containsString="0" containsBlank="1" containsNumber="1" containsInteger="1" minValue="2" maxValue="2"/>
    </cacheField>
    <cacheField name="rShip_name" numFmtId="0">
      <sharedItems containsBlank="1" count="9">
        <s v="MAKRO 0051 อยุธยา"/>
        <s v="MAKRO 0083 นครอินทร์"/>
        <s v="MAKRO 0038 สระบุรี"/>
        <s v="MAKRO 0114 สิงห์บุรี"/>
        <s v="MAKRO 0164 สาขาชัยนาท"/>
        <s v="MAKRO 0047 ลพบุรี"/>
        <s v="MAKRO 0082 นครนายก"/>
        <s v="MAKRO 0096 ทาวน์ อิน ทาวน์"/>
        <m/>
      </sharedItems>
    </cacheField>
    <cacheField name="rDoc_date" numFmtId="0">
      <sharedItems containsDate="1" containsBlank="1" containsMixedTypes="1" minDate="2569-03-04T00:00:00" maxDate="2569-08-05T00:00:00"/>
    </cacheField>
    <cacheField name="rReq_date" numFmtId="0">
      <sharedItems containsNonDate="0" containsDate="1" containsString="0" containsBlank="1" minDate="2569-10-04T00:00:00" maxDate="2569-10-05T00:00:00" count="2">
        <d v="2569-10-04T00:00:00"/>
        <m/>
      </sharedItems>
    </cacheField>
    <cacheField name="rDoc_number" numFmtId="0">
      <sharedItems containsBlank="1"/>
    </cacheField>
    <cacheField name="rProduct_code" numFmtId="0">
      <sharedItems containsString="0" containsBlank="1" containsNumber="1" containsInteger="1" minValue="23000130" maxValue="23111037" count="111">
        <n v="23097795"/>
        <n v="23097787"/>
        <n v="23097791"/>
        <n v="23097796"/>
        <n v="23097785"/>
        <n v="23097790"/>
        <n v="23097794"/>
        <n v="23025326"/>
        <n v="23074622"/>
        <n v="23111028"/>
        <n v="23111034"/>
        <n v="23111036"/>
        <n v="23097789"/>
        <n v="23074623"/>
        <n v="23025320"/>
        <n v="23098986"/>
        <n v="23111033"/>
        <n v="23097784"/>
        <n v="23097792"/>
        <n v="23111035"/>
        <n v="23111037"/>
        <n v="23097783"/>
        <n v="23097797"/>
        <n v="23097793"/>
        <n v="23025323"/>
        <n v="23097788"/>
        <n v="23109357"/>
        <n v="23109359"/>
        <n v="23109358"/>
        <n v="23109352"/>
        <n v="23109351"/>
        <n v="23109353"/>
        <n v="23109532"/>
        <n v="23084674"/>
        <n v="23083450"/>
        <n v="23065142"/>
        <n v="23062095"/>
        <n v="23108462"/>
        <n v="23058555"/>
        <n v="23058591"/>
        <n v="23057815"/>
        <n v="23015265"/>
        <n v="23065141"/>
        <n v="23058551"/>
        <n v="23065140"/>
        <n v="23087034"/>
        <n v="23057812"/>
        <n v="23068390"/>
        <n v="23065143"/>
        <n v="23057821"/>
        <n v="23058552"/>
        <n v="23071881"/>
        <n v="23073188"/>
        <n v="23088112"/>
        <n v="23098995"/>
        <n v="23088348"/>
        <n v="23062101"/>
        <n v="23063759"/>
        <n v="23057809"/>
        <n v="23066875"/>
        <n v="23058584"/>
        <n v="23057827"/>
        <n v="23098989"/>
        <n v="23104868"/>
        <n v="23086658"/>
        <n v="23000206"/>
        <n v="23057824"/>
        <n v="23058589"/>
        <n v="23067590"/>
        <n v="23062111"/>
        <n v="23105702"/>
        <n v="23058556"/>
        <n v="23000130"/>
        <n v="23058586"/>
        <n v="23015268"/>
        <n v="23058587"/>
        <n v="23058590"/>
        <n v="23057818"/>
        <n v="23093507"/>
        <n v="23066879"/>
        <n v="23109326"/>
        <n v="23058588"/>
        <n v="23062097"/>
        <n v="23062103"/>
        <n v="23088036"/>
        <n v="23088111"/>
        <n v="23058553"/>
        <n v="23073308"/>
        <n v="23058585"/>
        <n v="23062105"/>
        <n v="23071884"/>
        <n v="23015198"/>
        <n v="23105754"/>
        <n v="23105751"/>
        <n v="23105753"/>
        <n v="23105755"/>
        <n v="23105752"/>
        <n v="23075089"/>
        <n v="23070475"/>
        <n v="23098990"/>
        <n v="23105820"/>
        <n v="23106549"/>
        <n v="23110600"/>
        <n v="23110587"/>
        <n v="23110590"/>
        <n v="23110593"/>
        <n v="23110631"/>
        <n v="23110584"/>
        <n v="23110595"/>
        <n v="23110630"/>
        <m/>
      </sharedItems>
    </cacheField>
    <cacheField name="rProduct_name" numFmtId="0">
      <sharedItems containsBlank="1" count="111">
        <s v="สันนอกหมูสไลซ์ 1 กก (M)"/>
        <s v="ตับหมูสไลซ์ 1 กก. (M)"/>
        <s v="สันในหมู 1 กก. (M)"/>
        <s v="สามชั้นหมูตัดเส้น 1 กก. (M)"/>
        <s v="ซี่โครงหมูตัดเส้น 1 กก. (M)"/>
        <s v="สะโพกหมูสไลซ์ 1 กก. (M)"/>
        <s v="สันนอกหมูตัดชิ้น1 กก. (M)"/>
        <s v="หมูบดอนามัยซีพี-W1000กรัม"/>
        <s v="ซี่โครงหมูหั่นชิ้น 2 นิ้ว (M)"/>
        <s v="หมูบด ผสมมัน 30% แพ็คถาด 500 กรัม"/>
        <s v="สันคอหมูสดสไลซ์ แพ็คถาด 500 กรัม"/>
        <s v="สะโพกหมูสไลซ์ แพ็คถาด 500 กรัม"/>
        <s v="สะโพกหมูตัดชิ้น 1 กก. (M)"/>
        <s v="มันหมูหั่นชิ้น(M)"/>
        <s v="ซี่โครงหมูหั่นชิ้นอนามัยซีพี-W1000กรัม"/>
        <s v="เนื้อหมูหั่นแกง แพ็ค 1 กก."/>
        <s v="สามชั้นหมูสดสไลซ์แพ็คถาด 500 กรัม"/>
        <s v="เนื้อไหล่หมูตัดชิ้น 1 กก. (M)"/>
        <s v="สันคอหมูตัดชิ้น 1 กก. (M)"/>
        <s v="สันนอกหมูสดสไลซ์ แพ็คถาด 500 กรัม"/>
        <s v="หมูบด ผสมมัน 10% แพ็คถาด 500 กรัม"/>
        <s v="เนื้อไหล่หมูบด 1 กก. (M)"/>
        <s v="สามชั้นหมูสไลซ์ 1 กก. (M)"/>
        <s v="สันคอหมูสไลซ์ 1 กก. (M)"/>
        <s v="ซี่โครงหมูอ่อนหั่นชิ้นอนามัยซีพี-W1000g"/>
        <s v="ตับหมู 1 กก. (M)"/>
        <s v="สะโพกหมูชีวา (ตรา ยูฟาร์ม) 400 กรัม"/>
        <s v="หมูชีวาบด (ตรา ยูฟาร์ม) 400 กรัม"/>
        <s v="สามชั้นหมูชีวา (ตรา ยูฟาร์ม) 400 กรัม"/>
        <s v="สันนอกหมูชีวาสไลซ์(ตรา ยูฟาร์ม) 250 กรัม"/>
        <s v="สามชั้นหมูชีวาสไลซ์(ตรา ยูฟาร์ม)250 กรัม"/>
        <s v="สันคอหมูชีวาสไลซ์(ตรา ยูฟาร์ม) 250 กรัม"/>
        <s v="ตับหมูชีวา 400 กรัม"/>
        <s v="เลือดหมูก้อนปรุงรสพาสเจอร์ไรซ์400กรัม-C"/>
        <s v="น้ำมันหมู (ตรา ซีพี)"/>
        <s v="สันคอสไลด์"/>
        <s v="หน้ากากหมูเผา(M)"/>
        <s v="หมูบดปนมัน 30% แพ็ค กก.(M)"/>
        <s v="กระดูกซุป (M)"/>
        <s v="กระดูกข้อ(คาตั๊ง) (M)"/>
        <s v="สันนอก(M)"/>
        <s v="ซี่โครงหั่นชิ้น"/>
        <s v="สันนอกสไลด์"/>
        <s v="คอหมูย่าง (M)"/>
        <s v="สะโพกสไลด์"/>
        <s v="สะโพกหมูตัดเส้น(M)"/>
        <s v="สะโพก(M)"/>
        <s v="กระดูกซุปติดเนื้อพิเศษ(M)"/>
        <s v="สามชั้นสไลด์"/>
        <s v="สันคอ(M)"/>
        <s v="มันสันหลัง (M)"/>
        <s v="หมูบด (M)"/>
        <s v="กระดูกอก(M)"/>
        <s v="เครื่องในหมูรวมหั่นชิ้น (M)"/>
        <s v="มันหั่นเต๋า กก ละ"/>
        <s v="ขาหมูเผาเลาะกระดูกหั่นชิ้นSpec-1(M)"/>
        <s v="หางหมูเผา(M)"/>
        <s v="ขาหลังเผา(M)"/>
        <s v="เนื้อไหล่(M)"/>
        <s v="ไส้ขม(M)"/>
        <s v="ตับหมู (M)"/>
        <s v="ซี่โครง(M)"/>
        <s v="ขาหมูเผาหั่นชิ้น กก.ละ(M)"/>
        <s v="เนื้อหมูตัดชิ้น(M)"/>
        <s v="เนื้อไหล่ติดหนังสไลด์"/>
        <s v="ชิ้นมันคอ"/>
        <s v="สามชั้น(M)"/>
        <s v="ไส้อ่อน (M)"/>
        <s v="ขาหน้าเผา (M)"/>
        <s v="ปอด(M)"/>
        <s v="หมูบดปนมัน 30%(M)"/>
        <s v="กระเพาะลวก (M)"/>
        <s v="สะโพกติดหนัง"/>
        <s v="ไต (M)"/>
        <s v="ซี่โครงอ่อนสไลด์"/>
        <s v="หัวใจหมู (M)"/>
        <s v="ไส้ใหญ่(ลวก) (M)"/>
        <s v="สันใน(M)"/>
        <s v="ไส้ตันหมู กก.ละ"/>
        <s v="กระดูกอ่อน(M)"/>
        <s v="ขาหมูเผาเลาะติดหนัง กก.ละ"/>
        <s v="ม้าม (M)"/>
        <s v="ลิ้นหมู(M)"/>
        <s v="กระเพาะหมู(M)"/>
        <s v="เนื้อไหล่หมูติดหนังหั่นชิ้น(M)"/>
        <s v="หน้ากากหมูหั่นชิ้น(M)"/>
        <s v="หนังสันหลัง (M)"/>
        <s v="สามชั้นหมูตัดเส้น 1-2 นิ้ว(M)"/>
        <s v="ขั้วตับ (M)"/>
        <s v="ไส้ตันลวก(M)"/>
        <s v="ตับหมูสไลด์ (M)"/>
        <s v="พอร์คช็อป"/>
        <s v="เซพแพ็ค สามชั้นหมู กก.ละ"/>
        <s v="เซพแพ็ค หัวไหล่หมู กก.ละ"/>
        <s v="เซพแพ็ค สะโพกหมู กก.ละ"/>
        <s v="เซพแพ็ค สันคอหมู กก.ละ"/>
        <s v="เซพแพ็ค สันนอกหมู กก. ละ"/>
        <s v="มันตัดเส้น(M)"/>
        <s v="สามชั้นหมูตัดเส้น 3-4 นิ้ว"/>
        <s v="สามชั้นหั่นพะโล้ กก.ละ"/>
        <s v="สะโพกหมูสไลซ์(M)"/>
        <s v="สะโพกหมูแต่งพิเศษ(แยกกล้ามเนื้อ)Spec7(M)"/>
        <s v="สันคอหมูสดสไลซ์ แพ็คถาด 1 กก."/>
        <s v="สะโพกหมูสไลซ์ แพ็คถาด 1 กก."/>
        <s v="หมูบด ผสมมัน 10% แพ็คถาด 1 กก."/>
        <s v="สันนอกหมูสดสไลซ์ แพ็คถาด 1 กก."/>
        <s v="ชุดหมูสไลซ์รวม 1500 กรัม"/>
        <s v="หมูบด ผสมมัน 30% แพ็คถาด 1 กก."/>
        <s v="สามชั้นหมูสดสไลซ์ แพ็คถาด 1 กก."/>
        <s v="ชุดหมูรวม (บด/หั่นแกง) 900 กรัม"/>
        <m/>
      </sharedItems>
    </cacheField>
    <cacheField name="rStock_qty" numFmtId="0">
      <sharedItems containsString="0" containsBlank="1" containsNumber="1" minValue="0" maxValue="900"/>
    </cacheField>
    <cacheField name="rStock_wgt" numFmtId="0">
      <sharedItems containsString="0" containsBlank="1" containsNumber="1" minValue="0" maxValue="900"/>
    </cacheField>
    <cacheField name="rPlan_qty" numFmtId="0">
      <sharedItems containsString="0" containsBlank="1" containsNumber="1" minValue="0" maxValue="900"/>
    </cacheField>
    <cacheField name="rPlan_wgt" numFmtId="0">
      <sharedItems containsString="0" containsBlank="1" containsNumber="1" minValue="0" maxValue="900"/>
    </cacheField>
    <cacheField name="rDiff_stock_qty_plan" numFmtId="0">
      <sharedItems containsString="0" containsBlank="1" containsNumber="1" containsInteger="1" minValue="0" maxValue="0"/>
    </cacheField>
    <cacheField name="rDiff_stock_wgt_plan" numFmtId="0">
      <sharedItems containsString="0" containsBlank="1" containsNumber="1" minValue="0" maxValue="4.0000000000000003E-5"/>
    </cacheField>
    <cacheField name="rAllocate_stock_qty" numFmtId="0">
      <sharedItems containsString="0" containsBlank="1" containsNumber="1" containsInteger="1" minValue="0" maxValue="0"/>
    </cacheField>
    <cacheField name="rAllocate_stock_wgt" numFmtId="0">
      <sharedItems containsString="0" containsBlank="1" containsNumber="1" containsInteger="1" minValue="0" maxValue="0"/>
    </cacheField>
    <cacheField name="rDiff_stock_qty" numFmtId="0">
      <sharedItems containsString="0" containsBlank="1" containsNumber="1" minValue="0" maxValue="900"/>
    </cacheField>
    <cacheField name="rDiff_stock_wgt" numFmtId="0">
      <sharedItems containsString="0" containsBlank="1" containsNumber="1" minValue="0" maxValue="900"/>
    </cacheField>
    <cacheField name="rPlan_byquota_qty" numFmtId="0">
      <sharedItems containsNonDate="0" containsString="0" containsBlank="1"/>
    </cacheField>
    <cacheField name="rPlan_byquota_wgt" numFmtId="0">
      <sharedItems containsNonDate="0" containsString="0" containsBlank="1"/>
    </cacheField>
    <cacheField name="rBreak" numFmtId="0">
      <sharedItems containsBlank="1"/>
    </cacheField>
    <cacheField name="rEntry_type" numFmtId="0">
      <sharedItems containsBlank="1"/>
    </cacheField>
    <cacheField name="rProduct_group_code1" numFmtId="0">
      <sharedItems containsBlank="1"/>
    </cacheField>
    <cacheField name="rProduct_group_code2" numFmtId="0">
      <sharedItems containsBlank="1"/>
    </cacheField>
    <cacheField name="rProduct_group_dim1" numFmtId="0">
      <sharedItems containsBlank="1"/>
    </cacheField>
    <cacheField name="rCv_channel" numFmtId="0">
      <sharedItems containsBlank="1"/>
    </cacheField>
    <cacheField name="rCV_FLAG1" numFmtId="0">
      <sharedItems containsBlank="1"/>
    </cacheField>
    <cacheField name="rCV_FLAG2" numFmtId="0">
      <sharedItems containsString="0" containsBlank="1" containsNumber="1" containsInteger="1" minValue="2" maxValue="20"/>
    </cacheField>
    <cacheField name="rCV_FLAG3" numFmtId="0">
      <sharedItems containsString="0" containsBlank="1" containsNumber="1" containsInteger="1" minValue="1" maxValue="1"/>
    </cacheField>
    <cacheField name="rCV_FLAG4" numFmtId="0">
      <sharedItems containsNonDate="0" containsString="0" containsBlank="1"/>
    </cacheField>
    <cacheField name="rCV_FLAG5" numFmtId="0">
      <sharedItems containsNonDate="0" containsString="0" containsBlank="1"/>
    </cacheField>
    <cacheField name="rOwner_so" numFmtId="0">
      <sharedItems containsBlank="1"/>
    </cacheField>
    <cacheField name="rCreate_date_so" numFmtId="0">
      <sharedItems containsBlank="1"/>
    </cacheField>
    <cacheField name="rUm_stock_qty" numFmtId="0">
      <sharedItems containsBlank="1"/>
    </cacheField>
    <cacheField name="rUm_stock_wgt" numFmtId="0">
      <sharedItems containsBlank="1"/>
    </cacheField>
    <cacheField name="rArea" numFmtId="0">
      <sharedItems containsBlank="1"/>
    </cacheField>
    <cacheField name="nShow_area" numFmtId="0">
      <sharedItems containsString="0" containsBlank="1" containsNumber="1" containsInteger="1" minValue="0" maxValue="0"/>
    </cacheField>
    <cacheField name="rModel" numFmtId="0">
      <sharedItems containsBlank="1"/>
    </cacheField>
    <cacheField name="rPO_no" numFmtId="0">
      <sharedItems containsString="0" containsBlank="1" containsNumber="1" containsInteger="1" minValue="9044988632609" maxValue="9045088758854"/>
    </cacheField>
    <cacheField name="rDO_no" numFmtId="0">
      <sharedItems containsNonDate="0" containsString="0" containsBlank="1"/>
    </cacheField>
    <cacheField name="rINV_no" numFmtId="0">
      <sharedItems containsNonDate="0" containsString="0" containsBlank="1"/>
    </cacheField>
    <cacheField name="rDoc_issue" numFmtId="0">
      <sharedItems containsString="0" containsBlank="1" containsNumber="1" containsInteger="1" minValue="1" maxValue="1"/>
    </cacheField>
    <cacheField name="rPlant_code" numFmtId="0">
      <sharedItems containsNonDate="0" containsString="0" containsBlank="1"/>
    </cacheField>
    <cacheField name="rAllocate_remark" numFmtId="0">
      <sharedItems containsBlank="1"/>
    </cacheField>
    <cacheField name="rVendor_code" numFmtId="0">
      <sharedItems containsString="0" containsBlank="1" containsNumber="1" containsInteger="1" minValue="1333314600" maxValue="1333314600"/>
    </cacheField>
    <cacheField name="rStatus" numFmtId="0">
      <sharedItems containsBlank="1"/>
    </cacheField>
    <cacheField name="rStock_qty_pur" numFmtId="0">
      <sharedItems containsString="0" containsBlank="1" containsNumber="1" minValue="0" maxValue="900"/>
    </cacheField>
    <cacheField name="rStock_wgt_pur" numFmtId="0">
      <sharedItems containsString="0" containsBlank="1" containsNumber="1" minValue="0" maxValue="900"/>
    </cacheField>
    <cacheField name="rCut_off_time" numFmtId="0">
      <sharedItems containsString="0" containsBlank="1" containsNumber="1" containsInteger="1" minValue="1300" maxValue="1300"/>
    </cacheField>
    <cacheField name="rOwner_cre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0"/>
    <x v="0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"/>
    <x v="1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2"/>
    <x v="2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3"/>
    <x v="3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4"/>
    <x v="4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5"/>
    <x v="5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6"/>
    <x v="6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7"/>
    <x v="7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Wrap"/>
    <s v="สุกร"/>
    <s v="OT002 CC-Makro"/>
    <s v="MT"/>
    <n v="2"/>
    <m/>
    <m/>
    <m/>
    <s v="สุภาวดี มีแทน"/>
    <s v="2026-03-31-11.01.27.000000"/>
    <s v="ถาด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8"/>
    <x v="8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ก.ก.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9"/>
    <x v="9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0"/>
    <x v="10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1"/>
    <x v="11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2"/>
    <x v="12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3"/>
    <x v="13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3-31-11.01.27.000000"/>
    <s v="ก.ก.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4"/>
    <x v="14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Wrap"/>
    <s v="สุกร"/>
    <s v="OT002 CC-Makro"/>
    <s v="MT"/>
    <n v="2"/>
    <m/>
    <m/>
    <m/>
    <s v="สุภาวดี มีแทน"/>
    <s v="2026-03-31-11.01.27.000000"/>
    <s v="ถาด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5"/>
    <x v="15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6"/>
    <x v="16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7"/>
    <x v="17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8"/>
    <x v="18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19"/>
    <x v="19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20"/>
    <x v="20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21"/>
    <x v="21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22"/>
    <x v="22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23"/>
    <x v="23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24"/>
    <x v="24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Wrap"/>
    <s v="สุกร"/>
    <s v="OT002 CC-Makro"/>
    <s v="MT"/>
    <n v="2"/>
    <m/>
    <m/>
    <m/>
    <s v="สุภาวดี มีแทน"/>
    <s v="2026-03-31-11.01.27.000000"/>
    <s v="ถาด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s v="31/03/2569"/>
    <x v="0"/>
    <s v="H6954RMA0038591"/>
    <x v="25"/>
    <x v="25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3-31-11.01.27.000000"/>
    <s v="แพ็ค"/>
    <s v="ก.ก."/>
    <s v=" "/>
    <n v="0"/>
    <s v="N"/>
    <n v="9045088524599"/>
    <m/>
    <m/>
    <n v="1"/>
    <m/>
    <m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26"/>
    <x v="26"/>
    <n v="2"/>
    <n v="0.8"/>
    <n v="2"/>
    <n v="0.8"/>
    <n v="0"/>
    <n v="0"/>
    <n v="0"/>
    <n v="0"/>
    <n v="2"/>
    <n v="0.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2"/>
    <n v="0.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25"/>
    <x v="25"/>
    <n v="2"/>
    <n v="2"/>
    <n v="2"/>
    <n v="2"/>
    <n v="0"/>
    <n v="0"/>
    <n v="0"/>
    <n v="0"/>
    <n v="2"/>
    <n v="2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2"/>
    <n v="2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27"/>
    <x v="27"/>
    <n v="12"/>
    <n v="4.8"/>
    <n v="12"/>
    <n v="4.8"/>
    <n v="0"/>
    <n v="0"/>
    <n v="0"/>
    <n v="0"/>
    <n v="12"/>
    <n v="4.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12"/>
    <n v="4.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1"/>
    <x v="1"/>
    <n v="2"/>
    <n v="2"/>
    <n v="2"/>
    <n v="2"/>
    <n v="0"/>
    <n v="0"/>
    <n v="0"/>
    <n v="0"/>
    <n v="2"/>
    <n v="2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2"/>
    <n v="2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3"/>
    <x v="3"/>
    <n v="2"/>
    <n v="2"/>
    <n v="2"/>
    <n v="2"/>
    <n v="0"/>
    <n v="0"/>
    <n v="0"/>
    <n v="0"/>
    <n v="2"/>
    <n v="2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2"/>
    <n v="2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28"/>
    <x v="28"/>
    <n v="4"/>
    <n v="1.6"/>
    <n v="4"/>
    <n v="1.6"/>
    <n v="0"/>
    <n v="0"/>
    <n v="0"/>
    <n v="0"/>
    <n v="4"/>
    <n v="1.6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4"/>
    <n v="1.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29"/>
    <x v="29"/>
    <n v="12"/>
    <n v="3"/>
    <n v="12"/>
    <n v="3"/>
    <n v="0"/>
    <n v="0"/>
    <n v="0"/>
    <n v="0"/>
    <n v="12"/>
    <n v="3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12"/>
    <n v="3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23"/>
    <x v="23"/>
    <n v="15"/>
    <n v="15"/>
    <n v="15"/>
    <n v="15"/>
    <n v="0"/>
    <n v="0"/>
    <n v="0"/>
    <n v="0"/>
    <n v="15"/>
    <n v="15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15"/>
    <n v="1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30"/>
    <x v="30"/>
    <n v="12"/>
    <n v="3"/>
    <n v="12"/>
    <n v="3"/>
    <n v="0"/>
    <n v="0"/>
    <n v="0"/>
    <n v="0"/>
    <n v="12"/>
    <n v="3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12"/>
    <n v="3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31"/>
    <x v="31"/>
    <n v="12"/>
    <n v="3"/>
    <n v="12"/>
    <n v="3"/>
    <n v="0"/>
    <n v="0"/>
    <n v="0"/>
    <n v="0"/>
    <n v="12"/>
    <n v="3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12"/>
    <n v="3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5"/>
    <x v="5"/>
    <n v="15"/>
    <n v="15"/>
    <n v="15"/>
    <n v="15"/>
    <n v="0"/>
    <n v="0"/>
    <n v="0"/>
    <n v="0"/>
    <n v="15"/>
    <n v="15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15"/>
    <n v="1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6"/>
    <x v="6"/>
    <n v="2"/>
    <n v="2"/>
    <n v="2"/>
    <n v="2"/>
    <n v="0"/>
    <n v="0"/>
    <n v="0"/>
    <n v="0"/>
    <n v="2"/>
    <n v="2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2"/>
    <n v="2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32"/>
    <x v="32"/>
    <n v="4"/>
    <n v="1.6"/>
    <n v="4"/>
    <n v="1.6"/>
    <n v="0"/>
    <n v="0"/>
    <n v="0"/>
    <n v="0"/>
    <n v="4"/>
    <n v="1.6"/>
    <m/>
    <m/>
    <s v="OPRCD489MOPRCD00000OPRCDF213OPRCD00000OPRCD923"/>
    <s v="ซื้อ / ขาย"/>
    <s v="By proudct"/>
    <s v="Seal Pack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4"/>
    <n v="1.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22"/>
    <x v="22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21"/>
    <x v="21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6.41.57.000000"/>
    <s v="แพ็ค"/>
    <s v="ก.ก."/>
    <s v=" "/>
    <n v="0"/>
    <s v="N"/>
    <n v="9045088637538"/>
    <m/>
    <m/>
    <n v="1"/>
    <m/>
    <m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495"/>
    <x v="33"/>
    <x v="33"/>
    <n v="14"/>
    <n v="5.6"/>
    <n v="14"/>
    <n v="5.6"/>
    <n v="0"/>
    <n v="0"/>
    <n v="0"/>
    <n v="0"/>
    <n v="14"/>
    <n v="5.6"/>
    <m/>
    <m/>
    <s v="OPRCD489MOPRCD00000OPRCDF213OPRCD00000OPRCD923"/>
    <s v="ซื้อ / ขาย"/>
    <s v="By proudct"/>
    <s v="Wrap"/>
    <s v="สุกร"/>
    <s v="OT002 CC-Makro"/>
    <s v="MT"/>
    <n v="2"/>
    <m/>
    <m/>
    <m/>
    <s v="System Batch"/>
    <s v="2026-04-03-16.41.57.000000"/>
    <s v="ถาด"/>
    <s v="ก.ก."/>
    <s v=" "/>
    <n v="0"/>
    <s v="N"/>
    <n v="9045088637538"/>
    <m/>
    <m/>
    <n v="1"/>
    <m/>
    <m/>
    <n v="1333314600"/>
    <s v="G"/>
    <n v="14"/>
    <n v="5.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0579"/>
    <x v="34"/>
    <x v="34"/>
    <n v="16"/>
    <n v="16"/>
    <n v="16"/>
    <n v="16"/>
    <n v="0"/>
    <n v="0"/>
    <n v="0"/>
    <n v="0"/>
    <n v="16"/>
    <n v="16"/>
    <m/>
    <m/>
    <s v="OPRCD489MOPRCD00000OPRCDF213OPRCD00000OPRCD923"/>
    <s v="ซื้อ / ขาย"/>
    <s v="By proudct"/>
    <s v="CP Brand(ซอง)"/>
    <s v="สุกร"/>
    <s v="OT002 CC-Makro"/>
    <s v="MT"/>
    <n v="2"/>
    <m/>
    <m/>
    <m/>
    <s v="System Batch"/>
    <s v="2026-04-03-17.21.51.000000"/>
    <s v="แพ็ค"/>
    <s v="ก.ก."/>
    <s v=" "/>
    <n v="0"/>
    <s v="N"/>
    <n v="9045088641265"/>
    <m/>
    <m/>
    <n v="1"/>
    <m/>
    <m/>
    <n v="1333314600"/>
    <s v="G"/>
    <n v="16"/>
    <n v="1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0579"/>
    <x v="33"/>
    <x v="33"/>
    <n v="56"/>
    <n v="22.4"/>
    <n v="56"/>
    <n v="22.4"/>
    <n v="0"/>
    <n v="0"/>
    <n v="0"/>
    <n v="0"/>
    <n v="56"/>
    <n v="22.4"/>
    <m/>
    <m/>
    <s v="OPRCD489MOPRCD00000OPRCDF213OPRCD00000OPRCD923"/>
    <s v="ซื้อ / ขาย"/>
    <s v="By proudct"/>
    <s v="Wrap"/>
    <s v="สุกร"/>
    <s v="OT002 CC-Makro"/>
    <s v="MT"/>
    <n v="2"/>
    <m/>
    <m/>
    <m/>
    <s v="System Batch"/>
    <s v="2026-04-03-17.21.51.000000"/>
    <s v="ถาด"/>
    <s v="ก.ก."/>
    <s v=" "/>
    <n v="0"/>
    <s v="N"/>
    <n v="9045088641265"/>
    <m/>
    <m/>
    <n v="1"/>
    <m/>
    <m/>
    <n v="1333314600"/>
    <s v="G"/>
    <n v="56"/>
    <n v="22.4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636"/>
    <x v="34"/>
    <x v="34"/>
    <n v="16"/>
    <n v="16"/>
    <n v="16"/>
    <n v="16"/>
    <n v="0"/>
    <n v="0"/>
    <n v="0"/>
    <n v="0"/>
    <n v="16"/>
    <n v="16"/>
    <m/>
    <m/>
    <s v="OPRCD489MOPRCD00000OPRCDF213OPRCD00000OPRCD923"/>
    <s v="ซื้อ / ขาย"/>
    <s v="By proudct"/>
    <s v="CP Brand(ซอง)"/>
    <s v="สุกร"/>
    <s v="OT002 CC-Makro"/>
    <s v="MT"/>
    <n v="2"/>
    <m/>
    <m/>
    <m/>
    <s v="System Batch"/>
    <s v="2026-04-03-17.21.51.000000"/>
    <s v="แพ็ค"/>
    <s v="ก.ก."/>
    <s v=" "/>
    <n v="0"/>
    <s v="N"/>
    <n v="9045088641329"/>
    <m/>
    <m/>
    <n v="1"/>
    <m/>
    <m/>
    <n v="1333314600"/>
    <s v="G"/>
    <n v="16"/>
    <n v="1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0636"/>
    <x v="33"/>
    <x v="33"/>
    <n v="14"/>
    <n v="5.6"/>
    <n v="14"/>
    <n v="5.6"/>
    <n v="0"/>
    <n v="0"/>
    <n v="0"/>
    <n v="0"/>
    <n v="14"/>
    <n v="5.6"/>
    <m/>
    <m/>
    <s v="OPRCD489MOPRCD00000OPRCDF213OPRCD00000OPRCD923"/>
    <s v="ซื้อ / ขาย"/>
    <s v="By proudct"/>
    <s v="Wrap"/>
    <s v="สุกร"/>
    <s v="OT002 CC-Makro"/>
    <s v="MT"/>
    <n v="2"/>
    <m/>
    <m/>
    <m/>
    <s v="System Batch"/>
    <s v="2026-04-03-17.21.51.000000"/>
    <s v="ถาด"/>
    <s v="ก.ก."/>
    <s v=" "/>
    <n v="0"/>
    <s v="N"/>
    <n v="9045088641329"/>
    <m/>
    <m/>
    <n v="1"/>
    <m/>
    <m/>
    <n v="1333314600"/>
    <s v="G"/>
    <n v="14"/>
    <n v="5.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0655"/>
    <x v="34"/>
    <x v="34"/>
    <n v="16"/>
    <n v="16"/>
    <n v="16"/>
    <n v="16"/>
    <n v="0"/>
    <n v="0"/>
    <n v="0"/>
    <n v="0"/>
    <n v="16"/>
    <n v="16"/>
    <m/>
    <m/>
    <s v="OPRCD489MOPRCD00000OPRCDF213OPRCD00000OPRCD923"/>
    <s v="ซื้อ / ขาย"/>
    <s v="By proudct"/>
    <s v="CP Brand(ซอง)"/>
    <s v="สุกร"/>
    <s v="OT002 CC-Makro"/>
    <s v="MT"/>
    <n v="2"/>
    <m/>
    <m/>
    <m/>
    <s v="System Batch"/>
    <s v="2026-04-03-17.21.51.000000"/>
    <s v="แพ็ค"/>
    <s v="ก.ก."/>
    <s v=" "/>
    <n v="0"/>
    <s v="N"/>
    <n v="9045088641348"/>
    <m/>
    <m/>
    <n v="1"/>
    <m/>
    <m/>
    <n v="1333314600"/>
    <s v="G"/>
    <n v="16"/>
    <n v="1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0655"/>
    <x v="33"/>
    <x v="33"/>
    <n v="14"/>
    <n v="5.6"/>
    <n v="14"/>
    <n v="5.6"/>
    <n v="0"/>
    <n v="0"/>
    <n v="0"/>
    <n v="0"/>
    <n v="14"/>
    <n v="5.6"/>
    <m/>
    <m/>
    <s v="OPRCD489MOPRCD00000OPRCDF213OPRCD00000OPRCD923"/>
    <s v="ซื้อ / ขาย"/>
    <s v="By proudct"/>
    <s v="Wrap"/>
    <s v="สุกร"/>
    <s v="OT002 CC-Makro"/>
    <s v="MT"/>
    <n v="2"/>
    <m/>
    <m/>
    <m/>
    <s v="System Batch"/>
    <s v="2026-04-03-17.21.51.000000"/>
    <s v="ถาด"/>
    <s v="ก.ก."/>
    <s v=" "/>
    <n v="0"/>
    <s v="N"/>
    <n v="9045088641348"/>
    <m/>
    <m/>
    <n v="1"/>
    <m/>
    <m/>
    <n v="1333314600"/>
    <s v="G"/>
    <n v="14"/>
    <n v="5.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0800"/>
    <x v="33"/>
    <x v="33"/>
    <n v="14"/>
    <n v="5.6"/>
    <n v="14"/>
    <n v="5.6"/>
    <n v="0"/>
    <n v="0"/>
    <n v="0"/>
    <n v="0"/>
    <n v="14"/>
    <n v="5.6"/>
    <m/>
    <m/>
    <s v="OPRCD489MOPRCD00000OPRCDF213OPRCD00000OPRCD923"/>
    <s v="ซื้อ / ขาย"/>
    <s v="By proudct"/>
    <s v="Wrap"/>
    <s v="สุกร"/>
    <s v="MT2001 SUPER MK.-Makro"/>
    <s v="MT"/>
    <n v="20"/>
    <n v="1"/>
    <m/>
    <m/>
    <s v="System Batch"/>
    <s v="2026-04-03-17.21.51.000000"/>
    <s v="ถาด"/>
    <s v="ก.ก."/>
    <s v=" "/>
    <n v="0"/>
    <s v="N"/>
    <n v="9045088641497"/>
    <m/>
    <m/>
    <n v="1"/>
    <m/>
    <m/>
    <n v="1333314600"/>
    <s v="G"/>
    <n v="14"/>
    <n v="5.6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35"/>
    <x v="35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36"/>
    <x v="36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30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37"/>
    <x v="37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ถุง"/>
    <s v="ก.ก."/>
    <s v=" "/>
    <n v="0"/>
    <s v="N"/>
    <n v="9044988632609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38"/>
    <x v="38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39"/>
    <x v="39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0"/>
    <x v="40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20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1"/>
    <x v="41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2"/>
    <x v="42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3"/>
    <x v="43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4"/>
    <x v="44"/>
    <n v="700"/>
    <n v="700"/>
    <n v="700"/>
    <n v="700"/>
    <n v="0"/>
    <n v="0"/>
    <n v="0"/>
    <n v="0"/>
    <n v="700"/>
    <n v="7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700"/>
    <n v="7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5"/>
    <x v="45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6"/>
    <x v="46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20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7"/>
    <x v="47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1012"/>
    <x v="48"/>
    <x v="48"/>
    <n v="500"/>
    <n v="500"/>
    <n v="500"/>
    <n v="500"/>
    <n v="0"/>
    <n v="0"/>
    <n v="0"/>
    <n v="0"/>
    <n v="500"/>
    <n v="5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609"/>
    <m/>
    <m/>
    <n v="1"/>
    <m/>
    <s v=";0000"/>
    <n v="1333314600"/>
    <s v="G"/>
    <n v="500"/>
    <n v="5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43"/>
    <x v="43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20"/>
    <n v="1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40"/>
    <x v="40"/>
    <n v="400"/>
    <n v="400"/>
    <n v="400"/>
    <n v="400"/>
    <n v="0"/>
    <n v="0"/>
    <n v="0"/>
    <n v="0"/>
    <n v="400"/>
    <n v="4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400"/>
    <n v="4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49"/>
    <x v="49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0"/>
    <x v="50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1"/>
    <x v="51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ถุง"/>
    <s v="ก.ก."/>
    <s v=" "/>
    <n v="0"/>
    <s v="N"/>
    <n v="9044988632667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2"/>
    <x v="52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3"/>
    <x v="53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30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4"/>
    <x v="54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20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38"/>
    <x v="38"/>
    <n v="300"/>
    <n v="300"/>
    <n v="300"/>
    <n v="300"/>
    <n v="0"/>
    <n v="0"/>
    <n v="0"/>
    <n v="0"/>
    <n v="300"/>
    <n v="3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300"/>
    <n v="3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45"/>
    <x v="45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30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5"/>
    <x v="55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6"/>
    <x v="56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7"/>
    <x v="57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8"/>
    <x v="58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59"/>
    <x v="59"/>
    <n v="60"/>
    <n v="60"/>
    <n v="60"/>
    <n v="60"/>
    <n v="0"/>
    <n v="0"/>
    <n v="0"/>
    <n v="0"/>
    <n v="60"/>
    <n v="6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60"/>
    <n v="6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0"/>
    <x v="60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20"/>
    <n v="1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41"/>
    <x v="41"/>
    <n v="180"/>
    <n v="180"/>
    <n v="180"/>
    <n v="180"/>
    <n v="0"/>
    <n v="0"/>
    <n v="0"/>
    <n v="0"/>
    <n v="180"/>
    <n v="18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80"/>
    <n v="1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46"/>
    <x v="46"/>
    <n v="400"/>
    <n v="400"/>
    <n v="400"/>
    <n v="400"/>
    <n v="0"/>
    <n v="0"/>
    <n v="0"/>
    <n v="0"/>
    <n v="400"/>
    <n v="4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400"/>
    <n v="4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1"/>
    <x v="61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44"/>
    <x v="44"/>
    <n v="600"/>
    <n v="600"/>
    <n v="600"/>
    <n v="600"/>
    <n v="0"/>
    <n v="0"/>
    <n v="0"/>
    <n v="0"/>
    <n v="600"/>
    <n v="6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600"/>
    <n v="6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2"/>
    <x v="62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48"/>
    <x v="48"/>
    <n v="900"/>
    <n v="900"/>
    <n v="900"/>
    <n v="900"/>
    <n v="0"/>
    <n v="0"/>
    <n v="0"/>
    <n v="0"/>
    <n v="900"/>
    <n v="9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900"/>
    <n v="9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3"/>
    <x v="63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ถุง"/>
    <s v="ก.ก."/>
    <s v=" "/>
    <n v="0"/>
    <s v="N"/>
    <n v="9044988632667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36"/>
    <x v="36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4"/>
    <x v="64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5"/>
    <x v="65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30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6"/>
    <x v="66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7"/>
    <x v="67"/>
    <n v="60"/>
    <n v="60"/>
    <n v="60"/>
    <n v="60"/>
    <n v="0"/>
    <n v="0"/>
    <n v="0"/>
    <n v="0"/>
    <n v="60"/>
    <n v="6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60"/>
    <n v="6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39"/>
    <x v="39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1070"/>
    <x v="68"/>
    <x v="68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67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60"/>
    <x v="60"/>
    <n v="180"/>
    <n v="180"/>
    <n v="180"/>
    <n v="180"/>
    <n v="0"/>
    <n v="0"/>
    <n v="0"/>
    <n v="0"/>
    <n v="180"/>
    <n v="18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80"/>
    <n v="1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67"/>
    <x v="67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38"/>
    <x v="38"/>
    <n v="400"/>
    <n v="400"/>
    <n v="400"/>
    <n v="400"/>
    <n v="0"/>
    <n v="0"/>
    <n v="0"/>
    <n v="0"/>
    <n v="400"/>
    <n v="4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400"/>
    <n v="4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50"/>
    <x v="50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69"/>
    <x v="69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0"/>
    <x v="70"/>
    <n v="60"/>
    <n v="300"/>
    <n v="60"/>
    <n v="300"/>
    <n v="0"/>
    <n v="0"/>
    <n v="0"/>
    <n v="0"/>
    <n v="60"/>
    <n v="3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ถุง"/>
    <s v="ก.ก."/>
    <s v=" "/>
    <n v="0"/>
    <s v="N"/>
    <n v="9044988632688"/>
    <m/>
    <m/>
    <n v="1"/>
    <m/>
    <s v=";0000"/>
    <n v="1333314600"/>
    <s v="G"/>
    <n v="60"/>
    <n v="3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1"/>
    <x v="71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2"/>
    <x v="72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41"/>
    <x v="41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64"/>
    <x v="64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48"/>
    <x v="48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3"/>
    <x v="73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4"/>
    <x v="74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66"/>
    <x v="66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46"/>
    <x v="46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20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5"/>
    <x v="75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6"/>
    <x v="76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65"/>
    <x v="65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7"/>
    <x v="77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8"/>
    <x v="78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79"/>
    <x v="79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52"/>
    <x v="52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80"/>
    <x v="80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43"/>
    <x v="43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55"/>
    <x v="55"/>
    <n v="180"/>
    <n v="180"/>
    <n v="180"/>
    <n v="180"/>
    <n v="0"/>
    <n v="0"/>
    <n v="0"/>
    <n v="0"/>
    <n v="180"/>
    <n v="18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80"/>
    <n v="1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81"/>
    <x v="81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40"/>
    <x v="40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58"/>
    <x v="58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39"/>
    <x v="39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61"/>
    <x v="61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82"/>
    <x v="82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45"/>
    <x v="45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20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62"/>
    <x v="62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56"/>
    <x v="56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83"/>
    <x v="83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44"/>
    <x v="44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84"/>
    <x v="84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85"/>
    <x v="85"/>
    <n v="0"/>
    <n v="0"/>
    <n v="0"/>
    <n v="0"/>
    <n v="0"/>
    <n v="0"/>
    <n v="0"/>
    <n v="0"/>
    <n v="0"/>
    <n v="0"/>
    <m/>
    <m/>
    <s v="OPRCD489MOPRCD00000OPRCDF213OPRCD00000OPRCD923"/>
    <s v="ซื้อ / ขาย"/>
    <m/>
    <m/>
    <m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49"/>
    <x v="49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20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86"/>
    <x v="86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87"/>
    <x v="87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1098"/>
    <x v="54"/>
    <x v="54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สุภาวดี มีแทน"/>
    <s v="2026-04-03-18.11.49.000000"/>
    <s v="ก.ก."/>
    <s v="ก.ก."/>
    <s v=" "/>
    <n v="0"/>
    <s v="N"/>
    <n v="9044988632688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88"/>
    <x v="88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47"/>
    <x v="47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30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73"/>
    <x v="73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81"/>
    <x v="81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39"/>
    <x v="39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75"/>
    <x v="75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60"/>
    <x v="60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42"/>
    <x v="42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50"/>
    <x v="50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57"/>
    <x v="57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20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89"/>
    <x v="89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41"/>
    <x v="41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76"/>
    <x v="76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83"/>
    <x v="83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79"/>
    <x v="79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35"/>
    <x v="35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43"/>
    <x v="43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61"/>
    <x v="61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38"/>
    <x v="38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68"/>
    <x v="68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90"/>
    <x v="90"/>
    <n v="1.9231"/>
    <n v="10.000120000000001"/>
    <n v="1.9231"/>
    <n v="10.0001"/>
    <n v="0"/>
    <n v="2.0000000000000002E-5"/>
    <n v="0"/>
    <n v="0"/>
    <n v="1.9231"/>
    <n v="10.0001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ถุง"/>
    <s v="ก.ก."/>
    <s v=" "/>
    <n v="0"/>
    <s v="N"/>
    <n v="9044988632868"/>
    <m/>
    <m/>
    <n v="1"/>
    <m/>
    <s v=";0000"/>
    <n v="1333314600"/>
    <s v="G"/>
    <n v="1.9231"/>
    <n v="10.000120000000001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300"/>
    <s v="บมจ. ซีพี แอ็กซ์ตร้า สาขานครนายก"/>
    <n v="2"/>
    <x v="6"/>
    <d v="2569-03-04T00:00:00"/>
    <x v="0"/>
    <s v="H6954RMA0041294"/>
    <x v="67"/>
    <x v="67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68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1298"/>
    <x v="45"/>
    <x v="45"/>
    <n v="6"/>
    <n v="6"/>
    <n v="6"/>
    <n v="6"/>
    <n v="0"/>
    <n v="0"/>
    <n v="0"/>
    <n v="0"/>
    <n v="6"/>
    <n v="6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72"/>
    <m/>
    <m/>
    <n v="1"/>
    <m/>
    <s v=";0000"/>
    <n v="1333314600"/>
    <s v="G"/>
    <n v="6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1298"/>
    <x v="39"/>
    <x v="39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72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1298"/>
    <x v="91"/>
    <x v="91"/>
    <n v="6"/>
    <n v="6"/>
    <n v="6"/>
    <n v="6"/>
    <n v="0"/>
    <n v="0"/>
    <n v="0"/>
    <n v="0"/>
    <n v="6"/>
    <n v="6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72"/>
    <m/>
    <m/>
    <n v="1"/>
    <m/>
    <s v=";0000"/>
    <n v="1333314600"/>
    <s v="G"/>
    <n v="6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1298"/>
    <x v="43"/>
    <x v="43"/>
    <n v="19"/>
    <n v="19"/>
    <n v="19"/>
    <n v="19"/>
    <n v="0"/>
    <n v="0"/>
    <n v="0"/>
    <n v="0"/>
    <n v="19"/>
    <n v="19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72"/>
    <m/>
    <m/>
    <n v="1"/>
    <m/>
    <s v=";0000"/>
    <n v="1333314600"/>
    <s v="G"/>
    <n v="19"/>
    <n v="19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1298"/>
    <x v="61"/>
    <x v="61"/>
    <n v="6"/>
    <n v="6"/>
    <n v="6"/>
    <n v="6"/>
    <n v="0"/>
    <n v="0"/>
    <n v="0"/>
    <n v="0"/>
    <n v="6"/>
    <n v="6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18.11.49.000000"/>
    <s v="ก.ก."/>
    <s v="ก.ก."/>
    <s v=" "/>
    <n v="0"/>
    <s v="N"/>
    <n v="9044988632872"/>
    <m/>
    <m/>
    <n v="1"/>
    <m/>
    <s v=";0000"/>
    <n v="1333314600"/>
    <s v="G"/>
    <n v="6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2093"/>
    <x v="92"/>
    <x v="92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78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2093"/>
    <x v="93"/>
    <x v="93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78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2093"/>
    <x v="94"/>
    <x v="94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789"/>
    <m/>
    <m/>
    <n v="1"/>
    <m/>
    <s v=";0000"/>
    <n v="1333314600"/>
    <s v="G"/>
    <n v="30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2093"/>
    <x v="95"/>
    <x v="95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789"/>
    <m/>
    <m/>
    <n v="1"/>
    <m/>
    <s v=";0000"/>
    <n v="1333314600"/>
    <s v="G"/>
    <n v="30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3900"/>
    <s v="บมจ. ซีพี แอ็กซ์ตร้า สาขาสระบุรี"/>
    <n v="2"/>
    <x v="2"/>
    <d v="2569-03-04T00:00:00"/>
    <x v="0"/>
    <s v="H6954RMA0042093"/>
    <x v="96"/>
    <x v="96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78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2125"/>
    <x v="92"/>
    <x v="92"/>
    <n v="230"/>
    <n v="230"/>
    <n v="230"/>
    <n v="230"/>
    <n v="0"/>
    <n v="0"/>
    <n v="0"/>
    <n v="0"/>
    <n v="230"/>
    <n v="23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821"/>
    <m/>
    <m/>
    <n v="1"/>
    <m/>
    <s v=";0000"/>
    <n v="1333314600"/>
    <s v="G"/>
    <n v="230"/>
    <n v="2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2125"/>
    <x v="96"/>
    <x v="96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821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2137"/>
    <x v="96"/>
    <x v="96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37.32.000000"/>
    <s v="ก.ก."/>
    <s v="ก.ก."/>
    <s v=" "/>
    <n v="0"/>
    <s v="N"/>
    <n v="9044988640833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2137"/>
    <x v="93"/>
    <x v="93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37.32.000000"/>
    <s v="ก.ก."/>
    <s v="ก.ก."/>
    <s v=" "/>
    <n v="0"/>
    <s v="N"/>
    <n v="9044988640833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2137"/>
    <x v="94"/>
    <x v="94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37.32.000000"/>
    <s v="ก.ก."/>
    <s v="ก.ก."/>
    <s v=" "/>
    <n v="0"/>
    <s v="N"/>
    <n v="9044988640833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2137"/>
    <x v="92"/>
    <x v="92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37.32.000000"/>
    <s v="ก.ก."/>
    <s v="ก.ก."/>
    <s v=" "/>
    <n v="0"/>
    <s v="N"/>
    <n v="9044988640833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3-04T00:00:00"/>
    <x v="0"/>
    <s v="H6954RMA0042137"/>
    <x v="95"/>
    <x v="95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สุภาวดี มีแทน"/>
    <s v="2026-04-03-18.37.32.000000"/>
    <s v="ก.ก."/>
    <s v="ก.ก."/>
    <s v=" "/>
    <n v="0"/>
    <s v="N"/>
    <n v="9044988640833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2261"/>
    <x v="92"/>
    <x v="92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957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2261"/>
    <x v="93"/>
    <x v="93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957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2261"/>
    <x v="94"/>
    <x v="94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0957"/>
    <m/>
    <m/>
    <n v="1"/>
    <m/>
    <s v=";0000"/>
    <n v="1333314600"/>
    <s v="G"/>
    <n v="30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2322"/>
    <x v="93"/>
    <x v="93"/>
    <n v="45"/>
    <n v="45"/>
    <n v="45"/>
    <n v="45"/>
    <n v="0"/>
    <n v="0"/>
    <n v="0"/>
    <n v="0"/>
    <n v="45"/>
    <n v="45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1018"/>
    <m/>
    <m/>
    <n v="1"/>
    <m/>
    <s v=";0000"/>
    <n v="1333314600"/>
    <s v="G"/>
    <n v="45"/>
    <n v="4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2322"/>
    <x v="92"/>
    <x v="92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1018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2322"/>
    <x v="94"/>
    <x v="94"/>
    <n v="70"/>
    <n v="70"/>
    <n v="70"/>
    <n v="70"/>
    <n v="0"/>
    <n v="0"/>
    <n v="0"/>
    <n v="0"/>
    <n v="70"/>
    <n v="7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เบญจวรรณ บำรุงสิน"/>
    <s v="2026-04-03-18.37.32.000000"/>
    <s v="ก.ก."/>
    <s v="ก.ก."/>
    <s v=" "/>
    <n v="0"/>
    <s v="N"/>
    <n v="9044988641018"/>
    <m/>
    <m/>
    <n v="1"/>
    <m/>
    <s v=";0000"/>
    <n v="1333314600"/>
    <s v="G"/>
    <n v="70"/>
    <n v="7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2529"/>
    <x v="95"/>
    <x v="95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เบญจวรรณ บำรุงสิน"/>
    <s v="2026-04-03-18.37.32.000000"/>
    <s v="ก.ก."/>
    <s v="ก.ก."/>
    <s v=" "/>
    <n v="0"/>
    <s v="N"/>
    <n v="9044988641225"/>
    <m/>
    <m/>
    <n v="1"/>
    <m/>
    <s v=";0000"/>
    <n v="1333314600"/>
    <s v="G"/>
    <n v="30"/>
    <n v="3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2529"/>
    <x v="94"/>
    <x v="94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เบญจวรรณ บำรุงสิน"/>
    <s v="2026-04-03-18.37.32.000000"/>
    <s v="ก.ก."/>
    <s v="ก.ก."/>
    <s v=" "/>
    <n v="0"/>
    <s v="N"/>
    <n v="9044988641225"/>
    <m/>
    <m/>
    <n v="1"/>
    <m/>
    <s v=";0000"/>
    <n v="1333314600"/>
    <s v="G"/>
    <n v="120"/>
    <n v="1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2529"/>
    <x v="92"/>
    <x v="92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เบญจวรรณ บำรุงสิน"/>
    <s v="2026-04-03-18.37.32.000000"/>
    <s v="ก.ก."/>
    <s v="ก.ก."/>
    <s v=" "/>
    <n v="0"/>
    <s v="N"/>
    <n v="9044988641225"/>
    <m/>
    <m/>
    <n v="1"/>
    <m/>
    <s v=";0000"/>
    <n v="1333314600"/>
    <s v="G"/>
    <n v="50"/>
    <n v="5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2579"/>
    <x v="34"/>
    <x v="34"/>
    <n v="16"/>
    <n v="16"/>
    <n v="16"/>
    <n v="16"/>
    <n v="0"/>
    <n v="0"/>
    <n v="0"/>
    <n v="0"/>
    <n v="16"/>
    <n v="16"/>
    <m/>
    <m/>
    <s v="OPRCD489MOPRCD00000OPRCDF213OPRCD00000OPRCD923"/>
    <s v="ซื้อ / ขาย"/>
    <s v="By proudct"/>
    <s v="CP Brand(ซอง)"/>
    <s v="สุกร"/>
    <s v="OT002 CC-Makro"/>
    <s v="MT"/>
    <n v="2"/>
    <m/>
    <m/>
    <m/>
    <s v="เบญจวรรณ บำรุงสิน"/>
    <s v="2026-04-03-19.15.02.000000"/>
    <s v="แพ็ค"/>
    <s v="ก.ก."/>
    <s v=" "/>
    <n v="0"/>
    <s v="N"/>
    <n v="9045088641293"/>
    <m/>
    <m/>
    <n v="1"/>
    <m/>
    <m/>
    <n v="1333314600"/>
    <s v="G"/>
    <n v="16"/>
    <n v="1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3-04T00:00:00"/>
    <x v="0"/>
    <s v="H6954RMA0042579"/>
    <x v="33"/>
    <x v="33"/>
    <n v="14"/>
    <n v="5.6"/>
    <n v="14"/>
    <n v="5.6"/>
    <n v="0"/>
    <n v="0"/>
    <n v="0"/>
    <n v="0"/>
    <n v="14"/>
    <n v="5.6"/>
    <m/>
    <m/>
    <s v="OPRCD489MOPRCD00000OPRCDF213OPRCD00000OPRCD923"/>
    <s v="ซื้อ / ขาย"/>
    <s v="By proudct"/>
    <s v="Wrap"/>
    <s v="สุกร"/>
    <s v="OT002 CC-Makro"/>
    <s v="MT"/>
    <n v="2"/>
    <m/>
    <m/>
    <m/>
    <s v="เบญจวรรณ บำรุงสิน"/>
    <s v="2026-04-03-19.15.02.000000"/>
    <s v="ถาด"/>
    <s v="ก.ก."/>
    <s v=" "/>
    <n v="0"/>
    <s v="N"/>
    <n v="9045088641293"/>
    <m/>
    <m/>
    <n v="1"/>
    <m/>
    <m/>
    <n v="1333314600"/>
    <s v="G"/>
    <n v="14"/>
    <n v="5.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89"/>
    <x v="89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"/>
    <n v="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82"/>
    <x v="82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"/>
    <n v="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6"/>
    <x v="66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0"/>
    <n v="20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86"/>
    <x v="86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20"/>
    <n v="1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4"/>
    <x v="64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80"/>
    <n v="8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1"/>
    <x v="51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ถุง"/>
    <s v="ก.ก."/>
    <s v=" "/>
    <n v="0"/>
    <s v="N"/>
    <n v="9044988633261"/>
    <m/>
    <m/>
    <n v="1"/>
    <m/>
    <s v=";0000"/>
    <n v="1333314600"/>
    <s v="G"/>
    <n v="0"/>
    <n v="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48"/>
    <x v="48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0"/>
    <n v="20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73"/>
    <x v="73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5"/>
    <n v="5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7"/>
    <x v="67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20"/>
    <n v="1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7"/>
    <x v="57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30"/>
    <n v="3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5"/>
    <x v="65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30"/>
    <n v="3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8"/>
    <x v="58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20"/>
    <n v="1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36"/>
    <x v="36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30"/>
    <n v="3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38"/>
    <x v="38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50"/>
    <n v="15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83"/>
    <x v="83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5"/>
    <n v="5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44"/>
    <x v="44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0"/>
    <n v="20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5"/>
    <x v="55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20"/>
    <n v="1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4"/>
    <x v="54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40"/>
    <n v="4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75"/>
    <x v="75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0"/>
    <n v="1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71"/>
    <x v="71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0"/>
    <n v="1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77"/>
    <x v="77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"/>
    <n v="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39"/>
    <x v="39"/>
    <n v="60"/>
    <n v="60"/>
    <n v="60"/>
    <n v="60"/>
    <n v="0"/>
    <n v="0"/>
    <n v="0"/>
    <n v="0"/>
    <n v="60"/>
    <n v="6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60"/>
    <n v="6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84"/>
    <x v="84"/>
    <n v="60"/>
    <n v="60"/>
    <n v="60"/>
    <n v="60"/>
    <n v="0"/>
    <n v="0"/>
    <n v="0"/>
    <n v="0"/>
    <n v="60"/>
    <n v="6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60"/>
    <n v="6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6"/>
    <x v="56"/>
    <n v="15"/>
    <n v="15"/>
    <n v="15"/>
    <n v="15"/>
    <n v="0"/>
    <n v="0"/>
    <n v="0"/>
    <n v="0"/>
    <n v="15"/>
    <n v="15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5"/>
    <n v="15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1"/>
    <x v="61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20"/>
    <n v="1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0"/>
    <x v="50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0"/>
    <n v="1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8"/>
    <x v="68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"/>
    <n v="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3"/>
    <x v="63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ถุง"/>
    <s v="ก.ก."/>
    <s v=" "/>
    <n v="0"/>
    <s v="N"/>
    <n v="9044988633261"/>
    <m/>
    <m/>
    <n v="1"/>
    <m/>
    <s v=";0000"/>
    <n v="1333314600"/>
    <s v="G"/>
    <n v="0"/>
    <n v="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49"/>
    <x v="49"/>
    <n v="160"/>
    <n v="160"/>
    <n v="160"/>
    <n v="160"/>
    <n v="0"/>
    <n v="0"/>
    <n v="0"/>
    <n v="0"/>
    <n v="160"/>
    <n v="16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60"/>
    <n v="16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2"/>
    <x v="52"/>
    <n v="30"/>
    <n v="30"/>
    <n v="30"/>
    <n v="30"/>
    <n v="0"/>
    <n v="0"/>
    <n v="0"/>
    <n v="0"/>
    <n v="30"/>
    <n v="3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30"/>
    <n v="3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80"/>
    <x v="80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20"/>
    <n v="1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40"/>
    <x v="40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0"/>
    <n v="20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46"/>
    <x v="46"/>
    <n v="500"/>
    <n v="500"/>
    <n v="500"/>
    <n v="500"/>
    <n v="0"/>
    <n v="0"/>
    <n v="0"/>
    <n v="0"/>
    <n v="500"/>
    <n v="50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500"/>
    <n v="50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9"/>
    <x v="69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10"/>
    <n v="1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97"/>
    <x v="97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"/>
    <n v="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35"/>
    <x v="35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80"/>
    <n v="8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88"/>
    <x v="88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"/>
    <n v="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81"/>
    <x v="81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5"/>
    <n v="5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45"/>
    <x v="45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50"/>
    <n v="5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79"/>
    <x v="79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20"/>
    <n v="2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53"/>
    <x v="53"/>
    <n v="60"/>
    <n v="60"/>
    <n v="60"/>
    <n v="60"/>
    <n v="0"/>
    <n v="0"/>
    <n v="0"/>
    <n v="0"/>
    <n v="60"/>
    <n v="6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60"/>
    <n v="6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42"/>
    <x v="42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80"/>
    <n v="8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60"/>
    <x v="60"/>
    <n v="60"/>
    <n v="60"/>
    <n v="60"/>
    <n v="60"/>
    <n v="0"/>
    <n v="0"/>
    <n v="0"/>
    <n v="0"/>
    <n v="60"/>
    <n v="6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60"/>
    <n v="6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76"/>
    <x v="76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50"/>
    <n v="5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7200"/>
    <s v="บมจ. ซีพี แอ็กซ์ตร้า สาขาชัยนาท"/>
    <n v="2"/>
    <x v="4"/>
    <d v="2569-03-04T00:00:00"/>
    <x v="0"/>
    <s v="H6954RMA0043028"/>
    <x v="43"/>
    <x v="43"/>
    <n v="60"/>
    <n v="60"/>
    <n v="60"/>
    <n v="60"/>
    <n v="0"/>
    <n v="0"/>
    <n v="0"/>
    <n v="0"/>
    <n v="60"/>
    <n v="60"/>
    <m/>
    <m/>
    <s v="OPRCD489MOPRCD00000OPRCDF213OPRCD00000OPRCD923"/>
    <s v="ซื้อ / ขาย"/>
    <s v="Main proudct"/>
    <s v="Bulk Normal"/>
    <s v="สุกร"/>
    <s v="MT2001 SUPER MK.-Makro"/>
    <s v="MT"/>
    <n v="20"/>
    <n v="1"/>
    <m/>
    <m/>
    <s v="สาวิตรี เตมียะ"/>
    <s v="2026-04-03-20.10.49.000000"/>
    <s v="ก.ก."/>
    <s v="ก.ก."/>
    <s v=" "/>
    <n v="0"/>
    <s v="N"/>
    <n v="9044988633261"/>
    <m/>
    <m/>
    <n v="1"/>
    <m/>
    <s v=";0000"/>
    <n v="1333314600"/>
    <s v="G"/>
    <n v="60"/>
    <n v="60"/>
    <m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98"/>
    <x v="98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83"/>
    <x v="83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60"/>
    <x v="60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89"/>
    <x v="89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41"/>
    <x v="41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43"/>
    <x v="43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40"/>
    <x v="40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58"/>
    <x v="58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36"/>
    <x v="36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99"/>
    <x v="99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51"/>
    <x v="51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ถุง"/>
    <s v="ก.ก."/>
    <s v=" "/>
    <n v="0"/>
    <s v="N"/>
    <n v="9044988632979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79"/>
    <x v="79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100"/>
    <x v="100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ถุง"/>
    <s v="ก.ก."/>
    <s v=" "/>
    <n v="0"/>
    <s v="N"/>
    <n v="9044988632979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53"/>
    <x v="53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84"/>
    <x v="84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54"/>
    <x v="54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82"/>
    <x v="82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38"/>
    <x v="38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35"/>
    <x v="35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81"/>
    <x v="81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76"/>
    <x v="76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69"/>
    <x v="69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45"/>
    <x v="45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88"/>
    <x v="88"/>
    <n v="15"/>
    <n v="15"/>
    <n v="15"/>
    <n v="15"/>
    <n v="0"/>
    <n v="0"/>
    <n v="0"/>
    <n v="0"/>
    <n v="15"/>
    <n v="1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5"/>
    <n v="1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67"/>
    <x v="67"/>
    <n v="100"/>
    <n v="100"/>
    <n v="100"/>
    <n v="100"/>
    <n v="0"/>
    <n v="0"/>
    <n v="0"/>
    <n v="0"/>
    <n v="100"/>
    <n v="1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0"/>
    <n v="1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91"/>
    <x v="91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49"/>
    <x v="49"/>
    <n v="150"/>
    <n v="150"/>
    <n v="150"/>
    <n v="150"/>
    <n v="0"/>
    <n v="0"/>
    <n v="0"/>
    <n v="0"/>
    <n v="150"/>
    <n v="1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50"/>
    <n v="1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39"/>
    <x v="39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46"/>
    <x v="46"/>
    <n v="400"/>
    <n v="400"/>
    <n v="400"/>
    <n v="400"/>
    <n v="0"/>
    <n v="0"/>
    <n v="0"/>
    <n v="0"/>
    <n v="400"/>
    <n v="4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400"/>
    <n v="4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73"/>
    <x v="73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71"/>
    <x v="71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77"/>
    <x v="77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86"/>
    <x v="86"/>
    <n v="200"/>
    <n v="200"/>
    <n v="200"/>
    <n v="200"/>
    <n v="0"/>
    <n v="0"/>
    <n v="0"/>
    <n v="0"/>
    <n v="200"/>
    <n v="2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20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101"/>
    <x v="101"/>
    <n v="10"/>
    <n v="50"/>
    <n v="10"/>
    <n v="50"/>
    <n v="0"/>
    <n v="0"/>
    <n v="0"/>
    <n v="0"/>
    <n v="10"/>
    <n v="50"/>
    <m/>
    <m/>
    <s v="OPRCD489MOPRCD00000OPRCDF213OPRCD00000OPRCD923"/>
    <s v="ซื้อ / ขาย"/>
    <m/>
    <m/>
    <m/>
    <s v="OT002 CC-Makro"/>
    <s v="MT"/>
    <n v="2"/>
    <m/>
    <m/>
    <m/>
    <s v="ศศิธร จักพุดซา"/>
    <s v="2026-04-03-20.17.24.000000"/>
    <s v="ถุง"/>
    <s v="ก.ก."/>
    <s v=" "/>
    <n v="0"/>
    <s v="N"/>
    <n v="9044988632979"/>
    <m/>
    <m/>
    <n v="1"/>
    <m/>
    <s v=";0000"/>
    <n v="1333314600"/>
    <s v="G"/>
    <n v="1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90"/>
    <x v="90"/>
    <n v="5.7691999999999997"/>
    <n v="29.999839999999999"/>
    <n v="5.7691999999999997"/>
    <n v="29.9998"/>
    <n v="0"/>
    <n v="4.0000000000000003E-5"/>
    <n v="0"/>
    <n v="0"/>
    <n v="5.7691999999999997"/>
    <n v="29.9998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ถุง"/>
    <s v="ก.ก."/>
    <s v=" "/>
    <n v="0"/>
    <s v="N"/>
    <n v="9044988632979"/>
    <m/>
    <m/>
    <n v="1"/>
    <m/>
    <s v=";0000"/>
    <n v="1333314600"/>
    <s v="G"/>
    <n v="5.7691999999999997"/>
    <n v="29.999839999999999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42"/>
    <x v="42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55"/>
    <x v="55"/>
    <n v="0"/>
    <n v="0"/>
    <n v="0"/>
    <n v="0"/>
    <n v="0"/>
    <n v="0"/>
    <n v="0"/>
    <n v="0"/>
    <n v="0"/>
    <n v="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0"/>
    <n v="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75"/>
    <x v="75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52"/>
    <x v="52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48"/>
    <x v="48"/>
    <n v="500"/>
    <n v="500"/>
    <n v="500"/>
    <n v="500"/>
    <n v="0"/>
    <n v="0"/>
    <n v="0"/>
    <n v="0"/>
    <n v="500"/>
    <n v="5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00"/>
    <n v="5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80"/>
    <x v="80"/>
    <n v="500"/>
    <n v="500"/>
    <n v="500"/>
    <n v="500"/>
    <n v="0"/>
    <n v="0"/>
    <n v="0"/>
    <n v="0"/>
    <n v="500"/>
    <n v="50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500"/>
    <n v="5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3-04T00:00:00"/>
    <x v="0"/>
    <s v="H6954RMA0043211"/>
    <x v="50"/>
    <x v="50"/>
    <n v="70"/>
    <n v="70"/>
    <n v="70"/>
    <n v="70"/>
    <n v="0"/>
    <n v="0"/>
    <n v="0"/>
    <n v="0"/>
    <n v="70"/>
    <n v="7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ศศิธร จักพุดซา"/>
    <s v="2026-04-03-20.17.24.000000"/>
    <s v="ก.ก."/>
    <s v="ก.ก."/>
    <s v=" "/>
    <n v="0"/>
    <s v="N"/>
    <n v="9044988632979"/>
    <m/>
    <m/>
    <n v="1"/>
    <m/>
    <s v=";0000"/>
    <n v="1333314600"/>
    <s v="G"/>
    <n v="70"/>
    <n v="7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4170"/>
    <x v="91"/>
    <x v="91"/>
    <n v="6"/>
    <n v="6"/>
    <n v="6"/>
    <n v="6"/>
    <n v="0"/>
    <n v="0"/>
    <n v="0"/>
    <n v="0"/>
    <n v="6"/>
    <n v="6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20.42.29.000000"/>
    <s v="ก.ก."/>
    <s v="ก.ก."/>
    <s v=" "/>
    <n v="0"/>
    <s v="N"/>
    <n v="9044988648947"/>
    <m/>
    <m/>
    <n v="1"/>
    <m/>
    <s v=";0000"/>
    <n v="1333314600"/>
    <s v="G"/>
    <n v="6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4170"/>
    <x v="39"/>
    <x v="39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3-20.42.29.000000"/>
    <s v="ก.ก."/>
    <s v="ก.ก."/>
    <s v=" "/>
    <n v="0"/>
    <s v="N"/>
    <n v="9044988648947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4170"/>
    <x v="61"/>
    <x v="61"/>
    <n v="6"/>
    <n v="6"/>
    <n v="6"/>
    <n v="6"/>
    <n v="0"/>
    <n v="0"/>
    <n v="0"/>
    <n v="0"/>
    <n v="6"/>
    <n v="6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20.42.29.000000"/>
    <s v="ก.ก."/>
    <s v="ก.ก."/>
    <s v=" "/>
    <n v="0"/>
    <s v="N"/>
    <n v="9044988648947"/>
    <m/>
    <m/>
    <n v="1"/>
    <m/>
    <s v=";0000"/>
    <n v="1333314600"/>
    <s v="G"/>
    <n v="6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4170"/>
    <x v="43"/>
    <x v="43"/>
    <n v="19"/>
    <n v="19"/>
    <n v="19"/>
    <n v="19"/>
    <n v="0"/>
    <n v="0"/>
    <n v="0"/>
    <n v="0"/>
    <n v="19"/>
    <n v="19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20.42.29.000000"/>
    <s v="ก.ก."/>
    <s v="ก.ก."/>
    <s v=" "/>
    <n v="0"/>
    <s v="N"/>
    <n v="9044988648947"/>
    <m/>
    <m/>
    <n v="1"/>
    <m/>
    <s v=";0000"/>
    <n v="1333314600"/>
    <s v="G"/>
    <n v="19"/>
    <n v="19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8400"/>
    <s v="บมจ. ซีพี แอ็กซ์ตร้า สาขานครอินทร์"/>
    <n v="2"/>
    <x v="1"/>
    <d v="2569-03-04T00:00:00"/>
    <x v="0"/>
    <s v="H6954RMA0044170"/>
    <x v="45"/>
    <x v="45"/>
    <n v="6"/>
    <n v="6"/>
    <n v="6"/>
    <n v="6"/>
    <n v="0"/>
    <n v="0"/>
    <n v="0"/>
    <n v="0"/>
    <n v="6"/>
    <n v="6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3-20.42.29.000000"/>
    <s v="ก.ก."/>
    <s v="ก.ก."/>
    <s v=" "/>
    <n v="0"/>
    <s v="N"/>
    <n v="9044988648947"/>
    <m/>
    <m/>
    <n v="1"/>
    <m/>
    <s v=";0000"/>
    <n v="1333314600"/>
    <s v="G"/>
    <n v="6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2"/>
    <x v="102"/>
    <n v="8"/>
    <n v="8"/>
    <n v="8"/>
    <n v="8"/>
    <n v="0"/>
    <n v="0"/>
    <n v="0"/>
    <n v="0"/>
    <n v="8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8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3"/>
    <x v="103"/>
    <n v="4"/>
    <n v="4"/>
    <n v="4"/>
    <n v="4"/>
    <n v="0"/>
    <n v="0"/>
    <n v="0"/>
    <n v="0"/>
    <n v="4"/>
    <n v="4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4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"/>
    <x v="10"/>
    <n v="8"/>
    <n v="4"/>
    <n v="8"/>
    <n v="4"/>
    <n v="0"/>
    <n v="0"/>
    <n v="0"/>
    <n v="0"/>
    <n v="8"/>
    <n v="4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8"/>
    <n v="4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20"/>
    <x v="20"/>
    <n v="4"/>
    <n v="2"/>
    <n v="4"/>
    <n v="2"/>
    <n v="0"/>
    <n v="0"/>
    <n v="0"/>
    <n v="0"/>
    <n v="4"/>
    <n v="2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2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4"/>
    <x v="104"/>
    <n v="4"/>
    <n v="4"/>
    <n v="4"/>
    <n v="4"/>
    <n v="0"/>
    <n v="0"/>
    <n v="0"/>
    <n v="0"/>
    <n v="4"/>
    <n v="4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4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9"/>
    <x v="9"/>
    <n v="4"/>
    <n v="2"/>
    <n v="4"/>
    <n v="2"/>
    <n v="0"/>
    <n v="0"/>
    <n v="0"/>
    <n v="0"/>
    <n v="4"/>
    <n v="2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2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5"/>
    <x v="105"/>
    <n v="8"/>
    <n v="8"/>
    <n v="8"/>
    <n v="8"/>
    <n v="0"/>
    <n v="0"/>
    <n v="0"/>
    <n v="0"/>
    <n v="8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8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6"/>
    <x v="16"/>
    <n v="8"/>
    <n v="4"/>
    <n v="8"/>
    <n v="4"/>
    <n v="0"/>
    <n v="0"/>
    <n v="0"/>
    <n v="0"/>
    <n v="8"/>
    <n v="4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8"/>
    <n v="4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6"/>
    <x v="106"/>
    <n v="4"/>
    <n v="6"/>
    <n v="4"/>
    <n v="6"/>
    <n v="0"/>
    <n v="0"/>
    <n v="0"/>
    <n v="0"/>
    <n v="4"/>
    <n v="6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7"/>
    <x v="107"/>
    <n v="4"/>
    <n v="4"/>
    <n v="4"/>
    <n v="4"/>
    <n v="0"/>
    <n v="0"/>
    <n v="0"/>
    <n v="0"/>
    <n v="4"/>
    <n v="4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4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9"/>
    <x v="19"/>
    <n v="4"/>
    <n v="2"/>
    <n v="4"/>
    <n v="2"/>
    <n v="0"/>
    <n v="0"/>
    <n v="0"/>
    <n v="0"/>
    <n v="4"/>
    <n v="2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2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8"/>
    <x v="108"/>
    <n v="8"/>
    <n v="8"/>
    <n v="8"/>
    <n v="8"/>
    <n v="0"/>
    <n v="0"/>
    <n v="0"/>
    <n v="0"/>
    <n v="8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8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09"/>
    <x v="109"/>
    <n v="4"/>
    <n v="3.6"/>
    <n v="4"/>
    <n v="3.6"/>
    <n v="0"/>
    <n v="0"/>
    <n v="0"/>
    <n v="0"/>
    <n v="4"/>
    <n v="3.6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3.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4948"/>
    <x v="11"/>
    <x v="11"/>
    <n v="4"/>
    <n v="2"/>
    <n v="4"/>
    <n v="2"/>
    <n v="0"/>
    <n v="0"/>
    <n v="0"/>
    <n v="0"/>
    <n v="4"/>
    <n v="2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7-11.22.43.000000"/>
    <s v="แพ็ค"/>
    <s v="ก.ก."/>
    <s v=" "/>
    <n v="0"/>
    <s v="N"/>
    <n v="9045088719716"/>
    <m/>
    <m/>
    <n v="1"/>
    <m/>
    <m/>
    <n v="1333314600"/>
    <s v="G"/>
    <n v="4"/>
    <n v="2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5430"/>
    <x v="51"/>
    <x v="51"/>
    <n v="12"/>
    <n v="60"/>
    <n v="12"/>
    <n v="60"/>
    <n v="0"/>
    <n v="0"/>
    <n v="0"/>
    <n v="0"/>
    <n v="12"/>
    <n v="6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ถุง"/>
    <s v="ก.ก."/>
    <s v=" "/>
    <n v="0"/>
    <s v="N"/>
    <n v="9044988728183"/>
    <m/>
    <m/>
    <n v="1"/>
    <m/>
    <s v=";0000"/>
    <n v="1333314600"/>
    <s v="G"/>
    <n v="12"/>
    <n v="6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4800"/>
    <s v="บมจ. ซีพี แอ็กซ์ตร้า สาขาลพบุรี"/>
    <n v="2"/>
    <x v="5"/>
    <d v="2569-07-04T00:00:00"/>
    <x v="0"/>
    <s v="H6954RMA0045430"/>
    <x v="63"/>
    <x v="63"/>
    <n v="6"/>
    <n v="30"/>
    <n v="6"/>
    <n v="30"/>
    <n v="0"/>
    <n v="0"/>
    <n v="0"/>
    <n v="0"/>
    <n v="6"/>
    <n v="3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ถุง"/>
    <s v="ก.ก."/>
    <s v=" "/>
    <n v="0"/>
    <s v="N"/>
    <n v="9044988728183"/>
    <m/>
    <m/>
    <n v="1"/>
    <m/>
    <s v=";0000"/>
    <n v="1333314600"/>
    <s v="G"/>
    <n v="6"/>
    <n v="3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10800"/>
    <s v="บมจ. ซีพี แอ็กซ์ตร้า สาขาสิงห์บุรี"/>
    <n v="2"/>
    <x v="3"/>
    <d v="2569-07-04T00:00:00"/>
    <x v="0"/>
    <s v="H6954RMA0045689"/>
    <x v="51"/>
    <x v="51"/>
    <n v="40"/>
    <n v="200"/>
    <n v="40"/>
    <n v="200"/>
    <n v="0"/>
    <n v="0"/>
    <n v="0"/>
    <n v="0"/>
    <n v="40"/>
    <n v="20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ถุง"/>
    <s v="ก.ก."/>
    <s v=" "/>
    <n v="0"/>
    <s v="N"/>
    <n v="9044988728442"/>
    <m/>
    <m/>
    <n v="1"/>
    <m/>
    <s v=";0000"/>
    <n v="1333314600"/>
    <s v="G"/>
    <n v="40"/>
    <n v="20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43"/>
    <x v="43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38"/>
    <x v="38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40"/>
    <x v="40"/>
    <n v="40"/>
    <n v="40"/>
    <n v="40"/>
    <n v="40"/>
    <n v="0"/>
    <n v="0"/>
    <n v="0"/>
    <n v="0"/>
    <n v="40"/>
    <n v="4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40"/>
    <n v="4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46"/>
    <x v="46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50"/>
    <x v="50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57"/>
    <x v="57"/>
    <n v="120"/>
    <n v="120"/>
    <n v="120"/>
    <n v="120"/>
    <n v="0"/>
    <n v="0"/>
    <n v="0"/>
    <n v="0"/>
    <n v="120"/>
    <n v="120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120"/>
    <n v="1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44"/>
    <x v="44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79"/>
    <x v="79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67"/>
    <x v="67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77"/>
    <x v="77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58"/>
    <x v="58"/>
    <n v="50"/>
    <n v="50"/>
    <n v="50"/>
    <n v="50"/>
    <n v="0"/>
    <n v="0"/>
    <n v="0"/>
    <n v="0"/>
    <n v="50"/>
    <n v="5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50"/>
    <n v="5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35"/>
    <x v="35"/>
    <n v="20"/>
    <n v="20"/>
    <n v="20"/>
    <n v="20"/>
    <n v="0"/>
    <n v="0"/>
    <n v="0"/>
    <n v="0"/>
    <n v="20"/>
    <n v="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20"/>
    <n v="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60"/>
    <x v="60"/>
    <n v="5"/>
    <n v="5"/>
    <n v="5"/>
    <n v="5"/>
    <n v="0"/>
    <n v="0"/>
    <n v="0"/>
    <n v="0"/>
    <n v="5"/>
    <n v="5"/>
    <m/>
    <m/>
    <s v="OPRCD489MOPRCD00000OPRCDF213OPRCD00000OPRCD923"/>
    <s v="ซื้อ / ขาย"/>
    <s v="By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5"/>
    <n v="5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48"/>
    <x v="48"/>
    <n v="10"/>
    <n v="10"/>
    <n v="10"/>
    <n v="10"/>
    <n v="0"/>
    <n v="0"/>
    <n v="0"/>
    <n v="0"/>
    <n v="10"/>
    <n v="1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10"/>
    <n v="1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51"/>
    <x v="51"/>
    <n v="24"/>
    <n v="120"/>
    <n v="24"/>
    <n v="120"/>
    <n v="0"/>
    <n v="0"/>
    <n v="0"/>
    <n v="0"/>
    <n v="24"/>
    <n v="12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ถุง"/>
    <s v="ก.ก."/>
    <s v=" "/>
    <n v="0"/>
    <s v="N"/>
    <n v="9044988730481"/>
    <m/>
    <m/>
    <n v="1"/>
    <m/>
    <s v=";0000"/>
    <n v="1333314600"/>
    <s v="G"/>
    <n v="24"/>
    <n v="12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9300"/>
    <s v="บมจ. ซีพี แอ็กซ์ตร้า สาขาทาวน์ อิน ทาวน์"/>
    <n v="2"/>
    <x v="7"/>
    <d v="2569-07-04T00:00:00"/>
    <x v="0"/>
    <s v="H6954RMA0045990"/>
    <x v="98"/>
    <x v="98"/>
    <n v="80"/>
    <n v="80"/>
    <n v="80"/>
    <n v="80"/>
    <n v="0"/>
    <n v="0"/>
    <n v="0"/>
    <n v="0"/>
    <n v="80"/>
    <n v="80"/>
    <m/>
    <m/>
    <s v="OPRCD489MOPRCD00000OPRCDF213OPRCD00000OPRCD923"/>
    <s v="ซื้อ / ขาย"/>
    <s v="Main proudct"/>
    <s v="Bulk Normal"/>
    <s v="สุกร"/>
    <s v="OT002 CC-Makro"/>
    <s v="MT"/>
    <n v="2"/>
    <m/>
    <m/>
    <m/>
    <s v="System Batch"/>
    <s v="2026-04-07-15.34.49.000000"/>
    <s v="ก.ก."/>
    <s v="ก.ก."/>
    <s v=" "/>
    <n v="0"/>
    <s v="N"/>
    <n v="9044988730481"/>
    <m/>
    <m/>
    <n v="1"/>
    <m/>
    <s v=";0000"/>
    <n v="1333314600"/>
    <s v="G"/>
    <n v="80"/>
    <n v="80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20"/>
    <x v="20"/>
    <n v="12"/>
    <n v="6"/>
    <n v="12"/>
    <n v="6"/>
    <n v="0"/>
    <n v="0"/>
    <n v="0"/>
    <n v="0"/>
    <n v="12"/>
    <n v="6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12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9"/>
    <x v="9"/>
    <n v="12"/>
    <n v="6"/>
    <n v="12"/>
    <n v="6"/>
    <n v="0"/>
    <n v="0"/>
    <n v="0"/>
    <n v="0"/>
    <n v="12"/>
    <n v="6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12"/>
    <n v="6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0"/>
    <x v="10"/>
    <n v="16"/>
    <n v="8"/>
    <n v="16"/>
    <n v="8"/>
    <n v="0"/>
    <n v="0"/>
    <n v="0"/>
    <n v="0"/>
    <n v="16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16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05"/>
    <x v="105"/>
    <n v="4"/>
    <n v="4"/>
    <n v="4"/>
    <n v="4"/>
    <n v="0"/>
    <n v="0"/>
    <n v="0"/>
    <n v="0"/>
    <n v="4"/>
    <n v="4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4"/>
    <n v="4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1"/>
    <x v="11"/>
    <n v="16"/>
    <n v="8"/>
    <n v="16"/>
    <n v="8"/>
    <n v="0"/>
    <n v="0"/>
    <n v="0"/>
    <n v="0"/>
    <n v="16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16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07"/>
    <x v="107"/>
    <n v="8"/>
    <n v="8"/>
    <n v="8"/>
    <n v="8"/>
    <n v="0"/>
    <n v="0"/>
    <n v="0"/>
    <n v="0"/>
    <n v="8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8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02"/>
    <x v="102"/>
    <n v="8"/>
    <n v="8"/>
    <n v="8"/>
    <n v="8"/>
    <n v="0"/>
    <n v="0"/>
    <n v="0"/>
    <n v="0"/>
    <n v="8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8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04"/>
    <x v="104"/>
    <n v="8"/>
    <n v="8"/>
    <n v="8"/>
    <n v="8"/>
    <n v="0"/>
    <n v="0"/>
    <n v="0"/>
    <n v="0"/>
    <n v="8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8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08"/>
    <x v="108"/>
    <n v="8"/>
    <n v="8"/>
    <n v="8"/>
    <n v="8"/>
    <n v="0"/>
    <n v="0"/>
    <n v="0"/>
    <n v="0"/>
    <n v="8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8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6"/>
    <x v="16"/>
    <n v="16"/>
    <n v="8"/>
    <n v="16"/>
    <n v="8"/>
    <n v="0"/>
    <n v="0"/>
    <n v="0"/>
    <n v="0"/>
    <n v="16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16"/>
    <n v="8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9"/>
    <x v="19"/>
    <n v="8"/>
    <n v="4"/>
    <n v="8"/>
    <n v="4"/>
    <n v="0"/>
    <n v="0"/>
    <n v="0"/>
    <n v="0"/>
    <n v="8"/>
    <n v="4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8"/>
    <n v="4"/>
    <n v="1300"/>
    <s v="SYSBATCH"/>
  </r>
  <r>
    <m/>
    <m/>
    <d v="2569-10-04T00:00:00"/>
    <d v="2569-10-04T00:00:00"/>
    <m/>
    <s v="489M"/>
    <x v="0"/>
    <n v="0"/>
    <s v="หน่วยงานกลาง"/>
    <s v="F213  DMCW-รชล-พระพุทธบาท"/>
    <s v="00000  หน่วยงานกลาง"/>
    <x v="0"/>
    <m/>
    <s v="1A53005200"/>
    <s v="บมจ. ซีพี แอ็กซ์ตร้า สาขาอยุธยา"/>
    <n v="2"/>
    <x v="0"/>
    <d v="2569-08-04T00:00:00"/>
    <x v="0"/>
    <s v="H6954RMA0046122"/>
    <x v="103"/>
    <x v="103"/>
    <n v="8"/>
    <n v="8"/>
    <n v="8"/>
    <n v="8"/>
    <n v="0"/>
    <n v="0"/>
    <n v="0"/>
    <n v="0"/>
    <n v="8"/>
    <n v="8"/>
    <m/>
    <m/>
    <s v="OPRCD489MOPRCD00000OPRCDF213OPRCD00000OPRCD923"/>
    <s v="ซื้อ / ขาย"/>
    <s v="Main proudct"/>
    <s v="Seal Pack"/>
    <s v="สุกร"/>
    <s v="OT002 CC-Makro"/>
    <s v="MT"/>
    <n v="2"/>
    <m/>
    <m/>
    <m/>
    <s v="System Batch"/>
    <s v="2026-04-08-10.51.00.000000"/>
    <s v="แพ็ค"/>
    <s v="ก.ก."/>
    <s v=" "/>
    <n v="0"/>
    <s v="N"/>
    <n v="9045088758854"/>
    <m/>
    <m/>
    <n v="1"/>
    <m/>
    <m/>
    <n v="1333314600"/>
    <s v="G"/>
    <n v="8"/>
    <n v="8"/>
    <n v="1300"/>
    <s v="SYSBATCH"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1"/>
    <m/>
    <m/>
    <m/>
    <m/>
    <x v="1"/>
    <m/>
    <m/>
    <m/>
    <m/>
    <x v="8"/>
    <m/>
    <x v="1"/>
    <m/>
    <x v="110"/>
    <x v="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0"/>
    <x v="0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"/>
    <x v="1"/>
    <n v="130"/>
    <n v="130"/>
    <n v="130"/>
    <n v="130"/>
    <n v="0"/>
    <n v="0"/>
    <n v="0"/>
    <n v="0"/>
    <n v="130"/>
    <n v="13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30"/>
    <n v="13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"/>
    <x v="2"/>
    <n v="90"/>
    <n v="90"/>
    <n v="90"/>
    <n v="90"/>
    <n v="0"/>
    <n v="0"/>
    <n v="0"/>
    <n v="0"/>
    <n v="90"/>
    <n v="9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90"/>
    <n v="9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"/>
    <x v="3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80"/>
    <n v="8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"/>
    <x v="4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5"/>
    <x v="5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6"/>
    <x v="6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"/>
    <n v="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7"/>
    <x v="7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8"/>
    <x v="8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9"/>
    <x v="9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0"/>
    <x v="1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1"/>
    <x v="1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2"/>
    <x v="12"/>
    <n v="70"/>
    <n v="70"/>
    <n v="70"/>
    <n v="70"/>
    <n v="0"/>
    <n v="0"/>
    <n v="0"/>
    <n v="0"/>
    <n v="70"/>
    <n v="7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70"/>
    <n v="7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3"/>
    <x v="13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แพ็ค"/>
    <s v="ก.ก."/>
    <s v=" "/>
    <n v="0"/>
    <s v="N"/>
    <x v="0"/>
    <n v="0"/>
    <n v="0"/>
    <n v="1"/>
    <n v="0"/>
    <s v=";0000"/>
    <n v="1333314600"/>
    <s v="G"/>
    <n v="30"/>
    <n v="3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4"/>
    <x v="14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80"/>
    <n v="8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5"/>
    <x v="15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6"/>
    <x v="1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7"/>
    <x v="17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80"/>
    <n v="8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8"/>
    <x v="18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19"/>
    <x v="1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"/>
    <n v="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0"/>
    <x v="2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1"/>
    <x v="21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60"/>
    <n v="6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2"/>
    <x v="2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3"/>
    <x v="23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ถุง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4"/>
    <x v="24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5"/>
    <x v="2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6"/>
    <x v="26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30"/>
    <n v="3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7"/>
    <x v="27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8"/>
    <x v="28"/>
    <n v="110"/>
    <n v="110"/>
    <n v="110"/>
    <n v="110"/>
    <n v="0"/>
    <n v="0"/>
    <n v="0"/>
    <n v="0"/>
    <n v="110"/>
    <n v="1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10"/>
    <n v="1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29"/>
    <x v="29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40"/>
    <n v="4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0"/>
    <x v="30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"/>
    <n v="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1"/>
    <x v="3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2"/>
    <x v="32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3"/>
    <x v="33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"/>
    <n v="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4"/>
    <x v="34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5"/>
    <x v="35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6"/>
    <x v="36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40"/>
    <n v="4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7"/>
    <x v="37"/>
    <n v="30"/>
    <n v="150"/>
    <n v="30"/>
    <n v="150"/>
    <n v="0"/>
    <n v="0"/>
    <n v="0"/>
    <n v="0"/>
    <n v="30"/>
    <n v="15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ถุง"/>
    <s v="ก.ก."/>
    <s v=" "/>
    <n v="0"/>
    <s v="N"/>
    <x v="0"/>
    <n v="0"/>
    <n v="0"/>
    <n v="1"/>
    <n v="0"/>
    <s v=";0000"/>
    <n v="1333314600"/>
    <s v="G"/>
    <n v="30"/>
    <n v="15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8"/>
    <x v="3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39"/>
    <x v="39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0"/>
    <x v="40"/>
    <n v="15"/>
    <n v="15"/>
    <n v="15"/>
    <n v="15"/>
    <n v="0"/>
    <n v="0"/>
    <n v="0"/>
    <n v="0"/>
    <n v="15"/>
    <n v="15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5"/>
    <n v="1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1"/>
    <x v="41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2"/>
    <x v="4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4"/>
    <x v="44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5"/>
    <x v="4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6"/>
    <x v="46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7"/>
    <x v="47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0"/>
    <n v="10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8"/>
    <x v="48"/>
    <n v="110"/>
    <n v="110"/>
    <n v="110"/>
    <n v="110"/>
    <n v="0"/>
    <n v="0"/>
    <n v="0"/>
    <n v="0"/>
    <n v="110"/>
    <n v="1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10"/>
    <n v="1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08-05T00:00:00"/>
    <x v="0"/>
    <x v="0"/>
    <x v="49"/>
    <x v="49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0"/>
    <x v="50"/>
    <n v="2"/>
    <n v="2"/>
    <n v="2"/>
    <n v="2"/>
    <n v="0"/>
    <n v="0"/>
    <n v="0"/>
    <n v="0"/>
    <n v="2"/>
    <n v="2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1"/>
    <x v="51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2"/>
    <x v="52"/>
    <n v="12"/>
    <n v="4.8"/>
    <n v="12"/>
    <n v="4.8"/>
    <n v="0"/>
    <n v="0"/>
    <n v="0"/>
    <n v="0"/>
    <n v="12"/>
    <n v="4.8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12"/>
    <n v="4.8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3"/>
    <x v="53"/>
    <n v="2"/>
    <n v="0.8"/>
    <n v="2"/>
    <n v="0.8"/>
    <n v="0"/>
    <n v="0"/>
    <n v="0"/>
    <n v="0"/>
    <n v="2"/>
    <n v="0.8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"/>
    <n v="0.8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4"/>
    <x v="54"/>
    <n v="4"/>
    <n v="1"/>
    <n v="4"/>
    <n v="1"/>
    <n v="0"/>
    <n v="0"/>
    <n v="0"/>
    <n v="0"/>
    <n v="4"/>
    <n v="1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4"/>
    <n v="1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5"/>
    <x v="55"/>
    <n v="2"/>
    <n v="2"/>
    <n v="2"/>
    <n v="2"/>
    <n v="0"/>
    <n v="0"/>
    <n v="0"/>
    <n v="0"/>
    <n v="2"/>
    <n v="2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6"/>
    <x v="56"/>
    <n v="4"/>
    <n v="1.6"/>
    <n v="4"/>
    <n v="1.6"/>
    <n v="0"/>
    <n v="0"/>
    <n v="0"/>
    <n v="0"/>
    <n v="4"/>
    <n v="1.6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4"/>
    <n v="1.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7"/>
    <x v="57"/>
    <n v="4"/>
    <n v="1.6"/>
    <n v="4"/>
    <n v="1.6"/>
    <n v="0"/>
    <n v="0"/>
    <n v="0"/>
    <n v="0"/>
    <n v="4"/>
    <n v="1.6"/>
    <n v="0"/>
    <n v="0"/>
    <s v="OPRCD489MOPRCD00000OPRCDF213OPRCD00000OPRCD923"/>
    <s v="ซื้อ / ขาย"/>
    <s v="By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4"/>
    <n v="1.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8"/>
    <x v="58"/>
    <n v="24"/>
    <n v="24"/>
    <n v="24"/>
    <n v="24"/>
    <n v="0"/>
    <n v="0"/>
    <n v="0"/>
    <n v="0"/>
    <n v="24"/>
    <n v="24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4"/>
    <n v="2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59"/>
    <x v="59"/>
    <n v="12"/>
    <n v="3"/>
    <n v="12"/>
    <n v="3"/>
    <n v="0"/>
    <n v="0"/>
    <n v="0"/>
    <n v="0"/>
    <n v="12"/>
    <n v="3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12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60"/>
    <x v="60"/>
    <n v="12"/>
    <n v="3"/>
    <n v="12"/>
    <n v="3"/>
    <n v="0"/>
    <n v="0"/>
    <n v="0"/>
    <n v="0"/>
    <n v="12"/>
    <n v="3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12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61"/>
    <x v="61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62"/>
    <x v="62"/>
    <n v="2"/>
    <n v="2"/>
    <n v="2"/>
    <n v="2"/>
    <n v="0"/>
    <n v="0"/>
    <n v="0"/>
    <n v="0"/>
    <n v="2"/>
    <n v="2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1"/>
    <x v="63"/>
    <x v="6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64"/>
    <x v="64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65"/>
    <x v="65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66"/>
    <x v="66"/>
    <n v="3"/>
    <n v="3"/>
    <n v="3"/>
    <n v="3"/>
    <n v="0"/>
    <n v="0"/>
    <n v="0"/>
    <n v="0"/>
    <n v="3"/>
    <n v="3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3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67"/>
    <x v="67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By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68"/>
    <x v="68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69"/>
    <x v="69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0"/>
    <x v="70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1"/>
    <x v="71"/>
    <n v="3"/>
    <n v="3"/>
    <n v="3"/>
    <n v="3"/>
    <n v="0"/>
    <n v="0"/>
    <n v="0"/>
    <n v="0"/>
    <n v="3"/>
    <n v="3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3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2"/>
    <x v="72"/>
    <n v="3"/>
    <n v="3"/>
    <n v="3"/>
    <n v="3"/>
    <n v="0"/>
    <n v="0"/>
    <n v="0"/>
    <n v="0"/>
    <n v="3"/>
    <n v="3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3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3"/>
    <x v="73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4"/>
    <x v="74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5"/>
    <x v="75"/>
    <n v="8"/>
    <n v="4"/>
    <n v="8"/>
    <n v="4"/>
    <n v="0"/>
    <n v="0"/>
    <n v="0"/>
    <n v="0"/>
    <n v="8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8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6"/>
    <x v="76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7"/>
    <x v="77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63"/>
    <x v="63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8"/>
    <x v="78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79"/>
    <x v="79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0"/>
    <x v="80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By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1"/>
    <x v="81"/>
    <n v="8"/>
    <n v="4"/>
    <n v="8"/>
    <n v="4"/>
    <n v="0"/>
    <n v="0"/>
    <n v="0"/>
    <n v="0"/>
    <n v="8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8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2"/>
    <x v="82"/>
    <n v="8"/>
    <n v="4"/>
    <n v="8"/>
    <n v="4"/>
    <n v="0"/>
    <n v="0"/>
    <n v="0"/>
    <n v="0"/>
    <n v="8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8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3"/>
    <x v="83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51"/>
    <x v="5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4"/>
    <x v="84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5"/>
    <x v="8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6"/>
    <x v="86"/>
    <n v="12"/>
    <n v="6"/>
    <n v="12"/>
    <n v="6"/>
    <n v="0"/>
    <n v="0"/>
    <n v="0"/>
    <n v="0"/>
    <n v="12"/>
    <n v="6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12"/>
    <n v="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7"/>
    <x v="87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8"/>
    <x v="88"/>
    <n v="4"/>
    <n v="6"/>
    <n v="4"/>
    <n v="6"/>
    <n v="0"/>
    <n v="0"/>
    <n v="0"/>
    <n v="0"/>
    <n v="4"/>
    <n v="6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89"/>
    <x v="89"/>
    <n v="3"/>
    <n v="3"/>
    <n v="3"/>
    <n v="3"/>
    <n v="0"/>
    <n v="0"/>
    <n v="0"/>
    <n v="0"/>
    <n v="3"/>
    <n v="3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3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90"/>
    <x v="90"/>
    <n v="8"/>
    <n v="4"/>
    <n v="8"/>
    <n v="4"/>
    <n v="0"/>
    <n v="0"/>
    <n v="0"/>
    <n v="0"/>
    <n v="8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8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91"/>
    <x v="91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2"/>
    <x v="92"/>
    <x v="92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By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40"/>
    <x v="40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2"/>
    <x v="2"/>
    <n v="180"/>
    <n v="180"/>
    <n v="180"/>
    <n v="180"/>
    <n v="0"/>
    <n v="0"/>
    <n v="0"/>
    <n v="0"/>
    <n v="180"/>
    <n v="18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180"/>
    <n v="18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93"/>
    <x v="93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39"/>
    <x v="39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0"/>
    <x v="0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94"/>
    <x v="94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3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11"/>
    <x v="11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1"/>
    <x v="1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95"/>
    <x v="95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12"/>
    <x v="12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3900"/>
    <s v="บมจ. ซีพี แอ็กซ์ตร้า สาขาสระบุรี"/>
    <n v="2"/>
    <x v="3"/>
    <d v="2569-11-05T00:00:00"/>
    <x v="0"/>
    <x v="3"/>
    <x v="36"/>
    <x v="36"/>
    <n v="220"/>
    <n v="220"/>
    <n v="220"/>
    <n v="220"/>
    <n v="0"/>
    <n v="0"/>
    <n v="0"/>
    <n v="0"/>
    <n v="220"/>
    <n v="2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220"/>
    <n v="2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0"/>
    <x v="10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0"/>
    <x v="0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96"/>
    <x v="96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8"/>
    <x v="1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21"/>
    <x v="21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95"/>
    <x v="95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47"/>
    <x v="47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26"/>
    <x v="26"/>
    <n v="90"/>
    <n v="90"/>
    <n v="90"/>
    <n v="90"/>
    <n v="0"/>
    <n v="0"/>
    <n v="0"/>
    <n v="0"/>
    <n v="90"/>
    <n v="9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90"/>
    <n v="9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2"/>
    <x v="12"/>
    <n v="140"/>
    <n v="140"/>
    <n v="140"/>
    <n v="140"/>
    <n v="0"/>
    <n v="0"/>
    <n v="0"/>
    <n v="0"/>
    <n v="140"/>
    <n v="1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40"/>
    <n v="1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"/>
    <x v="1"/>
    <n v="200"/>
    <n v="200"/>
    <n v="200"/>
    <n v="200"/>
    <n v="0"/>
    <n v="0"/>
    <n v="0"/>
    <n v="0"/>
    <n v="200"/>
    <n v="2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0"/>
    <n v="2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97"/>
    <x v="97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34"/>
    <x v="34"/>
    <n v="15"/>
    <n v="15"/>
    <n v="15"/>
    <n v="15"/>
    <n v="0"/>
    <n v="0"/>
    <n v="0"/>
    <n v="0"/>
    <n v="15"/>
    <n v="1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5"/>
    <n v="1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6"/>
    <x v="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38"/>
    <x v="38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2"/>
    <x v="2"/>
    <n v="400"/>
    <n v="400"/>
    <n v="400"/>
    <n v="400"/>
    <n v="0"/>
    <n v="0"/>
    <n v="0"/>
    <n v="0"/>
    <n v="400"/>
    <n v="4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400"/>
    <n v="4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23"/>
    <x v="23"/>
    <n v="2"/>
    <n v="10"/>
    <n v="2"/>
    <n v="10"/>
    <n v="0"/>
    <n v="0"/>
    <n v="0"/>
    <n v="0"/>
    <n v="2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4"/>
    <n v="0"/>
    <n v="0"/>
    <n v="1"/>
    <n v="0"/>
    <s v=";0000"/>
    <n v="1333314600"/>
    <s v="G"/>
    <n v="2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98"/>
    <x v="98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36"/>
    <x v="36"/>
    <n v="400"/>
    <n v="400"/>
    <n v="400"/>
    <n v="400"/>
    <n v="0"/>
    <n v="0"/>
    <n v="0"/>
    <n v="0"/>
    <n v="400"/>
    <n v="4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400"/>
    <n v="4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7"/>
    <x v="17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5"/>
    <x v="15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99"/>
    <x v="99"/>
    <n v="40"/>
    <n v="200"/>
    <n v="40"/>
    <n v="200"/>
    <n v="0"/>
    <n v="0"/>
    <n v="0"/>
    <n v="0"/>
    <n v="40"/>
    <n v="2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แพ็ค"/>
    <s v="ก.ก."/>
    <s v=" "/>
    <n v="0"/>
    <s v="N"/>
    <x v="4"/>
    <n v="0"/>
    <n v="0"/>
    <n v="1"/>
    <n v="0"/>
    <s v=";0000"/>
    <n v="1333314600"/>
    <s v="G"/>
    <n v="40"/>
    <n v="2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1"/>
    <x v="1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33"/>
    <x v="33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00"/>
    <x v="100"/>
    <n v="15"/>
    <n v="15"/>
    <n v="15"/>
    <n v="15"/>
    <n v="0"/>
    <n v="0"/>
    <n v="0"/>
    <n v="0"/>
    <n v="15"/>
    <n v="1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5"/>
    <n v="1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42"/>
    <x v="42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6"/>
    <x v="1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101"/>
    <x v="101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20"/>
    <x v="2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1-05T00:00:00"/>
    <x v="0"/>
    <x v="4"/>
    <x v="41"/>
    <x v="41"/>
    <n v="70"/>
    <n v="70"/>
    <n v="70"/>
    <n v="70"/>
    <n v="0"/>
    <n v="0"/>
    <n v="0"/>
    <n v="0"/>
    <n v="70"/>
    <n v="7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70"/>
    <n v="7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8"/>
    <x v="18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02"/>
    <x v="10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"/>
    <x v="1"/>
    <n v="400"/>
    <n v="400"/>
    <n v="400"/>
    <n v="400"/>
    <n v="0"/>
    <n v="0"/>
    <n v="0"/>
    <n v="0"/>
    <n v="400"/>
    <n v="4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400"/>
    <n v="4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03"/>
    <x v="103"/>
    <n v="7.6923000000000004"/>
    <n v="39.999960000000002"/>
    <n v="7.6923076923076925"/>
    <n v="40"/>
    <n v="0"/>
    <n v="-4.0000000000000003E-5"/>
    <n v="0"/>
    <n v="0"/>
    <n v="7.6923000000000004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ถุง"/>
    <s v="ก.ก."/>
    <s v=" "/>
    <n v="0"/>
    <s v="N"/>
    <x v="5"/>
    <n v="0"/>
    <n v="0"/>
    <n v="1"/>
    <n v="0"/>
    <s v=";0000"/>
    <n v="1333314600"/>
    <s v="G"/>
    <n v="7.6923000000000004"/>
    <n v="39.99996000000000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21"/>
    <x v="21"/>
    <n v="180"/>
    <n v="180"/>
    <n v="180"/>
    <n v="180"/>
    <n v="0"/>
    <n v="0"/>
    <n v="0"/>
    <n v="0"/>
    <n v="180"/>
    <n v="18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80"/>
    <n v="18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22"/>
    <x v="22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31"/>
    <x v="3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42"/>
    <x v="42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37"/>
    <x v="37"/>
    <n v="80"/>
    <n v="400"/>
    <n v="80"/>
    <n v="400"/>
    <n v="0"/>
    <n v="0"/>
    <n v="0"/>
    <n v="0"/>
    <n v="80"/>
    <n v="4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ถุง"/>
    <s v="ก.ก."/>
    <s v=" "/>
    <n v="0"/>
    <s v="N"/>
    <x v="5"/>
    <n v="0"/>
    <n v="0"/>
    <n v="1"/>
    <n v="0"/>
    <s v=";0000"/>
    <n v="1333314600"/>
    <s v="G"/>
    <n v="80"/>
    <n v="4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2"/>
    <x v="2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80"/>
    <n v="8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38"/>
    <x v="38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5"/>
    <x v="15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47"/>
    <x v="47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48"/>
    <x v="48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2"/>
    <x v="12"/>
    <n v="250"/>
    <n v="250"/>
    <n v="250"/>
    <n v="250"/>
    <n v="0"/>
    <n v="0"/>
    <n v="0"/>
    <n v="0"/>
    <n v="250"/>
    <n v="25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250"/>
    <n v="2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36"/>
    <x v="36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25"/>
    <x v="2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45"/>
    <x v="45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0"/>
    <x v="0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7"/>
    <x v="17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49"/>
    <x v="4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34"/>
    <x v="34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04"/>
    <x v="104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4"/>
    <x v="14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3"/>
    <x v="3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29"/>
    <x v="29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6"/>
    <x v="16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46"/>
    <x v="46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0"/>
    <x v="10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33"/>
    <x v="33"/>
    <n v="150"/>
    <n v="150"/>
    <n v="150"/>
    <n v="150"/>
    <n v="0"/>
    <n v="0"/>
    <n v="0"/>
    <n v="0"/>
    <n v="150"/>
    <n v="1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50"/>
    <n v="1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01"/>
    <x v="101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9"/>
    <x v="19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1-05T00:00:00"/>
    <x v="0"/>
    <x v="5"/>
    <x v="100"/>
    <x v="100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96"/>
    <x v="9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33"/>
    <x v="33"/>
    <n v="15"/>
    <n v="15"/>
    <n v="15"/>
    <n v="15"/>
    <n v="0"/>
    <n v="0"/>
    <n v="0"/>
    <n v="0"/>
    <n v="15"/>
    <n v="1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15"/>
    <n v="1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105"/>
    <x v="105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14"/>
    <x v="14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106"/>
    <x v="106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38"/>
    <x v="3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29"/>
    <x v="29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107"/>
    <x v="107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108"/>
    <x v="10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109"/>
    <x v="109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1-05T00:00:00"/>
    <x v="0"/>
    <x v="6"/>
    <x v="22"/>
    <x v="2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9"/>
    <x v="9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48"/>
    <x v="48"/>
    <n v="300"/>
    <n v="300"/>
    <n v="300"/>
    <n v="300"/>
    <n v="0"/>
    <n v="0"/>
    <n v="0"/>
    <n v="0"/>
    <n v="300"/>
    <n v="30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300"/>
    <n v="3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30"/>
    <x v="3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95"/>
    <x v="95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27"/>
    <x v="27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35"/>
    <x v="3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38"/>
    <x v="38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2"/>
    <x v="2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42"/>
    <x v="42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10"/>
    <x v="110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8"/>
    <x v="1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9"/>
    <x v="1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7"/>
    <x v="7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11"/>
    <x v="111"/>
    <n v="10"/>
    <n v="50"/>
    <n v="10"/>
    <n v="50"/>
    <n v="0"/>
    <n v="0"/>
    <n v="0"/>
    <n v="0"/>
    <n v="10"/>
    <n v="50"/>
    <n v="0"/>
    <n v="0"/>
    <s v="OPRCD489MOPRCD00000OPRCDF213OPRCD00000OPRCD923"/>
    <s v="ซื้อ / ขาย"/>
    <n v="0"/>
    <x v="2"/>
    <n v="0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7"/>
    <n v="0"/>
    <n v="0"/>
    <n v="1"/>
    <n v="0"/>
    <s v=";0000"/>
    <n v="1333314600"/>
    <s v="G"/>
    <n v="1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45"/>
    <x v="45"/>
    <n v="120"/>
    <n v="120"/>
    <n v="120"/>
    <n v="120"/>
    <n v="0"/>
    <n v="0"/>
    <n v="0"/>
    <n v="0"/>
    <n v="120"/>
    <n v="1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20"/>
    <n v="1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12"/>
    <x v="11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06"/>
    <x v="10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03"/>
    <x v="103"/>
    <n v="0.96150000000000002"/>
    <n v="4.9997999999999996"/>
    <n v="0.96150000000000002"/>
    <n v="4.9997999999999996"/>
    <n v="0"/>
    <n v="0"/>
    <n v="0"/>
    <n v="0"/>
    <n v="0.96150000000000002"/>
    <n v="4.9997999999999996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7"/>
    <n v="0"/>
    <n v="0"/>
    <n v="1"/>
    <n v="0"/>
    <s v=";0000"/>
    <n v="1333314600"/>
    <s v="G"/>
    <n v="0.96150000000000002"/>
    <n v="4.999799999999999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39"/>
    <x v="3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3"/>
    <x v="3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80"/>
    <n v="8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5"/>
    <x v="15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24"/>
    <x v="24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47"/>
    <x v="47"/>
    <n v="200"/>
    <n v="200"/>
    <n v="200"/>
    <n v="200"/>
    <n v="0"/>
    <n v="0"/>
    <n v="0"/>
    <n v="0"/>
    <n v="200"/>
    <n v="2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0"/>
    <n v="2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13"/>
    <x v="113"/>
    <n v="10"/>
    <n v="50"/>
    <n v="10"/>
    <n v="50"/>
    <n v="0"/>
    <n v="0"/>
    <n v="0"/>
    <n v="0"/>
    <n v="1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7"/>
    <n v="0"/>
    <n v="0"/>
    <n v="1"/>
    <n v="0"/>
    <s v=";0000"/>
    <n v="1333314600"/>
    <s v="G"/>
    <n v="1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0"/>
    <x v="0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26"/>
    <x v="26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2"/>
    <x v="12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21"/>
    <x v="21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20"/>
    <x v="2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0"/>
    <x v="10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41"/>
    <x v="41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4"/>
    <x v="14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14"/>
    <x v="114"/>
    <n v="1"/>
    <n v="5"/>
    <n v="1"/>
    <n v="5"/>
    <n v="0"/>
    <n v="0"/>
    <n v="0"/>
    <n v="0"/>
    <n v="1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7"/>
    <n v="0"/>
    <n v="0"/>
    <n v="1"/>
    <n v="0"/>
    <s v=";0000"/>
    <n v="1333314600"/>
    <s v="G"/>
    <n v="1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33"/>
    <x v="33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46"/>
    <x v="46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31"/>
    <x v="3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29"/>
    <x v="2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1"/>
    <x v="1"/>
    <n v="300"/>
    <n v="300"/>
    <n v="300"/>
    <n v="300"/>
    <n v="0"/>
    <n v="0"/>
    <n v="0"/>
    <n v="0"/>
    <n v="300"/>
    <n v="3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300"/>
    <n v="3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40"/>
    <x v="40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1-05T00:00:00"/>
    <x v="0"/>
    <x v="7"/>
    <x v="22"/>
    <x v="22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4800"/>
    <s v="บมจ. ซีพี แอ็กซ์ตร้า สาขาลพบุรี"/>
    <n v="2"/>
    <x v="4"/>
    <d v="2569-12-05T00:00:00"/>
    <x v="0"/>
    <x v="8"/>
    <x v="115"/>
    <x v="115"/>
    <n v="28"/>
    <n v="11.2"/>
    <n v="28"/>
    <n v="11.2"/>
    <n v="0"/>
    <n v="0"/>
    <n v="0"/>
    <n v="0"/>
    <n v="28"/>
    <n v="11.2"/>
    <n v="0"/>
    <n v="0"/>
    <s v="OPRCD489MOPRCD00000OPRCDF213OPRCD00000OPRCD923"/>
    <s v="ซื้อ / ขาย"/>
    <s v="By proudct"/>
    <x v="3"/>
    <s v="สุกร"/>
    <s v="OT002 CC-Makro"/>
    <s v="MT"/>
    <n v="2"/>
    <n v="0"/>
    <n v="0"/>
    <n v="0"/>
    <s v="สุภาวดี มีแทน"/>
    <s v="2026-05-12-08.48.58.000000"/>
    <s v="ถาด"/>
    <s v="ก.ก."/>
    <s v=" "/>
    <n v="0"/>
    <s v="N"/>
    <x v="8"/>
    <n v="0"/>
    <n v="0"/>
    <n v="1"/>
    <n v="0"/>
    <n v="0"/>
    <n v="1333314600"/>
    <s v="G"/>
    <n v="28"/>
    <n v="11.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5200"/>
    <s v="บมจ. ซีพี แอ็กซ์ตร้า สาขาอยุธยา"/>
    <n v="2"/>
    <x v="5"/>
    <d v="2569-12-05T00:00:00"/>
    <x v="0"/>
    <x v="9"/>
    <x v="115"/>
    <x v="115"/>
    <n v="28"/>
    <n v="11.2"/>
    <n v="28"/>
    <n v="11.2"/>
    <n v="0"/>
    <n v="0"/>
    <n v="0"/>
    <n v="0"/>
    <n v="28"/>
    <n v="11.2"/>
    <n v="0"/>
    <n v="0"/>
    <s v="OPRCD489MOPRCD00000OPRCDF213OPRCD00000OPRCD923"/>
    <s v="ซื้อ / ขาย"/>
    <s v="By proudct"/>
    <x v="3"/>
    <s v="สุกร"/>
    <s v="OT002 CC-Makro"/>
    <s v="MT"/>
    <n v="2"/>
    <n v="0"/>
    <n v="0"/>
    <n v="0"/>
    <s v="สุภาวดี มีแทน"/>
    <s v="2026-05-12-08.48.58.000000"/>
    <s v="ถาด"/>
    <s v="ก.ก."/>
    <s v=" "/>
    <n v="0"/>
    <s v="N"/>
    <x v="9"/>
    <n v="0"/>
    <n v="0"/>
    <n v="1"/>
    <n v="0"/>
    <n v="0"/>
    <n v="1333314600"/>
    <s v="G"/>
    <n v="28"/>
    <n v="11.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0800"/>
    <s v="บมจ. ซีพี แอ็กซ์ตร้า สาขาสิงห์บุรี"/>
    <n v="2"/>
    <x v="2"/>
    <d v="2569-12-05T00:00:00"/>
    <x v="0"/>
    <x v="10"/>
    <x v="115"/>
    <x v="115"/>
    <n v="14"/>
    <n v="5.6"/>
    <n v="14"/>
    <n v="5.6"/>
    <n v="0"/>
    <n v="0"/>
    <n v="0"/>
    <n v="0"/>
    <n v="14"/>
    <n v="5.6"/>
    <n v="0"/>
    <n v="0"/>
    <s v="OPRCD489MOPRCD00000OPRCDF213OPRCD00000OPRCD923"/>
    <s v="ซื้อ / ขาย"/>
    <s v="By proudct"/>
    <x v="3"/>
    <s v="สุกร"/>
    <s v="OT002 CC-Makro"/>
    <s v="MT"/>
    <n v="2"/>
    <n v="0"/>
    <n v="0"/>
    <n v="0"/>
    <s v="สุภาวดี มีแทน"/>
    <s v="2026-05-12-08.48.58.000000"/>
    <s v="ถาด"/>
    <s v="ก.ก."/>
    <s v=" "/>
    <n v="0"/>
    <s v="N"/>
    <x v="10"/>
    <n v="0"/>
    <n v="0"/>
    <n v="1"/>
    <n v="0"/>
    <n v="0"/>
    <n v="1333314600"/>
    <s v="G"/>
    <n v="14"/>
    <n v="5.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17200"/>
    <s v="บมจ. ซีพี แอ็กซ์ตร้า สาขาชัยนาท"/>
    <n v="2"/>
    <x v="0"/>
    <d v="2569-12-05T00:00:00"/>
    <x v="0"/>
    <x v="11"/>
    <x v="115"/>
    <x v="115"/>
    <n v="14"/>
    <n v="5.6"/>
    <n v="14"/>
    <n v="5.6"/>
    <n v="0"/>
    <n v="0"/>
    <n v="0"/>
    <n v="0"/>
    <n v="14"/>
    <n v="5.6"/>
    <n v="0"/>
    <n v="0"/>
    <s v="OPRCD489MOPRCD00000OPRCDF213OPRCD00000OPRCD923"/>
    <s v="ซื้อ / ขาย"/>
    <s v="By proudct"/>
    <x v="3"/>
    <s v="สุกร"/>
    <s v="MT2001 SUPER MK.-Makro"/>
    <s v="MT"/>
    <n v="20"/>
    <n v="1"/>
    <n v="0"/>
    <n v="0"/>
    <s v="สุภาวดี มีแทน"/>
    <s v="2026-05-12-08.48.58.000000"/>
    <s v="ถาด"/>
    <s v="ก.ก."/>
    <s v=" "/>
    <n v="0"/>
    <s v="N"/>
    <x v="11"/>
    <n v="0"/>
    <n v="0"/>
    <n v="1"/>
    <n v="0"/>
    <n v="0"/>
    <n v="1333314600"/>
    <s v="G"/>
    <n v="14"/>
    <n v="5.6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2-05T00:00:00"/>
    <x v="0"/>
    <x v="12"/>
    <x v="116"/>
    <x v="116"/>
    <n v="16"/>
    <n v="16"/>
    <n v="16"/>
    <n v="16"/>
    <n v="0"/>
    <n v="0"/>
    <n v="0"/>
    <n v="0"/>
    <n v="16"/>
    <n v="16"/>
    <n v="0"/>
    <n v="0"/>
    <s v="OPRCD489MOPRCD00000OPRCDF213OPRCD00000OPRCD923"/>
    <s v="ซื้อ / ขาย"/>
    <s v="By proudct"/>
    <x v="4"/>
    <s v="สุกร"/>
    <s v="OT002 CC-Makro"/>
    <s v="MT"/>
    <n v="2"/>
    <n v="0"/>
    <n v="0"/>
    <n v="0"/>
    <s v="สุภาวดี มีแทน"/>
    <s v="2026-05-12-11.01.14.000000"/>
    <s v="แพ็ค"/>
    <s v="ก.ก."/>
    <s v=" "/>
    <n v="0"/>
    <s v="N"/>
    <x v="12"/>
    <n v="0"/>
    <n v="0"/>
    <n v="1"/>
    <n v="0"/>
    <n v="0"/>
    <n v="1333314600"/>
    <s v="G"/>
    <n v="16"/>
    <n v="1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8400"/>
    <s v="บมจ. ซีพี แอ็กซ์ตร้า สาขานครอินทร์"/>
    <n v="2"/>
    <x v="1"/>
    <d v="2569-12-05T00:00:00"/>
    <x v="0"/>
    <x v="12"/>
    <x v="115"/>
    <x v="115"/>
    <n v="14"/>
    <n v="5.6"/>
    <n v="14"/>
    <n v="5.6"/>
    <n v="0"/>
    <n v="0"/>
    <n v="0"/>
    <n v="0"/>
    <n v="14"/>
    <n v="5.6"/>
    <n v="0"/>
    <n v="0"/>
    <s v="OPRCD489MOPRCD00000OPRCDF213OPRCD00000OPRCD923"/>
    <s v="ซื้อ / ขาย"/>
    <s v="By proudct"/>
    <x v="3"/>
    <s v="สุกร"/>
    <s v="OT002 CC-Makro"/>
    <s v="MT"/>
    <n v="2"/>
    <n v="0"/>
    <n v="0"/>
    <n v="0"/>
    <s v="สุภาวดี มีแทน"/>
    <s v="2026-05-12-11.01.14.000000"/>
    <s v="ถาด"/>
    <s v="ก.ก."/>
    <s v=" "/>
    <n v="0"/>
    <s v="N"/>
    <x v="12"/>
    <n v="0"/>
    <n v="0"/>
    <n v="1"/>
    <n v="0"/>
    <n v="0"/>
    <n v="1333314600"/>
    <s v="G"/>
    <n v="14"/>
    <n v="5.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8"/>
    <x v="18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2"/>
    <x v="2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39"/>
    <x v="3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9"/>
    <x v="19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4"/>
    <x v="14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46"/>
    <x v="4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47"/>
    <x v="47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0"/>
    <x v="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2"/>
    <x v="12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17"/>
    <x v="117"/>
    <n v="8"/>
    <n v="40"/>
    <n v="8"/>
    <n v="40"/>
    <n v="0"/>
    <n v="0"/>
    <n v="0"/>
    <n v="0"/>
    <n v="8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ถุง"/>
    <s v="ก.ก."/>
    <s v=" "/>
    <n v="0"/>
    <s v="N"/>
    <x v="13"/>
    <n v="0"/>
    <n v="0"/>
    <n v="1"/>
    <n v="0"/>
    <s v=";0000"/>
    <n v="1333314600"/>
    <s v="G"/>
    <n v="8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14"/>
    <x v="114"/>
    <n v="12"/>
    <n v="60"/>
    <n v="12"/>
    <n v="60"/>
    <n v="0"/>
    <n v="0"/>
    <n v="0"/>
    <n v="0"/>
    <n v="12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ถุง"/>
    <s v="ก.ก."/>
    <s v=" "/>
    <n v="0"/>
    <s v="N"/>
    <x v="13"/>
    <n v="0"/>
    <n v="0"/>
    <n v="1"/>
    <n v="0"/>
    <s v=";0000"/>
    <n v="1333314600"/>
    <s v="G"/>
    <n v="12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38"/>
    <x v="38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5"/>
    <x v="15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0"/>
    <x v="1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42"/>
    <x v="4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32"/>
    <x v="32"/>
    <n v="160"/>
    <n v="160"/>
    <n v="160"/>
    <n v="160"/>
    <n v="0"/>
    <n v="0"/>
    <n v="0"/>
    <n v="0"/>
    <n v="160"/>
    <n v="16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60"/>
    <n v="1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"/>
    <x v="1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36"/>
    <x v="36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26"/>
    <x v="26"/>
    <n v="70"/>
    <n v="70"/>
    <n v="70"/>
    <n v="70"/>
    <n v="0"/>
    <n v="0"/>
    <n v="0"/>
    <n v="0"/>
    <n v="70"/>
    <n v="7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70"/>
    <n v="7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s v="1A53009300"/>
    <s v="บมจ. ซีพี แอ็กซ์ตร้า สาขาทาวน์ อิน ทาวน์"/>
    <n v="2"/>
    <x v="6"/>
    <d v="2569-12-05T00:00:00"/>
    <x v="0"/>
    <x v="13"/>
    <x v="106"/>
    <x v="106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60"/>
    <n v="60"/>
    <n v="1300"/>
    <s v="SYSBATCH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n v="0"/>
    <n v="0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m/>
    <m/>
    <m/>
    <m/>
    <m/>
    <m/>
    <x v="2"/>
    <m/>
    <m/>
    <m/>
    <m/>
    <x v="2"/>
    <m/>
    <m/>
    <m/>
    <m/>
    <x v="8"/>
    <m/>
    <x v="2"/>
    <x v="15"/>
    <x v="119"/>
    <x v="119"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x v="15"/>
    <m/>
    <m/>
    <m/>
    <m/>
    <m/>
    <m/>
    <m/>
    <m/>
    <m/>
    <m/>
    <m/>
    <m/>
    <m/>
  </r>
  <r>
    <s v="#CALC!"/>
    <m/>
    <m/>
    <m/>
    <m/>
    <m/>
    <x v="2"/>
    <m/>
    <m/>
    <m/>
    <m/>
    <x v="2"/>
    <m/>
    <m/>
    <m/>
    <m/>
    <x v="8"/>
    <m/>
    <x v="2"/>
    <x v="15"/>
    <x v="119"/>
    <x v="119"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x v="15"/>
    <m/>
    <m/>
    <m/>
    <m/>
    <m/>
    <m/>
    <m/>
    <m/>
    <m/>
    <m/>
    <m/>
    <m/>
    <m/>
  </r>
  <r>
    <m/>
    <m/>
    <m/>
    <m/>
    <m/>
    <m/>
    <x v="2"/>
    <m/>
    <m/>
    <m/>
    <m/>
    <x v="2"/>
    <m/>
    <m/>
    <m/>
    <m/>
    <x v="8"/>
    <m/>
    <x v="2"/>
    <x v="15"/>
    <x v="119"/>
    <x v="119"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x v="15"/>
    <m/>
    <m/>
    <m/>
    <m/>
    <m/>
    <m/>
    <m/>
    <m/>
    <m/>
    <m/>
    <m/>
    <m/>
    <m/>
  </r>
</pivotCacheRecords>
</file>

<file path=xl/pivotCache/richPivot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0"/>
    <x v="0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"/>
    <x v="1"/>
    <n v="130"/>
    <n v="130"/>
    <n v="130"/>
    <n v="130"/>
    <n v="0"/>
    <n v="0"/>
    <n v="0"/>
    <n v="0"/>
    <n v="130"/>
    <n v="13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30"/>
    <n v="13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"/>
    <x v="2"/>
    <n v="90"/>
    <n v="90"/>
    <n v="90"/>
    <n v="90"/>
    <n v="0"/>
    <n v="0"/>
    <n v="0"/>
    <n v="0"/>
    <n v="90"/>
    <n v="9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90"/>
    <n v="9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"/>
    <x v="3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80"/>
    <n v="8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"/>
    <x v="4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5"/>
    <x v="5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6"/>
    <x v="6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"/>
    <n v="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7"/>
    <x v="7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8"/>
    <x v="8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9"/>
    <x v="9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0"/>
    <x v="1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1"/>
    <x v="1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2"/>
    <x v="12"/>
    <n v="70"/>
    <n v="70"/>
    <n v="70"/>
    <n v="70"/>
    <n v="0"/>
    <n v="0"/>
    <n v="0"/>
    <n v="0"/>
    <n v="70"/>
    <n v="7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70"/>
    <n v="7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3"/>
    <x v="13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แพ็ค"/>
    <s v="ก.ก."/>
    <s v=" "/>
    <n v="0"/>
    <s v="N"/>
    <x v="0"/>
    <n v="0"/>
    <n v="0"/>
    <n v="1"/>
    <n v="0"/>
    <s v=";0000"/>
    <n v="1333314600"/>
    <s v="G"/>
    <n v="30"/>
    <n v="3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4"/>
    <x v="14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80"/>
    <n v="8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5"/>
    <x v="15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6"/>
    <x v="1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7"/>
    <x v="17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80"/>
    <n v="8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8"/>
    <x v="18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19"/>
    <x v="1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"/>
    <n v="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0"/>
    <x v="2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1"/>
    <x v="21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60"/>
    <n v="6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2"/>
    <x v="2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3"/>
    <x v="23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ถุง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4"/>
    <x v="24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5"/>
    <x v="2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6"/>
    <x v="26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30"/>
    <n v="3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7"/>
    <x v="27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8"/>
    <x v="28"/>
    <n v="110"/>
    <n v="110"/>
    <n v="110"/>
    <n v="110"/>
    <n v="0"/>
    <n v="0"/>
    <n v="0"/>
    <n v="0"/>
    <n v="110"/>
    <n v="1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10"/>
    <n v="1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29"/>
    <x v="29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40"/>
    <n v="4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0"/>
    <x v="30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"/>
    <n v="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1"/>
    <x v="3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2"/>
    <x v="32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3"/>
    <x v="33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"/>
    <n v="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4"/>
    <x v="34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5"/>
    <x v="35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6"/>
    <x v="36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40"/>
    <n v="4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7"/>
    <x v="37"/>
    <n v="30"/>
    <n v="150"/>
    <n v="30"/>
    <n v="150"/>
    <n v="0"/>
    <n v="0"/>
    <n v="0"/>
    <n v="0"/>
    <n v="30"/>
    <n v="15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ถุง"/>
    <s v="ก.ก."/>
    <s v=" "/>
    <n v="0"/>
    <s v="N"/>
    <x v="0"/>
    <n v="0"/>
    <n v="0"/>
    <n v="1"/>
    <n v="0"/>
    <s v=";0000"/>
    <n v="1333314600"/>
    <s v="G"/>
    <n v="30"/>
    <n v="15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8"/>
    <x v="3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39"/>
    <x v="39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0"/>
    <x v="40"/>
    <n v="15"/>
    <n v="15"/>
    <n v="15"/>
    <n v="15"/>
    <n v="0"/>
    <n v="0"/>
    <n v="0"/>
    <n v="0"/>
    <n v="15"/>
    <n v="15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5"/>
    <n v="1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1"/>
    <x v="41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2"/>
    <x v="4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20"/>
    <n v="2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4"/>
    <x v="44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5"/>
    <x v="4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6"/>
    <x v="46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0"/>
    <n v="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7"/>
    <x v="47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00"/>
    <n v="10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8"/>
    <x v="48"/>
    <n v="110"/>
    <n v="110"/>
    <n v="110"/>
    <n v="110"/>
    <n v="0"/>
    <n v="0"/>
    <n v="0"/>
    <n v="0"/>
    <n v="110"/>
    <n v="110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110"/>
    <n v="110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08-05T00:00:00"/>
    <x v="0"/>
    <x v="0"/>
    <x v="49"/>
    <x v="49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MT2001 SUPER MK.-Makro"/>
    <s v="MT"/>
    <n v="20"/>
    <n v="1"/>
    <n v="0"/>
    <n v="0"/>
    <s v="เบญจพจน์ เพชรเหลี่ยม"/>
    <s v="2026-05-08-13.09.12.000000"/>
    <s v="ก.ก."/>
    <s v="ก.ก."/>
    <s v=" "/>
    <n v="0"/>
    <s v="N"/>
    <x v="0"/>
    <n v="0"/>
    <n v="0"/>
    <n v="1"/>
    <n v="0"/>
    <s v=";0000"/>
    <n v="1333314600"/>
    <s v="G"/>
    <n v="5"/>
    <n v="5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0"/>
    <x v="50"/>
    <n v="2"/>
    <n v="2"/>
    <n v="2"/>
    <n v="2"/>
    <n v="0"/>
    <n v="0"/>
    <n v="0"/>
    <n v="0"/>
    <n v="2"/>
    <n v="2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1"/>
    <x v="51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2"/>
    <x v="52"/>
    <n v="12"/>
    <n v="4.8"/>
    <n v="12"/>
    <n v="4.8"/>
    <n v="0"/>
    <n v="0"/>
    <n v="0"/>
    <n v="0"/>
    <n v="12"/>
    <n v="4.8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12"/>
    <n v="4.8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3"/>
    <x v="53"/>
    <n v="2"/>
    <n v="0.8"/>
    <n v="2"/>
    <n v="0.8"/>
    <n v="0"/>
    <n v="0"/>
    <n v="0"/>
    <n v="0"/>
    <n v="2"/>
    <n v="0.8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"/>
    <n v="0.8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4"/>
    <x v="54"/>
    <n v="4"/>
    <n v="1"/>
    <n v="4"/>
    <n v="1"/>
    <n v="0"/>
    <n v="0"/>
    <n v="0"/>
    <n v="0"/>
    <n v="4"/>
    <n v="1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4"/>
    <n v="1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5"/>
    <x v="55"/>
    <n v="2"/>
    <n v="2"/>
    <n v="2"/>
    <n v="2"/>
    <n v="0"/>
    <n v="0"/>
    <n v="0"/>
    <n v="0"/>
    <n v="2"/>
    <n v="2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6"/>
    <x v="56"/>
    <n v="4"/>
    <n v="1.6"/>
    <n v="4"/>
    <n v="1.6"/>
    <n v="0"/>
    <n v="0"/>
    <n v="0"/>
    <n v="0"/>
    <n v="4"/>
    <n v="1.6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4"/>
    <n v="1.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7"/>
    <x v="57"/>
    <n v="4"/>
    <n v="1.6"/>
    <n v="4"/>
    <n v="1.6"/>
    <n v="0"/>
    <n v="0"/>
    <n v="0"/>
    <n v="0"/>
    <n v="4"/>
    <n v="1.6"/>
    <n v="0"/>
    <n v="0"/>
    <s v="OPRCD489MOPRCD00000OPRCDF213OPRCD00000OPRCD923"/>
    <s v="ซื้อ / ขาย"/>
    <s v="By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4"/>
    <n v="1.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8"/>
    <x v="58"/>
    <n v="24"/>
    <n v="24"/>
    <n v="24"/>
    <n v="24"/>
    <n v="0"/>
    <n v="0"/>
    <n v="0"/>
    <n v="0"/>
    <n v="24"/>
    <n v="24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4"/>
    <n v="2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59"/>
    <x v="59"/>
    <n v="12"/>
    <n v="3"/>
    <n v="12"/>
    <n v="3"/>
    <n v="0"/>
    <n v="0"/>
    <n v="0"/>
    <n v="0"/>
    <n v="12"/>
    <n v="3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12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60"/>
    <x v="60"/>
    <n v="12"/>
    <n v="3"/>
    <n v="12"/>
    <n v="3"/>
    <n v="0"/>
    <n v="0"/>
    <n v="0"/>
    <n v="0"/>
    <n v="12"/>
    <n v="3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12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61"/>
    <x v="61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62"/>
    <x v="62"/>
    <n v="2"/>
    <n v="2"/>
    <n v="2"/>
    <n v="2"/>
    <n v="0"/>
    <n v="0"/>
    <n v="0"/>
    <n v="0"/>
    <n v="2"/>
    <n v="2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1"/>
    <x v="63"/>
    <x v="6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1"/>
    <n v="0"/>
    <n v="0"/>
    <n v="1"/>
    <n v="0"/>
    <n v="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64"/>
    <x v="64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65"/>
    <x v="65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66"/>
    <x v="66"/>
    <n v="3"/>
    <n v="3"/>
    <n v="3"/>
    <n v="3"/>
    <n v="0"/>
    <n v="0"/>
    <n v="0"/>
    <n v="0"/>
    <n v="3"/>
    <n v="3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3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67"/>
    <x v="67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By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68"/>
    <x v="68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69"/>
    <x v="69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0"/>
    <x v="70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1"/>
    <x v="71"/>
    <n v="3"/>
    <n v="3"/>
    <n v="3"/>
    <n v="3"/>
    <n v="0"/>
    <n v="0"/>
    <n v="0"/>
    <n v="0"/>
    <n v="3"/>
    <n v="3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3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2"/>
    <x v="72"/>
    <n v="3"/>
    <n v="3"/>
    <n v="3"/>
    <n v="3"/>
    <n v="0"/>
    <n v="0"/>
    <n v="0"/>
    <n v="0"/>
    <n v="3"/>
    <n v="3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3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3"/>
    <x v="73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4"/>
    <x v="74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5"/>
    <x v="75"/>
    <n v="8"/>
    <n v="4"/>
    <n v="8"/>
    <n v="4"/>
    <n v="0"/>
    <n v="0"/>
    <n v="0"/>
    <n v="0"/>
    <n v="8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8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6"/>
    <x v="76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7"/>
    <x v="77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63"/>
    <x v="63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8"/>
    <x v="78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79"/>
    <x v="79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0"/>
    <x v="80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By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1"/>
    <x v="81"/>
    <n v="8"/>
    <n v="4"/>
    <n v="8"/>
    <n v="4"/>
    <n v="0"/>
    <n v="0"/>
    <n v="0"/>
    <n v="0"/>
    <n v="8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8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2"/>
    <x v="82"/>
    <n v="8"/>
    <n v="4"/>
    <n v="8"/>
    <n v="4"/>
    <n v="0"/>
    <n v="0"/>
    <n v="0"/>
    <n v="0"/>
    <n v="8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8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3"/>
    <x v="83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51"/>
    <x v="5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4"/>
    <x v="84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5"/>
    <x v="8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6"/>
    <x v="86"/>
    <n v="12"/>
    <n v="6"/>
    <n v="12"/>
    <n v="6"/>
    <n v="0"/>
    <n v="0"/>
    <n v="0"/>
    <n v="0"/>
    <n v="12"/>
    <n v="6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12"/>
    <n v="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7"/>
    <x v="87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8"/>
    <x v="88"/>
    <n v="4"/>
    <n v="6"/>
    <n v="4"/>
    <n v="6"/>
    <n v="0"/>
    <n v="0"/>
    <n v="0"/>
    <n v="0"/>
    <n v="4"/>
    <n v="6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89"/>
    <x v="89"/>
    <n v="3"/>
    <n v="3"/>
    <n v="3"/>
    <n v="3"/>
    <n v="0"/>
    <n v="0"/>
    <n v="0"/>
    <n v="0"/>
    <n v="3"/>
    <n v="3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3"/>
    <n v="3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90"/>
    <x v="90"/>
    <n v="8"/>
    <n v="4"/>
    <n v="8"/>
    <n v="4"/>
    <n v="0"/>
    <n v="0"/>
    <n v="0"/>
    <n v="0"/>
    <n v="8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8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91"/>
    <x v="91"/>
    <n v="4"/>
    <n v="4"/>
    <n v="4"/>
    <n v="4"/>
    <n v="0"/>
    <n v="0"/>
    <n v="0"/>
    <n v="0"/>
    <n v="4"/>
    <n v="4"/>
    <n v="0"/>
    <n v="0"/>
    <s v="OPRCD489MOPRCD00000OPRCDF213OPRCD00000OPRCD923"/>
    <s v="ซื้อ / ขาย"/>
    <s v="Main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4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2"/>
    <x v="92"/>
    <x v="92"/>
    <n v="4"/>
    <n v="2"/>
    <n v="4"/>
    <n v="2"/>
    <n v="0"/>
    <n v="0"/>
    <n v="0"/>
    <n v="0"/>
    <n v="4"/>
    <n v="2"/>
    <n v="0"/>
    <n v="0"/>
    <s v="OPRCD489MOPRCD00000OPRCDF213OPRCD00000OPRCD923"/>
    <s v="ซื้อ / ขาย"/>
    <s v="By proudct"/>
    <x v="1"/>
    <s v="สุกร"/>
    <s v="OT002 CC-Makro"/>
    <s v="MT"/>
    <n v="2"/>
    <n v="0"/>
    <n v="0"/>
    <n v="0"/>
    <s v="System Batch"/>
    <s v="2026-05-11-12.40.50.000000"/>
    <s v="แพ็ค"/>
    <s v="ก.ก."/>
    <s v=" "/>
    <n v="0"/>
    <s v="N"/>
    <x v="2"/>
    <n v="0"/>
    <n v="0"/>
    <n v="1"/>
    <n v="0"/>
    <n v="0"/>
    <n v="1333314600"/>
    <s v="G"/>
    <n v="4"/>
    <n v="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40"/>
    <x v="40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2"/>
    <x v="2"/>
    <n v="180"/>
    <n v="180"/>
    <n v="180"/>
    <n v="180"/>
    <n v="0"/>
    <n v="0"/>
    <n v="0"/>
    <n v="0"/>
    <n v="180"/>
    <n v="18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180"/>
    <n v="18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93"/>
    <x v="93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39"/>
    <x v="39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0"/>
    <x v="0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94"/>
    <x v="94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3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11"/>
    <x v="11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1"/>
    <x v="1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95"/>
    <x v="95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12"/>
    <x v="12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3"/>
    <x v="3"/>
    <n v="2"/>
    <x v="3"/>
    <d v="2569-11-05T00:00:00"/>
    <x v="0"/>
    <x v="3"/>
    <x v="36"/>
    <x v="36"/>
    <n v="220"/>
    <n v="220"/>
    <n v="220"/>
    <n v="220"/>
    <n v="0"/>
    <n v="0"/>
    <n v="0"/>
    <n v="0"/>
    <n v="220"/>
    <n v="2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3"/>
    <n v="0"/>
    <n v="0"/>
    <n v="1"/>
    <n v="0"/>
    <s v=";0000"/>
    <n v="1333314600"/>
    <s v="G"/>
    <n v="220"/>
    <n v="2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0"/>
    <x v="10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0"/>
    <x v="0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96"/>
    <x v="96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8"/>
    <x v="1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21"/>
    <x v="21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95"/>
    <x v="95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47"/>
    <x v="47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26"/>
    <x v="26"/>
    <n v="90"/>
    <n v="90"/>
    <n v="90"/>
    <n v="90"/>
    <n v="0"/>
    <n v="0"/>
    <n v="0"/>
    <n v="0"/>
    <n v="90"/>
    <n v="9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90"/>
    <n v="9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2"/>
    <x v="12"/>
    <n v="140"/>
    <n v="140"/>
    <n v="140"/>
    <n v="140"/>
    <n v="0"/>
    <n v="0"/>
    <n v="0"/>
    <n v="0"/>
    <n v="140"/>
    <n v="1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40"/>
    <n v="1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"/>
    <x v="1"/>
    <n v="200"/>
    <n v="200"/>
    <n v="200"/>
    <n v="200"/>
    <n v="0"/>
    <n v="0"/>
    <n v="0"/>
    <n v="0"/>
    <n v="200"/>
    <n v="2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0"/>
    <n v="2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97"/>
    <x v="97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34"/>
    <x v="34"/>
    <n v="15"/>
    <n v="15"/>
    <n v="15"/>
    <n v="15"/>
    <n v="0"/>
    <n v="0"/>
    <n v="0"/>
    <n v="0"/>
    <n v="15"/>
    <n v="1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5"/>
    <n v="1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6"/>
    <x v="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38"/>
    <x v="38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2"/>
    <x v="2"/>
    <n v="400"/>
    <n v="400"/>
    <n v="400"/>
    <n v="400"/>
    <n v="0"/>
    <n v="0"/>
    <n v="0"/>
    <n v="0"/>
    <n v="400"/>
    <n v="4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400"/>
    <n v="4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23"/>
    <x v="23"/>
    <n v="2"/>
    <n v="10"/>
    <n v="2"/>
    <n v="10"/>
    <n v="0"/>
    <n v="0"/>
    <n v="0"/>
    <n v="0"/>
    <n v="2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4"/>
    <n v="0"/>
    <n v="0"/>
    <n v="1"/>
    <n v="0"/>
    <s v=";0000"/>
    <n v="1333314600"/>
    <s v="G"/>
    <n v="2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98"/>
    <x v="98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36"/>
    <x v="36"/>
    <n v="400"/>
    <n v="400"/>
    <n v="400"/>
    <n v="400"/>
    <n v="0"/>
    <n v="0"/>
    <n v="0"/>
    <n v="0"/>
    <n v="400"/>
    <n v="4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400"/>
    <n v="4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7"/>
    <x v="17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5"/>
    <x v="15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99"/>
    <x v="99"/>
    <n v="40"/>
    <n v="200"/>
    <n v="40"/>
    <n v="200"/>
    <n v="0"/>
    <n v="0"/>
    <n v="0"/>
    <n v="0"/>
    <n v="40"/>
    <n v="2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แพ็ค"/>
    <s v="ก.ก."/>
    <s v=" "/>
    <n v="0"/>
    <s v="N"/>
    <x v="4"/>
    <n v="0"/>
    <n v="0"/>
    <n v="1"/>
    <n v="0"/>
    <s v=";0000"/>
    <n v="1333314600"/>
    <s v="G"/>
    <n v="40"/>
    <n v="2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1"/>
    <x v="1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33"/>
    <x v="33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00"/>
    <x v="100"/>
    <n v="15"/>
    <n v="15"/>
    <n v="15"/>
    <n v="15"/>
    <n v="0"/>
    <n v="0"/>
    <n v="0"/>
    <n v="0"/>
    <n v="15"/>
    <n v="1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15"/>
    <n v="1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42"/>
    <x v="42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6"/>
    <x v="1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101"/>
    <x v="101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20"/>
    <x v="2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1-05T00:00:00"/>
    <x v="0"/>
    <x v="4"/>
    <x v="41"/>
    <x v="41"/>
    <n v="70"/>
    <n v="70"/>
    <n v="70"/>
    <n v="70"/>
    <n v="0"/>
    <n v="0"/>
    <n v="0"/>
    <n v="0"/>
    <n v="70"/>
    <n v="7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4"/>
    <n v="0"/>
    <n v="0"/>
    <n v="1"/>
    <n v="0"/>
    <s v=";0000"/>
    <n v="1333314600"/>
    <s v="G"/>
    <n v="70"/>
    <n v="7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8"/>
    <x v="18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02"/>
    <x v="10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"/>
    <x v="1"/>
    <n v="400"/>
    <n v="400"/>
    <n v="400"/>
    <n v="400"/>
    <n v="0"/>
    <n v="0"/>
    <n v="0"/>
    <n v="0"/>
    <n v="400"/>
    <n v="4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400"/>
    <n v="4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03"/>
    <x v="103"/>
    <n v="7.6923000000000004"/>
    <n v="39.999960000000002"/>
    <n v="7.6923076923076925"/>
    <n v="40"/>
    <n v="0"/>
    <n v="-4.0000000000000003E-5"/>
    <n v="0"/>
    <n v="0"/>
    <n v="7.6923000000000004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ถุง"/>
    <s v="ก.ก."/>
    <s v=" "/>
    <n v="0"/>
    <s v="N"/>
    <x v="5"/>
    <n v="0"/>
    <n v="0"/>
    <n v="1"/>
    <n v="0"/>
    <s v=";0000"/>
    <n v="1333314600"/>
    <s v="G"/>
    <n v="7.6923000000000004"/>
    <n v="39.99996000000000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21"/>
    <x v="21"/>
    <n v="180"/>
    <n v="180"/>
    <n v="180"/>
    <n v="180"/>
    <n v="0"/>
    <n v="0"/>
    <n v="0"/>
    <n v="0"/>
    <n v="180"/>
    <n v="18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80"/>
    <n v="18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22"/>
    <x v="22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31"/>
    <x v="3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42"/>
    <x v="42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37"/>
    <x v="37"/>
    <n v="80"/>
    <n v="400"/>
    <n v="80"/>
    <n v="400"/>
    <n v="0"/>
    <n v="0"/>
    <n v="0"/>
    <n v="0"/>
    <n v="80"/>
    <n v="4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ถุง"/>
    <s v="ก.ก."/>
    <s v=" "/>
    <n v="0"/>
    <s v="N"/>
    <x v="5"/>
    <n v="0"/>
    <n v="0"/>
    <n v="1"/>
    <n v="0"/>
    <s v=";0000"/>
    <n v="1333314600"/>
    <s v="G"/>
    <n v="80"/>
    <n v="4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2"/>
    <x v="2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80"/>
    <n v="8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38"/>
    <x v="38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5"/>
    <x v="15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47"/>
    <x v="47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48"/>
    <x v="48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2"/>
    <x v="12"/>
    <n v="250"/>
    <n v="250"/>
    <n v="250"/>
    <n v="250"/>
    <n v="0"/>
    <n v="0"/>
    <n v="0"/>
    <n v="0"/>
    <n v="250"/>
    <n v="25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250"/>
    <n v="2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36"/>
    <x v="36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25"/>
    <x v="2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45"/>
    <x v="45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0"/>
    <x v="0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7"/>
    <x v="17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49"/>
    <x v="4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34"/>
    <x v="34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04"/>
    <x v="104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4"/>
    <x v="14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3"/>
    <x v="3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29"/>
    <x v="29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6"/>
    <x v="16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46"/>
    <x v="46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60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0"/>
    <x v="10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33"/>
    <x v="33"/>
    <n v="150"/>
    <n v="150"/>
    <n v="150"/>
    <n v="150"/>
    <n v="0"/>
    <n v="0"/>
    <n v="0"/>
    <n v="0"/>
    <n v="150"/>
    <n v="1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50"/>
    <n v="1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01"/>
    <x v="101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9"/>
    <x v="19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1-05T00:00:00"/>
    <x v="0"/>
    <x v="5"/>
    <x v="100"/>
    <x v="100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5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96"/>
    <x v="9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33"/>
    <x v="33"/>
    <n v="15"/>
    <n v="15"/>
    <n v="15"/>
    <n v="15"/>
    <n v="0"/>
    <n v="0"/>
    <n v="0"/>
    <n v="0"/>
    <n v="15"/>
    <n v="1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15"/>
    <n v="1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105"/>
    <x v="105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14"/>
    <x v="14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106"/>
    <x v="106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38"/>
    <x v="3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29"/>
    <x v="29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107"/>
    <x v="107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108"/>
    <x v="10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109"/>
    <x v="109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1-05T00:00:00"/>
    <x v="0"/>
    <x v="6"/>
    <x v="22"/>
    <x v="2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1-13.33.46.000000"/>
    <s v="ก.ก."/>
    <s v="ก.ก."/>
    <s v=" "/>
    <n v="0"/>
    <s v="N"/>
    <x v="6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9"/>
    <x v="9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48"/>
    <x v="48"/>
    <n v="300"/>
    <n v="300"/>
    <n v="300"/>
    <n v="300"/>
    <n v="0"/>
    <n v="0"/>
    <n v="0"/>
    <n v="0"/>
    <n v="300"/>
    <n v="30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300"/>
    <n v="3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30"/>
    <x v="3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95"/>
    <x v="95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27"/>
    <x v="27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35"/>
    <x v="35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38"/>
    <x v="38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2"/>
    <x v="2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42"/>
    <x v="42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10"/>
    <x v="110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8"/>
    <x v="18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9"/>
    <x v="1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7"/>
    <x v="7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11"/>
    <x v="111"/>
    <n v="10"/>
    <n v="50"/>
    <n v="10"/>
    <n v="50"/>
    <n v="0"/>
    <n v="0"/>
    <n v="0"/>
    <n v="0"/>
    <n v="10"/>
    <n v="50"/>
    <n v="0"/>
    <n v="0"/>
    <s v="OPRCD489MOPRCD00000OPRCDF213OPRCD00000OPRCD923"/>
    <s v="ซื้อ / ขาย"/>
    <n v="0"/>
    <x v="2"/>
    <n v="0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7"/>
    <n v="0"/>
    <n v="0"/>
    <n v="1"/>
    <n v="0"/>
    <s v=";0000"/>
    <n v="1333314600"/>
    <s v="G"/>
    <n v="1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45"/>
    <x v="45"/>
    <n v="120"/>
    <n v="120"/>
    <n v="120"/>
    <n v="120"/>
    <n v="0"/>
    <n v="0"/>
    <n v="0"/>
    <n v="0"/>
    <n v="120"/>
    <n v="1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20"/>
    <n v="1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43"/>
    <x v="43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12"/>
    <x v="11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06"/>
    <x v="10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03"/>
    <x v="103"/>
    <n v="0.96150000000000002"/>
    <n v="4.9997999999999996"/>
    <n v="0.96150000000000002"/>
    <n v="4.9997999999999996"/>
    <n v="0"/>
    <n v="0"/>
    <n v="0"/>
    <n v="0"/>
    <n v="0.96150000000000002"/>
    <n v="4.9997999999999996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7"/>
    <n v="0"/>
    <n v="0"/>
    <n v="1"/>
    <n v="0"/>
    <s v=";0000"/>
    <n v="1333314600"/>
    <s v="G"/>
    <n v="0.96150000000000002"/>
    <n v="4.999799999999999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39"/>
    <x v="3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3"/>
    <x v="3"/>
    <n v="80"/>
    <n v="80"/>
    <n v="80"/>
    <n v="80"/>
    <n v="0"/>
    <n v="0"/>
    <n v="0"/>
    <n v="0"/>
    <n v="80"/>
    <n v="8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80"/>
    <n v="8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5"/>
    <x v="15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24"/>
    <x v="24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47"/>
    <x v="47"/>
    <n v="200"/>
    <n v="200"/>
    <n v="200"/>
    <n v="200"/>
    <n v="0"/>
    <n v="0"/>
    <n v="0"/>
    <n v="0"/>
    <n v="200"/>
    <n v="2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0"/>
    <n v="2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13"/>
    <x v="113"/>
    <n v="10"/>
    <n v="50"/>
    <n v="10"/>
    <n v="50"/>
    <n v="0"/>
    <n v="0"/>
    <n v="0"/>
    <n v="0"/>
    <n v="10"/>
    <n v="5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7"/>
    <n v="0"/>
    <n v="0"/>
    <n v="1"/>
    <n v="0"/>
    <s v=";0000"/>
    <n v="1333314600"/>
    <s v="G"/>
    <n v="1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0"/>
    <x v="0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26"/>
    <x v="26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2"/>
    <x v="12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21"/>
    <x v="21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20"/>
    <x v="2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0"/>
    <x v="10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41"/>
    <x v="41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4"/>
    <x v="14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14"/>
    <x v="114"/>
    <n v="1"/>
    <n v="5"/>
    <n v="1"/>
    <n v="5"/>
    <n v="0"/>
    <n v="0"/>
    <n v="0"/>
    <n v="0"/>
    <n v="1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ถุง"/>
    <s v="ก.ก."/>
    <s v=" "/>
    <n v="0"/>
    <s v="N"/>
    <x v="7"/>
    <n v="0"/>
    <n v="0"/>
    <n v="1"/>
    <n v="0"/>
    <s v=";0000"/>
    <n v="1333314600"/>
    <s v="G"/>
    <n v="1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33"/>
    <x v="33"/>
    <n v="0"/>
    <n v="0"/>
    <n v="0"/>
    <n v="0"/>
    <n v="0"/>
    <n v="0"/>
    <n v="0"/>
    <n v="0"/>
    <n v="0"/>
    <n v="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0"/>
    <n v="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46"/>
    <x v="46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31"/>
    <x v="31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29"/>
    <x v="2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1"/>
    <x v="1"/>
    <n v="300"/>
    <n v="300"/>
    <n v="300"/>
    <n v="300"/>
    <n v="0"/>
    <n v="0"/>
    <n v="0"/>
    <n v="0"/>
    <n v="300"/>
    <n v="3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300"/>
    <n v="3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40"/>
    <x v="40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1-05T00:00:00"/>
    <x v="0"/>
    <x v="7"/>
    <x v="22"/>
    <x v="22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เบญจพจน์ เพชรเหลี่ยม"/>
    <s v="2026-05-11-13.33.46.000000"/>
    <s v="ก.ก."/>
    <s v="ก.ก."/>
    <s v=" "/>
    <n v="0"/>
    <s v="N"/>
    <x v="7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4"/>
    <x v="4"/>
    <n v="2"/>
    <x v="4"/>
    <d v="2569-12-05T00:00:00"/>
    <x v="0"/>
    <x v="8"/>
    <x v="115"/>
    <x v="115"/>
    <n v="28"/>
    <n v="11.2"/>
    <n v="28"/>
    <n v="11.2"/>
    <n v="0"/>
    <n v="0"/>
    <n v="0"/>
    <n v="0"/>
    <n v="28"/>
    <n v="11.2"/>
    <n v="0"/>
    <n v="0"/>
    <s v="OPRCD489MOPRCD00000OPRCDF213OPRCD00000OPRCD923"/>
    <s v="ซื้อ / ขาย"/>
    <s v="By proudct"/>
    <x v="3"/>
    <s v="สุกร"/>
    <s v="OT002 CC-Makro"/>
    <s v="MT"/>
    <n v="2"/>
    <n v="0"/>
    <n v="0"/>
    <n v="0"/>
    <s v="สุภาวดี มีแทน"/>
    <s v="2026-05-12-08.48.58.000000"/>
    <s v="ถาด"/>
    <s v="ก.ก."/>
    <s v=" "/>
    <n v="0"/>
    <s v="N"/>
    <x v="8"/>
    <n v="0"/>
    <n v="0"/>
    <n v="1"/>
    <n v="0"/>
    <n v="0"/>
    <n v="1333314600"/>
    <s v="G"/>
    <n v="28"/>
    <n v="11.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5"/>
    <x v="5"/>
    <n v="2"/>
    <x v="5"/>
    <d v="2569-12-05T00:00:00"/>
    <x v="0"/>
    <x v="9"/>
    <x v="115"/>
    <x v="115"/>
    <n v="28"/>
    <n v="11.2"/>
    <n v="28"/>
    <n v="11.2"/>
    <n v="0"/>
    <n v="0"/>
    <n v="0"/>
    <n v="0"/>
    <n v="28"/>
    <n v="11.2"/>
    <n v="0"/>
    <n v="0"/>
    <s v="OPRCD489MOPRCD00000OPRCDF213OPRCD00000OPRCD923"/>
    <s v="ซื้อ / ขาย"/>
    <s v="By proudct"/>
    <x v="3"/>
    <s v="สุกร"/>
    <s v="OT002 CC-Makro"/>
    <s v="MT"/>
    <n v="2"/>
    <n v="0"/>
    <n v="0"/>
    <n v="0"/>
    <s v="สุภาวดี มีแทน"/>
    <s v="2026-05-12-08.48.58.000000"/>
    <s v="ถาด"/>
    <s v="ก.ก."/>
    <s v=" "/>
    <n v="0"/>
    <s v="N"/>
    <x v="9"/>
    <n v="0"/>
    <n v="0"/>
    <n v="1"/>
    <n v="0"/>
    <n v="0"/>
    <n v="1333314600"/>
    <s v="G"/>
    <n v="28"/>
    <n v="11.2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2"/>
    <x v="2"/>
    <n v="2"/>
    <x v="2"/>
    <d v="2569-12-05T00:00:00"/>
    <x v="0"/>
    <x v="10"/>
    <x v="115"/>
    <x v="115"/>
    <n v="14"/>
    <n v="5.6"/>
    <n v="14"/>
    <n v="5.6"/>
    <n v="0"/>
    <n v="0"/>
    <n v="0"/>
    <n v="0"/>
    <n v="14"/>
    <n v="5.6"/>
    <n v="0"/>
    <n v="0"/>
    <s v="OPRCD489MOPRCD00000OPRCDF213OPRCD00000OPRCD923"/>
    <s v="ซื้อ / ขาย"/>
    <s v="By proudct"/>
    <x v="3"/>
    <s v="สุกร"/>
    <s v="OT002 CC-Makro"/>
    <s v="MT"/>
    <n v="2"/>
    <n v="0"/>
    <n v="0"/>
    <n v="0"/>
    <s v="สุภาวดี มีแทน"/>
    <s v="2026-05-12-08.48.58.000000"/>
    <s v="ถาด"/>
    <s v="ก.ก."/>
    <s v=" "/>
    <n v="0"/>
    <s v="N"/>
    <x v="10"/>
    <n v="0"/>
    <n v="0"/>
    <n v="1"/>
    <n v="0"/>
    <n v="0"/>
    <n v="1333314600"/>
    <s v="G"/>
    <n v="14"/>
    <n v="5.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0"/>
    <x v="0"/>
    <n v="2"/>
    <x v="0"/>
    <d v="2569-12-05T00:00:00"/>
    <x v="0"/>
    <x v="11"/>
    <x v="115"/>
    <x v="115"/>
    <n v="14"/>
    <n v="5.6"/>
    <n v="14"/>
    <n v="5.6"/>
    <n v="0"/>
    <n v="0"/>
    <n v="0"/>
    <n v="0"/>
    <n v="14"/>
    <n v="5.6"/>
    <n v="0"/>
    <n v="0"/>
    <s v="OPRCD489MOPRCD00000OPRCDF213OPRCD00000OPRCD923"/>
    <s v="ซื้อ / ขาย"/>
    <s v="By proudct"/>
    <x v="3"/>
    <s v="สุกร"/>
    <s v="MT2001 SUPER MK.-Makro"/>
    <s v="MT"/>
    <n v="20"/>
    <n v="1"/>
    <n v="0"/>
    <n v="0"/>
    <s v="สุภาวดี มีแทน"/>
    <s v="2026-05-12-08.48.58.000000"/>
    <s v="ถาด"/>
    <s v="ก.ก."/>
    <s v=" "/>
    <n v="0"/>
    <s v="N"/>
    <x v="11"/>
    <n v="0"/>
    <n v="0"/>
    <n v="1"/>
    <n v="0"/>
    <n v="0"/>
    <n v="1333314600"/>
    <s v="G"/>
    <n v="14"/>
    <n v="5.6"/>
    <n v="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2-05T00:00:00"/>
    <x v="0"/>
    <x v="12"/>
    <x v="116"/>
    <x v="116"/>
    <n v="16"/>
    <n v="16"/>
    <n v="16"/>
    <n v="16"/>
    <n v="0"/>
    <n v="0"/>
    <n v="0"/>
    <n v="0"/>
    <n v="16"/>
    <n v="16"/>
    <n v="0"/>
    <n v="0"/>
    <s v="OPRCD489MOPRCD00000OPRCDF213OPRCD00000OPRCD923"/>
    <s v="ซื้อ / ขาย"/>
    <s v="By proudct"/>
    <x v="4"/>
    <s v="สุกร"/>
    <s v="OT002 CC-Makro"/>
    <s v="MT"/>
    <n v="2"/>
    <n v="0"/>
    <n v="0"/>
    <n v="0"/>
    <s v="สุภาวดี มีแทน"/>
    <s v="2026-05-12-11.01.14.000000"/>
    <s v="แพ็ค"/>
    <s v="ก.ก."/>
    <s v=" "/>
    <n v="0"/>
    <s v="N"/>
    <x v="12"/>
    <n v="0"/>
    <n v="0"/>
    <n v="1"/>
    <n v="0"/>
    <n v="0"/>
    <n v="1333314600"/>
    <s v="G"/>
    <n v="16"/>
    <n v="1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1"/>
    <x v="1"/>
    <n v="2"/>
    <x v="1"/>
    <d v="2569-12-05T00:00:00"/>
    <x v="0"/>
    <x v="12"/>
    <x v="115"/>
    <x v="115"/>
    <n v="14"/>
    <n v="5.6"/>
    <n v="14"/>
    <n v="5.6"/>
    <n v="0"/>
    <n v="0"/>
    <n v="0"/>
    <n v="0"/>
    <n v="14"/>
    <n v="5.6"/>
    <n v="0"/>
    <n v="0"/>
    <s v="OPRCD489MOPRCD00000OPRCDF213OPRCD00000OPRCD923"/>
    <s v="ซื้อ / ขาย"/>
    <s v="By proudct"/>
    <x v="3"/>
    <s v="สุกร"/>
    <s v="OT002 CC-Makro"/>
    <s v="MT"/>
    <n v="2"/>
    <n v="0"/>
    <n v="0"/>
    <n v="0"/>
    <s v="สุภาวดี มีแทน"/>
    <s v="2026-05-12-11.01.14.000000"/>
    <s v="ถาด"/>
    <s v="ก.ก."/>
    <s v=" "/>
    <n v="0"/>
    <s v="N"/>
    <x v="12"/>
    <n v="0"/>
    <n v="0"/>
    <n v="1"/>
    <n v="0"/>
    <n v="0"/>
    <n v="1333314600"/>
    <s v="G"/>
    <n v="14"/>
    <n v="5.6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8"/>
    <x v="18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2"/>
    <x v="2"/>
    <n v="20"/>
    <n v="20"/>
    <n v="20"/>
    <n v="20"/>
    <n v="0"/>
    <n v="0"/>
    <n v="0"/>
    <n v="0"/>
    <n v="20"/>
    <n v="2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20"/>
    <n v="2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39"/>
    <x v="39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9"/>
    <x v="19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4"/>
    <x v="14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46"/>
    <x v="46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47"/>
    <x v="47"/>
    <n v="40"/>
    <n v="40"/>
    <n v="40"/>
    <n v="40"/>
    <n v="0"/>
    <n v="0"/>
    <n v="0"/>
    <n v="0"/>
    <n v="40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40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0"/>
    <x v="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2"/>
    <x v="12"/>
    <n v="50"/>
    <n v="50"/>
    <n v="50"/>
    <n v="50"/>
    <n v="0"/>
    <n v="0"/>
    <n v="0"/>
    <n v="0"/>
    <n v="50"/>
    <n v="5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0"/>
    <n v="5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17"/>
    <x v="117"/>
    <n v="8"/>
    <n v="40"/>
    <n v="8"/>
    <n v="40"/>
    <n v="0"/>
    <n v="0"/>
    <n v="0"/>
    <n v="0"/>
    <n v="8"/>
    <n v="4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ถุง"/>
    <s v="ก.ก."/>
    <s v=" "/>
    <n v="0"/>
    <s v="N"/>
    <x v="13"/>
    <n v="0"/>
    <n v="0"/>
    <n v="1"/>
    <n v="0"/>
    <s v=";0000"/>
    <n v="1333314600"/>
    <s v="G"/>
    <n v="8"/>
    <n v="4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14"/>
    <x v="114"/>
    <n v="12"/>
    <n v="60"/>
    <n v="12"/>
    <n v="60"/>
    <n v="0"/>
    <n v="0"/>
    <n v="0"/>
    <n v="0"/>
    <n v="12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ถุง"/>
    <s v="ก.ก."/>
    <s v=" "/>
    <n v="0"/>
    <s v="N"/>
    <x v="13"/>
    <n v="0"/>
    <n v="0"/>
    <n v="1"/>
    <n v="0"/>
    <s v=";0000"/>
    <n v="1333314600"/>
    <s v="G"/>
    <n v="12"/>
    <n v="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38"/>
    <x v="38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5"/>
    <x v="15"/>
    <n v="10"/>
    <n v="10"/>
    <n v="10"/>
    <n v="10"/>
    <n v="0"/>
    <n v="0"/>
    <n v="0"/>
    <n v="0"/>
    <n v="10"/>
    <n v="1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"/>
    <n v="1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0"/>
    <x v="10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42"/>
    <x v="42"/>
    <n v="5"/>
    <n v="5"/>
    <n v="5"/>
    <n v="5"/>
    <n v="0"/>
    <n v="0"/>
    <n v="0"/>
    <n v="0"/>
    <n v="5"/>
    <n v="5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5"/>
    <n v="5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32"/>
    <x v="32"/>
    <n v="160"/>
    <n v="160"/>
    <n v="160"/>
    <n v="160"/>
    <n v="0"/>
    <n v="0"/>
    <n v="0"/>
    <n v="0"/>
    <n v="160"/>
    <n v="160"/>
    <n v="0"/>
    <n v="0"/>
    <s v="OPRCD489MOPRCD00000OPRCDF213OPRCD00000OPRCD923"/>
    <s v="ซื้อ / ขาย"/>
    <s v="By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60"/>
    <n v="16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"/>
    <x v="1"/>
    <n v="100"/>
    <n v="100"/>
    <n v="100"/>
    <n v="100"/>
    <n v="0"/>
    <n v="0"/>
    <n v="0"/>
    <n v="0"/>
    <n v="100"/>
    <n v="10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100"/>
    <n v="10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36"/>
    <x v="36"/>
    <n v="30"/>
    <n v="30"/>
    <n v="30"/>
    <n v="30"/>
    <n v="0"/>
    <n v="0"/>
    <n v="0"/>
    <n v="0"/>
    <n v="30"/>
    <n v="3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30"/>
    <n v="3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26"/>
    <x v="26"/>
    <n v="70"/>
    <n v="70"/>
    <n v="70"/>
    <n v="70"/>
    <n v="0"/>
    <n v="0"/>
    <n v="0"/>
    <n v="0"/>
    <n v="70"/>
    <n v="7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70"/>
    <n v="70"/>
    <n v="1300"/>
    <s v="SYSBATCH"/>
    <n v="0"/>
    <n v="0"/>
  </r>
  <r>
    <n v="0"/>
    <n v="0"/>
    <s v="14/5/2569"/>
    <s v="14/5/2569"/>
    <n v="0"/>
    <s v="489M"/>
    <x v="0"/>
    <n v="0"/>
    <s v="หน่วยงานกลาง"/>
    <s v="F213  DMCW-รชล-พระพุทธบาท"/>
    <s v="00000  หน่วยงานกลาง"/>
    <x v="0"/>
    <n v="0"/>
    <x v="6"/>
    <x v="6"/>
    <n v="2"/>
    <x v="6"/>
    <d v="2569-12-05T00:00:00"/>
    <x v="0"/>
    <x v="13"/>
    <x v="106"/>
    <x v="106"/>
    <n v="60"/>
    <n v="60"/>
    <n v="60"/>
    <n v="60"/>
    <n v="0"/>
    <n v="0"/>
    <n v="0"/>
    <n v="0"/>
    <n v="60"/>
    <n v="60"/>
    <n v="0"/>
    <n v="0"/>
    <s v="OPRCD489MOPRCD00000OPRCDF213OPRCD00000OPRCD923"/>
    <s v="ซื้อ / ขาย"/>
    <s v="Main proudct"/>
    <x v="0"/>
    <s v="สุกร"/>
    <s v="OT002 CC-Makro"/>
    <s v="MT"/>
    <n v="2"/>
    <n v="0"/>
    <n v="0"/>
    <n v="0"/>
    <s v="System Batch"/>
    <s v="2026-05-12-12.55.46.000000"/>
    <s v="ก.ก."/>
    <s v="ก.ก."/>
    <s v=" "/>
    <n v="0"/>
    <s v="N"/>
    <x v="13"/>
    <n v="0"/>
    <n v="0"/>
    <n v="1"/>
    <n v="0"/>
    <s v=";0000"/>
    <n v="1333314600"/>
    <s v="G"/>
    <n v="60"/>
    <n v="60"/>
    <n v="1300"/>
    <s v="SYSBATCH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n v="0"/>
    <n v="0"/>
    <d v="1899-12-30T00:00:00"/>
    <d v="1899-12-30T00:00:00"/>
    <n v="0"/>
    <n v="0"/>
    <x v="1"/>
    <n v="0"/>
    <n v="0"/>
    <n v="0"/>
    <n v="0"/>
    <x v="1"/>
    <n v="0"/>
    <x v="7"/>
    <x v="7"/>
    <n v="0"/>
    <x v="7"/>
    <d v="1899-12-30T00:00:00"/>
    <x v="1"/>
    <x v="14"/>
    <x v="118"/>
    <x v="118"/>
    <n v="0"/>
    <n v="0"/>
    <n v="0"/>
    <n v="0"/>
    <n v="0"/>
    <n v="0"/>
    <n v="0"/>
    <n v="0"/>
    <n v="0"/>
    <n v="0"/>
    <n v="0"/>
    <n v="0"/>
    <n v="0"/>
    <n v="0"/>
    <n v="0"/>
    <x v="2"/>
    <n v="0"/>
    <n v="0"/>
    <n v="0"/>
    <n v="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</r>
  <r>
    <m/>
    <m/>
    <m/>
    <m/>
    <m/>
    <m/>
    <x v="2"/>
    <m/>
    <m/>
    <m/>
    <m/>
    <x v="2"/>
    <m/>
    <x v="8"/>
    <x v="8"/>
    <m/>
    <x v="8"/>
    <m/>
    <x v="2"/>
    <x v="15"/>
    <x v="119"/>
    <x v="119"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x v="15"/>
    <m/>
    <m/>
    <m/>
    <m/>
    <m/>
    <m/>
    <m/>
    <m/>
    <m/>
    <m/>
    <m/>
    <m/>
    <m/>
  </r>
  <r>
    <s v="#CALC!"/>
    <m/>
    <m/>
    <m/>
    <m/>
    <m/>
    <x v="2"/>
    <m/>
    <m/>
    <m/>
    <m/>
    <x v="2"/>
    <m/>
    <x v="8"/>
    <x v="8"/>
    <m/>
    <x v="8"/>
    <m/>
    <x v="2"/>
    <x v="15"/>
    <x v="119"/>
    <x v="119"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x v="15"/>
    <m/>
    <m/>
    <m/>
    <m/>
    <m/>
    <m/>
    <m/>
    <m/>
    <m/>
    <m/>
    <m/>
    <m/>
    <m/>
  </r>
  <r>
    <m/>
    <m/>
    <m/>
    <m/>
    <m/>
    <m/>
    <x v="2"/>
    <m/>
    <m/>
    <m/>
    <m/>
    <x v="2"/>
    <m/>
    <x v="8"/>
    <x v="8"/>
    <m/>
    <x v="8"/>
    <m/>
    <x v="2"/>
    <x v="15"/>
    <x v="119"/>
    <x v="119"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x v="15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7A3DE-1CDB-4823-B5BD-615B8FD85781}" name="PivotTable1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9:C129" firstHeaderRow="2" firstDataRow="2" firstDataCol="2" rowPageCount="7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9">
        <item x="3"/>
        <item x="4"/>
        <item x="1"/>
        <item x="6"/>
        <item x="0"/>
        <item x="8"/>
        <item x="7"/>
        <item x="2"/>
        <item x="5"/>
      </items>
    </pivotField>
    <pivotField compact="0" numFmtId="14" outline="0" showAll="0" defaultSubtotal="0"/>
    <pivotField axis="axisPage" compact="0" numFmtId="14" outline="0" showAll="0" defaultSubtotal="0">
      <items count="5">
        <item m="1" x="4"/>
        <item x="2"/>
        <item x="1"/>
        <item m="1" x="3"/>
        <item x="0"/>
      </items>
    </pivotField>
    <pivotField axis="axisPage" compact="0" outline="0" showAll="0" defaultSubtotal="0">
      <items count="16">
        <item x="15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177">
        <item x="16"/>
        <item x="95"/>
        <item m="1" x="126"/>
        <item m="1" x="127"/>
        <item m="1" x="123"/>
        <item x="99"/>
        <item x="26"/>
        <item x="1"/>
        <item x="47"/>
        <item x="46"/>
        <item x="0"/>
        <item x="17"/>
        <item x="96"/>
        <item x="10"/>
        <item x="18"/>
        <item x="48"/>
        <item x="12"/>
        <item x="15"/>
        <item x="30"/>
        <item x="25"/>
        <item x="24"/>
        <item x="42"/>
        <item x="45"/>
        <item x="43"/>
        <item x="11"/>
        <item x="9"/>
        <item x="13"/>
        <item x="32"/>
        <item x="36"/>
        <item x="40"/>
        <item x="39"/>
        <item x="2"/>
        <item x="97"/>
        <item x="19"/>
        <item x="93"/>
        <item x="106"/>
        <item x="114"/>
        <item x="117"/>
        <item x="6"/>
        <item x="44"/>
        <item x="115"/>
        <item x="34"/>
        <item x="33"/>
        <item x="7"/>
        <item x="20"/>
        <item x="21"/>
        <item x="51"/>
        <item x="71"/>
        <item x="62"/>
        <item x="55"/>
        <item x="72"/>
        <item x="61"/>
        <item x="50"/>
        <item x="89"/>
        <item x="58"/>
        <item m="1" x="122"/>
        <item m="1" x="120"/>
        <item x="85"/>
        <item x="63"/>
        <item x="100"/>
        <item x="41"/>
        <item x="23"/>
        <item x="37"/>
        <item x="22"/>
        <item x="101"/>
        <item x="14"/>
        <item x="38"/>
        <item x="94"/>
        <item x="3"/>
        <item x="54"/>
        <item x="59"/>
        <item x="60"/>
        <item m="1" x="134"/>
        <item m="1" x="149"/>
        <item x="53"/>
        <item x="56"/>
        <item x="52"/>
        <item x="57"/>
        <item m="1" x="171"/>
        <item m="1" x="173"/>
        <item m="1" x="172"/>
        <item m="1" x="175"/>
        <item x="74"/>
        <item m="1" x="160"/>
        <item x="84"/>
        <item x="87"/>
        <item m="1" x="164"/>
        <item x="73"/>
        <item m="1" x="168"/>
        <item x="65"/>
        <item m="1" x="161"/>
        <item x="68"/>
        <item m="1" x="166"/>
        <item m="1" x="176"/>
        <item m="1" x="163"/>
        <item m="1" x="159"/>
        <item x="70"/>
        <item x="86"/>
        <item x="90"/>
        <item x="75"/>
        <item x="82"/>
        <item x="81"/>
        <item m="1" x="139"/>
        <item x="79"/>
        <item x="91"/>
        <item x="69"/>
        <item x="76"/>
        <item x="64"/>
        <item x="116"/>
        <item x="67"/>
        <item x="77"/>
        <item x="78"/>
        <item x="83"/>
        <item m="1" x="157"/>
        <item m="1" x="146"/>
        <item m="1" x="158"/>
        <item m="1" x="151"/>
        <item m="1" x="169"/>
        <item m="1" x="154"/>
        <item m="1" x="148"/>
        <item m="1" x="155"/>
        <item m="1" x="153"/>
        <item m="1" x="152"/>
        <item m="1" x="142"/>
        <item m="1" x="174"/>
        <item m="1" x="170"/>
        <item m="1" x="147"/>
        <item m="1" x="150"/>
        <item m="1" x="162"/>
        <item m="1" x="167"/>
        <item m="1" x="156"/>
        <item m="1" x="140"/>
        <item m="1" x="144"/>
        <item m="1" x="143"/>
        <item m="1" x="145"/>
        <item m="1" x="141"/>
        <item m="1" x="165"/>
        <item x="119"/>
        <item x="118"/>
        <item x="29"/>
        <item x="4"/>
        <item x="27"/>
        <item x="35"/>
        <item x="5"/>
        <item x="28"/>
        <item x="31"/>
        <item x="49"/>
        <item m="1" x="131"/>
        <item m="1" x="129"/>
        <item x="103"/>
        <item x="104"/>
        <item m="1" x="132"/>
        <item x="88"/>
        <item x="110"/>
        <item m="1" x="121"/>
        <item x="66"/>
        <item m="1" x="135"/>
        <item m="1" x="136"/>
        <item m="1" x="125"/>
        <item m="1" x="137"/>
        <item m="1" x="138"/>
        <item m="1" x="124"/>
        <item x="112"/>
        <item x="111"/>
        <item x="113"/>
        <item m="1" x="133"/>
        <item x="92"/>
        <item x="80"/>
        <item m="1" x="128"/>
        <item x="102"/>
        <item m="1" x="130"/>
        <item x="8"/>
        <item x="98"/>
        <item x="105"/>
        <item x="107"/>
        <item x="108"/>
        <item x="109"/>
      </items>
    </pivotField>
    <pivotField axis="axisRow" compact="0" outline="0" showAll="0" defaultSubtotal="0">
      <items count="120">
        <item x="20"/>
        <item x="14"/>
        <item x="101"/>
        <item x="38"/>
        <item x="22"/>
        <item x="26"/>
        <item x="34"/>
        <item x="7"/>
        <item x="51"/>
        <item x="23"/>
        <item x="115"/>
        <item x="25"/>
        <item x="45"/>
        <item x="97"/>
        <item x="9"/>
        <item x="42"/>
        <item x="43"/>
        <item x="12"/>
        <item x="93"/>
        <item x="6"/>
        <item x="19"/>
        <item x="30"/>
        <item x="21"/>
        <item x="3"/>
        <item x="100"/>
        <item x="32"/>
        <item x="10"/>
        <item x="16"/>
        <item x="96"/>
        <item x="95"/>
        <item x="15"/>
        <item x="57"/>
        <item x="44"/>
        <item x="18"/>
        <item x="41"/>
        <item x="1"/>
        <item x="36"/>
        <item x="53"/>
        <item x="33"/>
        <item x="61"/>
        <item x="84"/>
        <item x="82"/>
        <item x="46"/>
        <item x="0"/>
        <item x="39"/>
        <item x="60"/>
        <item x="58"/>
        <item x="68"/>
        <item x="90"/>
        <item x="47"/>
        <item x="40"/>
        <item x="59"/>
        <item x="73"/>
        <item x="75"/>
        <item x="17"/>
        <item x="2"/>
        <item x="54"/>
        <item x="85"/>
        <item x="106"/>
        <item x="63"/>
        <item x="65"/>
        <item x="86"/>
        <item x="48"/>
        <item x="11"/>
        <item x="52"/>
        <item x="114"/>
        <item x="87"/>
        <item x="81"/>
        <item x="74"/>
        <item x="70"/>
        <item x="94"/>
        <item x="37"/>
        <item x="24"/>
        <item x="119"/>
        <item x="118"/>
        <item x="4"/>
        <item x="27"/>
        <item x="35"/>
        <item x="5"/>
        <item x="28"/>
        <item x="31"/>
        <item x="49"/>
        <item x="103"/>
        <item x="88"/>
        <item x="110"/>
        <item x="50"/>
        <item x="89"/>
        <item x="66"/>
        <item x="72"/>
        <item x="71"/>
        <item x="112"/>
        <item x="111"/>
        <item x="113"/>
        <item x="62"/>
        <item x="55"/>
        <item x="56"/>
        <item x="116"/>
        <item x="102"/>
        <item x="104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6">
        <item x="0"/>
        <item x="1"/>
        <item x="3"/>
        <item x="5"/>
        <item x="2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73">
        <item x="15"/>
        <item m="1" x="71"/>
        <item m="1" x="67"/>
        <item m="1" x="68"/>
        <item m="1" x="69"/>
        <item m="1" x="70"/>
        <item m="1" x="65"/>
        <item m="1" x="72"/>
        <item m="1" x="64"/>
        <item m="1" x="60"/>
        <item m="1" x="58"/>
        <item m="1" x="61"/>
        <item m="1" x="63"/>
        <item m="1" x="66"/>
        <item m="1" x="62"/>
        <item m="1" x="59"/>
        <item x="1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44"/>
        <item m="1" x="45"/>
        <item m="1" x="42"/>
        <item m="1" x="4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0"/>
    <field x="21"/>
  </rowFields>
  <rowItems count="119">
    <i>
      <x/>
      <x v="27"/>
    </i>
    <i>
      <x v="1"/>
      <x v="29"/>
    </i>
    <i>
      <x v="5"/>
      <x v="114"/>
    </i>
    <i>
      <x v="6"/>
      <x v="5"/>
    </i>
    <i>
      <x v="7"/>
      <x v="35"/>
    </i>
    <i>
      <x v="8"/>
      <x v="49"/>
    </i>
    <i>
      <x v="9"/>
      <x v="42"/>
    </i>
    <i>
      <x v="10"/>
      <x v="43"/>
    </i>
    <i>
      <x v="11"/>
      <x v="54"/>
    </i>
    <i>
      <x v="12"/>
      <x v="28"/>
    </i>
    <i>
      <x v="13"/>
      <x v="26"/>
    </i>
    <i>
      <x v="14"/>
      <x v="33"/>
    </i>
    <i>
      <x v="15"/>
      <x v="62"/>
    </i>
    <i>
      <x v="16"/>
      <x v="17"/>
    </i>
    <i>
      <x v="17"/>
      <x v="30"/>
    </i>
    <i>
      <x v="18"/>
      <x v="21"/>
    </i>
    <i>
      <x v="19"/>
      <x v="11"/>
    </i>
    <i>
      <x v="20"/>
      <x v="72"/>
    </i>
    <i>
      <x v="21"/>
      <x v="15"/>
    </i>
    <i>
      <x v="22"/>
      <x v="12"/>
    </i>
    <i>
      <x v="23"/>
      <x v="16"/>
    </i>
    <i>
      <x v="24"/>
      <x v="63"/>
    </i>
    <i>
      <x v="25"/>
      <x v="14"/>
    </i>
    <i>
      <x v="26"/>
      <x v="100"/>
    </i>
    <i>
      <x v="27"/>
      <x v="25"/>
    </i>
    <i>
      <x v="28"/>
      <x v="36"/>
    </i>
    <i>
      <x v="29"/>
      <x v="50"/>
    </i>
    <i>
      <x v="30"/>
      <x v="44"/>
    </i>
    <i>
      <x v="31"/>
      <x v="55"/>
    </i>
    <i>
      <x v="32"/>
      <x v="13"/>
    </i>
    <i>
      <x v="33"/>
      <x v="20"/>
    </i>
    <i>
      <x v="34"/>
      <x v="18"/>
    </i>
    <i>
      <x v="35"/>
      <x v="58"/>
    </i>
    <i>
      <x v="36"/>
      <x v="65"/>
    </i>
    <i>
      <x v="37"/>
      <x v="119"/>
    </i>
    <i>
      <x v="38"/>
      <x v="19"/>
    </i>
    <i>
      <x v="39"/>
      <x v="32"/>
    </i>
    <i>
      <x v="40"/>
      <x v="10"/>
    </i>
    <i>
      <x v="41"/>
      <x v="6"/>
    </i>
    <i>
      <x v="42"/>
      <x v="38"/>
    </i>
    <i>
      <x v="43"/>
      <x v="7"/>
    </i>
    <i>
      <x v="44"/>
      <x/>
    </i>
    <i>
      <x v="45"/>
      <x v="22"/>
    </i>
    <i>
      <x v="46"/>
      <x v="8"/>
    </i>
    <i>
      <x v="47"/>
      <x v="89"/>
    </i>
    <i>
      <x v="48"/>
      <x v="93"/>
    </i>
    <i>
      <x v="49"/>
      <x v="94"/>
    </i>
    <i>
      <x v="50"/>
      <x v="88"/>
    </i>
    <i>
      <x v="51"/>
      <x v="39"/>
    </i>
    <i>
      <x v="52"/>
      <x v="85"/>
    </i>
    <i>
      <x v="53"/>
      <x v="86"/>
    </i>
    <i>
      <x v="54"/>
      <x v="46"/>
    </i>
    <i>
      <x v="57"/>
      <x v="57"/>
    </i>
    <i>
      <x v="58"/>
      <x v="59"/>
    </i>
    <i>
      <x v="59"/>
      <x v="24"/>
    </i>
    <i>
      <x v="60"/>
      <x v="34"/>
    </i>
    <i>
      <x v="61"/>
      <x v="9"/>
    </i>
    <i>
      <x v="62"/>
      <x v="71"/>
    </i>
    <i>
      <x v="63"/>
      <x v="4"/>
    </i>
    <i>
      <x v="64"/>
      <x v="2"/>
    </i>
    <i>
      <x v="65"/>
      <x v="1"/>
    </i>
    <i>
      <x v="66"/>
      <x v="3"/>
    </i>
    <i>
      <x v="67"/>
      <x v="70"/>
    </i>
    <i>
      <x v="68"/>
      <x v="23"/>
    </i>
    <i>
      <x v="69"/>
      <x v="56"/>
    </i>
    <i>
      <x v="70"/>
      <x v="51"/>
    </i>
    <i>
      <x v="71"/>
      <x v="45"/>
    </i>
    <i>
      <x v="74"/>
      <x v="37"/>
    </i>
    <i>
      <x v="75"/>
      <x v="95"/>
    </i>
    <i>
      <x v="76"/>
      <x v="64"/>
    </i>
    <i>
      <x v="77"/>
      <x v="31"/>
    </i>
    <i>
      <x v="82"/>
      <x v="68"/>
    </i>
    <i>
      <x v="84"/>
      <x v="40"/>
    </i>
    <i>
      <x v="85"/>
      <x v="66"/>
    </i>
    <i>
      <x v="87"/>
      <x v="52"/>
    </i>
    <i>
      <x v="89"/>
      <x v="60"/>
    </i>
    <i>
      <x v="91"/>
      <x v="47"/>
    </i>
    <i>
      <x v="96"/>
      <x v="69"/>
    </i>
    <i>
      <x v="97"/>
      <x v="61"/>
    </i>
    <i>
      <x v="98"/>
      <x v="48"/>
    </i>
    <i>
      <x v="99"/>
      <x v="53"/>
    </i>
    <i>
      <x v="100"/>
      <x v="41"/>
    </i>
    <i>
      <x v="101"/>
      <x v="67"/>
    </i>
    <i>
      <x v="103"/>
      <x v="108"/>
    </i>
    <i>
      <x v="104"/>
      <x v="111"/>
    </i>
    <i>
      <x v="105"/>
      <x v="104"/>
    </i>
    <i>
      <x v="106"/>
      <x v="105"/>
    </i>
    <i>
      <x v="107"/>
      <x v="102"/>
    </i>
    <i>
      <x v="108"/>
      <x v="96"/>
    </i>
    <i>
      <x v="109"/>
      <x v="103"/>
    </i>
    <i>
      <x v="110"/>
      <x v="106"/>
    </i>
    <i>
      <x v="111"/>
      <x v="107"/>
    </i>
    <i>
      <x v="112"/>
      <x v="110"/>
    </i>
    <i>
      <x v="139"/>
      <x v="101"/>
    </i>
    <i>
      <x v="140"/>
      <x v="75"/>
    </i>
    <i>
      <x v="141"/>
      <x v="76"/>
    </i>
    <i>
      <x v="142"/>
      <x v="77"/>
    </i>
    <i>
      <x v="143"/>
      <x v="78"/>
    </i>
    <i>
      <x v="144"/>
      <x v="79"/>
    </i>
    <i>
      <x v="145"/>
      <x v="80"/>
    </i>
    <i>
      <x v="146"/>
      <x v="81"/>
    </i>
    <i>
      <x v="149"/>
      <x v="82"/>
    </i>
    <i>
      <x v="150"/>
      <x v="98"/>
    </i>
    <i>
      <x v="152"/>
      <x v="83"/>
    </i>
    <i>
      <x v="153"/>
      <x v="84"/>
    </i>
    <i>
      <x v="155"/>
      <x v="87"/>
    </i>
    <i>
      <x v="162"/>
      <x v="90"/>
    </i>
    <i>
      <x v="163"/>
      <x v="91"/>
    </i>
    <i>
      <x v="164"/>
      <x v="92"/>
    </i>
    <i>
      <x v="166"/>
      <x v="112"/>
    </i>
    <i>
      <x v="167"/>
      <x v="109"/>
    </i>
    <i>
      <x v="169"/>
      <x v="97"/>
    </i>
    <i>
      <x v="171"/>
      <x v="99"/>
    </i>
    <i>
      <x v="172"/>
      <x v="113"/>
    </i>
    <i>
      <x v="173"/>
      <x v="115"/>
    </i>
    <i>
      <x v="174"/>
      <x v="116"/>
    </i>
    <i>
      <x v="175"/>
      <x v="117"/>
    </i>
    <i>
      <x v="176"/>
      <x v="118"/>
    </i>
    <i t="grand">
      <x/>
    </i>
  </rowItems>
  <colItems count="1">
    <i/>
  </colItems>
  <pageFields count="7">
    <pageField fld="6" item="0" hier="-1"/>
    <pageField fld="11" item="0" hier="-1"/>
    <pageField fld="37" hier="-1"/>
    <pageField fld="16" hier="-1"/>
    <pageField fld="52" hier="-1"/>
    <pageField fld="18" item="4" hier="-1"/>
    <pageField fld="19" hier="-1"/>
  </pageFields>
  <dataFields count="1">
    <dataField name="Sum of rPlan_wg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FEF2E-1960-4A26-A2F0-C01DF140EBC9}" name="PivotTable1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11:B20" firstHeaderRow="2" firstDataRow="2" firstDataCol="1" rowPageCount="8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3"/>
        <item x="4"/>
        <item x="1"/>
        <item x="6"/>
        <item x="0"/>
        <item x="8"/>
        <item x="7"/>
        <item x="2"/>
        <item x="5"/>
      </items>
    </pivotField>
    <pivotField compact="0" numFmtId="14" outline="0" showAll="0" defaultSubtotal="0"/>
    <pivotField axis="axisPage" compact="0" numFmtId="14" outline="0" showAll="0" defaultSubtotal="0">
      <items count="5">
        <item m="1" x="4"/>
        <item x="2"/>
        <item x="1"/>
        <item m="1" x="3"/>
        <item x="0"/>
      </items>
    </pivotField>
    <pivotField axis="axisPage" compact="0" outline="0" showAll="0" defaultSubtotal="0">
      <items count="16">
        <item x="15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compact="0" outline="0" showAll="0" defaultSubtotal="0">
      <items count="177">
        <item x="16"/>
        <item x="95"/>
        <item m="1" x="126"/>
        <item m="1" x="127"/>
        <item m="1" x="123"/>
        <item x="99"/>
        <item x="26"/>
        <item x="1"/>
        <item x="47"/>
        <item x="46"/>
        <item x="0"/>
        <item x="17"/>
        <item x="96"/>
        <item x="10"/>
        <item x="18"/>
        <item x="48"/>
        <item x="12"/>
        <item x="15"/>
        <item x="30"/>
        <item x="25"/>
        <item x="24"/>
        <item x="42"/>
        <item x="45"/>
        <item x="43"/>
        <item x="11"/>
        <item x="9"/>
        <item x="13"/>
        <item x="32"/>
        <item x="36"/>
        <item x="40"/>
        <item x="39"/>
        <item x="2"/>
        <item x="97"/>
        <item x="19"/>
        <item x="93"/>
        <item x="106"/>
        <item x="114"/>
        <item x="117"/>
        <item x="6"/>
        <item x="44"/>
        <item x="115"/>
        <item x="34"/>
        <item x="33"/>
        <item x="7"/>
        <item x="20"/>
        <item x="21"/>
        <item x="51"/>
        <item x="71"/>
        <item x="62"/>
        <item x="55"/>
        <item x="72"/>
        <item x="61"/>
        <item x="50"/>
        <item x="89"/>
        <item x="58"/>
        <item m="1" x="122"/>
        <item m="1" x="120"/>
        <item x="85"/>
        <item x="63"/>
        <item x="100"/>
        <item x="41"/>
        <item x="23"/>
        <item x="37"/>
        <item x="22"/>
        <item x="101"/>
        <item x="14"/>
        <item x="38"/>
        <item x="94"/>
        <item x="3"/>
        <item x="54"/>
        <item x="59"/>
        <item x="60"/>
        <item m="1" x="134"/>
        <item m="1" x="149"/>
        <item x="53"/>
        <item x="56"/>
        <item x="52"/>
        <item x="57"/>
        <item m="1" x="171"/>
        <item m="1" x="173"/>
        <item m="1" x="172"/>
        <item m="1" x="175"/>
        <item x="74"/>
        <item m="1" x="160"/>
        <item x="84"/>
        <item x="87"/>
        <item m="1" x="164"/>
        <item x="73"/>
        <item m="1" x="168"/>
        <item x="65"/>
        <item m="1" x="161"/>
        <item x="68"/>
        <item m="1" x="166"/>
        <item m="1" x="176"/>
        <item m="1" x="163"/>
        <item m="1" x="159"/>
        <item x="70"/>
        <item x="86"/>
        <item x="90"/>
        <item x="75"/>
        <item x="82"/>
        <item x="81"/>
        <item m="1" x="139"/>
        <item x="79"/>
        <item x="91"/>
        <item x="69"/>
        <item x="76"/>
        <item x="64"/>
        <item x="116"/>
        <item x="67"/>
        <item x="77"/>
        <item x="78"/>
        <item x="83"/>
        <item m="1" x="157"/>
        <item m="1" x="146"/>
        <item m="1" x="158"/>
        <item m="1" x="151"/>
        <item m="1" x="169"/>
        <item m="1" x="154"/>
        <item m="1" x="148"/>
        <item m="1" x="155"/>
        <item m="1" x="153"/>
        <item m="1" x="152"/>
        <item m="1" x="142"/>
        <item m="1" x="174"/>
        <item m="1" x="170"/>
        <item m="1" x="147"/>
        <item m="1" x="150"/>
        <item m="1" x="162"/>
        <item m="1" x="167"/>
        <item m="1" x="156"/>
        <item m="1" x="140"/>
        <item m="1" x="144"/>
        <item m="1" x="143"/>
        <item m="1" x="145"/>
        <item m="1" x="141"/>
        <item m="1" x="165"/>
        <item x="119"/>
        <item x="118"/>
        <item x="29"/>
        <item x="4"/>
        <item x="27"/>
        <item x="35"/>
        <item x="5"/>
        <item x="28"/>
        <item x="31"/>
        <item x="49"/>
        <item m="1" x="131"/>
        <item m="1" x="129"/>
        <item x="103"/>
        <item x="104"/>
        <item m="1" x="132"/>
        <item x="88"/>
        <item x="110"/>
        <item m="1" x="121"/>
        <item x="66"/>
        <item m="1" x="135"/>
        <item m="1" x="136"/>
        <item m="1" x="125"/>
        <item m="1" x="137"/>
        <item m="1" x="138"/>
        <item m="1" x="124"/>
        <item x="112"/>
        <item x="111"/>
        <item x="113"/>
        <item m="1" x="133"/>
        <item x="92"/>
        <item x="80"/>
        <item m="1" x="128"/>
        <item x="102"/>
        <item m="1" x="130"/>
        <item x="8"/>
        <item x="98"/>
        <item x="105"/>
        <item x="107"/>
        <item x="108"/>
        <item x="109"/>
      </items>
    </pivotField>
    <pivotField axis="axisPage" compact="0" outline="0" showAll="0" defaultSubtotal="0">
      <items count="120">
        <item x="20"/>
        <item x="14"/>
        <item x="101"/>
        <item x="38"/>
        <item x="22"/>
        <item x="26"/>
        <item x="34"/>
        <item x="7"/>
        <item x="51"/>
        <item x="23"/>
        <item x="115"/>
        <item x="25"/>
        <item x="45"/>
        <item x="97"/>
        <item x="9"/>
        <item x="42"/>
        <item x="43"/>
        <item x="12"/>
        <item x="93"/>
        <item x="6"/>
        <item x="19"/>
        <item x="30"/>
        <item x="21"/>
        <item x="3"/>
        <item x="100"/>
        <item x="32"/>
        <item x="10"/>
        <item x="16"/>
        <item x="96"/>
        <item x="95"/>
        <item x="15"/>
        <item x="57"/>
        <item x="44"/>
        <item x="18"/>
        <item x="41"/>
        <item x="1"/>
        <item x="36"/>
        <item x="53"/>
        <item x="33"/>
        <item x="61"/>
        <item x="84"/>
        <item x="82"/>
        <item x="46"/>
        <item x="0"/>
        <item x="39"/>
        <item x="60"/>
        <item x="58"/>
        <item x="68"/>
        <item x="90"/>
        <item x="47"/>
        <item x="40"/>
        <item x="59"/>
        <item x="73"/>
        <item x="75"/>
        <item x="17"/>
        <item x="2"/>
        <item x="54"/>
        <item x="85"/>
        <item x="106"/>
        <item x="63"/>
        <item x="65"/>
        <item x="86"/>
        <item x="48"/>
        <item x="11"/>
        <item x="52"/>
        <item x="114"/>
        <item x="87"/>
        <item x="81"/>
        <item x="74"/>
        <item x="70"/>
        <item x="94"/>
        <item x="37"/>
        <item x="24"/>
        <item x="119"/>
        <item x="118"/>
        <item x="4"/>
        <item x="27"/>
        <item x="35"/>
        <item x="5"/>
        <item x="28"/>
        <item x="31"/>
        <item x="49"/>
        <item x="103"/>
        <item x="88"/>
        <item x="110"/>
        <item x="50"/>
        <item x="89"/>
        <item x="66"/>
        <item x="72"/>
        <item x="71"/>
        <item x="112"/>
        <item x="111"/>
        <item x="113"/>
        <item x="62"/>
        <item x="55"/>
        <item x="56"/>
        <item x="116"/>
        <item x="102"/>
        <item x="104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6">
        <item x="0"/>
        <item x="1"/>
        <item x="3"/>
        <item x="5"/>
        <item x="2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73">
        <item x="15"/>
        <item m="1" x="71"/>
        <item m="1" x="67"/>
        <item m="1" x="68"/>
        <item m="1" x="69"/>
        <item m="1" x="70"/>
        <item m="1" x="65"/>
        <item m="1" x="72"/>
        <item m="1" x="64"/>
        <item m="1" x="60"/>
        <item m="1" x="58"/>
        <item m="1" x="61"/>
        <item m="1" x="63"/>
        <item m="1" x="66"/>
        <item m="1" x="62"/>
        <item m="1" x="59"/>
        <item x="1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44"/>
        <item m="1" x="45"/>
        <item m="1" x="42"/>
        <item m="1" x="4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7"/>
    </i>
    <i>
      <x v="8"/>
    </i>
    <i t="grand">
      <x/>
    </i>
  </rowItems>
  <colItems count="1">
    <i/>
  </colItems>
  <pageFields count="8">
    <pageField fld="6" item="0" hier="-1"/>
    <pageField fld="11" item="0" hier="-1"/>
    <pageField fld="37" hier="-1"/>
    <pageField fld="52" hier="-1"/>
    <pageField fld="20" hier="-1"/>
    <pageField fld="18" item="4" hier="-1"/>
    <pageField fld="21" hier="-1"/>
    <pageField fld="19" hier="-1"/>
  </pageFields>
  <dataFields count="1">
    <dataField name="Sum of rPlan_wgt" fld="25" baseField="0" baseItem="0"/>
  </dataFields>
  <formats count="7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16" type="button" dataOnly="0" labelOnly="1" outline="0" axis="axisRow" fieldPosition="0"/>
    </format>
    <format dxfId="41">
      <pivotArea dataOnly="0" labelOnly="1" outline="0" fieldPosition="0">
        <references count="1">
          <reference field="16" count="0"/>
        </references>
      </pivotArea>
    </format>
    <format dxfId="40">
      <pivotArea dataOnly="0" labelOnly="1" grandRow="1" outline="0" fieldPosition="0"/>
    </format>
    <format dxfId="3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49349-3F3B-4B2A-9A86-3FD1135580EB}" name="PivotTable1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11:B18" firstHeaderRow="2" firstDataRow="2" firstDataCol="1" rowPageCount="8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3"/>
        <item x="4"/>
        <item x="1"/>
        <item x="6"/>
        <item x="0"/>
        <item x="8"/>
        <item x="7"/>
        <item x="2"/>
        <item x="5"/>
      </items>
    </pivotField>
    <pivotField compact="0" numFmtId="14" outline="0" showAll="0" defaultSubtotal="0"/>
    <pivotField axis="axisPage" compact="0" numFmtId="14" outline="0" showAll="0" defaultSubtotal="0">
      <items count="5">
        <item m="1" x="4"/>
        <item x="2"/>
        <item x="1"/>
        <item m="1" x="3"/>
        <item x="0"/>
      </items>
    </pivotField>
    <pivotField axis="axisPage" compact="0" outline="0" showAll="0" defaultSubtotal="0">
      <items count="16">
        <item x="15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compact="0" outline="0" showAll="0" defaultSubtotal="0">
      <items count="177">
        <item x="16"/>
        <item x="95"/>
        <item m="1" x="126"/>
        <item m="1" x="127"/>
        <item m="1" x="123"/>
        <item x="99"/>
        <item x="26"/>
        <item x="1"/>
        <item x="47"/>
        <item x="46"/>
        <item x="0"/>
        <item x="17"/>
        <item x="96"/>
        <item x="10"/>
        <item x="18"/>
        <item x="48"/>
        <item x="12"/>
        <item x="15"/>
        <item x="30"/>
        <item x="25"/>
        <item x="24"/>
        <item x="42"/>
        <item x="45"/>
        <item x="43"/>
        <item x="11"/>
        <item x="9"/>
        <item x="13"/>
        <item x="32"/>
        <item x="36"/>
        <item x="40"/>
        <item x="39"/>
        <item x="2"/>
        <item x="97"/>
        <item x="19"/>
        <item x="93"/>
        <item x="106"/>
        <item x="114"/>
        <item x="117"/>
        <item x="6"/>
        <item x="44"/>
        <item x="115"/>
        <item x="34"/>
        <item x="33"/>
        <item x="7"/>
        <item x="20"/>
        <item x="21"/>
        <item x="51"/>
        <item x="71"/>
        <item x="62"/>
        <item x="55"/>
        <item x="72"/>
        <item x="61"/>
        <item x="50"/>
        <item x="89"/>
        <item x="58"/>
        <item m="1" x="122"/>
        <item m="1" x="120"/>
        <item x="85"/>
        <item x="63"/>
        <item x="100"/>
        <item x="41"/>
        <item x="23"/>
        <item x="37"/>
        <item x="22"/>
        <item x="101"/>
        <item x="14"/>
        <item x="38"/>
        <item x="94"/>
        <item x="3"/>
        <item x="54"/>
        <item x="59"/>
        <item x="60"/>
        <item m="1" x="134"/>
        <item m="1" x="149"/>
        <item x="53"/>
        <item x="56"/>
        <item x="52"/>
        <item x="57"/>
        <item m="1" x="171"/>
        <item m="1" x="173"/>
        <item m="1" x="172"/>
        <item m="1" x="175"/>
        <item x="74"/>
        <item m="1" x="160"/>
        <item x="84"/>
        <item x="87"/>
        <item m="1" x="164"/>
        <item x="73"/>
        <item m="1" x="168"/>
        <item x="65"/>
        <item m="1" x="161"/>
        <item x="68"/>
        <item m="1" x="166"/>
        <item m="1" x="176"/>
        <item m="1" x="163"/>
        <item m="1" x="159"/>
        <item x="70"/>
        <item x="86"/>
        <item x="90"/>
        <item x="75"/>
        <item x="82"/>
        <item x="81"/>
        <item m="1" x="139"/>
        <item x="79"/>
        <item x="91"/>
        <item x="69"/>
        <item x="76"/>
        <item x="64"/>
        <item x="116"/>
        <item x="67"/>
        <item x="77"/>
        <item x="78"/>
        <item x="83"/>
        <item m="1" x="157"/>
        <item m="1" x="146"/>
        <item m="1" x="158"/>
        <item m="1" x="151"/>
        <item m="1" x="169"/>
        <item m="1" x="154"/>
        <item m="1" x="148"/>
        <item m="1" x="155"/>
        <item m="1" x="153"/>
        <item m="1" x="152"/>
        <item m="1" x="142"/>
        <item m="1" x="174"/>
        <item m="1" x="170"/>
        <item m="1" x="147"/>
        <item m="1" x="150"/>
        <item m="1" x="162"/>
        <item m="1" x="167"/>
        <item m="1" x="156"/>
        <item m="1" x="140"/>
        <item m="1" x="144"/>
        <item m="1" x="143"/>
        <item m="1" x="145"/>
        <item m="1" x="141"/>
        <item m="1" x="165"/>
        <item x="119"/>
        <item x="118"/>
        <item x="29"/>
        <item x="4"/>
        <item x="27"/>
        <item x="35"/>
        <item x="5"/>
        <item x="28"/>
        <item x="31"/>
        <item x="49"/>
        <item m="1" x="131"/>
        <item m="1" x="129"/>
        <item x="103"/>
        <item x="104"/>
        <item m="1" x="132"/>
        <item x="88"/>
        <item x="110"/>
        <item m="1" x="121"/>
        <item x="66"/>
        <item m="1" x="135"/>
        <item m="1" x="136"/>
        <item m="1" x="125"/>
        <item m="1" x="137"/>
        <item m="1" x="138"/>
        <item m="1" x="124"/>
        <item x="112"/>
        <item x="111"/>
        <item x="113"/>
        <item m="1" x="133"/>
        <item x="92"/>
        <item x="80"/>
        <item m="1" x="128"/>
        <item x="102"/>
        <item m="1" x="130"/>
        <item x="8"/>
        <item x="98"/>
        <item x="105"/>
        <item x="107"/>
        <item x="108"/>
        <item x="109"/>
      </items>
    </pivotField>
    <pivotField axis="axisPage" compact="0" outline="0" showAll="0" defaultSubtotal="0">
      <items count="120">
        <item x="20"/>
        <item x="14"/>
        <item x="101"/>
        <item x="38"/>
        <item x="22"/>
        <item x="26"/>
        <item x="34"/>
        <item x="7"/>
        <item x="51"/>
        <item x="23"/>
        <item x="115"/>
        <item x="25"/>
        <item x="45"/>
        <item x="97"/>
        <item x="9"/>
        <item x="42"/>
        <item x="43"/>
        <item x="12"/>
        <item x="93"/>
        <item x="6"/>
        <item x="19"/>
        <item x="30"/>
        <item x="21"/>
        <item x="3"/>
        <item x="100"/>
        <item x="32"/>
        <item x="10"/>
        <item x="16"/>
        <item x="96"/>
        <item x="95"/>
        <item x="15"/>
        <item x="57"/>
        <item x="44"/>
        <item x="18"/>
        <item x="41"/>
        <item x="1"/>
        <item x="36"/>
        <item x="53"/>
        <item x="33"/>
        <item x="61"/>
        <item x="84"/>
        <item x="82"/>
        <item x="46"/>
        <item x="0"/>
        <item x="39"/>
        <item x="60"/>
        <item x="58"/>
        <item x="68"/>
        <item x="90"/>
        <item x="47"/>
        <item x="40"/>
        <item x="59"/>
        <item x="73"/>
        <item x="75"/>
        <item x="17"/>
        <item x="2"/>
        <item x="54"/>
        <item x="85"/>
        <item x="106"/>
        <item x="63"/>
        <item x="65"/>
        <item x="86"/>
        <item x="48"/>
        <item x="11"/>
        <item x="52"/>
        <item x="114"/>
        <item x="87"/>
        <item x="81"/>
        <item x="74"/>
        <item x="70"/>
        <item x="94"/>
        <item x="37"/>
        <item x="24"/>
        <item x="119"/>
        <item x="118"/>
        <item x="4"/>
        <item x="27"/>
        <item x="35"/>
        <item x="5"/>
        <item x="28"/>
        <item x="31"/>
        <item x="49"/>
        <item x="103"/>
        <item x="88"/>
        <item x="110"/>
        <item x="50"/>
        <item x="89"/>
        <item x="66"/>
        <item x="72"/>
        <item x="71"/>
        <item x="112"/>
        <item x="111"/>
        <item x="113"/>
        <item x="62"/>
        <item x="55"/>
        <item x="56"/>
        <item x="116"/>
        <item x="102"/>
        <item x="104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6">
        <item h="1" x="0"/>
        <item x="1"/>
        <item x="3"/>
        <item h="1" x="5"/>
        <item h="1" x="2"/>
        <item h="1"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73">
        <item x="15"/>
        <item m="1" x="71"/>
        <item m="1" x="67"/>
        <item m="1" x="68"/>
        <item m="1" x="69"/>
        <item m="1" x="70"/>
        <item m="1" x="65"/>
        <item m="1" x="72"/>
        <item m="1" x="64"/>
        <item m="1" x="60"/>
        <item m="1" x="58"/>
        <item m="1" x="61"/>
        <item m="1" x="63"/>
        <item m="1" x="66"/>
        <item m="1" x="62"/>
        <item m="1" x="59"/>
        <item x="1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44"/>
        <item m="1" x="45"/>
        <item m="1" x="42"/>
        <item m="1" x="4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6"/>
  </rowFields>
  <rowItems count="6">
    <i>
      <x v="1"/>
    </i>
    <i>
      <x v="2"/>
    </i>
    <i>
      <x v="4"/>
    </i>
    <i>
      <x v="7"/>
    </i>
    <i>
      <x v="8"/>
    </i>
    <i t="grand">
      <x/>
    </i>
  </rowItems>
  <colItems count="1">
    <i/>
  </colItems>
  <pageFields count="8">
    <pageField fld="6" item="0" hier="-1"/>
    <pageField fld="11" item="0" hier="-1"/>
    <pageField fld="37" hier="-1"/>
    <pageField fld="52" hier="-1"/>
    <pageField fld="20" hier="-1"/>
    <pageField fld="18" item="4" hier="-1"/>
    <pageField fld="21" hier="-1"/>
    <pageField fld="19" hier="-1"/>
  </pageFields>
  <dataFields count="1">
    <dataField name="Sum of rPlan_wgt" fld="25" baseField="0" baseItem="0"/>
  </dataFields>
  <formats count="7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6" type="button" dataOnly="0" labelOnly="1" outline="0" axis="axisRow" fieldPosition="0"/>
    </format>
    <format dxfId="34">
      <pivotArea dataOnly="0" labelOnly="1" outline="0" fieldPosition="0">
        <references count="1">
          <reference field="16" count="0"/>
        </references>
      </pivotArea>
    </format>
    <format dxfId="33">
      <pivotArea dataOnly="0" labelOnly="1" grandRow="1" outline="0" fieldPosition="0"/>
    </format>
    <format dxfId="32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461AB-87B7-42BF-9AB9-084DD435115F}" name="PivotTable1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9:E47" firstHeaderRow="1" firstDataRow="2" firstDataCol="3" rowPageCount="6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3"/>
        <item x="4"/>
        <item x="1"/>
        <item x="6"/>
        <item x="0"/>
        <item x="8"/>
        <item x="7"/>
        <item x="2"/>
        <item x="5"/>
      </items>
    </pivotField>
    <pivotField compact="0" numFmtId="14" outline="0" showAll="0" defaultSubtotal="0"/>
    <pivotField axis="axisPage" compact="0" numFmtId="14" outline="0" showAll="0" defaultSubtotal="0">
      <items count="5">
        <item m="1" x="4"/>
        <item x="2"/>
        <item x="1"/>
        <item m="1" x="3"/>
        <item x="0"/>
      </items>
    </pivotField>
    <pivotField axis="axisPage" compact="0" outline="0" showAll="0" defaultSubtotal="0">
      <items count="16">
        <item x="15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177">
        <item x="16"/>
        <item x="95"/>
        <item m="1" x="126"/>
        <item m="1" x="127"/>
        <item m="1" x="123"/>
        <item x="99"/>
        <item x="26"/>
        <item x="1"/>
        <item x="47"/>
        <item x="46"/>
        <item x="0"/>
        <item x="17"/>
        <item x="96"/>
        <item x="10"/>
        <item x="18"/>
        <item x="48"/>
        <item x="12"/>
        <item x="15"/>
        <item x="30"/>
        <item x="25"/>
        <item x="24"/>
        <item x="42"/>
        <item x="45"/>
        <item x="43"/>
        <item x="11"/>
        <item x="9"/>
        <item x="13"/>
        <item x="32"/>
        <item x="36"/>
        <item x="40"/>
        <item x="39"/>
        <item x="2"/>
        <item x="97"/>
        <item x="19"/>
        <item x="93"/>
        <item x="106"/>
        <item x="114"/>
        <item x="117"/>
        <item x="6"/>
        <item x="44"/>
        <item x="115"/>
        <item x="34"/>
        <item x="33"/>
        <item x="7"/>
        <item x="20"/>
        <item x="21"/>
        <item x="51"/>
        <item x="71"/>
        <item x="62"/>
        <item x="55"/>
        <item x="72"/>
        <item x="61"/>
        <item x="50"/>
        <item x="89"/>
        <item x="58"/>
        <item m="1" x="122"/>
        <item m="1" x="120"/>
        <item x="85"/>
        <item x="63"/>
        <item x="100"/>
        <item x="41"/>
        <item x="23"/>
        <item x="37"/>
        <item x="22"/>
        <item x="101"/>
        <item x="14"/>
        <item x="38"/>
        <item x="94"/>
        <item x="3"/>
        <item x="54"/>
        <item x="59"/>
        <item x="60"/>
        <item m="1" x="134"/>
        <item m="1" x="149"/>
        <item x="53"/>
        <item x="56"/>
        <item x="52"/>
        <item x="57"/>
        <item m="1" x="171"/>
        <item m="1" x="173"/>
        <item m="1" x="172"/>
        <item m="1" x="175"/>
        <item x="74"/>
        <item m="1" x="160"/>
        <item x="84"/>
        <item x="87"/>
        <item m="1" x="164"/>
        <item x="73"/>
        <item m="1" x="168"/>
        <item x="65"/>
        <item m="1" x="161"/>
        <item x="68"/>
        <item m="1" x="166"/>
        <item m="1" x="176"/>
        <item m="1" x="163"/>
        <item m="1" x="159"/>
        <item x="70"/>
        <item x="86"/>
        <item x="90"/>
        <item x="75"/>
        <item x="82"/>
        <item x="81"/>
        <item m="1" x="139"/>
        <item x="79"/>
        <item x="91"/>
        <item x="69"/>
        <item x="76"/>
        <item x="64"/>
        <item x="116"/>
        <item x="67"/>
        <item x="77"/>
        <item x="78"/>
        <item x="83"/>
        <item m="1" x="157"/>
        <item m="1" x="146"/>
        <item m="1" x="158"/>
        <item m="1" x="151"/>
        <item m="1" x="169"/>
        <item m="1" x="154"/>
        <item m="1" x="148"/>
        <item m="1" x="155"/>
        <item m="1" x="153"/>
        <item m="1" x="152"/>
        <item m="1" x="142"/>
        <item m="1" x="174"/>
        <item m="1" x="170"/>
        <item m="1" x="147"/>
        <item m="1" x="150"/>
        <item m="1" x="162"/>
        <item m="1" x="167"/>
        <item m="1" x="156"/>
        <item m="1" x="140"/>
        <item m="1" x="144"/>
        <item m="1" x="143"/>
        <item m="1" x="145"/>
        <item m="1" x="141"/>
        <item m="1" x="165"/>
        <item x="119"/>
        <item x="118"/>
        <item x="29"/>
        <item x="4"/>
        <item x="27"/>
        <item x="35"/>
        <item x="5"/>
        <item x="28"/>
        <item x="31"/>
        <item x="49"/>
        <item m="1" x="131"/>
        <item m="1" x="129"/>
        <item x="103"/>
        <item x="104"/>
        <item m="1" x="132"/>
        <item x="88"/>
        <item x="110"/>
        <item m="1" x="121"/>
        <item x="66"/>
        <item m="1" x="135"/>
        <item m="1" x="136"/>
        <item m="1" x="125"/>
        <item m="1" x="137"/>
        <item m="1" x="138"/>
        <item m="1" x="124"/>
        <item x="112"/>
        <item x="111"/>
        <item x="113"/>
        <item m="1" x="133"/>
        <item x="92"/>
        <item x="80"/>
        <item m="1" x="128"/>
        <item x="102"/>
        <item m="1" x="130"/>
        <item x="8"/>
        <item x="98"/>
        <item x="105"/>
        <item x="107"/>
        <item x="108"/>
        <item x="109"/>
      </items>
    </pivotField>
    <pivotField axis="axisRow" compact="0" outline="0" showAll="0" defaultSubtotal="0">
      <items count="120">
        <item x="20"/>
        <item x="14"/>
        <item x="101"/>
        <item x="38"/>
        <item x="22"/>
        <item x="26"/>
        <item x="34"/>
        <item x="7"/>
        <item x="51"/>
        <item x="23"/>
        <item x="115"/>
        <item x="25"/>
        <item x="45"/>
        <item x="97"/>
        <item x="9"/>
        <item x="42"/>
        <item x="43"/>
        <item x="12"/>
        <item x="93"/>
        <item x="6"/>
        <item x="19"/>
        <item x="30"/>
        <item x="21"/>
        <item x="3"/>
        <item x="100"/>
        <item x="32"/>
        <item x="10"/>
        <item x="16"/>
        <item x="96"/>
        <item x="95"/>
        <item x="15"/>
        <item x="57"/>
        <item x="44"/>
        <item x="18"/>
        <item x="41"/>
        <item x="1"/>
        <item x="36"/>
        <item x="53"/>
        <item x="33"/>
        <item x="61"/>
        <item x="84"/>
        <item x="82"/>
        <item x="46"/>
        <item x="0"/>
        <item x="39"/>
        <item x="60"/>
        <item x="58"/>
        <item x="68"/>
        <item x="90"/>
        <item x="47"/>
        <item x="40"/>
        <item x="59"/>
        <item x="73"/>
        <item x="75"/>
        <item x="17"/>
        <item x="2"/>
        <item x="54"/>
        <item x="85"/>
        <item x="106"/>
        <item x="63"/>
        <item x="65"/>
        <item x="86"/>
        <item x="48"/>
        <item x="11"/>
        <item x="52"/>
        <item x="114"/>
        <item x="87"/>
        <item x="81"/>
        <item x="74"/>
        <item x="70"/>
        <item x="94"/>
        <item x="37"/>
        <item x="24"/>
        <item x="119"/>
        <item x="118"/>
        <item x="4"/>
        <item x="27"/>
        <item x="35"/>
        <item x="5"/>
        <item x="28"/>
        <item x="31"/>
        <item x="49"/>
        <item x="103"/>
        <item x="88"/>
        <item x="110"/>
        <item x="50"/>
        <item x="89"/>
        <item x="66"/>
        <item x="72"/>
        <item x="71"/>
        <item x="112"/>
        <item x="111"/>
        <item x="113"/>
        <item x="62"/>
        <item x="55"/>
        <item x="56"/>
        <item x="116"/>
        <item x="102"/>
        <item x="104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6">
        <item h="1" x="0"/>
        <item x="1"/>
        <item x="3"/>
        <item h="1" x="5"/>
        <item h="1" x="2"/>
        <item h="1"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73">
        <item x="15"/>
        <item m="1" x="71"/>
        <item m="1" x="67"/>
        <item m="1" x="68"/>
        <item m="1" x="69"/>
        <item m="1" x="70"/>
        <item m="1" x="65"/>
        <item m="1" x="72"/>
        <item m="1" x="64"/>
        <item m="1" x="60"/>
        <item m="1" x="58"/>
        <item m="1" x="61"/>
        <item m="1" x="63"/>
        <item m="1" x="66"/>
        <item m="1" x="62"/>
        <item m="1" x="59"/>
        <item x="1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44"/>
        <item m="1" x="45"/>
        <item m="1" x="42"/>
        <item m="1" x="4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6"/>
    <field x="20"/>
    <field x="21"/>
  </rowFields>
  <rowItems count="37">
    <i>
      <x v="1"/>
      <x v="40"/>
      <x v="10"/>
    </i>
    <i>
      <x v="2"/>
      <x v="40"/>
      <x v="10"/>
    </i>
    <i r="1">
      <x v="69"/>
      <x v="56"/>
    </i>
    <i r="1">
      <x v="70"/>
      <x v="51"/>
    </i>
    <i r="1">
      <x v="71"/>
      <x v="45"/>
    </i>
    <i r="1">
      <x v="74"/>
      <x v="37"/>
    </i>
    <i r="1">
      <x v="75"/>
      <x v="95"/>
    </i>
    <i r="1">
      <x v="76"/>
      <x v="64"/>
    </i>
    <i r="1">
      <x v="77"/>
      <x v="31"/>
    </i>
    <i>
      <x v="4"/>
      <x v="40"/>
      <x v="10"/>
    </i>
    <i>
      <x v="7"/>
      <x v="40"/>
      <x v="10"/>
    </i>
    <i r="1">
      <x v="82"/>
      <x v="68"/>
    </i>
    <i r="1">
      <x v="84"/>
      <x v="40"/>
    </i>
    <i r="1">
      <x v="85"/>
      <x v="66"/>
    </i>
    <i r="1">
      <x v="87"/>
      <x v="52"/>
    </i>
    <i r="1">
      <x v="89"/>
      <x v="60"/>
    </i>
    <i r="1">
      <x v="91"/>
      <x v="47"/>
    </i>
    <i r="1">
      <x v="96"/>
      <x v="69"/>
    </i>
    <i r="1">
      <x v="97"/>
      <x v="61"/>
    </i>
    <i r="1">
      <x v="98"/>
      <x v="48"/>
    </i>
    <i r="1">
      <x v="99"/>
      <x v="53"/>
    </i>
    <i r="1">
      <x v="100"/>
      <x v="41"/>
    </i>
    <i r="1">
      <x v="101"/>
      <x v="67"/>
    </i>
    <i r="1">
      <x v="103"/>
      <x v="108"/>
    </i>
    <i r="1">
      <x v="104"/>
      <x v="111"/>
    </i>
    <i r="1">
      <x v="105"/>
      <x v="104"/>
    </i>
    <i r="1">
      <x v="106"/>
      <x v="105"/>
    </i>
    <i r="1">
      <x v="107"/>
      <x v="102"/>
    </i>
    <i r="1">
      <x v="109"/>
      <x v="103"/>
    </i>
    <i r="1">
      <x v="110"/>
      <x v="106"/>
    </i>
    <i r="1">
      <x v="111"/>
      <x v="107"/>
    </i>
    <i r="1">
      <x v="112"/>
      <x v="110"/>
    </i>
    <i r="1">
      <x v="152"/>
      <x v="83"/>
    </i>
    <i r="1">
      <x v="166"/>
      <x v="112"/>
    </i>
    <i r="1">
      <x v="167"/>
      <x v="109"/>
    </i>
    <i>
      <x v="8"/>
      <x v="40"/>
      <x v="10"/>
    </i>
    <i t="grand">
      <x/>
    </i>
  </rowItems>
  <colFields count="1">
    <field x="-2"/>
  </colFields>
  <colItems count="2">
    <i>
      <x/>
    </i>
    <i i="1">
      <x v="1"/>
    </i>
  </colItems>
  <pageFields count="6">
    <pageField fld="11" item="0" hier="-1"/>
    <pageField fld="6" hier="-1"/>
    <pageField fld="52" hier="-1"/>
    <pageField fld="18" item="4" hier="-1"/>
    <pageField fld="37" hier="-1"/>
    <pageField fld="19" hier="-1"/>
  </pageFields>
  <dataFields count="2">
    <dataField name="Sum of rPlan_qty" fld="24" baseField="0" baseItem="0"/>
    <dataField name="Sum of rPlan_wg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E3A4D-1C85-46E8-A570-4A0B1987FD8B}" name="PivotTable1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9:C62" firstHeaderRow="2" firstDataRow="2" firstDataCol="2" rowPageCount="7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9">
        <item h="1" x="3"/>
        <item h="1" x="4"/>
        <item h="1" x="1"/>
        <item h="1" x="6"/>
        <item x="0"/>
        <item h="1" x="8"/>
        <item h="1" x="7"/>
        <item h="1" x="2"/>
        <item h="1" x="5"/>
      </items>
    </pivotField>
    <pivotField compact="0" numFmtId="14" outline="0" showAll="0" defaultSubtotal="0"/>
    <pivotField axis="axisPage" compact="0" numFmtId="14" outline="0" showAll="0" defaultSubtotal="0">
      <items count="5">
        <item m="1" x="4"/>
        <item x="2"/>
        <item x="1"/>
        <item m="1" x="3"/>
        <item x="0"/>
      </items>
    </pivotField>
    <pivotField axis="axisPage" compact="0" outline="0" showAll="0" defaultSubtotal="0">
      <items count="16">
        <item x="15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177">
        <item x="16"/>
        <item x="95"/>
        <item m="1" x="126"/>
        <item m="1" x="127"/>
        <item m="1" x="123"/>
        <item x="99"/>
        <item x="26"/>
        <item x="1"/>
        <item x="47"/>
        <item x="46"/>
        <item x="0"/>
        <item x="17"/>
        <item x="96"/>
        <item x="10"/>
        <item x="18"/>
        <item x="48"/>
        <item x="12"/>
        <item x="15"/>
        <item x="30"/>
        <item x="25"/>
        <item x="24"/>
        <item x="42"/>
        <item x="45"/>
        <item x="43"/>
        <item x="11"/>
        <item x="9"/>
        <item x="13"/>
        <item x="32"/>
        <item x="36"/>
        <item x="40"/>
        <item x="39"/>
        <item x="2"/>
        <item x="97"/>
        <item x="19"/>
        <item x="93"/>
        <item x="106"/>
        <item x="114"/>
        <item x="117"/>
        <item x="6"/>
        <item x="44"/>
        <item x="115"/>
        <item x="34"/>
        <item x="33"/>
        <item x="7"/>
        <item x="20"/>
        <item x="21"/>
        <item x="51"/>
        <item x="71"/>
        <item x="62"/>
        <item x="55"/>
        <item x="72"/>
        <item x="61"/>
        <item x="50"/>
        <item x="89"/>
        <item x="58"/>
        <item m="1" x="122"/>
        <item m="1" x="120"/>
        <item x="85"/>
        <item x="63"/>
        <item x="100"/>
        <item x="41"/>
        <item x="23"/>
        <item x="37"/>
        <item x="22"/>
        <item x="101"/>
        <item x="14"/>
        <item x="38"/>
        <item x="94"/>
        <item x="3"/>
        <item x="54"/>
        <item x="59"/>
        <item x="60"/>
        <item m="1" x="134"/>
        <item m="1" x="149"/>
        <item x="53"/>
        <item x="56"/>
        <item x="52"/>
        <item x="57"/>
        <item m="1" x="171"/>
        <item m="1" x="173"/>
        <item m="1" x="172"/>
        <item m="1" x="175"/>
        <item x="74"/>
        <item m="1" x="160"/>
        <item x="84"/>
        <item x="87"/>
        <item m="1" x="164"/>
        <item x="73"/>
        <item m="1" x="168"/>
        <item x="65"/>
        <item m="1" x="161"/>
        <item x="68"/>
        <item m="1" x="166"/>
        <item m="1" x="176"/>
        <item m="1" x="163"/>
        <item m="1" x="159"/>
        <item x="70"/>
        <item x="86"/>
        <item x="90"/>
        <item x="75"/>
        <item x="82"/>
        <item x="81"/>
        <item m="1" x="139"/>
        <item x="79"/>
        <item x="91"/>
        <item x="69"/>
        <item x="76"/>
        <item x="64"/>
        <item x="116"/>
        <item x="67"/>
        <item x="77"/>
        <item x="78"/>
        <item x="83"/>
        <item m="1" x="157"/>
        <item m="1" x="146"/>
        <item m="1" x="158"/>
        <item m="1" x="151"/>
        <item m="1" x="169"/>
        <item m="1" x="154"/>
        <item m="1" x="148"/>
        <item m="1" x="155"/>
        <item m="1" x="153"/>
        <item m="1" x="152"/>
        <item m="1" x="142"/>
        <item m="1" x="174"/>
        <item m="1" x="170"/>
        <item m="1" x="147"/>
        <item m="1" x="150"/>
        <item m="1" x="162"/>
        <item m="1" x="167"/>
        <item m="1" x="156"/>
        <item m="1" x="140"/>
        <item m="1" x="144"/>
        <item m="1" x="143"/>
        <item m="1" x="145"/>
        <item m="1" x="141"/>
        <item m="1" x="165"/>
        <item x="119"/>
        <item x="118"/>
        <item x="29"/>
        <item x="4"/>
        <item x="27"/>
        <item x="35"/>
        <item x="5"/>
        <item x="28"/>
        <item x="31"/>
        <item x="49"/>
        <item m="1" x="131"/>
        <item m="1" x="129"/>
        <item x="103"/>
        <item x="104"/>
        <item m="1" x="132"/>
        <item x="88"/>
        <item x="110"/>
        <item m="1" x="121"/>
        <item x="66"/>
        <item m="1" x="135"/>
        <item m="1" x="136"/>
        <item m="1" x="125"/>
        <item m="1" x="137"/>
        <item m="1" x="138"/>
        <item m="1" x="124"/>
        <item x="112"/>
        <item x="111"/>
        <item x="113"/>
        <item m="1" x="133"/>
        <item x="92"/>
        <item x="80"/>
        <item m="1" x="128"/>
        <item x="102"/>
        <item m="1" x="130"/>
        <item x="8"/>
        <item x="98"/>
        <item x="105"/>
        <item x="107"/>
        <item x="108"/>
        <item x="109"/>
      </items>
    </pivotField>
    <pivotField axis="axisRow" compact="0" outline="0" showAll="0" defaultSubtotal="0">
      <items count="120">
        <item x="20"/>
        <item x="14"/>
        <item x="101"/>
        <item x="38"/>
        <item x="22"/>
        <item x="26"/>
        <item x="34"/>
        <item x="7"/>
        <item x="51"/>
        <item x="23"/>
        <item x="115"/>
        <item x="25"/>
        <item x="45"/>
        <item x="97"/>
        <item x="9"/>
        <item x="42"/>
        <item x="43"/>
        <item x="12"/>
        <item x="93"/>
        <item x="6"/>
        <item x="19"/>
        <item x="30"/>
        <item x="21"/>
        <item x="3"/>
        <item x="100"/>
        <item x="32"/>
        <item x="10"/>
        <item x="16"/>
        <item x="96"/>
        <item x="95"/>
        <item x="15"/>
        <item x="57"/>
        <item x="44"/>
        <item x="18"/>
        <item x="41"/>
        <item x="1"/>
        <item x="36"/>
        <item x="53"/>
        <item x="33"/>
        <item x="61"/>
        <item x="84"/>
        <item x="82"/>
        <item x="46"/>
        <item x="0"/>
        <item x="39"/>
        <item x="60"/>
        <item x="58"/>
        <item x="68"/>
        <item x="90"/>
        <item x="47"/>
        <item x="40"/>
        <item x="59"/>
        <item x="73"/>
        <item x="75"/>
        <item x="17"/>
        <item x="2"/>
        <item x="54"/>
        <item x="85"/>
        <item x="106"/>
        <item x="63"/>
        <item x="65"/>
        <item x="86"/>
        <item x="48"/>
        <item x="11"/>
        <item x="52"/>
        <item x="114"/>
        <item x="87"/>
        <item x="81"/>
        <item x="74"/>
        <item x="70"/>
        <item x="94"/>
        <item x="37"/>
        <item x="24"/>
        <item x="119"/>
        <item x="118"/>
        <item x="4"/>
        <item x="27"/>
        <item x="35"/>
        <item x="5"/>
        <item x="28"/>
        <item x="31"/>
        <item x="49"/>
        <item x="103"/>
        <item x="88"/>
        <item x="110"/>
        <item x="50"/>
        <item x="89"/>
        <item x="66"/>
        <item x="72"/>
        <item x="71"/>
        <item x="112"/>
        <item x="111"/>
        <item x="113"/>
        <item x="62"/>
        <item x="55"/>
        <item x="56"/>
        <item x="116"/>
        <item x="102"/>
        <item x="104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6">
        <item x="0"/>
        <item x="1"/>
        <item x="3"/>
        <item x="5"/>
        <item x="2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73">
        <item x="15"/>
        <item m="1" x="71"/>
        <item m="1" x="67"/>
        <item m="1" x="68"/>
        <item m="1" x="69"/>
        <item m="1" x="70"/>
        <item m="1" x="65"/>
        <item m="1" x="72"/>
        <item m="1" x="64"/>
        <item m="1" x="60"/>
        <item m="1" x="58"/>
        <item m="1" x="61"/>
        <item m="1" x="63"/>
        <item m="1" x="66"/>
        <item m="1" x="62"/>
        <item m="1" x="59"/>
        <item x="1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44"/>
        <item m="1" x="45"/>
        <item m="1" x="42"/>
        <item m="1" x="4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0"/>
    <field x="21"/>
  </rowFields>
  <rowItems count="52">
    <i>
      <x/>
      <x v="27"/>
    </i>
    <i>
      <x v="6"/>
      <x v="5"/>
    </i>
    <i>
      <x v="7"/>
      <x v="35"/>
    </i>
    <i>
      <x v="8"/>
      <x v="49"/>
    </i>
    <i>
      <x v="9"/>
      <x v="42"/>
    </i>
    <i>
      <x v="10"/>
      <x v="43"/>
    </i>
    <i>
      <x v="11"/>
      <x v="54"/>
    </i>
    <i>
      <x v="13"/>
      <x v="26"/>
    </i>
    <i>
      <x v="14"/>
      <x v="33"/>
    </i>
    <i>
      <x v="15"/>
      <x v="62"/>
    </i>
    <i>
      <x v="16"/>
      <x v="17"/>
    </i>
    <i>
      <x v="17"/>
      <x v="30"/>
    </i>
    <i>
      <x v="18"/>
      <x v="21"/>
    </i>
    <i>
      <x v="19"/>
      <x v="11"/>
    </i>
    <i>
      <x v="20"/>
      <x v="72"/>
    </i>
    <i>
      <x v="21"/>
      <x v="15"/>
    </i>
    <i>
      <x v="22"/>
      <x v="12"/>
    </i>
    <i>
      <x v="23"/>
      <x v="16"/>
    </i>
    <i>
      <x v="24"/>
      <x v="63"/>
    </i>
    <i>
      <x v="25"/>
      <x v="14"/>
    </i>
    <i>
      <x v="26"/>
      <x v="100"/>
    </i>
    <i>
      <x v="27"/>
      <x v="25"/>
    </i>
    <i>
      <x v="28"/>
      <x v="36"/>
    </i>
    <i>
      <x v="29"/>
      <x v="50"/>
    </i>
    <i>
      <x v="30"/>
      <x v="44"/>
    </i>
    <i>
      <x v="31"/>
      <x v="55"/>
    </i>
    <i>
      <x v="33"/>
      <x v="20"/>
    </i>
    <i>
      <x v="38"/>
      <x v="19"/>
    </i>
    <i>
      <x v="39"/>
      <x v="32"/>
    </i>
    <i>
      <x v="40"/>
      <x v="10"/>
    </i>
    <i>
      <x v="41"/>
      <x v="6"/>
    </i>
    <i>
      <x v="42"/>
      <x v="38"/>
    </i>
    <i>
      <x v="43"/>
      <x v="7"/>
    </i>
    <i>
      <x v="44"/>
      <x/>
    </i>
    <i>
      <x v="45"/>
      <x v="22"/>
    </i>
    <i>
      <x v="60"/>
      <x v="34"/>
    </i>
    <i>
      <x v="61"/>
      <x v="9"/>
    </i>
    <i>
      <x v="62"/>
      <x v="71"/>
    </i>
    <i>
      <x v="63"/>
      <x v="4"/>
    </i>
    <i>
      <x v="65"/>
      <x v="1"/>
    </i>
    <i>
      <x v="66"/>
      <x v="3"/>
    </i>
    <i>
      <x v="68"/>
      <x v="23"/>
    </i>
    <i>
      <x v="139"/>
      <x v="101"/>
    </i>
    <i>
      <x v="140"/>
      <x v="75"/>
    </i>
    <i>
      <x v="141"/>
      <x v="76"/>
    </i>
    <i>
      <x v="142"/>
      <x v="77"/>
    </i>
    <i>
      <x v="143"/>
      <x v="78"/>
    </i>
    <i>
      <x v="144"/>
      <x v="79"/>
    </i>
    <i>
      <x v="145"/>
      <x v="80"/>
    </i>
    <i>
      <x v="146"/>
      <x v="81"/>
    </i>
    <i>
      <x v="171"/>
      <x v="99"/>
    </i>
    <i t="grand">
      <x/>
    </i>
  </rowItems>
  <colItems count="1">
    <i/>
  </colItems>
  <pageFields count="7">
    <pageField fld="6" item="0" hier="-1"/>
    <pageField fld="11" item="0" hier="-1"/>
    <pageField fld="37" hier="-1"/>
    <pageField fld="16" hier="-1"/>
    <pageField fld="52" hier="-1"/>
    <pageField fld="18" item="4" hier="-1"/>
    <pageField fld="19" hier="-1"/>
  </pageFields>
  <dataFields count="1">
    <dataField name="Sum of rPlan_wg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1AE6B-BCC1-442A-9500-66AB7E1CC77C}" name="PivotTable1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9:D23" firstHeaderRow="1" firstDataRow="3" firstDataCol="2" rowPageCount="5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9">
        <item x="3"/>
        <item h="1" x="4"/>
        <item h="1" x="1"/>
        <item h="1" x="6"/>
        <item h="1" x="0"/>
        <item h="1" x="8"/>
        <item h="1" x="7"/>
        <item h="1" x="2"/>
        <item h="1" x="5"/>
      </items>
    </pivotField>
    <pivotField compact="0" numFmtId="14" outline="0" showAll="0" defaultSubtotal="0"/>
    <pivotField axis="axisPage" compact="0" numFmtId="14" outline="0" showAll="0" defaultSubtotal="0">
      <items count="5">
        <item m="1" x="4"/>
        <item x="2"/>
        <item x="1"/>
        <item m="1" x="3"/>
        <item x="0"/>
      </items>
    </pivotField>
    <pivotField axis="axisCol" compact="0" outline="0" showAll="0" defaultSubtotal="0">
      <items count="16">
        <item x="15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177">
        <item x="16"/>
        <item x="95"/>
        <item m="1" x="126"/>
        <item m="1" x="127"/>
        <item m="1" x="123"/>
        <item x="99"/>
        <item x="26"/>
        <item x="1"/>
        <item x="47"/>
        <item x="46"/>
        <item x="0"/>
        <item x="17"/>
        <item x="96"/>
        <item x="10"/>
        <item x="18"/>
        <item x="48"/>
        <item x="12"/>
        <item x="15"/>
        <item x="30"/>
        <item x="25"/>
        <item x="24"/>
        <item x="42"/>
        <item x="45"/>
        <item x="43"/>
        <item x="11"/>
        <item x="9"/>
        <item x="13"/>
        <item x="32"/>
        <item x="36"/>
        <item x="40"/>
        <item x="39"/>
        <item x="2"/>
        <item x="97"/>
        <item x="19"/>
        <item x="93"/>
        <item x="106"/>
        <item x="114"/>
        <item x="117"/>
        <item x="6"/>
        <item x="44"/>
        <item x="115"/>
        <item x="34"/>
        <item x="33"/>
        <item x="7"/>
        <item x="20"/>
        <item x="21"/>
        <item x="51"/>
        <item x="71"/>
        <item x="62"/>
        <item x="55"/>
        <item x="72"/>
        <item x="61"/>
        <item x="50"/>
        <item x="89"/>
        <item x="58"/>
        <item m="1" x="122"/>
        <item m="1" x="120"/>
        <item x="85"/>
        <item x="63"/>
        <item x="100"/>
        <item x="41"/>
        <item x="23"/>
        <item x="37"/>
        <item x="22"/>
        <item x="101"/>
        <item x="14"/>
        <item x="38"/>
        <item x="94"/>
        <item x="3"/>
        <item x="54"/>
        <item x="59"/>
        <item x="60"/>
        <item m="1" x="134"/>
        <item m="1" x="149"/>
        <item x="53"/>
        <item x="56"/>
        <item x="52"/>
        <item x="57"/>
        <item m="1" x="171"/>
        <item m="1" x="173"/>
        <item m="1" x="172"/>
        <item m="1" x="175"/>
        <item x="74"/>
        <item m="1" x="160"/>
        <item x="84"/>
        <item x="87"/>
        <item m="1" x="164"/>
        <item x="73"/>
        <item m="1" x="168"/>
        <item x="65"/>
        <item m="1" x="161"/>
        <item x="68"/>
        <item m="1" x="166"/>
        <item m="1" x="176"/>
        <item m="1" x="163"/>
        <item m="1" x="159"/>
        <item x="70"/>
        <item x="86"/>
        <item x="90"/>
        <item x="75"/>
        <item x="82"/>
        <item x="81"/>
        <item m="1" x="139"/>
        <item x="79"/>
        <item x="91"/>
        <item x="69"/>
        <item x="76"/>
        <item x="64"/>
        <item x="116"/>
        <item x="67"/>
        <item x="77"/>
        <item x="78"/>
        <item x="83"/>
        <item m="1" x="157"/>
        <item m="1" x="146"/>
        <item m="1" x="158"/>
        <item m="1" x="151"/>
        <item m="1" x="169"/>
        <item m="1" x="154"/>
        <item m="1" x="148"/>
        <item m="1" x="155"/>
        <item m="1" x="153"/>
        <item m="1" x="152"/>
        <item m="1" x="142"/>
        <item m="1" x="174"/>
        <item m="1" x="170"/>
        <item m="1" x="147"/>
        <item m="1" x="150"/>
        <item m="1" x="162"/>
        <item m="1" x="167"/>
        <item m="1" x="156"/>
        <item m="1" x="140"/>
        <item m="1" x="144"/>
        <item m="1" x="143"/>
        <item m="1" x="145"/>
        <item m="1" x="141"/>
        <item m="1" x="165"/>
        <item x="119"/>
        <item x="118"/>
        <item x="29"/>
        <item x="4"/>
        <item x="27"/>
        <item x="35"/>
        <item x="5"/>
        <item x="28"/>
        <item x="31"/>
        <item x="49"/>
        <item m="1" x="131"/>
        <item m="1" x="129"/>
        <item x="103"/>
        <item x="104"/>
        <item m="1" x="132"/>
        <item x="88"/>
        <item x="110"/>
        <item m="1" x="121"/>
        <item x="66"/>
        <item m="1" x="135"/>
        <item m="1" x="136"/>
        <item m="1" x="125"/>
        <item m="1" x="137"/>
        <item m="1" x="138"/>
        <item m="1" x="124"/>
        <item x="112"/>
        <item x="111"/>
        <item x="113"/>
        <item m="1" x="133"/>
        <item x="92"/>
        <item x="80"/>
        <item m="1" x="128"/>
        <item x="102"/>
        <item m="1" x="130"/>
        <item x="8"/>
        <item x="98"/>
        <item x="105"/>
        <item x="107"/>
        <item x="108"/>
        <item x="109"/>
      </items>
    </pivotField>
    <pivotField axis="axisRow" compact="0" outline="0" showAll="0" defaultSubtotal="0">
      <items count="120">
        <item x="20"/>
        <item x="14"/>
        <item x="101"/>
        <item x="38"/>
        <item x="22"/>
        <item x="26"/>
        <item x="34"/>
        <item x="7"/>
        <item x="51"/>
        <item x="23"/>
        <item x="115"/>
        <item x="25"/>
        <item x="45"/>
        <item x="97"/>
        <item x="9"/>
        <item x="42"/>
        <item x="43"/>
        <item x="12"/>
        <item x="93"/>
        <item x="6"/>
        <item x="19"/>
        <item x="30"/>
        <item x="21"/>
        <item x="3"/>
        <item x="100"/>
        <item x="32"/>
        <item x="10"/>
        <item x="16"/>
        <item x="96"/>
        <item x="95"/>
        <item x="15"/>
        <item x="57"/>
        <item x="44"/>
        <item x="18"/>
        <item x="41"/>
        <item x="1"/>
        <item x="36"/>
        <item x="53"/>
        <item x="33"/>
        <item x="61"/>
        <item x="84"/>
        <item x="82"/>
        <item x="46"/>
        <item x="0"/>
        <item x="39"/>
        <item x="60"/>
        <item x="58"/>
        <item x="68"/>
        <item x="90"/>
        <item x="47"/>
        <item x="40"/>
        <item x="59"/>
        <item x="73"/>
        <item x="75"/>
        <item x="17"/>
        <item x="2"/>
        <item x="54"/>
        <item x="85"/>
        <item x="106"/>
        <item x="63"/>
        <item x="65"/>
        <item x="86"/>
        <item x="48"/>
        <item x="11"/>
        <item x="52"/>
        <item x="114"/>
        <item x="87"/>
        <item x="81"/>
        <item x="74"/>
        <item x="70"/>
        <item x="94"/>
        <item x="37"/>
        <item x="24"/>
        <item x="119"/>
        <item x="118"/>
        <item x="4"/>
        <item x="27"/>
        <item x="35"/>
        <item x="5"/>
        <item x="28"/>
        <item x="31"/>
        <item x="49"/>
        <item x="103"/>
        <item x="88"/>
        <item x="110"/>
        <item x="50"/>
        <item x="89"/>
        <item x="66"/>
        <item x="72"/>
        <item x="71"/>
        <item x="112"/>
        <item x="111"/>
        <item x="113"/>
        <item x="62"/>
        <item x="55"/>
        <item x="56"/>
        <item x="116"/>
        <item x="102"/>
        <item x="104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6">
        <item x="0"/>
        <item x="1"/>
        <item x="3"/>
        <item x="5"/>
        <item x="2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73">
        <item x="15"/>
        <item m="1" x="71"/>
        <item m="1" x="67"/>
        <item m="1" x="68"/>
        <item m="1" x="69"/>
        <item m="1" x="70"/>
        <item m="1" x="65"/>
        <item m="1" x="72"/>
        <item m="1" x="64"/>
        <item m="1" x="60"/>
        <item m="1" x="58"/>
        <item m="1" x="61"/>
        <item m="1" x="63"/>
        <item m="1" x="66"/>
        <item m="1" x="62"/>
        <item m="1" x="59"/>
        <item x="1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44"/>
        <item m="1" x="45"/>
        <item m="1" x="42"/>
        <item m="1" x="4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0"/>
    <field x="21"/>
  </rowFields>
  <rowItems count="12">
    <i>
      <x v="1"/>
      <x v="29"/>
    </i>
    <i>
      <x v="7"/>
      <x v="35"/>
    </i>
    <i>
      <x v="10"/>
      <x v="43"/>
    </i>
    <i>
      <x v="16"/>
      <x v="17"/>
    </i>
    <i>
      <x v="24"/>
      <x v="63"/>
    </i>
    <i>
      <x v="28"/>
      <x v="36"/>
    </i>
    <i>
      <x v="29"/>
      <x v="50"/>
    </i>
    <i>
      <x v="30"/>
      <x v="44"/>
    </i>
    <i>
      <x v="31"/>
      <x v="55"/>
    </i>
    <i>
      <x v="34"/>
      <x v="18"/>
    </i>
    <i>
      <x v="67"/>
      <x v="70"/>
    </i>
    <i t="grand">
      <x/>
    </i>
  </rowItems>
  <colFields count="2">
    <field x="19"/>
    <field x="52"/>
  </colFields>
  <colItems count="2">
    <i>
      <x v="5"/>
      <x v="62"/>
    </i>
    <i t="grand">
      <x/>
    </i>
  </colItems>
  <pageFields count="5">
    <pageField fld="6" item="0" hier="-1"/>
    <pageField fld="11" item="0" hier="-1"/>
    <pageField fld="37" hier="-1"/>
    <pageField fld="16" hier="-1"/>
    <pageField fld="18" item="4" hier="-1"/>
  </pageFields>
  <dataFields count="1">
    <dataField name="Sum of rPlan_wg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14EAB-B373-4FFE-B16B-DE609A657412}" name="PivotTable1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9:J129" firstHeaderRow="1" firstDataRow="2" firstDataCol="2" rowPageCount="6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9">
        <item x="3"/>
        <item x="4"/>
        <item x="1"/>
        <item x="6"/>
        <item x="0"/>
        <item x="8"/>
        <item x="7"/>
        <item x="2"/>
        <item x="5"/>
      </items>
    </pivotField>
    <pivotField compact="0" numFmtId="14" outline="0" showAll="0" defaultSubtotal="0"/>
    <pivotField axis="axisPage" compact="0" numFmtId="14" outline="0" showAll="0" defaultSubtotal="0">
      <items count="4">
        <item x="2"/>
        <item x="1"/>
        <item m="1" x="3"/>
        <item x="0"/>
      </items>
    </pivotField>
    <pivotField axis="axisPage" compact="0" outline="0" showAll="0" defaultSubtotal="0">
      <items count="16">
        <item x="15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133">
        <item x="16"/>
        <item x="95"/>
        <item m="1" x="126"/>
        <item m="1" x="127"/>
        <item m="1" x="123"/>
        <item x="26"/>
        <item x="1"/>
        <item x="47"/>
        <item x="46"/>
        <item x="0"/>
        <item x="17"/>
        <item x="96"/>
        <item x="10"/>
        <item x="18"/>
        <item x="48"/>
        <item x="12"/>
        <item x="15"/>
        <item x="30"/>
        <item x="25"/>
        <item x="24"/>
        <item x="42"/>
        <item x="45"/>
        <item x="43"/>
        <item x="11"/>
        <item x="9"/>
        <item x="32"/>
        <item x="36"/>
        <item x="40"/>
        <item x="39"/>
        <item x="2"/>
        <item x="97"/>
        <item x="19"/>
        <item x="93"/>
        <item x="106"/>
        <item x="114"/>
        <item x="6"/>
        <item x="44"/>
        <item x="115"/>
        <item x="34"/>
        <item x="33"/>
        <item x="7"/>
        <item x="20"/>
        <item x="21"/>
        <item x="51"/>
        <item x="71"/>
        <item x="62"/>
        <item x="55"/>
        <item x="72"/>
        <item x="61"/>
        <item x="50"/>
        <item x="89"/>
        <item x="58"/>
        <item m="1" x="122"/>
        <item m="1" x="120"/>
        <item x="85"/>
        <item x="63"/>
        <item x="100"/>
        <item x="41"/>
        <item x="23"/>
        <item x="37"/>
        <item x="22"/>
        <item x="101"/>
        <item x="14"/>
        <item x="38"/>
        <item x="94"/>
        <item x="3"/>
        <item x="54"/>
        <item x="59"/>
        <item x="60"/>
        <item x="53"/>
        <item x="56"/>
        <item x="52"/>
        <item x="57"/>
        <item x="74"/>
        <item x="84"/>
        <item x="87"/>
        <item x="73"/>
        <item x="65"/>
        <item x="68"/>
        <item x="70"/>
        <item x="86"/>
        <item x="90"/>
        <item x="75"/>
        <item x="82"/>
        <item x="81"/>
        <item x="116"/>
        <item x="119"/>
        <item x="118"/>
        <item x="4"/>
        <item x="27"/>
        <item x="35"/>
        <item x="5"/>
        <item x="28"/>
        <item x="31"/>
        <item x="49"/>
        <item m="1" x="131"/>
        <item m="1" x="129"/>
        <item x="103"/>
        <item x="104"/>
        <item m="1" x="132"/>
        <item x="88"/>
        <item x="110"/>
        <item m="1" x="121"/>
        <item x="66"/>
        <item m="1" x="125"/>
        <item m="1" x="124"/>
        <item x="112"/>
        <item x="111"/>
        <item x="113"/>
        <item m="1" x="128"/>
        <item x="102"/>
        <item m="1" x="130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axis="axisRow" compact="0" outline="0" showAll="0" defaultSubtotal="0">
      <items count="120">
        <item x="20"/>
        <item x="14"/>
        <item x="101"/>
        <item x="38"/>
        <item x="22"/>
        <item x="26"/>
        <item x="34"/>
        <item x="7"/>
        <item x="51"/>
        <item x="23"/>
        <item x="115"/>
        <item x="25"/>
        <item x="45"/>
        <item x="97"/>
        <item x="9"/>
        <item x="42"/>
        <item x="43"/>
        <item x="12"/>
        <item x="93"/>
        <item x="6"/>
        <item x="19"/>
        <item x="30"/>
        <item x="21"/>
        <item x="3"/>
        <item x="100"/>
        <item x="32"/>
        <item x="10"/>
        <item x="16"/>
        <item x="96"/>
        <item x="95"/>
        <item x="15"/>
        <item x="57"/>
        <item x="44"/>
        <item x="18"/>
        <item x="41"/>
        <item x="1"/>
        <item x="36"/>
        <item x="53"/>
        <item x="33"/>
        <item x="61"/>
        <item x="84"/>
        <item x="82"/>
        <item x="46"/>
        <item x="0"/>
        <item x="39"/>
        <item x="60"/>
        <item x="58"/>
        <item x="68"/>
        <item x="90"/>
        <item x="47"/>
        <item x="40"/>
        <item x="59"/>
        <item x="73"/>
        <item x="75"/>
        <item x="17"/>
        <item x="2"/>
        <item x="54"/>
        <item x="85"/>
        <item x="106"/>
        <item x="63"/>
        <item x="65"/>
        <item x="86"/>
        <item x="48"/>
        <item x="11"/>
        <item x="52"/>
        <item x="114"/>
        <item x="87"/>
        <item x="81"/>
        <item x="74"/>
        <item x="70"/>
        <item x="94"/>
        <item x="37"/>
        <item x="24"/>
        <item x="119"/>
        <item x="118"/>
        <item x="4"/>
        <item x="27"/>
        <item x="35"/>
        <item x="5"/>
        <item x="28"/>
        <item x="31"/>
        <item x="49"/>
        <item x="103"/>
        <item x="88"/>
        <item x="110"/>
        <item x="50"/>
        <item x="89"/>
        <item x="66"/>
        <item x="72"/>
        <item x="71"/>
        <item x="112"/>
        <item x="111"/>
        <item x="113"/>
        <item x="62"/>
        <item x="55"/>
        <item x="56"/>
        <item x="116"/>
        <item x="102"/>
        <item x="104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6">
        <item x="0"/>
        <item x="1"/>
        <item x="3"/>
        <item x="5"/>
        <item x="2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42">
        <item x="15"/>
        <item x="14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0"/>
    <field x="21"/>
  </rowFields>
  <rowItems count="119">
    <i>
      <x/>
      <x v="27"/>
    </i>
    <i>
      <x v="1"/>
      <x v="29"/>
    </i>
    <i>
      <x v="5"/>
      <x v="5"/>
    </i>
    <i>
      <x v="6"/>
      <x v="35"/>
    </i>
    <i>
      <x v="7"/>
      <x v="49"/>
    </i>
    <i>
      <x v="8"/>
      <x v="42"/>
    </i>
    <i>
      <x v="9"/>
      <x v="43"/>
    </i>
    <i>
      <x v="10"/>
      <x v="54"/>
    </i>
    <i>
      <x v="11"/>
      <x v="28"/>
    </i>
    <i>
      <x v="12"/>
      <x v="26"/>
    </i>
    <i>
      <x v="13"/>
      <x v="33"/>
    </i>
    <i>
      <x v="14"/>
      <x v="62"/>
    </i>
    <i>
      <x v="15"/>
      <x v="17"/>
    </i>
    <i>
      <x v="16"/>
      <x v="30"/>
    </i>
    <i>
      <x v="17"/>
      <x v="21"/>
    </i>
    <i>
      <x v="18"/>
      <x v="11"/>
    </i>
    <i>
      <x v="19"/>
      <x v="72"/>
    </i>
    <i>
      <x v="20"/>
      <x v="15"/>
    </i>
    <i>
      <x v="21"/>
      <x v="12"/>
    </i>
    <i>
      <x v="22"/>
      <x v="16"/>
    </i>
    <i>
      <x v="23"/>
      <x v="63"/>
    </i>
    <i>
      <x v="24"/>
      <x v="14"/>
    </i>
    <i>
      <x v="25"/>
      <x v="25"/>
    </i>
    <i>
      <x v="26"/>
      <x v="36"/>
    </i>
    <i>
      <x v="27"/>
      <x v="50"/>
    </i>
    <i>
      <x v="28"/>
      <x v="44"/>
    </i>
    <i>
      <x v="29"/>
      <x v="55"/>
    </i>
    <i>
      <x v="30"/>
      <x v="13"/>
    </i>
    <i>
      <x v="31"/>
      <x v="20"/>
    </i>
    <i>
      <x v="32"/>
      <x v="18"/>
    </i>
    <i>
      <x v="33"/>
      <x v="58"/>
    </i>
    <i>
      <x v="34"/>
      <x v="65"/>
    </i>
    <i>
      <x v="35"/>
      <x v="19"/>
    </i>
    <i>
      <x v="36"/>
      <x v="32"/>
    </i>
    <i>
      <x v="37"/>
      <x v="10"/>
    </i>
    <i>
      <x v="38"/>
      <x v="6"/>
    </i>
    <i>
      <x v="39"/>
      <x v="38"/>
    </i>
    <i>
      <x v="40"/>
      <x v="7"/>
    </i>
    <i>
      <x v="41"/>
      <x/>
    </i>
    <i>
      <x v="42"/>
      <x v="22"/>
    </i>
    <i>
      <x v="43"/>
      <x v="8"/>
    </i>
    <i>
      <x v="44"/>
      <x v="89"/>
    </i>
    <i>
      <x v="45"/>
      <x v="93"/>
    </i>
    <i>
      <x v="46"/>
      <x v="94"/>
    </i>
    <i>
      <x v="47"/>
      <x v="88"/>
    </i>
    <i>
      <x v="48"/>
      <x v="39"/>
    </i>
    <i>
      <x v="49"/>
      <x v="85"/>
    </i>
    <i>
      <x v="50"/>
      <x v="86"/>
    </i>
    <i>
      <x v="51"/>
      <x v="46"/>
    </i>
    <i>
      <x v="54"/>
      <x v="57"/>
    </i>
    <i>
      <x v="55"/>
      <x v="59"/>
    </i>
    <i>
      <x v="56"/>
      <x v="24"/>
    </i>
    <i>
      <x v="57"/>
      <x v="34"/>
    </i>
    <i>
      <x v="58"/>
      <x v="9"/>
    </i>
    <i>
      <x v="59"/>
      <x v="71"/>
    </i>
    <i>
      <x v="60"/>
      <x v="4"/>
    </i>
    <i>
      <x v="61"/>
      <x v="2"/>
    </i>
    <i>
      <x v="62"/>
      <x v="1"/>
    </i>
    <i>
      <x v="63"/>
      <x v="3"/>
    </i>
    <i>
      <x v="64"/>
      <x v="70"/>
    </i>
    <i>
      <x v="65"/>
      <x v="23"/>
    </i>
    <i>
      <x v="66"/>
      <x v="56"/>
    </i>
    <i>
      <x v="67"/>
      <x v="51"/>
    </i>
    <i>
      <x v="68"/>
      <x v="45"/>
    </i>
    <i>
      <x v="69"/>
      <x v="37"/>
    </i>
    <i>
      <x v="70"/>
      <x v="95"/>
    </i>
    <i>
      <x v="71"/>
      <x v="64"/>
    </i>
    <i>
      <x v="72"/>
      <x v="31"/>
    </i>
    <i>
      <x v="73"/>
      <x v="68"/>
    </i>
    <i>
      <x v="74"/>
      <x v="40"/>
    </i>
    <i>
      <x v="75"/>
      <x v="66"/>
    </i>
    <i>
      <x v="76"/>
      <x v="52"/>
    </i>
    <i>
      <x v="77"/>
      <x v="60"/>
    </i>
    <i>
      <x v="78"/>
      <x v="47"/>
    </i>
    <i>
      <x v="79"/>
      <x v="69"/>
    </i>
    <i>
      <x v="80"/>
      <x v="61"/>
    </i>
    <i>
      <x v="81"/>
      <x v="48"/>
    </i>
    <i>
      <x v="82"/>
      <x v="53"/>
    </i>
    <i>
      <x v="83"/>
      <x v="41"/>
    </i>
    <i>
      <x v="84"/>
      <x v="67"/>
    </i>
    <i>
      <x v="85"/>
      <x v="96"/>
    </i>
    <i>
      <x v="88"/>
      <x v="75"/>
    </i>
    <i>
      <x v="89"/>
      <x v="76"/>
    </i>
    <i>
      <x v="90"/>
      <x v="77"/>
    </i>
    <i>
      <x v="91"/>
      <x v="78"/>
    </i>
    <i>
      <x v="92"/>
      <x v="79"/>
    </i>
    <i>
      <x v="93"/>
      <x v="80"/>
    </i>
    <i>
      <x v="94"/>
      <x v="81"/>
    </i>
    <i>
      <x v="97"/>
      <x v="82"/>
    </i>
    <i>
      <x v="98"/>
      <x v="98"/>
    </i>
    <i>
      <x v="100"/>
      <x v="83"/>
    </i>
    <i>
      <x v="101"/>
      <x v="84"/>
    </i>
    <i>
      <x v="103"/>
      <x v="87"/>
    </i>
    <i>
      <x v="106"/>
      <x v="90"/>
    </i>
    <i>
      <x v="107"/>
      <x v="91"/>
    </i>
    <i>
      <x v="108"/>
      <x v="92"/>
    </i>
    <i>
      <x v="110"/>
      <x v="97"/>
    </i>
    <i>
      <x v="112"/>
      <x v="99"/>
    </i>
    <i>
      <x v="113"/>
      <x v="100"/>
    </i>
    <i>
      <x v="114"/>
      <x v="101"/>
    </i>
    <i>
      <x v="115"/>
      <x v="102"/>
    </i>
    <i>
      <x v="116"/>
      <x v="103"/>
    </i>
    <i>
      <x v="117"/>
      <x v="104"/>
    </i>
    <i>
      <x v="118"/>
      <x v="105"/>
    </i>
    <i>
      <x v="119"/>
      <x v="106"/>
    </i>
    <i>
      <x v="120"/>
      <x v="107"/>
    </i>
    <i>
      <x v="121"/>
      <x v="108"/>
    </i>
    <i>
      <x v="122"/>
      <x v="109"/>
    </i>
    <i>
      <x v="123"/>
      <x v="110"/>
    </i>
    <i>
      <x v="124"/>
      <x v="111"/>
    </i>
    <i>
      <x v="125"/>
      <x v="112"/>
    </i>
    <i>
      <x v="126"/>
      <x v="113"/>
    </i>
    <i>
      <x v="127"/>
      <x v="114"/>
    </i>
    <i>
      <x v="128"/>
      <x v="115"/>
    </i>
    <i>
      <x v="129"/>
      <x v="116"/>
    </i>
    <i>
      <x v="130"/>
      <x v="117"/>
    </i>
    <i>
      <x v="131"/>
      <x v="118"/>
    </i>
    <i>
      <x v="132"/>
      <x v="119"/>
    </i>
    <i t="grand">
      <x/>
    </i>
  </rowItems>
  <colFields count="1">
    <field x="16"/>
  </colFields>
  <colItems count="8">
    <i>
      <x/>
    </i>
    <i>
      <x v="1"/>
    </i>
    <i>
      <x v="2"/>
    </i>
    <i>
      <x v="3"/>
    </i>
    <i>
      <x v="4"/>
    </i>
    <i>
      <x v="7"/>
    </i>
    <i>
      <x v="8"/>
    </i>
    <i t="grand">
      <x/>
    </i>
  </colItems>
  <pageFields count="6">
    <pageField fld="6" hier="-1"/>
    <pageField fld="11" item="0" hier="-1"/>
    <pageField fld="37" hier="-1"/>
    <pageField fld="52" hier="-1"/>
    <pageField fld="18" item="3" hier="-1"/>
    <pageField fld="19" hier="-1"/>
  </pageFields>
  <dataFields count="1">
    <dataField name="Sum of rPlan_wgt" fld="25" baseField="0" baseItem="0"/>
  </dataFields>
  <formats count="2">
    <format dxfId="31">
      <pivotArea outline="0" fieldPosition="0">
        <references count="3">
          <reference field="16" count="2" selected="0">
            <x v="3"/>
            <x v="4"/>
          </reference>
          <reference field="20" count="1" selected="0">
            <x v="60"/>
          </reference>
          <reference field="21" count="1" selected="0">
            <x v="4"/>
          </reference>
        </references>
      </pivotArea>
    </format>
    <format dxfId="30">
      <pivotArea outline="0" fieldPosition="0">
        <references count="3">
          <reference field="16" count="4" selected="0">
            <x v="2"/>
            <x v="3"/>
            <x v="4"/>
            <x v="7"/>
          </reference>
          <reference field="20" count="9" selected="0">
            <x v="57"/>
            <x v="58"/>
            <x v="59"/>
            <x v="60"/>
            <x v="61"/>
            <x v="62"/>
            <x v="63"/>
            <x v="64"/>
            <x v="65"/>
          </reference>
          <reference field="21" count="9" selected="0">
            <x v="1"/>
            <x v="2"/>
            <x v="3"/>
            <x v="4"/>
            <x v="9"/>
            <x v="23"/>
            <x v="34"/>
            <x v="70"/>
            <x v="7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F94A4-A874-4690-95AB-D276FE812AA1}" name="PivotTable1" cacheId="1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9:I62" firstHeaderRow="1" firstDataRow="2" firstDataCol="7" rowPageCount="4" colPageCount="1"/>
  <pivotFields count="66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2"/>
        <item x="1"/>
      </items>
    </pivotField>
    <pivotField compact="0" outline="0" showAll="0" defaultSubtotal="0"/>
    <pivotField axis="axisRow" compact="0" outline="0" showAll="0" defaultSubtotal="0">
      <items count="9">
        <item x="3"/>
        <item x="4"/>
        <item x="1"/>
        <item x="6"/>
        <item x="0"/>
        <item x="8"/>
        <item x="7"/>
        <item x="2"/>
        <item x="5"/>
      </items>
    </pivotField>
    <pivotField axis="axisRow" compact="0" outline="0" showAll="0" defaultSubtotal="0">
      <items count="9">
        <item x="0"/>
        <item h="1" x="6"/>
        <item h="1" x="1"/>
        <item h="1" x="4"/>
        <item h="1" x="3"/>
        <item h="1" x="8"/>
        <item h="1" x="7"/>
        <item h="1" x="2"/>
        <item h="1" x="5"/>
      </items>
    </pivotField>
    <pivotField compact="0" outline="0" showAll="0" defaultSubtotal="0"/>
    <pivotField axis="axisPage" compact="0" outline="0" showAll="0" defaultSubtotal="0">
      <items count="9">
        <item x="3"/>
        <item x="4"/>
        <item x="1"/>
        <item x="6"/>
        <item x="0"/>
        <item x="8"/>
        <item x="7"/>
        <item x="2"/>
        <item x="5"/>
      </items>
    </pivotField>
    <pivotField compact="0" numFmtId="14" outline="0" showAll="0" defaultSubtotal="0"/>
    <pivotField axis="axisRow" compact="0" numFmtId="14" outline="0" showAll="0" defaultSubtotal="0">
      <items count="5">
        <item m="1" x="4"/>
        <item x="2"/>
        <item x="1"/>
        <item m="1" x="3"/>
        <item x="0"/>
      </items>
    </pivotField>
    <pivotField axis="axisRow" compact="0" outline="0" showAll="0" defaultSubtotal="0">
      <items count="16">
        <item x="15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177">
        <item x="16"/>
        <item x="95"/>
        <item m="1" x="126"/>
        <item m="1" x="127"/>
        <item m="1" x="123"/>
        <item x="99"/>
        <item x="26"/>
        <item x="1"/>
        <item x="47"/>
        <item x="46"/>
        <item x="0"/>
        <item x="17"/>
        <item x="96"/>
        <item x="10"/>
        <item x="18"/>
        <item x="48"/>
        <item x="12"/>
        <item x="15"/>
        <item x="30"/>
        <item x="25"/>
        <item x="24"/>
        <item x="42"/>
        <item x="45"/>
        <item x="43"/>
        <item x="11"/>
        <item x="9"/>
        <item x="13"/>
        <item x="32"/>
        <item x="36"/>
        <item x="40"/>
        <item x="39"/>
        <item x="2"/>
        <item x="97"/>
        <item x="19"/>
        <item x="93"/>
        <item x="106"/>
        <item x="114"/>
        <item x="117"/>
        <item x="6"/>
        <item x="44"/>
        <item x="115"/>
        <item x="34"/>
        <item x="33"/>
        <item x="7"/>
        <item x="20"/>
        <item x="21"/>
        <item x="51"/>
        <item x="71"/>
        <item x="62"/>
        <item x="55"/>
        <item x="72"/>
        <item x="61"/>
        <item x="50"/>
        <item x="89"/>
        <item x="58"/>
        <item m="1" x="122"/>
        <item m="1" x="120"/>
        <item x="85"/>
        <item x="63"/>
        <item x="100"/>
        <item x="41"/>
        <item x="23"/>
        <item x="37"/>
        <item x="22"/>
        <item x="101"/>
        <item x="14"/>
        <item x="38"/>
        <item x="94"/>
        <item x="3"/>
        <item x="54"/>
        <item x="59"/>
        <item x="60"/>
        <item m="1" x="134"/>
        <item m="1" x="149"/>
        <item x="53"/>
        <item x="56"/>
        <item x="52"/>
        <item x="57"/>
        <item m="1" x="171"/>
        <item m="1" x="173"/>
        <item m="1" x="172"/>
        <item m="1" x="175"/>
        <item x="74"/>
        <item m="1" x="160"/>
        <item x="84"/>
        <item x="87"/>
        <item m="1" x="164"/>
        <item x="73"/>
        <item m="1" x="168"/>
        <item x="65"/>
        <item m="1" x="161"/>
        <item x="68"/>
        <item m="1" x="166"/>
        <item m="1" x="176"/>
        <item m="1" x="163"/>
        <item m="1" x="159"/>
        <item x="70"/>
        <item x="86"/>
        <item x="90"/>
        <item x="75"/>
        <item x="82"/>
        <item x="81"/>
        <item m="1" x="139"/>
        <item x="79"/>
        <item x="91"/>
        <item x="69"/>
        <item x="76"/>
        <item x="64"/>
        <item x="116"/>
        <item x="67"/>
        <item x="77"/>
        <item x="78"/>
        <item x="83"/>
        <item m="1" x="157"/>
        <item m="1" x="146"/>
        <item m="1" x="158"/>
        <item m="1" x="151"/>
        <item m="1" x="169"/>
        <item m="1" x="154"/>
        <item m="1" x="148"/>
        <item m="1" x="155"/>
        <item m="1" x="153"/>
        <item m="1" x="152"/>
        <item m="1" x="142"/>
        <item m="1" x="174"/>
        <item m="1" x="170"/>
        <item m="1" x="147"/>
        <item m="1" x="150"/>
        <item m="1" x="162"/>
        <item m="1" x="167"/>
        <item m="1" x="156"/>
        <item m="1" x="140"/>
        <item m="1" x="144"/>
        <item m="1" x="143"/>
        <item m="1" x="145"/>
        <item m="1" x="141"/>
        <item m="1" x="165"/>
        <item x="119"/>
        <item x="118"/>
        <item x="29"/>
        <item x="4"/>
        <item x="27"/>
        <item x="35"/>
        <item x="5"/>
        <item x="28"/>
        <item x="31"/>
        <item x="49"/>
        <item m="1" x="131"/>
        <item m="1" x="129"/>
        <item x="103"/>
        <item x="104"/>
        <item m="1" x="132"/>
        <item x="88"/>
        <item x="110"/>
        <item m="1" x="121"/>
        <item x="66"/>
        <item m="1" x="135"/>
        <item m="1" x="136"/>
        <item m="1" x="125"/>
        <item m="1" x="137"/>
        <item m="1" x="138"/>
        <item m="1" x="124"/>
        <item x="112"/>
        <item x="111"/>
        <item x="113"/>
        <item m="1" x="133"/>
        <item x="92"/>
        <item x="80"/>
        <item m="1" x="128"/>
        <item x="102"/>
        <item m="1" x="130"/>
        <item x="8"/>
        <item x="98"/>
        <item x="105"/>
        <item x="107"/>
        <item x="108"/>
        <item x="109"/>
      </items>
    </pivotField>
    <pivotField axis="axisRow" compact="0" outline="0" showAll="0" defaultSubtotal="0">
      <items count="120">
        <item x="20"/>
        <item x="14"/>
        <item x="101"/>
        <item x="38"/>
        <item x="22"/>
        <item x="26"/>
        <item x="34"/>
        <item x="7"/>
        <item x="51"/>
        <item x="23"/>
        <item x="115"/>
        <item x="25"/>
        <item x="45"/>
        <item x="97"/>
        <item x="9"/>
        <item x="42"/>
        <item x="43"/>
        <item x="12"/>
        <item x="93"/>
        <item x="6"/>
        <item x="19"/>
        <item x="30"/>
        <item x="21"/>
        <item x="3"/>
        <item x="100"/>
        <item x="32"/>
        <item x="10"/>
        <item x="16"/>
        <item x="96"/>
        <item x="95"/>
        <item x="15"/>
        <item x="57"/>
        <item x="44"/>
        <item x="18"/>
        <item x="41"/>
        <item x="1"/>
        <item x="36"/>
        <item x="53"/>
        <item x="33"/>
        <item x="61"/>
        <item x="84"/>
        <item x="82"/>
        <item x="46"/>
        <item x="0"/>
        <item x="39"/>
        <item x="60"/>
        <item x="58"/>
        <item x="68"/>
        <item x="90"/>
        <item x="47"/>
        <item x="40"/>
        <item x="59"/>
        <item x="73"/>
        <item x="75"/>
        <item x="17"/>
        <item x="2"/>
        <item x="54"/>
        <item x="85"/>
        <item x="106"/>
        <item x="63"/>
        <item x="65"/>
        <item x="86"/>
        <item x="48"/>
        <item x="11"/>
        <item x="52"/>
        <item x="114"/>
        <item x="87"/>
        <item x="81"/>
        <item x="74"/>
        <item x="70"/>
        <item x="94"/>
        <item x="37"/>
        <item x="24"/>
        <item x="119"/>
        <item x="118"/>
        <item x="4"/>
        <item x="27"/>
        <item x="35"/>
        <item x="5"/>
        <item x="28"/>
        <item x="31"/>
        <item x="49"/>
        <item x="103"/>
        <item x="88"/>
        <item x="110"/>
        <item x="50"/>
        <item x="89"/>
        <item x="66"/>
        <item x="72"/>
        <item x="71"/>
        <item x="112"/>
        <item x="111"/>
        <item x="113"/>
        <item x="62"/>
        <item x="55"/>
        <item x="56"/>
        <item x="116"/>
        <item x="102"/>
        <item x="104"/>
        <item x="8"/>
        <item x="13"/>
        <item x="29"/>
        <item x="64"/>
        <item x="67"/>
        <item x="69"/>
        <item x="76"/>
        <item x="77"/>
        <item x="78"/>
        <item x="79"/>
        <item x="80"/>
        <item x="83"/>
        <item x="91"/>
        <item x="92"/>
        <item x="98"/>
        <item x="99"/>
        <item x="105"/>
        <item x="107"/>
        <item x="108"/>
        <item x="109"/>
        <item x="11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6">
        <item x="0"/>
        <item x="1"/>
        <item x="3"/>
        <item x="5"/>
        <item x="2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3">
        <item x="15"/>
        <item m="1" x="71"/>
        <item m="1" x="67"/>
        <item m="1" x="68"/>
        <item m="1" x="69"/>
        <item m="1" x="70"/>
        <item m="1" x="65"/>
        <item m="1" x="72"/>
        <item m="1" x="64"/>
        <item m="1" x="60"/>
        <item m="1" x="58"/>
        <item m="1" x="61"/>
        <item m="1" x="63"/>
        <item m="1" x="66"/>
        <item m="1" x="62"/>
        <item m="1" x="59"/>
        <item x="14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44"/>
        <item m="1" x="45"/>
        <item m="1" x="42"/>
        <item m="1" x="4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7">
    <field x="18"/>
    <field x="13"/>
    <field x="14"/>
    <field x="52"/>
    <field x="19"/>
    <field x="20"/>
    <field x="21"/>
  </rowFields>
  <rowItems count="52">
    <i>
      <x v="4"/>
      <x v="4"/>
      <x/>
      <x v="59"/>
      <x v="2"/>
      <x/>
      <x v="27"/>
    </i>
    <i r="5">
      <x v="6"/>
      <x v="5"/>
    </i>
    <i r="5">
      <x v="7"/>
      <x v="35"/>
    </i>
    <i r="5">
      <x v="8"/>
      <x v="49"/>
    </i>
    <i r="5">
      <x v="9"/>
      <x v="42"/>
    </i>
    <i r="5">
      <x v="10"/>
      <x v="43"/>
    </i>
    <i r="5">
      <x v="11"/>
      <x v="54"/>
    </i>
    <i r="5">
      <x v="13"/>
      <x v="26"/>
    </i>
    <i r="5">
      <x v="14"/>
      <x v="33"/>
    </i>
    <i r="5">
      <x v="15"/>
      <x v="62"/>
    </i>
    <i r="5">
      <x v="16"/>
      <x v="17"/>
    </i>
    <i r="5">
      <x v="17"/>
      <x v="30"/>
    </i>
    <i r="5">
      <x v="18"/>
      <x v="21"/>
    </i>
    <i r="5">
      <x v="19"/>
      <x v="11"/>
    </i>
    <i r="5">
      <x v="20"/>
      <x v="72"/>
    </i>
    <i r="5">
      <x v="21"/>
      <x v="15"/>
    </i>
    <i r="5">
      <x v="22"/>
      <x v="12"/>
    </i>
    <i r="5">
      <x v="23"/>
      <x v="16"/>
    </i>
    <i r="5">
      <x v="24"/>
      <x v="63"/>
    </i>
    <i r="5">
      <x v="25"/>
      <x v="14"/>
    </i>
    <i r="5">
      <x v="26"/>
      <x v="100"/>
    </i>
    <i r="5">
      <x v="27"/>
      <x v="25"/>
    </i>
    <i r="5">
      <x v="28"/>
      <x v="36"/>
    </i>
    <i r="5">
      <x v="29"/>
      <x v="50"/>
    </i>
    <i r="5">
      <x v="30"/>
      <x v="44"/>
    </i>
    <i r="5">
      <x v="31"/>
      <x v="55"/>
    </i>
    <i r="5">
      <x v="33"/>
      <x v="20"/>
    </i>
    <i r="5">
      <x v="38"/>
      <x v="19"/>
    </i>
    <i r="5">
      <x v="39"/>
      <x v="32"/>
    </i>
    <i r="5">
      <x v="41"/>
      <x v="6"/>
    </i>
    <i r="5">
      <x v="42"/>
      <x v="38"/>
    </i>
    <i r="5">
      <x v="43"/>
      <x v="7"/>
    </i>
    <i r="5">
      <x v="44"/>
      <x/>
    </i>
    <i r="5">
      <x v="45"/>
      <x v="22"/>
    </i>
    <i r="5">
      <x v="60"/>
      <x v="34"/>
    </i>
    <i r="5">
      <x v="61"/>
      <x v="9"/>
    </i>
    <i r="5">
      <x v="62"/>
      <x v="71"/>
    </i>
    <i r="5">
      <x v="63"/>
      <x v="4"/>
    </i>
    <i r="5">
      <x v="65"/>
      <x v="1"/>
    </i>
    <i r="5">
      <x v="66"/>
      <x v="3"/>
    </i>
    <i r="5">
      <x v="68"/>
      <x v="23"/>
    </i>
    <i r="5">
      <x v="139"/>
      <x v="101"/>
    </i>
    <i r="5">
      <x v="140"/>
      <x v="75"/>
    </i>
    <i r="5">
      <x v="141"/>
      <x v="76"/>
    </i>
    <i r="5">
      <x v="142"/>
      <x v="77"/>
    </i>
    <i r="5">
      <x v="143"/>
      <x v="78"/>
    </i>
    <i r="5">
      <x v="144"/>
      <x v="79"/>
    </i>
    <i r="5">
      <x v="145"/>
      <x v="80"/>
    </i>
    <i r="5">
      <x v="146"/>
      <x v="81"/>
    </i>
    <i r="5">
      <x v="171"/>
      <x v="99"/>
    </i>
    <i r="3">
      <x v="70"/>
      <x v="13"/>
      <x v="40"/>
      <x v="10"/>
    </i>
    <i t="grand">
      <x/>
    </i>
  </rowItems>
  <colFields count="1">
    <field x="-2"/>
  </colFields>
  <colItems count="2">
    <i>
      <x/>
    </i>
    <i i="1">
      <x v="1"/>
    </i>
  </colItems>
  <pageFields count="4">
    <pageField fld="6" item="0" hier="-1"/>
    <pageField fld="11" item="0" hier="-1"/>
    <pageField fld="37" hier="-1"/>
    <pageField fld="16" hier="-1"/>
  </pageFields>
  <dataFields count="2">
    <dataField name="Sum of rPlan_qty" fld="24" baseField="0" baseItem="0"/>
    <dataField name="Sum of rPlan_wg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83697-8C2C-4BC2-87F9-CB952913F1BD}" name="PivotTable2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C117" firstHeaderRow="1" firstDataRow="1" firstDataCol="2" rowPageCount="4" colPageCount="1"/>
  <pivotFields count="6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2"/>
        <item x="5"/>
        <item x="0"/>
        <item x="6"/>
        <item x="1"/>
        <item x="7"/>
        <item x="3"/>
        <item x="4"/>
        <item x="8"/>
        <item t="default"/>
      </items>
    </pivotField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  <pivotField axis="axisRow" compact="0" outline="0" showAll="0" sortType="ascending" defaultSubtotal="0">
      <items count="111">
        <item x="72"/>
        <item x="65"/>
        <item x="91"/>
        <item x="41"/>
        <item x="74"/>
        <item x="14"/>
        <item x="24"/>
        <item x="7"/>
        <item x="58"/>
        <item x="46"/>
        <item x="40"/>
        <item x="77"/>
        <item x="49"/>
        <item x="66"/>
        <item x="61"/>
        <item x="43"/>
        <item x="50"/>
        <item x="86"/>
        <item x="38"/>
        <item x="71"/>
        <item x="60"/>
        <item x="88"/>
        <item x="73"/>
        <item x="75"/>
        <item x="81"/>
        <item x="67"/>
        <item x="76"/>
        <item x="39"/>
        <item x="36"/>
        <item x="82"/>
        <item x="56"/>
        <item x="83"/>
        <item x="89"/>
        <item x="69"/>
        <item x="57"/>
        <item x="44"/>
        <item x="42"/>
        <item x="35"/>
        <item x="48"/>
        <item x="59"/>
        <item x="79"/>
        <item x="68"/>
        <item x="47"/>
        <item x="98"/>
        <item x="51"/>
        <item x="90"/>
        <item x="52"/>
        <item x="87"/>
        <item x="8"/>
        <item x="13"/>
        <item x="97"/>
        <item x="34"/>
        <item x="33"/>
        <item x="64"/>
        <item x="45"/>
        <item x="84"/>
        <item x="85"/>
        <item x="53"/>
        <item x="55"/>
        <item x="78"/>
        <item x="21"/>
        <item x="17"/>
        <item x="4"/>
        <item x="1"/>
        <item x="25"/>
        <item x="12"/>
        <item x="5"/>
        <item x="2"/>
        <item x="18"/>
        <item x="23"/>
        <item x="6"/>
        <item x="0"/>
        <item x="3"/>
        <item x="22"/>
        <item x="15"/>
        <item x="62"/>
        <item x="99"/>
        <item x="54"/>
        <item x="63"/>
        <item x="70"/>
        <item x="93"/>
        <item x="96"/>
        <item x="94"/>
        <item x="92"/>
        <item x="95"/>
        <item x="100"/>
        <item x="101"/>
        <item x="37"/>
        <item x="80"/>
        <item x="30"/>
        <item x="29"/>
        <item x="31"/>
        <item x="26"/>
        <item x="28"/>
        <item x="27"/>
        <item x="32"/>
        <item x="107"/>
        <item x="103"/>
        <item x="104"/>
        <item x="105"/>
        <item x="108"/>
        <item x="102"/>
        <item x="109"/>
        <item x="106"/>
        <item x="9"/>
        <item x="16"/>
        <item x="10"/>
        <item x="19"/>
        <item x="11"/>
        <item x="20"/>
        <item x="110"/>
      </items>
    </pivotField>
    <pivotField axis="axisRow" compact="0" outline="0" showAll="0" sortType="ascending">
      <items count="112">
        <item x="53"/>
        <item x="94"/>
        <item x="95"/>
        <item x="96"/>
        <item x="92"/>
        <item x="93"/>
        <item x="58"/>
        <item x="64"/>
        <item x="17"/>
        <item x="84"/>
        <item x="21"/>
        <item x="63"/>
        <item x="15"/>
        <item x="33"/>
        <item x="73"/>
        <item x="76"/>
        <item x="59"/>
        <item x="89"/>
        <item x="78"/>
        <item x="67"/>
        <item x="71"/>
        <item x="83"/>
        <item x="39"/>
        <item x="38"/>
        <item x="47"/>
        <item x="52"/>
        <item x="79"/>
        <item x="88"/>
        <item x="68"/>
        <item x="55"/>
        <item x="80"/>
        <item x="62"/>
        <item x="57"/>
        <item x="43"/>
        <item x="65"/>
        <item x="109"/>
        <item x="106"/>
        <item x="61"/>
        <item x="4"/>
        <item x="8"/>
        <item x="14"/>
        <item x="24"/>
        <item x="41"/>
        <item x="74"/>
        <item x="60"/>
        <item x="25"/>
        <item x="32"/>
        <item x="1"/>
        <item x="90"/>
        <item x="34"/>
        <item x="69"/>
        <item x="91"/>
        <item x="97"/>
        <item x="50"/>
        <item x="13"/>
        <item x="54"/>
        <item x="81"/>
        <item x="82"/>
        <item x="46"/>
        <item x="72"/>
        <item x="44"/>
        <item x="101"/>
        <item x="26"/>
        <item x="45"/>
        <item x="12"/>
        <item x="5"/>
        <item x="103"/>
        <item x="11"/>
        <item x="100"/>
        <item x="77"/>
        <item x="2"/>
        <item x="49"/>
        <item x="35"/>
        <item x="31"/>
        <item x="18"/>
        <item x="23"/>
        <item x="102"/>
        <item x="10"/>
        <item x="40"/>
        <item x="42"/>
        <item x="29"/>
        <item x="6"/>
        <item x="0"/>
        <item x="105"/>
        <item x="19"/>
        <item x="66"/>
        <item x="48"/>
        <item x="28"/>
        <item x="30"/>
        <item x="3"/>
        <item x="87"/>
        <item x="98"/>
        <item x="22"/>
        <item x="108"/>
        <item x="16"/>
        <item x="99"/>
        <item x="86"/>
        <item x="36"/>
        <item x="85"/>
        <item x="27"/>
        <item x="51"/>
        <item x="104"/>
        <item x="20"/>
        <item x="107"/>
        <item x="9"/>
        <item x="37"/>
        <item x="70"/>
        <item x="7"/>
        <item x="75"/>
        <item x="56"/>
        <item x="11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0"/>
    <field x="21"/>
  </rowFields>
  <rowItems count="111">
    <i>
      <x/>
      <x v="59"/>
    </i>
    <i>
      <x v="1"/>
      <x v="34"/>
    </i>
    <i>
      <x v="2"/>
      <x v="51"/>
    </i>
    <i>
      <x v="3"/>
      <x v="42"/>
    </i>
    <i>
      <x v="4"/>
      <x v="43"/>
    </i>
    <i>
      <x v="5"/>
      <x v="40"/>
    </i>
    <i>
      <x v="6"/>
      <x v="41"/>
    </i>
    <i>
      <x v="7"/>
      <x v="107"/>
    </i>
    <i>
      <x v="8"/>
      <x v="6"/>
    </i>
    <i>
      <x v="9"/>
      <x v="58"/>
    </i>
    <i>
      <x v="10"/>
      <x v="78"/>
    </i>
    <i>
      <x v="11"/>
      <x v="69"/>
    </i>
    <i>
      <x v="12"/>
      <x v="71"/>
    </i>
    <i>
      <x v="13"/>
      <x v="85"/>
    </i>
    <i>
      <x v="14"/>
      <x v="37"/>
    </i>
    <i>
      <x v="15"/>
      <x v="33"/>
    </i>
    <i>
      <x v="16"/>
      <x v="53"/>
    </i>
    <i>
      <x v="17"/>
      <x v="96"/>
    </i>
    <i>
      <x v="18"/>
      <x v="23"/>
    </i>
    <i>
      <x v="19"/>
      <x v="20"/>
    </i>
    <i>
      <x v="20"/>
      <x v="44"/>
    </i>
    <i>
      <x v="21"/>
      <x v="27"/>
    </i>
    <i>
      <x v="22"/>
      <x v="14"/>
    </i>
    <i>
      <x v="23"/>
      <x v="108"/>
    </i>
    <i>
      <x v="24"/>
      <x v="56"/>
    </i>
    <i>
      <x v="25"/>
      <x v="19"/>
    </i>
    <i>
      <x v="26"/>
      <x v="15"/>
    </i>
    <i>
      <x v="27"/>
      <x v="22"/>
    </i>
    <i>
      <x v="28"/>
      <x v="97"/>
    </i>
    <i>
      <x v="29"/>
      <x v="57"/>
    </i>
    <i>
      <x v="30"/>
      <x v="109"/>
    </i>
    <i>
      <x v="31"/>
      <x v="21"/>
    </i>
    <i>
      <x v="32"/>
      <x v="17"/>
    </i>
    <i>
      <x v="33"/>
      <x v="50"/>
    </i>
    <i>
      <x v="34"/>
      <x v="32"/>
    </i>
    <i>
      <x v="35"/>
      <x v="60"/>
    </i>
    <i>
      <x v="36"/>
      <x v="79"/>
    </i>
    <i>
      <x v="37"/>
      <x v="72"/>
    </i>
    <i>
      <x v="38"/>
      <x v="86"/>
    </i>
    <i>
      <x v="39"/>
      <x v="16"/>
    </i>
    <i>
      <x v="40"/>
      <x v="26"/>
    </i>
    <i>
      <x v="41"/>
      <x v="28"/>
    </i>
    <i>
      <x v="42"/>
      <x v="24"/>
    </i>
    <i>
      <x v="43"/>
      <x v="91"/>
    </i>
    <i>
      <x v="44"/>
      <x v="100"/>
    </i>
    <i>
      <x v="45"/>
      <x v="48"/>
    </i>
    <i>
      <x v="46"/>
      <x v="25"/>
    </i>
    <i>
      <x v="47"/>
      <x v="90"/>
    </i>
    <i>
      <x v="48"/>
      <x v="39"/>
    </i>
    <i>
      <x v="49"/>
      <x v="54"/>
    </i>
    <i>
      <x v="50"/>
      <x v="52"/>
    </i>
    <i>
      <x v="51"/>
      <x v="49"/>
    </i>
    <i>
      <x v="52"/>
      <x v="13"/>
    </i>
    <i>
      <x v="53"/>
      <x v="7"/>
    </i>
    <i>
      <x v="54"/>
      <x v="63"/>
    </i>
    <i>
      <x v="55"/>
      <x v="9"/>
    </i>
    <i>
      <x v="56"/>
      <x v="98"/>
    </i>
    <i>
      <x v="57"/>
      <x/>
    </i>
    <i>
      <x v="58"/>
      <x v="29"/>
    </i>
    <i>
      <x v="59"/>
      <x v="18"/>
    </i>
    <i>
      <x v="60"/>
      <x v="10"/>
    </i>
    <i>
      <x v="61"/>
      <x v="8"/>
    </i>
    <i>
      <x v="62"/>
      <x v="38"/>
    </i>
    <i>
      <x v="63"/>
      <x v="47"/>
    </i>
    <i>
      <x v="64"/>
      <x v="45"/>
    </i>
    <i>
      <x v="65"/>
      <x v="64"/>
    </i>
    <i>
      <x v="66"/>
      <x v="65"/>
    </i>
    <i>
      <x v="67"/>
      <x v="70"/>
    </i>
    <i>
      <x v="68"/>
      <x v="74"/>
    </i>
    <i>
      <x v="69"/>
      <x v="75"/>
    </i>
    <i>
      <x v="70"/>
      <x v="81"/>
    </i>
    <i>
      <x v="71"/>
      <x v="82"/>
    </i>
    <i>
      <x v="72"/>
      <x v="89"/>
    </i>
    <i>
      <x v="73"/>
      <x v="92"/>
    </i>
    <i>
      <x v="74"/>
      <x v="12"/>
    </i>
    <i>
      <x v="75"/>
      <x v="31"/>
    </i>
    <i>
      <x v="76"/>
      <x v="95"/>
    </i>
    <i>
      <x v="77"/>
      <x v="55"/>
    </i>
    <i>
      <x v="78"/>
      <x v="11"/>
    </i>
    <i>
      <x v="79"/>
      <x v="106"/>
    </i>
    <i>
      <x v="80"/>
      <x v="5"/>
    </i>
    <i>
      <x v="81"/>
      <x v="3"/>
    </i>
    <i>
      <x v="82"/>
      <x v="1"/>
    </i>
    <i>
      <x v="83"/>
      <x v="4"/>
    </i>
    <i>
      <x v="84"/>
      <x v="2"/>
    </i>
    <i>
      <x v="85"/>
      <x v="68"/>
    </i>
    <i>
      <x v="86"/>
      <x v="61"/>
    </i>
    <i>
      <x v="87"/>
      <x v="105"/>
    </i>
    <i>
      <x v="88"/>
      <x v="30"/>
    </i>
    <i>
      <x v="89"/>
      <x v="88"/>
    </i>
    <i>
      <x v="90"/>
      <x v="80"/>
    </i>
    <i>
      <x v="91"/>
      <x v="73"/>
    </i>
    <i>
      <x v="92"/>
      <x v="62"/>
    </i>
    <i>
      <x v="93"/>
      <x v="87"/>
    </i>
    <i>
      <x v="94"/>
      <x v="99"/>
    </i>
    <i>
      <x v="95"/>
      <x v="46"/>
    </i>
    <i>
      <x v="96"/>
      <x v="103"/>
    </i>
    <i>
      <x v="97"/>
      <x v="66"/>
    </i>
    <i>
      <x v="98"/>
      <x v="101"/>
    </i>
    <i>
      <x v="99"/>
      <x v="83"/>
    </i>
    <i>
      <x v="100"/>
      <x v="93"/>
    </i>
    <i>
      <x v="101"/>
      <x v="76"/>
    </i>
    <i>
      <x v="102"/>
      <x v="35"/>
    </i>
    <i>
      <x v="103"/>
      <x v="36"/>
    </i>
    <i>
      <x v="104"/>
      <x v="104"/>
    </i>
    <i>
      <x v="105"/>
      <x v="94"/>
    </i>
    <i>
      <x v="106"/>
      <x v="77"/>
    </i>
    <i>
      <x v="107"/>
      <x v="84"/>
    </i>
    <i>
      <x v="108"/>
      <x v="67"/>
    </i>
    <i>
      <x v="109"/>
      <x v="102"/>
    </i>
    <i t="grand">
      <x/>
    </i>
  </rowItems>
  <colItems count="1">
    <i/>
  </colItems>
  <pageFields count="4">
    <pageField fld="6" item="0" hier="-1"/>
    <pageField fld="11" item="0" hier="-1"/>
    <pageField fld="18" item="0" hier="-1"/>
    <pageField fld="16" hier="-1"/>
  </pageFields>
  <dataFields count="1">
    <dataField name="Sum of rPlan_wg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503"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1</v>
    <v t="e">#NULL!</v>
    <v t="i">2</v>
  </a>
</arrayData>
</file>

<file path=xl/richData/rdrichvalue.xml><?xml version="1.0" encoding="utf-8"?>
<rvData xmlns="http://schemas.microsoft.com/office/spreadsheetml/2017/richdata" count="5">
  <rv s="0">
    <v>13</v>
    <v>3</v>
  </rv>
  <rv s="1">
    <v>13</v>
    <v>1</v>
  </rv>
  <rv s="2">
    <v>0</v>
  </rv>
  <rv s="3">
    <v>{6C0EF9D1-0421-4162-B11F-34095EDC15CD}</v>
    <v>0</v>
    <v>0</v>
    <v>2</v>
  </rv>
  <rv s="3">
    <v>{0CB24D73-233C-4B6C-B2B2-267855C9AEA7}</v>
    <v>0</v>
    <v>0</v>
    <v>2</v>
  </rv>
</rvData>
</file>

<file path=xl/richData/rdrichvaluestructure.xml><?xml version="1.0" encoding="utf-8"?>
<rvStructures xmlns="http://schemas.microsoft.com/office/spreadsheetml/2017/richdata" count="4">
  <s t="_error">
    <k n="errorType" t="i"/>
    <k n="subType" t="i"/>
  </s>
  <s t="_error">
    <k n="errorType" t="i"/>
    <k n="propagated" t="b"/>
  </s>
  <s t="_array">
    <k n="array" t="a"/>
  </s>
  <s t="_datasourcecontainer">
    <k n="%XLUID" t="s"/>
    <k n="_CRID" t="i"/>
    <k n="_Display" t="spb"/>
    <k n="rDate1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rDate1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B9" sqref="B9"/>
    </sheetView>
  </sheetViews>
  <sheetFormatPr defaultRowHeight="14.5" x14ac:dyDescent="0.35"/>
  <cols>
    <col min="1" max="1" width="21.453125" bestFit="1" customWidth="1"/>
    <col min="2" max="2" width="38.1796875" bestFit="1" customWidth="1"/>
    <col min="3" max="3" width="10.453125" bestFit="1" customWidth="1"/>
  </cols>
  <sheetData>
    <row r="1" spans="1:3" x14ac:dyDescent="0.35">
      <c r="A1" s="2" t="s">
        <v>0</v>
      </c>
      <c r="B1" t="s">
        <v>1</v>
      </c>
    </row>
    <row r="2" spans="1:3" x14ac:dyDescent="0.35">
      <c r="A2" s="2" t="s">
        <v>2</v>
      </c>
      <c r="B2" s="3">
        <v>923</v>
      </c>
    </row>
    <row r="3" spans="1:3" x14ac:dyDescent="0.35">
      <c r="A3" s="2" t="s">
        <v>3</v>
      </c>
      <c r="B3" t="s">
        <v>4</v>
      </c>
    </row>
    <row r="4" spans="1:3" x14ac:dyDescent="0.35">
      <c r="A4" s="2" t="s">
        <v>5</v>
      </c>
      <c r="B4" t="s">
        <v>4</v>
      </c>
    </row>
    <row r="5" spans="1:3" x14ac:dyDescent="0.35">
      <c r="A5" s="2" t="s">
        <v>6</v>
      </c>
      <c r="B5" t="s">
        <v>4</v>
      </c>
    </row>
    <row r="6" spans="1:3" x14ac:dyDescent="0.35">
      <c r="A6" s="2" t="s">
        <v>7</v>
      </c>
      <c r="B6" s="1" t="s">
        <v>8</v>
      </c>
    </row>
    <row r="7" spans="1:3" x14ac:dyDescent="0.35">
      <c r="A7" s="2" t="s">
        <v>9</v>
      </c>
      <c r="B7" t="s">
        <v>4</v>
      </c>
    </row>
    <row r="8" spans="1:3" x14ac:dyDescent="0.35">
      <c r="B8" s="7" t="s">
        <v>10</v>
      </c>
    </row>
    <row r="9" spans="1:3" x14ac:dyDescent="0.35">
      <c r="A9" s="2" t="s">
        <v>11</v>
      </c>
    </row>
    <row r="10" spans="1:3" x14ac:dyDescent="0.35">
      <c r="A10" s="2" t="s">
        <v>12</v>
      </c>
      <c r="B10" s="2" t="s">
        <v>13</v>
      </c>
      <c r="C10" t="s">
        <v>14</v>
      </c>
    </row>
    <row r="11" spans="1:3" x14ac:dyDescent="0.35">
      <c r="A11">
        <v>23000206</v>
      </c>
      <c r="B11" t="s">
        <v>15</v>
      </c>
      <c r="C11">
        <v>20</v>
      </c>
    </row>
    <row r="12" spans="1:3" x14ac:dyDescent="0.35">
      <c r="A12">
        <v>23015265</v>
      </c>
      <c r="B12" t="s">
        <v>16</v>
      </c>
      <c r="C12">
        <v>100</v>
      </c>
    </row>
    <row r="13" spans="1:3" x14ac:dyDescent="0.35">
      <c r="A13">
        <v>23047038</v>
      </c>
      <c r="B13" t="s">
        <v>17</v>
      </c>
      <c r="C13">
        <v>200</v>
      </c>
    </row>
    <row r="14" spans="1:3" x14ac:dyDescent="0.35">
      <c r="A14">
        <v>23057809</v>
      </c>
      <c r="B14" t="s">
        <v>18</v>
      </c>
      <c r="C14">
        <v>290</v>
      </c>
    </row>
    <row r="15" spans="1:3" x14ac:dyDescent="0.35">
      <c r="A15">
        <v>23057812</v>
      </c>
      <c r="B15" t="s">
        <v>19</v>
      </c>
      <c r="C15">
        <v>1130</v>
      </c>
    </row>
    <row r="16" spans="1:3" x14ac:dyDescent="0.35">
      <c r="A16">
        <v>23057815</v>
      </c>
      <c r="B16" t="s">
        <v>20</v>
      </c>
      <c r="C16">
        <v>540</v>
      </c>
    </row>
    <row r="17" spans="1:3" x14ac:dyDescent="0.35">
      <c r="A17">
        <v>23057818</v>
      </c>
      <c r="B17" t="s">
        <v>21</v>
      </c>
      <c r="C17">
        <v>75</v>
      </c>
    </row>
    <row r="18" spans="1:3" x14ac:dyDescent="0.35">
      <c r="A18">
        <v>23057821</v>
      </c>
      <c r="B18" t="s">
        <v>22</v>
      </c>
      <c r="C18">
        <v>165</v>
      </c>
    </row>
    <row r="19" spans="1:3" x14ac:dyDescent="0.35">
      <c r="A19">
        <v>23057824</v>
      </c>
      <c r="B19" t="s">
        <v>23</v>
      </c>
      <c r="C19">
        <v>230</v>
      </c>
    </row>
    <row r="20" spans="1:3" x14ac:dyDescent="0.35">
      <c r="A20">
        <v>23057827</v>
      </c>
      <c r="B20" t="s">
        <v>24</v>
      </c>
      <c r="C20">
        <v>5</v>
      </c>
    </row>
    <row r="21" spans="1:3" x14ac:dyDescent="0.35">
      <c r="A21">
        <v>23058551</v>
      </c>
      <c r="B21" t="s">
        <v>25</v>
      </c>
      <c r="C21">
        <v>150</v>
      </c>
    </row>
    <row r="22" spans="1:3" x14ac:dyDescent="0.35">
      <c r="A22">
        <v>23058552</v>
      </c>
      <c r="B22" t="s">
        <v>26</v>
      </c>
      <c r="C22">
        <v>90</v>
      </c>
    </row>
    <row r="23" spans="1:3" x14ac:dyDescent="0.35">
      <c r="A23">
        <v>23058553</v>
      </c>
      <c r="B23" t="s">
        <v>27</v>
      </c>
      <c r="C23">
        <v>420</v>
      </c>
    </row>
    <row r="24" spans="1:3" x14ac:dyDescent="0.35">
      <c r="A24">
        <v>23058555</v>
      </c>
      <c r="B24" t="s">
        <v>28</v>
      </c>
      <c r="C24">
        <v>550</v>
      </c>
    </row>
    <row r="25" spans="1:3" x14ac:dyDescent="0.35">
      <c r="A25">
        <v>23058584</v>
      </c>
      <c r="B25" t="s">
        <v>29</v>
      </c>
      <c r="C25">
        <v>180</v>
      </c>
    </row>
    <row r="26" spans="1:3" x14ac:dyDescent="0.35">
      <c r="A26">
        <v>23058585</v>
      </c>
      <c r="B26" t="s">
        <v>30</v>
      </c>
      <c r="C26">
        <v>15</v>
      </c>
    </row>
    <row r="27" spans="1:3" x14ac:dyDescent="0.35">
      <c r="A27">
        <v>23058586</v>
      </c>
      <c r="B27" t="s">
        <v>31</v>
      </c>
      <c r="C27">
        <v>10</v>
      </c>
    </row>
    <row r="28" spans="1:3" x14ac:dyDescent="0.35">
      <c r="A28">
        <v>23058587</v>
      </c>
      <c r="B28" t="s">
        <v>32</v>
      </c>
      <c r="C28">
        <v>5</v>
      </c>
    </row>
    <row r="29" spans="1:3" x14ac:dyDescent="0.35">
      <c r="A29">
        <v>23058589</v>
      </c>
      <c r="B29" t="s">
        <v>33</v>
      </c>
      <c r="C29">
        <v>80</v>
      </c>
    </row>
    <row r="30" spans="1:3" x14ac:dyDescent="0.35">
      <c r="A30">
        <v>23058590</v>
      </c>
      <c r="B30" t="s">
        <v>34</v>
      </c>
      <c r="C30">
        <v>135</v>
      </c>
    </row>
    <row r="31" spans="1:3" x14ac:dyDescent="0.35">
      <c r="A31">
        <v>23058591</v>
      </c>
      <c r="B31" t="s">
        <v>35</v>
      </c>
      <c r="C31">
        <v>100</v>
      </c>
    </row>
    <row r="32" spans="1:3" x14ac:dyDescent="0.35">
      <c r="A32">
        <v>23062095</v>
      </c>
      <c r="B32" t="s">
        <v>36</v>
      </c>
      <c r="C32">
        <v>30</v>
      </c>
    </row>
    <row r="33" spans="1:3" x14ac:dyDescent="0.35">
      <c r="A33">
        <v>23062105</v>
      </c>
      <c r="B33" t="s">
        <v>37</v>
      </c>
      <c r="C33">
        <v>5</v>
      </c>
    </row>
    <row r="34" spans="1:3" x14ac:dyDescent="0.35">
      <c r="A34">
        <v>23062967</v>
      </c>
      <c r="B34" t="s">
        <v>38</v>
      </c>
      <c r="C34">
        <v>30</v>
      </c>
    </row>
    <row r="35" spans="1:3" x14ac:dyDescent="0.35">
      <c r="A35">
        <v>23063759</v>
      </c>
      <c r="B35" t="s">
        <v>39</v>
      </c>
      <c r="C35">
        <v>160</v>
      </c>
    </row>
    <row r="36" spans="1:3" x14ac:dyDescent="0.35">
      <c r="A36">
        <v>23065140</v>
      </c>
      <c r="B36" t="s">
        <v>40</v>
      </c>
      <c r="C36">
        <v>790</v>
      </c>
    </row>
    <row r="37" spans="1:3" x14ac:dyDescent="0.35">
      <c r="A37">
        <v>23065141</v>
      </c>
      <c r="B37" t="s">
        <v>41</v>
      </c>
      <c r="C37">
        <v>55</v>
      </c>
    </row>
    <row r="38" spans="1:3" x14ac:dyDescent="0.35">
      <c r="A38">
        <v>23065142</v>
      </c>
      <c r="B38" t="s">
        <v>42</v>
      </c>
      <c r="C38">
        <v>60</v>
      </c>
    </row>
    <row r="39" spans="1:3" x14ac:dyDescent="0.35">
      <c r="A39">
        <v>23065143</v>
      </c>
      <c r="B39" t="s">
        <v>43</v>
      </c>
      <c r="C39">
        <v>770</v>
      </c>
    </row>
    <row r="40" spans="1:3" x14ac:dyDescent="0.35">
      <c r="A40">
        <v>23066875</v>
      </c>
      <c r="B40" t="s">
        <v>44</v>
      </c>
      <c r="C40">
        <v>20</v>
      </c>
    </row>
    <row r="41" spans="1:3" x14ac:dyDescent="0.35">
      <c r="A41">
        <v>23066879</v>
      </c>
      <c r="B41" t="s">
        <v>45</v>
      </c>
      <c r="C41">
        <v>75</v>
      </c>
    </row>
    <row r="42" spans="1:3" x14ac:dyDescent="0.35">
      <c r="A42">
        <v>23068390</v>
      </c>
      <c r="B42" t="s">
        <v>46</v>
      </c>
      <c r="C42">
        <v>40</v>
      </c>
    </row>
    <row r="43" spans="1:3" x14ac:dyDescent="0.35">
      <c r="A43">
        <v>23070475</v>
      </c>
      <c r="B43" t="s">
        <v>47</v>
      </c>
      <c r="C43">
        <v>105</v>
      </c>
    </row>
    <row r="44" spans="1:3" x14ac:dyDescent="0.35">
      <c r="A44">
        <v>23071881</v>
      </c>
      <c r="B44" t="s">
        <v>48</v>
      </c>
      <c r="C44">
        <v>65</v>
      </c>
    </row>
    <row r="45" spans="1:3" x14ac:dyDescent="0.35">
      <c r="A45">
        <v>23071882</v>
      </c>
      <c r="B45" t="s">
        <v>49</v>
      </c>
      <c r="C45">
        <v>40</v>
      </c>
    </row>
    <row r="46" spans="1:3" x14ac:dyDescent="0.35">
      <c r="A46">
        <v>23073188</v>
      </c>
      <c r="B46" t="s">
        <v>50</v>
      </c>
      <c r="C46">
        <v>15</v>
      </c>
    </row>
    <row r="47" spans="1:3" x14ac:dyDescent="0.35">
      <c r="A47">
        <v>23075089</v>
      </c>
      <c r="B47" t="s">
        <v>51</v>
      </c>
      <c r="C47">
        <v>0</v>
      </c>
    </row>
    <row r="48" spans="1:3" x14ac:dyDescent="0.35">
      <c r="A48">
        <v>23084674</v>
      </c>
      <c r="B48" t="s">
        <v>52</v>
      </c>
      <c r="C48">
        <v>39.200000000000003</v>
      </c>
    </row>
    <row r="49" spans="1:3" x14ac:dyDescent="0.35">
      <c r="A49">
        <v>23086658</v>
      </c>
      <c r="B49" t="s">
        <v>53</v>
      </c>
      <c r="C49">
        <v>135</v>
      </c>
    </row>
    <row r="50" spans="1:3" x14ac:dyDescent="0.35">
      <c r="A50">
        <v>23087034</v>
      </c>
      <c r="B50" t="s">
        <v>54</v>
      </c>
      <c r="C50">
        <v>185</v>
      </c>
    </row>
    <row r="51" spans="1:3" x14ac:dyDescent="0.35">
      <c r="A51">
        <v>23088036</v>
      </c>
      <c r="B51" t="s">
        <v>55</v>
      </c>
      <c r="C51">
        <v>5</v>
      </c>
    </row>
    <row r="52" spans="1:3" x14ac:dyDescent="0.35">
      <c r="A52">
        <v>23088112</v>
      </c>
      <c r="B52" t="s">
        <v>56</v>
      </c>
      <c r="C52">
        <v>15</v>
      </c>
    </row>
    <row r="53" spans="1:3" x14ac:dyDescent="0.35">
      <c r="A53">
        <v>23088348</v>
      </c>
      <c r="B53" t="s">
        <v>57</v>
      </c>
      <c r="C53">
        <v>320</v>
      </c>
    </row>
    <row r="54" spans="1:3" x14ac:dyDescent="0.35">
      <c r="A54">
        <v>23097783</v>
      </c>
      <c r="B54" t="s">
        <v>58</v>
      </c>
      <c r="C54">
        <v>55</v>
      </c>
    </row>
    <row r="55" spans="1:3" x14ac:dyDescent="0.35">
      <c r="A55">
        <v>23097784</v>
      </c>
      <c r="B55" t="s">
        <v>59</v>
      </c>
      <c r="C55">
        <v>3</v>
      </c>
    </row>
    <row r="56" spans="1:3" x14ac:dyDescent="0.35">
      <c r="A56">
        <v>23097787</v>
      </c>
      <c r="B56" t="s">
        <v>60</v>
      </c>
      <c r="C56">
        <v>2</v>
      </c>
    </row>
    <row r="57" spans="1:3" x14ac:dyDescent="0.35">
      <c r="A57">
        <v>23097788</v>
      </c>
      <c r="B57" t="s">
        <v>61</v>
      </c>
      <c r="C57">
        <v>2</v>
      </c>
    </row>
    <row r="58" spans="1:3" x14ac:dyDescent="0.35">
      <c r="A58">
        <v>23097789</v>
      </c>
      <c r="B58" t="s">
        <v>62</v>
      </c>
      <c r="C58">
        <v>3</v>
      </c>
    </row>
    <row r="59" spans="1:3" x14ac:dyDescent="0.35">
      <c r="A59">
        <v>23097790</v>
      </c>
      <c r="B59" t="s">
        <v>63</v>
      </c>
      <c r="C59">
        <v>20</v>
      </c>
    </row>
    <row r="60" spans="1:3" x14ac:dyDescent="0.35">
      <c r="A60">
        <v>23097791</v>
      </c>
      <c r="B60" t="s">
        <v>64</v>
      </c>
      <c r="C60">
        <v>2</v>
      </c>
    </row>
    <row r="61" spans="1:3" x14ac:dyDescent="0.35">
      <c r="A61">
        <v>23097792</v>
      </c>
      <c r="B61" t="s">
        <v>65</v>
      </c>
      <c r="C61">
        <v>3</v>
      </c>
    </row>
    <row r="62" spans="1:3" x14ac:dyDescent="0.35">
      <c r="A62">
        <v>23097793</v>
      </c>
      <c r="B62" t="s">
        <v>66</v>
      </c>
      <c r="C62">
        <v>24</v>
      </c>
    </row>
    <row r="63" spans="1:3" x14ac:dyDescent="0.35">
      <c r="A63">
        <v>23097796</v>
      </c>
      <c r="B63" t="s">
        <v>67</v>
      </c>
      <c r="C63">
        <v>5</v>
      </c>
    </row>
    <row r="64" spans="1:3" x14ac:dyDescent="0.35">
      <c r="A64">
        <v>23097797</v>
      </c>
      <c r="B64" t="s">
        <v>68</v>
      </c>
      <c r="C64">
        <v>25</v>
      </c>
    </row>
    <row r="65" spans="1:3" x14ac:dyDescent="0.35">
      <c r="A65">
        <v>23098989</v>
      </c>
      <c r="B65" t="s">
        <v>69</v>
      </c>
      <c r="C65">
        <v>35</v>
      </c>
    </row>
    <row r="66" spans="1:3" x14ac:dyDescent="0.35">
      <c r="A66">
        <v>23098995</v>
      </c>
      <c r="B66" t="s">
        <v>70</v>
      </c>
      <c r="C66">
        <v>90</v>
      </c>
    </row>
    <row r="67" spans="1:3" x14ac:dyDescent="0.35">
      <c r="A67">
        <v>23104868</v>
      </c>
      <c r="B67" t="s">
        <v>71</v>
      </c>
      <c r="C67">
        <v>10</v>
      </c>
    </row>
    <row r="68" spans="1:3" x14ac:dyDescent="0.35">
      <c r="A68">
        <v>23105702</v>
      </c>
      <c r="B68" t="s">
        <v>72</v>
      </c>
      <c r="C68">
        <v>550</v>
      </c>
    </row>
    <row r="69" spans="1:3" x14ac:dyDescent="0.35">
      <c r="A69">
        <v>23105751</v>
      </c>
      <c r="B69" t="s">
        <v>73</v>
      </c>
      <c r="C69">
        <v>30</v>
      </c>
    </row>
    <row r="70" spans="1:3" x14ac:dyDescent="0.35">
      <c r="A70">
        <v>23105752</v>
      </c>
      <c r="B70" t="s">
        <v>74</v>
      </c>
      <c r="C70">
        <v>10</v>
      </c>
    </row>
    <row r="71" spans="1:3" x14ac:dyDescent="0.35">
      <c r="A71">
        <v>23105753</v>
      </c>
      <c r="B71" t="s">
        <v>75</v>
      </c>
      <c r="C71">
        <v>200</v>
      </c>
    </row>
    <row r="72" spans="1:3" x14ac:dyDescent="0.35">
      <c r="A72">
        <v>23105754</v>
      </c>
      <c r="B72" t="s">
        <v>76</v>
      </c>
      <c r="C72">
        <v>180</v>
      </c>
    </row>
    <row r="73" spans="1:3" x14ac:dyDescent="0.35">
      <c r="A73">
        <v>23108462</v>
      </c>
      <c r="B73" t="s">
        <v>77</v>
      </c>
      <c r="C73">
        <v>100</v>
      </c>
    </row>
    <row r="74" spans="1:3" x14ac:dyDescent="0.35">
      <c r="A74">
        <v>23109326</v>
      </c>
      <c r="B74" t="s">
        <v>78</v>
      </c>
      <c r="C74">
        <v>220</v>
      </c>
    </row>
    <row r="75" spans="1:3" x14ac:dyDescent="0.35">
      <c r="A75">
        <v>23109351</v>
      </c>
      <c r="B75" t="s">
        <v>79</v>
      </c>
      <c r="C75">
        <v>1</v>
      </c>
    </row>
    <row r="76" spans="1:3" x14ac:dyDescent="0.35">
      <c r="A76">
        <v>23109352</v>
      </c>
      <c r="B76" t="s">
        <v>80</v>
      </c>
      <c r="C76">
        <v>3</v>
      </c>
    </row>
    <row r="77" spans="1:3" x14ac:dyDescent="0.35">
      <c r="A77">
        <v>23109353</v>
      </c>
      <c r="B77" t="s">
        <v>81</v>
      </c>
      <c r="C77">
        <v>3</v>
      </c>
    </row>
    <row r="78" spans="1:3" x14ac:dyDescent="0.35">
      <c r="A78">
        <v>23109357</v>
      </c>
      <c r="B78" t="s">
        <v>82</v>
      </c>
      <c r="C78">
        <v>0.8</v>
      </c>
    </row>
    <row r="79" spans="1:3" x14ac:dyDescent="0.35">
      <c r="A79">
        <v>23109358</v>
      </c>
      <c r="B79" t="s">
        <v>83</v>
      </c>
      <c r="C79">
        <v>1.6</v>
      </c>
    </row>
    <row r="80" spans="1:3" x14ac:dyDescent="0.35">
      <c r="A80">
        <v>23109359</v>
      </c>
      <c r="B80" t="s">
        <v>84</v>
      </c>
      <c r="C80">
        <v>4.8</v>
      </c>
    </row>
    <row r="81" spans="1:3" x14ac:dyDescent="0.35">
      <c r="A81">
        <v>23109532</v>
      </c>
      <c r="B81" t="s">
        <v>85</v>
      </c>
      <c r="C81">
        <v>1.6</v>
      </c>
    </row>
    <row r="82" spans="1:3" x14ac:dyDescent="0.35">
      <c r="A82">
        <v>23110584</v>
      </c>
      <c r="B82" t="s">
        <v>86</v>
      </c>
      <c r="C82">
        <v>4</v>
      </c>
    </row>
    <row r="83" spans="1:3" x14ac:dyDescent="0.35">
      <c r="A83">
        <v>23110587</v>
      </c>
      <c r="B83" t="s">
        <v>87</v>
      </c>
      <c r="C83">
        <v>4</v>
      </c>
    </row>
    <row r="84" spans="1:3" x14ac:dyDescent="0.35">
      <c r="A84">
        <v>23110590</v>
      </c>
      <c r="B84" t="s">
        <v>88</v>
      </c>
      <c r="C84">
        <v>4</v>
      </c>
    </row>
    <row r="85" spans="1:3" x14ac:dyDescent="0.35">
      <c r="A85">
        <v>23110593</v>
      </c>
      <c r="B85" t="s">
        <v>89</v>
      </c>
      <c r="C85">
        <v>4</v>
      </c>
    </row>
    <row r="86" spans="1:3" x14ac:dyDescent="0.35">
      <c r="A86">
        <v>23110595</v>
      </c>
      <c r="B86" t="s">
        <v>90</v>
      </c>
      <c r="C86">
        <v>4</v>
      </c>
    </row>
    <row r="87" spans="1:3" x14ac:dyDescent="0.35">
      <c r="A87">
        <v>23110600</v>
      </c>
      <c r="B87" t="s">
        <v>91</v>
      </c>
      <c r="C87">
        <v>4</v>
      </c>
    </row>
    <row r="88" spans="1:3" x14ac:dyDescent="0.35">
      <c r="A88">
        <v>23111028</v>
      </c>
      <c r="B88" t="s">
        <v>92</v>
      </c>
      <c r="C88">
        <v>2</v>
      </c>
    </row>
    <row r="89" spans="1:3" x14ac:dyDescent="0.35">
      <c r="A89">
        <v>23111033</v>
      </c>
      <c r="B89" t="s">
        <v>93</v>
      </c>
      <c r="C89">
        <v>6</v>
      </c>
    </row>
    <row r="90" spans="1:3" x14ac:dyDescent="0.35">
      <c r="A90">
        <v>23111034</v>
      </c>
      <c r="B90" t="s">
        <v>94</v>
      </c>
      <c r="C90">
        <v>4</v>
      </c>
    </row>
    <row r="91" spans="1:3" x14ac:dyDescent="0.35">
      <c r="A91">
        <v>23111035</v>
      </c>
      <c r="B91" t="s">
        <v>95</v>
      </c>
      <c r="C91">
        <v>4</v>
      </c>
    </row>
    <row r="92" spans="1:3" x14ac:dyDescent="0.35">
      <c r="A92">
        <v>23111036</v>
      </c>
      <c r="B92" t="s">
        <v>96</v>
      </c>
      <c r="C92">
        <v>4</v>
      </c>
    </row>
    <row r="93" spans="1:3" x14ac:dyDescent="0.35">
      <c r="A93">
        <v>23111037</v>
      </c>
      <c r="B93" t="s">
        <v>97</v>
      </c>
      <c r="C93">
        <v>4</v>
      </c>
    </row>
    <row r="94" spans="1:3" x14ac:dyDescent="0.35">
      <c r="A94">
        <v>23111031</v>
      </c>
      <c r="B94" t="s">
        <v>98</v>
      </c>
      <c r="C94">
        <v>2</v>
      </c>
    </row>
    <row r="95" spans="1:3" x14ac:dyDescent="0.35">
      <c r="A95">
        <v>23110589</v>
      </c>
      <c r="B95" t="s">
        <v>99</v>
      </c>
      <c r="C95">
        <v>4</v>
      </c>
    </row>
    <row r="96" spans="1:3" x14ac:dyDescent="0.35">
      <c r="A96">
        <v>23110596</v>
      </c>
      <c r="B96" t="s">
        <v>100</v>
      </c>
      <c r="C96">
        <v>4</v>
      </c>
    </row>
    <row r="97" spans="1:3" x14ac:dyDescent="0.35">
      <c r="A97">
        <v>23110597</v>
      </c>
      <c r="B97" t="s">
        <v>101</v>
      </c>
      <c r="C97">
        <v>4</v>
      </c>
    </row>
    <row r="98" spans="1:3" x14ac:dyDescent="0.35">
      <c r="A98">
        <v>23110588</v>
      </c>
      <c r="B98" t="s">
        <v>102</v>
      </c>
      <c r="C98">
        <v>4</v>
      </c>
    </row>
    <row r="99" spans="1:3" x14ac:dyDescent="0.35">
      <c r="A99">
        <v>23083450</v>
      </c>
      <c r="B99" t="s">
        <v>103</v>
      </c>
      <c r="C99">
        <v>16</v>
      </c>
    </row>
    <row r="100" spans="1:3" x14ac:dyDescent="0.35">
      <c r="A100">
        <v>23110619</v>
      </c>
      <c r="B100" t="s">
        <v>104</v>
      </c>
      <c r="C100">
        <v>2</v>
      </c>
    </row>
    <row r="101" spans="1:3" x14ac:dyDescent="0.35">
      <c r="A101">
        <v>23111038</v>
      </c>
      <c r="B101" t="s">
        <v>105</v>
      </c>
      <c r="C101">
        <v>2</v>
      </c>
    </row>
    <row r="102" spans="1:3" x14ac:dyDescent="0.35">
      <c r="A102">
        <v>23111030</v>
      </c>
      <c r="B102" t="s">
        <v>106</v>
      </c>
      <c r="C102">
        <v>2</v>
      </c>
    </row>
    <row r="103" spans="1:3" x14ac:dyDescent="0.35">
      <c r="A103">
        <v>23111029</v>
      </c>
      <c r="B103" t="s">
        <v>107</v>
      </c>
      <c r="C103">
        <v>2</v>
      </c>
    </row>
    <row r="104" spans="1:3" x14ac:dyDescent="0.35">
      <c r="A104">
        <v>23062107</v>
      </c>
      <c r="B104" t="s">
        <v>108</v>
      </c>
      <c r="C104">
        <v>180</v>
      </c>
    </row>
    <row r="105" spans="1:3" x14ac:dyDescent="0.35">
      <c r="A105">
        <v>23062101</v>
      </c>
      <c r="B105" t="s">
        <v>109</v>
      </c>
      <c r="C105">
        <v>0</v>
      </c>
    </row>
    <row r="106" spans="1:3" x14ac:dyDescent="0.35">
      <c r="A106">
        <v>23062111</v>
      </c>
      <c r="B106" t="s">
        <v>110</v>
      </c>
      <c r="C106">
        <v>5</v>
      </c>
    </row>
    <row r="107" spans="1:3" x14ac:dyDescent="0.35">
      <c r="A107">
        <v>23062103</v>
      </c>
      <c r="B107" t="s">
        <v>111</v>
      </c>
      <c r="C107">
        <v>5</v>
      </c>
    </row>
    <row r="108" spans="1:3" x14ac:dyDescent="0.35">
      <c r="A108">
        <v>23058556</v>
      </c>
      <c r="B108" t="s">
        <v>112</v>
      </c>
      <c r="C108">
        <v>0</v>
      </c>
    </row>
    <row r="109" spans="1:3" x14ac:dyDescent="0.35">
      <c r="A109">
        <v>23067590</v>
      </c>
      <c r="B109" t="s">
        <v>113</v>
      </c>
      <c r="C109">
        <v>110</v>
      </c>
    </row>
    <row r="110" spans="1:3" x14ac:dyDescent="0.35">
      <c r="A110">
        <v>23058588</v>
      </c>
      <c r="B110" t="s">
        <v>114</v>
      </c>
      <c r="C110">
        <v>15</v>
      </c>
    </row>
    <row r="111" spans="1:3" x14ac:dyDescent="0.35">
      <c r="A111">
        <v>23062097</v>
      </c>
      <c r="B111" t="s">
        <v>115</v>
      </c>
      <c r="C111">
        <v>15</v>
      </c>
    </row>
    <row r="112" spans="1:3" x14ac:dyDescent="0.35">
      <c r="A112">
        <v>23071884</v>
      </c>
      <c r="B112" t="s">
        <v>116</v>
      </c>
      <c r="C112">
        <v>44.9998</v>
      </c>
    </row>
    <row r="113" spans="1:3" x14ac:dyDescent="0.35">
      <c r="A113">
        <v>23073308</v>
      </c>
      <c r="B113" t="s">
        <v>117</v>
      </c>
      <c r="C113">
        <v>50</v>
      </c>
    </row>
    <row r="114" spans="1:3" x14ac:dyDescent="0.35">
      <c r="A114">
        <v>23110631</v>
      </c>
      <c r="B114" t="s">
        <v>118</v>
      </c>
      <c r="C114">
        <v>6</v>
      </c>
    </row>
    <row r="115" spans="1:3" x14ac:dyDescent="0.35">
      <c r="A115">
        <v>23015198</v>
      </c>
      <c r="B115" t="s">
        <v>119</v>
      </c>
      <c r="C115">
        <v>0</v>
      </c>
    </row>
    <row r="116" spans="1:3" x14ac:dyDescent="0.35">
      <c r="A116">
        <v>23098986</v>
      </c>
      <c r="B116" t="s">
        <v>120</v>
      </c>
      <c r="C116">
        <v>3</v>
      </c>
    </row>
    <row r="117" spans="1:3" x14ac:dyDescent="0.35">
      <c r="A117">
        <v>23098990</v>
      </c>
      <c r="B117" t="s">
        <v>121</v>
      </c>
      <c r="C117">
        <v>5</v>
      </c>
    </row>
    <row r="118" spans="1:3" x14ac:dyDescent="0.35">
      <c r="A118">
        <v>23106549</v>
      </c>
      <c r="B118" t="s">
        <v>122</v>
      </c>
      <c r="C118">
        <v>50</v>
      </c>
    </row>
    <row r="119" spans="1:3" x14ac:dyDescent="0.35">
      <c r="A119">
        <v>23105820</v>
      </c>
      <c r="B119" t="s">
        <v>123</v>
      </c>
      <c r="C119">
        <v>50</v>
      </c>
    </row>
    <row r="120" spans="1:3" x14ac:dyDescent="0.35">
      <c r="A120">
        <v>23110623</v>
      </c>
      <c r="B120" t="s">
        <v>124</v>
      </c>
      <c r="C120">
        <v>2</v>
      </c>
    </row>
    <row r="121" spans="1:3" x14ac:dyDescent="0.35">
      <c r="A121">
        <v>23110624</v>
      </c>
      <c r="B121" t="s">
        <v>125</v>
      </c>
      <c r="C121">
        <v>2</v>
      </c>
    </row>
    <row r="122" spans="1:3" x14ac:dyDescent="0.35">
      <c r="A122">
        <v>23093507</v>
      </c>
      <c r="B122" t="s">
        <v>126</v>
      </c>
      <c r="C122">
        <v>5</v>
      </c>
    </row>
    <row r="123" spans="1:3" x14ac:dyDescent="0.35">
      <c r="A123">
        <v>23098991</v>
      </c>
      <c r="B123" t="s">
        <v>127</v>
      </c>
      <c r="C123">
        <v>0</v>
      </c>
    </row>
    <row r="124" spans="1:3" x14ac:dyDescent="0.35">
      <c r="A124">
        <v>23087679</v>
      </c>
      <c r="B124" t="s">
        <v>128</v>
      </c>
      <c r="C124">
        <v>5</v>
      </c>
    </row>
    <row r="125" spans="1:3" x14ac:dyDescent="0.35">
      <c r="A125">
        <v>23074624</v>
      </c>
      <c r="B125" t="s">
        <v>129</v>
      </c>
      <c r="C125">
        <v>40</v>
      </c>
    </row>
    <row r="126" spans="1:3" x14ac:dyDescent="0.35">
      <c r="A126">
        <v>23074625</v>
      </c>
      <c r="B126" t="s">
        <v>130</v>
      </c>
      <c r="C126">
        <v>40</v>
      </c>
    </row>
    <row r="127" spans="1:3" x14ac:dyDescent="0.35">
      <c r="A127">
        <v>23074626</v>
      </c>
      <c r="B127" t="s">
        <v>131</v>
      </c>
      <c r="C127">
        <v>20</v>
      </c>
    </row>
    <row r="128" spans="1:3" x14ac:dyDescent="0.35">
      <c r="A128">
        <v>23074627</v>
      </c>
      <c r="B128" t="s">
        <v>132</v>
      </c>
      <c r="C128">
        <v>40</v>
      </c>
    </row>
    <row r="129" spans="1:3" x14ac:dyDescent="0.35">
      <c r="A129" t="s">
        <v>133</v>
      </c>
      <c r="C129">
        <v>9816.9997999999996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373"/>
  <sheetViews>
    <sheetView zoomScale="85" zoomScaleNormal="85" workbookViewId="0">
      <selection sqref="A1:BN251"/>
    </sheetView>
  </sheetViews>
  <sheetFormatPr defaultRowHeight="14.5" x14ac:dyDescent="0.35"/>
  <cols>
    <col min="3" max="3" width="11.1796875" customWidth="1"/>
    <col min="4" max="4" width="12" customWidth="1"/>
    <col min="15" max="15" width="18.54296875" customWidth="1"/>
    <col min="17" max="17" width="30.1796875" customWidth="1"/>
    <col min="18" max="18" width="15.7265625" customWidth="1"/>
    <col min="19" max="19" width="14.81640625" customWidth="1"/>
    <col min="20" max="20" width="24.81640625" customWidth="1"/>
    <col min="22" max="22" width="33.7265625" customWidth="1"/>
    <col min="24" max="24" width="9.1796875" style="13"/>
    <col min="53" max="53" width="22.1796875" customWidth="1"/>
  </cols>
  <sheetData>
    <row r="1" spans="1:66" x14ac:dyDescent="0.35">
      <c r="A1" s="36" t="s">
        <v>134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</row>
    <row r="2" spans="1:66" x14ac:dyDescent="0.35">
      <c r="A2" s="36" t="s">
        <v>135</v>
      </c>
      <c r="B2" s="36" t="s">
        <v>136</v>
      </c>
      <c r="C2" s="36" t="s">
        <v>137</v>
      </c>
      <c r="D2" s="36" t="s">
        <v>138</v>
      </c>
      <c r="E2" s="36" t="s">
        <v>139</v>
      </c>
      <c r="F2" s="36" t="s">
        <v>140</v>
      </c>
      <c r="G2" s="36" t="s">
        <v>0</v>
      </c>
      <c r="H2" s="36" t="s">
        <v>141</v>
      </c>
      <c r="I2" s="36" t="s">
        <v>142</v>
      </c>
      <c r="J2" s="36" t="s">
        <v>143</v>
      </c>
      <c r="K2" s="36" t="s">
        <v>144</v>
      </c>
      <c r="L2" s="36" t="s">
        <v>2</v>
      </c>
      <c r="M2" s="36" t="s">
        <v>145</v>
      </c>
      <c r="N2" s="36" t="s">
        <v>146</v>
      </c>
      <c r="O2" s="36" t="s">
        <v>147</v>
      </c>
      <c r="P2" s="36" t="s">
        <v>148</v>
      </c>
      <c r="Q2" s="36" t="s">
        <v>5</v>
      </c>
      <c r="R2" s="36" t="s">
        <v>149</v>
      </c>
      <c r="S2" s="36" t="s">
        <v>7</v>
      </c>
      <c r="T2" s="36" t="s">
        <v>9</v>
      </c>
      <c r="U2" s="36" t="s">
        <v>12</v>
      </c>
      <c r="V2" s="36" t="s">
        <v>13</v>
      </c>
      <c r="W2" s="36" t="s">
        <v>150</v>
      </c>
      <c r="X2" s="36" t="s">
        <v>151</v>
      </c>
      <c r="Y2" s="36" t="s">
        <v>152</v>
      </c>
      <c r="Z2" s="36" t="s">
        <v>153</v>
      </c>
      <c r="AA2" s="36" t="s">
        <v>154</v>
      </c>
      <c r="AB2" s="36" t="s">
        <v>155</v>
      </c>
      <c r="AC2" s="36" t="s">
        <v>156</v>
      </c>
      <c r="AD2" s="36" t="s">
        <v>157</v>
      </c>
      <c r="AE2" s="36" t="s">
        <v>158</v>
      </c>
      <c r="AF2" s="36" t="s">
        <v>159</v>
      </c>
      <c r="AG2" s="36" t="s">
        <v>160</v>
      </c>
      <c r="AH2" s="36" t="s">
        <v>161</v>
      </c>
      <c r="AI2" s="36" t="s">
        <v>162</v>
      </c>
      <c r="AJ2" s="36" t="s">
        <v>163</v>
      </c>
      <c r="AK2" s="36" t="s">
        <v>164</v>
      </c>
      <c r="AL2" s="36" t="s">
        <v>3</v>
      </c>
      <c r="AM2" s="36" t="s">
        <v>165</v>
      </c>
      <c r="AN2" s="36" t="s">
        <v>166</v>
      </c>
      <c r="AO2" s="36" t="s">
        <v>167</v>
      </c>
      <c r="AP2" s="36" t="s">
        <v>168</v>
      </c>
      <c r="AQ2" s="36" t="s">
        <v>169</v>
      </c>
      <c r="AR2" s="36" t="s">
        <v>170</v>
      </c>
      <c r="AS2" s="36" t="s">
        <v>171</v>
      </c>
      <c r="AT2" s="36" t="s">
        <v>172</v>
      </c>
      <c r="AU2" s="36" t="s">
        <v>173</v>
      </c>
      <c r="AV2" s="36" t="s">
        <v>174</v>
      </c>
      <c r="AW2" s="36" t="s">
        <v>175</v>
      </c>
      <c r="AX2" s="36" t="s">
        <v>176</v>
      </c>
      <c r="AY2" s="36" t="s">
        <v>177</v>
      </c>
      <c r="AZ2" s="36" t="s">
        <v>178</v>
      </c>
      <c r="BA2" s="36" t="s">
        <v>6</v>
      </c>
      <c r="BB2" s="36" t="s">
        <v>179</v>
      </c>
      <c r="BC2" s="36" t="s">
        <v>180</v>
      </c>
      <c r="BD2" s="36" t="s">
        <v>181</v>
      </c>
      <c r="BE2" s="36" t="s">
        <v>182</v>
      </c>
      <c r="BF2" s="36" t="s">
        <v>183</v>
      </c>
      <c r="BG2" s="36" t="s">
        <v>184</v>
      </c>
      <c r="BH2" s="36" t="s">
        <v>185</v>
      </c>
      <c r="BI2" s="36" t="s">
        <v>186</v>
      </c>
      <c r="BJ2" s="36" t="s">
        <v>187</v>
      </c>
      <c r="BK2" s="36" t="s">
        <v>188</v>
      </c>
      <c r="BL2" s="36" t="s">
        <v>189</v>
      </c>
      <c r="BM2" s="36" t="s">
        <v>190</v>
      </c>
      <c r="BN2" s="36" t="s">
        <v>191</v>
      </c>
    </row>
    <row r="3" spans="1:66" x14ac:dyDescent="0.35">
      <c r="A3" s="36"/>
      <c r="B3" s="36"/>
      <c r="C3" s="37" t="s">
        <v>8</v>
      </c>
      <c r="D3" s="37" t="s">
        <v>8</v>
      </c>
      <c r="E3" s="36"/>
      <c r="F3" s="36" t="s">
        <v>192</v>
      </c>
      <c r="G3" s="36" t="s">
        <v>1</v>
      </c>
      <c r="H3" s="36">
        <v>0</v>
      </c>
      <c r="I3" s="36" t="s">
        <v>193</v>
      </c>
      <c r="J3" s="36" t="s">
        <v>194</v>
      </c>
      <c r="K3" s="36" t="s">
        <v>195</v>
      </c>
      <c r="L3" s="36">
        <v>923</v>
      </c>
      <c r="M3" s="36"/>
      <c r="N3" s="36" t="s">
        <v>196</v>
      </c>
      <c r="O3" s="36" t="s">
        <v>197</v>
      </c>
      <c r="P3" s="36">
        <v>2</v>
      </c>
      <c r="Q3" s="36" t="s">
        <v>198</v>
      </c>
      <c r="R3" s="37">
        <v>244566</v>
      </c>
      <c r="S3" s="37" t="s">
        <v>8</v>
      </c>
      <c r="T3" s="36" t="s">
        <v>199</v>
      </c>
      <c r="U3" s="36">
        <v>23057821</v>
      </c>
      <c r="V3" s="36" t="s">
        <v>22</v>
      </c>
      <c r="W3" s="36">
        <v>20</v>
      </c>
      <c r="X3" s="36">
        <v>20</v>
      </c>
      <c r="Y3" s="36">
        <v>20</v>
      </c>
      <c r="Z3" s="36">
        <v>20</v>
      </c>
      <c r="AA3" s="36">
        <v>0</v>
      </c>
      <c r="AB3" s="36">
        <v>0</v>
      </c>
      <c r="AC3" s="36">
        <v>0</v>
      </c>
      <c r="AD3" s="36">
        <v>0</v>
      </c>
      <c r="AE3" s="36">
        <v>20</v>
      </c>
      <c r="AF3" s="36">
        <v>20</v>
      </c>
      <c r="AG3" s="36"/>
      <c r="AH3" s="36"/>
      <c r="AI3" s="36" t="s">
        <v>200</v>
      </c>
      <c r="AJ3" s="36" t="s">
        <v>201</v>
      </c>
      <c r="AK3" s="36" t="s">
        <v>202</v>
      </c>
      <c r="AL3" s="36" t="s">
        <v>203</v>
      </c>
      <c r="AM3" s="36" t="s">
        <v>204</v>
      </c>
      <c r="AN3" s="36" t="s">
        <v>205</v>
      </c>
      <c r="AO3" s="36" t="s">
        <v>206</v>
      </c>
      <c r="AP3" s="36">
        <v>20</v>
      </c>
      <c r="AQ3" s="36">
        <v>1</v>
      </c>
      <c r="AR3" s="36"/>
      <c r="AS3" s="36"/>
      <c r="AT3" s="36" t="s">
        <v>207</v>
      </c>
      <c r="AU3" s="36" t="s">
        <v>208</v>
      </c>
      <c r="AV3" s="36" t="s">
        <v>209</v>
      </c>
      <c r="AW3" s="36" t="s">
        <v>209</v>
      </c>
      <c r="AX3" s="36" t="s">
        <v>210</v>
      </c>
      <c r="AY3" s="36">
        <v>0</v>
      </c>
      <c r="AZ3" s="36" t="s">
        <v>211</v>
      </c>
      <c r="BA3" s="36">
        <v>9044989472405</v>
      </c>
      <c r="BB3" s="36"/>
      <c r="BC3" s="36"/>
      <c r="BD3" s="36">
        <v>1</v>
      </c>
      <c r="BE3" s="36"/>
      <c r="BF3" s="36" t="s">
        <v>212</v>
      </c>
      <c r="BG3" s="36">
        <v>1333314600</v>
      </c>
      <c r="BH3" s="36" t="s">
        <v>213</v>
      </c>
      <c r="BI3" s="36">
        <v>20</v>
      </c>
      <c r="BJ3" s="36">
        <v>20</v>
      </c>
      <c r="BK3" s="36"/>
      <c r="BL3" s="36" t="s">
        <v>214</v>
      </c>
      <c r="BM3" s="36"/>
      <c r="BN3" s="36"/>
    </row>
    <row r="4" spans="1:66" x14ac:dyDescent="0.35">
      <c r="A4" s="36"/>
      <c r="B4" s="36"/>
      <c r="C4" s="37" t="s">
        <v>8</v>
      </c>
      <c r="D4" s="37" t="s">
        <v>8</v>
      </c>
      <c r="E4" s="36"/>
      <c r="F4" s="36" t="s">
        <v>192</v>
      </c>
      <c r="G4" s="36" t="s">
        <v>1</v>
      </c>
      <c r="H4" s="36">
        <v>0</v>
      </c>
      <c r="I4" s="36" t="s">
        <v>193</v>
      </c>
      <c r="J4" s="36" t="s">
        <v>194</v>
      </c>
      <c r="K4" s="36" t="s">
        <v>195</v>
      </c>
      <c r="L4" s="36">
        <v>923</v>
      </c>
      <c r="M4" s="36"/>
      <c r="N4" s="36" t="s">
        <v>196</v>
      </c>
      <c r="O4" s="36" t="s">
        <v>197</v>
      </c>
      <c r="P4" s="36">
        <v>2</v>
      </c>
      <c r="Q4" s="36" t="s">
        <v>198</v>
      </c>
      <c r="R4" s="37">
        <v>244566</v>
      </c>
      <c r="S4" s="37" t="s">
        <v>8</v>
      </c>
      <c r="T4" s="36" t="s">
        <v>199</v>
      </c>
      <c r="U4" s="36">
        <v>23057812</v>
      </c>
      <c r="V4" s="36" t="s">
        <v>19</v>
      </c>
      <c r="W4" s="36">
        <v>130</v>
      </c>
      <c r="X4" s="36">
        <v>130</v>
      </c>
      <c r="Y4" s="36">
        <v>130</v>
      </c>
      <c r="Z4" s="36">
        <v>130</v>
      </c>
      <c r="AA4" s="36">
        <v>0</v>
      </c>
      <c r="AB4" s="36">
        <v>0</v>
      </c>
      <c r="AC4" s="36">
        <v>0</v>
      </c>
      <c r="AD4" s="36">
        <v>0</v>
      </c>
      <c r="AE4" s="36">
        <v>130</v>
      </c>
      <c r="AF4" s="36">
        <v>130</v>
      </c>
      <c r="AG4" s="36"/>
      <c r="AH4" s="36"/>
      <c r="AI4" s="36" t="s">
        <v>200</v>
      </c>
      <c r="AJ4" s="36" t="s">
        <v>201</v>
      </c>
      <c r="AK4" s="36" t="s">
        <v>202</v>
      </c>
      <c r="AL4" s="36" t="s">
        <v>203</v>
      </c>
      <c r="AM4" s="36" t="s">
        <v>204</v>
      </c>
      <c r="AN4" s="36" t="s">
        <v>205</v>
      </c>
      <c r="AO4" s="36" t="s">
        <v>206</v>
      </c>
      <c r="AP4" s="36">
        <v>20</v>
      </c>
      <c r="AQ4" s="36">
        <v>1</v>
      </c>
      <c r="AR4" s="36"/>
      <c r="AS4" s="36"/>
      <c r="AT4" s="36" t="s">
        <v>207</v>
      </c>
      <c r="AU4" s="36" t="s">
        <v>208</v>
      </c>
      <c r="AV4" s="36" t="s">
        <v>209</v>
      </c>
      <c r="AW4" s="36" t="s">
        <v>209</v>
      </c>
      <c r="AX4" s="36" t="s">
        <v>210</v>
      </c>
      <c r="AY4" s="36">
        <v>0</v>
      </c>
      <c r="AZ4" s="36" t="s">
        <v>211</v>
      </c>
      <c r="BA4" s="36">
        <v>9044989472405</v>
      </c>
      <c r="BB4" s="36"/>
      <c r="BC4" s="36"/>
      <c r="BD4" s="36">
        <v>1</v>
      </c>
      <c r="BE4" s="36"/>
      <c r="BF4" s="36" t="s">
        <v>212</v>
      </c>
      <c r="BG4" s="36">
        <v>1333314600</v>
      </c>
      <c r="BH4" s="36" t="s">
        <v>213</v>
      </c>
      <c r="BI4" s="36">
        <v>130</v>
      </c>
      <c r="BJ4" s="36">
        <v>130</v>
      </c>
      <c r="BK4" s="36"/>
      <c r="BL4" s="36" t="s">
        <v>214</v>
      </c>
      <c r="BM4" s="36"/>
      <c r="BN4" s="36"/>
    </row>
    <row r="5" spans="1:66" x14ac:dyDescent="0.35">
      <c r="A5" s="36"/>
      <c r="B5" s="36"/>
      <c r="C5" s="37" t="s">
        <v>8</v>
      </c>
      <c r="D5" s="37" t="s">
        <v>8</v>
      </c>
      <c r="E5" s="36"/>
      <c r="F5" s="36" t="s">
        <v>192</v>
      </c>
      <c r="G5" s="36" t="s">
        <v>1</v>
      </c>
      <c r="H5" s="36">
        <v>0</v>
      </c>
      <c r="I5" s="36" t="s">
        <v>193</v>
      </c>
      <c r="J5" s="36" t="s">
        <v>194</v>
      </c>
      <c r="K5" s="36" t="s">
        <v>195</v>
      </c>
      <c r="L5" s="36">
        <v>923</v>
      </c>
      <c r="M5" s="36"/>
      <c r="N5" s="36" t="s">
        <v>196</v>
      </c>
      <c r="O5" s="36" t="s">
        <v>197</v>
      </c>
      <c r="P5" s="36">
        <v>2</v>
      </c>
      <c r="Q5" s="36" t="s">
        <v>198</v>
      </c>
      <c r="R5" s="37">
        <v>244566</v>
      </c>
      <c r="S5" s="37" t="s">
        <v>8</v>
      </c>
      <c r="T5" s="36" t="s">
        <v>199</v>
      </c>
      <c r="U5" s="36">
        <v>23065143</v>
      </c>
      <c r="V5" s="36" t="s">
        <v>43</v>
      </c>
      <c r="W5" s="36">
        <v>90</v>
      </c>
      <c r="X5" s="36">
        <v>90</v>
      </c>
      <c r="Y5" s="36">
        <v>90</v>
      </c>
      <c r="Z5" s="36">
        <v>90</v>
      </c>
      <c r="AA5" s="36">
        <v>0</v>
      </c>
      <c r="AB5" s="36">
        <v>0</v>
      </c>
      <c r="AC5" s="36">
        <v>0</v>
      </c>
      <c r="AD5" s="36">
        <v>0</v>
      </c>
      <c r="AE5" s="36">
        <v>90</v>
      </c>
      <c r="AF5" s="36">
        <v>90</v>
      </c>
      <c r="AG5" s="36"/>
      <c r="AH5" s="36"/>
      <c r="AI5" s="36" t="s">
        <v>200</v>
      </c>
      <c r="AJ5" s="36" t="s">
        <v>201</v>
      </c>
      <c r="AK5" s="36" t="s">
        <v>202</v>
      </c>
      <c r="AL5" s="36" t="s">
        <v>203</v>
      </c>
      <c r="AM5" s="36" t="s">
        <v>204</v>
      </c>
      <c r="AN5" s="36" t="s">
        <v>205</v>
      </c>
      <c r="AO5" s="36" t="s">
        <v>206</v>
      </c>
      <c r="AP5" s="36">
        <v>20</v>
      </c>
      <c r="AQ5" s="36">
        <v>1</v>
      </c>
      <c r="AR5" s="36"/>
      <c r="AS5" s="36"/>
      <c r="AT5" s="36" t="s">
        <v>207</v>
      </c>
      <c r="AU5" s="36" t="s">
        <v>208</v>
      </c>
      <c r="AV5" s="36" t="s">
        <v>209</v>
      </c>
      <c r="AW5" s="36" t="s">
        <v>209</v>
      </c>
      <c r="AX5" s="36" t="s">
        <v>210</v>
      </c>
      <c r="AY5" s="36">
        <v>0</v>
      </c>
      <c r="AZ5" s="36" t="s">
        <v>211</v>
      </c>
      <c r="BA5" s="36">
        <v>9044989472405</v>
      </c>
      <c r="BB5" s="36"/>
      <c r="BC5" s="36"/>
      <c r="BD5" s="36">
        <v>1</v>
      </c>
      <c r="BE5" s="36"/>
      <c r="BF5" s="36" t="s">
        <v>212</v>
      </c>
      <c r="BG5" s="36">
        <v>1333314600</v>
      </c>
      <c r="BH5" s="36" t="s">
        <v>213</v>
      </c>
      <c r="BI5" s="36">
        <v>90</v>
      </c>
      <c r="BJ5" s="36">
        <v>90</v>
      </c>
      <c r="BK5" s="36"/>
      <c r="BL5" s="36" t="s">
        <v>214</v>
      </c>
      <c r="BM5" s="36"/>
      <c r="BN5" s="36"/>
    </row>
    <row r="6" spans="1:66" x14ac:dyDescent="0.35">
      <c r="A6" s="36"/>
      <c r="B6" s="36"/>
      <c r="C6" s="37" t="s">
        <v>8</v>
      </c>
      <c r="D6" s="37" t="s">
        <v>8</v>
      </c>
      <c r="E6" s="36"/>
      <c r="F6" s="36" t="s">
        <v>192</v>
      </c>
      <c r="G6" s="36" t="s">
        <v>1</v>
      </c>
      <c r="H6" s="36">
        <v>0</v>
      </c>
      <c r="I6" s="36" t="s">
        <v>193</v>
      </c>
      <c r="J6" s="36" t="s">
        <v>194</v>
      </c>
      <c r="K6" s="36" t="s">
        <v>195</v>
      </c>
      <c r="L6" s="36">
        <v>923</v>
      </c>
      <c r="M6" s="36"/>
      <c r="N6" s="36" t="s">
        <v>196</v>
      </c>
      <c r="O6" s="36" t="s">
        <v>197</v>
      </c>
      <c r="P6" s="36">
        <v>2</v>
      </c>
      <c r="Q6" s="36" t="s">
        <v>198</v>
      </c>
      <c r="R6" s="37">
        <v>244566</v>
      </c>
      <c r="S6" s="37" t="s">
        <v>8</v>
      </c>
      <c r="T6" s="36" t="s">
        <v>199</v>
      </c>
      <c r="U6" s="36">
        <v>23109326</v>
      </c>
      <c r="V6" s="36" t="s">
        <v>78</v>
      </c>
      <c r="W6" s="36">
        <v>80</v>
      </c>
      <c r="X6" s="36">
        <v>80</v>
      </c>
      <c r="Y6" s="36">
        <v>80</v>
      </c>
      <c r="Z6" s="36">
        <v>80</v>
      </c>
      <c r="AA6" s="36">
        <v>0</v>
      </c>
      <c r="AB6" s="36">
        <v>0</v>
      </c>
      <c r="AC6" s="36">
        <v>0</v>
      </c>
      <c r="AD6" s="36">
        <v>0</v>
      </c>
      <c r="AE6" s="36">
        <v>80</v>
      </c>
      <c r="AF6" s="36">
        <v>80</v>
      </c>
      <c r="AG6" s="36"/>
      <c r="AH6" s="36"/>
      <c r="AI6" s="36" t="s">
        <v>200</v>
      </c>
      <c r="AJ6" s="36" t="s">
        <v>201</v>
      </c>
      <c r="AK6" s="36" t="s">
        <v>215</v>
      </c>
      <c r="AL6" s="36" t="s">
        <v>203</v>
      </c>
      <c r="AM6" s="36" t="s">
        <v>204</v>
      </c>
      <c r="AN6" s="36" t="s">
        <v>205</v>
      </c>
      <c r="AO6" s="36" t="s">
        <v>206</v>
      </c>
      <c r="AP6" s="36">
        <v>20</v>
      </c>
      <c r="AQ6" s="36">
        <v>1</v>
      </c>
      <c r="AR6" s="36"/>
      <c r="AS6" s="36"/>
      <c r="AT6" s="36" t="s">
        <v>207</v>
      </c>
      <c r="AU6" s="36" t="s">
        <v>208</v>
      </c>
      <c r="AV6" s="36" t="s">
        <v>209</v>
      </c>
      <c r="AW6" s="36" t="s">
        <v>209</v>
      </c>
      <c r="AX6" s="36" t="s">
        <v>210</v>
      </c>
      <c r="AY6" s="36">
        <v>0</v>
      </c>
      <c r="AZ6" s="36" t="s">
        <v>211</v>
      </c>
      <c r="BA6" s="36">
        <v>9044989472405</v>
      </c>
      <c r="BB6" s="36"/>
      <c r="BC6" s="36"/>
      <c r="BD6" s="36">
        <v>1</v>
      </c>
      <c r="BE6" s="36"/>
      <c r="BF6" s="36" t="s">
        <v>212</v>
      </c>
      <c r="BG6" s="36">
        <v>1333314600</v>
      </c>
      <c r="BH6" s="36" t="s">
        <v>213</v>
      </c>
      <c r="BI6" s="36">
        <v>80</v>
      </c>
      <c r="BJ6" s="36">
        <v>80</v>
      </c>
      <c r="BK6" s="36"/>
      <c r="BL6" s="36" t="s">
        <v>214</v>
      </c>
      <c r="BM6" s="36"/>
      <c r="BN6" s="36"/>
    </row>
    <row r="7" spans="1:66" x14ac:dyDescent="0.35">
      <c r="A7" s="36"/>
      <c r="B7" s="36"/>
      <c r="C7" s="37" t="s">
        <v>8</v>
      </c>
      <c r="D7" s="37" t="s">
        <v>8</v>
      </c>
      <c r="E7" s="36"/>
      <c r="F7" s="36" t="s">
        <v>192</v>
      </c>
      <c r="G7" s="36" t="s">
        <v>1</v>
      </c>
      <c r="H7" s="36">
        <v>0</v>
      </c>
      <c r="I7" s="36" t="s">
        <v>193</v>
      </c>
      <c r="J7" s="36" t="s">
        <v>194</v>
      </c>
      <c r="K7" s="36" t="s">
        <v>195</v>
      </c>
      <c r="L7" s="36">
        <v>923</v>
      </c>
      <c r="M7" s="36"/>
      <c r="N7" s="36" t="s">
        <v>196</v>
      </c>
      <c r="O7" s="36" t="s">
        <v>197</v>
      </c>
      <c r="P7" s="36">
        <v>2</v>
      </c>
      <c r="Q7" s="36" t="s">
        <v>198</v>
      </c>
      <c r="R7" s="37">
        <v>244566</v>
      </c>
      <c r="S7" s="37" t="s">
        <v>8</v>
      </c>
      <c r="T7" s="36" t="s">
        <v>199</v>
      </c>
      <c r="U7" s="36">
        <v>23062101</v>
      </c>
      <c r="V7" s="36" t="s">
        <v>109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/>
      <c r="AH7" s="36"/>
      <c r="AI7" s="36" t="s">
        <v>200</v>
      </c>
      <c r="AJ7" s="36" t="s">
        <v>201</v>
      </c>
      <c r="AK7" s="36" t="s">
        <v>215</v>
      </c>
      <c r="AL7" s="36" t="s">
        <v>203</v>
      </c>
      <c r="AM7" s="36" t="s">
        <v>204</v>
      </c>
      <c r="AN7" s="36" t="s">
        <v>205</v>
      </c>
      <c r="AO7" s="36" t="s">
        <v>206</v>
      </c>
      <c r="AP7" s="36">
        <v>20</v>
      </c>
      <c r="AQ7" s="36">
        <v>1</v>
      </c>
      <c r="AR7" s="36"/>
      <c r="AS7" s="36"/>
      <c r="AT7" s="36" t="s">
        <v>207</v>
      </c>
      <c r="AU7" s="36" t="s">
        <v>208</v>
      </c>
      <c r="AV7" s="36" t="s">
        <v>209</v>
      </c>
      <c r="AW7" s="36" t="s">
        <v>209</v>
      </c>
      <c r="AX7" s="36" t="s">
        <v>210</v>
      </c>
      <c r="AY7" s="36">
        <v>0</v>
      </c>
      <c r="AZ7" s="36" t="s">
        <v>211</v>
      </c>
      <c r="BA7" s="36">
        <v>9044989472405</v>
      </c>
      <c r="BB7" s="36"/>
      <c r="BC7" s="36"/>
      <c r="BD7" s="36">
        <v>1</v>
      </c>
      <c r="BE7" s="36"/>
      <c r="BF7" s="36" t="s">
        <v>212</v>
      </c>
      <c r="BG7" s="36">
        <v>1333314600</v>
      </c>
      <c r="BH7" s="36" t="s">
        <v>213</v>
      </c>
      <c r="BI7" s="36">
        <v>0</v>
      </c>
      <c r="BJ7" s="36">
        <v>0</v>
      </c>
      <c r="BK7" s="36"/>
      <c r="BL7" s="36" t="s">
        <v>214</v>
      </c>
      <c r="BM7" s="36"/>
      <c r="BN7" s="36"/>
    </row>
    <row r="8" spans="1:66" x14ac:dyDescent="0.35">
      <c r="A8" s="36"/>
      <c r="B8" s="36"/>
      <c r="C8" s="37" t="s">
        <v>8</v>
      </c>
      <c r="D8" s="37" t="s">
        <v>8</v>
      </c>
      <c r="E8" s="36"/>
      <c r="F8" s="36" t="s">
        <v>192</v>
      </c>
      <c r="G8" s="36" t="s">
        <v>1</v>
      </c>
      <c r="H8" s="36">
        <v>0</v>
      </c>
      <c r="I8" s="36" t="s">
        <v>193</v>
      </c>
      <c r="J8" s="36" t="s">
        <v>194</v>
      </c>
      <c r="K8" s="36" t="s">
        <v>195</v>
      </c>
      <c r="L8" s="36">
        <v>923</v>
      </c>
      <c r="M8" s="36"/>
      <c r="N8" s="36" t="s">
        <v>196</v>
      </c>
      <c r="O8" s="36" t="s">
        <v>197</v>
      </c>
      <c r="P8" s="36">
        <v>2</v>
      </c>
      <c r="Q8" s="36" t="s">
        <v>198</v>
      </c>
      <c r="R8" s="37">
        <v>244566</v>
      </c>
      <c r="S8" s="37" t="s">
        <v>8</v>
      </c>
      <c r="T8" s="36" t="s">
        <v>199</v>
      </c>
      <c r="U8" s="36">
        <v>23058556</v>
      </c>
      <c r="V8" s="36" t="s">
        <v>112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/>
      <c r="AH8" s="36"/>
      <c r="AI8" s="36" t="s">
        <v>200</v>
      </c>
      <c r="AJ8" s="36" t="s">
        <v>201</v>
      </c>
      <c r="AK8" s="36" t="s">
        <v>215</v>
      </c>
      <c r="AL8" s="36" t="s">
        <v>203</v>
      </c>
      <c r="AM8" s="36" t="s">
        <v>204</v>
      </c>
      <c r="AN8" s="36" t="s">
        <v>205</v>
      </c>
      <c r="AO8" s="36" t="s">
        <v>206</v>
      </c>
      <c r="AP8" s="36">
        <v>20</v>
      </c>
      <c r="AQ8" s="36">
        <v>1</v>
      </c>
      <c r="AR8" s="36"/>
      <c r="AS8" s="36"/>
      <c r="AT8" s="36" t="s">
        <v>207</v>
      </c>
      <c r="AU8" s="36" t="s">
        <v>208</v>
      </c>
      <c r="AV8" s="36" t="s">
        <v>209</v>
      </c>
      <c r="AW8" s="36" t="s">
        <v>209</v>
      </c>
      <c r="AX8" s="36" t="s">
        <v>210</v>
      </c>
      <c r="AY8" s="36">
        <v>0</v>
      </c>
      <c r="AZ8" s="36" t="s">
        <v>211</v>
      </c>
      <c r="BA8" s="36">
        <v>9044989472405</v>
      </c>
      <c r="BB8" s="36"/>
      <c r="BC8" s="36"/>
      <c r="BD8" s="36">
        <v>1</v>
      </c>
      <c r="BE8" s="36"/>
      <c r="BF8" s="36" t="s">
        <v>212</v>
      </c>
      <c r="BG8" s="36">
        <v>1333314600</v>
      </c>
      <c r="BH8" s="36" t="s">
        <v>213</v>
      </c>
      <c r="BI8" s="36">
        <v>0</v>
      </c>
      <c r="BJ8" s="36">
        <v>0</v>
      </c>
      <c r="BK8" s="36"/>
      <c r="BL8" s="36" t="s">
        <v>214</v>
      </c>
      <c r="BM8" s="36"/>
      <c r="BN8" s="36"/>
    </row>
    <row r="9" spans="1:66" x14ac:dyDescent="0.35">
      <c r="A9" s="36"/>
      <c r="B9" s="36"/>
      <c r="C9" s="37" t="s">
        <v>8</v>
      </c>
      <c r="D9" s="37" t="s">
        <v>8</v>
      </c>
      <c r="E9" s="36"/>
      <c r="F9" s="36" t="s">
        <v>192</v>
      </c>
      <c r="G9" s="36" t="s">
        <v>1</v>
      </c>
      <c r="H9" s="36">
        <v>0</v>
      </c>
      <c r="I9" s="36" t="s">
        <v>193</v>
      </c>
      <c r="J9" s="36" t="s">
        <v>194</v>
      </c>
      <c r="K9" s="36" t="s">
        <v>195</v>
      </c>
      <c r="L9" s="36">
        <v>923</v>
      </c>
      <c r="M9" s="36"/>
      <c r="N9" s="36" t="s">
        <v>196</v>
      </c>
      <c r="O9" s="36" t="s">
        <v>197</v>
      </c>
      <c r="P9" s="36">
        <v>2</v>
      </c>
      <c r="Q9" s="36" t="s">
        <v>198</v>
      </c>
      <c r="R9" s="37">
        <v>244566</v>
      </c>
      <c r="S9" s="37" t="s">
        <v>8</v>
      </c>
      <c r="T9" s="36" t="s">
        <v>199</v>
      </c>
      <c r="U9" s="36">
        <v>23073188</v>
      </c>
      <c r="V9" s="36" t="s">
        <v>50</v>
      </c>
      <c r="W9" s="36">
        <v>10</v>
      </c>
      <c r="X9" s="36">
        <v>10</v>
      </c>
      <c r="Y9" s="36">
        <v>10</v>
      </c>
      <c r="Z9" s="36">
        <v>10</v>
      </c>
      <c r="AA9" s="36">
        <v>0</v>
      </c>
      <c r="AB9" s="36">
        <v>0</v>
      </c>
      <c r="AC9" s="36">
        <v>0</v>
      </c>
      <c r="AD9" s="36">
        <v>0</v>
      </c>
      <c r="AE9" s="36">
        <v>10</v>
      </c>
      <c r="AF9" s="36">
        <v>10</v>
      </c>
      <c r="AG9" s="36"/>
      <c r="AH9" s="36"/>
      <c r="AI9" s="36" t="s">
        <v>200</v>
      </c>
      <c r="AJ9" s="36" t="s">
        <v>201</v>
      </c>
      <c r="AK9" s="36" t="s">
        <v>215</v>
      </c>
      <c r="AL9" s="36" t="s">
        <v>203</v>
      </c>
      <c r="AM9" s="36" t="s">
        <v>204</v>
      </c>
      <c r="AN9" s="36" t="s">
        <v>205</v>
      </c>
      <c r="AO9" s="36" t="s">
        <v>206</v>
      </c>
      <c r="AP9" s="36">
        <v>20</v>
      </c>
      <c r="AQ9" s="36">
        <v>1</v>
      </c>
      <c r="AR9" s="36"/>
      <c r="AS9" s="36"/>
      <c r="AT9" s="36" t="s">
        <v>207</v>
      </c>
      <c r="AU9" s="36" t="s">
        <v>208</v>
      </c>
      <c r="AV9" s="36" t="s">
        <v>209</v>
      </c>
      <c r="AW9" s="36" t="s">
        <v>209</v>
      </c>
      <c r="AX9" s="36" t="s">
        <v>210</v>
      </c>
      <c r="AY9" s="36">
        <v>0</v>
      </c>
      <c r="AZ9" s="36" t="s">
        <v>211</v>
      </c>
      <c r="BA9" s="36">
        <v>9044989472405</v>
      </c>
      <c r="BB9" s="36"/>
      <c r="BC9" s="36"/>
      <c r="BD9" s="36">
        <v>1</v>
      </c>
      <c r="BE9" s="36"/>
      <c r="BF9" s="36" t="s">
        <v>212</v>
      </c>
      <c r="BG9" s="36">
        <v>1333314600</v>
      </c>
      <c r="BH9" s="36" t="s">
        <v>213</v>
      </c>
      <c r="BI9" s="36">
        <v>10</v>
      </c>
      <c r="BJ9" s="36">
        <v>10</v>
      </c>
      <c r="BK9" s="36"/>
      <c r="BL9" s="36" t="s">
        <v>214</v>
      </c>
      <c r="BM9" s="36"/>
      <c r="BN9" s="36"/>
    </row>
    <row r="10" spans="1:66" x14ac:dyDescent="0.35">
      <c r="A10" s="36"/>
      <c r="B10" s="36"/>
      <c r="C10" s="37" t="s">
        <v>8</v>
      </c>
      <c r="D10" s="37" t="s">
        <v>8</v>
      </c>
      <c r="E10" s="36"/>
      <c r="F10" s="36" t="s">
        <v>192</v>
      </c>
      <c r="G10" s="36" t="s">
        <v>1</v>
      </c>
      <c r="H10" s="36">
        <v>0</v>
      </c>
      <c r="I10" s="36" t="s">
        <v>193</v>
      </c>
      <c r="J10" s="36" t="s">
        <v>194</v>
      </c>
      <c r="K10" s="36" t="s">
        <v>195</v>
      </c>
      <c r="L10" s="36">
        <v>923</v>
      </c>
      <c r="M10" s="36"/>
      <c r="N10" s="36" t="s">
        <v>196</v>
      </c>
      <c r="O10" s="36" t="s">
        <v>197</v>
      </c>
      <c r="P10" s="36">
        <v>2</v>
      </c>
      <c r="Q10" s="36" t="s">
        <v>198</v>
      </c>
      <c r="R10" s="37">
        <v>244566</v>
      </c>
      <c r="S10" s="37" t="s">
        <v>8</v>
      </c>
      <c r="T10" s="36" t="s">
        <v>199</v>
      </c>
      <c r="U10" s="36">
        <v>23088036</v>
      </c>
      <c r="V10" s="36" t="s">
        <v>55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/>
      <c r="AH10" s="36"/>
      <c r="AI10" s="36" t="s">
        <v>200</v>
      </c>
      <c r="AJ10" s="36" t="s">
        <v>201</v>
      </c>
      <c r="AK10" s="36" t="s">
        <v>202</v>
      </c>
      <c r="AL10" s="36" t="s">
        <v>203</v>
      </c>
      <c r="AM10" s="36" t="s">
        <v>204</v>
      </c>
      <c r="AN10" s="36" t="s">
        <v>205</v>
      </c>
      <c r="AO10" s="36" t="s">
        <v>206</v>
      </c>
      <c r="AP10" s="36">
        <v>20</v>
      </c>
      <c r="AQ10" s="36">
        <v>1</v>
      </c>
      <c r="AR10" s="36"/>
      <c r="AS10" s="36"/>
      <c r="AT10" s="36" t="s">
        <v>207</v>
      </c>
      <c r="AU10" s="36" t="s">
        <v>208</v>
      </c>
      <c r="AV10" s="36" t="s">
        <v>209</v>
      </c>
      <c r="AW10" s="36" t="s">
        <v>209</v>
      </c>
      <c r="AX10" s="36" t="s">
        <v>210</v>
      </c>
      <c r="AY10" s="36">
        <v>0</v>
      </c>
      <c r="AZ10" s="36" t="s">
        <v>211</v>
      </c>
      <c r="BA10" s="36">
        <v>9044989472405</v>
      </c>
      <c r="BB10" s="36"/>
      <c r="BC10" s="36"/>
      <c r="BD10" s="36">
        <v>1</v>
      </c>
      <c r="BE10" s="36"/>
      <c r="BF10" s="36" t="s">
        <v>212</v>
      </c>
      <c r="BG10" s="36">
        <v>1333314600</v>
      </c>
      <c r="BH10" s="36" t="s">
        <v>213</v>
      </c>
      <c r="BI10" s="36">
        <v>0</v>
      </c>
      <c r="BJ10" s="36">
        <v>0</v>
      </c>
      <c r="BK10" s="36"/>
      <c r="BL10" s="36" t="s">
        <v>214</v>
      </c>
      <c r="BM10" s="36"/>
      <c r="BN10" s="36"/>
    </row>
    <row r="11" spans="1:66" x14ac:dyDescent="0.35">
      <c r="A11" s="36"/>
      <c r="B11" s="36"/>
      <c r="C11" s="37" t="s">
        <v>8</v>
      </c>
      <c r="D11" s="37" t="s">
        <v>8</v>
      </c>
      <c r="E11" s="36"/>
      <c r="F11" s="36" t="s">
        <v>192</v>
      </c>
      <c r="G11" s="36" t="s">
        <v>1</v>
      </c>
      <c r="H11" s="36">
        <v>0</v>
      </c>
      <c r="I11" s="36" t="s">
        <v>193</v>
      </c>
      <c r="J11" s="36" t="s">
        <v>194</v>
      </c>
      <c r="K11" s="36" t="s">
        <v>195</v>
      </c>
      <c r="L11" s="36">
        <v>923</v>
      </c>
      <c r="M11" s="36"/>
      <c r="N11" s="36" t="s">
        <v>196</v>
      </c>
      <c r="O11" s="36" t="s">
        <v>197</v>
      </c>
      <c r="P11" s="36">
        <v>2</v>
      </c>
      <c r="Q11" s="36" t="s">
        <v>198</v>
      </c>
      <c r="R11" s="37">
        <v>244566</v>
      </c>
      <c r="S11" s="37" t="s">
        <v>8</v>
      </c>
      <c r="T11" s="36" t="s">
        <v>199</v>
      </c>
      <c r="U11" s="36">
        <v>23098991</v>
      </c>
      <c r="V11" s="36" t="s">
        <v>127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/>
      <c r="AH11" s="36"/>
      <c r="AI11" s="36" t="s">
        <v>200</v>
      </c>
      <c r="AJ11" s="36" t="s">
        <v>201</v>
      </c>
      <c r="AK11" s="36" t="s">
        <v>202</v>
      </c>
      <c r="AL11" s="36" t="s">
        <v>203</v>
      </c>
      <c r="AM11" s="36" t="s">
        <v>204</v>
      </c>
      <c r="AN11" s="36" t="s">
        <v>205</v>
      </c>
      <c r="AO11" s="36" t="s">
        <v>206</v>
      </c>
      <c r="AP11" s="36">
        <v>20</v>
      </c>
      <c r="AQ11" s="36">
        <v>1</v>
      </c>
      <c r="AR11" s="36"/>
      <c r="AS11" s="36"/>
      <c r="AT11" s="36" t="s">
        <v>207</v>
      </c>
      <c r="AU11" s="36" t="s">
        <v>208</v>
      </c>
      <c r="AV11" s="36" t="s">
        <v>209</v>
      </c>
      <c r="AW11" s="36" t="s">
        <v>209</v>
      </c>
      <c r="AX11" s="36" t="s">
        <v>210</v>
      </c>
      <c r="AY11" s="36">
        <v>0</v>
      </c>
      <c r="AZ11" s="36" t="s">
        <v>211</v>
      </c>
      <c r="BA11" s="36">
        <v>9044989472405</v>
      </c>
      <c r="BB11" s="36"/>
      <c r="BC11" s="36"/>
      <c r="BD11" s="36">
        <v>1</v>
      </c>
      <c r="BE11" s="36"/>
      <c r="BF11" s="36" t="s">
        <v>212</v>
      </c>
      <c r="BG11" s="36">
        <v>1333314600</v>
      </c>
      <c r="BH11" s="36" t="s">
        <v>213</v>
      </c>
      <c r="BI11" s="36">
        <v>0</v>
      </c>
      <c r="BJ11" s="36">
        <v>0</v>
      </c>
      <c r="BK11" s="36"/>
      <c r="BL11" s="36" t="s">
        <v>214</v>
      </c>
      <c r="BM11" s="36"/>
      <c r="BN11" s="36"/>
    </row>
    <row r="12" spans="1:66" x14ac:dyDescent="0.35">
      <c r="A12" s="36"/>
      <c r="B12" s="36"/>
      <c r="C12" s="37" t="s">
        <v>8</v>
      </c>
      <c r="D12" s="37" t="s">
        <v>8</v>
      </c>
      <c r="E12" s="36"/>
      <c r="F12" s="36" t="s">
        <v>192</v>
      </c>
      <c r="G12" s="36" t="s">
        <v>1</v>
      </c>
      <c r="H12" s="36">
        <v>0</v>
      </c>
      <c r="I12" s="36" t="s">
        <v>193</v>
      </c>
      <c r="J12" s="36" t="s">
        <v>194</v>
      </c>
      <c r="K12" s="36" t="s">
        <v>195</v>
      </c>
      <c r="L12" s="36">
        <v>923</v>
      </c>
      <c r="M12" s="36"/>
      <c r="N12" s="36" t="s">
        <v>196</v>
      </c>
      <c r="O12" s="36" t="s">
        <v>197</v>
      </c>
      <c r="P12" s="36">
        <v>2</v>
      </c>
      <c r="Q12" s="36" t="s">
        <v>198</v>
      </c>
      <c r="R12" s="37">
        <v>244566</v>
      </c>
      <c r="S12" s="37" t="s">
        <v>8</v>
      </c>
      <c r="T12" s="36" t="s">
        <v>199</v>
      </c>
      <c r="U12" s="36">
        <v>23062105</v>
      </c>
      <c r="V12" s="36" t="s">
        <v>37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/>
      <c r="AH12" s="36"/>
      <c r="AI12" s="36" t="s">
        <v>200</v>
      </c>
      <c r="AJ12" s="36" t="s">
        <v>201</v>
      </c>
      <c r="AK12" s="36" t="s">
        <v>215</v>
      </c>
      <c r="AL12" s="36" t="s">
        <v>203</v>
      </c>
      <c r="AM12" s="36" t="s">
        <v>204</v>
      </c>
      <c r="AN12" s="36" t="s">
        <v>205</v>
      </c>
      <c r="AO12" s="36" t="s">
        <v>206</v>
      </c>
      <c r="AP12" s="36">
        <v>20</v>
      </c>
      <c r="AQ12" s="36">
        <v>1</v>
      </c>
      <c r="AR12" s="36"/>
      <c r="AS12" s="36"/>
      <c r="AT12" s="36" t="s">
        <v>207</v>
      </c>
      <c r="AU12" s="36" t="s">
        <v>208</v>
      </c>
      <c r="AV12" s="36" t="s">
        <v>209</v>
      </c>
      <c r="AW12" s="36" t="s">
        <v>209</v>
      </c>
      <c r="AX12" s="36" t="s">
        <v>210</v>
      </c>
      <c r="AY12" s="36">
        <v>0</v>
      </c>
      <c r="AZ12" s="36" t="s">
        <v>211</v>
      </c>
      <c r="BA12" s="36">
        <v>9044989472405</v>
      </c>
      <c r="BB12" s="36"/>
      <c r="BC12" s="36"/>
      <c r="BD12" s="36">
        <v>1</v>
      </c>
      <c r="BE12" s="36"/>
      <c r="BF12" s="36" t="s">
        <v>212</v>
      </c>
      <c r="BG12" s="36">
        <v>1333314600</v>
      </c>
      <c r="BH12" s="36" t="s">
        <v>213</v>
      </c>
      <c r="BI12" s="36">
        <v>0</v>
      </c>
      <c r="BJ12" s="36">
        <v>0</v>
      </c>
      <c r="BK12" s="36"/>
      <c r="BL12" s="36" t="s">
        <v>214</v>
      </c>
      <c r="BM12" s="36"/>
      <c r="BN12" s="36"/>
    </row>
    <row r="13" spans="1:66" x14ac:dyDescent="0.35">
      <c r="A13" s="36"/>
      <c r="B13" s="36"/>
      <c r="C13" s="37" t="s">
        <v>8</v>
      </c>
      <c r="D13" s="37" t="s">
        <v>8</v>
      </c>
      <c r="E13" s="36"/>
      <c r="F13" s="36" t="s">
        <v>192</v>
      </c>
      <c r="G13" s="36" t="s">
        <v>1</v>
      </c>
      <c r="H13" s="36">
        <v>0</v>
      </c>
      <c r="I13" s="36" t="s">
        <v>193</v>
      </c>
      <c r="J13" s="36" t="s">
        <v>194</v>
      </c>
      <c r="K13" s="36" t="s">
        <v>195</v>
      </c>
      <c r="L13" s="36">
        <v>923</v>
      </c>
      <c r="M13" s="36"/>
      <c r="N13" s="36" t="s">
        <v>196</v>
      </c>
      <c r="O13" s="36" t="s">
        <v>197</v>
      </c>
      <c r="P13" s="36">
        <v>2</v>
      </c>
      <c r="Q13" s="36" t="s">
        <v>198</v>
      </c>
      <c r="R13" s="37">
        <v>244566</v>
      </c>
      <c r="S13" s="37" t="s">
        <v>8</v>
      </c>
      <c r="T13" s="36" t="s">
        <v>199</v>
      </c>
      <c r="U13" s="36">
        <v>23058551</v>
      </c>
      <c r="V13" s="36" t="s">
        <v>25</v>
      </c>
      <c r="W13" s="36">
        <v>5</v>
      </c>
      <c r="X13" s="36">
        <v>5</v>
      </c>
      <c r="Y13" s="36">
        <v>5</v>
      </c>
      <c r="Z13" s="36">
        <v>5</v>
      </c>
      <c r="AA13" s="36">
        <v>0</v>
      </c>
      <c r="AB13" s="36">
        <v>0</v>
      </c>
      <c r="AC13" s="36">
        <v>0</v>
      </c>
      <c r="AD13" s="36">
        <v>0</v>
      </c>
      <c r="AE13" s="36">
        <v>5</v>
      </c>
      <c r="AF13" s="36">
        <v>5</v>
      </c>
      <c r="AG13" s="36"/>
      <c r="AH13" s="36"/>
      <c r="AI13" s="36" t="s">
        <v>200</v>
      </c>
      <c r="AJ13" s="36" t="s">
        <v>201</v>
      </c>
      <c r="AK13" s="36" t="s">
        <v>202</v>
      </c>
      <c r="AL13" s="36" t="s">
        <v>203</v>
      </c>
      <c r="AM13" s="36" t="s">
        <v>204</v>
      </c>
      <c r="AN13" s="36" t="s">
        <v>205</v>
      </c>
      <c r="AO13" s="36" t="s">
        <v>206</v>
      </c>
      <c r="AP13" s="36">
        <v>20</v>
      </c>
      <c r="AQ13" s="36">
        <v>1</v>
      </c>
      <c r="AR13" s="36"/>
      <c r="AS13" s="36"/>
      <c r="AT13" s="36" t="s">
        <v>207</v>
      </c>
      <c r="AU13" s="36" t="s">
        <v>208</v>
      </c>
      <c r="AV13" s="36" t="s">
        <v>209</v>
      </c>
      <c r="AW13" s="36" t="s">
        <v>209</v>
      </c>
      <c r="AX13" s="36" t="s">
        <v>210</v>
      </c>
      <c r="AY13" s="36">
        <v>0</v>
      </c>
      <c r="AZ13" s="36" t="s">
        <v>211</v>
      </c>
      <c r="BA13" s="36">
        <v>9044989472405</v>
      </c>
      <c r="BB13" s="36"/>
      <c r="BC13" s="36"/>
      <c r="BD13" s="36">
        <v>1</v>
      </c>
      <c r="BE13" s="36"/>
      <c r="BF13" s="36" t="s">
        <v>212</v>
      </c>
      <c r="BG13" s="36">
        <v>1333314600</v>
      </c>
      <c r="BH13" s="36" t="s">
        <v>213</v>
      </c>
      <c r="BI13" s="36">
        <v>5</v>
      </c>
      <c r="BJ13" s="36">
        <v>5</v>
      </c>
      <c r="BK13" s="36"/>
      <c r="BL13" s="36" t="s">
        <v>214</v>
      </c>
      <c r="BM13" s="36"/>
      <c r="BN13" s="36"/>
    </row>
    <row r="14" spans="1:66" x14ac:dyDescent="0.35">
      <c r="A14" s="36"/>
      <c r="B14" s="36"/>
      <c r="C14" s="37" t="s">
        <v>8</v>
      </c>
      <c r="D14" s="37" t="s">
        <v>8</v>
      </c>
      <c r="E14" s="36"/>
      <c r="F14" s="36" t="s">
        <v>192</v>
      </c>
      <c r="G14" s="36" t="s">
        <v>1</v>
      </c>
      <c r="H14" s="36">
        <v>0</v>
      </c>
      <c r="I14" s="36" t="s">
        <v>193</v>
      </c>
      <c r="J14" s="36" t="s">
        <v>194</v>
      </c>
      <c r="K14" s="36" t="s">
        <v>195</v>
      </c>
      <c r="L14" s="36">
        <v>923</v>
      </c>
      <c r="M14" s="36"/>
      <c r="N14" s="36" t="s">
        <v>196</v>
      </c>
      <c r="O14" s="36" t="s">
        <v>197</v>
      </c>
      <c r="P14" s="36">
        <v>2</v>
      </c>
      <c r="Q14" s="36" t="s">
        <v>198</v>
      </c>
      <c r="R14" s="37">
        <v>244566</v>
      </c>
      <c r="S14" s="37" t="s">
        <v>8</v>
      </c>
      <c r="T14" s="36" t="s">
        <v>199</v>
      </c>
      <c r="U14" s="36">
        <v>23062095</v>
      </c>
      <c r="V14" s="36" t="s">
        <v>36</v>
      </c>
      <c r="W14" s="36">
        <v>5</v>
      </c>
      <c r="X14" s="36">
        <v>5</v>
      </c>
      <c r="Y14" s="36">
        <v>5</v>
      </c>
      <c r="Z14" s="36">
        <v>5</v>
      </c>
      <c r="AA14" s="36">
        <v>0</v>
      </c>
      <c r="AB14" s="36">
        <v>0</v>
      </c>
      <c r="AC14" s="36">
        <v>0</v>
      </c>
      <c r="AD14" s="36">
        <v>0</v>
      </c>
      <c r="AE14" s="36">
        <v>5</v>
      </c>
      <c r="AF14" s="36">
        <v>5</v>
      </c>
      <c r="AG14" s="36"/>
      <c r="AH14" s="36"/>
      <c r="AI14" s="36" t="s">
        <v>200</v>
      </c>
      <c r="AJ14" s="36" t="s">
        <v>201</v>
      </c>
      <c r="AK14" s="36" t="s">
        <v>215</v>
      </c>
      <c r="AL14" s="36" t="s">
        <v>203</v>
      </c>
      <c r="AM14" s="36" t="s">
        <v>204</v>
      </c>
      <c r="AN14" s="36" t="s">
        <v>205</v>
      </c>
      <c r="AO14" s="36" t="s">
        <v>206</v>
      </c>
      <c r="AP14" s="36">
        <v>20</v>
      </c>
      <c r="AQ14" s="36">
        <v>1</v>
      </c>
      <c r="AR14" s="36"/>
      <c r="AS14" s="36"/>
      <c r="AT14" s="36" t="s">
        <v>207</v>
      </c>
      <c r="AU14" s="36" t="s">
        <v>208</v>
      </c>
      <c r="AV14" s="36" t="s">
        <v>209</v>
      </c>
      <c r="AW14" s="36" t="s">
        <v>209</v>
      </c>
      <c r="AX14" s="36" t="s">
        <v>210</v>
      </c>
      <c r="AY14" s="36">
        <v>0</v>
      </c>
      <c r="AZ14" s="36" t="s">
        <v>211</v>
      </c>
      <c r="BA14" s="36">
        <v>9044989472405</v>
      </c>
      <c r="BB14" s="36"/>
      <c r="BC14" s="36"/>
      <c r="BD14" s="36">
        <v>1</v>
      </c>
      <c r="BE14" s="36"/>
      <c r="BF14" s="36" t="s">
        <v>212</v>
      </c>
      <c r="BG14" s="36">
        <v>1333314600</v>
      </c>
      <c r="BH14" s="36" t="s">
        <v>213</v>
      </c>
      <c r="BI14" s="36">
        <v>5</v>
      </c>
      <c r="BJ14" s="36">
        <v>5</v>
      </c>
      <c r="BK14" s="36"/>
      <c r="BL14" s="36" t="s">
        <v>214</v>
      </c>
      <c r="BM14" s="36"/>
      <c r="BN14" s="36"/>
    </row>
    <row r="15" spans="1:66" x14ac:dyDescent="0.35">
      <c r="A15" s="36"/>
      <c r="B15" s="36"/>
      <c r="C15" s="37" t="s">
        <v>8</v>
      </c>
      <c r="D15" s="37" t="s">
        <v>8</v>
      </c>
      <c r="E15" s="36"/>
      <c r="F15" s="36" t="s">
        <v>192</v>
      </c>
      <c r="G15" s="36" t="s">
        <v>1</v>
      </c>
      <c r="H15" s="36">
        <v>0</v>
      </c>
      <c r="I15" s="36" t="s">
        <v>193</v>
      </c>
      <c r="J15" s="36" t="s">
        <v>194</v>
      </c>
      <c r="K15" s="36" t="s">
        <v>195</v>
      </c>
      <c r="L15" s="36">
        <v>923</v>
      </c>
      <c r="M15" s="36"/>
      <c r="N15" s="36" t="s">
        <v>196</v>
      </c>
      <c r="O15" s="36" t="s">
        <v>197</v>
      </c>
      <c r="P15" s="36">
        <v>2</v>
      </c>
      <c r="Q15" s="36" t="s">
        <v>198</v>
      </c>
      <c r="R15" s="37">
        <v>244566</v>
      </c>
      <c r="S15" s="37" t="s">
        <v>8</v>
      </c>
      <c r="T15" s="36" t="s">
        <v>199</v>
      </c>
      <c r="U15" s="36">
        <v>23058555</v>
      </c>
      <c r="V15" s="36" t="s">
        <v>28</v>
      </c>
      <c r="W15" s="36">
        <v>70</v>
      </c>
      <c r="X15" s="36">
        <v>70</v>
      </c>
      <c r="Y15" s="36">
        <v>70</v>
      </c>
      <c r="Z15" s="36">
        <v>70</v>
      </c>
      <c r="AA15" s="36">
        <v>0</v>
      </c>
      <c r="AB15" s="36">
        <v>0</v>
      </c>
      <c r="AC15" s="36">
        <v>0</v>
      </c>
      <c r="AD15" s="36">
        <v>0</v>
      </c>
      <c r="AE15" s="36">
        <v>70</v>
      </c>
      <c r="AF15" s="36">
        <v>70</v>
      </c>
      <c r="AG15" s="36"/>
      <c r="AH15" s="36"/>
      <c r="AI15" s="36" t="s">
        <v>200</v>
      </c>
      <c r="AJ15" s="36" t="s">
        <v>201</v>
      </c>
      <c r="AK15" s="36" t="s">
        <v>215</v>
      </c>
      <c r="AL15" s="36" t="s">
        <v>203</v>
      </c>
      <c r="AM15" s="36" t="s">
        <v>204</v>
      </c>
      <c r="AN15" s="36" t="s">
        <v>205</v>
      </c>
      <c r="AO15" s="36" t="s">
        <v>206</v>
      </c>
      <c r="AP15" s="36">
        <v>20</v>
      </c>
      <c r="AQ15" s="36">
        <v>1</v>
      </c>
      <c r="AR15" s="36"/>
      <c r="AS15" s="36"/>
      <c r="AT15" s="36" t="s">
        <v>207</v>
      </c>
      <c r="AU15" s="36" t="s">
        <v>208</v>
      </c>
      <c r="AV15" s="36" t="s">
        <v>209</v>
      </c>
      <c r="AW15" s="36" t="s">
        <v>209</v>
      </c>
      <c r="AX15" s="36" t="s">
        <v>210</v>
      </c>
      <c r="AY15" s="36">
        <v>0</v>
      </c>
      <c r="AZ15" s="36" t="s">
        <v>211</v>
      </c>
      <c r="BA15" s="36">
        <v>9044989472405</v>
      </c>
      <c r="BB15" s="36"/>
      <c r="BC15" s="36"/>
      <c r="BD15" s="36">
        <v>1</v>
      </c>
      <c r="BE15" s="36"/>
      <c r="BF15" s="36" t="s">
        <v>212</v>
      </c>
      <c r="BG15" s="36">
        <v>1333314600</v>
      </c>
      <c r="BH15" s="36" t="s">
        <v>213</v>
      </c>
      <c r="BI15" s="36">
        <v>70</v>
      </c>
      <c r="BJ15" s="36">
        <v>70</v>
      </c>
      <c r="BK15" s="36"/>
      <c r="BL15" s="36" t="s">
        <v>214</v>
      </c>
      <c r="BM15" s="36"/>
      <c r="BN15" s="36"/>
    </row>
    <row r="16" spans="1:66" x14ac:dyDescent="0.35">
      <c r="A16" s="36"/>
      <c r="B16" s="36"/>
      <c r="C16" s="37" t="s">
        <v>8</v>
      </c>
      <c r="D16" s="37" t="s">
        <v>8</v>
      </c>
      <c r="E16" s="36"/>
      <c r="F16" s="36" t="s">
        <v>192</v>
      </c>
      <c r="G16" s="36" t="s">
        <v>1</v>
      </c>
      <c r="H16" s="36">
        <v>0</v>
      </c>
      <c r="I16" s="36" t="s">
        <v>193</v>
      </c>
      <c r="J16" s="36" t="s">
        <v>194</v>
      </c>
      <c r="K16" s="36" t="s">
        <v>195</v>
      </c>
      <c r="L16" s="36">
        <v>923</v>
      </c>
      <c r="M16" s="36"/>
      <c r="N16" s="36" t="s">
        <v>196</v>
      </c>
      <c r="O16" s="36" t="s">
        <v>197</v>
      </c>
      <c r="P16" s="36">
        <v>2</v>
      </c>
      <c r="Q16" s="36" t="s">
        <v>198</v>
      </c>
      <c r="R16" s="37">
        <v>244566</v>
      </c>
      <c r="S16" s="37" t="s">
        <v>8</v>
      </c>
      <c r="T16" s="36" t="s">
        <v>199</v>
      </c>
      <c r="U16" s="36">
        <v>23062967</v>
      </c>
      <c r="V16" s="36" t="s">
        <v>38</v>
      </c>
      <c r="W16" s="36">
        <v>30</v>
      </c>
      <c r="X16" s="36">
        <v>30</v>
      </c>
      <c r="Y16" s="36">
        <v>30</v>
      </c>
      <c r="Z16" s="36">
        <v>30</v>
      </c>
      <c r="AA16" s="36">
        <v>0</v>
      </c>
      <c r="AB16" s="36">
        <v>0</v>
      </c>
      <c r="AC16" s="36">
        <v>0</v>
      </c>
      <c r="AD16" s="36">
        <v>0</v>
      </c>
      <c r="AE16" s="36">
        <v>30</v>
      </c>
      <c r="AF16" s="36">
        <v>30</v>
      </c>
      <c r="AG16" s="36"/>
      <c r="AH16" s="36"/>
      <c r="AI16" s="36" t="s">
        <v>200</v>
      </c>
      <c r="AJ16" s="36" t="s">
        <v>201</v>
      </c>
      <c r="AK16" s="36" t="s">
        <v>202</v>
      </c>
      <c r="AL16" s="36" t="s">
        <v>203</v>
      </c>
      <c r="AM16" s="36" t="s">
        <v>204</v>
      </c>
      <c r="AN16" s="36" t="s">
        <v>205</v>
      </c>
      <c r="AO16" s="36" t="s">
        <v>206</v>
      </c>
      <c r="AP16" s="36">
        <v>20</v>
      </c>
      <c r="AQ16" s="36">
        <v>1</v>
      </c>
      <c r="AR16" s="36"/>
      <c r="AS16" s="36"/>
      <c r="AT16" s="36" t="s">
        <v>207</v>
      </c>
      <c r="AU16" s="36" t="s">
        <v>208</v>
      </c>
      <c r="AV16" s="36" t="s">
        <v>216</v>
      </c>
      <c r="AW16" s="36" t="s">
        <v>209</v>
      </c>
      <c r="AX16" s="36" t="s">
        <v>210</v>
      </c>
      <c r="AY16" s="36">
        <v>0</v>
      </c>
      <c r="AZ16" s="36" t="s">
        <v>211</v>
      </c>
      <c r="BA16" s="36">
        <v>9044989472405</v>
      </c>
      <c r="BB16" s="36"/>
      <c r="BC16" s="36"/>
      <c r="BD16" s="36">
        <v>1</v>
      </c>
      <c r="BE16" s="36"/>
      <c r="BF16" s="36" t="s">
        <v>212</v>
      </c>
      <c r="BG16" s="36">
        <v>1333314600</v>
      </c>
      <c r="BH16" s="36" t="s">
        <v>213</v>
      </c>
      <c r="BI16" s="36">
        <v>30</v>
      </c>
      <c r="BJ16" s="36">
        <v>30</v>
      </c>
      <c r="BK16" s="36"/>
      <c r="BL16" s="36" t="s">
        <v>214</v>
      </c>
      <c r="BM16" s="36"/>
      <c r="BN16" s="36"/>
    </row>
    <row r="17" spans="1:66" x14ac:dyDescent="0.35">
      <c r="A17" s="36"/>
      <c r="B17" s="36"/>
      <c r="C17" s="37" t="s">
        <v>8</v>
      </c>
      <c r="D17" s="37" t="s">
        <v>8</v>
      </c>
      <c r="E17" s="36"/>
      <c r="F17" s="36" t="s">
        <v>192</v>
      </c>
      <c r="G17" s="36" t="s">
        <v>1</v>
      </c>
      <c r="H17" s="36">
        <v>0</v>
      </c>
      <c r="I17" s="36" t="s">
        <v>193</v>
      </c>
      <c r="J17" s="36" t="s">
        <v>194</v>
      </c>
      <c r="K17" s="36" t="s">
        <v>195</v>
      </c>
      <c r="L17" s="36">
        <v>923</v>
      </c>
      <c r="M17" s="36"/>
      <c r="N17" s="36" t="s">
        <v>196</v>
      </c>
      <c r="O17" s="36" t="s">
        <v>197</v>
      </c>
      <c r="P17" s="36">
        <v>2</v>
      </c>
      <c r="Q17" s="36" t="s">
        <v>198</v>
      </c>
      <c r="R17" s="37">
        <v>244566</v>
      </c>
      <c r="S17" s="37" t="s">
        <v>8</v>
      </c>
      <c r="T17" s="36" t="s">
        <v>199</v>
      </c>
      <c r="U17" s="36">
        <v>23105753</v>
      </c>
      <c r="V17" s="36" t="s">
        <v>75</v>
      </c>
      <c r="W17" s="36">
        <v>80</v>
      </c>
      <c r="X17" s="36">
        <v>80</v>
      </c>
      <c r="Y17" s="36">
        <v>80</v>
      </c>
      <c r="Z17" s="36">
        <v>80</v>
      </c>
      <c r="AA17" s="36">
        <v>0</v>
      </c>
      <c r="AB17" s="36">
        <v>0</v>
      </c>
      <c r="AC17" s="36">
        <v>0</v>
      </c>
      <c r="AD17" s="36">
        <v>0</v>
      </c>
      <c r="AE17" s="36">
        <v>80</v>
      </c>
      <c r="AF17" s="36">
        <v>80</v>
      </c>
      <c r="AG17" s="36"/>
      <c r="AH17" s="36"/>
      <c r="AI17" s="36" t="s">
        <v>200</v>
      </c>
      <c r="AJ17" s="36" t="s">
        <v>201</v>
      </c>
      <c r="AK17" s="36" t="s">
        <v>202</v>
      </c>
      <c r="AL17" s="36" t="s">
        <v>203</v>
      </c>
      <c r="AM17" s="36" t="s">
        <v>204</v>
      </c>
      <c r="AN17" s="36" t="s">
        <v>205</v>
      </c>
      <c r="AO17" s="36" t="s">
        <v>206</v>
      </c>
      <c r="AP17" s="36">
        <v>20</v>
      </c>
      <c r="AQ17" s="36">
        <v>1</v>
      </c>
      <c r="AR17" s="36"/>
      <c r="AS17" s="36"/>
      <c r="AT17" s="36" t="s">
        <v>207</v>
      </c>
      <c r="AU17" s="36" t="s">
        <v>208</v>
      </c>
      <c r="AV17" s="36" t="s">
        <v>209</v>
      </c>
      <c r="AW17" s="36" t="s">
        <v>209</v>
      </c>
      <c r="AX17" s="36" t="s">
        <v>210</v>
      </c>
      <c r="AY17" s="36">
        <v>0</v>
      </c>
      <c r="AZ17" s="36" t="s">
        <v>211</v>
      </c>
      <c r="BA17" s="36">
        <v>9044989472405</v>
      </c>
      <c r="BB17" s="36"/>
      <c r="BC17" s="36"/>
      <c r="BD17" s="36">
        <v>1</v>
      </c>
      <c r="BE17" s="36"/>
      <c r="BF17" s="36" t="s">
        <v>212</v>
      </c>
      <c r="BG17" s="36">
        <v>1333314600</v>
      </c>
      <c r="BH17" s="36" t="s">
        <v>213</v>
      </c>
      <c r="BI17" s="36">
        <v>80</v>
      </c>
      <c r="BJ17" s="36">
        <v>80</v>
      </c>
      <c r="BK17" s="36"/>
      <c r="BL17" s="36" t="s">
        <v>214</v>
      </c>
      <c r="BM17" s="36"/>
      <c r="BN17" s="36"/>
    </row>
    <row r="18" spans="1:66" x14ac:dyDescent="0.35">
      <c r="A18" s="36"/>
      <c r="B18" s="36"/>
      <c r="C18" s="37" t="s">
        <v>8</v>
      </c>
      <c r="D18" s="37" t="s">
        <v>8</v>
      </c>
      <c r="E18" s="36"/>
      <c r="F18" s="36" t="s">
        <v>192</v>
      </c>
      <c r="G18" s="36" t="s">
        <v>1</v>
      </c>
      <c r="H18" s="36">
        <v>0</v>
      </c>
      <c r="I18" s="36" t="s">
        <v>193</v>
      </c>
      <c r="J18" s="36" t="s">
        <v>194</v>
      </c>
      <c r="K18" s="36" t="s">
        <v>195</v>
      </c>
      <c r="L18" s="36">
        <v>923</v>
      </c>
      <c r="M18" s="36"/>
      <c r="N18" s="36" t="s">
        <v>196</v>
      </c>
      <c r="O18" s="36" t="s">
        <v>197</v>
      </c>
      <c r="P18" s="36">
        <v>2</v>
      </c>
      <c r="Q18" s="36" t="s">
        <v>198</v>
      </c>
      <c r="R18" s="37">
        <v>244566</v>
      </c>
      <c r="S18" s="37" t="s">
        <v>8</v>
      </c>
      <c r="T18" s="36" t="s">
        <v>199</v>
      </c>
      <c r="U18" s="36">
        <v>23058584</v>
      </c>
      <c r="V18" s="36" t="s">
        <v>29</v>
      </c>
      <c r="W18" s="36">
        <v>20</v>
      </c>
      <c r="X18" s="36">
        <v>20</v>
      </c>
      <c r="Y18" s="36">
        <v>20</v>
      </c>
      <c r="Z18" s="36">
        <v>20</v>
      </c>
      <c r="AA18" s="36">
        <v>0</v>
      </c>
      <c r="AB18" s="36">
        <v>0</v>
      </c>
      <c r="AC18" s="36">
        <v>0</v>
      </c>
      <c r="AD18" s="36">
        <v>0</v>
      </c>
      <c r="AE18" s="36">
        <v>20</v>
      </c>
      <c r="AF18" s="36">
        <v>20</v>
      </c>
      <c r="AG18" s="36"/>
      <c r="AH18" s="36"/>
      <c r="AI18" s="36" t="s">
        <v>200</v>
      </c>
      <c r="AJ18" s="36" t="s">
        <v>201</v>
      </c>
      <c r="AK18" s="36" t="s">
        <v>215</v>
      </c>
      <c r="AL18" s="36" t="s">
        <v>203</v>
      </c>
      <c r="AM18" s="36" t="s">
        <v>204</v>
      </c>
      <c r="AN18" s="36" t="s">
        <v>205</v>
      </c>
      <c r="AO18" s="36" t="s">
        <v>206</v>
      </c>
      <c r="AP18" s="36">
        <v>20</v>
      </c>
      <c r="AQ18" s="36">
        <v>1</v>
      </c>
      <c r="AR18" s="36"/>
      <c r="AS18" s="36"/>
      <c r="AT18" s="36" t="s">
        <v>207</v>
      </c>
      <c r="AU18" s="36" t="s">
        <v>208</v>
      </c>
      <c r="AV18" s="36" t="s">
        <v>209</v>
      </c>
      <c r="AW18" s="36" t="s">
        <v>209</v>
      </c>
      <c r="AX18" s="36" t="s">
        <v>210</v>
      </c>
      <c r="AY18" s="36">
        <v>0</v>
      </c>
      <c r="AZ18" s="36" t="s">
        <v>211</v>
      </c>
      <c r="BA18" s="36">
        <v>9044989472405</v>
      </c>
      <c r="BB18" s="36"/>
      <c r="BC18" s="36"/>
      <c r="BD18" s="36">
        <v>1</v>
      </c>
      <c r="BE18" s="36"/>
      <c r="BF18" s="36" t="s">
        <v>212</v>
      </c>
      <c r="BG18" s="36">
        <v>1333314600</v>
      </c>
      <c r="BH18" s="36" t="s">
        <v>213</v>
      </c>
      <c r="BI18" s="36">
        <v>20</v>
      </c>
      <c r="BJ18" s="36">
        <v>20</v>
      </c>
      <c r="BK18" s="36"/>
      <c r="BL18" s="36" t="s">
        <v>214</v>
      </c>
      <c r="BM18" s="36"/>
      <c r="BN18" s="36"/>
    </row>
    <row r="19" spans="1:66" x14ac:dyDescent="0.35">
      <c r="A19" s="36"/>
      <c r="B19" s="36"/>
      <c r="C19" s="37" t="s">
        <v>8</v>
      </c>
      <c r="D19" s="37" t="s">
        <v>8</v>
      </c>
      <c r="E19" s="36"/>
      <c r="F19" s="36" t="s">
        <v>192</v>
      </c>
      <c r="G19" s="36" t="s">
        <v>1</v>
      </c>
      <c r="H19" s="36">
        <v>0</v>
      </c>
      <c r="I19" s="36" t="s">
        <v>193</v>
      </c>
      <c r="J19" s="36" t="s">
        <v>194</v>
      </c>
      <c r="K19" s="36" t="s">
        <v>195</v>
      </c>
      <c r="L19" s="36">
        <v>923</v>
      </c>
      <c r="M19" s="36"/>
      <c r="N19" s="36" t="s">
        <v>196</v>
      </c>
      <c r="O19" s="36" t="s">
        <v>197</v>
      </c>
      <c r="P19" s="36">
        <v>2</v>
      </c>
      <c r="Q19" s="36" t="s">
        <v>198</v>
      </c>
      <c r="R19" s="37">
        <v>244566</v>
      </c>
      <c r="S19" s="37" t="s">
        <v>8</v>
      </c>
      <c r="T19" s="36" t="s">
        <v>199</v>
      </c>
      <c r="U19" s="36">
        <v>23000206</v>
      </c>
      <c r="V19" s="36" t="s">
        <v>15</v>
      </c>
      <c r="W19" s="36">
        <v>5</v>
      </c>
      <c r="X19" s="36">
        <v>5</v>
      </c>
      <c r="Y19" s="36">
        <v>5</v>
      </c>
      <c r="Z19" s="36">
        <v>5</v>
      </c>
      <c r="AA19" s="36">
        <v>0</v>
      </c>
      <c r="AB19" s="36">
        <v>0</v>
      </c>
      <c r="AC19" s="36">
        <v>0</v>
      </c>
      <c r="AD19" s="36">
        <v>0</v>
      </c>
      <c r="AE19" s="36">
        <v>5</v>
      </c>
      <c r="AF19" s="36">
        <v>5</v>
      </c>
      <c r="AG19" s="36"/>
      <c r="AH19" s="36"/>
      <c r="AI19" s="36" t="s">
        <v>200</v>
      </c>
      <c r="AJ19" s="36" t="s">
        <v>201</v>
      </c>
      <c r="AK19" s="36" t="s">
        <v>215</v>
      </c>
      <c r="AL19" s="36" t="s">
        <v>203</v>
      </c>
      <c r="AM19" s="36" t="s">
        <v>204</v>
      </c>
      <c r="AN19" s="36" t="s">
        <v>205</v>
      </c>
      <c r="AO19" s="36" t="s">
        <v>206</v>
      </c>
      <c r="AP19" s="36">
        <v>20</v>
      </c>
      <c r="AQ19" s="36">
        <v>1</v>
      </c>
      <c r="AR19" s="36"/>
      <c r="AS19" s="36"/>
      <c r="AT19" s="36" t="s">
        <v>207</v>
      </c>
      <c r="AU19" s="36" t="s">
        <v>208</v>
      </c>
      <c r="AV19" s="36" t="s">
        <v>209</v>
      </c>
      <c r="AW19" s="36" t="s">
        <v>209</v>
      </c>
      <c r="AX19" s="36" t="s">
        <v>210</v>
      </c>
      <c r="AY19" s="36">
        <v>0</v>
      </c>
      <c r="AZ19" s="36" t="s">
        <v>211</v>
      </c>
      <c r="BA19" s="36">
        <v>9044989472405</v>
      </c>
      <c r="BB19" s="36"/>
      <c r="BC19" s="36"/>
      <c r="BD19" s="36">
        <v>1</v>
      </c>
      <c r="BE19" s="36"/>
      <c r="BF19" s="36" t="s">
        <v>212</v>
      </c>
      <c r="BG19" s="36">
        <v>1333314600</v>
      </c>
      <c r="BH19" s="36" t="s">
        <v>213</v>
      </c>
      <c r="BI19" s="36">
        <v>5</v>
      </c>
      <c r="BJ19" s="36">
        <v>5</v>
      </c>
      <c r="BK19" s="36"/>
      <c r="BL19" s="36" t="s">
        <v>214</v>
      </c>
      <c r="BM19" s="36"/>
      <c r="BN19" s="36"/>
    </row>
    <row r="20" spans="1:66" x14ac:dyDescent="0.35">
      <c r="A20" s="36"/>
      <c r="B20" s="36"/>
      <c r="C20" s="37" t="s">
        <v>8</v>
      </c>
      <c r="D20" s="37" t="s">
        <v>8</v>
      </c>
      <c r="E20" s="36"/>
      <c r="F20" s="36" t="s">
        <v>192</v>
      </c>
      <c r="G20" s="36" t="s">
        <v>1</v>
      </c>
      <c r="H20" s="36">
        <v>0</v>
      </c>
      <c r="I20" s="36" t="s">
        <v>193</v>
      </c>
      <c r="J20" s="36" t="s">
        <v>194</v>
      </c>
      <c r="K20" s="36" t="s">
        <v>195</v>
      </c>
      <c r="L20" s="36">
        <v>923</v>
      </c>
      <c r="M20" s="36"/>
      <c r="N20" s="36" t="s">
        <v>196</v>
      </c>
      <c r="O20" s="36" t="s">
        <v>197</v>
      </c>
      <c r="P20" s="36">
        <v>2</v>
      </c>
      <c r="Q20" s="36" t="s">
        <v>198</v>
      </c>
      <c r="R20" s="37">
        <v>244566</v>
      </c>
      <c r="S20" s="37" t="s">
        <v>8</v>
      </c>
      <c r="T20" s="36" t="s">
        <v>199</v>
      </c>
      <c r="U20" s="36">
        <v>23057824</v>
      </c>
      <c r="V20" s="36" t="s">
        <v>23</v>
      </c>
      <c r="W20" s="36">
        <v>80</v>
      </c>
      <c r="X20" s="36">
        <v>80</v>
      </c>
      <c r="Y20" s="36">
        <v>80</v>
      </c>
      <c r="Z20" s="36">
        <v>80</v>
      </c>
      <c r="AA20" s="36">
        <v>0</v>
      </c>
      <c r="AB20" s="36">
        <v>0</v>
      </c>
      <c r="AC20" s="36">
        <v>0</v>
      </c>
      <c r="AD20" s="36">
        <v>0</v>
      </c>
      <c r="AE20" s="36">
        <v>80</v>
      </c>
      <c r="AF20" s="36">
        <v>80</v>
      </c>
      <c r="AG20" s="36"/>
      <c r="AH20" s="36"/>
      <c r="AI20" s="36" t="s">
        <v>200</v>
      </c>
      <c r="AJ20" s="36" t="s">
        <v>201</v>
      </c>
      <c r="AK20" s="36" t="s">
        <v>202</v>
      </c>
      <c r="AL20" s="36" t="s">
        <v>203</v>
      </c>
      <c r="AM20" s="36" t="s">
        <v>204</v>
      </c>
      <c r="AN20" s="36" t="s">
        <v>205</v>
      </c>
      <c r="AO20" s="36" t="s">
        <v>206</v>
      </c>
      <c r="AP20" s="36">
        <v>20</v>
      </c>
      <c r="AQ20" s="36">
        <v>1</v>
      </c>
      <c r="AR20" s="36"/>
      <c r="AS20" s="36"/>
      <c r="AT20" s="36" t="s">
        <v>207</v>
      </c>
      <c r="AU20" s="36" t="s">
        <v>208</v>
      </c>
      <c r="AV20" s="36" t="s">
        <v>209</v>
      </c>
      <c r="AW20" s="36" t="s">
        <v>209</v>
      </c>
      <c r="AX20" s="36" t="s">
        <v>210</v>
      </c>
      <c r="AY20" s="36">
        <v>0</v>
      </c>
      <c r="AZ20" s="36" t="s">
        <v>211</v>
      </c>
      <c r="BA20" s="36">
        <v>9044989472405</v>
      </c>
      <c r="BB20" s="36"/>
      <c r="BC20" s="36"/>
      <c r="BD20" s="36">
        <v>1</v>
      </c>
      <c r="BE20" s="36"/>
      <c r="BF20" s="36" t="s">
        <v>212</v>
      </c>
      <c r="BG20" s="36">
        <v>1333314600</v>
      </c>
      <c r="BH20" s="36" t="s">
        <v>213</v>
      </c>
      <c r="BI20" s="36">
        <v>80</v>
      </c>
      <c r="BJ20" s="36">
        <v>80</v>
      </c>
      <c r="BK20" s="36"/>
      <c r="BL20" s="36" t="s">
        <v>214</v>
      </c>
      <c r="BM20" s="36"/>
      <c r="BN20" s="36"/>
    </row>
    <row r="21" spans="1:66" x14ac:dyDescent="0.35">
      <c r="A21" s="36"/>
      <c r="B21" s="36"/>
      <c r="C21" s="37" t="s">
        <v>8</v>
      </c>
      <c r="D21" s="37" t="s">
        <v>8</v>
      </c>
      <c r="E21" s="36"/>
      <c r="F21" s="36" t="s">
        <v>192</v>
      </c>
      <c r="G21" s="36" t="s">
        <v>1</v>
      </c>
      <c r="H21" s="36">
        <v>0</v>
      </c>
      <c r="I21" s="36" t="s">
        <v>193</v>
      </c>
      <c r="J21" s="36" t="s">
        <v>194</v>
      </c>
      <c r="K21" s="36" t="s">
        <v>195</v>
      </c>
      <c r="L21" s="36">
        <v>923</v>
      </c>
      <c r="M21" s="36"/>
      <c r="N21" s="36" t="s">
        <v>196</v>
      </c>
      <c r="O21" s="36" t="s">
        <v>197</v>
      </c>
      <c r="P21" s="36">
        <v>2</v>
      </c>
      <c r="Q21" s="36" t="s">
        <v>198</v>
      </c>
      <c r="R21" s="37">
        <v>244566</v>
      </c>
      <c r="S21" s="37" t="s">
        <v>8</v>
      </c>
      <c r="T21" s="36" t="s">
        <v>199</v>
      </c>
      <c r="U21" s="36">
        <v>23058552</v>
      </c>
      <c r="V21" s="36" t="s">
        <v>26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/>
      <c r="AH21" s="36"/>
      <c r="AI21" s="36" t="s">
        <v>200</v>
      </c>
      <c r="AJ21" s="36" t="s">
        <v>201</v>
      </c>
      <c r="AK21" s="36" t="s">
        <v>215</v>
      </c>
      <c r="AL21" s="36" t="s">
        <v>203</v>
      </c>
      <c r="AM21" s="36" t="s">
        <v>204</v>
      </c>
      <c r="AN21" s="36" t="s">
        <v>205</v>
      </c>
      <c r="AO21" s="36" t="s">
        <v>206</v>
      </c>
      <c r="AP21" s="36">
        <v>20</v>
      </c>
      <c r="AQ21" s="36">
        <v>1</v>
      </c>
      <c r="AR21" s="36"/>
      <c r="AS21" s="36"/>
      <c r="AT21" s="36" t="s">
        <v>207</v>
      </c>
      <c r="AU21" s="36" t="s">
        <v>208</v>
      </c>
      <c r="AV21" s="36" t="s">
        <v>209</v>
      </c>
      <c r="AW21" s="36" t="s">
        <v>209</v>
      </c>
      <c r="AX21" s="36" t="s">
        <v>210</v>
      </c>
      <c r="AY21" s="36">
        <v>0</v>
      </c>
      <c r="AZ21" s="36" t="s">
        <v>211</v>
      </c>
      <c r="BA21" s="36">
        <v>9044989472405</v>
      </c>
      <c r="BB21" s="36"/>
      <c r="BC21" s="36"/>
      <c r="BD21" s="36">
        <v>1</v>
      </c>
      <c r="BE21" s="36"/>
      <c r="BF21" s="36" t="s">
        <v>212</v>
      </c>
      <c r="BG21" s="36">
        <v>1333314600</v>
      </c>
      <c r="BH21" s="36" t="s">
        <v>213</v>
      </c>
      <c r="BI21" s="36">
        <v>0</v>
      </c>
      <c r="BJ21" s="36">
        <v>0</v>
      </c>
      <c r="BK21" s="36"/>
      <c r="BL21" s="36" t="s">
        <v>214</v>
      </c>
      <c r="BM21" s="36"/>
      <c r="BN21" s="36"/>
    </row>
    <row r="22" spans="1:66" x14ac:dyDescent="0.35">
      <c r="A22" s="36"/>
      <c r="B22" s="36"/>
      <c r="C22" s="37" t="s">
        <v>8</v>
      </c>
      <c r="D22" s="37" t="s">
        <v>8</v>
      </c>
      <c r="E22" s="36"/>
      <c r="F22" s="36" t="s">
        <v>192</v>
      </c>
      <c r="G22" s="36" t="s">
        <v>1</v>
      </c>
      <c r="H22" s="36">
        <v>0</v>
      </c>
      <c r="I22" s="36" t="s">
        <v>193</v>
      </c>
      <c r="J22" s="36" t="s">
        <v>194</v>
      </c>
      <c r="K22" s="36" t="s">
        <v>195</v>
      </c>
      <c r="L22" s="36">
        <v>923</v>
      </c>
      <c r="M22" s="36"/>
      <c r="N22" s="36" t="s">
        <v>196</v>
      </c>
      <c r="O22" s="36" t="s">
        <v>197</v>
      </c>
      <c r="P22" s="36">
        <v>2</v>
      </c>
      <c r="Q22" s="36" t="s">
        <v>198</v>
      </c>
      <c r="R22" s="37">
        <v>244566</v>
      </c>
      <c r="S22" s="37" t="s">
        <v>8</v>
      </c>
      <c r="T22" s="36" t="s">
        <v>199</v>
      </c>
      <c r="U22" s="36">
        <v>23066879</v>
      </c>
      <c r="V22" s="36" t="s">
        <v>45</v>
      </c>
      <c r="W22" s="36">
        <v>10</v>
      </c>
      <c r="X22" s="36">
        <v>10</v>
      </c>
      <c r="Y22" s="36">
        <v>10</v>
      </c>
      <c r="Z22" s="36">
        <v>10</v>
      </c>
      <c r="AA22" s="36">
        <v>0</v>
      </c>
      <c r="AB22" s="36">
        <v>0</v>
      </c>
      <c r="AC22" s="36">
        <v>0</v>
      </c>
      <c r="AD22" s="36">
        <v>0</v>
      </c>
      <c r="AE22" s="36">
        <v>10</v>
      </c>
      <c r="AF22" s="36">
        <v>10</v>
      </c>
      <c r="AG22" s="36"/>
      <c r="AH22" s="36"/>
      <c r="AI22" s="36" t="s">
        <v>200</v>
      </c>
      <c r="AJ22" s="36" t="s">
        <v>201</v>
      </c>
      <c r="AK22" s="36" t="s">
        <v>215</v>
      </c>
      <c r="AL22" s="36" t="s">
        <v>203</v>
      </c>
      <c r="AM22" s="36" t="s">
        <v>204</v>
      </c>
      <c r="AN22" s="36" t="s">
        <v>205</v>
      </c>
      <c r="AO22" s="36" t="s">
        <v>206</v>
      </c>
      <c r="AP22" s="36">
        <v>20</v>
      </c>
      <c r="AQ22" s="36">
        <v>1</v>
      </c>
      <c r="AR22" s="36"/>
      <c r="AS22" s="36"/>
      <c r="AT22" s="36" t="s">
        <v>207</v>
      </c>
      <c r="AU22" s="36" t="s">
        <v>208</v>
      </c>
      <c r="AV22" s="36" t="s">
        <v>209</v>
      </c>
      <c r="AW22" s="36" t="s">
        <v>209</v>
      </c>
      <c r="AX22" s="36" t="s">
        <v>210</v>
      </c>
      <c r="AY22" s="36">
        <v>0</v>
      </c>
      <c r="AZ22" s="36" t="s">
        <v>211</v>
      </c>
      <c r="BA22" s="36">
        <v>9044989472405</v>
      </c>
      <c r="BB22" s="36"/>
      <c r="BC22" s="36"/>
      <c r="BD22" s="36">
        <v>1</v>
      </c>
      <c r="BE22" s="36"/>
      <c r="BF22" s="36" t="s">
        <v>212</v>
      </c>
      <c r="BG22" s="36">
        <v>1333314600</v>
      </c>
      <c r="BH22" s="36" t="s">
        <v>213</v>
      </c>
      <c r="BI22" s="36">
        <v>10</v>
      </c>
      <c r="BJ22" s="36">
        <v>10</v>
      </c>
      <c r="BK22" s="36"/>
      <c r="BL22" s="36" t="s">
        <v>214</v>
      </c>
      <c r="BM22" s="36"/>
      <c r="BN22" s="36"/>
    </row>
    <row r="23" spans="1:66" x14ac:dyDescent="0.35">
      <c r="A23" s="36"/>
      <c r="B23" s="36"/>
      <c r="C23" s="37" t="s">
        <v>8</v>
      </c>
      <c r="D23" s="37" t="s">
        <v>8</v>
      </c>
      <c r="E23" s="36"/>
      <c r="F23" s="36" t="s">
        <v>192</v>
      </c>
      <c r="G23" s="36" t="s">
        <v>1</v>
      </c>
      <c r="H23" s="36">
        <v>0</v>
      </c>
      <c r="I23" s="36" t="s">
        <v>193</v>
      </c>
      <c r="J23" s="36" t="s">
        <v>194</v>
      </c>
      <c r="K23" s="36" t="s">
        <v>195</v>
      </c>
      <c r="L23" s="36">
        <v>923</v>
      </c>
      <c r="M23" s="36"/>
      <c r="N23" s="36" t="s">
        <v>196</v>
      </c>
      <c r="O23" s="36" t="s">
        <v>197</v>
      </c>
      <c r="P23" s="36">
        <v>2</v>
      </c>
      <c r="Q23" s="36" t="s">
        <v>198</v>
      </c>
      <c r="R23" s="37">
        <v>244566</v>
      </c>
      <c r="S23" s="37" t="s">
        <v>8</v>
      </c>
      <c r="T23" s="36" t="s">
        <v>199</v>
      </c>
      <c r="U23" s="36">
        <v>23088112</v>
      </c>
      <c r="V23" s="36" t="s">
        <v>56</v>
      </c>
      <c r="W23" s="36">
        <v>5</v>
      </c>
      <c r="X23" s="36">
        <v>5</v>
      </c>
      <c r="Y23" s="36">
        <v>5</v>
      </c>
      <c r="Z23" s="36">
        <v>5</v>
      </c>
      <c r="AA23" s="36">
        <v>0</v>
      </c>
      <c r="AB23" s="36">
        <v>0</v>
      </c>
      <c r="AC23" s="36">
        <v>0</v>
      </c>
      <c r="AD23" s="36">
        <v>0</v>
      </c>
      <c r="AE23" s="36">
        <v>5</v>
      </c>
      <c r="AF23" s="36">
        <v>5</v>
      </c>
      <c r="AG23" s="36"/>
      <c r="AH23" s="36"/>
      <c r="AI23" s="36" t="s">
        <v>200</v>
      </c>
      <c r="AJ23" s="36" t="s">
        <v>201</v>
      </c>
      <c r="AK23" s="36" t="s">
        <v>215</v>
      </c>
      <c r="AL23" s="36" t="s">
        <v>203</v>
      </c>
      <c r="AM23" s="36" t="s">
        <v>204</v>
      </c>
      <c r="AN23" s="36" t="s">
        <v>205</v>
      </c>
      <c r="AO23" s="36" t="s">
        <v>206</v>
      </c>
      <c r="AP23" s="36">
        <v>20</v>
      </c>
      <c r="AQ23" s="36">
        <v>1</v>
      </c>
      <c r="AR23" s="36"/>
      <c r="AS23" s="36"/>
      <c r="AT23" s="36" t="s">
        <v>207</v>
      </c>
      <c r="AU23" s="36" t="s">
        <v>208</v>
      </c>
      <c r="AV23" s="36" t="s">
        <v>209</v>
      </c>
      <c r="AW23" s="36" t="s">
        <v>209</v>
      </c>
      <c r="AX23" s="36" t="s">
        <v>210</v>
      </c>
      <c r="AY23" s="36">
        <v>0</v>
      </c>
      <c r="AZ23" s="36" t="s">
        <v>211</v>
      </c>
      <c r="BA23" s="36">
        <v>9044989472405</v>
      </c>
      <c r="BB23" s="36"/>
      <c r="BC23" s="36"/>
      <c r="BD23" s="36">
        <v>1</v>
      </c>
      <c r="BE23" s="36"/>
      <c r="BF23" s="36" t="s">
        <v>212</v>
      </c>
      <c r="BG23" s="36">
        <v>1333314600</v>
      </c>
      <c r="BH23" s="36" t="s">
        <v>213</v>
      </c>
      <c r="BI23" s="36">
        <v>5</v>
      </c>
      <c r="BJ23" s="36">
        <v>5</v>
      </c>
      <c r="BK23" s="36"/>
      <c r="BL23" s="36" t="s">
        <v>214</v>
      </c>
      <c r="BM23" s="36"/>
      <c r="BN23" s="36"/>
    </row>
    <row r="24" spans="1:66" x14ac:dyDescent="0.35">
      <c r="A24" s="36"/>
      <c r="B24" s="36"/>
      <c r="C24" s="37" t="s">
        <v>8</v>
      </c>
      <c r="D24" s="37" t="s">
        <v>8</v>
      </c>
      <c r="E24" s="36"/>
      <c r="F24" s="36" t="s">
        <v>192</v>
      </c>
      <c r="G24" s="36" t="s">
        <v>1</v>
      </c>
      <c r="H24" s="36">
        <v>0</v>
      </c>
      <c r="I24" s="36" t="s">
        <v>193</v>
      </c>
      <c r="J24" s="36" t="s">
        <v>194</v>
      </c>
      <c r="K24" s="36" t="s">
        <v>195</v>
      </c>
      <c r="L24" s="36">
        <v>923</v>
      </c>
      <c r="M24" s="36"/>
      <c r="N24" s="36" t="s">
        <v>196</v>
      </c>
      <c r="O24" s="36" t="s">
        <v>197</v>
      </c>
      <c r="P24" s="36">
        <v>2</v>
      </c>
      <c r="Q24" s="36" t="s">
        <v>198</v>
      </c>
      <c r="R24" s="37">
        <v>244566</v>
      </c>
      <c r="S24" s="37" t="s">
        <v>8</v>
      </c>
      <c r="T24" s="36" t="s">
        <v>199</v>
      </c>
      <c r="U24" s="36">
        <v>23088348</v>
      </c>
      <c r="V24" s="36" t="s">
        <v>57</v>
      </c>
      <c r="W24" s="36">
        <v>60</v>
      </c>
      <c r="X24" s="36">
        <v>60</v>
      </c>
      <c r="Y24" s="36">
        <v>60</v>
      </c>
      <c r="Z24" s="36">
        <v>60</v>
      </c>
      <c r="AA24" s="36">
        <v>0</v>
      </c>
      <c r="AB24" s="36">
        <v>0</v>
      </c>
      <c r="AC24" s="36">
        <v>0</v>
      </c>
      <c r="AD24" s="36">
        <v>0</v>
      </c>
      <c r="AE24" s="36">
        <v>60</v>
      </c>
      <c r="AF24" s="36">
        <v>60</v>
      </c>
      <c r="AG24" s="36"/>
      <c r="AH24" s="36"/>
      <c r="AI24" s="36" t="s">
        <v>200</v>
      </c>
      <c r="AJ24" s="36" t="s">
        <v>201</v>
      </c>
      <c r="AK24" s="36" t="s">
        <v>215</v>
      </c>
      <c r="AL24" s="36" t="s">
        <v>203</v>
      </c>
      <c r="AM24" s="36" t="s">
        <v>204</v>
      </c>
      <c r="AN24" s="36" t="s">
        <v>205</v>
      </c>
      <c r="AO24" s="36" t="s">
        <v>206</v>
      </c>
      <c r="AP24" s="36">
        <v>20</v>
      </c>
      <c r="AQ24" s="36">
        <v>1</v>
      </c>
      <c r="AR24" s="36"/>
      <c r="AS24" s="36"/>
      <c r="AT24" s="36" t="s">
        <v>207</v>
      </c>
      <c r="AU24" s="36" t="s">
        <v>208</v>
      </c>
      <c r="AV24" s="36" t="s">
        <v>209</v>
      </c>
      <c r="AW24" s="36" t="s">
        <v>209</v>
      </c>
      <c r="AX24" s="36" t="s">
        <v>210</v>
      </c>
      <c r="AY24" s="36">
        <v>0</v>
      </c>
      <c r="AZ24" s="36" t="s">
        <v>211</v>
      </c>
      <c r="BA24" s="36">
        <v>9044989472405</v>
      </c>
      <c r="BB24" s="36"/>
      <c r="BC24" s="36"/>
      <c r="BD24" s="36">
        <v>1</v>
      </c>
      <c r="BE24" s="36"/>
      <c r="BF24" s="36" t="s">
        <v>212</v>
      </c>
      <c r="BG24" s="36">
        <v>1333314600</v>
      </c>
      <c r="BH24" s="36" t="s">
        <v>213</v>
      </c>
      <c r="BI24" s="36">
        <v>60</v>
      </c>
      <c r="BJ24" s="36">
        <v>60</v>
      </c>
      <c r="BK24" s="36"/>
      <c r="BL24" s="36" t="s">
        <v>214</v>
      </c>
      <c r="BM24" s="36"/>
      <c r="BN24" s="36"/>
    </row>
    <row r="25" spans="1:66" x14ac:dyDescent="0.35">
      <c r="A25" s="36"/>
      <c r="B25" s="36"/>
      <c r="C25" s="37" t="s">
        <v>8</v>
      </c>
      <c r="D25" s="37" t="s">
        <v>8</v>
      </c>
      <c r="E25" s="36"/>
      <c r="F25" s="36" t="s">
        <v>192</v>
      </c>
      <c r="G25" s="36" t="s">
        <v>1</v>
      </c>
      <c r="H25" s="36">
        <v>0</v>
      </c>
      <c r="I25" s="36" t="s">
        <v>193</v>
      </c>
      <c r="J25" s="36" t="s">
        <v>194</v>
      </c>
      <c r="K25" s="36" t="s">
        <v>195</v>
      </c>
      <c r="L25" s="36">
        <v>923</v>
      </c>
      <c r="M25" s="36"/>
      <c r="N25" s="36" t="s">
        <v>196</v>
      </c>
      <c r="O25" s="36" t="s">
        <v>197</v>
      </c>
      <c r="P25" s="36">
        <v>2</v>
      </c>
      <c r="Q25" s="36" t="s">
        <v>198</v>
      </c>
      <c r="R25" s="37">
        <v>244566</v>
      </c>
      <c r="S25" s="37" t="s">
        <v>8</v>
      </c>
      <c r="T25" s="36" t="s">
        <v>199</v>
      </c>
      <c r="U25" s="36">
        <v>23105751</v>
      </c>
      <c r="V25" s="36" t="s">
        <v>73</v>
      </c>
      <c r="W25" s="36">
        <v>5</v>
      </c>
      <c r="X25" s="36">
        <v>5</v>
      </c>
      <c r="Y25" s="36">
        <v>5</v>
      </c>
      <c r="Z25" s="36">
        <v>5</v>
      </c>
      <c r="AA25" s="36">
        <v>0</v>
      </c>
      <c r="AB25" s="36">
        <v>0</v>
      </c>
      <c r="AC25" s="36">
        <v>0</v>
      </c>
      <c r="AD25" s="36">
        <v>0</v>
      </c>
      <c r="AE25" s="36">
        <v>5</v>
      </c>
      <c r="AF25" s="36">
        <v>5</v>
      </c>
      <c r="AG25" s="36"/>
      <c r="AH25" s="36"/>
      <c r="AI25" s="36" t="s">
        <v>200</v>
      </c>
      <c r="AJ25" s="36" t="s">
        <v>201</v>
      </c>
      <c r="AK25" s="36" t="s">
        <v>202</v>
      </c>
      <c r="AL25" s="36" t="s">
        <v>203</v>
      </c>
      <c r="AM25" s="36" t="s">
        <v>204</v>
      </c>
      <c r="AN25" s="36" t="s">
        <v>205</v>
      </c>
      <c r="AO25" s="36" t="s">
        <v>206</v>
      </c>
      <c r="AP25" s="36">
        <v>20</v>
      </c>
      <c r="AQ25" s="36">
        <v>1</v>
      </c>
      <c r="AR25" s="36"/>
      <c r="AS25" s="36"/>
      <c r="AT25" s="36" t="s">
        <v>207</v>
      </c>
      <c r="AU25" s="36" t="s">
        <v>208</v>
      </c>
      <c r="AV25" s="36" t="s">
        <v>209</v>
      </c>
      <c r="AW25" s="36" t="s">
        <v>209</v>
      </c>
      <c r="AX25" s="36" t="s">
        <v>210</v>
      </c>
      <c r="AY25" s="36">
        <v>0</v>
      </c>
      <c r="AZ25" s="36" t="s">
        <v>211</v>
      </c>
      <c r="BA25" s="36">
        <v>9044989472405</v>
      </c>
      <c r="BB25" s="36"/>
      <c r="BC25" s="36"/>
      <c r="BD25" s="36">
        <v>1</v>
      </c>
      <c r="BE25" s="36"/>
      <c r="BF25" s="36" t="s">
        <v>212</v>
      </c>
      <c r="BG25" s="36">
        <v>1333314600</v>
      </c>
      <c r="BH25" s="36" t="s">
        <v>213</v>
      </c>
      <c r="BI25" s="36">
        <v>5</v>
      </c>
      <c r="BJ25" s="36">
        <v>5</v>
      </c>
      <c r="BK25" s="36"/>
      <c r="BL25" s="36" t="s">
        <v>214</v>
      </c>
      <c r="BM25" s="36"/>
      <c r="BN25" s="36"/>
    </row>
    <row r="26" spans="1:66" x14ac:dyDescent="0.35">
      <c r="A26" s="36"/>
      <c r="B26" s="36"/>
      <c r="C26" s="37" t="s">
        <v>8</v>
      </c>
      <c r="D26" s="37" t="s">
        <v>8</v>
      </c>
      <c r="E26" s="36"/>
      <c r="F26" s="36" t="s">
        <v>192</v>
      </c>
      <c r="G26" s="36" t="s">
        <v>1</v>
      </c>
      <c r="H26" s="36">
        <v>0</v>
      </c>
      <c r="I26" s="36" t="s">
        <v>193</v>
      </c>
      <c r="J26" s="36" t="s">
        <v>194</v>
      </c>
      <c r="K26" s="36" t="s">
        <v>195</v>
      </c>
      <c r="L26" s="36">
        <v>923</v>
      </c>
      <c r="M26" s="36"/>
      <c r="N26" s="36" t="s">
        <v>196</v>
      </c>
      <c r="O26" s="36" t="s">
        <v>197</v>
      </c>
      <c r="P26" s="36">
        <v>2</v>
      </c>
      <c r="Q26" s="36" t="s">
        <v>198</v>
      </c>
      <c r="R26" s="37">
        <v>244566</v>
      </c>
      <c r="S26" s="37" t="s">
        <v>8</v>
      </c>
      <c r="T26" s="36" t="s">
        <v>199</v>
      </c>
      <c r="U26" s="36">
        <v>23104868</v>
      </c>
      <c r="V26" s="36" t="s">
        <v>71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/>
      <c r="AH26" s="36"/>
      <c r="AI26" s="36" t="s">
        <v>200</v>
      </c>
      <c r="AJ26" s="36" t="s">
        <v>201</v>
      </c>
      <c r="AK26" s="36" t="s">
        <v>202</v>
      </c>
      <c r="AL26" s="36" t="s">
        <v>203</v>
      </c>
      <c r="AM26" s="36" t="s">
        <v>204</v>
      </c>
      <c r="AN26" s="36" t="s">
        <v>205</v>
      </c>
      <c r="AO26" s="36" t="s">
        <v>206</v>
      </c>
      <c r="AP26" s="36">
        <v>20</v>
      </c>
      <c r="AQ26" s="36">
        <v>1</v>
      </c>
      <c r="AR26" s="36"/>
      <c r="AS26" s="36"/>
      <c r="AT26" s="36" t="s">
        <v>207</v>
      </c>
      <c r="AU26" s="36" t="s">
        <v>208</v>
      </c>
      <c r="AV26" s="36" t="s">
        <v>217</v>
      </c>
      <c r="AW26" s="36" t="s">
        <v>209</v>
      </c>
      <c r="AX26" s="36" t="s">
        <v>210</v>
      </c>
      <c r="AY26" s="36">
        <v>0</v>
      </c>
      <c r="AZ26" s="36" t="s">
        <v>211</v>
      </c>
      <c r="BA26" s="36">
        <v>9044989472405</v>
      </c>
      <c r="BB26" s="36"/>
      <c r="BC26" s="36"/>
      <c r="BD26" s="36">
        <v>1</v>
      </c>
      <c r="BE26" s="36"/>
      <c r="BF26" s="36" t="s">
        <v>212</v>
      </c>
      <c r="BG26" s="36">
        <v>1333314600</v>
      </c>
      <c r="BH26" s="36" t="s">
        <v>213</v>
      </c>
      <c r="BI26" s="36">
        <v>0</v>
      </c>
      <c r="BJ26" s="36">
        <v>0</v>
      </c>
      <c r="BK26" s="36"/>
      <c r="BL26" s="36" t="s">
        <v>214</v>
      </c>
      <c r="BM26" s="36"/>
      <c r="BN26" s="36"/>
    </row>
    <row r="27" spans="1:66" x14ac:dyDescent="0.35">
      <c r="A27" s="36"/>
      <c r="B27" s="36"/>
      <c r="C27" s="37" t="s">
        <v>8</v>
      </c>
      <c r="D27" s="37" t="s">
        <v>8</v>
      </c>
      <c r="E27" s="36"/>
      <c r="F27" s="36" t="s">
        <v>192</v>
      </c>
      <c r="G27" s="36" t="s">
        <v>1</v>
      </c>
      <c r="H27" s="36">
        <v>0</v>
      </c>
      <c r="I27" s="36" t="s">
        <v>193</v>
      </c>
      <c r="J27" s="36" t="s">
        <v>194</v>
      </c>
      <c r="K27" s="36" t="s">
        <v>195</v>
      </c>
      <c r="L27" s="36">
        <v>923</v>
      </c>
      <c r="M27" s="36"/>
      <c r="N27" s="36" t="s">
        <v>196</v>
      </c>
      <c r="O27" s="36" t="s">
        <v>197</v>
      </c>
      <c r="P27" s="36">
        <v>2</v>
      </c>
      <c r="Q27" s="36" t="s">
        <v>198</v>
      </c>
      <c r="R27" s="37">
        <v>244566</v>
      </c>
      <c r="S27" s="37" t="s">
        <v>8</v>
      </c>
      <c r="T27" s="36" t="s">
        <v>199</v>
      </c>
      <c r="U27" s="36">
        <v>23058587</v>
      </c>
      <c r="V27" s="36" t="s">
        <v>32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/>
      <c r="AH27" s="36"/>
      <c r="AI27" s="36" t="s">
        <v>200</v>
      </c>
      <c r="AJ27" s="36" t="s">
        <v>201</v>
      </c>
      <c r="AK27" s="36" t="s">
        <v>215</v>
      </c>
      <c r="AL27" s="36" t="s">
        <v>203</v>
      </c>
      <c r="AM27" s="36" t="s">
        <v>204</v>
      </c>
      <c r="AN27" s="36" t="s">
        <v>205</v>
      </c>
      <c r="AO27" s="36" t="s">
        <v>206</v>
      </c>
      <c r="AP27" s="36">
        <v>20</v>
      </c>
      <c r="AQ27" s="36">
        <v>1</v>
      </c>
      <c r="AR27" s="36"/>
      <c r="AS27" s="36"/>
      <c r="AT27" s="36" t="s">
        <v>207</v>
      </c>
      <c r="AU27" s="36" t="s">
        <v>208</v>
      </c>
      <c r="AV27" s="36" t="s">
        <v>209</v>
      </c>
      <c r="AW27" s="36" t="s">
        <v>209</v>
      </c>
      <c r="AX27" s="36" t="s">
        <v>210</v>
      </c>
      <c r="AY27" s="36">
        <v>0</v>
      </c>
      <c r="AZ27" s="36" t="s">
        <v>211</v>
      </c>
      <c r="BA27" s="36">
        <v>9044989472405</v>
      </c>
      <c r="BB27" s="36"/>
      <c r="BC27" s="36"/>
      <c r="BD27" s="36">
        <v>1</v>
      </c>
      <c r="BE27" s="36"/>
      <c r="BF27" s="36" t="s">
        <v>212</v>
      </c>
      <c r="BG27" s="36">
        <v>1333314600</v>
      </c>
      <c r="BH27" s="36" t="s">
        <v>213</v>
      </c>
      <c r="BI27" s="36">
        <v>0</v>
      </c>
      <c r="BJ27" s="36">
        <v>0</v>
      </c>
      <c r="BK27" s="36"/>
      <c r="BL27" s="36" t="s">
        <v>214</v>
      </c>
      <c r="BM27" s="36"/>
      <c r="BN27" s="36"/>
    </row>
    <row r="28" spans="1:66" x14ac:dyDescent="0.35">
      <c r="A28" s="36"/>
      <c r="B28" s="36"/>
      <c r="C28" s="37" t="s">
        <v>8</v>
      </c>
      <c r="D28" s="37" t="s">
        <v>8</v>
      </c>
      <c r="E28" s="36"/>
      <c r="F28" s="36" t="s">
        <v>192</v>
      </c>
      <c r="G28" s="36" t="s">
        <v>1</v>
      </c>
      <c r="H28" s="36">
        <v>0</v>
      </c>
      <c r="I28" s="36" t="s">
        <v>193</v>
      </c>
      <c r="J28" s="36" t="s">
        <v>194</v>
      </c>
      <c r="K28" s="36" t="s">
        <v>195</v>
      </c>
      <c r="L28" s="36">
        <v>923</v>
      </c>
      <c r="M28" s="36"/>
      <c r="N28" s="36" t="s">
        <v>196</v>
      </c>
      <c r="O28" s="36" t="s">
        <v>197</v>
      </c>
      <c r="P28" s="36">
        <v>2</v>
      </c>
      <c r="Q28" s="36" t="s">
        <v>198</v>
      </c>
      <c r="R28" s="37">
        <v>244566</v>
      </c>
      <c r="S28" s="37" t="s">
        <v>8</v>
      </c>
      <c r="T28" s="36" t="s">
        <v>199</v>
      </c>
      <c r="U28" s="36">
        <v>23058586</v>
      </c>
      <c r="V28" s="36" t="s">
        <v>31</v>
      </c>
      <c r="W28" s="36">
        <v>5</v>
      </c>
      <c r="X28" s="36">
        <v>5</v>
      </c>
      <c r="Y28" s="36">
        <v>5</v>
      </c>
      <c r="Z28" s="36">
        <v>5</v>
      </c>
      <c r="AA28" s="36">
        <v>0</v>
      </c>
      <c r="AB28" s="36">
        <v>0</v>
      </c>
      <c r="AC28" s="36">
        <v>0</v>
      </c>
      <c r="AD28" s="36">
        <v>0</v>
      </c>
      <c r="AE28" s="36">
        <v>5</v>
      </c>
      <c r="AF28" s="36">
        <v>5</v>
      </c>
      <c r="AG28" s="36"/>
      <c r="AH28" s="36"/>
      <c r="AI28" s="36" t="s">
        <v>200</v>
      </c>
      <c r="AJ28" s="36" t="s">
        <v>201</v>
      </c>
      <c r="AK28" s="36" t="s">
        <v>215</v>
      </c>
      <c r="AL28" s="36" t="s">
        <v>203</v>
      </c>
      <c r="AM28" s="36" t="s">
        <v>204</v>
      </c>
      <c r="AN28" s="36" t="s">
        <v>205</v>
      </c>
      <c r="AO28" s="36" t="s">
        <v>206</v>
      </c>
      <c r="AP28" s="36">
        <v>20</v>
      </c>
      <c r="AQ28" s="36">
        <v>1</v>
      </c>
      <c r="AR28" s="36"/>
      <c r="AS28" s="36"/>
      <c r="AT28" s="36" t="s">
        <v>207</v>
      </c>
      <c r="AU28" s="36" t="s">
        <v>208</v>
      </c>
      <c r="AV28" s="36" t="s">
        <v>209</v>
      </c>
      <c r="AW28" s="36" t="s">
        <v>209</v>
      </c>
      <c r="AX28" s="36" t="s">
        <v>210</v>
      </c>
      <c r="AY28" s="36">
        <v>0</v>
      </c>
      <c r="AZ28" s="36" t="s">
        <v>211</v>
      </c>
      <c r="BA28" s="36">
        <v>9044989472405</v>
      </c>
      <c r="BB28" s="36"/>
      <c r="BC28" s="36"/>
      <c r="BD28" s="36">
        <v>1</v>
      </c>
      <c r="BE28" s="36"/>
      <c r="BF28" s="36" t="s">
        <v>212</v>
      </c>
      <c r="BG28" s="36">
        <v>1333314600</v>
      </c>
      <c r="BH28" s="36" t="s">
        <v>213</v>
      </c>
      <c r="BI28" s="36">
        <v>5</v>
      </c>
      <c r="BJ28" s="36">
        <v>5</v>
      </c>
      <c r="BK28" s="36"/>
      <c r="BL28" s="36" t="s">
        <v>214</v>
      </c>
      <c r="BM28" s="36"/>
      <c r="BN28" s="36"/>
    </row>
    <row r="29" spans="1:66" x14ac:dyDescent="0.35">
      <c r="A29" s="36"/>
      <c r="B29" s="36"/>
      <c r="C29" s="37" t="s">
        <v>8</v>
      </c>
      <c r="D29" s="37" t="s">
        <v>8</v>
      </c>
      <c r="E29" s="36"/>
      <c r="F29" s="36" t="s">
        <v>192</v>
      </c>
      <c r="G29" s="36" t="s">
        <v>1</v>
      </c>
      <c r="H29" s="36">
        <v>0</v>
      </c>
      <c r="I29" s="36" t="s">
        <v>193</v>
      </c>
      <c r="J29" s="36" t="s">
        <v>194</v>
      </c>
      <c r="K29" s="36" t="s">
        <v>195</v>
      </c>
      <c r="L29" s="36">
        <v>923</v>
      </c>
      <c r="M29" s="36"/>
      <c r="N29" s="36" t="s">
        <v>196</v>
      </c>
      <c r="O29" s="36" t="s">
        <v>197</v>
      </c>
      <c r="P29" s="36">
        <v>2</v>
      </c>
      <c r="Q29" s="36" t="s">
        <v>198</v>
      </c>
      <c r="R29" s="37">
        <v>244566</v>
      </c>
      <c r="S29" s="37" t="s">
        <v>8</v>
      </c>
      <c r="T29" s="36" t="s">
        <v>199</v>
      </c>
      <c r="U29" s="36">
        <v>23057809</v>
      </c>
      <c r="V29" s="36" t="s">
        <v>18</v>
      </c>
      <c r="W29" s="36">
        <v>30</v>
      </c>
      <c r="X29" s="36">
        <v>30</v>
      </c>
      <c r="Y29" s="36">
        <v>30</v>
      </c>
      <c r="Z29" s="36">
        <v>30</v>
      </c>
      <c r="AA29" s="36">
        <v>0</v>
      </c>
      <c r="AB29" s="36">
        <v>0</v>
      </c>
      <c r="AC29" s="36">
        <v>0</v>
      </c>
      <c r="AD29" s="36">
        <v>0</v>
      </c>
      <c r="AE29" s="36">
        <v>30</v>
      </c>
      <c r="AF29" s="36">
        <v>30</v>
      </c>
      <c r="AG29" s="36"/>
      <c r="AH29" s="36"/>
      <c r="AI29" s="36" t="s">
        <v>200</v>
      </c>
      <c r="AJ29" s="36" t="s">
        <v>201</v>
      </c>
      <c r="AK29" s="36" t="s">
        <v>202</v>
      </c>
      <c r="AL29" s="36" t="s">
        <v>203</v>
      </c>
      <c r="AM29" s="36" t="s">
        <v>204</v>
      </c>
      <c r="AN29" s="36" t="s">
        <v>205</v>
      </c>
      <c r="AO29" s="36" t="s">
        <v>206</v>
      </c>
      <c r="AP29" s="36">
        <v>20</v>
      </c>
      <c r="AQ29" s="36">
        <v>1</v>
      </c>
      <c r="AR29" s="36"/>
      <c r="AS29" s="36"/>
      <c r="AT29" s="36" t="s">
        <v>207</v>
      </c>
      <c r="AU29" s="36" t="s">
        <v>208</v>
      </c>
      <c r="AV29" s="36" t="s">
        <v>209</v>
      </c>
      <c r="AW29" s="36" t="s">
        <v>209</v>
      </c>
      <c r="AX29" s="36" t="s">
        <v>210</v>
      </c>
      <c r="AY29" s="36">
        <v>0</v>
      </c>
      <c r="AZ29" s="36" t="s">
        <v>211</v>
      </c>
      <c r="BA29" s="36">
        <v>9044989472405</v>
      </c>
      <c r="BB29" s="36"/>
      <c r="BC29" s="36"/>
      <c r="BD29" s="36">
        <v>1</v>
      </c>
      <c r="BE29" s="36"/>
      <c r="BF29" s="36" t="s">
        <v>212</v>
      </c>
      <c r="BG29" s="36">
        <v>1333314600</v>
      </c>
      <c r="BH29" s="36" t="s">
        <v>213</v>
      </c>
      <c r="BI29" s="36">
        <v>30</v>
      </c>
      <c r="BJ29" s="36">
        <v>30</v>
      </c>
      <c r="BK29" s="36"/>
      <c r="BL29" s="36" t="s">
        <v>214</v>
      </c>
      <c r="BM29" s="36"/>
      <c r="BN29" s="36"/>
    </row>
    <row r="30" spans="1:66" x14ac:dyDescent="0.35">
      <c r="A30" s="36"/>
      <c r="B30" s="36"/>
      <c r="C30" s="37" t="s">
        <v>8</v>
      </c>
      <c r="D30" s="37" t="s">
        <v>8</v>
      </c>
      <c r="E30" s="36"/>
      <c r="F30" s="36" t="s">
        <v>192</v>
      </c>
      <c r="G30" s="36" t="s">
        <v>1</v>
      </c>
      <c r="H30" s="36">
        <v>0</v>
      </c>
      <c r="I30" s="36" t="s">
        <v>193</v>
      </c>
      <c r="J30" s="36" t="s">
        <v>194</v>
      </c>
      <c r="K30" s="36" t="s">
        <v>195</v>
      </c>
      <c r="L30" s="36">
        <v>923</v>
      </c>
      <c r="M30" s="36"/>
      <c r="N30" s="36" t="s">
        <v>196</v>
      </c>
      <c r="O30" s="36" t="s">
        <v>197</v>
      </c>
      <c r="P30" s="36">
        <v>2</v>
      </c>
      <c r="Q30" s="36" t="s">
        <v>198</v>
      </c>
      <c r="R30" s="37">
        <v>244566</v>
      </c>
      <c r="S30" s="37" t="s">
        <v>8</v>
      </c>
      <c r="T30" s="36" t="s">
        <v>199</v>
      </c>
      <c r="U30" s="36">
        <v>23062111</v>
      </c>
      <c r="V30" s="36" t="s">
        <v>110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6"/>
      <c r="AH30" s="36"/>
      <c r="AI30" s="36" t="s">
        <v>200</v>
      </c>
      <c r="AJ30" s="36" t="s">
        <v>201</v>
      </c>
      <c r="AK30" s="36" t="s">
        <v>215</v>
      </c>
      <c r="AL30" s="36" t="s">
        <v>203</v>
      </c>
      <c r="AM30" s="36" t="s">
        <v>204</v>
      </c>
      <c r="AN30" s="36" t="s">
        <v>205</v>
      </c>
      <c r="AO30" s="36" t="s">
        <v>206</v>
      </c>
      <c r="AP30" s="36">
        <v>20</v>
      </c>
      <c r="AQ30" s="36">
        <v>1</v>
      </c>
      <c r="AR30" s="36"/>
      <c r="AS30" s="36"/>
      <c r="AT30" s="36" t="s">
        <v>207</v>
      </c>
      <c r="AU30" s="36" t="s">
        <v>208</v>
      </c>
      <c r="AV30" s="36" t="s">
        <v>209</v>
      </c>
      <c r="AW30" s="36" t="s">
        <v>209</v>
      </c>
      <c r="AX30" s="36" t="s">
        <v>210</v>
      </c>
      <c r="AY30" s="36">
        <v>0</v>
      </c>
      <c r="AZ30" s="36" t="s">
        <v>211</v>
      </c>
      <c r="BA30" s="36">
        <v>9044989472405</v>
      </c>
      <c r="BB30" s="36"/>
      <c r="BC30" s="36"/>
      <c r="BD30" s="36">
        <v>1</v>
      </c>
      <c r="BE30" s="36"/>
      <c r="BF30" s="36" t="s">
        <v>212</v>
      </c>
      <c r="BG30" s="36">
        <v>1333314600</v>
      </c>
      <c r="BH30" s="36" t="s">
        <v>213</v>
      </c>
      <c r="BI30" s="36">
        <v>0</v>
      </c>
      <c r="BJ30" s="36">
        <v>0</v>
      </c>
      <c r="BK30" s="36"/>
      <c r="BL30" s="36" t="s">
        <v>214</v>
      </c>
      <c r="BM30" s="36"/>
      <c r="BN30" s="36"/>
    </row>
    <row r="31" spans="1:66" x14ac:dyDescent="0.35">
      <c r="A31" s="36"/>
      <c r="B31" s="36"/>
      <c r="C31" s="37" t="s">
        <v>8</v>
      </c>
      <c r="D31" s="37" t="s">
        <v>8</v>
      </c>
      <c r="E31" s="36"/>
      <c r="F31" s="36" t="s">
        <v>192</v>
      </c>
      <c r="G31" s="36" t="s">
        <v>1</v>
      </c>
      <c r="H31" s="36">
        <v>0</v>
      </c>
      <c r="I31" s="36" t="s">
        <v>193</v>
      </c>
      <c r="J31" s="36" t="s">
        <v>194</v>
      </c>
      <c r="K31" s="36" t="s">
        <v>195</v>
      </c>
      <c r="L31" s="36">
        <v>923</v>
      </c>
      <c r="M31" s="36"/>
      <c r="N31" s="36" t="s">
        <v>196</v>
      </c>
      <c r="O31" s="36" t="s">
        <v>197</v>
      </c>
      <c r="P31" s="36">
        <v>2</v>
      </c>
      <c r="Q31" s="36" t="s">
        <v>198</v>
      </c>
      <c r="R31" s="37">
        <v>244566</v>
      </c>
      <c r="S31" s="37" t="s">
        <v>8</v>
      </c>
      <c r="T31" s="36" t="s">
        <v>199</v>
      </c>
      <c r="U31" s="36">
        <v>23067590</v>
      </c>
      <c r="V31" s="36" t="s">
        <v>113</v>
      </c>
      <c r="W31" s="36">
        <v>110</v>
      </c>
      <c r="X31" s="36">
        <v>110</v>
      </c>
      <c r="Y31" s="36">
        <v>110</v>
      </c>
      <c r="Z31" s="36">
        <v>110</v>
      </c>
      <c r="AA31" s="36">
        <v>0</v>
      </c>
      <c r="AB31" s="36">
        <v>0</v>
      </c>
      <c r="AC31" s="36">
        <v>0</v>
      </c>
      <c r="AD31" s="36">
        <v>0</v>
      </c>
      <c r="AE31" s="36">
        <v>110</v>
      </c>
      <c r="AF31" s="36">
        <v>110</v>
      </c>
      <c r="AG31" s="36"/>
      <c r="AH31" s="36"/>
      <c r="AI31" s="36" t="s">
        <v>200</v>
      </c>
      <c r="AJ31" s="36" t="s">
        <v>201</v>
      </c>
      <c r="AK31" s="36" t="s">
        <v>215</v>
      </c>
      <c r="AL31" s="36" t="s">
        <v>203</v>
      </c>
      <c r="AM31" s="36" t="s">
        <v>204</v>
      </c>
      <c r="AN31" s="36" t="s">
        <v>205</v>
      </c>
      <c r="AO31" s="36" t="s">
        <v>206</v>
      </c>
      <c r="AP31" s="36">
        <v>20</v>
      </c>
      <c r="AQ31" s="36">
        <v>1</v>
      </c>
      <c r="AR31" s="36"/>
      <c r="AS31" s="36"/>
      <c r="AT31" s="36" t="s">
        <v>207</v>
      </c>
      <c r="AU31" s="36" t="s">
        <v>208</v>
      </c>
      <c r="AV31" s="36" t="s">
        <v>209</v>
      </c>
      <c r="AW31" s="36" t="s">
        <v>209</v>
      </c>
      <c r="AX31" s="36" t="s">
        <v>210</v>
      </c>
      <c r="AY31" s="36">
        <v>0</v>
      </c>
      <c r="AZ31" s="36" t="s">
        <v>211</v>
      </c>
      <c r="BA31" s="36">
        <v>9044989472405</v>
      </c>
      <c r="BB31" s="36"/>
      <c r="BC31" s="36"/>
      <c r="BD31" s="36">
        <v>1</v>
      </c>
      <c r="BE31" s="36"/>
      <c r="BF31" s="36" t="s">
        <v>212</v>
      </c>
      <c r="BG31" s="36">
        <v>1333314600</v>
      </c>
      <c r="BH31" s="36" t="s">
        <v>213</v>
      </c>
      <c r="BI31" s="36">
        <v>110</v>
      </c>
      <c r="BJ31" s="36">
        <v>110</v>
      </c>
      <c r="BK31" s="36"/>
      <c r="BL31" s="36" t="s">
        <v>214</v>
      </c>
      <c r="BM31" s="36"/>
      <c r="BN31" s="36"/>
    </row>
    <row r="32" spans="1:66" x14ac:dyDescent="0.35">
      <c r="A32" s="36"/>
      <c r="B32" s="36"/>
      <c r="C32" s="37" t="s">
        <v>8</v>
      </c>
      <c r="D32" s="37" t="s">
        <v>8</v>
      </c>
      <c r="E32" s="36"/>
      <c r="F32" s="36" t="s">
        <v>192</v>
      </c>
      <c r="G32" s="36" t="s">
        <v>1</v>
      </c>
      <c r="H32" s="36">
        <v>0</v>
      </c>
      <c r="I32" s="36" t="s">
        <v>193</v>
      </c>
      <c r="J32" s="36" t="s">
        <v>194</v>
      </c>
      <c r="K32" s="36" t="s">
        <v>195</v>
      </c>
      <c r="L32" s="36">
        <v>923</v>
      </c>
      <c r="M32" s="36"/>
      <c r="N32" s="36" t="s">
        <v>196</v>
      </c>
      <c r="O32" s="36" t="s">
        <v>197</v>
      </c>
      <c r="P32" s="36">
        <v>2</v>
      </c>
      <c r="Q32" s="36" t="s">
        <v>198</v>
      </c>
      <c r="R32" s="37">
        <v>244566</v>
      </c>
      <c r="S32" s="37" t="s">
        <v>8</v>
      </c>
      <c r="T32" s="36" t="s">
        <v>199</v>
      </c>
      <c r="U32" s="36">
        <v>23062107</v>
      </c>
      <c r="V32" s="36" t="s">
        <v>108</v>
      </c>
      <c r="W32" s="36">
        <v>40</v>
      </c>
      <c r="X32" s="36">
        <v>40</v>
      </c>
      <c r="Y32" s="36">
        <v>40</v>
      </c>
      <c r="Z32" s="36">
        <v>40</v>
      </c>
      <c r="AA32" s="36">
        <v>0</v>
      </c>
      <c r="AB32" s="36">
        <v>0</v>
      </c>
      <c r="AC32" s="36">
        <v>0</v>
      </c>
      <c r="AD32" s="36">
        <v>0</v>
      </c>
      <c r="AE32" s="36">
        <v>40</v>
      </c>
      <c r="AF32" s="36">
        <v>40</v>
      </c>
      <c r="AG32" s="36"/>
      <c r="AH32" s="36"/>
      <c r="AI32" s="36" t="s">
        <v>200</v>
      </c>
      <c r="AJ32" s="36" t="s">
        <v>201</v>
      </c>
      <c r="AK32" s="36" t="s">
        <v>215</v>
      </c>
      <c r="AL32" s="36" t="s">
        <v>203</v>
      </c>
      <c r="AM32" s="36" t="s">
        <v>204</v>
      </c>
      <c r="AN32" s="36" t="s">
        <v>205</v>
      </c>
      <c r="AO32" s="36" t="s">
        <v>206</v>
      </c>
      <c r="AP32" s="36">
        <v>20</v>
      </c>
      <c r="AQ32" s="36">
        <v>1</v>
      </c>
      <c r="AR32" s="36"/>
      <c r="AS32" s="36"/>
      <c r="AT32" s="36" t="s">
        <v>207</v>
      </c>
      <c r="AU32" s="36" t="s">
        <v>208</v>
      </c>
      <c r="AV32" s="36" t="s">
        <v>209</v>
      </c>
      <c r="AW32" s="36" t="s">
        <v>209</v>
      </c>
      <c r="AX32" s="36" t="s">
        <v>210</v>
      </c>
      <c r="AY32" s="36">
        <v>0</v>
      </c>
      <c r="AZ32" s="36" t="s">
        <v>211</v>
      </c>
      <c r="BA32" s="36">
        <v>9044989472405</v>
      </c>
      <c r="BB32" s="36"/>
      <c r="BC32" s="36"/>
      <c r="BD32" s="36">
        <v>1</v>
      </c>
      <c r="BE32" s="36"/>
      <c r="BF32" s="36" t="s">
        <v>212</v>
      </c>
      <c r="BG32" s="36">
        <v>1333314600</v>
      </c>
      <c r="BH32" s="36" t="s">
        <v>213</v>
      </c>
      <c r="BI32" s="36">
        <v>40</v>
      </c>
      <c r="BJ32" s="36">
        <v>40</v>
      </c>
      <c r="BK32" s="36"/>
      <c r="BL32" s="36" t="s">
        <v>214</v>
      </c>
      <c r="BM32" s="36"/>
      <c r="BN32" s="36"/>
    </row>
    <row r="33" spans="1:66" x14ac:dyDescent="0.35">
      <c r="A33" s="36"/>
      <c r="B33" s="36"/>
      <c r="C33" s="37" t="s">
        <v>8</v>
      </c>
      <c r="D33" s="37" t="s">
        <v>8</v>
      </c>
      <c r="E33" s="36"/>
      <c r="F33" s="36" t="s">
        <v>192</v>
      </c>
      <c r="G33" s="36" t="s">
        <v>1</v>
      </c>
      <c r="H33" s="36">
        <v>0</v>
      </c>
      <c r="I33" s="36" t="s">
        <v>193</v>
      </c>
      <c r="J33" s="36" t="s">
        <v>194</v>
      </c>
      <c r="K33" s="36" t="s">
        <v>195</v>
      </c>
      <c r="L33" s="36">
        <v>923</v>
      </c>
      <c r="M33" s="36"/>
      <c r="N33" s="36" t="s">
        <v>196</v>
      </c>
      <c r="O33" s="36" t="s">
        <v>197</v>
      </c>
      <c r="P33" s="36">
        <v>2</v>
      </c>
      <c r="Q33" s="36" t="s">
        <v>198</v>
      </c>
      <c r="R33" s="37">
        <v>244566</v>
      </c>
      <c r="S33" s="37" t="s">
        <v>8</v>
      </c>
      <c r="T33" s="36" t="s">
        <v>199</v>
      </c>
      <c r="U33" s="36">
        <v>23058585</v>
      </c>
      <c r="V33" s="36" t="s">
        <v>30</v>
      </c>
      <c r="W33" s="36">
        <v>10</v>
      </c>
      <c r="X33" s="36">
        <v>10</v>
      </c>
      <c r="Y33" s="36">
        <v>10</v>
      </c>
      <c r="Z33" s="36">
        <v>10</v>
      </c>
      <c r="AA33" s="36">
        <v>0</v>
      </c>
      <c r="AB33" s="36">
        <v>0</v>
      </c>
      <c r="AC33" s="36">
        <v>0</v>
      </c>
      <c r="AD33" s="36">
        <v>0</v>
      </c>
      <c r="AE33" s="36">
        <v>10</v>
      </c>
      <c r="AF33" s="36">
        <v>10</v>
      </c>
      <c r="AG33" s="36"/>
      <c r="AH33" s="36"/>
      <c r="AI33" s="36" t="s">
        <v>200</v>
      </c>
      <c r="AJ33" s="36" t="s">
        <v>201</v>
      </c>
      <c r="AK33" s="36" t="s">
        <v>215</v>
      </c>
      <c r="AL33" s="36" t="s">
        <v>203</v>
      </c>
      <c r="AM33" s="36" t="s">
        <v>204</v>
      </c>
      <c r="AN33" s="36" t="s">
        <v>205</v>
      </c>
      <c r="AO33" s="36" t="s">
        <v>206</v>
      </c>
      <c r="AP33" s="36">
        <v>20</v>
      </c>
      <c r="AQ33" s="36">
        <v>1</v>
      </c>
      <c r="AR33" s="36"/>
      <c r="AS33" s="36"/>
      <c r="AT33" s="36" t="s">
        <v>207</v>
      </c>
      <c r="AU33" s="36" t="s">
        <v>208</v>
      </c>
      <c r="AV33" s="36" t="s">
        <v>209</v>
      </c>
      <c r="AW33" s="36" t="s">
        <v>209</v>
      </c>
      <c r="AX33" s="36" t="s">
        <v>210</v>
      </c>
      <c r="AY33" s="36">
        <v>0</v>
      </c>
      <c r="AZ33" s="36" t="s">
        <v>211</v>
      </c>
      <c r="BA33" s="36">
        <v>9044989472405</v>
      </c>
      <c r="BB33" s="36"/>
      <c r="BC33" s="36"/>
      <c r="BD33" s="36">
        <v>1</v>
      </c>
      <c r="BE33" s="36"/>
      <c r="BF33" s="36" t="s">
        <v>212</v>
      </c>
      <c r="BG33" s="36">
        <v>1333314600</v>
      </c>
      <c r="BH33" s="36" t="s">
        <v>213</v>
      </c>
      <c r="BI33" s="36">
        <v>10</v>
      </c>
      <c r="BJ33" s="36">
        <v>10</v>
      </c>
      <c r="BK33" s="36"/>
      <c r="BL33" s="36" t="s">
        <v>214</v>
      </c>
      <c r="BM33" s="36"/>
      <c r="BN33" s="36"/>
    </row>
    <row r="34" spans="1:66" x14ac:dyDescent="0.35">
      <c r="A34" s="36"/>
      <c r="B34" s="36"/>
      <c r="C34" s="37" t="s">
        <v>8</v>
      </c>
      <c r="D34" s="37" t="s">
        <v>8</v>
      </c>
      <c r="E34" s="36"/>
      <c r="F34" s="36" t="s">
        <v>192</v>
      </c>
      <c r="G34" s="36" t="s">
        <v>1</v>
      </c>
      <c r="H34" s="36">
        <v>0</v>
      </c>
      <c r="I34" s="36" t="s">
        <v>193</v>
      </c>
      <c r="J34" s="36" t="s">
        <v>194</v>
      </c>
      <c r="K34" s="36" t="s">
        <v>195</v>
      </c>
      <c r="L34" s="36">
        <v>923</v>
      </c>
      <c r="M34" s="36"/>
      <c r="N34" s="36" t="s">
        <v>196</v>
      </c>
      <c r="O34" s="36" t="s">
        <v>197</v>
      </c>
      <c r="P34" s="36">
        <v>2</v>
      </c>
      <c r="Q34" s="36" t="s">
        <v>198</v>
      </c>
      <c r="R34" s="37">
        <v>244566</v>
      </c>
      <c r="S34" s="37" t="s">
        <v>8</v>
      </c>
      <c r="T34" s="36" t="s">
        <v>199</v>
      </c>
      <c r="U34" s="36">
        <v>23058588</v>
      </c>
      <c r="V34" s="36" t="s">
        <v>114</v>
      </c>
      <c r="W34" s="36">
        <v>5</v>
      </c>
      <c r="X34" s="36">
        <v>5</v>
      </c>
      <c r="Y34" s="36">
        <v>5</v>
      </c>
      <c r="Z34" s="36">
        <v>5</v>
      </c>
      <c r="AA34" s="36">
        <v>0</v>
      </c>
      <c r="AB34" s="36">
        <v>0</v>
      </c>
      <c r="AC34" s="36">
        <v>0</v>
      </c>
      <c r="AD34" s="36">
        <v>0</v>
      </c>
      <c r="AE34" s="36">
        <v>5</v>
      </c>
      <c r="AF34" s="36">
        <v>5</v>
      </c>
      <c r="AG34" s="36"/>
      <c r="AH34" s="36"/>
      <c r="AI34" s="36" t="s">
        <v>200</v>
      </c>
      <c r="AJ34" s="36" t="s">
        <v>201</v>
      </c>
      <c r="AK34" s="36" t="s">
        <v>215</v>
      </c>
      <c r="AL34" s="36" t="s">
        <v>203</v>
      </c>
      <c r="AM34" s="36" t="s">
        <v>204</v>
      </c>
      <c r="AN34" s="36" t="s">
        <v>205</v>
      </c>
      <c r="AO34" s="36" t="s">
        <v>206</v>
      </c>
      <c r="AP34" s="36">
        <v>20</v>
      </c>
      <c r="AQ34" s="36">
        <v>1</v>
      </c>
      <c r="AR34" s="36"/>
      <c r="AS34" s="36"/>
      <c r="AT34" s="36" t="s">
        <v>207</v>
      </c>
      <c r="AU34" s="36" t="s">
        <v>208</v>
      </c>
      <c r="AV34" s="36" t="s">
        <v>209</v>
      </c>
      <c r="AW34" s="36" t="s">
        <v>209</v>
      </c>
      <c r="AX34" s="36" t="s">
        <v>210</v>
      </c>
      <c r="AY34" s="36">
        <v>0</v>
      </c>
      <c r="AZ34" s="36" t="s">
        <v>211</v>
      </c>
      <c r="BA34" s="36">
        <v>9044989472405</v>
      </c>
      <c r="BB34" s="36"/>
      <c r="BC34" s="36"/>
      <c r="BD34" s="36">
        <v>1</v>
      </c>
      <c r="BE34" s="36"/>
      <c r="BF34" s="36" t="s">
        <v>212</v>
      </c>
      <c r="BG34" s="36">
        <v>1333314600</v>
      </c>
      <c r="BH34" s="36" t="s">
        <v>213</v>
      </c>
      <c r="BI34" s="36">
        <v>5</v>
      </c>
      <c r="BJ34" s="36">
        <v>5</v>
      </c>
      <c r="BK34" s="36"/>
      <c r="BL34" s="36" t="s">
        <v>214</v>
      </c>
      <c r="BM34" s="36"/>
      <c r="BN34" s="36"/>
    </row>
    <row r="35" spans="1:66" x14ac:dyDescent="0.35">
      <c r="A35" s="36"/>
      <c r="B35" s="36"/>
      <c r="C35" s="37" t="s">
        <v>8</v>
      </c>
      <c r="D35" s="37" t="s">
        <v>8</v>
      </c>
      <c r="E35" s="36"/>
      <c r="F35" s="36" t="s">
        <v>192</v>
      </c>
      <c r="G35" s="36" t="s">
        <v>1</v>
      </c>
      <c r="H35" s="36">
        <v>0</v>
      </c>
      <c r="I35" s="36" t="s">
        <v>193</v>
      </c>
      <c r="J35" s="36" t="s">
        <v>194</v>
      </c>
      <c r="K35" s="36" t="s">
        <v>195</v>
      </c>
      <c r="L35" s="36">
        <v>923</v>
      </c>
      <c r="M35" s="36"/>
      <c r="N35" s="36" t="s">
        <v>196</v>
      </c>
      <c r="O35" s="36" t="s">
        <v>197</v>
      </c>
      <c r="P35" s="36">
        <v>2</v>
      </c>
      <c r="Q35" s="36" t="s">
        <v>198</v>
      </c>
      <c r="R35" s="37">
        <v>244566</v>
      </c>
      <c r="S35" s="37" t="s">
        <v>8</v>
      </c>
      <c r="T35" s="36" t="s">
        <v>199</v>
      </c>
      <c r="U35" s="36">
        <v>23063759</v>
      </c>
      <c r="V35" s="36" t="s">
        <v>39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</v>
      </c>
      <c r="AC35" s="36">
        <v>0</v>
      </c>
      <c r="AD35" s="36">
        <v>0</v>
      </c>
      <c r="AE35" s="36">
        <v>0</v>
      </c>
      <c r="AF35" s="36">
        <v>0</v>
      </c>
      <c r="AG35" s="36"/>
      <c r="AH35" s="36"/>
      <c r="AI35" s="36" t="s">
        <v>200</v>
      </c>
      <c r="AJ35" s="36" t="s">
        <v>201</v>
      </c>
      <c r="AK35" s="36" t="s">
        <v>215</v>
      </c>
      <c r="AL35" s="36" t="s">
        <v>203</v>
      </c>
      <c r="AM35" s="36" t="s">
        <v>204</v>
      </c>
      <c r="AN35" s="36" t="s">
        <v>205</v>
      </c>
      <c r="AO35" s="36" t="s">
        <v>206</v>
      </c>
      <c r="AP35" s="36">
        <v>20</v>
      </c>
      <c r="AQ35" s="36">
        <v>1</v>
      </c>
      <c r="AR35" s="36"/>
      <c r="AS35" s="36"/>
      <c r="AT35" s="36" t="s">
        <v>207</v>
      </c>
      <c r="AU35" s="36" t="s">
        <v>208</v>
      </c>
      <c r="AV35" s="36" t="s">
        <v>209</v>
      </c>
      <c r="AW35" s="36" t="s">
        <v>209</v>
      </c>
      <c r="AX35" s="36" t="s">
        <v>210</v>
      </c>
      <c r="AY35" s="36">
        <v>0</v>
      </c>
      <c r="AZ35" s="36" t="s">
        <v>211</v>
      </c>
      <c r="BA35" s="36">
        <v>9044989472405</v>
      </c>
      <c r="BB35" s="36"/>
      <c r="BC35" s="36"/>
      <c r="BD35" s="36">
        <v>1</v>
      </c>
      <c r="BE35" s="36"/>
      <c r="BF35" s="36" t="s">
        <v>212</v>
      </c>
      <c r="BG35" s="36">
        <v>1333314600</v>
      </c>
      <c r="BH35" s="36" t="s">
        <v>213</v>
      </c>
      <c r="BI35" s="36">
        <v>0</v>
      </c>
      <c r="BJ35" s="36">
        <v>0</v>
      </c>
      <c r="BK35" s="36"/>
      <c r="BL35" s="36" t="s">
        <v>214</v>
      </c>
      <c r="BM35" s="36"/>
      <c r="BN35" s="36"/>
    </row>
    <row r="36" spans="1:66" x14ac:dyDescent="0.35">
      <c r="A36" s="36"/>
      <c r="B36" s="36"/>
      <c r="C36" s="37" t="s">
        <v>8</v>
      </c>
      <c r="D36" s="37" t="s">
        <v>8</v>
      </c>
      <c r="E36" s="36"/>
      <c r="F36" s="36" t="s">
        <v>192</v>
      </c>
      <c r="G36" s="36" t="s">
        <v>1</v>
      </c>
      <c r="H36" s="36">
        <v>0</v>
      </c>
      <c r="I36" s="36" t="s">
        <v>193</v>
      </c>
      <c r="J36" s="36" t="s">
        <v>194</v>
      </c>
      <c r="K36" s="36" t="s">
        <v>195</v>
      </c>
      <c r="L36" s="36">
        <v>923</v>
      </c>
      <c r="M36" s="36"/>
      <c r="N36" s="36" t="s">
        <v>196</v>
      </c>
      <c r="O36" s="36" t="s">
        <v>197</v>
      </c>
      <c r="P36" s="36">
        <v>2</v>
      </c>
      <c r="Q36" s="36" t="s">
        <v>198</v>
      </c>
      <c r="R36" s="37">
        <v>244566</v>
      </c>
      <c r="S36" s="37" t="s">
        <v>8</v>
      </c>
      <c r="T36" s="36" t="s">
        <v>199</v>
      </c>
      <c r="U36" s="36">
        <v>23087034</v>
      </c>
      <c r="V36" s="36" t="s">
        <v>54</v>
      </c>
      <c r="W36" s="36">
        <v>10</v>
      </c>
      <c r="X36" s="36">
        <v>10</v>
      </c>
      <c r="Y36" s="36">
        <v>10</v>
      </c>
      <c r="Z36" s="36">
        <v>10</v>
      </c>
      <c r="AA36" s="36">
        <v>0</v>
      </c>
      <c r="AB36" s="36">
        <v>0</v>
      </c>
      <c r="AC36" s="36">
        <v>0</v>
      </c>
      <c r="AD36" s="36">
        <v>0</v>
      </c>
      <c r="AE36" s="36">
        <v>10</v>
      </c>
      <c r="AF36" s="36">
        <v>10</v>
      </c>
      <c r="AG36" s="36"/>
      <c r="AH36" s="36"/>
      <c r="AI36" s="36" t="s">
        <v>200</v>
      </c>
      <c r="AJ36" s="36" t="s">
        <v>201</v>
      </c>
      <c r="AK36" s="36" t="s">
        <v>202</v>
      </c>
      <c r="AL36" s="36" t="s">
        <v>203</v>
      </c>
      <c r="AM36" s="36" t="s">
        <v>204</v>
      </c>
      <c r="AN36" s="36" t="s">
        <v>205</v>
      </c>
      <c r="AO36" s="36" t="s">
        <v>206</v>
      </c>
      <c r="AP36" s="36">
        <v>20</v>
      </c>
      <c r="AQ36" s="36">
        <v>1</v>
      </c>
      <c r="AR36" s="36"/>
      <c r="AS36" s="36"/>
      <c r="AT36" s="36" t="s">
        <v>207</v>
      </c>
      <c r="AU36" s="36" t="s">
        <v>208</v>
      </c>
      <c r="AV36" s="36" t="s">
        <v>209</v>
      </c>
      <c r="AW36" s="36" t="s">
        <v>209</v>
      </c>
      <c r="AX36" s="36" t="s">
        <v>210</v>
      </c>
      <c r="AY36" s="36">
        <v>0</v>
      </c>
      <c r="AZ36" s="36" t="s">
        <v>211</v>
      </c>
      <c r="BA36" s="36">
        <v>9044989472405</v>
      </c>
      <c r="BB36" s="36"/>
      <c r="BC36" s="36"/>
      <c r="BD36" s="36">
        <v>1</v>
      </c>
      <c r="BE36" s="36"/>
      <c r="BF36" s="36" t="s">
        <v>212</v>
      </c>
      <c r="BG36" s="36">
        <v>1333314600</v>
      </c>
      <c r="BH36" s="36" t="s">
        <v>213</v>
      </c>
      <c r="BI36" s="36">
        <v>10</v>
      </c>
      <c r="BJ36" s="36">
        <v>10</v>
      </c>
      <c r="BK36" s="36"/>
      <c r="BL36" s="36" t="s">
        <v>214</v>
      </c>
      <c r="BM36" s="36"/>
      <c r="BN36" s="36"/>
    </row>
    <row r="37" spans="1:66" x14ac:dyDescent="0.35">
      <c r="A37" s="36"/>
      <c r="B37" s="36"/>
      <c r="C37" s="37" t="s">
        <v>8</v>
      </c>
      <c r="D37" s="37" t="s">
        <v>8</v>
      </c>
      <c r="E37" s="36"/>
      <c r="F37" s="36" t="s">
        <v>192</v>
      </c>
      <c r="G37" s="36" t="s">
        <v>1</v>
      </c>
      <c r="H37" s="36">
        <v>0</v>
      </c>
      <c r="I37" s="36" t="s">
        <v>193</v>
      </c>
      <c r="J37" s="36" t="s">
        <v>194</v>
      </c>
      <c r="K37" s="36" t="s">
        <v>195</v>
      </c>
      <c r="L37" s="36">
        <v>923</v>
      </c>
      <c r="M37" s="36"/>
      <c r="N37" s="36" t="s">
        <v>196</v>
      </c>
      <c r="O37" s="36" t="s">
        <v>197</v>
      </c>
      <c r="P37" s="36">
        <v>2</v>
      </c>
      <c r="Q37" s="36" t="s">
        <v>198</v>
      </c>
      <c r="R37" s="37">
        <v>244566</v>
      </c>
      <c r="S37" s="37" t="s">
        <v>8</v>
      </c>
      <c r="T37" s="36" t="s">
        <v>199</v>
      </c>
      <c r="U37" s="36">
        <v>23086658</v>
      </c>
      <c r="V37" s="36" t="s">
        <v>53</v>
      </c>
      <c r="W37" s="36">
        <v>20</v>
      </c>
      <c r="X37" s="36">
        <v>20</v>
      </c>
      <c r="Y37" s="36">
        <v>20</v>
      </c>
      <c r="Z37" s="36">
        <v>20</v>
      </c>
      <c r="AA37" s="36">
        <v>0</v>
      </c>
      <c r="AB37" s="36">
        <v>0</v>
      </c>
      <c r="AC37" s="36">
        <v>0</v>
      </c>
      <c r="AD37" s="36">
        <v>0</v>
      </c>
      <c r="AE37" s="36">
        <v>20</v>
      </c>
      <c r="AF37" s="36">
        <v>20</v>
      </c>
      <c r="AG37" s="36"/>
      <c r="AH37" s="36"/>
      <c r="AI37" s="36" t="s">
        <v>200</v>
      </c>
      <c r="AJ37" s="36" t="s">
        <v>201</v>
      </c>
      <c r="AK37" s="36" t="s">
        <v>202</v>
      </c>
      <c r="AL37" s="36" t="s">
        <v>203</v>
      </c>
      <c r="AM37" s="36" t="s">
        <v>204</v>
      </c>
      <c r="AN37" s="36" t="s">
        <v>205</v>
      </c>
      <c r="AO37" s="36" t="s">
        <v>206</v>
      </c>
      <c r="AP37" s="36">
        <v>20</v>
      </c>
      <c r="AQ37" s="36">
        <v>1</v>
      </c>
      <c r="AR37" s="36"/>
      <c r="AS37" s="36"/>
      <c r="AT37" s="36" t="s">
        <v>207</v>
      </c>
      <c r="AU37" s="36" t="s">
        <v>208</v>
      </c>
      <c r="AV37" s="36" t="s">
        <v>209</v>
      </c>
      <c r="AW37" s="36" t="s">
        <v>209</v>
      </c>
      <c r="AX37" s="36" t="s">
        <v>210</v>
      </c>
      <c r="AY37" s="36">
        <v>0</v>
      </c>
      <c r="AZ37" s="36" t="s">
        <v>211</v>
      </c>
      <c r="BA37" s="36">
        <v>9044989472405</v>
      </c>
      <c r="BB37" s="36"/>
      <c r="BC37" s="36"/>
      <c r="BD37" s="36">
        <v>1</v>
      </c>
      <c r="BE37" s="36"/>
      <c r="BF37" s="36" t="s">
        <v>212</v>
      </c>
      <c r="BG37" s="36">
        <v>1333314600</v>
      </c>
      <c r="BH37" s="36" t="s">
        <v>213</v>
      </c>
      <c r="BI37" s="36">
        <v>20</v>
      </c>
      <c r="BJ37" s="36">
        <v>20</v>
      </c>
      <c r="BK37" s="36"/>
      <c r="BL37" s="36" t="s">
        <v>214</v>
      </c>
      <c r="BM37" s="36"/>
      <c r="BN37" s="36"/>
    </row>
    <row r="38" spans="1:66" x14ac:dyDescent="0.35">
      <c r="A38" s="36"/>
      <c r="B38" s="36"/>
      <c r="C38" s="37" t="s">
        <v>8</v>
      </c>
      <c r="D38" s="37" t="s">
        <v>8</v>
      </c>
      <c r="E38" s="36"/>
      <c r="F38" s="36" t="s">
        <v>192</v>
      </c>
      <c r="G38" s="36" t="s">
        <v>1</v>
      </c>
      <c r="H38" s="36">
        <v>0</v>
      </c>
      <c r="I38" s="36" t="s">
        <v>193</v>
      </c>
      <c r="J38" s="36" t="s">
        <v>194</v>
      </c>
      <c r="K38" s="36" t="s">
        <v>195</v>
      </c>
      <c r="L38" s="36">
        <v>923</v>
      </c>
      <c r="M38" s="36"/>
      <c r="N38" s="36" t="s">
        <v>196</v>
      </c>
      <c r="O38" s="36" t="s">
        <v>197</v>
      </c>
      <c r="P38" s="36">
        <v>2</v>
      </c>
      <c r="Q38" s="36" t="s">
        <v>198</v>
      </c>
      <c r="R38" s="37">
        <v>244566</v>
      </c>
      <c r="S38" s="37" t="s">
        <v>8</v>
      </c>
      <c r="T38" s="36" t="s">
        <v>199</v>
      </c>
      <c r="U38" s="36">
        <v>23062103</v>
      </c>
      <c r="V38" s="36" t="s">
        <v>111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  <c r="AD38" s="36">
        <v>0</v>
      </c>
      <c r="AE38" s="36">
        <v>0</v>
      </c>
      <c r="AF38" s="36">
        <v>0</v>
      </c>
      <c r="AG38" s="36"/>
      <c r="AH38" s="36"/>
      <c r="AI38" s="36" t="s">
        <v>200</v>
      </c>
      <c r="AJ38" s="36" t="s">
        <v>201</v>
      </c>
      <c r="AK38" s="36" t="s">
        <v>215</v>
      </c>
      <c r="AL38" s="36" t="s">
        <v>203</v>
      </c>
      <c r="AM38" s="36" t="s">
        <v>204</v>
      </c>
      <c r="AN38" s="36" t="s">
        <v>205</v>
      </c>
      <c r="AO38" s="36" t="s">
        <v>206</v>
      </c>
      <c r="AP38" s="36">
        <v>20</v>
      </c>
      <c r="AQ38" s="36">
        <v>1</v>
      </c>
      <c r="AR38" s="36"/>
      <c r="AS38" s="36"/>
      <c r="AT38" s="36" t="s">
        <v>207</v>
      </c>
      <c r="AU38" s="36" t="s">
        <v>208</v>
      </c>
      <c r="AV38" s="36" t="s">
        <v>209</v>
      </c>
      <c r="AW38" s="36" t="s">
        <v>209</v>
      </c>
      <c r="AX38" s="36" t="s">
        <v>210</v>
      </c>
      <c r="AY38" s="36">
        <v>0</v>
      </c>
      <c r="AZ38" s="36" t="s">
        <v>211</v>
      </c>
      <c r="BA38" s="36">
        <v>9044989472405</v>
      </c>
      <c r="BB38" s="36"/>
      <c r="BC38" s="36"/>
      <c r="BD38" s="36">
        <v>1</v>
      </c>
      <c r="BE38" s="36"/>
      <c r="BF38" s="36" t="s">
        <v>212</v>
      </c>
      <c r="BG38" s="36">
        <v>1333314600</v>
      </c>
      <c r="BH38" s="36" t="s">
        <v>213</v>
      </c>
      <c r="BI38" s="36">
        <v>0</v>
      </c>
      <c r="BJ38" s="36">
        <v>0</v>
      </c>
      <c r="BK38" s="36"/>
      <c r="BL38" s="36" t="s">
        <v>214</v>
      </c>
      <c r="BM38" s="36"/>
      <c r="BN38" s="36"/>
    </row>
    <row r="39" spans="1:66" x14ac:dyDescent="0.35">
      <c r="A39" s="36"/>
      <c r="B39" s="36"/>
      <c r="C39" s="37" t="s">
        <v>8</v>
      </c>
      <c r="D39" s="37" t="s">
        <v>8</v>
      </c>
      <c r="E39" s="36"/>
      <c r="F39" s="36" t="s">
        <v>192</v>
      </c>
      <c r="G39" s="36" t="s">
        <v>1</v>
      </c>
      <c r="H39" s="36">
        <v>0</v>
      </c>
      <c r="I39" s="36" t="s">
        <v>193</v>
      </c>
      <c r="J39" s="36" t="s">
        <v>194</v>
      </c>
      <c r="K39" s="36" t="s">
        <v>195</v>
      </c>
      <c r="L39" s="36">
        <v>923</v>
      </c>
      <c r="M39" s="36"/>
      <c r="N39" s="36" t="s">
        <v>196</v>
      </c>
      <c r="O39" s="36" t="s">
        <v>197</v>
      </c>
      <c r="P39" s="36">
        <v>2</v>
      </c>
      <c r="Q39" s="36" t="s">
        <v>198</v>
      </c>
      <c r="R39" s="37">
        <v>244566</v>
      </c>
      <c r="S39" s="37" t="s">
        <v>8</v>
      </c>
      <c r="T39" s="36" t="s">
        <v>199</v>
      </c>
      <c r="U39" s="36">
        <v>23065140</v>
      </c>
      <c r="V39" s="36" t="s">
        <v>40</v>
      </c>
      <c r="W39" s="36">
        <v>40</v>
      </c>
      <c r="X39" s="36">
        <v>40</v>
      </c>
      <c r="Y39" s="36">
        <v>40</v>
      </c>
      <c r="Z39" s="36">
        <v>40</v>
      </c>
      <c r="AA39" s="36">
        <v>0</v>
      </c>
      <c r="AB39" s="36">
        <v>0</v>
      </c>
      <c r="AC39" s="36">
        <v>0</v>
      </c>
      <c r="AD39" s="36">
        <v>0</v>
      </c>
      <c r="AE39" s="36">
        <v>40</v>
      </c>
      <c r="AF39" s="36">
        <v>40</v>
      </c>
      <c r="AG39" s="36"/>
      <c r="AH39" s="36"/>
      <c r="AI39" s="36" t="s">
        <v>200</v>
      </c>
      <c r="AJ39" s="36" t="s">
        <v>201</v>
      </c>
      <c r="AK39" s="36" t="s">
        <v>202</v>
      </c>
      <c r="AL39" s="36" t="s">
        <v>203</v>
      </c>
      <c r="AM39" s="36" t="s">
        <v>204</v>
      </c>
      <c r="AN39" s="36" t="s">
        <v>205</v>
      </c>
      <c r="AO39" s="36" t="s">
        <v>206</v>
      </c>
      <c r="AP39" s="36">
        <v>20</v>
      </c>
      <c r="AQ39" s="36">
        <v>1</v>
      </c>
      <c r="AR39" s="36"/>
      <c r="AS39" s="36"/>
      <c r="AT39" s="36" t="s">
        <v>207</v>
      </c>
      <c r="AU39" s="36" t="s">
        <v>208</v>
      </c>
      <c r="AV39" s="36" t="s">
        <v>209</v>
      </c>
      <c r="AW39" s="36" t="s">
        <v>209</v>
      </c>
      <c r="AX39" s="36" t="s">
        <v>210</v>
      </c>
      <c r="AY39" s="36">
        <v>0</v>
      </c>
      <c r="AZ39" s="36" t="s">
        <v>211</v>
      </c>
      <c r="BA39" s="36">
        <v>9044989472405</v>
      </c>
      <c r="BB39" s="36"/>
      <c r="BC39" s="36"/>
      <c r="BD39" s="36">
        <v>1</v>
      </c>
      <c r="BE39" s="36"/>
      <c r="BF39" s="36" t="s">
        <v>212</v>
      </c>
      <c r="BG39" s="36">
        <v>1333314600</v>
      </c>
      <c r="BH39" s="36" t="s">
        <v>213</v>
      </c>
      <c r="BI39" s="36">
        <v>40</v>
      </c>
      <c r="BJ39" s="36">
        <v>40</v>
      </c>
      <c r="BK39" s="36"/>
      <c r="BL39" s="36" t="s">
        <v>214</v>
      </c>
      <c r="BM39" s="36"/>
      <c r="BN39" s="36"/>
    </row>
    <row r="40" spans="1:66" x14ac:dyDescent="0.35">
      <c r="A40" s="36"/>
      <c r="B40" s="36"/>
      <c r="C40" s="37" t="s">
        <v>8</v>
      </c>
      <c r="D40" s="37" t="s">
        <v>8</v>
      </c>
      <c r="E40" s="36"/>
      <c r="F40" s="36" t="s">
        <v>192</v>
      </c>
      <c r="G40" s="36" t="s">
        <v>1</v>
      </c>
      <c r="H40" s="36">
        <v>0</v>
      </c>
      <c r="I40" s="36" t="s">
        <v>193</v>
      </c>
      <c r="J40" s="36" t="s">
        <v>194</v>
      </c>
      <c r="K40" s="36" t="s">
        <v>195</v>
      </c>
      <c r="L40" s="36">
        <v>923</v>
      </c>
      <c r="M40" s="36"/>
      <c r="N40" s="36" t="s">
        <v>196</v>
      </c>
      <c r="O40" s="36" t="s">
        <v>197</v>
      </c>
      <c r="P40" s="36">
        <v>2</v>
      </c>
      <c r="Q40" s="36" t="s">
        <v>198</v>
      </c>
      <c r="R40" s="37">
        <v>244566</v>
      </c>
      <c r="S40" s="37" t="s">
        <v>8</v>
      </c>
      <c r="T40" s="36" t="s">
        <v>199</v>
      </c>
      <c r="U40" s="36">
        <v>23105702</v>
      </c>
      <c r="V40" s="36" t="s">
        <v>72</v>
      </c>
      <c r="W40" s="36">
        <v>30</v>
      </c>
      <c r="X40" s="36">
        <v>150</v>
      </c>
      <c r="Y40" s="36">
        <v>30</v>
      </c>
      <c r="Z40" s="36">
        <v>150</v>
      </c>
      <c r="AA40" s="36">
        <v>0</v>
      </c>
      <c r="AB40" s="36">
        <v>0</v>
      </c>
      <c r="AC40" s="36">
        <v>0</v>
      </c>
      <c r="AD40" s="36">
        <v>0</v>
      </c>
      <c r="AE40" s="36">
        <v>30</v>
      </c>
      <c r="AF40" s="36">
        <v>150</v>
      </c>
      <c r="AG40" s="36"/>
      <c r="AH40" s="36"/>
      <c r="AI40" s="36" t="s">
        <v>200</v>
      </c>
      <c r="AJ40" s="36" t="s">
        <v>201</v>
      </c>
      <c r="AK40" s="36" t="s">
        <v>202</v>
      </c>
      <c r="AL40" s="36" t="s">
        <v>203</v>
      </c>
      <c r="AM40" s="36" t="s">
        <v>204</v>
      </c>
      <c r="AN40" s="36" t="s">
        <v>205</v>
      </c>
      <c r="AO40" s="36" t="s">
        <v>206</v>
      </c>
      <c r="AP40" s="36">
        <v>20</v>
      </c>
      <c r="AQ40" s="36">
        <v>1</v>
      </c>
      <c r="AR40" s="36"/>
      <c r="AS40" s="36"/>
      <c r="AT40" s="36" t="s">
        <v>207</v>
      </c>
      <c r="AU40" s="36" t="s">
        <v>208</v>
      </c>
      <c r="AV40" s="36" t="s">
        <v>217</v>
      </c>
      <c r="AW40" s="36" t="s">
        <v>209</v>
      </c>
      <c r="AX40" s="36" t="s">
        <v>210</v>
      </c>
      <c r="AY40" s="36">
        <v>0</v>
      </c>
      <c r="AZ40" s="36" t="s">
        <v>211</v>
      </c>
      <c r="BA40" s="36">
        <v>9044989472405</v>
      </c>
      <c r="BB40" s="36"/>
      <c r="BC40" s="36"/>
      <c r="BD40" s="36">
        <v>1</v>
      </c>
      <c r="BE40" s="36"/>
      <c r="BF40" s="36" t="s">
        <v>212</v>
      </c>
      <c r="BG40" s="36">
        <v>1333314600</v>
      </c>
      <c r="BH40" s="36" t="s">
        <v>213</v>
      </c>
      <c r="BI40" s="36">
        <v>30</v>
      </c>
      <c r="BJ40" s="36">
        <v>150</v>
      </c>
      <c r="BK40" s="36"/>
      <c r="BL40" s="36" t="s">
        <v>214</v>
      </c>
      <c r="BM40" s="36"/>
      <c r="BN40" s="36"/>
    </row>
    <row r="41" spans="1:66" x14ac:dyDescent="0.35">
      <c r="A41" s="36"/>
      <c r="B41" s="36"/>
      <c r="C41" s="37" t="s">
        <v>8</v>
      </c>
      <c r="D41" s="37" t="s">
        <v>8</v>
      </c>
      <c r="E41" s="36"/>
      <c r="F41" s="36" t="s">
        <v>192</v>
      </c>
      <c r="G41" s="36" t="s">
        <v>1</v>
      </c>
      <c r="H41" s="36">
        <v>0</v>
      </c>
      <c r="I41" s="36" t="s">
        <v>193</v>
      </c>
      <c r="J41" s="36" t="s">
        <v>194</v>
      </c>
      <c r="K41" s="36" t="s">
        <v>195</v>
      </c>
      <c r="L41" s="36">
        <v>923</v>
      </c>
      <c r="M41" s="36"/>
      <c r="N41" s="36" t="s">
        <v>196</v>
      </c>
      <c r="O41" s="36" t="s">
        <v>197</v>
      </c>
      <c r="P41" s="36">
        <v>2</v>
      </c>
      <c r="Q41" s="36" t="s">
        <v>198</v>
      </c>
      <c r="R41" s="37">
        <v>244566</v>
      </c>
      <c r="S41" s="37" t="s">
        <v>8</v>
      </c>
      <c r="T41" s="36" t="s">
        <v>199</v>
      </c>
      <c r="U41" s="36">
        <v>23105754</v>
      </c>
      <c r="V41" s="36" t="s">
        <v>76</v>
      </c>
      <c r="W41" s="36">
        <v>20</v>
      </c>
      <c r="X41" s="36">
        <v>20</v>
      </c>
      <c r="Y41" s="36">
        <v>20</v>
      </c>
      <c r="Z41" s="36">
        <v>20</v>
      </c>
      <c r="AA41" s="36">
        <v>0</v>
      </c>
      <c r="AB41" s="36">
        <v>0</v>
      </c>
      <c r="AC41" s="36">
        <v>0</v>
      </c>
      <c r="AD41" s="36">
        <v>0</v>
      </c>
      <c r="AE41" s="36">
        <v>20</v>
      </c>
      <c r="AF41" s="36">
        <v>20</v>
      </c>
      <c r="AG41" s="36"/>
      <c r="AH41" s="36"/>
      <c r="AI41" s="36" t="s">
        <v>200</v>
      </c>
      <c r="AJ41" s="36" t="s">
        <v>201</v>
      </c>
      <c r="AK41" s="36" t="s">
        <v>202</v>
      </c>
      <c r="AL41" s="36" t="s">
        <v>203</v>
      </c>
      <c r="AM41" s="36" t="s">
        <v>204</v>
      </c>
      <c r="AN41" s="36" t="s">
        <v>205</v>
      </c>
      <c r="AO41" s="36" t="s">
        <v>206</v>
      </c>
      <c r="AP41" s="36">
        <v>20</v>
      </c>
      <c r="AQ41" s="36">
        <v>1</v>
      </c>
      <c r="AR41" s="36"/>
      <c r="AS41" s="36"/>
      <c r="AT41" s="36" t="s">
        <v>207</v>
      </c>
      <c r="AU41" s="36" t="s">
        <v>208</v>
      </c>
      <c r="AV41" s="36" t="s">
        <v>209</v>
      </c>
      <c r="AW41" s="36" t="s">
        <v>209</v>
      </c>
      <c r="AX41" s="36" t="s">
        <v>210</v>
      </c>
      <c r="AY41" s="36">
        <v>0</v>
      </c>
      <c r="AZ41" s="36" t="s">
        <v>211</v>
      </c>
      <c r="BA41" s="36">
        <v>9044989472405</v>
      </c>
      <c r="BB41" s="36"/>
      <c r="BC41" s="36"/>
      <c r="BD41" s="36">
        <v>1</v>
      </c>
      <c r="BE41" s="36"/>
      <c r="BF41" s="36" t="s">
        <v>212</v>
      </c>
      <c r="BG41" s="36">
        <v>1333314600</v>
      </c>
      <c r="BH41" s="36" t="s">
        <v>213</v>
      </c>
      <c r="BI41" s="36">
        <v>20</v>
      </c>
      <c r="BJ41" s="36">
        <v>20</v>
      </c>
      <c r="BK41" s="36"/>
      <c r="BL41" s="36" t="s">
        <v>214</v>
      </c>
      <c r="BM41" s="36"/>
      <c r="BN41" s="36"/>
    </row>
    <row r="42" spans="1:66" x14ac:dyDescent="0.35">
      <c r="A42" s="36"/>
      <c r="B42" s="36"/>
      <c r="C42" s="37" t="s">
        <v>8</v>
      </c>
      <c r="D42" s="37" t="s">
        <v>8</v>
      </c>
      <c r="E42" s="36"/>
      <c r="F42" s="36" t="s">
        <v>192</v>
      </c>
      <c r="G42" s="36" t="s">
        <v>1</v>
      </c>
      <c r="H42" s="36">
        <v>0</v>
      </c>
      <c r="I42" s="36" t="s">
        <v>193</v>
      </c>
      <c r="J42" s="36" t="s">
        <v>194</v>
      </c>
      <c r="K42" s="36" t="s">
        <v>195</v>
      </c>
      <c r="L42" s="36">
        <v>923</v>
      </c>
      <c r="M42" s="36"/>
      <c r="N42" s="36" t="s">
        <v>196</v>
      </c>
      <c r="O42" s="36" t="s">
        <v>197</v>
      </c>
      <c r="P42" s="36">
        <v>2</v>
      </c>
      <c r="Q42" s="36" t="s">
        <v>198</v>
      </c>
      <c r="R42" s="37">
        <v>244566</v>
      </c>
      <c r="S42" s="37" t="s">
        <v>8</v>
      </c>
      <c r="T42" s="36" t="s">
        <v>199</v>
      </c>
      <c r="U42" s="36">
        <v>23065142</v>
      </c>
      <c r="V42" s="36" t="s">
        <v>42</v>
      </c>
      <c r="W42" s="36">
        <v>20</v>
      </c>
      <c r="X42" s="36">
        <v>20</v>
      </c>
      <c r="Y42" s="36">
        <v>20</v>
      </c>
      <c r="Z42" s="36">
        <v>20</v>
      </c>
      <c r="AA42" s="36">
        <v>0</v>
      </c>
      <c r="AB42" s="36">
        <v>0</v>
      </c>
      <c r="AC42" s="36">
        <v>0</v>
      </c>
      <c r="AD42" s="36">
        <v>0</v>
      </c>
      <c r="AE42" s="36">
        <v>20</v>
      </c>
      <c r="AF42" s="36">
        <v>20</v>
      </c>
      <c r="AG42" s="36"/>
      <c r="AH42" s="36"/>
      <c r="AI42" s="36" t="s">
        <v>200</v>
      </c>
      <c r="AJ42" s="36" t="s">
        <v>201</v>
      </c>
      <c r="AK42" s="36" t="s">
        <v>202</v>
      </c>
      <c r="AL42" s="36" t="s">
        <v>203</v>
      </c>
      <c r="AM42" s="36" t="s">
        <v>204</v>
      </c>
      <c r="AN42" s="36" t="s">
        <v>205</v>
      </c>
      <c r="AO42" s="36" t="s">
        <v>206</v>
      </c>
      <c r="AP42" s="36">
        <v>20</v>
      </c>
      <c r="AQ42" s="36">
        <v>1</v>
      </c>
      <c r="AR42" s="36"/>
      <c r="AS42" s="36"/>
      <c r="AT42" s="36" t="s">
        <v>207</v>
      </c>
      <c r="AU42" s="36" t="s">
        <v>208</v>
      </c>
      <c r="AV42" s="36" t="s">
        <v>209</v>
      </c>
      <c r="AW42" s="36" t="s">
        <v>209</v>
      </c>
      <c r="AX42" s="36" t="s">
        <v>210</v>
      </c>
      <c r="AY42" s="36">
        <v>0</v>
      </c>
      <c r="AZ42" s="36" t="s">
        <v>211</v>
      </c>
      <c r="BA42" s="36">
        <v>9044989472405</v>
      </c>
      <c r="BB42" s="36"/>
      <c r="BC42" s="36"/>
      <c r="BD42" s="36">
        <v>1</v>
      </c>
      <c r="BE42" s="36"/>
      <c r="BF42" s="36" t="s">
        <v>212</v>
      </c>
      <c r="BG42" s="36">
        <v>1333314600</v>
      </c>
      <c r="BH42" s="36" t="s">
        <v>213</v>
      </c>
      <c r="BI42" s="36">
        <v>20</v>
      </c>
      <c r="BJ42" s="36">
        <v>20</v>
      </c>
      <c r="BK42" s="36"/>
      <c r="BL42" s="36" t="s">
        <v>214</v>
      </c>
      <c r="BM42" s="36"/>
      <c r="BN42" s="36"/>
    </row>
    <row r="43" spans="1:66" x14ac:dyDescent="0.35">
      <c r="A43" s="36"/>
      <c r="B43" s="36"/>
      <c r="C43" s="37" t="s">
        <v>8</v>
      </c>
      <c r="D43" s="37" t="s">
        <v>8</v>
      </c>
      <c r="E43" s="36"/>
      <c r="F43" s="36" t="s">
        <v>192</v>
      </c>
      <c r="G43" s="36" t="s">
        <v>1</v>
      </c>
      <c r="H43" s="36">
        <v>0</v>
      </c>
      <c r="I43" s="36" t="s">
        <v>193</v>
      </c>
      <c r="J43" s="36" t="s">
        <v>194</v>
      </c>
      <c r="K43" s="36" t="s">
        <v>195</v>
      </c>
      <c r="L43" s="36">
        <v>923</v>
      </c>
      <c r="M43" s="36"/>
      <c r="N43" s="36" t="s">
        <v>196</v>
      </c>
      <c r="O43" s="36" t="s">
        <v>197</v>
      </c>
      <c r="P43" s="36">
        <v>2</v>
      </c>
      <c r="Q43" s="36" t="s">
        <v>198</v>
      </c>
      <c r="R43" s="37">
        <v>244566</v>
      </c>
      <c r="S43" s="37" t="s">
        <v>8</v>
      </c>
      <c r="T43" s="36" t="s">
        <v>199</v>
      </c>
      <c r="U43" s="36">
        <v>23065141</v>
      </c>
      <c r="V43" s="36" t="s">
        <v>41</v>
      </c>
      <c r="W43" s="36">
        <v>15</v>
      </c>
      <c r="X43" s="36">
        <v>15</v>
      </c>
      <c r="Y43" s="36">
        <v>15</v>
      </c>
      <c r="Z43" s="36">
        <v>15</v>
      </c>
      <c r="AA43" s="36">
        <v>0</v>
      </c>
      <c r="AB43" s="36">
        <v>0</v>
      </c>
      <c r="AC43" s="36">
        <v>0</v>
      </c>
      <c r="AD43" s="36">
        <v>0</v>
      </c>
      <c r="AE43" s="36">
        <v>15</v>
      </c>
      <c r="AF43" s="36">
        <v>15</v>
      </c>
      <c r="AG43" s="36"/>
      <c r="AH43" s="36"/>
      <c r="AI43" s="36" t="s">
        <v>200</v>
      </c>
      <c r="AJ43" s="36" t="s">
        <v>201</v>
      </c>
      <c r="AK43" s="36" t="s">
        <v>202</v>
      </c>
      <c r="AL43" s="36" t="s">
        <v>203</v>
      </c>
      <c r="AM43" s="36" t="s">
        <v>204</v>
      </c>
      <c r="AN43" s="36" t="s">
        <v>205</v>
      </c>
      <c r="AO43" s="36" t="s">
        <v>206</v>
      </c>
      <c r="AP43" s="36">
        <v>20</v>
      </c>
      <c r="AQ43" s="36">
        <v>1</v>
      </c>
      <c r="AR43" s="36"/>
      <c r="AS43" s="36"/>
      <c r="AT43" s="36" t="s">
        <v>207</v>
      </c>
      <c r="AU43" s="36" t="s">
        <v>208</v>
      </c>
      <c r="AV43" s="36" t="s">
        <v>209</v>
      </c>
      <c r="AW43" s="36" t="s">
        <v>209</v>
      </c>
      <c r="AX43" s="36" t="s">
        <v>210</v>
      </c>
      <c r="AY43" s="36">
        <v>0</v>
      </c>
      <c r="AZ43" s="36" t="s">
        <v>211</v>
      </c>
      <c r="BA43" s="36">
        <v>9044989472405</v>
      </c>
      <c r="BB43" s="36"/>
      <c r="BC43" s="36"/>
      <c r="BD43" s="36">
        <v>1</v>
      </c>
      <c r="BE43" s="36"/>
      <c r="BF43" s="36" t="s">
        <v>212</v>
      </c>
      <c r="BG43" s="36">
        <v>1333314600</v>
      </c>
      <c r="BH43" s="36" t="s">
        <v>213</v>
      </c>
      <c r="BI43" s="36">
        <v>15</v>
      </c>
      <c r="BJ43" s="36">
        <v>15</v>
      </c>
      <c r="BK43" s="36"/>
      <c r="BL43" s="36" t="s">
        <v>214</v>
      </c>
      <c r="BM43" s="36"/>
      <c r="BN43" s="36"/>
    </row>
    <row r="44" spans="1:66" x14ac:dyDescent="0.35">
      <c r="A44" s="36"/>
      <c r="B44" s="36"/>
      <c r="C44" s="37" t="s">
        <v>8</v>
      </c>
      <c r="D44" s="37" t="s">
        <v>8</v>
      </c>
      <c r="E44" s="36"/>
      <c r="F44" s="36" t="s">
        <v>192</v>
      </c>
      <c r="G44" s="36" t="s">
        <v>1</v>
      </c>
      <c r="H44" s="36">
        <v>0</v>
      </c>
      <c r="I44" s="36" t="s">
        <v>193</v>
      </c>
      <c r="J44" s="36" t="s">
        <v>194</v>
      </c>
      <c r="K44" s="36" t="s">
        <v>195</v>
      </c>
      <c r="L44" s="36">
        <v>923</v>
      </c>
      <c r="M44" s="36"/>
      <c r="N44" s="36" t="s">
        <v>196</v>
      </c>
      <c r="O44" s="36" t="s">
        <v>197</v>
      </c>
      <c r="P44" s="36">
        <v>2</v>
      </c>
      <c r="Q44" s="36" t="s">
        <v>198</v>
      </c>
      <c r="R44" s="37">
        <v>244566</v>
      </c>
      <c r="S44" s="37" t="s">
        <v>8</v>
      </c>
      <c r="T44" s="36" t="s">
        <v>199</v>
      </c>
      <c r="U44" s="36">
        <v>23098995</v>
      </c>
      <c r="V44" s="36" t="s">
        <v>70</v>
      </c>
      <c r="W44" s="36">
        <v>20</v>
      </c>
      <c r="X44" s="36">
        <v>20</v>
      </c>
      <c r="Y44" s="36">
        <v>20</v>
      </c>
      <c r="Z44" s="36">
        <v>20</v>
      </c>
      <c r="AA44" s="36">
        <v>0</v>
      </c>
      <c r="AB44" s="36">
        <v>0</v>
      </c>
      <c r="AC44" s="36">
        <v>0</v>
      </c>
      <c r="AD44" s="36">
        <v>0</v>
      </c>
      <c r="AE44" s="36">
        <v>20</v>
      </c>
      <c r="AF44" s="36">
        <v>20</v>
      </c>
      <c r="AG44" s="36"/>
      <c r="AH44" s="36"/>
      <c r="AI44" s="36" t="s">
        <v>200</v>
      </c>
      <c r="AJ44" s="36" t="s">
        <v>201</v>
      </c>
      <c r="AK44" s="36" t="s">
        <v>215</v>
      </c>
      <c r="AL44" s="36" t="s">
        <v>203</v>
      </c>
      <c r="AM44" s="36" t="s">
        <v>204</v>
      </c>
      <c r="AN44" s="36" t="s">
        <v>205</v>
      </c>
      <c r="AO44" s="36" t="s">
        <v>206</v>
      </c>
      <c r="AP44" s="36">
        <v>20</v>
      </c>
      <c r="AQ44" s="36">
        <v>1</v>
      </c>
      <c r="AR44" s="36"/>
      <c r="AS44" s="36"/>
      <c r="AT44" s="36" t="s">
        <v>207</v>
      </c>
      <c r="AU44" s="36" t="s">
        <v>208</v>
      </c>
      <c r="AV44" s="36" t="s">
        <v>209</v>
      </c>
      <c r="AW44" s="36" t="s">
        <v>209</v>
      </c>
      <c r="AX44" s="36" t="s">
        <v>210</v>
      </c>
      <c r="AY44" s="36">
        <v>0</v>
      </c>
      <c r="AZ44" s="36" t="s">
        <v>211</v>
      </c>
      <c r="BA44" s="36">
        <v>9044989472405</v>
      </c>
      <c r="BB44" s="36"/>
      <c r="BC44" s="36"/>
      <c r="BD44" s="36">
        <v>1</v>
      </c>
      <c r="BE44" s="36"/>
      <c r="BF44" s="36" t="s">
        <v>212</v>
      </c>
      <c r="BG44" s="36">
        <v>1333314600</v>
      </c>
      <c r="BH44" s="36" t="s">
        <v>213</v>
      </c>
      <c r="BI44" s="36">
        <v>20</v>
      </c>
      <c r="BJ44" s="36">
        <v>20</v>
      </c>
      <c r="BK44" s="36"/>
      <c r="BL44" s="36" t="s">
        <v>214</v>
      </c>
      <c r="BM44" s="36"/>
      <c r="BN44" s="36"/>
    </row>
    <row r="45" spans="1:66" x14ac:dyDescent="0.35">
      <c r="A45" s="36"/>
      <c r="B45" s="36"/>
      <c r="C45" s="37" t="s">
        <v>8</v>
      </c>
      <c r="D45" s="37" t="s">
        <v>8</v>
      </c>
      <c r="E45" s="36"/>
      <c r="F45" s="36" t="s">
        <v>192</v>
      </c>
      <c r="G45" s="36" t="s">
        <v>1</v>
      </c>
      <c r="H45" s="36">
        <v>0</v>
      </c>
      <c r="I45" s="36" t="s">
        <v>193</v>
      </c>
      <c r="J45" s="36" t="s">
        <v>194</v>
      </c>
      <c r="K45" s="36" t="s">
        <v>195</v>
      </c>
      <c r="L45" s="36">
        <v>923</v>
      </c>
      <c r="M45" s="36"/>
      <c r="N45" s="36" t="s">
        <v>196</v>
      </c>
      <c r="O45" s="36" t="s">
        <v>197</v>
      </c>
      <c r="P45" s="36">
        <v>2</v>
      </c>
      <c r="Q45" s="36" t="s">
        <v>198</v>
      </c>
      <c r="R45" s="37">
        <v>244566</v>
      </c>
      <c r="S45" s="37" t="s">
        <v>8</v>
      </c>
      <c r="T45" s="36" t="s">
        <v>199</v>
      </c>
      <c r="U45" s="36">
        <v>23058589</v>
      </c>
      <c r="V45" s="36" t="s">
        <v>33</v>
      </c>
      <c r="W45" s="36">
        <v>5</v>
      </c>
      <c r="X45" s="36">
        <v>5</v>
      </c>
      <c r="Y45" s="36">
        <v>5</v>
      </c>
      <c r="Z45" s="36">
        <v>5</v>
      </c>
      <c r="AA45" s="36">
        <v>0</v>
      </c>
      <c r="AB45" s="36">
        <v>0</v>
      </c>
      <c r="AC45" s="36">
        <v>0</v>
      </c>
      <c r="AD45" s="36">
        <v>0</v>
      </c>
      <c r="AE45" s="36">
        <v>5</v>
      </c>
      <c r="AF45" s="36">
        <v>5</v>
      </c>
      <c r="AG45" s="36"/>
      <c r="AH45" s="36"/>
      <c r="AI45" s="36" t="s">
        <v>200</v>
      </c>
      <c r="AJ45" s="36" t="s">
        <v>201</v>
      </c>
      <c r="AK45" s="36" t="s">
        <v>215</v>
      </c>
      <c r="AL45" s="36" t="s">
        <v>203</v>
      </c>
      <c r="AM45" s="36" t="s">
        <v>204</v>
      </c>
      <c r="AN45" s="36" t="s">
        <v>205</v>
      </c>
      <c r="AO45" s="36" t="s">
        <v>206</v>
      </c>
      <c r="AP45" s="36">
        <v>20</v>
      </c>
      <c r="AQ45" s="36">
        <v>1</v>
      </c>
      <c r="AR45" s="36"/>
      <c r="AS45" s="36"/>
      <c r="AT45" s="36" t="s">
        <v>207</v>
      </c>
      <c r="AU45" s="36" t="s">
        <v>208</v>
      </c>
      <c r="AV45" s="36" t="s">
        <v>209</v>
      </c>
      <c r="AW45" s="36" t="s">
        <v>209</v>
      </c>
      <c r="AX45" s="36" t="s">
        <v>210</v>
      </c>
      <c r="AY45" s="36">
        <v>0</v>
      </c>
      <c r="AZ45" s="36" t="s">
        <v>211</v>
      </c>
      <c r="BA45" s="36">
        <v>9044989472405</v>
      </c>
      <c r="BB45" s="36"/>
      <c r="BC45" s="36"/>
      <c r="BD45" s="36">
        <v>1</v>
      </c>
      <c r="BE45" s="36"/>
      <c r="BF45" s="36" t="s">
        <v>212</v>
      </c>
      <c r="BG45" s="36">
        <v>1333314600</v>
      </c>
      <c r="BH45" s="36" t="s">
        <v>213</v>
      </c>
      <c r="BI45" s="36">
        <v>5</v>
      </c>
      <c r="BJ45" s="36">
        <v>5</v>
      </c>
      <c r="BK45" s="36"/>
      <c r="BL45" s="36" t="s">
        <v>214</v>
      </c>
      <c r="BM45" s="36"/>
      <c r="BN45" s="36"/>
    </row>
    <row r="46" spans="1:66" x14ac:dyDescent="0.35">
      <c r="A46" s="36"/>
      <c r="B46" s="36"/>
      <c r="C46" s="37" t="s">
        <v>8</v>
      </c>
      <c r="D46" s="37" t="s">
        <v>8</v>
      </c>
      <c r="E46" s="36"/>
      <c r="F46" s="36" t="s">
        <v>192</v>
      </c>
      <c r="G46" s="36" t="s">
        <v>1</v>
      </c>
      <c r="H46" s="36">
        <v>0</v>
      </c>
      <c r="I46" s="36" t="s">
        <v>193</v>
      </c>
      <c r="J46" s="36" t="s">
        <v>194</v>
      </c>
      <c r="K46" s="36" t="s">
        <v>195</v>
      </c>
      <c r="L46" s="36">
        <v>923</v>
      </c>
      <c r="M46" s="36"/>
      <c r="N46" s="36" t="s">
        <v>196</v>
      </c>
      <c r="O46" s="36" t="s">
        <v>197</v>
      </c>
      <c r="P46" s="36">
        <v>2</v>
      </c>
      <c r="Q46" s="36" t="s">
        <v>198</v>
      </c>
      <c r="R46" s="37">
        <v>244566</v>
      </c>
      <c r="S46" s="37" t="s">
        <v>8</v>
      </c>
      <c r="T46" s="36" t="s">
        <v>199</v>
      </c>
      <c r="U46" s="36">
        <v>23058591</v>
      </c>
      <c r="V46" s="36" t="s">
        <v>35</v>
      </c>
      <c r="W46" s="36">
        <v>20</v>
      </c>
      <c r="X46" s="36">
        <v>20</v>
      </c>
      <c r="Y46" s="36">
        <v>20</v>
      </c>
      <c r="Z46" s="36">
        <v>20</v>
      </c>
      <c r="AA46" s="36">
        <v>0</v>
      </c>
      <c r="AB46" s="36">
        <v>0</v>
      </c>
      <c r="AC46" s="36">
        <v>0</v>
      </c>
      <c r="AD46" s="36">
        <v>0</v>
      </c>
      <c r="AE46" s="36">
        <v>20</v>
      </c>
      <c r="AF46" s="36">
        <v>20</v>
      </c>
      <c r="AG46" s="36"/>
      <c r="AH46" s="36"/>
      <c r="AI46" s="36" t="s">
        <v>200</v>
      </c>
      <c r="AJ46" s="36" t="s">
        <v>201</v>
      </c>
      <c r="AK46" s="36" t="s">
        <v>215</v>
      </c>
      <c r="AL46" s="36" t="s">
        <v>203</v>
      </c>
      <c r="AM46" s="36" t="s">
        <v>204</v>
      </c>
      <c r="AN46" s="36" t="s">
        <v>205</v>
      </c>
      <c r="AO46" s="36" t="s">
        <v>206</v>
      </c>
      <c r="AP46" s="36">
        <v>20</v>
      </c>
      <c r="AQ46" s="36">
        <v>1</v>
      </c>
      <c r="AR46" s="36"/>
      <c r="AS46" s="36"/>
      <c r="AT46" s="36" t="s">
        <v>207</v>
      </c>
      <c r="AU46" s="36" t="s">
        <v>208</v>
      </c>
      <c r="AV46" s="36" t="s">
        <v>209</v>
      </c>
      <c r="AW46" s="36" t="s">
        <v>209</v>
      </c>
      <c r="AX46" s="36" t="s">
        <v>210</v>
      </c>
      <c r="AY46" s="36">
        <v>0</v>
      </c>
      <c r="AZ46" s="36" t="s">
        <v>211</v>
      </c>
      <c r="BA46" s="36">
        <v>9044989472405</v>
      </c>
      <c r="BB46" s="36"/>
      <c r="BC46" s="36"/>
      <c r="BD46" s="36">
        <v>1</v>
      </c>
      <c r="BE46" s="36"/>
      <c r="BF46" s="36" t="s">
        <v>212</v>
      </c>
      <c r="BG46" s="36">
        <v>1333314600</v>
      </c>
      <c r="BH46" s="36" t="s">
        <v>213</v>
      </c>
      <c r="BI46" s="36">
        <v>20</v>
      </c>
      <c r="BJ46" s="36">
        <v>20</v>
      </c>
      <c r="BK46" s="36"/>
      <c r="BL46" s="36" t="s">
        <v>214</v>
      </c>
      <c r="BM46" s="36"/>
      <c r="BN46" s="36"/>
    </row>
    <row r="47" spans="1:66" x14ac:dyDescent="0.35">
      <c r="A47" s="36"/>
      <c r="B47" s="36"/>
      <c r="C47" s="37" t="s">
        <v>8</v>
      </c>
      <c r="D47" s="37" t="s">
        <v>8</v>
      </c>
      <c r="E47" s="36"/>
      <c r="F47" s="36" t="s">
        <v>192</v>
      </c>
      <c r="G47" s="36" t="s">
        <v>1</v>
      </c>
      <c r="H47" s="36">
        <v>0</v>
      </c>
      <c r="I47" s="36" t="s">
        <v>193</v>
      </c>
      <c r="J47" s="36" t="s">
        <v>194</v>
      </c>
      <c r="K47" s="36" t="s">
        <v>195</v>
      </c>
      <c r="L47" s="36">
        <v>923</v>
      </c>
      <c r="M47" s="36"/>
      <c r="N47" s="36" t="s">
        <v>196</v>
      </c>
      <c r="O47" s="36" t="s">
        <v>197</v>
      </c>
      <c r="P47" s="36">
        <v>2</v>
      </c>
      <c r="Q47" s="36" t="s">
        <v>198</v>
      </c>
      <c r="R47" s="37">
        <v>244566</v>
      </c>
      <c r="S47" s="37" t="s">
        <v>8</v>
      </c>
      <c r="T47" s="36" t="s">
        <v>199</v>
      </c>
      <c r="U47" s="36">
        <v>23075089</v>
      </c>
      <c r="V47" s="36" t="s">
        <v>51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6"/>
      <c r="AH47" s="36"/>
      <c r="AI47" s="36" t="s">
        <v>200</v>
      </c>
      <c r="AJ47" s="36" t="s">
        <v>201</v>
      </c>
      <c r="AK47" s="36" t="s">
        <v>215</v>
      </c>
      <c r="AL47" s="36" t="s">
        <v>203</v>
      </c>
      <c r="AM47" s="36" t="s">
        <v>204</v>
      </c>
      <c r="AN47" s="36" t="s">
        <v>205</v>
      </c>
      <c r="AO47" s="36" t="s">
        <v>206</v>
      </c>
      <c r="AP47" s="36">
        <v>20</v>
      </c>
      <c r="AQ47" s="36">
        <v>1</v>
      </c>
      <c r="AR47" s="36"/>
      <c r="AS47" s="36"/>
      <c r="AT47" s="36" t="s">
        <v>207</v>
      </c>
      <c r="AU47" s="36" t="s">
        <v>208</v>
      </c>
      <c r="AV47" s="36" t="s">
        <v>209</v>
      </c>
      <c r="AW47" s="36" t="s">
        <v>209</v>
      </c>
      <c r="AX47" s="36" t="s">
        <v>210</v>
      </c>
      <c r="AY47" s="36">
        <v>0</v>
      </c>
      <c r="AZ47" s="36" t="s">
        <v>211</v>
      </c>
      <c r="BA47" s="36">
        <v>9044989472405</v>
      </c>
      <c r="BB47" s="36"/>
      <c r="BC47" s="36"/>
      <c r="BD47" s="36">
        <v>1</v>
      </c>
      <c r="BE47" s="36"/>
      <c r="BF47" s="36" t="s">
        <v>212</v>
      </c>
      <c r="BG47" s="36">
        <v>1333314600</v>
      </c>
      <c r="BH47" s="36" t="s">
        <v>213</v>
      </c>
      <c r="BI47" s="36">
        <v>0</v>
      </c>
      <c r="BJ47" s="36">
        <v>0</v>
      </c>
      <c r="BK47" s="36"/>
      <c r="BL47" s="36" t="s">
        <v>214</v>
      </c>
      <c r="BM47" s="36"/>
      <c r="BN47" s="36"/>
    </row>
    <row r="48" spans="1:66" x14ac:dyDescent="0.35">
      <c r="A48" s="36"/>
      <c r="B48" s="36"/>
      <c r="C48" s="37" t="s">
        <v>8</v>
      </c>
      <c r="D48" s="37" t="s">
        <v>8</v>
      </c>
      <c r="E48" s="36"/>
      <c r="F48" s="36" t="s">
        <v>192</v>
      </c>
      <c r="G48" s="36" t="s">
        <v>1</v>
      </c>
      <c r="H48" s="36">
        <v>0</v>
      </c>
      <c r="I48" s="36" t="s">
        <v>193</v>
      </c>
      <c r="J48" s="36" t="s">
        <v>194</v>
      </c>
      <c r="K48" s="36" t="s">
        <v>195</v>
      </c>
      <c r="L48" s="36">
        <v>923</v>
      </c>
      <c r="M48" s="36"/>
      <c r="N48" s="36" t="s">
        <v>196</v>
      </c>
      <c r="O48" s="36" t="s">
        <v>197</v>
      </c>
      <c r="P48" s="36">
        <v>2</v>
      </c>
      <c r="Q48" s="36" t="s">
        <v>198</v>
      </c>
      <c r="R48" s="37">
        <v>244566</v>
      </c>
      <c r="S48" s="37" t="s">
        <v>8</v>
      </c>
      <c r="T48" s="36" t="s">
        <v>199</v>
      </c>
      <c r="U48" s="36">
        <v>23058590</v>
      </c>
      <c r="V48" s="36" t="s">
        <v>34</v>
      </c>
      <c r="W48" s="36">
        <v>5</v>
      </c>
      <c r="X48" s="36">
        <v>5</v>
      </c>
      <c r="Y48" s="36">
        <v>5</v>
      </c>
      <c r="Z48" s="36">
        <v>5</v>
      </c>
      <c r="AA48" s="36">
        <v>0</v>
      </c>
      <c r="AB48" s="36">
        <v>0</v>
      </c>
      <c r="AC48" s="36">
        <v>0</v>
      </c>
      <c r="AD48" s="36">
        <v>0</v>
      </c>
      <c r="AE48" s="36">
        <v>5</v>
      </c>
      <c r="AF48" s="36">
        <v>5</v>
      </c>
      <c r="AG48" s="36"/>
      <c r="AH48" s="36"/>
      <c r="AI48" s="36" t="s">
        <v>200</v>
      </c>
      <c r="AJ48" s="36" t="s">
        <v>201</v>
      </c>
      <c r="AK48" s="36" t="s">
        <v>215</v>
      </c>
      <c r="AL48" s="36" t="s">
        <v>203</v>
      </c>
      <c r="AM48" s="36" t="s">
        <v>204</v>
      </c>
      <c r="AN48" s="36" t="s">
        <v>205</v>
      </c>
      <c r="AO48" s="36" t="s">
        <v>206</v>
      </c>
      <c r="AP48" s="36">
        <v>20</v>
      </c>
      <c r="AQ48" s="36">
        <v>1</v>
      </c>
      <c r="AR48" s="36"/>
      <c r="AS48" s="36"/>
      <c r="AT48" s="36" t="s">
        <v>207</v>
      </c>
      <c r="AU48" s="36" t="s">
        <v>208</v>
      </c>
      <c r="AV48" s="36" t="s">
        <v>209</v>
      </c>
      <c r="AW48" s="36" t="s">
        <v>209</v>
      </c>
      <c r="AX48" s="36" t="s">
        <v>210</v>
      </c>
      <c r="AY48" s="36">
        <v>0</v>
      </c>
      <c r="AZ48" s="36" t="s">
        <v>211</v>
      </c>
      <c r="BA48" s="36">
        <v>9044989472405</v>
      </c>
      <c r="BB48" s="36"/>
      <c r="BC48" s="36"/>
      <c r="BD48" s="36">
        <v>1</v>
      </c>
      <c r="BE48" s="36"/>
      <c r="BF48" s="36" t="s">
        <v>212</v>
      </c>
      <c r="BG48" s="36">
        <v>1333314600</v>
      </c>
      <c r="BH48" s="36" t="s">
        <v>213</v>
      </c>
      <c r="BI48" s="36">
        <v>5</v>
      </c>
      <c r="BJ48" s="36">
        <v>5</v>
      </c>
      <c r="BK48" s="36"/>
      <c r="BL48" s="36" t="s">
        <v>214</v>
      </c>
      <c r="BM48" s="36"/>
      <c r="BN48" s="36"/>
    </row>
    <row r="49" spans="1:66" x14ac:dyDescent="0.35">
      <c r="A49" s="36"/>
      <c r="B49" s="36"/>
      <c r="C49" s="37" t="s">
        <v>8</v>
      </c>
      <c r="D49" s="37" t="s">
        <v>8</v>
      </c>
      <c r="E49" s="36"/>
      <c r="F49" s="36" t="s">
        <v>192</v>
      </c>
      <c r="G49" s="36" t="s">
        <v>1</v>
      </c>
      <c r="H49" s="36">
        <v>0</v>
      </c>
      <c r="I49" s="36" t="s">
        <v>193</v>
      </c>
      <c r="J49" s="36" t="s">
        <v>194</v>
      </c>
      <c r="K49" s="36" t="s">
        <v>195</v>
      </c>
      <c r="L49" s="36">
        <v>923</v>
      </c>
      <c r="M49" s="36"/>
      <c r="N49" s="36" t="s">
        <v>196</v>
      </c>
      <c r="O49" s="36" t="s">
        <v>197</v>
      </c>
      <c r="P49" s="36">
        <v>2</v>
      </c>
      <c r="Q49" s="36" t="s">
        <v>198</v>
      </c>
      <c r="R49" s="37">
        <v>244566</v>
      </c>
      <c r="S49" s="37" t="s">
        <v>8</v>
      </c>
      <c r="T49" s="36" t="s">
        <v>199</v>
      </c>
      <c r="U49" s="36">
        <v>23057818</v>
      </c>
      <c r="V49" s="36" t="s">
        <v>21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6"/>
      <c r="AH49" s="36"/>
      <c r="AI49" s="36" t="s">
        <v>200</v>
      </c>
      <c r="AJ49" s="36" t="s">
        <v>201</v>
      </c>
      <c r="AK49" s="36" t="s">
        <v>202</v>
      </c>
      <c r="AL49" s="36" t="s">
        <v>203</v>
      </c>
      <c r="AM49" s="36" t="s">
        <v>204</v>
      </c>
      <c r="AN49" s="36" t="s">
        <v>205</v>
      </c>
      <c r="AO49" s="36" t="s">
        <v>206</v>
      </c>
      <c r="AP49" s="36">
        <v>20</v>
      </c>
      <c r="AQ49" s="36">
        <v>1</v>
      </c>
      <c r="AR49" s="36"/>
      <c r="AS49" s="36"/>
      <c r="AT49" s="36" t="s">
        <v>207</v>
      </c>
      <c r="AU49" s="36" t="s">
        <v>208</v>
      </c>
      <c r="AV49" s="36" t="s">
        <v>209</v>
      </c>
      <c r="AW49" s="36" t="s">
        <v>209</v>
      </c>
      <c r="AX49" s="36" t="s">
        <v>210</v>
      </c>
      <c r="AY49" s="36">
        <v>0</v>
      </c>
      <c r="AZ49" s="36" t="s">
        <v>211</v>
      </c>
      <c r="BA49" s="36">
        <v>9044989472405</v>
      </c>
      <c r="BB49" s="36"/>
      <c r="BC49" s="36"/>
      <c r="BD49" s="36">
        <v>1</v>
      </c>
      <c r="BE49" s="36"/>
      <c r="BF49" s="36" t="s">
        <v>212</v>
      </c>
      <c r="BG49" s="36">
        <v>1333314600</v>
      </c>
      <c r="BH49" s="36" t="s">
        <v>213</v>
      </c>
      <c r="BI49" s="36">
        <v>0</v>
      </c>
      <c r="BJ49" s="36">
        <v>0</v>
      </c>
      <c r="BK49" s="36"/>
      <c r="BL49" s="36" t="s">
        <v>214</v>
      </c>
      <c r="BM49" s="36"/>
      <c r="BN49" s="36"/>
    </row>
    <row r="50" spans="1:66" x14ac:dyDescent="0.35">
      <c r="A50" s="36"/>
      <c r="B50" s="36"/>
      <c r="C50" s="37" t="s">
        <v>8</v>
      </c>
      <c r="D50" s="37" t="s">
        <v>8</v>
      </c>
      <c r="E50" s="36"/>
      <c r="F50" s="36" t="s">
        <v>192</v>
      </c>
      <c r="G50" s="36" t="s">
        <v>1</v>
      </c>
      <c r="H50" s="36">
        <v>0</v>
      </c>
      <c r="I50" s="36" t="s">
        <v>193</v>
      </c>
      <c r="J50" s="36" t="s">
        <v>194</v>
      </c>
      <c r="K50" s="36" t="s">
        <v>195</v>
      </c>
      <c r="L50" s="36">
        <v>923</v>
      </c>
      <c r="M50" s="36"/>
      <c r="N50" s="36" t="s">
        <v>196</v>
      </c>
      <c r="O50" s="36" t="s">
        <v>197</v>
      </c>
      <c r="P50" s="36">
        <v>2</v>
      </c>
      <c r="Q50" s="36" t="s">
        <v>198</v>
      </c>
      <c r="R50" s="37">
        <v>244566</v>
      </c>
      <c r="S50" s="37" t="s">
        <v>8</v>
      </c>
      <c r="T50" s="36" t="s">
        <v>199</v>
      </c>
      <c r="U50" s="36">
        <v>23057815</v>
      </c>
      <c r="V50" s="36" t="s">
        <v>20</v>
      </c>
      <c r="W50" s="36">
        <v>100</v>
      </c>
      <c r="X50" s="36">
        <v>100</v>
      </c>
      <c r="Y50" s="36">
        <v>100</v>
      </c>
      <c r="Z50" s="36">
        <v>100</v>
      </c>
      <c r="AA50" s="36">
        <v>0</v>
      </c>
      <c r="AB50" s="36">
        <v>0</v>
      </c>
      <c r="AC50" s="36">
        <v>0</v>
      </c>
      <c r="AD50" s="36">
        <v>0</v>
      </c>
      <c r="AE50" s="36">
        <v>100</v>
      </c>
      <c r="AF50" s="36">
        <v>100</v>
      </c>
      <c r="AG50" s="36"/>
      <c r="AH50" s="36"/>
      <c r="AI50" s="36" t="s">
        <v>200</v>
      </c>
      <c r="AJ50" s="36" t="s">
        <v>201</v>
      </c>
      <c r="AK50" s="36" t="s">
        <v>202</v>
      </c>
      <c r="AL50" s="36" t="s">
        <v>203</v>
      </c>
      <c r="AM50" s="36" t="s">
        <v>204</v>
      </c>
      <c r="AN50" s="36" t="s">
        <v>205</v>
      </c>
      <c r="AO50" s="36" t="s">
        <v>206</v>
      </c>
      <c r="AP50" s="36">
        <v>20</v>
      </c>
      <c r="AQ50" s="36">
        <v>1</v>
      </c>
      <c r="AR50" s="36"/>
      <c r="AS50" s="36"/>
      <c r="AT50" s="36" t="s">
        <v>207</v>
      </c>
      <c r="AU50" s="36" t="s">
        <v>208</v>
      </c>
      <c r="AV50" s="36" t="s">
        <v>209</v>
      </c>
      <c r="AW50" s="36" t="s">
        <v>209</v>
      </c>
      <c r="AX50" s="36" t="s">
        <v>210</v>
      </c>
      <c r="AY50" s="36">
        <v>0</v>
      </c>
      <c r="AZ50" s="36" t="s">
        <v>211</v>
      </c>
      <c r="BA50" s="36">
        <v>9044989472405</v>
      </c>
      <c r="BB50" s="36"/>
      <c r="BC50" s="36"/>
      <c r="BD50" s="36">
        <v>1</v>
      </c>
      <c r="BE50" s="36"/>
      <c r="BF50" s="36" t="s">
        <v>212</v>
      </c>
      <c r="BG50" s="36">
        <v>1333314600</v>
      </c>
      <c r="BH50" s="36" t="s">
        <v>213</v>
      </c>
      <c r="BI50" s="36">
        <v>100</v>
      </c>
      <c r="BJ50" s="36">
        <v>100</v>
      </c>
      <c r="BK50" s="36"/>
      <c r="BL50" s="36" t="s">
        <v>214</v>
      </c>
      <c r="BM50" s="36"/>
      <c r="BN50" s="36"/>
    </row>
    <row r="51" spans="1:66" x14ac:dyDescent="0.35">
      <c r="A51" s="36"/>
      <c r="B51" s="36"/>
      <c r="C51" s="37" t="s">
        <v>8</v>
      </c>
      <c r="D51" s="37" t="s">
        <v>8</v>
      </c>
      <c r="E51" s="36"/>
      <c r="F51" s="36" t="s">
        <v>192</v>
      </c>
      <c r="G51" s="36" t="s">
        <v>1</v>
      </c>
      <c r="H51" s="36">
        <v>0</v>
      </c>
      <c r="I51" s="36" t="s">
        <v>193</v>
      </c>
      <c r="J51" s="36" t="s">
        <v>194</v>
      </c>
      <c r="K51" s="36" t="s">
        <v>195</v>
      </c>
      <c r="L51" s="36">
        <v>923</v>
      </c>
      <c r="M51" s="36"/>
      <c r="N51" s="36" t="s">
        <v>196</v>
      </c>
      <c r="O51" s="36" t="s">
        <v>197</v>
      </c>
      <c r="P51" s="36">
        <v>2</v>
      </c>
      <c r="Q51" s="36" t="s">
        <v>198</v>
      </c>
      <c r="R51" s="37">
        <v>244566</v>
      </c>
      <c r="S51" s="37" t="s">
        <v>8</v>
      </c>
      <c r="T51" s="36" t="s">
        <v>199</v>
      </c>
      <c r="U51" s="36">
        <v>23058553</v>
      </c>
      <c r="V51" s="36" t="s">
        <v>27</v>
      </c>
      <c r="W51" s="36">
        <v>110</v>
      </c>
      <c r="X51" s="36">
        <v>110</v>
      </c>
      <c r="Y51" s="36">
        <v>110</v>
      </c>
      <c r="Z51" s="36">
        <v>110</v>
      </c>
      <c r="AA51" s="36">
        <v>0</v>
      </c>
      <c r="AB51" s="36">
        <v>0</v>
      </c>
      <c r="AC51" s="36">
        <v>0</v>
      </c>
      <c r="AD51" s="36">
        <v>0</v>
      </c>
      <c r="AE51" s="36">
        <v>110</v>
      </c>
      <c r="AF51" s="36">
        <v>110</v>
      </c>
      <c r="AG51" s="36"/>
      <c r="AH51" s="36"/>
      <c r="AI51" s="36" t="s">
        <v>200</v>
      </c>
      <c r="AJ51" s="36" t="s">
        <v>201</v>
      </c>
      <c r="AK51" s="36" t="s">
        <v>215</v>
      </c>
      <c r="AL51" s="36" t="s">
        <v>203</v>
      </c>
      <c r="AM51" s="36" t="s">
        <v>204</v>
      </c>
      <c r="AN51" s="36" t="s">
        <v>205</v>
      </c>
      <c r="AO51" s="36" t="s">
        <v>206</v>
      </c>
      <c r="AP51" s="36">
        <v>20</v>
      </c>
      <c r="AQ51" s="36">
        <v>1</v>
      </c>
      <c r="AR51" s="36"/>
      <c r="AS51" s="36"/>
      <c r="AT51" s="36" t="s">
        <v>207</v>
      </c>
      <c r="AU51" s="36" t="s">
        <v>208</v>
      </c>
      <c r="AV51" s="36" t="s">
        <v>209</v>
      </c>
      <c r="AW51" s="36" t="s">
        <v>209</v>
      </c>
      <c r="AX51" s="36" t="s">
        <v>210</v>
      </c>
      <c r="AY51" s="36">
        <v>0</v>
      </c>
      <c r="AZ51" s="36" t="s">
        <v>211</v>
      </c>
      <c r="BA51" s="36">
        <v>9044989472405</v>
      </c>
      <c r="BB51" s="36"/>
      <c r="BC51" s="36"/>
      <c r="BD51" s="36">
        <v>1</v>
      </c>
      <c r="BE51" s="36"/>
      <c r="BF51" s="36" t="s">
        <v>212</v>
      </c>
      <c r="BG51" s="36">
        <v>1333314600</v>
      </c>
      <c r="BH51" s="36" t="s">
        <v>213</v>
      </c>
      <c r="BI51" s="36">
        <v>110</v>
      </c>
      <c r="BJ51" s="36">
        <v>110</v>
      </c>
      <c r="BK51" s="36"/>
      <c r="BL51" s="36" t="s">
        <v>214</v>
      </c>
      <c r="BM51" s="36"/>
      <c r="BN51" s="36"/>
    </row>
    <row r="52" spans="1:66" x14ac:dyDescent="0.35">
      <c r="A52" s="36"/>
      <c r="B52" s="36"/>
      <c r="C52" s="37" t="s">
        <v>8</v>
      </c>
      <c r="D52" s="37" t="s">
        <v>8</v>
      </c>
      <c r="E52" s="36"/>
      <c r="F52" s="36" t="s">
        <v>192</v>
      </c>
      <c r="G52" s="36" t="s">
        <v>1</v>
      </c>
      <c r="H52" s="36">
        <v>0</v>
      </c>
      <c r="I52" s="36" t="s">
        <v>193</v>
      </c>
      <c r="J52" s="36" t="s">
        <v>194</v>
      </c>
      <c r="K52" s="36" t="s">
        <v>195</v>
      </c>
      <c r="L52" s="36">
        <v>923</v>
      </c>
      <c r="M52" s="36"/>
      <c r="N52" s="36" t="s">
        <v>196</v>
      </c>
      <c r="O52" s="36" t="s">
        <v>197</v>
      </c>
      <c r="P52" s="36">
        <v>2</v>
      </c>
      <c r="Q52" s="36" t="s">
        <v>198</v>
      </c>
      <c r="R52" s="37">
        <v>244566</v>
      </c>
      <c r="S52" s="37" t="s">
        <v>8</v>
      </c>
      <c r="T52" s="36" t="s">
        <v>199</v>
      </c>
      <c r="U52" s="36">
        <v>23062097</v>
      </c>
      <c r="V52" s="36" t="s">
        <v>115</v>
      </c>
      <c r="W52" s="36">
        <v>5</v>
      </c>
      <c r="X52" s="36">
        <v>5</v>
      </c>
      <c r="Y52" s="36">
        <v>5</v>
      </c>
      <c r="Z52" s="36">
        <v>5</v>
      </c>
      <c r="AA52" s="36">
        <v>0</v>
      </c>
      <c r="AB52" s="36">
        <v>0</v>
      </c>
      <c r="AC52" s="36">
        <v>0</v>
      </c>
      <c r="AD52" s="36">
        <v>0</v>
      </c>
      <c r="AE52" s="36">
        <v>5</v>
      </c>
      <c r="AF52" s="36">
        <v>5</v>
      </c>
      <c r="AG52" s="36"/>
      <c r="AH52" s="36"/>
      <c r="AI52" s="36" t="s">
        <v>200</v>
      </c>
      <c r="AJ52" s="36" t="s">
        <v>201</v>
      </c>
      <c r="AK52" s="36" t="s">
        <v>215</v>
      </c>
      <c r="AL52" s="36" t="s">
        <v>203</v>
      </c>
      <c r="AM52" s="36" t="s">
        <v>204</v>
      </c>
      <c r="AN52" s="36" t="s">
        <v>205</v>
      </c>
      <c r="AO52" s="36" t="s">
        <v>206</v>
      </c>
      <c r="AP52" s="36">
        <v>20</v>
      </c>
      <c r="AQ52" s="36">
        <v>1</v>
      </c>
      <c r="AR52" s="36"/>
      <c r="AS52" s="36"/>
      <c r="AT52" s="36" t="s">
        <v>207</v>
      </c>
      <c r="AU52" s="36" t="s">
        <v>208</v>
      </c>
      <c r="AV52" s="36" t="s">
        <v>209</v>
      </c>
      <c r="AW52" s="36" t="s">
        <v>209</v>
      </c>
      <c r="AX52" s="36" t="s">
        <v>210</v>
      </c>
      <c r="AY52" s="36">
        <v>0</v>
      </c>
      <c r="AZ52" s="36" t="s">
        <v>211</v>
      </c>
      <c r="BA52" s="36">
        <v>9044989472405</v>
      </c>
      <c r="BB52" s="36"/>
      <c r="BC52" s="36"/>
      <c r="BD52" s="36">
        <v>1</v>
      </c>
      <c r="BE52" s="36"/>
      <c r="BF52" s="36" t="s">
        <v>212</v>
      </c>
      <c r="BG52" s="36">
        <v>1333314600</v>
      </c>
      <c r="BH52" s="36" t="s">
        <v>213</v>
      </c>
      <c r="BI52" s="36">
        <v>5</v>
      </c>
      <c r="BJ52" s="36">
        <v>5</v>
      </c>
      <c r="BK52" s="36"/>
      <c r="BL52" s="36" t="s">
        <v>214</v>
      </c>
      <c r="BM52" s="36"/>
      <c r="BN52" s="36"/>
    </row>
    <row r="53" spans="1:66" x14ac:dyDescent="0.35">
      <c r="A53" s="36"/>
      <c r="B53" s="36"/>
      <c r="C53" s="37" t="s">
        <v>8</v>
      </c>
      <c r="D53" s="37" t="s">
        <v>8</v>
      </c>
      <c r="E53" s="36"/>
      <c r="F53" s="36" t="s">
        <v>192</v>
      </c>
      <c r="G53" s="36" t="s">
        <v>1</v>
      </c>
      <c r="H53" s="36">
        <v>0</v>
      </c>
      <c r="I53" s="36" t="s">
        <v>193</v>
      </c>
      <c r="J53" s="36" t="s">
        <v>194</v>
      </c>
      <c r="K53" s="36" t="s">
        <v>195</v>
      </c>
      <c r="L53" s="36">
        <v>923</v>
      </c>
      <c r="M53" s="36"/>
      <c r="N53" s="36" t="s">
        <v>218</v>
      </c>
      <c r="O53" s="36" t="s">
        <v>219</v>
      </c>
      <c r="P53" s="36">
        <v>2</v>
      </c>
      <c r="Q53" s="36" t="s">
        <v>220</v>
      </c>
      <c r="R53" s="37">
        <v>244658</v>
      </c>
      <c r="S53" s="37" t="s">
        <v>8</v>
      </c>
      <c r="T53" s="36" t="s">
        <v>221</v>
      </c>
      <c r="U53" s="36">
        <v>23097791</v>
      </c>
      <c r="V53" s="36" t="s">
        <v>64</v>
      </c>
      <c r="W53" s="36">
        <v>2</v>
      </c>
      <c r="X53" s="36">
        <v>2</v>
      </c>
      <c r="Y53" s="36">
        <v>2</v>
      </c>
      <c r="Z53" s="36">
        <v>2</v>
      </c>
      <c r="AA53" s="36">
        <v>0</v>
      </c>
      <c r="AB53" s="36">
        <v>0</v>
      </c>
      <c r="AC53" s="36">
        <v>0</v>
      </c>
      <c r="AD53" s="36">
        <v>0</v>
      </c>
      <c r="AE53" s="36">
        <v>2</v>
      </c>
      <c r="AF53" s="36">
        <v>2</v>
      </c>
      <c r="AG53" s="36"/>
      <c r="AH53" s="36"/>
      <c r="AI53" s="36" t="s">
        <v>200</v>
      </c>
      <c r="AJ53" s="36" t="s">
        <v>201</v>
      </c>
      <c r="AK53" s="36" t="s">
        <v>202</v>
      </c>
      <c r="AL53" s="36" t="s">
        <v>203</v>
      </c>
      <c r="AM53" s="36" t="s">
        <v>204</v>
      </c>
      <c r="AN53" s="36" t="s">
        <v>222</v>
      </c>
      <c r="AO53" s="36" t="s">
        <v>206</v>
      </c>
      <c r="AP53" s="36">
        <v>2</v>
      </c>
      <c r="AQ53" s="36"/>
      <c r="AR53" s="36"/>
      <c r="AS53" s="36"/>
      <c r="AT53" s="36" t="s">
        <v>223</v>
      </c>
      <c r="AU53" s="36" t="s">
        <v>224</v>
      </c>
      <c r="AV53" s="36" t="s">
        <v>216</v>
      </c>
      <c r="AW53" s="36" t="s">
        <v>209</v>
      </c>
      <c r="AX53" s="36" t="s">
        <v>210</v>
      </c>
      <c r="AY53" s="36">
        <v>0</v>
      </c>
      <c r="AZ53" s="36" t="s">
        <v>211</v>
      </c>
      <c r="BA53" s="36">
        <v>9045089536563</v>
      </c>
      <c r="BB53" s="36"/>
      <c r="BC53" s="36"/>
      <c r="BD53" s="36">
        <v>1</v>
      </c>
      <c r="BE53" s="36"/>
      <c r="BF53" s="36"/>
      <c r="BG53" s="36">
        <v>1333314600</v>
      </c>
      <c r="BH53" s="36" t="s">
        <v>213</v>
      </c>
      <c r="BI53" s="36">
        <v>2</v>
      </c>
      <c r="BJ53" s="36">
        <v>2</v>
      </c>
      <c r="BK53" s="36">
        <v>1300</v>
      </c>
      <c r="BL53" s="36" t="s">
        <v>214</v>
      </c>
      <c r="BM53" s="36"/>
      <c r="BN53" s="36"/>
    </row>
    <row r="54" spans="1:66" x14ac:dyDescent="0.35">
      <c r="A54" s="36"/>
      <c r="B54" s="36"/>
      <c r="C54" s="37" t="s">
        <v>8</v>
      </c>
      <c r="D54" s="37" t="s">
        <v>8</v>
      </c>
      <c r="E54" s="36"/>
      <c r="F54" s="36" t="s">
        <v>192</v>
      </c>
      <c r="G54" s="36" t="s">
        <v>1</v>
      </c>
      <c r="H54" s="36">
        <v>0</v>
      </c>
      <c r="I54" s="36" t="s">
        <v>193</v>
      </c>
      <c r="J54" s="36" t="s">
        <v>194</v>
      </c>
      <c r="K54" s="36" t="s">
        <v>195</v>
      </c>
      <c r="L54" s="36">
        <v>923</v>
      </c>
      <c r="M54" s="36"/>
      <c r="N54" s="36" t="s">
        <v>218</v>
      </c>
      <c r="O54" s="36" t="s">
        <v>219</v>
      </c>
      <c r="P54" s="36">
        <v>2</v>
      </c>
      <c r="Q54" s="36" t="s">
        <v>220</v>
      </c>
      <c r="R54" s="37">
        <v>244658</v>
      </c>
      <c r="S54" s="37" t="s">
        <v>8</v>
      </c>
      <c r="T54" s="36" t="s">
        <v>221</v>
      </c>
      <c r="U54" s="36">
        <v>23097783</v>
      </c>
      <c r="V54" s="36" t="s">
        <v>58</v>
      </c>
      <c r="W54" s="36">
        <v>50</v>
      </c>
      <c r="X54" s="36">
        <v>50</v>
      </c>
      <c r="Y54" s="36">
        <v>50</v>
      </c>
      <c r="Z54" s="36">
        <v>50</v>
      </c>
      <c r="AA54" s="36">
        <v>0</v>
      </c>
      <c r="AB54" s="36">
        <v>0</v>
      </c>
      <c r="AC54" s="36">
        <v>0</v>
      </c>
      <c r="AD54" s="36">
        <v>0</v>
      </c>
      <c r="AE54" s="36">
        <v>50</v>
      </c>
      <c r="AF54" s="36">
        <v>50</v>
      </c>
      <c r="AG54" s="36"/>
      <c r="AH54" s="36"/>
      <c r="AI54" s="36" t="s">
        <v>200</v>
      </c>
      <c r="AJ54" s="36" t="s">
        <v>201</v>
      </c>
      <c r="AK54" s="36" t="s">
        <v>202</v>
      </c>
      <c r="AL54" s="36" t="s">
        <v>203</v>
      </c>
      <c r="AM54" s="36" t="s">
        <v>204</v>
      </c>
      <c r="AN54" s="36" t="s">
        <v>222</v>
      </c>
      <c r="AO54" s="36" t="s">
        <v>206</v>
      </c>
      <c r="AP54" s="36">
        <v>2</v>
      </c>
      <c r="AQ54" s="36"/>
      <c r="AR54" s="36"/>
      <c r="AS54" s="36"/>
      <c r="AT54" s="36" t="s">
        <v>223</v>
      </c>
      <c r="AU54" s="36" t="s">
        <v>224</v>
      </c>
      <c r="AV54" s="36" t="s">
        <v>216</v>
      </c>
      <c r="AW54" s="36" t="s">
        <v>209</v>
      </c>
      <c r="AX54" s="36" t="s">
        <v>210</v>
      </c>
      <c r="AY54" s="36">
        <v>0</v>
      </c>
      <c r="AZ54" s="36" t="s">
        <v>211</v>
      </c>
      <c r="BA54" s="36">
        <v>9045089536563</v>
      </c>
      <c r="BB54" s="36"/>
      <c r="BC54" s="36"/>
      <c r="BD54" s="36">
        <v>1</v>
      </c>
      <c r="BE54" s="36"/>
      <c r="BF54" s="36"/>
      <c r="BG54" s="36">
        <v>1333314600</v>
      </c>
      <c r="BH54" s="36" t="s">
        <v>213</v>
      </c>
      <c r="BI54" s="36">
        <v>50</v>
      </c>
      <c r="BJ54" s="36">
        <v>50</v>
      </c>
      <c r="BK54" s="36">
        <v>1300</v>
      </c>
      <c r="BL54" s="36" t="s">
        <v>214</v>
      </c>
      <c r="BM54" s="36"/>
      <c r="BN54" s="36"/>
    </row>
    <row r="55" spans="1:66" x14ac:dyDescent="0.35">
      <c r="A55" s="36"/>
      <c r="B55" s="36"/>
      <c r="C55" s="37" t="s">
        <v>8</v>
      </c>
      <c r="D55" s="37" t="s">
        <v>8</v>
      </c>
      <c r="E55" s="36"/>
      <c r="F55" s="36" t="s">
        <v>192</v>
      </c>
      <c r="G55" s="36" t="s">
        <v>1</v>
      </c>
      <c r="H55" s="36">
        <v>0</v>
      </c>
      <c r="I55" s="36" t="s">
        <v>193</v>
      </c>
      <c r="J55" s="36" t="s">
        <v>194</v>
      </c>
      <c r="K55" s="36" t="s">
        <v>195</v>
      </c>
      <c r="L55" s="36">
        <v>923</v>
      </c>
      <c r="M55" s="36"/>
      <c r="N55" s="36" t="s">
        <v>218</v>
      </c>
      <c r="O55" s="36" t="s">
        <v>219</v>
      </c>
      <c r="P55" s="36">
        <v>2</v>
      </c>
      <c r="Q55" s="36" t="s">
        <v>220</v>
      </c>
      <c r="R55" s="37">
        <v>244658</v>
      </c>
      <c r="S55" s="37" t="s">
        <v>8</v>
      </c>
      <c r="T55" s="36" t="s">
        <v>221</v>
      </c>
      <c r="U55" s="36">
        <v>23109359</v>
      </c>
      <c r="V55" s="36" t="s">
        <v>84</v>
      </c>
      <c r="W55" s="36">
        <v>12</v>
      </c>
      <c r="X55" s="36">
        <v>4.8</v>
      </c>
      <c r="Y55" s="36">
        <v>12</v>
      </c>
      <c r="Z55" s="36">
        <v>4.8</v>
      </c>
      <c r="AA55" s="36">
        <v>0</v>
      </c>
      <c r="AB55" s="36">
        <v>0</v>
      </c>
      <c r="AC55" s="36">
        <v>0</v>
      </c>
      <c r="AD55" s="36">
        <v>0</v>
      </c>
      <c r="AE55" s="36">
        <v>12</v>
      </c>
      <c r="AF55" s="36">
        <v>4.8</v>
      </c>
      <c r="AG55" s="36"/>
      <c r="AH55" s="36"/>
      <c r="AI55" s="36" t="s">
        <v>200</v>
      </c>
      <c r="AJ55" s="36" t="s">
        <v>201</v>
      </c>
      <c r="AK55" s="36" t="s">
        <v>202</v>
      </c>
      <c r="AL55" s="36" t="s">
        <v>225</v>
      </c>
      <c r="AM55" s="36" t="s">
        <v>204</v>
      </c>
      <c r="AN55" s="36" t="s">
        <v>222</v>
      </c>
      <c r="AO55" s="36" t="s">
        <v>206</v>
      </c>
      <c r="AP55" s="36">
        <v>2</v>
      </c>
      <c r="AQ55" s="36"/>
      <c r="AR55" s="36"/>
      <c r="AS55" s="36"/>
      <c r="AT55" s="36" t="s">
        <v>223</v>
      </c>
      <c r="AU55" s="36" t="s">
        <v>224</v>
      </c>
      <c r="AV55" s="36" t="s">
        <v>216</v>
      </c>
      <c r="AW55" s="36" t="s">
        <v>209</v>
      </c>
      <c r="AX55" s="36" t="s">
        <v>210</v>
      </c>
      <c r="AY55" s="36">
        <v>0</v>
      </c>
      <c r="AZ55" s="36" t="s">
        <v>211</v>
      </c>
      <c r="BA55" s="36">
        <v>9045089536563</v>
      </c>
      <c r="BB55" s="36"/>
      <c r="BC55" s="36"/>
      <c r="BD55" s="36">
        <v>1</v>
      </c>
      <c r="BE55" s="36"/>
      <c r="BF55" s="36"/>
      <c r="BG55" s="36">
        <v>1333314600</v>
      </c>
      <c r="BH55" s="36" t="s">
        <v>213</v>
      </c>
      <c r="BI55" s="36">
        <v>12</v>
      </c>
      <c r="BJ55" s="36">
        <v>4.8</v>
      </c>
      <c r="BK55" s="36">
        <v>1300</v>
      </c>
      <c r="BL55" s="36" t="s">
        <v>214</v>
      </c>
      <c r="BM55" s="36"/>
      <c r="BN55" s="36"/>
    </row>
    <row r="56" spans="1:66" x14ac:dyDescent="0.35">
      <c r="A56" s="36"/>
      <c r="B56" s="36"/>
      <c r="C56" s="37" t="s">
        <v>8</v>
      </c>
      <c r="D56" s="37" t="s">
        <v>8</v>
      </c>
      <c r="E56" s="36"/>
      <c r="F56" s="36" t="s">
        <v>192</v>
      </c>
      <c r="G56" s="36" t="s">
        <v>1</v>
      </c>
      <c r="H56" s="36">
        <v>0</v>
      </c>
      <c r="I56" s="36" t="s">
        <v>193</v>
      </c>
      <c r="J56" s="36" t="s">
        <v>194</v>
      </c>
      <c r="K56" s="36" t="s">
        <v>195</v>
      </c>
      <c r="L56" s="36">
        <v>923</v>
      </c>
      <c r="M56" s="36"/>
      <c r="N56" s="36" t="s">
        <v>218</v>
      </c>
      <c r="O56" s="36" t="s">
        <v>219</v>
      </c>
      <c r="P56" s="36">
        <v>2</v>
      </c>
      <c r="Q56" s="36" t="s">
        <v>220</v>
      </c>
      <c r="R56" s="37">
        <v>244658</v>
      </c>
      <c r="S56" s="37" t="s">
        <v>8</v>
      </c>
      <c r="T56" s="36" t="s">
        <v>221</v>
      </c>
      <c r="U56" s="36">
        <v>23109357</v>
      </c>
      <c r="V56" s="36" t="s">
        <v>82</v>
      </c>
      <c r="W56" s="36">
        <v>2</v>
      </c>
      <c r="X56" s="36">
        <v>0.8</v>
      </c>
      <c r="Y56" s="36">
        <v>2</v>
      </c>
      <c r="Z56" s="36">
        <v>0.8</v>
      </c>
      <c r="AA56" s="36">
        <v>0</v>
      </c>
      <c r="AB56" s="36">
        <v>0</v>
      </c>
      <c r="AC56" s="36">
        <v>0</v>
      </c>
      <c r="AD56" s="36">
        <v>0</v>
      </c>
      <c r="AE56" s="36">
        <v>2</v>
      </c>
      <c r="AF56" s="36">
        <v>0.8</v>
      </c>
      <c r="AG56" s="36"/>
      <c r="AH56" s="36"/>
      <c r="AI56" s="36" t="s">
        <v>200</v>
      </c>
      <c r="AJ56" s="36" t="s">
        <v>201</v>
      </c>
      <c r="AK56" s="36" t="s">
        <v>202</v>
      </c>
      <c r="AL56" s="36" t="s">
        <v>225</v>
      </c>
      <c r="AM56" s="36" t="s">
        <v>204</v>
      </c>
      <c r="AN56" s="36" t="s">
        <v>222</v>
      </c>
      <c r="AO56" s="36" t="s">
        <v>206</v>
      </c>
      <c r="AP56" s="36">
        <v>2</v>
      </c>
      <c r="AQ56" s="36"/>
      <c r="AR56" s="36"/>
      <c r="AS56" s="36"/>
      <c r="AT56" s="36" t="s">
        <v>223</v>
      </c>
      <c r="AU56" s="36" t="s">
        <v>224</v>
      </c>
      <c r="AV56" s="36" t="s">
        <v>216</v>
      </c>
      <c r="AW56" s="36" t="s">
        <v>209</v>
      </c>
      <c r="AX56" s="36" t="s">
        <v>210</v>
      </c>
      <c r="AY56" s="36">
        <v>0</v>
      </c>
      <c r="AZ56" s="36" t="s">
        <v>211</v>
      </c>
      <c r="BA56" s="36">
        <v>9045089536563</v>
      </c>
      <c r="BB56" s="36"/>
      <c r="BC56" s="36"/>
      <c r="BD56" s="36">
        <v>1</v>
      </c>
      <c r="BE56" s="36"/>
      <c r="BF56" s="36"/>
      <c r="BG56" s="36">
        <v>1333314600</v>
      </c>
      <c r="BH56" s="36" t="s">
        <v>213</v>
      </c>
      <c r="BI56" s="36">
        <v>2</v>
      </c>
      <c r="BJ56" s="36">
        <v>0.8</v>
      </c>
      <c r="BK56" s="36">
        <v>1300</v>
      </c>
      <c r="BL56" s="36" t="s">
        <v>214</v>
      </c>
      <c r="BM56" s="36"/>
      <c r="BN56" s="36"/>
    </row>
    <row r="57" spans="1:66" x14ac:dyDescent="0.35">
      <c r="A57" s="36"/>
      <c r="B57" s="36"/>
      <c r="C57" s="37" t="s">
        <v>8</v>
      </c>
      <c r="D57" s="37" t="s">
        <v>8</v>
      </c>
      <c r="E57" s="36"/>
      <c r="F57" s="36" t="s">
        <v>192</v>
      </c>
      <c r="G57" s="36" t="s">
        <v>1</v>
      </c>
      <c r="H57" s="36">
        <v>0</v>
      </c>
      <c r="I57" s="36" t="s">
        <v>193</v>
      </c>
      <c r="J57" s="36" t="s">
        <v>194</v>
      </c>
      <c r="K57" s="36" t="s">
        <v>195</v>
      </c>
      <c r="L57" s="36">
        <v>923</v>
      </c>
      <c r="M57" s="36"/>
      <c r="N57" s="36" t="s">
        <v>218</v>
      </c>
      <c r="O57" s="36" t="s">
        <v>219</v>
      </c>
      <c r="P57" s="36">
        <v>2</v>
      </c>
      <c r="Q57" s="36" t="s">
        <v>220</v>
      </c>
      <c r="R57" s="37">
        <v>244658</v>
      </c>
      <c r="S57" s="37" t="s">
        <v>8</v>
      </c>
      <c r="T57" s="36" t="s">
        <v>221</v>
      </c>
      <c r="U57" s="36">
        <v>23109351</v>
      </c>
      <c r="V57" s="36" t="s">
        <v>79</v>
      </c>
      <c r="W57" s="36">
        <v>4</v>
      </c>
      <c r="X57" s="36">
        <v>1</v>
      </c>
      <c r="Y57" s="36">
        <v>4</v>
      </c>
      <c r="Z57" s="36">
        <v>1</v>
      </c>
      <c r="AA57" s="36">
        <v>0</v>
      </c>
      <c r="AB57" s="36">
        <v>0</v>
      </c>
      <c r="AC57" s="36">
        <v>0</v>
      </c>
      <c r="AD57" s="36">
        <v>0</v>
      </c>
      <c r="AE57" s="36">
        <v>4</v>
      </c>
      <c r="AF57" s="36">
        <v>1</v>
      </c>
      <c r="AG57" s="36"/>
      <c r="AH57" s="36"/>
      <c r="AI57" s="36" t="s">
        <v>200</v>
      </c>
      <c r="AJ57" s="36" t="s">
        <v>201</v>
      </c>
      <c r="AK57" s="36" t="s">
        <v>202</v>
      </c>
      <c r="AL57" s="36" t="s">
        <v>225</v>
      </c>
      <c r="AM57" s="36" t="s">
        <v>204</v>
      </c>
      <c r="AN57" s="36" t="s">
        <v>222</v>
      </c>
      <c r="AO57" s="36" t="s">
        <v>206</v>
      </c>
      <c r="AP57" s="36">
        <v>2</v>
      </c>
      <c r="AQ57" s="36"/>
      <c r="AR57" s="36"/>
      <c r="AS57" s="36"/>
      <c r="AT57" s="36" t="s">
        <v>223</v>
      </c>
      <c r="AU57" s="36" t="s">
        <v>224</v>
      </c>
      <c r="AV57" s="36" t="s">
        <v>216</v>
      </c>
      <c r="AW57" s="36" t="s">
        <v>209</v>
      </c>
      <c r="AX57" s="36" t="s">
        <v>210</v>
      </c>
      <c r="AY57" s="36">
        <v>0</v>
      </c>
      <c r="AZ57" s="36" t="s">
        <v>211</v>
      </c>
      <c r="BA57" s="36">
        <v>9045089536563</v>
      </c>
      <c r="BB57" s="36"/>
      <c r="BC57" s="36"/>
      <c r="BD57" s="36">
        <v>1</v>
      </c>
      <c r="BE57" s="36"/>
      <c r="BF57" s="36"/>
      <c r="BG57" s="36">
        <v>1333314600</v>
      </c>
      <c r="BH57" s="36" t="s">
        <v>213</v>
      </c>
      <c r="BI57" s="36">
        <v>4</v>
      </c>
      <c r="BJ57" s="36">
        <v>1</v>
      </c>
      <c r="BK57" s="36">
        <v>1300</v>
      </c>
      <c r="BL57" s="36" t="s">
        <v>214</v>
      </c>
      <c r="BM57" s="36"/>
      <c r="BN57" s="36"/>
    </row>
    <row r="58" spans="1:66" x14ac:dyDescent="0.35">
      <c r="A58" s="36"/>
      <c r="B58" s="36"/>
      <c r="C58" s="37" t="s">
        <v>8</v>
      </c>
      <c r="D58" s="37" t="s">
        <v>8</v>
      </c>
      <c r="E58" s="36"/>
      <c r="F58" s="36" t="s">
        <v>192</v>
      </c>
      <c r="G58" s="36" t="s">
        <v>1</v>
      </c>
      <c r="H58" s="36">
        <v>0</v>
      </c>
      <c r="I58" s="36" t="s">
        <v>193</v>
      </c>
      <c r="J58" s="36" t="s">
        <v>194</v>
      </c>
      <c r="K58" s="36" t="s">
        <v>195</v>
      </c>
      <c r="L58" s="36">
        <v>923</v>
      </c>
      <c r="M58" s="36"/>
      <c r="N58" s="36" t="s">
        <v>218</v>
      </c>
      <c r="O58" s="36" t="s">
        <v>219</v>
      </c>
      <c r="P58" s="36">
        <v>2</v>
      </c>
      <c r="Q58" s="36" t="s">
        <v>220</v>
      </c>
      <c r="R58" s="37">
        <v>244658</v>
      </c>
      <c r="S58" s="37" t="s">
        <v>8</v>
      </c>
      <c r="T58" s="36" t="s">
        <v>221</v>
      </c>
      <c r="U58" s="36">
        <v>23097788</v>
      </c>
      <c r="V58" s="36" t="s">
        <v>61</v>
      </c>
      <c r="W58" s="36">
        <v>2</v>
      </c>
      <c r="X58" s="36">
        <v>2</v>
      </c>
      <c r="Y58" s="36">
        <v>2</v>
      </c>
      <c r="Z58" s="36">
        <v>2</v>
      </c>
      <c r="AA58" s="36">
        <v>0</v>
      </c>
      <c r="AB58" s="36">
        <v>0</v>
      </c>
      <c r="AC58" s="36">
        <v>0</v>
      </c>
      <c r="AD58" s="36">
        <v>0</v>
      </c>
      <c r="AE58" s="36">
        <v>2</v>
      </c>
      <c r="AF58" s="36">
        <v>2</v>
      </c>
      <c r="AG58" s="36"/>
      <c r="AH58" s="36"/>
      <c r="AI58" s="36" t="s">
        <v>200</v>
      </c>
      <c r="AJ58" s="36" t="s">
        <v>201</v>
      </c>
      <c r="AK58" s="36" t="s">
        <v>215</v>
      </c>
      <c r="AL58" s="36" t="s">
        <v>203</v>
      </c>
      <c r="AM58" s="36" t="s">
        <v>204</v>
      </c>
      <c r="AN58" s="36" t="s">
        <v>222</v>
      </c>
      <c r="AO58" s="36" t="s">
        <v>206</v>
      </c>
      <c r="AP58" s="36">
        <v>2</v>
      </c>
      <c r="AQ58" s="36"/>
      <c r="AR58" s="36"/>
      <c r="AS58" s="36"/>
      <c r="AT58" s="36" t="s">
        <v>223</v>
      </c>
      <c r="AU58" s="36" t="s">
        <v>224</v>
      </c>
      <c r="AV58" s="36" t="s">
        <v>216</v>
      </c>
      <c r="AW58" s="36" t="s">
        <v>209</v>
      </c>
      <c r="AX58" s="36" t="s">
        <v>210</v>
      </c>
      <c r="AY58" s="36">
        <v>0</v>
      </c>
      <c r="AZ58" s="36" t="s">
        <v>211</v>
      </c>
      <c r="BA58" s="36">
        <v>9045089536563</v>
      </c>
      <c r="BB58" s="36"/>
      <c r="BC58" s="36"/>
      <c r="BD58" s="36">
        <v>1</v>
      </c>
      <c r="BE58" s="36"/>
      <c r="BF58" s="36"/>
      <c r="BG58" s="36">
        <v>1333314600</v>
      </c>
      <c r="BH58" s="36" t="s">
        <v>213</v>
      </c>
      <c r="BI58" s="36">
        <v>2</v>
      </c>
      <c r="BJ58" s="36">
        <v>2</v>
      </c>
      <c r="BK58" s="36">
        <v>1300</v>
      </c>
      <c r="BL58" s="36" t="s">
        <v>214</v>
      </c>
      <c r="BM58" s="36"/>
      <c r="BN58" s="36"/>
    </row>
    <row r="59" spans="1:66" x14ac:dyDescent="0.35">
      <c r="A59" s="36"/>
      <c r="B59" s="36"/>
      <c r="C59" s="37" t="s">
        <v>8</v>
      </c>
      <c r="D59" s="37" t="s">
        <v>8</v>
      </c>
      <c r="E59" s="36"/>
      <c r="F59" s="36" t="s">
        <v>192</v>
      </c>
      <c r="G59" s="36" t="s">
        <v>1</v>
      </c>
      <c r="H59" s="36">
        <v>0</v>
      </c>
      <c r="I59" s="36" t="s">
        <v>193</v>
      </c>
      <c r="J59" s="36" t="s">
        <v>194</v>
      </c>
      <c r="K59" s="36" t="s">
        <v>195</v>
      </c>
      <c r="L59" s="36">
        <v>923</v>
      </c>
      <c r="M59" s="36"/>
      <c r="N59" s="36" t="s">
        <v>218</v>
      </c>
      <c r="O59" s="36" t="s">
        <v>219</v>
      </c>
      <c r="P59" s="36">
        <v>2</v>
      </c>
      <c r="Q59" s="36" t="s">
        <v>220</v>
      </c>
      <c r="R59" s="37">
        <v>244658</v>
      </c>
      <c r="S59" s="37" t="s">
        <v>8</v>
      </c>
      <c r="T59" s="36" t="s">
        <v>221</v>
      </c>
      <c r="U59" s="36">
        <v>23109358</v>
      </c>
      <c r="V59" s="36" t="s">
        <v>83</v>
      </c>
      <c r="W59" s="36">
        <v>4</v>
      </c>
      <c r="X59" s="36">
        <v>1.6</v>
      </c>
      <c r="Y59" s="36">
        <v>4</v>
      </c>
      <c r="Z59" s="36">
        <v>1.6</v>
      </c>
      <c r="AA59" s="36">
        <v>0</v>
      </c>
      <c r="AB59" s="36">
        <v>0</v>
      </c>
      <c r="AC59" s="36">
        <v>0</v>
      </c>
      <c r="AD59" s="36">
        <v>0</v>
      </c>
      <c r="AE59" s="36">
        <v>4</v>
      </c>
      <c r="AF59" s="36">
        <v>1.6</v>
      </c>
      <c r="AG59" s="36"/>
      <c r="AH59" s="36"/>
      <c r="AI59" s="36" t="s">
        <v>200</v>
      </c>
      <c r="AJ59" s="36" t="s">
        <v>201</v>
      </c>
      <c r="AK59" s="36" t="s">
        <v>202</v>
      </c>
      <c r="AL59" s="36" t="s">
        <v>225</v>
      </c>
      <c r="AM59" s="36" t="s">
        <v>204</v>
      </c>
      <c r="AN59" s="36" t="s">
        <v>222</v>
      </c>
      <c r="AO59" s="36" t="s">
        <v>206</v>
      </c>
      <c r="AP59" s="36">
        <v>2</v>
      </c>
      <c r="AQ59" s="36"/>
      <c r="AR59" s="36"/>
      <c r="AS59" s="36"/>
      <c r="AT59" s="36" t="s">
        <v>223</v>
      </c>
      <c r="AU59" s="36" t="s">
        <v>224</v>
      </c>
      <c r="AV59" s="36" t="s">
        <v>216</v>
      </c>
      <c r="AW59" s="36" t="s">
        <v>209</v>
      </c>
      <c r="AX59" s="36" t="s">
        <v>210</v>
      </c>
      <c r="AY59" s="36">
        <v>0</v>
      </c>
      <c r="AZ59" s="36" t="s">
        <v>211</v>
      </c>
      <c r="BA59" s="36">
        <v>9045089536563</v>
      </c>
      <c r="BB59" s="36"/>
      <c r="BC59" s="36"/>
      <c r="BD59" s="36">
        <v>1</v>
      </c>
      <c r="BE59" s="36"/>
      <c r="BF59" s="36"/>
      <c r="BG59" s="36">
        <v>1333314600</v>
      </c>
      <c r="BH59" s="36" t="s">
        <v>213</v>
      </c>
      <c r="BI59" s="36">
        <v>4</v>
      </c>
      <c r="BJ59" s="36">
        <v>1.6</v>
      </c>
      <c r="BK59" s="36">
        <v>1300</v>
      </c>
      <c r="BL59" s="36" t="s">
        <v>214</v>
      </c>
      <c r="BM59" s="36"/>
      <c r="BN59" s="36"/>
    </row>
    <row r="60" spans="1:66" x14ac:dyDescent="0.35">
      <c r="A60" s="36"/>
      <c r="B60" s="36"/>
      <c r="C60" s="37" t="s">
        <v>8</v>
      </c>
      <c r="D60" s="37" t="s">
        <v>8</v>
      </c>
      <c r="E60" s="36"/>
      <c r="F60" s="36" t="s">
        <v>192</v>
      </c>
      <c r="G60" s="36" t="s">
        <v>1</v>
      </c>
      <c r="H60" s="36">
        <v>0</v>
      </c>
      <c r="I60" s="36" t="s">
        <v>193</v>
      </c>
      <c r="J60" s="36" t="s">
        <v>194</v>
      </c>
      <c r="K60" s="36" t="s">
        <v>195</v>
      </c>
      <c r="L60" s="36">
        <v>923</v>
      </c>
      <c r="M60" s="36"/>
      <c r="N60" s="36" t="s">
        <v>218</v>
      </c>
      <c r="O60" s="36" t="s">
        <v>219</v>
      </c>
      <c r="P60" s="36">
        <v>2</v>
      </c>
      <c r="Q60" s="36" t="s">
        <v>220</v>
      </c>
      <c r="R60" s="37">
        <v>244658</v>
      </c>
      <c r="S60" s="37" t="s">
        <v>8</v>
      </c>
      <c r="T60" s="36" t="s">
        <v>221</v>
      </c>
      <c r="U60" s="36">
        <v>23109532</v>
      </c>
      <c r="V60" s="36" t="s">
        <v>85</v>
      </c>
      <c r="W60" s="36">
        <v>4</v>
      </c>
      <c r="X60" s="36">
        <v>1.6</v>
      </c>
      <c r="Y60" s="36">
        <v>4</v>
      </c>
      <c r="Z60" s="36">
        <v>1.6</v>
      </c>
      <c r="AA60" s="36">
        <v>0</v>
      </c>
      <c r="AB60" s="36">
        <v>0</v>
      </c>
      <c r="AC60" s="36">
        <v>0</v>
      </c>
      <c r="AD60" s="36">
        <v>0</v>
      </c>
      <c r="AE60" s="36">
        <v>4</v>
      </c>
      <c r="AF60" s="36">
        <v>1.6</v>
      </c>
      <c r="AG60" s="36"/>
      <c r="AH60" s="36"/>
      <c r="AI60" s="36" t="s">
        <v>200</v>
      </c>
      <c r="AJ60" s="36" t="s">
        <v>201</v>
      </c>
      <c r="AK60" s="36" t="s">
        <v>215</v>
      </c>
      <c r="AL60" s="36" t="s">
        <v>225</v>
      </c>
      <c r="AM60" s="36" t="s">
        <v>204</v>
      </c>
      <c r="AN60" s="36" t="s">
        <v>222</v>
      </c>
      <c r="AO60" s="36" t="s">
        <v>206</v>
      </c>
      <c r="AP60" s="36">
        <v>2</v>
      </c>
      <c r="AQ60" s="36"/>
      <c r="AR60" s="36"/>
      <c r="AS60" s="36"/>
      <c r="AT60" s="36" t="s">
        <v>223</v>
      </c>
      <c r="AU60" s="36" t="s">
        <v>224</v>
      </c>
      <c r="AV60" s="36" t="s">
        <v>216</v>
      </c>
      <c r="AW60" s="36" t="s">
        <v>209</v>
      </c>
      <c r="AX60" s="36" t="s">
        <v>210</v>
      </c>
      <c r="AY60" s="36">
        <v>0</v>
      </c>
      <c r="AZ60" s="36" t="s">
        <v>211</v>
      </c>
      <c r="BA60" s="36">
        <v>9045089536563</v>
      </c>
      <c r="BB60" s="36"/>
      <c r="BC60" s="36"/>
      <c r="BD60" s="36">
        <v>1</v>
      </c>
      <c r="BE60" s="36"/>
      <c r="BF60" s="36"/>
      <c r="BG60" s="36">
        <v>1333314600</v>
      </c>
      <c r="BH60" s="36" t="s">
        <v>213</v>
      </c>
      <c r="BI60" s="36">
        <v>4</v>
      </c>
      <c r="BJ60" s="36">
        <v>1.6</v>
      </c>
      <c r="BK60" s="36">
        <v>1300</v>
      </c>
      <c r="BL60" s="36" t="s">
        <v>214</v>
      </c>
      <c r="BM60" s="36"/>
      <c r="BN60" s="36"/>
    </row>
    <row r="61" spans="1:66" x14ac:dyDescent="0.35">
      <c r="A61" s="36"/>
      <c r="B61" s="36"/>
      <c r="C61" s="37" t="s">
        <v>8</v>
      </c>
      <c r="D61" s="37" t="s">
        <v>8</v>
      </c>
      <c r="E61" s="36"/>
      <c r="F61" s="36" t="s">
        <v>192</v>
      </c>
      <c r="G61" s="36" t="s">
        <v>1</v>
      </c>
      <c r="H61" s="36">
        <v>0</v>
      </c>
      <c r="I61" s="36" t="s">
        <v>193</v>
      </c>
      <c r="J61" s="36" t="s">
        <v>194</v>
      </c>
      <c r="K61" s="36" t="s">
        <v>195</v>
      </c>
      <c r="L61" s="36">
        <v>923</v>
      </c>
      <c r="M61" s="36"/>
      <c r="N61" s="36" t="s">
        <v>218</v>
      </c>
      <c r="O61" s="36" t="s">
        <v>219</v>
      </c>
      <c r="P61" s="36">
        <v>2</v>
      </c>
      <c r="Q61" s="36" t="s">
        <v>220</v>
      </c>
      <c r="R61" s="37">
        <v>244658</v>
      </c>
      <c r="S61" s="37" t="s">
        <v>8</v>
      </c>
      <c r="T61" s="36" t="s">
        <v>221</v>
      </c>
      <c r="U61" s="36">
        <v>23097793</v>
      </c>
      <c r="V61" s="36" t="s">
        <v>66</v>
      </c>
      <c r="W61" s="36">
        <v>24</v>
      </c>
      <c r="X61" s="36">
        <v>24</v>
      </c>
      <c r="Y61" s="36">
        <v>24</v>
      </c>
      <c r="Z61" s="36">
        <v>24</v>
      </c>
      <c r="AA61" s="36">
        <v>0</v>
      </c>
      <c r="AB61" s="36">
        <v>0</v>
      </c>
      <c r="AC61" s="36">
        <v>0</v>
      </c>
      <c r="AD61" s="36">
        <v>0</v>
      </c>
      <c r="AE61" s="36">
        <v>24</v>
      </c>
      <c r="AF61" s="36">
        <v>24</v>
      </c>
      <c r="AG61" s="36"/>
      <c r="AH61" s="36"/>
      <c r="AI61" s="36" t="s">
        <v>200</v>
      </c>
      <c r="AJ61" s="36" t="s">
        <v>201</v>
      </c>
      <c r="AK61" s="36" t="s">
        <v>202</v>
      </c>
      <c r="AL61" s="36" t="s">
        <v>203</v>
      </c>
      <c r="AM61" s="36" t="s">
        <v>204</v>
      </c>
      <c r="AN61" s="36" t="s">
        <v>222</v>
      </c>
      <c r="AO61" s="36" t="s">
        <v>206</v>
      </c>
      <c r="AP61" s="36">
        <v>2</v>
      </c>
      <c r="AQ61" s="36"/>
      <c r="AR61" s="36"/>
      <c r="AS61" s="36"/>
      <c r="AT61" s="36" t="s">
        <v>223</v>
      </c>
      <c r="AU61" s="36" t="s">
        <v>224</v>
      </c>
      <c r="AV61" s="36" t="s">
        <v>216</v>
      </c>
      <c r="AW61" s="36" t="s">
        <v>209</v>
      </c>
      <c r="AX61" s="36" t="s">
        <v>210</v>
      </c>
      <c r="AY61" s="36">
        <v>0</v>
      </c>
      <c r="AZ61" s="36" t="s">
        <v>211</v>
      </c>
      <c r="BA61" s="36">
        <v>9045089536563</v>
      </c>
      <c r="BB61" s="36"/>
      <c r="BC61" s="36"/>
      <c r="BD61" s="36">
        <v>1</v>
      </c>
      <c r="BE61" s="36"/>
      <c r="BF61" s="36"/>
      <c r="BG61" s="36">
        <v>1333314600</v>
      </c>
      <c r="BH61" s="36" t="s">
        <v>213</v>
      </c>
      <c r="BI61" s="36">
        <v>24</v>
      </c>
      <c r="BJ61" s="36">
        <v>24</v>
      </c>
      <c r="BK61" s="36">
        <v>1300</v>
      </c>
      <c r="BL61" s="36" t="s">
        <v>214</v>
      </c>
      <c r="BM61" s="36"/>
      <c r="BN61" s="36"/>
    </row>
    <row r="62" spans="1:66" x14ac:dyDescent="0.35">
      <c r="A62" s="36"/>
      <c r="B62" s="36"/>
      <c r="C62" s="37" t="s">
        <v>8</v>
      </c>
      <c r="D62" s="37" t="s">
        <v>8</v>
      </c>
      <c r="E62" s="36"/>
      <c r="F62" s="36" t="s">
        <v>192</v>
      </c>
      <c r="G62" s="36" t="s">
        <v>1</v>
      </c>
      <c r="H62" s="36">
        <v>0</v>
      </c>
      <c r="I62" s="36" t="s">
        <v>193</v>
      </c>
      <c r="J62" s="36" t="s">
        <v>194</v>
      </c>
      <c r="K62" s="36" t="s">
        <v>195</v>
      </c>
      <c r="L62" s="36">
        <v>923</v>
      </c>
      <c r="M62" s="36"/>
      <c r="N62" s="36" t="s">
        <v>218</v>
      </c>
      <c r="O62" s="36" t="s">
        <v>219</v>
      </c>
      <c r="P62" s="36">
        <v>2</v>
      </c>
      <c r="Q62" s="36" t="s">
        <v>220</v>
      </c>
      <c r="R62" s="37">
        <v>244658</v>
      </c>
      <c r="S62" s="37" t="s">
        <v>8</v>
      </c>
      <c r="T62" s="36" t="s">
        <v>221</v>
      </c>
      <c r="U62" s="36">
        <v>23109352</v>
      </c>
      <c r="V62" s="36" t="s">
        <v>80</v>
      </c>
      <c r="W62" s="36">
        <v>12</v>
      </c>
      <c r="X62" s="36">
        <v>3</v>
      </c>
      <c r="Y62" s="36">
        <v>12</v>
      </c>
      <c r="Z62" s="36">
        <v>3</v>
      </c>
      <c r="AA62" s="36">
        <v>0</v>
      </c>
      <c r="AB62" s="36">
        <v>0</v>
      </c>
      <c r="AC62" s="36">
        <v>0</v>
      </c>
      <c r="AD62" s="36">
        <v>0</v>
      </c>
      <c r="AE62" s="36">
        <v>12</v>
      </c>
      <c r="AF62" s="36">
        <v>3</v>
      </c>
      <c r="AG62" s="36"/>
      <c r="AH62" s="36"/>
      <c r="AI62" s="36" t="s">
        <v>200</v>
      </c>
      <c r="AJ62" s="36" t="s">
        <v>201</v>
      </c>
      <c r="AK62" s="36" t="s">
        <v>202</v>
      </c>
      <c r="AL62" s="36" t="s">
        <v>225</v>
      </c>
      <c r="AM62" s="36" t="s">
        <v>204</v>
      </c>
      <c r="AN62" s="36" t="s">
        <v>222</v>
      </c>
      <c r="AO62" s="36" t="s">
        <v>206</v>
      </c>
      <c r="AP62" s="36">
        <v>2</v>
      </c>
      <c r="AQ62" s="36"/>
      <c r="AR62" s="36"/>
      <c r="AS62" s="36"/>
      <c r="AT62" s="36" t="s">
        <v>223</v>
      </c>
      <c r="AU62" s="36" t="s">
        <v>224</v>
      </c>
      <c r="AV62" s="36" t="s">
        <v>216</v>
      </c>
      <c r="AW62" s="36" t="s">
        <v>209</v>
      </c>
      <c r="AX62" s="36" t="s">
        <v>210</v>
      </c>
      <c r="AY62" s="36">
        <v>0</v>
      </c>
      <c r="AZ62" s="36" t="s">
        <v>211</v>
      </c>
      <c r="BA62" s="36">
        <v>9045089536563</v>
      </c>
      <c r="BB62" s="36"/>
      <c r="BC62" s="36"/>
      <c r="BD62" s="36">
        <v>1</v>
      </c>
      <c r="BE62" s="36"/>
      <c r="BF62" s="36"/>
      <c r="BG62" s="36">
        <v>1333314600</v>
      </c>
      <c r="BH62" s="36" t="s">
        <v>213</v>
      </c>
      <c r="BI62" s="36">
        <v>12</v>
      </c>
      <c r="BJ62" s="36">
        <v>3</v>
      </c>
      <c r="BK62" s="36">
        <v>1300</v>
      </c>
      <c r="BL62" s="36" t="s">
        <v>214</v>
      </c>
      <c r="BM62" s="36"/>
      <c r="BN62" s="36"/>
    </row>
    <row r="63" spans="1:66" x14ac:dyDescent="0.35">
      <c r="A63" s="36"/>
      <c r="B63" s="36"/>
      <c r="C63" s="37" t="s">
        <v>8</v>
      </c>
      <c r="D63" s="37" t="s">
        <v>8</v>
      </c>
      <c r="E63" s="36"/>
      <c r="F63" s="36" t="s">
        <v>192</v>
      </c>
      <c r="G63" s="36" t="s">
        <v>1</v>
      </c>
      <c r="H63" s="36">
        <v>0</v>
      </c>
      <c r="I63" s="36" t="s">
        <v>193</v>
      </c>
      <c r="J63" s="36" t="s">
        <v>194</v>
      </c>
      <c r="K63" s="36" t="s">
        <v>195</v>
      </c>
      <c r="L63" s="36">
        <v>923</v>
      </c>
      <c r="M63" s="36"/>
      <c r="N63" s="36" t="s">
        <v>218</v>
      </c>
      <c r="O63" s="36" t="s">
        <v>219</v>
      </c>
      <c r="P63" s="36">
        <v>2</v>
      </c>
      <c r="Q63" s="36" t="s">
        <v>220</v>
      </c>
      <c r="R63" s="37">
        <v>244658</v>
      </c>
      <c r="S63" s="37" t="s">
        <v>8</v>
      </c>
      <c r="T63" s="36" t="s">
        <v>221</v>
      </c>
      <c r="U63" s="36">
        <v>23109353</v>
      </c>
      <c r="V63" s="36" t="s">
        <v>81</v>
      </c>
      <c r="W63" s="36">
        <v>12</v>
      </c>
      <c r="X63" s="36">
        <v>3</v>
      </c>
      <c r="Y63" s="36">
        <v>12</v>
      </c>
      <c r="Z63" s="36">
        <v>3</v>
      </c>
      <c r="AA63" s="36">
        <v>0</v>
      </c>
      <c r="AB63" s="36">
        <v>0</v>
      </c>
      <c r="AC63" s="36">
        <v>0</v>
      </c>
      <c r="AD63" s="36">
        <v>0</v>
      </c>
      <c r="AE63" s="36">
        <v>12</v>
      </c>
      <c r="AF63" s="36">
        <v>3</v>
      </c>
      <c r="AG63" s="36"/>
      <c r="AH63" s="36"/>
      <c r="AI63" s="36" t="s">
        <v>200</v>
      </c>
      <c r="AJ63" s="36" t="s">
        <v>201</v>
      </c>
      <c r="AK63" s="36" t="s">
        <v>202</v>
      </c>
      <c r="AL63" s="36" t="s">
        <v>225</v>
      </c>
      <c r="AM63" s="36" t="s">
        <v>204</v>
      </c>
      <c r="AN63" s="36" t="s">
        <v>222</v>
      </c>
      <c r="AO63" s="36" t="s">
        <v>206</v>
      </c>
      <c r="AP63" s="36">
        <v>2</v>
      </c>
      <c r="AQ63" s="36"/>
      <c r="AR63" s="36"/>
      <c r="AS63" s="36"/>
      <c r="AT63" s="36" t="s">
        <v>223</v>
      </c>
      <c r="AU63" s="36" t="s">
        <v>224</v>
      </c>
      <c r="AV63" s="36" t="s">
        <v>216</v>
      </c>
      <c r="AW63" s="36" t="s">
        <v>209</v>
      </c>
      <c r="AX63" s="36" t="s">
        <v>210</v>
      </c>
      <c r="AY63" s="36">
        <v>0</v>
      </c>
      <c r="AZ63" s="36" t="s">
        <v>211</v>
      </c>
      <c r="BA63" s="36">
        <v>9045089536563</v>
      </c>
      <c r="BB63" s="36"/>
      <c r="BC63" s="36"/>
      <c r="BD63" s="36">
        <v>1</v>
      </c>
      <c r="BE63" s="36"/>
      <c r="BF63" s="36"/>
      <c r="BG63" s="36">
        <v>1333314600</v>
      </c>
      <c r="BH63" s="36" t="s">
        <v>213</v>
      </c>
      <c r="BI63" s="36">
        <v>12</v>
      </c>
      <c r="BJ63" s="36">
        <v>3</v>
      </c>
      <c r="BK63" s="36">
        <v>1300</v>
      </c>
      <c r="BL63" s="36" t="s">
        <v>214</v>
      </c>
      <c r="BM63" s="36"/>
      <c r="BN63" s="36"/>
    </row>
    <row r="64" spans="1:66" x14ac:dyDescent="0.35">
      <c r="A64" s="36"/>
      <c r="B64" s="36"/>
      <c r="C64" s="37" t="s">
        <v>8</v>
      </c>
      <c r="D64" s="37" t="s">
        <v>8</v>
      </c>
      <c r="E64" s="36"/>
      <c r="F64" s="36" t="s">
        <v>192</v>
      </c>
      <c r="G64" s="36" t="s">
        <v>1</v>
      </c>
      <c r="H64" s="36">
        <v>0</v>
      </c>
      <c r="I64" s="36" t="s">
        <v>193</v>
      </c>
      <c r="J64" s="36" t="s">
        <v>194</v>
      </c>
      <c r="K64" s="36" t="s">
        <v>195</v>
      </c>
      <c r="L64" s="36">
        <v>923</v>
      </c>
      <c r="M64" s="36"/>
      <c r="N64" s="36" t="s">
        <v>218</v>
      </c>
      <c r="O64" s="36" t="s">
        <v>219</v>
      </c>
      <c r="P64" s="36">
        <v>2</v>
      </c>
      <c r="Q64" s="36" t="s">
        <v>220</v>
      </c>
      <c r="R64" s="37">
        <v>244658</v>
      </c>
      <c r="S64" s="37" t="s">
        <v>8</v>
      </c>
      <c r="T64" s="36" t="s">
        <v>221</v>
      </c>
      <c r="U64" s="36">
        <v>23097790</v>
      </c>
      <c r="V64" s="36" t="s">
        <v>63</v>
      </c>
      <c r="W64" s="36">
        <v>20</v>
      </c>
      <c r="X64" s="36">
        <v>20</v>
      </c>
      <c r="Y64" s="36">
        <v>20</v>
      </c>
      <c r="Z64" s="36">
        <v>20</v>
      </c>
      <c r="AA64" s="36">
        <v>0</v>
      </c>
      <c r="AB64" s="36">
        <v>0</v>
      </c>
      <c r="AC64" s="36">
        <v>0</v>
      </c>
      <c r="AD64" s="36">
        <v>0</v>
      </c>
      <c r="AE64" s="36">
        <v>20</v>
      </c>
      <c r="AF64" s="36">
        <v>20</v>
      </c>
      <c r="AG64" s="36"/>
      <c r="AH64" s="36"/>
      <c r="AI64" s="36" t="s">
        <v>200</v>
      </c>
      <c r="AJ64" s="36" t="s">
        <v>201</v>
      </c>
      <c r="AK64" s="36" t="s">
        <v>202</v>
      </c>
      <c r="AL64" s="36" t="s">
        <v>203</v>
      </c>
      <c r="AM64" s="36" t="s">
        <v>204</v>
      </c>
      <c r="AN64" s="36" t="s">
        <v>222</v>
      </c>
      <c r="AO64" s="36" t="s">
        <v>206</v>
      </c>
      <c r="AP64" s="36">
        <v>2</v>
      </c>
      <c r="AQ64" s="36"/>
      <c r="AR64" s="36"/>
      <c r="AS64" s="36"/>
      <c r="AT64" s="36" t="s">
        <v>223</v>
      </c>
      <c r="AU64" s="36" t="s">
        <v>224</v>
      </c>
      <c r="AV64" s="36" t="s">
        <v>216</v>
      </c>
      <c r="AW64" s="36" t="s">
        <v>209</v>
      </c>
      <c r="AX64" s="36" t="s">
        <v>210</v>
      </c>
      <c r="AY64" s="36">
        <v>0</v>
      </c>
      <c r="AZ64" s="36" t="s">
        <v>211</v>
      </c>
      <c r="BA64" s="36">
        <v>9045089536563</v>
      </c>
      <c r="BB64" s="36"/>
      <c r="BC64" s="36"/>
      <c r="BD64" s="36">
        <v>1</v>
      </c>
      <c r="BE64" s="36"/>
      <c r="BF64" s="36"/>
      <c r="BG64" s="36">
        <v>1333314600</v>
      </c>
      <c r="BH64" s="36" t="s">
        <v>213</v>
      </c>
      <c r="BI64" s="36">
        <v>20</v>
      </c>
      <c r="BJ64" s="36">
        <v>20</v>
      </c>
      <c r="BK64" s="36">
        <v>1300</v>
      </c>
      <c r="BL64" s="36" t="s">
        <v>214</v>
      </c>
      <c r="BM64" s="36"/>
      <c r="BN64" s="36"/>
    </row>
    <row r="65" spans="1:66" x14ac:dyDescent="0.35">
      <c r="A65" s="36"/>
      <c r="B65" s="36"/>
      <c r="C65" s="37" t="s">
        <v>8</v>
      </c>
      <c r="D65" s="37" t="s">
        <v>8</v>
      </c>
      <c r="E65" s="36"/>
      <c r="F65" s="36" t="s">
        <v>192</v>
      </c>
      <c r="G65" s="36" t="s">
        <v>1</v>
      </c>
      <c r="H65" s="36">
        <v>0</v>
      </c>
      <c r="I65" s="36" t="s">
        <v>193</v>
      </c>
      <c r="J65" s="36" t="s">
        <v>194</v>
      </c>
      <c r="K65" s="36" t="s">
        <v>195</v>
      </c>
      <c r="L65" s="36">
        <v>923</v>
      </c>
      <c r="M65" s="36"/>
      <c r="N65" s="36" t="s">
        <v>218</v>
      </c>
      <c r="O65" s="36" t="s">
        <v>219</v>
      </c>
      <c r="P65" s="36">
        <v>2</v>
      </c>
      <c r="Q65" s="36" t="s">
        <v>220</v>
      </c>
      <c r="R65" s="37">
        <v>244658</v>
      </c>
      <c r="S65" s="37" t="s">
        <v>8</v>
      </c>
      <c r="T65" s="36" t="s">
        <v>221</v>
      </c>
      <c r="U65" s="36">
        <v>23097787</v>
      </c>
      <c r="V65" s="36" t="s">
        <v>60</v>
      </c>
      <c r="W65" s="36">
        <v>2</v>
      </c>
      <c r="X65" s="36">
        <v>2</v>
      </c>
      <c r="Y65" s="36">
        <v>2</v>
      </c>
      <c r="Z65" s="36">
        <v>2</v>
      </c>
      <c r="AA65" s="36">
        <v>0</v>
      </c>
      <c r="AB65" s="36">
        <v>0</v>
      </c>
      <c r="AC65" s="36">
        <v>0</v>
      </c>
      <c r="AD65" s="36">
        <v>0</v>
      </c>
      <c r="AE65" s="36">
        <v>2</v>
      </c>
      <c r="AF65" s="36">
        <v>2</v>
      </c>
      <c r="AG65" s="36"/>
      <c r="AH65" s="36"/>
      <c r="AI65" s="36" t="s">
        <v>200</v>
      </c>
      <c r="AJ65" s="36" t="s">
        <v>201</v>
      </c>
      <c r="AK65" s="36" t="s">
        <v>215</v>
      </c>
      <c r="AL65" s="36" t="s">
        <v>203</v>
      </c>
      <c r="AM65" s="36" t="s">
        <v>204</v>
      </c>
      <c r="AN65" s="36" t="s">
        <v>222</v>
      </c>
      <c r="AO65" s="36" t="s">
        <v>206</v>
      </c>
      <c r="AP65" s="36">
        <v>2</v>
      </c>
      <c r="AQ65" s="36"/>
      <c r="AR65" s="36"/>
      <c r="AS65" s="36"/>
      <c r="AT65" s="36" t="s">
        <v>223</v>
      </c>
      <c r="AU65" s="36" t="s">
        <v>224</v>
      </c>
      <c r="AV65" s="36" t="s">
        <v>216</v>
      </c>
      <c r="AW65" s="36" t="s">
        <v>209</v>
      </c>
      <c r="AX65" s="36" t="s">
        <v>210</v>
      </c>
      <c r="AY65" s="36">
        <v>0</v>
      </c>
      <c r="AZ65" s="36" t="s">
        <v>211</v>
      </c>
      <c r="BA65" s="36">
        <v>9045089536563</v>
      </c>
      <c r="BB65" s="36"/>
      <c r="BC65" s="36"/>
      <c r="BD65" s="36">
        <v>1</v>
      </c>
      <c r="BE65" s="36"/>
      <c r="BF65" s="36"/>
      <c r="BG65" s="36">
        <v>1333314600</v>
      </c>
      <c r="BH65" s="36" t="s">
        <v>213</v>
      </c>
      <c r="BI65" s="36">
        <v>2</v>
      </c>
      <c r="BJ65" s="36">
        <v>2</v>
      </c>
      <c r="BK65" s="36">
        <v>1300</v>
      </c>
      <c r="BL65" s="36" t="s">
        <v>214</v>
      </c>
      <c r="BM65" s="36"/>
      <c r="BN65" s="36"/>
    </row>
    <row r="66" spans="1:66" x14ac:dyDescent="0.35">
      <c r="A66" s="36"/>
      <c r="B66" s="36"/>
      <c r="C66" s="37" t="s">
        <v>8</v>
      </c>
      <c r="D66" s="37" t="s">
        <v>8</v>
      </c>
      <c r="E66" s="36"/>
      <c r="F66" s="36" t="s">
        <v>192</v>
      </c>
      <c r="G66" s="36" t="s">
        <v>1</v>
      </c>
      <c r="H66" s="36">
        <v>0</v>
      </c>
      <c r="I66" s="36" t="s">
        <v>193</v>
      </c>
      <c r="J66" s="36" t="s">
        <v>194</v>
      </c>
      <c r="K66" s="36" t="s">
        <v>195</v>
      </c>
      <c r="L66" s="36">
        <v>923</v>
      </c>
      <c r="M66" s="36"/>
      <c r="N66" s="36" t="s">
        <v>218</v>
      </c>
      <c r="O66" s="36" t="s">
        <v>219</v>
      </c>
      <c r="P66" s="36">
        <v>2</v>
      </c>
      <c r="Q66" s="36" t="s">
        <v>220</v>
      </c>
      <c r="R66" s="37">
        <v>244658</v>
      </c>
      <c r="S66" s="37" t="s">
        <v>8</v>
      </c>
      <c r="T66" s="36" t="s">
        <v>221</v>
      </c>
      <c r="U66" s="36">
        <v>23097797</v>
      </c>
      <c r="V66" s="36" t="s">
        <v>68</v>
      </c>
      <c r="W66" s="36">
        <v>20</v>
      </c>
      <c r="X66" s="36">
        <v>20</v>
      </c>
      <c r="Y66" s="36">
        <v>20</v>
      </c>
      <c r="Z66" s="36">
        <v>20</v>
      </c>
      <c r="AA66" s="36">
        <v>0</v>
      </c>
      <c r="AB66" s="36">
        <v>0</v>
      </c>
      <c r="AC66" s="36">
        <v>0</v>
      </c>
      <c r="AD66" s="36">
        <v>0</v>
      </c>
      <c r="AE66" s="36">
        <v>20</v>
      </c>
      <c r="AF66" s="36">
        <v>20</v>
      </c>
      <c r="AG66" s="36"/>
      <c r="AH66" s="36"/>
      <c r="AI66" s="36" t="s">
        <v>200</v>
      </c>
      <c r="AJ66" s="36" t="s">
        <v>201</v>
      </c>
      <c r="AK66" s="36" t="s">
        <v>202</v>
      </c>
      <c r="AL66" s="36" t="s">
        <v>203</v>
      </c>
      <c r="AM66" s="36" t="s">
        <v>204</v>
      </c>
      <c r="AN66" s="36" t="s">
        <v>222</v>
      </c>
      <c r="AO66" s="36" t="s">
        <v>206</v>
      </c>
      <c r="AP66" s="36">
        <v>2</v>
      </c>
      <c r="AQ66" s="36"/>
      <c r="AR66" s="36"/>
      <c r="AS66" s="36"/>
      <c r="AT66" s="36" t="s">
        <v>223</v>
      </c>
      <c r="AU66" s="36" t="s">
        <v>224</v>
      </c>
      <c r="AV66" s="36" t="s">
        <v>216</v>
      </c>
      <c r="AW66" s="36" t="s">
        <v>209</v>
      </c>
      <c r="AX66" s="36" t="s">
        <v>210</v>
      </c>
      <c r="AY66" s="36">
        <v>0</v>
      </c>
      <c r="AZ66" s="36" t="s">
        <v>211</v>
      </c>
      <c r="BA66" s="36">
        <v>9045089536563</v>
      </c>
      <c r="BB66" s="36"/>
      <c r="BC66" s="36"/>
      <c r="BD66" s="36">
        <v>1</v>
      </c>
      <c r="BE66" s="36"/>
      <c r="BF66" s="36"/>
      <c r="BG66" s="36">
        <v>1333314600</v>
      </c>
      <c r="BH66" s="36" t="s">
        <v>213</v>
      </c>
      <c r="BI66" s="36">
        <v>20</v>
      </c>
      <c r="BJ66" s="36">
        <v>20</v>
      </c>
      <c r="BK66" s="36">
        <v>1300</v>
      </c>
      <c r="BL66" s="36" t="s">
        <v>214</v>
      </c>
      <c r="BM66" s="36"/>
      <c r="BN66" s="36"/>
    </row>
    <row r="67" spans="1:66" x14ac:dyDescent="0.35">
      <c r="A67" s="36"/>
      <c r="B67" s="36"/>
      <c r="C67" s="37" t="s">
        <v>8</v>
      </c>
      <c r="D67" s="37" t="s">
        <v>8</v>
      </c>
      <c r="E67" s="36"/>
      <c r="F67" s="36" t="s">
        <v>192</v>
      </c>
      <c r="G67" s="36" t="s">
        <v>1</v>
      </c>
      <c r="H67" s="36">
        <v>0</v>
      </c>
      <c r="I67" s="36" t="s">
        <v>193</v>
      </c>
      <c r="J67" s="36" t="s">
        <v>194</v>
      </c>
      <c r="K67" s="36" t="s">
        <v>195</v>
      </c>
      <c r="L67" s="36">
        <v>923</v>
      </c>
      <c r="M67" s="36"/>
      <c r="N67" s="36" t="s">
        <v>226</v>
      </c>
      <c r="O67" s="36" t="s">
        <v>227</v>
      </c>
      <c r="P67" s="36">
        <v>2</v>
      </c>
      <c r="Q67" s="36" t="s">
        <v>228</v>
      </c>
      <c r="R67" s="37">
        <v>244658</v>
      </c>
      <c r="S67" s="37" t="s">
        <v>8</v>
      </c>
      <c r="T67" s="36" t="s">
        <v>229</v>
      </c>
      <c r="U67" s="36">
        <v>23110588</v>
      </c>
      <c r="V67" s="36" t="s">
        <v>102</v>
      </c>
      <c r="W67" s="36">
        <v>4</v>
      </c>
      <c r="X67" s="36">
        <v>4</v>
      </c>
      <c r="Y67" s="36">
        <v>4</v>
      </c>
      <c r="Z67" s="36">
        <v>4</v>
      </c>
      <c r="AA67" s="36">
        <v>0</v>
      </c>
      <c r="AB67" s="36">
        <v>0</v>
      </c>
      <c r="AC67" s="36">
        <v>0</v>
      </c>
      <c r="AD67" s="36">
        <v>0</v>
      </c>
      <c r="AE67" s="36">
        <v>4</v>
      </c>
      <c r="AF67" s="36">
        <v>4</v>
      </c>
      <c r="AG67" s="36"/>
      <c r="AH67" s="36"/>
      <c r="AI67" s="36" t="s">
        <v>200</v>
      </c>
      <c r="AJ67" s="36" t="s">
        <v>201</v>
      </c>
      <c r="AK67" s="36" t="s">
        <v>202</v>
      </c>
      <c r="AL67" s="36" t="s">
        <v>225</v>
      </c>
      <c r="AM67" s="36" t="s">
        <v>204</v>
      </c>
      <c r="AN67" s="36" t="s">
        <v>222</v>
      </c>
      <c r="AO67" s="36" t="s">
        <v>206</v>
      </c>
      <c r="AP67" s="36">
        <v>2</v>
      </c>
      <c r="AQ67" s="36"/>
      <c r="AR67" s="36"/>
      <c r="AS67" s="36"/>
      <c r="AT67" s="36" t="s">
        <v>223</v>
      </c>
      <c r="AU67" s="36" t="s">
        <v>224</v>
      </c>
      <c r="AV67" s="36" t="s">
        <v>216</v>
      </c>
      <c r="AW67" s="36" t="s">
        <v>209</v>
      </c>
      <c r="AX67" s="36" t="s">
        <v>210</v>
      </c>
      <c r="AY67" s="36">
        <v>0</v>
      </c>
      <c r="AZ67" s="36" t="s">
        <v>211</v>
      </c>
      <c r="BA67" s="36">
        <v>9045089536574</v>
      </c>
      <c r="BB67" s="36"/>
      <c r="BC67" s="36"/>
      <c r="BD67" s="36">
        <v>1</v>
      </c>
      <c r="BE67" s="36"/>
      <c r="BF67" s="36"/>
      <c r="BG67" s="36">
        <v>1333314600</v>
      </c>
      <c r="BH67" s="36" t="s">
        <v>213</v>
      </c>
      <c r="BI67" s="36">
        <v>4</v>
      </c>
      <c r="BJ67" s="36">
        <v>4</v>
      </c>
      <c r="BK67" s="36">
        <v>1300</v>
      </c>
      <c r="BL67" s="36" t="s">
        <v>214</v>
      </c>
      <c r="BM67" s="36"/>
      <c r="BN67" s="36"/>
    </row>
    <row r="68" spans="1:66" x14ac:dyDescent="0.35">
      <c r="A68" s="36"/>
      <c r="B68" s="36"/>
      <c r="C68" s="37" t="s">
        <v>8</v>
      </c>
      <c r="D68" s="37" t="s">
        <v>8</v>
      </c>
      <c r="E68" s="36"/>
      <c r="F68" s="36" t="s">
        <v>192</v>
      </c>
      <c r="G68" s="36" t="s">
        <v>1</v>
      </c>
      <c r="H68" s="36">
        <v>0</v>
      </c>
      <c r="I68" s="36" t="s">
        <v>193</v>
      </c>
      <c r="J68" s="36" t="s">
        <v>194</v>
      </c>
      <c r="K68" s="36" t="s">
        <v>195</v>
      </c>
      <c r="L68" s="36">
        <v>923</v>
      </c>
      <c r="M68" s="36"/>
      <c r="N68" s="36" t="s">
        <v>226</v>
      </c>
      <c r="O68" s="36" t="s">
        <v>227</v>
      </c>
      <c r="P68" s="36">
        <v>2</v>
      </c>
      <c r="Q68" s="36" t="s">
        <v>228</v>
      </c>
      <c r="R68" s="37">
        <v>244658</v>
      </c>
      <c r="S68" s="37" t="s">
        <v>8</v>
      </c>
      <c r="T68" s="36" t="s">
        <v>229</v>
      </c>
      <c r="U68" s="36">
        <v>23110595</v>
      </c>
      <c r="V68" s="36" t="s">
        <v>90</v>
      </c>
      <c r="W68" s="36">
        <v>4</v>
      </c>
      <c r="X68" s="36">
        <v>4</v>
      </c>
      <c r="Y68" s="36">
        <v>4</v>
      </c>
      <c r="Z68" s="36">
        <v>4</v>
      </c>
      <c r="AA68" s="36">
        <v>0</v>
      </c>
      <c r="AB68" s="36">
        <v>0</v>
      </c>
      <c r="AC68" s="36">
        <v>0</v>
      </c>
      <c r="AD68" s="36">
        <v>0</v>
      </c>
      <c r="AE68" s="36">
        <v>4</v>
      </c>
      <c r="AF68" s="36">
        <v>4</v>
      </c>
      <c r="AG68" s="36"/>
      <c r="AH68" s="36"/>
      <c r="AI68" s="36" t="s">
        <v>200</v>
      </c>
      <c r="AJ68" s="36" t="s">
        <v>201</v>
      </c>
      <c r="AK68" s="36" t="s">
        <v>202</v>
      </c>
      <c r="AL68" s="36" t="s">
        <v>225</v>
      </c>
      <c r="AM68" s="36" t="s">
        <v>204</v>
      </c>
      <c r="AN68" s="36" t="s">
        <v>222</v>
      </c>
      <c r="AO68" s="36" t="s">
        <v>206</v>
      </c>
      <c r="AP68" s="36">
        <v>2</v>
      </c>
      <c r="AQ68" s="36"/>
      <c r="AR68" s="36"/>
      <c r="AS68" s="36"/>
      <c r="AT68" s="36" t="s">
        <v>223</v>
      </c>
      <c r="AU68" s="36" t="s">
        <v>224</v>
      </c>
      <c r="AV68" s="36" t="s">
        <v>216</v>
      </c>
      <c r="AW68" s="36" t="s">
        <v>209</v>
      </c>
      <c r="AX68" s="36" t="s">
        <v>210</v>
      </c>
      <c r="AY68" s="36">
        <v>0</v>
      </c>
      <c r="AZ68" s="36" t="s">
        <v>211</v>
      </c>
      <c r="BA68" s="36">
        <v>9045089536574</v>
      </c>
      <c r="BB68" s="36"/>
      <c r="BC68" s="36"/>
      <c r="BD68" s="36">
        <v>1</v>
      </c>
      <c r="BE68" s="36"/>
      <c r="BF68" s="36"/>
      <c r="BG68" s="36">
        <v>1333314600</v>
      </c>
      <c r="BH68" s="36" t="s">
        <v>213</v>
      </c>
      <c r="BI68" s="36">
        <v>4</v>
      </c>
      <c r="BJ68" s="36">
        <v>4</v>
      </c>
      <c r="BK68" s="36">
        <v>1300</v>
      </c>
      <c r="BL68" s="36" t="s">
        <v>214</v>
      </c>
      <c r="BM68" s="36"/>
      <c r="BN68" s="36"/>
    </row>
    <row r="69" spans="1:66" x14ac:dyDescent="0.35">
      <c r="A69" s="36"/>
      <c r="B69" s="36"/>
      <c r="C69" s="37" t="s">
        <v>8</v>
      </c>
      <c r="D69" s="37" t="s">
        <v>8</v>
      </c>
      <c r="E69" s="36"/>
      <c r="F69" s="36" t="s">
        <v>192</v>
      </c>
      <c r="G69" s="36" t="s">
        <v>1</v>
      </c>
      <c r="H69" s="36">
        <v>0</v>
      </c>
      <c r="I69" s="36" t="s">
        <v>193</v>
      </c>
      <c r="J69" s="36" t="s">
        <v>194</v>
      </c>
      <c r="K69" s="36" t="s">
        <v>195</v>
      </c>
      <c r="L69" s="36">
        <v>923</v>
      </c>
      <c r="M69" s="36"/>
      <c r="N69" s="36" t="s">
        <v>226</v>
      </c>
      <c r="O69" s="36" t="s">
        <v>227</v>
      </c>
      <c r="P69" s="36">
        <v>2</v>
      </c>
      <c r="Q69" s="36" t="s">
        <v>228</v>
      </c>
      <c r="R69" s="37">
        <v>244658</v>
      </c>
      <c r="S69" s="37" t="s">
        <v>8</v>
      </c>
      <c r="T69" s="36" t="s">
        <v>229</v>
      </c>
      <c r="U69" s="36">
        <v>23098986</v>
      </c>
      <c r="V69" s="36" t="s">
        <v>120</v>
      </c>
      <c r="W69" s="36">
        <v>3</v>
      </c>
      <c r="X69" s="36">
        <v>3</v>
      </c>
      <c r="Y69" s="36">
        <v>3</v>
      </c>
      <c r="Z69" s="36">
        <v>3</v>
      </c>
      <c r="AA69" s="36">
        <v>0</v>
      </c>
      <c r="AB69" s="36">
        <v>0</v>
      </c>
      <c r="AC69" s="36">
        <v>0</v>
      </c>
      <c r="AD69" s="36">
        <v>0</v>
      </c>
      <c r="AE69" s="36">
        <v>3</v>
      </c>
      <c r="AF69" s="36">
        <v>3</v>
      </c>
      <c r="AG69" s="36"/>
      <c r="AH69" s="36"/>
      <c r="AI69" s="36" t="s">
        <v>200</v>
      </c>
      <c r="AJ69" s="36" t="s">
        <v>201</v>
      </c>
      <c r="AK69" s="36" t="s">
        <v>202</v>
      </c>
      <c r="AL69" s="36" t="s">
        <v>203</v>
      </c>
      <c r="AM69" s="36" t="s">
        <v>204</v>
      </c>
      <c r="AN69" s="36" t="s">
        <v>222</v>
      </c>
      <c r="AO69" s="36" t="s">
        <v>206</v>
      </c>
      <c r="AP69" s="36">
        <v>2</v>
      </c>
      <c r="AQ69" s="36"/>
      <c r="AR69" s="36"/>
      <c r="AS69" s="36"/>
      <c r="AT69" s="36" t="s">
        <v>223</v>
      </c>
      <c r="AU69" s="36" t="s">
        <v>224</v>
      </c>
      <c r="AV69" s="36" t="s">
        <v>216</v>
      </c>
      <c r="AW69" s="36" t="s">
        <v>209</v>
      </c>
      <c r="AX69" s="36" t="s">
        <v>210</v>
      </c>
      <c r="AY69" s="36">
        <v>0</v>
      </c>
      <c r="AZ69" s="36" t="s">
        <v>211</v>
      </c>
      <c r="BA69" s="36">
        <v>9045089536574</v>
      </c>
      <c r="BB69" s="36"/>
      <c r="BC69" s="36"/>
      <c r="BD69" s="36">
        <v>1</v>
      </c>
      <c r="BE69" s="36"/>
      <c r="BF69" s="36"/>
      <c r="BG69" s="36">
        <v>1333314600</v>
      </c>
      <c r="BH69" s="36" t="s">
        <v>213</v>
      </c>
      <c r="BI69" s="36">
        <v>3</v>
      </c>
      <c r="BJ69" s="36">
        <v>3</v>
      </c>
      <c r="BK69" s="36">
        <v>1300</v>
      </c>
      <c r="BL69" s="36" t="s">
        <v>214</v>
      </c>
      <c r="BM69" s="36"/>
      <c r="BN69" s="36"/>
    </row>
    <row r="70" spans="1:66" x14ac:dyDescent="0.35">
      <c r="A70" s="36"/>
      <c r="B70" s="36"/>
      <c r="C70" s="37" t="s">
        <v>8</v>
      </c>
      <c r="D70" s="37" t="s">
        <v>8</v>
      </c>
      <c r="E70" s="36"/>
      <c r="F70" s="36" t="s">
        <v>192</v>
      </c>
      <c r="G70" s="36" t="s">
        <v>1</v>
      </c>
      <c r="H70" s="36">
        <v>0</v>
      </c>
      <c r="I70" s="36" t="s">
        <v>193</v>
      </c>
      <c r="J70" s="36" t="s">
        <v>194</v>
      </c>
      <c r="K70" s="36" t="s">
        <v>195</v>
      </c>
      <c r="L70" s="36">
        <v>923</v>
      </c>
      <c r="M70" s="36"/>
      <c r="N70" s="36" t="s">
        <v>226</v>
      </c>
      <c r="O70" s="36" t="s">
        <v>227</v>
      </c>
      <c r="P70" s="36">
        <v>2</v>
      </c>
      <c r="Q70" s="36" t="s">
        <v>228</v>
      </c>
      <c r="R70" s="37">
        <v>244658</v>
      </c>
      <c r="S70" s="37" t="s">
        <v>8</v>
      </c>
      <c r="T70" s="36" t="s">
        <v>229</v>
      </c>
      <c r="U70" s="36">
        <v>23110619</v>
      </c>
      <c r="V70" s="36" t="s">
        <v>104</v>
      </c>
      <c r="W70" s="36">
        <v>4</v>
      </c>
      <c r="X70" s="36">
        <v>2</v>
      </c>
      <c r="Y70" s="36">
        <v>4</v>
      </c>
      <c r="Z70" s="36">
        <v>2</v>
      </c>
      <c r="AA70" s="36">
        <v>0</v>
      </c>
      <c r="AB70" s="36">
        <v>0</v>
      </c>
      <c r="AC70" s="36">
        <v>0</v>
      </c>
      <c r="AD70" s="36">
        <v>0</v>
      </c>
      <c r="AE70" s="36">
        <v>4</v>
      </c>
      <c r="AF70" s="36">
        <v>2</v>
      </c>
      <c r="AG70" s="36"/>
      <c r="AH70" s="36"/>
      <c r="AI70" s="36" t="s">
        <v>200</v>
      </c>
      <c r="AJ70" s="36" t="s">
        <v>201</v>
      </c>
      <c r="AK70" s="36" t="s">
        <v>215</v>
      </c>
      <c r="AL70" s="36" t="s">
        <v>225</v>
      </c>
      <c r="AM70" s="36" t="s">
        <v>204</v>
      </c>
      <c r="AN70" s="36" t="s">
        <v>222</v>
      </c>
      <c r="AO70" s="36" t="s">
        <v>206</v>
      </c>
      <c r="AP70" s="36">
        <v>2</v>
      </c>
      <c r="AQ70" s="36"/>
      <c r="AR70" s="36"/>
      <c r="AS70" s="36"/>
      <c r="AT70" s="36" t="s">
        <v>223</v>
      </c>
      <c r="AU70" s="36" t="s">
        <v>224</v>
      </c>
      <c r="AV70" s="36" t="s">
        <v>216</v>
      </c>
      <c r="AW70" s="36" t="s">
        <v>209</v>
      </c>
      <c r="AX70" s="36" t="s">
        <v>210</v>
      </c>
      <c r="AY70" s="36">
        <v>0</v>
      </c>
      <c r="AZ70" s="36" t="s">
        <v>211</v>
      </c>
      <c r="BA70" s="36">
        <v>9045089536574</v>
      </c>
      <c r="BB70" s="36"/>
      <c r="BC70" s="36"/>
      <c r="BD70" s="36">
        <v>1</v>
      </c>
      <c r="BE70" s="36"/>
      <c r="BF70" s="36"/>
      <c r="BG70" s="36">
        <v>1333314600</v>
      </c>
      <c r="BH70" s="36" t="s">
        <v>213</v>
      </c>
      <c r="BI70" s="36">
        <v>4</v>
      </c>
      <c r="BJ70" s="36">
        <v>2</v>
      </c>
      <c r="BK70" s="36">
        <v>1300</v>
      </c>
      <c r="BL70" s="36" t="s">
        <v>214</v>
      </c>
      <c r="BM70" s="36"/>
      <c r="BN70" s="36"/>
    </row>
    <row r="71" spans="1:66" x14ac:dyDescent="0.35">
      <c r="A71" s="36"/>
      <c r="B71" s="36"/>
      <c r="C71" s="37" t="s">
        <v>8</v>
      </c>
      <c r="D71" s="37" t="s">
        <v>8</v>
      </c>
      <c r="E71" s="36"/>
      <c r="F71" s="36" t="s">
        <v>192</v>
      </c>
      <c r="G71" s="36" t="s">
        <v>1</v>
      </c>
      <c r="H71" s="36">
        <v>0</v>
      </c>
      <c r="I71" s="36" t="s">
        <v>193</v>
      </c>
      <c r="J71" s="36" t="s">
        <v>194</v>
      </c>
      <c r="K71" s="36" t="s">
        <v>195</v>
      </c>
      <c r="L71" s="36">
        <v>923</v>
      </c>
      <c r="M71" s="36"/>
      <c r="N71" s="36" t="s">
        <v>226</v>
      </c>
      <c r="O71" s="36" t="s">
        <v>227</v>
      </c>
      <c r="P71" s="36">
        <v>2</v>
      </c>
      <c r="Q71" s="36" t="s">
        <v>228</v>
      </c>
      <c r="R71" s="37">
        <v>244658</v>
      </c>
      <c r="S71" s="37" t="s">
        <v>8</v>
      </c>
      <c r="T71" s="36" t="s">
        <v>229</v>
      </c>
      <c r="U71" s="36">
        <v>23110600</v>
      </c>
      <c r="V71" s="36" t="s">
        <v>91</v>
      </c>
      <c r="W71" s="36">
        <v>4</v>
      </c>
      <c r="X71" s="36">
        <v>4</v>
      </c>
      <c r="Y71" s="36">
        <v>4</v>
      </c>
      <c r="Z71" s="36">
        <v>4</v>
      </c>
      <c r="AA71" s="36">
        <v>0</v>
      </c>
      <c r="AB71" s="36">
        <v>0</v>
      </c>
      <c r="AC71" s="36">
        <v>0</v>
      </c>
      <c r="AD71" s="36">
        <v>0</v>
      </c>
      <c r="AE71" s="36">
        <v>4</v>
      </c>
      <c r="AF71" s="36">
        <v>4</v>
      </c>
      <c r="AG71" s="36"/>
      <c r="AH71" s="36"/>
      <c r="AI71" s="36" t="s">
        <v>200</v>
      </c>
      <c r="AJ71" s="36" t="s">
        <v>201</v>
      </c>
      <c r="AK71" s="36" t="s">
        <v>202</v>
      </c>
      <c r="AL71" s="36" t="s">
        <v>225</v>
      </c>
      <c r="AM71" s="36" t="s">
        <v>204</v>
      </c>
      <c r="AN71" s="36" t="s">
        <v>222</v>
      </c>
      <c r="AO71" s="36" t="s">
        <v>206</v>
      </c>
      <c r="AP71" s="36">
        <v>2</v>
      </c>
      <c r="AQ71" s="36"/>
      <c r="AR71" s="36"/>
      <c r="AS71" s="36"/>
      <c r="AT71" s="36" t="s">
        <v>223</v>
      </c>
      <c r="AU71" s="36" t="s">
        <v>224</v>
      </c>
      <c r="AV71" s="36" t="s">
        <v>216</v>
      </c>
      <c r="AW71" s="36" t="s">
        <v>209</v>
      </c>
      <c r="AX71" s="36" t="s">
        <v>210</v>
      </c>
      <c r="AY71" s="36">
        <v>0</v>
      </c>
      <c r="AZ71" s="36" t="s">
        <v>211</v>
      </c>
      <c r="BA71" s="36">
        <v>9045089536574</v>
      </c>
      <c r="BB71" s="36"/>
      <c r="BC71" s="36"/>
      <c r="BD71" s="36">
        <v>1</v>
      </c>
      <c r="BE71" s="36"/>
      <c r="BF71" s="36"/>
      <c r="BG71" s="36">
        <v>1333314600</v>
      </c>
      <c r="BH71" s="36" t="s">
        <v>213</v>
      </c>
      <c r="BI71" s="36">
        <v>4</v>
      </c>
      <c r="BJ71" s="36">
        <v>4</v>
      </c>
      <c r="BK71" s="36">
        <v>1300</v>
      </c>
      <c r="BL71" s="36" t="s">
        <v>214</v>
      </c>
      <c r="BM71" s="36"/>
      <c r="BN71" s="36"/>
    </row>
    <row r="72" spans="1:66" x14ac:dyDescent="0.35">
      <c r="A72" s="36"/>
      <c r="B72" s="36"/>
      <c r="C72" s="37" t="s">
        <v>8</v>
      </c>
      <c r="D72" s="37" t="s">
        <v>8</v>
      </c>
      <c r="E72" s="36"/>
      <c r="F72" s="36" t="s">
        <v>192</v>
      </c>
      <c r="G72" s="36" t="s">
        <v>1</v>
      </c>
      <c r="H72" s="36">
        <v>0</v>
      </c>
      <c r="I72" s="36" t="s">
        <v>193</v>
      </c>
      <c r="J72" s="36" t="s">
        <v>194</v>
      </c>
      <c r="K72" s="36" t="s">
        <v>195</v>
      </c>
      <c r="L72" s="36">
        <v>923</v>
      </c>
      <c r="M72" s="36"/>
      <c r="N72" s="36" t="s">
        <v>226</v>
      </c>
      <c r="O72" s="36" t="s">
        <v>227</v>
      </c>
      <c r="P72" s="36">
        <v>2</v>
      </c>
      <c r="Q72" s="36" t="s">
        <v>228</v>
      </c>
      <c r="R72" s="37">
        <v>244658</v>
      </c>
      <c r="S72" s="37" t="s">
        <v>8</v>
      </c>
      <c r="T72" s="36" t="s">
        <v>229</v>
      </c>
      <c r="U72" s="36">
        <v>23110596</v>
      </c>
      <c r="V72" s="36" t="s">
        <v>100</v>
      </c>
      <c r="W72" s="36">
        <v>4</v>
      </c>
      <c r="X72" s="36">
        <v>4</v>
      </c>
      <c r="Y72" s="36">
        <v>4</v>
      </c>
      <c r="Z72" s="36">
        <v>4</v>
      </c>
      <c r="AA72" s="36">
        <v>0</v>
      </c>
      <c r="AB72" s="36">
        <v>0</v>
      </c>
      <c r="AC72" s="36">
        <v>0</v>
      </c>
      <c r="AD72" s="36">
        <v>0</v>
      </c>
      <c r="AE72" s="36">
        <v>4</v>
      </c>
      <c r="AF72" s="36">
        <v>4</v>
      </c>
      <c r="AG72" s="36"/>
      <c r="AH72" s="36"/>
      <c r="AI72" s="36" t="s">
        <v>200</v>
      </c>
      <c r="AJ72" s="36" t="s">
        <v>201</v>
      </c>
      <c r="AK72" s="36" t="s">
        <v>202</v>
      </c>
      <c r="AL72" s="36" t="s">
        <v>225</v>
      </c>
      <c r="AM72" s="36" t="s">
        <v>204</v>
      </c>
      <c r="AN72" s="36" t="s">
        <v>222</v>
      </c>
      <c r="AO72" s="36" t="s">
        <v>206</v>
      </c>
      <c r="AP72" s="36">
        <v>2</v>
      </c>
      <c r="AQ72" s="36"/>
      <c r="AR72" s="36"/>
      <c r="AS72" s="36"/>
      <c r="AT72" s="36" t="s">
        <v>223</v>
      </c>
      <c r="AU72" s="36" t="s">
        <v>224</v>
      </c>
      <c r="AV72" s="36" t="s">
        <v>216</v>
      </c>
      <c r="AW72" s="36" t="s">
        <v>209</v>
      </c>
      <c r="AX72" s="36" t="s">
        <v>210</v>
      </c>
      <c r="AY72" s="36">
        <v>0</v>
      </c>
      <c r="AZ72" s="36" t="s">
        <v>211</v>
      </c>
      <c r="BA72" s="36">
        <v>9045089536574</v>
      </c>
      <c r="BB72" s="36"/>
      <c r="BC72" s="36"/>
      <c r="BD72" s="36">
        <v>1</v>
      </c>
      <c r="BE72" s="36"/>
      <c r="BF72" s="36"/>
      <c r="BG72" s="36">
        <v>1333314600</v>
      </c>
      <c r="BH72" s="36" t="s">
        <v>213</v>
      </c>
      <c r="BI72" s="36">
        <v>4</v>
      </c>
      <c r="BJ72" s="36">
        <v>4</v>
      </c>
      <c r="BK72" s="36">
        <v>1300</v>
      </c>
      <c r="BL72" s="36" t="s">
        <v>214</v>
      </c>
      <c r="BM72" s="36"/>
      <c r="BN72" s="36"/>
    </row>
    <row r="73" spans="1:66" x14ac:dyDescent="0.35">
      <c r="A73" s="36"/>
      <c r="B73" s="36"/>
      <c r="C73" s="37" t="s">
        <v>8</v>
      </c>
      <c r="D73" s="37" t="s">
        <v>8</v>
      </c>
      <c r="E73" s="36"/>
      <c r="F73" s="36" t="s">
        <v>192</v>
      </c>
      <c r="G73" s="36" t="s">
        <v>1</v>
      </c>
      <c r="H73" s="36">
        <v>0</v>
      </c>
      <c r="I73" s="36" t="s">
        <v>193</v>
      </c>
      <c r="J73" s="36" t="s">
        <v>194</v>
      </c>
      <c r="K73" s="36" t="s">
        <v>195</v>
      </c>
      <c r="L73" s="36">
        <v>923</v>
      </c>
      <c r="M73" s="36"/>
      <c r="N73" s="36" t="s">
        <v>226</v>
      </c>
      <c r="O73" s="36" t="s">
        <v>227</v>
      </c>
      <c r="P73" s="36">
        <v>2</v>
      </c>
      <c r="Q73" s="36" t="s">
        <v>228</v>
      </c>
      <c r="R73" s="37">
        <v>244658</v>
      </c>
      <c r="S73" s="37" t="s">
        <v>8</v>
      </c>
      <c r="T73" s="36" t="s">
        <v>229</v>
      </c>
      <c r="U73" s="36">
        <v>23111028</v>
      </c>
      <c r="V73" s="36" t="s">
        <v>92</v>
      </c>
      <c r="W73" s="36">
        <v>4</v>
      </c>
      <c r="X73" s="36">
        <v>2</v>
      </c>
      <c r="Y73" s="36">
        <v>4</v>
      </c>
      <c r="Z73" s="36">
        <v>2</v>
      </c>
      <c r="AA73" s="36">
        <v>0</v>
      </c>
      <c r="AB73" s="36">
        <v>0</v>
      </c>
      <c r="AC73" s="36">
        <v>0</v>
      </c>
      <c r="AD73" s="36">
        <v>0</v>
      </c>
      <c r="AE73" s="36">
        <v>4</v>
      </c>
      <c r="AF73" s="36">
        <v>2</v>
      </c>
      <c r="AG73" s="36"/>
      <c r="AH73" s="36"/>
      <c r="AI73" s="36" t="s">
        <v>200</v>
      </c>
      <c r="AJ73" s="36" t="s">
        <v>201</v>
      </c>
      <c r="AK73" s="36" t="s">
        <v>202</v>
      </c>
      <c r="AL73" s="36" t="s">
        <v>225</v>
      </c>
      <c r="AM73" s="36" t="s">
        <v>204</v>
      </c>
      <c r="AN73" s="36" t="s">
        <v>222</v>
      </c>
      <c r="AO73" s="36" t="s">
        <v>206</v>
      </c>
      <c r="AP73" s="36">
        <v>2</v>
      </c>
      <c r="AQ73" s="36"/>
      <c r="AR73" s="36"/>
      <c r="AS73" s="36"/>
      <c r="AT73" s="36" t="s">
        <v>223</v>
      </c>
      <c r="AU73" s="36" t="s">
        <v>224</v>
      </c>
      <c r="AV73" s="36" t="s">
        <v>216</v>
      </c>
      <c r="AW73" s="36" t="s">
        <v>209</v>
      </c>
      <c r="AX73" s="36" t="s">
        <v>210</v>
      </c>
      <c r="AY73" s="36">
        <v>0</v>
      </c>
      <c r="AZ73" s="36" t="s">
        <v>211</v>
      </c>
      <c r="BA73" s="36">
        <v>9045089536574</v>
      </c>
      <c r="BB73" s="36"/>
      <c r="BC73" s="36"/>
      <c r="BD73" s="36">
        <v>1</v>
      </c>
      <c r="BE73" s="36"/>
      <c r="BF73" s="36"/>
      <c r="BG73" s="36">
        <v>1333314600</v>
      </c>
      <c r="BH73" s="36" t="s">
        <v>213</v>
      </c>
      <c r="BI73" s="36">
        <v>4</v>
      </c>
      <c r="BJ73" s="36">
        <v>2</v>
      </c>
      <c r="BK73" s="36">
        <v>1300</v>
      </c>
      <c r="BL73" s="36" t="s">
        <v>214</v>
      </c>
      <c r="BM73" s="36"/>
      <c r="BN73" s="36"/>
    </row>
    <row r="74" spans="1:66" x14ac:dyDescent="0.35">
      <c r="A74" s="36"/>
      <c r="B74" s="36"/>
      <c r="C74" s="37" t="s">
        <v>8</v>
      </c>
      <c r="D74" s="37" t="s">
        <v>8</v>
      </c>
      <c r="E74" s="36"/>
      <c r="F74" s="36" t="s">
        <v>192</v>
      </c>
      <c r="G74" s="36" t="s">
        <v>1</v>
      </c>
      <c r="H74" s="36">
        <v>0</v>
      </c>
      <c r="I74" s="36" t="s">
        <v>193</v>
      </c>
      <c r="J74" s="36" t="s">
        <v>194</v>
      </c>
      <c r="K74" s="36" t="s">
        <v>195</v>
      </c>
      <c r="L74" s="36">
        <v>923</v>
      </c>
      <c r="M74" s="36"/>
      <c r="N74" s="36" t="s">
        <v>226</v>
      </c>
      <c r="O74" s="36" t="s">
        <v>227</v>
      </c>
      <c r="P74" s="36">
        <v>2</v>
      </c>
      <c r="Q74" s="36" t="s">
        <v>228</v>
      </c>
      <c r="R74" s="37">
        <v>244658</v>
      </c>
      <c r="S74" s="37" t="s">
        <v>8</v>
      </c>
      <c r="T74" s="36" t="s">
        <v>229</v>
      </c>
      <c r="U74" s="36">
        <v>23097784</v>
      </c>
      <c r="V74" s="36" t="s">
        <v>59</v>
      </c>
      <c r="W74" s="36">
        <v>3</v>
      </c>
      <c r="X74" s="36">
        <v>3</v>
      </c>
      <c r="Y74" s="36">
        <v>3</v>
      </c>
      <c r="Z74" s="36">
        <v>3</v>
      </c>
      <c r="AA74" s="36">
        <v>0</v>
      </c>
      <c r="AB74" s="36">
        <v>0</v>
      </c>
      <c r="AC74" s="36">
        <v>0</v>
      </c>
      <c r="AD74" s="36">
        <v>0</v>
      </c>
      <c r="AE74" s="36">
        <v>3</v>
      </c>
      <c r="AF74" s="36">
        <v>3</v>
      </c>
      <c r="AG74" s="36"/>
      <c r="AH74" s="36"/>
      <c r="AI74" s="36" t="s">
        <v>200</v>
      </c>
      <c r="AJ74" s="36" t="s">
        <v>201</v>
      </c>
      <c r="AK74" s="36" t="s">
        <v>202</v>
      </c>
      <c r="AL74" s="36" t="s">
        <v>203</v>
      </c>
      <c r="AM74" s="36" t="s">
        <v>204</v>
      </c>
      <c r="AN74" s="36" t="s">
        <v>222</v>
      </c>
      <c r="AO74" s="36" t="s">
        <v>206</v>
      </c>
      <c r="AP74" s="36">
        <v>2</v>
      </c>
      <c r="AQ74" s="36"/>
      <c r="AR74" s="36"/>
      <c r="AS74" s="36"/>
      <c r="AT74" s="36" t="s">
        <v>223</v>
      </c>
      <c r="AU74" s="36" t="s">
        <v>224</v>
      </c>
      <c r="AV74" s="36" t="s">
        <v>216</v>
      </c>
      <c r="AW74" s="36" t="s">
        <v>209</v>
      </c>
      <c r="AX74" s="36" t="s">
        <v>210</v>
      </c>
      <c r="AY74" s="36">
        <v>0</v>
      </c>
      <c r="AZ74" s="36" t="s">
        <v>211</v>
      </c>
      <c r="BA74" s="36">
        <v>9045089536574</v>
      </c>
      <c r="BB74" s="36"/>
      <c r="BC74" s="36"/>
      <c r="BD74" s="36">
        <v>1</v>
      </c>
      <c r="BE74" s="36"/>
      <c r="BF74" s="36"/>
      <c r="BG74" s="36">
        <v>1333314600</v>
      </c>
      <c r="BH74" s="36" t="s">
        <v>213</v>
      </c>
      <c r="BI74" s="36">
        <v>3</v>
      </c>
      <c r="BJ74" s="36">
        <v>3</v>
      </c>
      <c r="BK74" s="36">
        <v>1300</v>
      </c>
      <c r="BL74" s="36" t="s">
        <v>214</v>
      </c>
      <c r="BM74" s="36"/>
      <c r="BN74" s="36"/>
    </row>
    <row r="75" spans="1:66" x14ac:dyDescent="0.35">
      <c r="A75" s="36"/>
      <c r="B75" s="36"/>
      <c r="C75" s="37" t="s">
        <v>8</v>
      </c>
      <c r="D75" s="37" t="s">
        <v>8</v>
      </c>
      <c r="E75" s="36"/>
      <c r="F75" s="36" t="s">
        <v>192</v>
      </c>
      <c r="G75" s="36" t="s">
        <v>1</v>
      </c>
      <c r="H75" s="36">
        <v>0</v>
      </c>
      <c r="I75" s="36" t="s">
        <v>193</v>
      </c>
      <c r="J75" s="36" t="s">
        <v>194</v>
      </c>
      <c r="K75" s="36" t="s">
        <v>195</v>
      </c>
      <c r="L75" s="36">
        <v>923</v>
      </c>
      <c r="M75" s="36"/>
      <c r="N75" s="36" t="s">
        <v>226</v>
      </c>
      <c r="O75" s="36" t="s">
        <v>227</v>
      </c>
      <c r="P75" s="36">
        <v>2</v>
      </c>
      <c r="Q75" s="36" t="s">
        <v>228</v>
      </c>
      <c r="R75" s="37">
        <v>244658</v>
      </c>
      <c r="S75" s="37" t="s">
        <v>8</v>
      </c>
      <c r="T75" s="36" t="s">
        <v>229</v>
      </c>
      <c r="U75" s="36">
        <v>23097789</v>
      </c>
      <c r="V75" s="36" t="s">
        <v>62</v>
      </c>
      <c r="W75" s="36">
        <v>3</v>
      </c>
      <c r="X75" s="36">
        <v>3</v>
      </c>
      <c r="Y75" s="36">
        <v>3</v>
      </c>
      <c r="Z75" s="36">
        <v>3</v>
      </c>
      <c r="AA75" s="36">
        <v>0</v>
      </c>
      <c r="AB75" s="36">
        <v>0</v>
      </c>
      <c r="AC75" s="36">
        <v>0</v>
      </c>
      <c r="AD75" s="36">
        <v>0</v>
      </c>
      <c r="AE75" s="36">
        <v>3</v>
      </c>
      <c r="AF75" s="36">
        <v>3</v>
      </c>
      <c r="AG75" s="36"/>
      <c r="AH75" s="36"/>
      <c r="AI75" s="36" t="s">
        <v>200</v>
      </c>
      <c r="AJ75" s="36" t="s">
        <v>201</v>
      </c>
      <c r="AK75" s="36" t="s">
        <v>202</v>
      </c>
      <c r="AL75" s="36" t="s">
        <v>203</v>
      </c>
      <c r="AM75" s="36" t="s">
        <v>204</v>
      </c>
      <c r="AN75" s="36" t="s">
        <v>222</v>
      </c>
      <c r="AO75" s="36" t="s">
        <v>206</v>
      </c>
      <c r="AP75" s="36">
        <v>2</v>
      </c>
      <c r="AQ75" s="36"/>
      <c r="AR75" s="36"/>
      <c r="AS75" s="36"/>
      <c r="AT75" s="36" t="s">
        <v>223</v>
      </c>
      <c r="AU75" s="36" t="s">
        <v>224</v>
      </c>
      <c r="AV75" s="36" t="s">
        <v>216</v>
      </c>
      <c r="AW75" s="36" t="s">
        <v>209</v>
      </c>
      <c r="AX75" s="36" t="s">
        <v>210</v>
      </c>
      <c r="AY75" s="36">
        <v>0</v>
      </c>
      <c r="AZ75" s="36" t="s">
        <v>211</v>
      </c>
      <c r="BA75" s="36">
        <v>9045089536574</v>
      </c>
      <c r="BB75" s="36"/>
      <c r="BC75" s="36"/>
      <c r="BD75" s="36">
        <v>1</v>
      </c>
      <c r="BE75" s="36"/>
      <c r="BF75" s="36"/>
      <c r="BG75" s="36">
        <v>1333314600</v>
      </c>
      <c r="BH75" s="36" t="s">
        <v>213</v>
      </c>
      <c r="BI75" s="36">
        <v>3</v>
      </c>
      <c r="BJ75" s="36">
        <v>3</v>
      </c>
      <c r="BK75" s="36">
        <v>1300</v>
      </c>
      <c r="BL75" s="36" t="s">
        <v>214</v>
      </c>
      <c r="BM75" s="36"/>
      <c r="BN75" s="36"/>
    </row>
    <row r="76" spans="1:66" x14ac:dyDescent="0.35">
      <c r="A76" s="36"/>
      <c r="B76" s="36"/>
      <c r="C76" s="37" t="s">
        <v>8</v>
      </c>
      <c r="D76" s="37" t="s">
        <v>8</v>
      </c>
      <c r="E76" s="36"/>
      <c r="F76" s="36" t="s">
        <v>192</v>
      </c>
      <c r="G76" s="36" t="s">
        <v>1</v>
      </c>
      <c r="H76" s="36">
        <v>0</v>
      </c>
      <c r="I76" s="36" t="s">
        <v>193</v>
      </c>
      <c r="J76" s="36" t="s">
        <v>194</v>
      </c>
      <c r="K76" s="36" t="s">
        <v>195</v>
      </c>
      <c r="L76" s="36">
        <v>923</v>
      </c>
      <c r="M76" s="36"/>
      <c r="N76" s="36" t="s">
        <v>226</v>
      </c>
      <c r="O76" s="36" t="s">
        <v>227</v>
      </c>
      <c r="P76" s="36">
        <v>2</v>
      </c>
      <c r="Q76" s="36" t="s">
        <v>228</v>
      </c>
      <c r="R76" s="37">
        <v>244658</v>
      </c>
      <c r="S76" s="37" t="s">
        <v>8</v>
      </c>
      <c r="T76" s="36" t="s">
        <v>229</v>
      </c>
      <c r="U76" s="36">
        <v>23110593</v>
      </c>
      <c r="V76" s="36" t="s">
        <v>89</v>
      </c>
      <c r="W76" s="36">
        <v>4</v>
      </c>
      <c r="X76" s="36">
        <v>4</v>
      </c>
      <c r="Y76" s="36">
        <v>4</v>
      </c>
      <c r="Z76" s="36">
        <v>4</v>
      </c>
      <c r="AA76" s="36">
        <v>0</v>
      </c>
      <c r="AB76" s="36">
        <v>0</v>
      </c>
      <c r="AC76" s="36">
        <v>0</v>
      </c>
      <c r="AD76" s="36">
        <v>0</v>
      </c>
      <c r="AE76" s="36">
        <v>4</v>
      </c>
      <c r="AF76" s="36">
        <v>4</v>
      </c>
      <c r="AG76" s="36"/>
      <c r="AH76" s="36"/>
      <c r="AI76" s="36" t="s">
        <v>200</v>
      </c>
      <c r="AJ76" s="36" t="s">
        <v>201</v>
      </c>
      <c r="AK76" s="36" t="s">
        <v>202</v>
      </c>
      <c r="AL76" s="36" t="s">
        <v>225</v>
      </c>
      <c r="AM76" s="36" t="s">
        <v>204</v>
      </c>
      <c r="AN76" s="36" t="s">
        <v>222</v>
      </c>
      <c r="AO76" s="36" t="s">
        <v>206</v>
      </c>
      <c r="AP76" s="36">
        <v>2</v>
      </c>
      <c r="AQ76" s="36"/>
      <c r="AR76" s="36"/>
      <c r="AS76" s="36"/>
      <c r="AT76" s="36" t="s">
        <v>223</v>
      </c>
      <c r="AU76" s="36" t="s">
        <v>224</v>
      </c>
      <c r="AV76" s="36" t="s">
        <v>216</v>
      </c>
      <c r="AW76" s="36" t="s">
        <v>209</v>
      </c>
      <c r="AX76" s="36" t="s">
        <v>210</v>
      </c>
      <c r="AY76" s="36">
        <v>0</v>
      </c>
      <c r="AZ76" s="36" t="s">
        <v>211</v>
      </c>
      <c r="BA76" s="36">
        <v>9045089536574</v>
      </c>
      <c r="BB76" s="36"/>
      <c r="BC76" s="36"/>
      <c r="BD76" s="36">
        <v>1</v>
      </c>
      <c r="BE76" s="36"/>
      <c r="BF76" s="36"/>
      <c r="BG76" s="36">
        <v>1333314600</v>
      </c>
      <c r="BH76" s="36" t="s">
        <v>213</v>
      </c>
      <c r="BI76" s="36">
        <v>4</v>
      </c>
      <c r="BJ76" s="36">
        <v>4</v>
      </c>
      <c r="BK76" s="36">
        <v>1300</v>
      </c>
      <c r="BL76" s="36" t="s">
        <v>214</v>
      </c>
      <c r="BM76" s="36"/>
      <c r="BN76" s="36"/>
    </row>
    <row r="77" spans="1:66" x14ac:dyDescent="0.35">
      <c r="A77" s="36"/>
      <c r="B77" s="36"/>
      <c r="C77" s="37" t="s">
        <v>8</v>
      </c>
      <c r="D77" s="37" t="s">
        <v>8</v>
      </c>
      <c r="E77" s="36"/>
      <c r="F77" s="36" t="s">
        <v>192</v>
      </c>
      <c r="G77" s="36" t="s">
        <v>1</v>
      </c>
      <c r="H77" s="36">
        <v>0</v>
      </c>
      <c r="I77" s="36" t="s">
        <v>193</v>
      </c>
      <c r="J77" s="36" t="s">
        <v>194</v>
      </c>
      <c r="K77" s="36" t="s">
        <v>195</v>
      </c>
      <c r="L77" s="36">
        <v>923</v>
      </c>
      <c r="M77" s="36"/>
      <c r="N77" s="36" t="s">
        <v>226</v>
      </c>
      <c r="O77" s="36" t="s">
        <v>227</v>
      </c>
      <c r="P77" s="36">
        <v>2</v>
      </c>
      <c r="Q77" s="36" t="s">
        <v>228</v>
      </c>
      <c r="R77" s="37">
        <v>244658</v>
      </c>
      <c r="S77" s="37" t="s">
        <v>8</v>
      </c>
      <c r="T77" s="36" t="s">
        <v>229</v>
      </c>
      <c r="U77" s="36">
        <v>23110584</v>
      </c>
      <c r="V77" s="36" t="s">
        <v>86</v>
      </c>
      <c r="W77" s="36">
        <v>4</v>
      </c>
      <c r="X77" s="36">
        <v>4</v>
      </c>
      <c r="Y77" s="36">
        <v>4</v>
      </c>
      <c r="Z77" s="36">
        <v>4</v>
      </c>
      <c r="AA77" s="36">
        <v>0</v>
      </c>
      <c r="AB77" s="36">
        <v>0</v>
      </c>
      <c r="AC77" s="36">
        <v>0</v>
      </c>
      <c r="AD77" s="36">
        <v>0</v>
      </c>
      <c r="AE77" s="36">
        <v>4</v>
      </c>
      <c r="AF77" s="36">
        <v>4</v>
      </c>
      <c r="AG77" s="36"/>
      <c r="AH77" s="36"/>
      <c r="AI77" s="36" t="s">
        <v>200</v>
      </c>
      <c r="AJ77" s="36" t="s">
        <v>201</v>
      </c>
      <c r="AK77" s="36" t="s">
        <v>202</v>
      </c>
      <c r="AL77" s="36" t="s">
        <v>225</v>
      </c>
      <c r="AM77" s="36" t="s">
        <v>204</v>
      </c>
      <c r="AN77" s="36" t="s">
        <v>222</v>
      </c>
      <c r="AO77" s="36" t="s">
        <v>206</v>
      </c>
      <c r="AP77" s="36">
        <v>2</v>
      </c>
      <c r="AQ77" s="36"/>
      <c r="AR77" s="36"/>
      <c r="AS77" s="36"/>
      <c r="AT77" s="36" t="s">
        <v>223</v>
      </c>
      <c r="AU77" s="36" t="s">
        <v>224</v>
      </c>
      <c r="AV77" s="36" t="s">
        <v>216</v>
      </c>
      <c r="AW77" s="36" t="s">
        <v>209</v>
      </c>
      <c r="AX77" s="36" t="s">
        <v>210</v>
      </c>
      <c r="AY77" s="36">
        <v>0</v>
      </c>
      <c r="AZ77" s="36" t="s">
        <v>211</v>
      </c>
      <c r="BA77" s="36">
        <v>9045089536574</v>
      </c>
      <c r="BB77" s="36"/>
      <c r="BC77" s="36"/>
      <c r="BD77" s="36">
        <v>1</v>
      </c>
      <c r="BE77" s="36"/>
      <c r="BF77" s="36"/>
      <c r="BG77" s="36">
        <v>1333314600</v>
      </c>
      <c r="BH77" s="36" t="s">
        <v>213</v>
      </c>
      <c r="BI77" s="36">
        <v>4</v>
      </c>
      <c r="BJ77" s="36">
        <v>4</v>
      </c>
      <c r="BK77" s="36">
        <v>1300</v>
      </c>
      <c r="BL77" s="36" t="s">
        <v>214</v>
      </c>
      <c r="BM77" s="36"/>
      <c r="BN77" s="36"/>
    </row>
    <row r="78" spans="1:66" x14ac:dyDescent="0.35">
      <c r="A78" s="36"/>
      <c r="B78" s="36"/>
      <c r="C78" s="37" t="s">
        <v>8</v>
      </c>
      <c r="D78" s="37" t="s">
        <v>8</v>
      </c>
      <c r="E78" s="36"/>
      <c r="F78" s="36" t="s">
        <v>192</v>
      </c>
      <c r="G78" s="36" t="s">
        <v>1</v>
      </c>
      <c r="H78" s="36">
        <v>0</v>
      </c>
      <c r="I78" s="36" t="s">
        <v>193</v>
      </c>
      <c r="J78" s="36" t="s">
        <v>194</v>
      </c>
      <c r="K78" s="36" t="s">
        <v>195</v>
      </c>
      <c r="L78" s="36">
        <v>923</v>
      </c>
      <c r="M78" s="36"/>
      <c r="N78" s="36" t="s">
        <v>226</v>
      </c>
      <c r="O78" s="36" t="s">
        <v>227</v>
      </c>
      <c r="P78" s="36">
        <v>2</v>
      </c>
      <c r="Q78" s="36" t="s">
        <v>228</v>
      </c>
      <c r="R78" s="37">
        <v>244658</v>
      </c>
      <c r="S78" s="37" t="s">
        <v>8</v>
      </c>
      <c r="T78" s="36" t="s">
        <v>229</v>
      </c>
      <c r="U78" s="36">
        <v>23111035</v>
      </c>
      <c r="V78" s="36" t="s">
        <v>95</v>
      </c>
      <c r="W78" s="36">
        <v>8</v>
      </c>
      <c r="X78" s="36">
        <v>4</v>
      </c>
      <c r="Y78" s="36">
        <v>8</v>
      </c>
      <c r="Z78" s="36">
        <v>4</v>
      </c>
      <c r="AA78" s="36">
        <v>0</v>
      </c>
      <c r="AB78" s="36">
        <v>0</v>
      </c>
      <c r="AC78" s="36">
        <v>0</v>
      </c>
      <c r="AD78" s="36">
        <v>0</v>
      </c>
      <c r="AE78" s="36">
        <v>8</v>
      </c>
      <c r="AF78" s="36">
        <v>4</v>
      </c>
      <c r="AG78" s="36"/>
      <c r="AH78" s="36"/>
      <c r="AI78" s="36" t="s">
        <v>200</v>
      </c>
      <c r="AJ78" s="36" t="s">
        <v>201</v>
      </c>
      <c r="AK78" s="36" t="s">
        <v>202</v>
      </c>
      <c r="AL78" s="36" t="s">
        <v>225</v>
      </c>
      <c r="AM78" s="36" t="s">
        <v>204</v>
      </c>
      <c r="AN78" s="36" t="s">
        <v>222</v>
      </c>
      <c r="AO78" s="36" t="s">
        <v>206</v>
      </c>
      <c r="AP78" s="36">
        <v>2</v>
      </c>
      <c r="AQ78" s="36"/>
      <c r="AR78" s="36"/>
      <c r="AS78" s="36"/>
      <c r="AT78" s="36" t="s">
        <v>223</v>
      </c>
      <c r="AU78" s="36" t="s">
        <v>224</v>
      </c>
      <c r="AV78" s="36" t="s">
        <v>216</v>
      </c>
      <c r="AW78" s="36" t="s">
        <v>209</v>
      </c>
      <c r="AX78" s="36" t="s">
        <v>210</v>
      </c>
      <c r="AY78" s="36">
        <v>0</v>
      </c>
      <c r="AZ78" s="36" t="s">
        <v>211</v>
      </c>
      <c r="BA78" s="36">
        <v>9045089536574</v>
      </c>
      <c r="BB78" s="36"/>
      <c r="BC78" s="36"/>
      <c r="BD78" s="36">
        <v>1</v>
      </c>
      <c r="BE78" s="36"/>
      <c r="BF78" s="36"/>
      <c r="BG78" s="36">
        <v>1333314600</v>
      </c>
      <c r="BH78" s="36" t="s">
        <v>213</v>
      </c>
      <c r="BI78" s="36">
        <v>8</v>
      </c>
      <c r="BJ78" s="36">
        <v>4</v>
      </c>
      <c r="BK78" s="36">
        <v>1300</v>
      </c>
      <c r="BL78" s="36" t="s">
        <v>214</v>
      </c>
      <c r="BM78" s="36"/>
      <c r="BN78" s="36"/>
    </row>
    <row r="79" spans="1:66" x14ac:dyDescent="0.35">
      <c r="A79" s="36"/>
      <c r="B79" s="36"/>
      <c r="C79" s="37" t="s">
        <v>8</v>
      </c>
      <c r="D79" s="37" t="s">
        <v>8</v>
      </c>
      <c r="E79" s="36"/>
      <c r="F79" s="36" t="s">
        <v>192</v>
      </c>
      <c r="G79" s="36" t="s">
        <v>1</v>
      </c>
      <c r="H79" s="36">
        <v>0</v>
      </c>
      <c r="I79" s="36" t="s">
        <v>193</v>
      </c>
      <c r="J79" s="36" t="s">
        <v>194</v>
      </c>
      <c r="K79" s="36" t="s">
        <v>195</v>
      </c>
      <c r="L79" s="36">
        <v>923</v>
      </c>
      <c r="M79" s="36"/>
      <c r="N79" s="36" t="s">
        <v>226</v>
      </c>
      <c r="O79" s="36" t="s">
        <v>227</v>
      </c>
      <c r="P79" s="36">
        <v>2</v>
      </c>
      <c r="Q79" s="36" t="s">
        <v>228</v>
      </c>
      <c r="R79" s="37">
        <v>244658</v>
      </c>
      <c r="S79" s="37" t="s">
        <v>8</v>
      </c>
      <c r="T79" s="36" t="s">
        <v>229</v>
      </c>
      <c r="U79" s="36">
        <v>23110597</v>
      </c>
      <c r="V79" s="36" t="s">
        <v>101</v>
      </c>
      <c r="W79" s="36">
        <v>4</v>
      </c>
      <c r="X79" s="36">
        <v>4</v>
      </c>
      <c r="Y79" s="36">
        <v>4</v>
      </c>
      <c r="Z79" s="36">
        <v>4</v>
      </c>
      <c r="AA79" s="36">
        <v>0</v>
      </c>
      <c r="AB79" s="36">
        <v>0</v>
      </c>
      <c r="AC79" s="36">
        <v>0</v>
      </c>
      <c r="AD79" s="36">
        <v>0</v>
      </c>
      <c r="AE79" s="36">
        <v>4</v>
      </c>
      <c r="AF79" s="36">
        <v>4</v>
      </c>
      <c r="AG79" s="36"/>
      <c r="AH79" s="36"/>
      <c r="AI79" s="36" t="s">
        <v>200</v>
      </c>
      <c r="AJ79" s="36" t="s">
        <v>201</v>
      </c>
      <c r="AK79" s="36" t="s">
        <v>202</v>
      </c>
      <c r="AL79" s="36" t="s">
        <v>225</v>
      </c>
      <c r="AM79" s="36" t="s">
        <v>204</v>
      </c>
      <c r="AN79" s="36" t="s">
        <v>222</v>
      </c>
      <c r="AO79" s="36" t="s">
        <v>206</v>
      </c>
      <c r="AP79" s="36">
        <v>2</v>
      </c>
      <c r="AQ79" s="36"/>
      <c r="AR79" s="36"/>
      <c r="AS79" s="36"/>
      <c r="AT79" s="36" t="s">
        <v>223</v>
      </c>
      <c r="AU79" s="36" t="s">
        <v>224</v>
      </c>
      <c r="AV79" s="36" t="s">
        <v>216</v>
      </c>
      <c r="AW79" s="36" t="s">
        <v>209</v>
      </c>
      <c r="AX79" s="36" t="s">
        <v>210</v>
      </c>
      <c r="AY79" s="36">
        <v>0</v>
      </c>
      <c r="AZ79" s="36" t="s">
        <v>211</v>
      </c>
      <c r="BA79" s="36">
        <v>9045089536574</v>
      </c>
      <c r="BB79" s="36"/>
      <c r="BC79" s="36"/>
      <c r="BD79" s="36">
        <v>1</v>
      </c>
      <c r="BE79" s="36"/>
      <c r="BF79" s="36"/>
      <c r="BG79" s="36">
        <v>1333314600</v>
      </c>
      <c r="BH79" s="36" t="s">
        <v>213</v>
      </c>
      <c r="BI79" s="36">
        <v>4</v>
      </c>
      <c r="BJ79" s="36">
        <v>4</v>
      </c>
      <c r="BK79" s="36">
        <v>1300</v>
      </c>
      <c r="BL79" s="36" t="s">
        <v>214</v>
      </c>
      <c r="BM79" s="36"/>
      <c r="BN79" s="36"/>
    </row>
    <row r="80" spans="1:66" x14ac:dyDescent="0.35">
      <c r="A80" s="36"/>
      <c r="B80" s="36"/>
      <c r="C80" s="37" t="s">
        <v>8</v>
      </c>
      <c r="D80" s="37" t="s">
        <v>8</v>
      </c>
      <c r="E80" s="36"/>
      <c r="F80" s="36" t="s">
        <v>192</v>
      </c>
      <c r="G80" s="36" t="s">
        <v>1</v>
      </c>
      <c r="H80" s="36">
        <v>0</v>
      </c>
      <c r="I80" s="36" t="s">
        <v>193</v>
      </c>
      <c r="J80" s="36" t="s">
        <v>194</v>
      </c>
      <c r="K80" s="36" t="s">
        <v>195</v>
      </c>
      <c r="L80" s="36">
        <v>923</v>
      </c>
      <c r="M80" s="36"/>
      <c r="N80" s="36" t="s">
        <v>226</v>
      </c>
      <c r="O80" s="36" t="s">
        <v>227</v>
      </c>
      <c r="P80" s="36">
        <v>2</v>
      </c>
      <c r="Q80" s="36" t="s">
        <v>228</v>
      </c>
      <c r="R80" s="37">
        <v>244658</v>
      </c>
      <c r="S80" s="37" t="s">
        <v>8</v>
      </c>
      <c r="T80" s="36" t="s">
        <v>229</v>
      </c>
      <c r="U80" s="36">
        <v>23111038</v>
      </c>
      <c r="V80" s="36" t="s">
        <v>105</v>
      </c>
      <c r="W80" s="36">
        <v>4</v>
      </c>
      <c r="X80" s="36">
        <v>2</v>
      </c>
      <c r="Y80" s="36">
        <v>4</v>
      </c>
      <c r="Z80" s="36">
        <v>2</v>
      </c>
      <c r="AA80" s="36">
        <v>0</v>
      </c>
      <c r="AB80" s="36">
        <v>0</v>
      </c>
      <c r="AC80" s="36">
        <v>0</v>
      </c>
      <c r="AD80" s="36">
        <v>0</v>
      </c>
      <c r="AE80" s="36">
        <v>4</v>
      </c>
      <c r="AF80" s="36">
        <v>2</v>
      </c>
      <c r="AG80" s="36"/>
      <c r="AH80" s="36"/>
      <c r="AI80" s="36" t="s">
        <v>200</v>
      </c>
      <c r="AJ80" s="36" t="s">
        <v>201</v>
      </c>
      <c r="AK80" s="36" t="s">
        <v>202</v>
      </c>
      <c r="AL80" s="36" t="s">
        <v>225</v>
      </c>
      <c r="AM80" s="36" t="s">
        <v>204</v>
      </c>
      <c r="AN80" s="36" t="s">
        <v>222</v>
      </c>
      <c r="AO80" s="36" t="s">
        <v>206</v>
      </c>
      <c r="AP80" s="36">
        <v>2</v>
      </c>
      <c r="AQ80" s="36"/>
      <c r="AR80" s="36"/>
      <c r="AS80" s="36"/>
      <c r="AT80" s="36" t="s">
        <v>223</v>
      </c>
      <c r="AU80" s="36" t="s">
        <v>224</v>
      </c>
      <c r="AV80" s="36" t="s">
        <v>216</v>
      </c>
      <c r="AW80" s="36" t="s">
        <v>209</v>
      </c>
      <c r="AX80" s="36" t="s">
        <v>210</v>
      </c>
      <c r="AY80" s="36">
        <v>0</v>
      </c>
      <c r="AZ80" s="36" t="s">
        <v>211</v>
      </c>
      <c r="BA80" s="36">
        <v>9045089536574</v>
      </c>
      <c r="BB80" s="36"/>
      <c r="BC80" s="36"/>
      <c r="BD80" s="36">
        <v>1</v>
      </c>
      <c r="BE80" s="36"/>
      <c r="BF80" s="36"/>
      <c r="BG80" s="36">
        <v>1333314600</v>
      </c>
      <c r="BH80" s="36" t="s">
        <v>213</v>
      </c>
      <c r="BI80" s="36">
        <v>4</v>
      </c>
      <c r="BJ80" s="36">
        <v>2</v>
      </c>
      <c r="BK80" s="36">
        <v>1300</v>
      </c>
      <c r="BL80" s="36" t="s">
        <v>214</v>
      </c>
      <c r="BM80" s="36"/>
      <c r="BN80" s="36"/>
    </row>
    <row r="81" spans="1:66" x14ac:dyDescent="0.35">
      <c r="A81" s="36"/>
      <c r="B81" s="36"/>
      <c r="C81" s="37" t="s">
        <v>8</v>
      </c>
      <c r="D81" s="37" t="s">
        <v>8</v>
      </c>
      <c r="E81" s="36"/>
      <c r="F81" s="36" t="s">
        <v>192</v>
      </c>
      <c r="G81" s="36" t="s">
        <v>1</v>
      </c>
      <c r="H81" s="36">
        <v>0</v>
      </c>
      <c r="I81" s="36" t="s">
        <v>193</v>
      </c>
      <c r="J81" s="36" t="s">
        <v>194</v>
      </c>
      <c r="K81" s="36" t="s">
        <v>195</v>
      </c>
      <c r="L81" s="36">
        <v>923</v>
      </c>
      <c r="M81" s="36"/>
      <c r="N81" s="36" t="s">
        <v>226</v>
      </c>
      <c r="O81" s="36" t="s">
        <v>227</v>
      </c>
      <c r="P81" s="36">
        <v>2</v>
      </c>
      <c r="Q81" s="36" t="s">
        <v>228</v>
      </c>
      <c r="R81" s="37">
        <v>244658</v>
      </c>
      <c r="S81" s="37" t="s">
        <v>8</v>
      </c>
      <c r="T81" s="36" t="s">
        <v>229</v>
      </c>
      <c r="U81" s="36">
        <v>23097797</v>
      </c>
      <c r="V81" s="36" t="s">
        <v>68</v>
      </c>
      <c r="W81" s="36">
        <v>5</v>
      </c>
      <c r="X81" s="36">
        <v>5</v>
      </c>
      <c r="Y81" s="36">
        <v>5</v>
      </c>
      <c r="Z81" s="36">
        <v>5</v>
      </c>
      <c r="AA81" s="36">
        <v>0</v>
      </c>
      <c r="AB81" s="36">
        <v>0</v>
      </c>
      <c r="AC81" s="36">
        <v>0</v>
      </c>
      <c r="AD81" s="36">
        <v>0</v>
      </c>
      <c r="AE81" s="36">
        <v>5</v>
      </c>
      <c r="AF81" s="36">
        <v>5</v>
      </c>
      <c r="AG81" s="36"/>
      <c r="AH81" s="36"/>
      <c r="AI81" s="36" t="s">
        <v>200</v>
      </c>
      <c r="AJ81" s="36" t="s">
        <v>201</v>
      </c>
      <c r="AK81" s="36" t="s">
        <v>202</v>
      </c>
      <c r="AL81" s="36" t="s">
        <v>203</v>
      </c>
      <c r="AM81" s="36" t="s">
        <v>204</v>
      </c>
      <c r="AN81" s="36" t="s">
        <v>222</v>
      </c>
      <c r="AO81" s="36" t="s">
        <v>206</v>
      </c>
      <c r="AP81" s="36">
        <v>2</v>
      </c>
      <c r="AQ81" s="36"/>
      <c r="AR81" s="36"/>
      <c r="AS81" s="36"/>
      <c r="AT81" s="36" t="s">
        <v>223</v>
      </c>
      <c r="AU81" s="36" t="s">
        <v>224</v>
      </c>
      <c r="AV81" s="36" t="s">
        <v>216</v>
      </c>
      <c r="AW81" s="36" t="s">
        <v>209</v>
      </c>
      <c r="AX81" s="36" t="s">
        <v>210</v>
      </c>
      <c r="AY81" s="36">
        <v>0</v>
      </c>
      <c r="AZ81" s="36" t="s">
        <v>211</v>
      </c>
      <c r="BA81" s="36">
        <v>9045089536574</v>
      </c>
      <c r="BB81" s="36"/>
      <c r="BC81" s="36"/>
      <c r="BD81" s="36">
        <v>1</v>
      </c>
      <c r="BE81" s="36"/>
      <c r="BF81" s="36"/>
      <c r="BG81" s="36">
        <v>1333314600</v>
      </c>
      <c r="BH81" s="36" t="s">
        <v>213</v>
      </c>
      <c r="BI81" s="36">
        <v>5</v>
      </c>
      <c r="BJ81" s="36">
        <v>5</v>
      </c>
      <c r="BK81" s="36">
        <v>1300</v>
      </c>
      <c r="BL81" s="36" t="s">
        <v>214</v>
      </c>
      <c r="BM81" s="36"/>
      <c r="BN81" s="36"/>
    </row>
    <row r="82" spans="1:66" x14ac:dyDescent="0.35">
      <c r="A82" s="36"/>
      <c r="B82" s="36"/>
      <c r="C82" s="37" t="s">
        <v>8</v>
      </c>
      <c r="D82" s="37" t="s">
        <v>8</v>
      </c>
      <c r="E82" s="36"/>
      <c r="F82" s="36" t="s">
        <v>192</v>
      </c>
      <c r="G82" s="36" t="s">
        <v>1</v>
      </c>
      <c r="H82" s="36">
        <v>0</v>
      </c>
      <c r="I82" s="36" t="s">
        <v>193</v>
      </c>
      <c r="J82" s="36" t="s">
        <v>194</v>
      </c>
      <c r="K82" s="36" t="s">
        <v>195</v>
      </c>
      <c r="L82" s="36">
        <v>923</v>
      </c>
      <c r="M82" s="36"/>
      <c r="N82" s="36" t="s">
        <v>226</v>
      </c>
      <c r="O82" s="36" t="s">
        <v>227</v>
      </c>
      <c r="P82" s="36">
        <v>2</v>
      </c>
      <c r="Q82" s="36" t="s">
        <v>228</v>
      </c>
      <c r="R82" s="37">
        <v>244658</v>
      </c>
      <c r="S82" s="37" t="s">
        <v>8</v>
      </c>
      <c r="T82" s="36" t="s">
        <v>229</v>
      </c>
      <c r="U82" s="36">
        <v>23111030</v>
      </c>
      <c r="V82" s="36" t="s">
        <v>106</v>
      </c>
      <c r="W82" s="36">
        <v>4</v>
      </c>
      <c r="X82" s="36">
        <v>2</v>
      </c>
      <c r="Y82" s="36">
        <v>4</v>
      </c>
      <c r="Z82" s="36">
        <v>2</v>
      </c>
      <c r="AA82" s="36">
        <v>0</v>
      </c>
      <c r="AB82" s="36">
        <v>0</v>
      </c>
      <c r="AC82" s="36">
        <v>0</v>
      </c>
      <c r="AD82" s="36">
        <v>0</v>
      </c>
      <c r="AE82" s="36">
        <v>4</v>
      </c>
      <c r="AF82" s="36">
        <v>2</v>
      </c>
      <c r="AG82" s="36"/>
      <c r="AH82" s="36"/>
      <c r="AI82" s="36" t="s">
        <v>200</v>
      </c>
      <c r="AJ82" s="36" t="s">
        <v>201</v>
      </c>
      <c r="AK82" s="36" t="s">
        <v>202</v>
      </c>
      <c r="AL82" s="36" t="s">
        <v>225</v>
      </c>
      <c r="AM82" s="36" t="s">
        <v>204</v>
      </c>
      <c r="AN82" s="36" t="s">
        <v>222</v>
      </c>
      <c r="AO82" s="36" t="s">
        <v>206</v>
      </c>
      <c r="AP82" s="36">
        <v>2</v>
      </c>
      <c r="AQ82" s="36"/>
      <c r="AR82" s="36"/>
      <c r="AS82" s="36"/>
      <c r="AT82" s="36" t="s">
        <v>223</v>
      </c>
      <c r="AU82" s="36" t="s">
        <v>224</v>
      </c>
      <c r="AV82" s="36" t="s">
        <v>216</v>
      </c>
      <c r="AW82" s="36" t="s">
        <v>209</v>
      </c>
      <c r="AX82" s="36" t="s">
        <v>210</v>
      </c>
      <c r="AY82" s="36">
        <v>0</v>
      </c>
      <c r="AZ82" s="36" t="s">
        <v>211</v>
      </c>
      <c r="BA82" s="36">
        <v>9045089536574</v>
      </c>
      <c r="BB82" s="36"/>
      <c r="BC82" s="36"/>
      <c r="BD82" s="36">
        <v>1</v>
      </c>
      <c r="BE82" s="36"/>
      <c r="BF82" s="36"/>
      <c r="BG82" s="36">
        <v>1333314600</v>
      </c>
      <c r="BH82" s="36" t="s">
        <v>213</v>
      </c>
      <c r="BI82" s="36">
        <v>4</v>
      </c>
      <c r="BJ82" s="36">
        <v>2</v>
      </c>
      <c r="BK82" s="36">
        <v>1300</v>
      </c>
      <c r="BL82" s="36" t="s">
        <v>214</v>
      </c>
      <c r="BM82" s="36"/>
      <c r="BN82" s="36"/>
    </row>
    <row r="83" spans="1:66" x14ac:dyDescent="0.35">
      <c r="A83" s="36"/>
      <c r="B83" s="36"/>
      <c r="C83" s="37" t="s">
        <v>8</v>
      </c>
      <c r="D83" s="37" t="s">
        <v>8</v>
      </c>
      <c r="E83" s="36"/>
      <c r="F83" s="36" t="s">
        <v>192</v>
      </c>
      <c r="G83" s="36" t="s">
        <v>1</v>
      </c>
      <c r="H83" s="36">
        <v>0</v>
      </c>
      <c r="I83" s="36" t="s">
        <v>193</v>
      </c>
      <c r="J83" s="36" t="s">
        <v>194</v>
      </c>
      <c r="K83" s="36" t="s">
        <v>195</v>
      </c>
      <c r="L83" s="36">
        <v>923</v>
      </c>
      <c r="M83" s="36"/>
      <c r="N83" s="36" t="s">
        <v>226</v>
      </c>
      <c r="O83" s="36" t="s">
        <v>227</v>
      </c>
      <c r="P83" s="36">
        <v>2</v>
      </c>
      <c r="Q83" s="36" t="s">
        <v>228</v>
      </c>
      <c r="R83" s="37">
        <v>244658</v>
      </c>
      <c r="S83" s="37" t="s">
        <v>8</v>
      </c>
      <c r="T83" s="36" t="s">
        <v>229</v>
      </c>
      <c r="U83" s="36">
        <v>23111031</v>
      </c>
      <c r="V83" s="36" t="s">
        <v>98</v>
      </c>
      <c r="W83" s="36">
        <v>4</v>
      </c>
      <c r="X83" s="36">
        <v>2</v>
      </c>
      <c r="Y83" s="36">
        <v>4</v>
      </c>
      <c r="Z83" s="36">
        <v>2</v>
      </c>
      <c r="AA83" s="36">
        <v>0</v>
      </c>
      <c r="AB83" s="36">
        <v>0</v>
      </c>
      <c r="AC83" s="36">
        <v>0</v>
      </c>
      <c r="AD83" s="36">
        <v>0</v>
      </c>
      <c r="AE83" s="36">
        <v>4</v>
      </c>
      <c r="AF83" s="36">
        <v>2</v>
      </c>
      <c r="AG83" s="36"/>
      <c r="AH83" s="36"/>
      <c r="AI83" s="36" t="s">
        <v>200</v>
      </c>
      <c r="AJ83" s="36" t="s">
        <v>201</v>
      </c>
      <c r="AK83" s="36" t="s">
        <v>202</v>
      </c>
      <c r="AL83" s="36" t="s">
        <v>225</v>
      </c>
      <c r="AM83" s="36" t="s">
        <v>204</v>
      </c>
      <c r="AN83" s="36" t="s">
        <v>222</v>
      </c>
      <c r="AO83" s="36" t="s">
        <v>206</v>
      </c>
      <c r="AP83" s="36">
        <v>2</v>
      </c>
      <c r="AQ83" s="36"/>
      <c r="AR83" s="36"/>
      <c r="AS83" s="36"/>
      <c r="AT83" s="36" t="s">
        <v>223</v>
      </c>
      <c r="AU83" s="36" t="s">
        <v>224</v>
      </c>
      <c r="AV83" s="36" t="s">
        <v>216</v>
      </c>
      <c r="AW83" s="36" t="s">
        <v>209</v>
      </c>
      <c r="AX83" s="36" t="s">
        <v>210</v>
      </c>
      <c r="AY83" s="36">
        <v>0</v>
      </c>
      <c r="AZ83" s="36" t="s">
        <v>211</v>
      </c>
      <c r="BA83" s="36">
        <v>9045089536574</v>
      </c>
      <c r="BB83" s="36"/>
      <c r="BC83" s="36"/>
      <c r="BD83" s="36">
        <v>1</v>
      </c>
      <c r="BE83" s="36"/>
      <c r="BF83" s="36"/>
      <c r="BG83" s="36">
        <v>1333314600</v>
      </c>
      <c r="BH83" s="36" t="s">
        <v>213</v>
      </c>
      <c r="BI83" s="36">
        <v>4</v>
      </c>
      <c r="BJ83" s="36">
        <v>2</v>
      </c>
      <c r="BK83" s="36">
        <v>1300</v>
      </c>
      <c r="BL83" s="36" t="s">
        <v>214</v>
      </c>
      <c r="BM83" s="36"/>
      <c r="BN83" s="36"/>
    </row>
    <row r="84" spans="1:66" x14ac:dyDescent="0.35">
      <c r="A84" s="36"/>
      <c r="B84" s="36"/>
      <c r="C84" s="37" t="s">
        <v>8</v>
      </c>
      <c r="D84" s="37" t="s">
        <v>8</v>
      </c>
      <c r="E84" s="36"/>
      <c r="F84" s="36" t="s">
        <v>192</v>
      </c>
      <c r="G84" s="36" t="s">
        <v>1</v>
      </c>
      <c r="H84" s="36">
        <v>0</v>
      </c>
      <c r="I84" s="36" t="s">
        <v>193</v>
      </c>
      <c r="J84" s="36" t="s">
        <v>194</v>
      </c>
      <c r="K84" s="36" t="s">
        <v>195</v>
      </c>
      <c r="L84" s="36">
        <v>923</v>
      </c>
      <c r="M84" s="36"/>
      <c r="N84" s="36" t="s">
        <v>226</v>
      </c>
      <c r="O84" s="36" t="s">
        <v>227</v>
      </c>
      <c r="P84" s="36">
        <v>2</v>
      </c>
      <c r="Q84" s="36" t="s">
        <v>228</v>
      </c>
      <c r="R84" s="37">
        <v>244658</v>
      </c>
      <c r="S84" s="37" t="s">
        <v>8</v>
      </c>
      <c r="T84" s="36" t="s">
        <v>229</v>
      </c>
      <c r="U84" s="36">
        <v>23110624</v>
      </c>
      <c r="V84" s="36" t="s">
        <v>125</v>
      </c>
      <c r="W84" s="36">
        <v>4</v>
      </c>
      <c r="X84" s="36">
        <v>2</v>
      </c>
      <c r="Y84" s="36">
        <v>4</v>
      </c>
      <c r="Z84" s="36">
        <v>2</v>
      </c>
      <c r="AA84" s="36">
        <v>0</v>
      </c>
      <c r="AB84" s="36">
        <v>0</v>
      </c>
      <c r="AC84" s="36">
        <v>0</v>
      </c>
      <c r="AD84" s="36">
        <v>0</v>
      </c>
      <c r="AE84" s="36">
        <v>4</v>
      </c>
      <c r="AF84" s="36">
        <v>2</v>
      </c>
      <c r="AG84" s="36"/>
      <c r="AH84" s="36"/>
      <c r="AI84" s="36" t="s">
        <v>200</v>
      </c>
      <c r="AJ84" s="36" t="s">
        <v>201</v>
      </c>
      <c r="AK84" s="36" t="s">
        <v>215</v>
      </c>
      <c r="AL84" s="36" t="s">
        <v>225</v>
      </c>
      <c r="AM84" s="36" t="s">
        <v>204</v>
      </c>
      <c r="AN84" s="36" t="s">
        <v>222</v>
      </c>
      <c r="AO84" s="36" t="s">
        <v>206</v>
      </c>
      <c r="AP84" s="36">
        <v>2</v>
      </c>
      <c r="AQ84" s="36"/>
      <c r="AR84" s="36"/>
      <c r="AS84" s="36"/>
      <c r="AT84" s="36" t="s">
        <v>223</v>
      </c>
      <c r="AU84" s="36" t="s">
        <v>224</v>
      </c>
      <c r="AV84" s="36" t="s">
        <v>216</v>
      </c>
      <c r="AW84" s="36" t="s">
        <v>209</v>
      </c>
      <c r="AX84" s="36" t="s">
        <v>210</v>
      </c>
      <c r="AY84" s="36">
        <v>0</v>
      </c>
      <c r="AZ84" s="36" t="s">
        <v>211</v>
      </c>
      <c r="BA84" s="36">
        <v>9045089536574</v>
      </c>
      <c r="BB84" s="36"/>
      <c r="BC84" s="36"/>
      <c r="BD84" s="36">
        <v>1</v>
      </c>
      <c r="BE84" s="36"/>
      <c r="BF84" s="36"/>
      <c r="BG84" s="36">
        <v>1333314600</v>
      </c>
      <c r="BH84" s="36" t="s">
        <v>213</v>
      </c>
      <c r="BI84" s="36">
        <v>4</v>
      </c>
      <c r="BJ84" s="36">
        <v>2</v>
      </c>
      <c r="BK84" s="36">
        <v>1300</v>
      </c>
      <c r="BL84" s="36" t="s">
        <v>214</v>
      </c>
      <c r="BM84" s="36"/>
      <c r="BN84" s="36"/>
    </row>
    <row r="85" spans="1:66" x14ac:dyDescent="0.35">
      <c r="A85" s="36"/>
      <c r="B85" s="36"/>
      <c r="C85" s="37" t="s">
        <v>8</v>
      </c>
      <c r="D85" s="37" t="s">
        <v>8</v>
      </c>
      <c r="E85" s="36"/>
      <c r="F85" s="36" t="s">
        <v>192</v>
      </c>
      <c r="G85" s="36" t="s">
        <v>1</v>
      </c>
      <c r="H85" s="36">
        <v>0</v>
      </c>
      <c r="I85" s="36" t="s">
        <v>193</v>
      </c>
      <c r="J85" s="36" t="s">
        <v>194</v>
      </c>
      <c r="K85" s="36" t="s">
        <v>195</v>
      </c>
      <c r="L85" s="36">
        <v>923</v>
      </c>
      <c r="M85" s="36"/>
      <c r="N85" s="36" t="s">
        <v>226</v>
      </c>
      <c r="O85" s="36" t="s">
        <v>227</v>
      </c>
      <c r="P85" s="36">
        <v>2</v>
      </c>
      <c r="Q85" s="36" t="s">
        <v>228</v>
      </c>
      <c r="R85" s="37">
        <v>244658</v>
      </c>
      <c r="S85" s="37" t="s">
        <v>8</v>
      </c>
      <c r="T85" s="36" t="s">
        <v>229</v>
      </c>
      <c r="U85" s="36">
        <v>23111037</v>
      </c>
      <c r="V85" s="36" t="s">
        <v>97</v>
      </c>
      <c r="W85" s="36">
        <v>8</v>
      </c>
      <c r="X85" s="36">
        <v>4</v>
      </c>
      <c r="Y85" s="36">
        <v>8</v>
      </c>
      <c r="Z85" s="36">
        <v>4</v>
      </c>
      <c r="AA85" s="36">
        <v>0</v>
      </c>
      <c r="AB85" s="36">
        <v>0</v>
      </c>
      <c r="AC85" s="36">
        <v>0</v>
      </c>
      <c r="AD85" s="36">
        <v>0</v>
      </c>
      <c r="AE85" s="36">
        <v>8</v>
      </c>
      <c r="AF85" s="36">
        <v>4</v>
      </c>
      <c r="AG85" s="36"/>
      <c r="AH85" s="36"/>
      <c r="AI85" s="36" t="s">
        <v>200</v>
      </c>
      <c r="AJ85" s="36" t="s">
        <v>201</v>
      </c>
      <c r="AK85" s="36" t="s">
        <v>202</v>
      </c>
      <c r="AL85" s="36" t="s">
        <v>225</v>
      </c>
      <c r="AM85" s="36" t="s">
        <v>204</v>
      </c>
      <c r="AN85" s="36" t="s">
        <v>222</v>
      </c>
      <c r="AO85" s="36" t="s">
        <v>206</v>
      </c>
      <c r="AP85" s="36">
        <v>2</v>
      </c>
      <c r="AQ85" s="36"/>
      <c r="AR85" s="36"/>
      <c r="AS85" s="36"/>
      <c r="AT85" s="36" t="s">
        <v>223</v>
      </c>
      <c r="AU85" s="36" t="s">
        <v>224</v>
      </c>
      <c r="AV85" s="36" t="s">
        <v>216</v>
      </c>
      <c r="AW85" s="36" t="s">
        <v>209</v>
      </c>
      <c r="AX85" s="36" t="s">
        <v>210</v>
      </c>
      <c r="AY85" s="36">
        <v>0</v>
      </c>
      <c r="AZ85" s="36" t="s">
        <v>211</v>
      </c>
      <c r="BA85" s="36">
        <v>9045089536574</v>
      </c>
      <c r="BB85" s="36"/>
      <c r="BC85" s="36"/>
      <c r="BD85" s="36">
        <v>1</v>
      </c>
      <c r="BE85" s="36"/>
      <c r="BF85" s="36"/>
      <c r="BG85" s="36">
        <v>1333314600</v>
      </c>
      <c r="BH85" s="36" t="s">
        <v>213</v>
      </c>
      <c r="BI85" s="36">
        <v>8</v>
      </c>
      <c r="BJ85" s="36">
        <v>4</v>
      </c>
      <c r="BK85" s="36">
        <v>1300</v>
      </c>
      <c r="BL85" s="36" t="s">
        <v>214</v>
      </c>
      <c r="BM85" s="36"/>
      <c r="BN85" s="36"/>
    </row>
    <row r="86" spans="1:66" x14ac:dyDescent="0.35">
      <c r="A86" s="36"/>
      <c r="B86" s="36"/>
      <c r="C86" s="37" t="s">
        <v>8</v>
      </c>
      <c r="D86" s="37" t="s">
        <v>8</v>
      </c>
      <c r="E86" s="36"/>
      <c r="F86" s="36" t="s">
        <v>192</v>
      </c>
      <c r="G86" s="36" t="s">
        <v>1</v>
      </c>
      <c r="H86" s="36">
        <v>0</v>
      </c>
      <c r="I86" s="36" t="s">
        <v>193</v>
      </c>
      <c r="J86" s="36" t="s">
        <v>194</v>
      </c>
      <c r="K86" s="36" t="s">
        <v>195</v>
      </c>
      <c r="L86" s="36">
        <v>923</v>
      </c>
      <c r="M86" s="36"/>
      <c r="N86" s="36" t="s">
        <v>226</v>
      </c>
      <c r="O86" s="36" t="s">
        <v>227</v>
      </c>
      <c r="P86" s="36">
        <v>2</v>
      </c>
      <c r="Q86" s="36" t="s">
        <v>228</v>
      </c>
      <c r="R86" s="37">
        <v>244658</v>
      </c>
      <c r="S86" s="37" t="s">
        <v>8</v>
      </c>
      <c r="T86" s="36" t="s">
        <v>229</v>
      </c>
      <c r="U86" s="36">
        <v>23111036</v>
      </c>
      <c r="V86" s="36" t="s">
        <v>96</v>
      </c>
      <c r="W86" s="36">
        <v>8</v>
      </c>
      <c r="X86" s="36">
        <v>4</v>
      </c>
      <c r="Y86" s="36">
        <v>8</v>
      </c>
      <c r="Z86" s="36">
        <v>4</v>
      </c>
      <c r="AA86" s="36">
        <v>0</v>
      </c>
      <c r="AB86" s="36">
        <v>0</v>
      </c>
      <c r="AC86" s="36">
        <v>0</v>
      </c>
      <c r="AD86" s="36">
        <v>0</v>
      </c>
      <c r="AE86" s="36">
        <v>8</v>
      </c>
      <c r="AF86" s="36">
        <v>4</v>
      </c>
      <c r="AG86" s="36"/>
      <c r="AH86" s="36"/>
      <c r="AI86" s="36" t="s">
        <v>200</v>
      </c>
      <c r="AJ86" s="36" t="s">
        <v>201</v>
      </c>
      <c r="AK86" s="36" t="s">
        <v>202</v>
      </c>
      <c r="AL86" s="36" t="s">
        <v>225</v>
      </c>
      <c r="AM86" s="36" t="s">
        <v>204</v>
      </c>
      <c r="AN86" s="36" t="s">
        <v>222</v>
      </c>
      <c r="AO86" s="36" t="s">
        <v>206</v>
      </c>
      <c r="AP86" s="36">
        <v>2</v>
      </c>
      <c r="AQ86" s="36"/>
      <c r="AR86" s="36"/>
      <c r="AS86" s="36"/>
      <c r="AT86" s="36" t="s">
        <v>223</v>
      </c>
      <c r="AU86" s="36" t="s">
        <v>224</v>
      </c>
      <c r="AV86" s="36" t="s">
        <v>216</v>
      </c>
      <c r="AW86" s="36" t="s">
        <v>209</v>
      </c>
      <c r="AX86" s="36" t="s">
        <v>210</v>
      </c>
      <c r="AY86" s="36">
        <v>0</v>
      </c>
      <c r="AZ86" s="36" t="s">
        <v>211</v>
      </c>
      <c r="BA86" s="36">
        <v>9045089536574</v>
      </c>
      <c r="BB86" s="36"/>
      <c r="BC86" s="36"/>
      <c r="BD86" s="36">
        <v>1</v>
      </c>
      <c r="BE86" s="36"/>
      <c r="BF86" s="36"/>
      <c r="BG86" s="36">
        <v>1333314600</v>
      </c>
      <c r="BH86" s="36" t="s">
        <v>213</v>
      </c>
      <c r="BI86" s="36">
        <v>8</v>
      </c>
      <c r="BJ86" s="36">
        <v>4</v>
      </c>
      <c r="BK86" s="36">
        <v>1300</v>
      </c>
      <c r="BL86" s="36" t="s">
        <v>214</v>
      </c>
      <c r="BM86" s="36"/>
      <c r="BN86" s="36"/>
    </row>
    <row r="87" spans="1:66" x14ac:dyDescent="0.35">
      <c r="A87" s="36"/>
      <c r="B87" s="36"/>
      <c r="C87" s="37" t="s">
        <v>8</v>
      </c>
      <c r="D87" s="37" t="s">
        <v>8</v>
      </c>
      <c r="E87" s="36"/>
      <c r="F87" s="36" t="s">
        <v>192</v>
      </c>
      <c r="G87" s="36" t="s">
        <v>1</v>
      </c>
      <c r="H87" s="36">
        <v>0</v>
      </c>
      <c r="I87" s="36" t="s">
        <v>193</v>
      </c>
      <c r="J87" s="36" t="s">
        <v>194</v>
      </c>
      <c r="K87" s="36" t="s">
        <v>195</v>
      </c>
      <c r="L87" s="36">
        <v>923</v>
      </c>
      <c r="M87" s="36"/>
      <c r="N87" s="36" t="s">
        <v>226</v>
      </c>
      <c r="O87" s="36" t="s">
        <v>227</v>
      </c>
      <c r="P87" s="36">
        <v>2</v>
      </c>
      <c r="Q87" s="36" t="s">
        <v>228</v>
      </c>
      <c r="R87" s="37">
        <v>244658</v>
      </c>
      <c r="S87" s="37" t="s">
        <v>8</v>
      </c>
      <c r="T87" s="36" t="s">
        <v>229</v>
      </c>
      <c r="U87" s="36">
        <v>23111029</v>
      </c>
      <c r="V87" s="36" t="s">
        <v>107</v>
      </c>
      <c r="W87" s="36">
        <v>4</v>
      </c>
      <c r="X87" s="36">
        <v>2</v>
      </c>
      <c r="Y87" s="36">
        <v>4</v>
      </c>
      <c r="Z87" s="36">
        <v>2</v>
      </c>
      <c r="AA87" s="36">
        <v>0</v>
      </c>
      <c r="AB87" s="36">
        <v>0</v>
      </c>
      <c r="AC87" s="36">
        <v>0</v>
      </c>
      <c r="AD87" s="36">
        <v>0</v>
      </c>
      <c r="AE87" s="36">
        <v>4</v>
      </c>
      <c r="AF87" s="36">
        <v>2</v>
      </c>
      <c r="AG87" s="36"/>
      <c r="AH87" s="36"/>
      <c r="AI87" s="36" t="s">
        <v>200</v>
      </c>
      <c r="AJ87" s="36" t="s">
        <v>201</v>
      </c>
      <c r="AK87" s="36" t="s">
        <v>202</v>
      </c>
      <c r="AL87" s="36" t="s">
        <v>225</v>
      </c>
      <c r="AM87" s="36" t="s">
        <v>204</v>
      </c>
      <c r="AN87" s="36" t="s">
        <v>222</v>
      </c>
      <c r="AO87" s="36" t="s">
        <v>206</v>
      </c>
      <c r="AP87" s="36">
        <v>2</v>
      </c>
      <c r="AQ87" s="36"/>
      <c r="AR87" s="36"/>
      <c r="AS87" s="36"/>
      <c r="AT87" s="36" t="s">
        <v>223</v>
      </c>
      <c r="AU87" s="36" t="s">
        <v>224</v>
      </c>
      <c r="AV87" s="36" t="s">
        <v>216</v>
      </c>
      <c r="AW87" s="36" t="s">
        <v>209</v>
      </c>
      <c r="AX87" s="36" t="s">
        <v>210</v>
      </c>
      <c r="AY87" s="36">
        <v>0</v>
      </c>
      <c r="AZ87" s="36" t="s">
        <v>211</v>
      </c>
      <c r="BA87" s="36">
        <v>9045089536574</v>
      </c>
      <c r="BB87" s="36"/>
      <c r="BC87" s="36"/>
      <c r="BD87" s="36">
        <v>1</v>
      </c>
      <c r="BE87" s="36"/>
      <c r="BF87" s="36"/>
      <c r="BG87" s="36">
        <v>1333314600</v>
      </c>
      <c r="BH87" s="36" t="s">
        <v>213</v>
      </c>
      <c r="BI87" s="36">
        <v>4</v>
      </c>
      <c r="BJ87" s="36">
        <v>2</v>
      </c>
      <c r="BK87" s="36">
        <v>1300</v>
      </c>
      <c r="BL87" s="36" t="s">
        <v>214</v>
      </c>
      <c r="BM87" s="36"/>
      <c r="BN87" s="36"/>
    </row>
    <row r="88" spans="1:66" x14ac:dyDescent="0.35">
      <c r="A88" s="36"/>
      <c r="B88" s="36"/>
      <c r="C88" s="37" t="s">
        <v>8</v>
      </c>
      <c r="D88" s="37" t="s">
        <v>8</v>
      </c>
      <c r="E88" s="36"/>
      <c r="F88" s="36" t="s">
        <v>192</v>
      </c>
      <c r="G88" s="36" t="s">
        <v>1</v>
      </c>
      <c r="H88" s="36">
        <v>0</v>
      </c>
      <c r="I88" s="36" t="s">
        <v>193</v>
      </c>
      <c r="J88" s="36" t="s">
        <v>194</v>
      </c>
      <c r="K88" s="36" t="s">
        <v>195</v>
      </c>
      <c r="L88" s="36">
        <v>923</v>
      </c>
      <c r="M88" s="36"/>
      <c r="N88" s="36" t="s">
        <v>226</v>
      </c>
      <c r="O88" s="36" t="s">
        <v>227</v>
      </c>
      <c r="P88" s="36">
        <v>2</v>
      </c>
      <c r="Q88" s="36" t="s">
        <v>228</v>
      </c>
      <c r="R88" s="37">
        <v>244658</v>
      </c>
      <c r="S88" s="37" t="s">
        <v>8</v>
      </c>
      <c r="T88" s="36" t="s">
        <v>229</v>
      </c>
      <c r="U88" s="36">
        <v>23097783</v>
      </c>
      <c r="V88" s="36" t="s">
        <v>58</v>
      </c>
      <c r="W88" s="36">
        <v>5</v>
      </c>
      <c r="X88" s="36">
        <v>5</v>
      </c>
      <c r="Y88" s="36">
        <v>5</v>
      </c>
      <c r="Z88" s="36">
        <v>5</v>
      </c>
      <c r="AA88" s="36">
        <v>0</v>
      </c>
      <c r="AB88" s="36">
        <v>0</v>
      </c>
      <c r="AC88" s="36">
        <v>0</v>
      </c>
      <c r="AD88" s="36">
        <v>0</v>
      </c>
      <c r="AE88" s="36">
        <v>5</v>
      </c>
      <c r="AF88" s="36">
        <v>5</v>
      </c>
      <c r="AG88" s="36"/>
      <c r="AH88" s="36"/>
      <c r="AI88" s="36" t="s">
        <v>200</v>
      </c>
      <c r="AJ88" s="36" t="s">
        <v>201</v>
      </c>
      <c r="AK88" s="36" t="s">
        <v>202</v>
      </c>
      <c r="AL88" s="36" t="s">
        <v>203</v>
      </c>
      <c r="AM88" s="36" t="s">
        <v>204</v>
      </c>
      <c r="AN88" s="36" t="s">
        <v>222</v>
      </c>
      <c r="AO88" s="36" t="s">
        <v>206</v>
      </c>
      <c r="AP88" s="36">
        <v>2</v>
      </c>
      <c r="AQ88" s="36"/>
      <c r="AR88" s="36"/>
      <c r="AS88" s="36"/>
      <c r="AT88" s="36" t="s">
        <v>223</v>
      </c>
      <c r="AU88" s="36" t="s">
        <v>224</v>
      </c>
      <c r="AV88" s="36" t="s">
        <v>216</v>
      </c>
      <c r="AW88" s="36" t="s">
        <v>209</v>
      </c>
      <c r="AX88" s="36" t="s">
        <v>210</v>
      </c>
      <c r="AY88" s="36">
        <v>0</v>
      </c>
      <c r="AZ88" s="36" t="s">
        <v>211</v>
      </c>
      <c r="BA88" s="36">
        <v>9045089536574</v>
      </c>
      <c r="BB88" s="36"/>
      <c r="BC88" s="36"/>
      <c r="BD88" s="36">
        <v>1</v>
      </c>
      <c r="BE88" s="36"/>
      <c r="BF88" s="36"/>
      <c r="BG88" s="36">
        <v>1333314600</v>
      </c>
      <c r="BH88" s="36" t="s">
        <v>213</v>
      </c>
      <c r="BI88" s="36">
        <v>5</v>
      </c>
      <c r="BJ88" s="36">
        <v>5</v>
      </c>
      <c r="BK88" s="36">
        <v>1300</v>
      </c>
      <c r="BL88" s="36" t="s">
        <v>214</v>
      </c>
      <c r="BM88" s="36"/>
      <c r="BN88" s="36"/>
    </row>
    <row r="89" spans="1:66" x14ac:dyDescent="0.35">
      <c r="A89" s="36"/>
      <c r="B89" s="36"/>
      <c r="C89" s="37" t="s">
        <v>8</v>
      </c>
      <c r="D89" s="37" t="s">
        <v>8</v>
      </c>
      <c r="E89" s="36"/>
      <c r="F89" s="36" t="s">
        <v>192</v>
      </c>
      <c r="G89" s="36" t="s">
        <v>1</v>
      </c>
      <c r="H89" s="36">
        <v>0</v>
      </c>
      <c r="I89" s="36" t="s">
        <v>193</v>
      </c>
      <c r="J89" s="36" t="s">
        <v>194</v>
      </c>
      <c r="K89" s="36" t="s">
        <v>195</v>
      </c>
      <c r="L89" s="36">
        <v>923</v>
      </c>
      <c r="M89" s="36"/>
      <c r="N89" s="36" t="s">
        <v>226</v>
      </c>
      <c r="O89" s="36" t="s">
        <v>227</v>
      </c>
      <c r="P89" s="36">
        <v>2</v>
      </c>
      <c r="Q89" s="36" t="s">
        <v>228</v>
      </c>
      <c r="R89" s="37">
        <v>244658</v>
      </c>
      <c r="S89" s="37" t="s">
        <v>8</v>
      </c>
      <c r="T89" s="36" t="s">
        <v>229</v>
      </c>
      <c r="U89" s="36">
        <v>23110587</v>
      </c>
      <c r="V89" s="36" t="s">
        <v>87</v>
      </c>
      <c r="W89" s="36">
        <v>4</v>
      </c>
      <c r="X89" s="36">
        <v>4</v>
      </c>
      <c r="Y89" s="36">
        <v>4</v>
      </c>
      <c r="Z89" s="36">
        <v>4</v>
      </c>
      <c r="AA89" s="36">
        <v>0</v>
      </c>
      <c r="AB89" s="36">
        <v>0</v>
      </c>
      <c r="AC89" s="36">
        <v>0</v>
      </c>
      <c r="AD89" s="36">
        <v>0</v>
      </c>
      <c r="AE89" s="36">
        <v>4</v>
      </c>
      <c r="AF89" s="36">
        <v>4</v>
      </c>
      <c r="AG89" s="36"/>
      <c r="AH89" s="36"/>
      <c r="AI89" s="36" t="s">
        <v>200</v>
      </c>
      <c r="AJ89" s="36" t="s">
        <v>201</v>
      </c>
      <c r="AK89" s="36" t="s">
        <v>202</v>
      </c>
      <c r="AL89" s="36" t="s">
        <v>225</v>
      </c>
      <c r="AM89" s="36" t="s">
        <v>204</v>
      </c>
      <c r="AN89" s="36" t="s">
        <v>222</v>
      </c>
      <c r="AO89" s="36" t="s">
        <v>206</v>
      </c>
      <c r="AP89" s="36">
        <v>2</v>
      </c>
      <c r="AQ89" s="36"/>
      <c r="AR89" s="36"/>
      <c r="AS89" s="36"/>
      <c r="AT89" s="36" t="s">
        <v>223</v>
      </c>
      <c r="AU89" s="36" t="s">
        <v>224</v>
      </c>
      <c r="AV89" s="36" t="s">
        <v>216</v>
      </c>
      <c r="AW89" s="36" t="s">
        <v>209</v>
      </c>
      <c r="AX89" s="36" t="s">
        <v>210</v>
      </c>
      <c r="AY89" s="36">
        <v>0</v>
      </c>
      <c r="AZ89" s="36" t="s">
        <v>211</v>
      </c>
      <c r="BA89" s="36">
        <v>9045089536574</v>
      </c>
      <c r="BB89" s="36"/>
      <c r="BC89" s="36"/>
      <c r="BD89" s="36">
        <v>1</v>
      </c>
      <c r="BE89" s="36"/>
      <c r="BF89" s="36"/>
      <c r="BG89" s="36">
        <v>1333314600</v>
      </c>
      <c r="BH89" s="36" t="s">
        <v>213</v>
      </c>
      <c r="BI89" s="36">
        <v>4</v>
      </c>
      <c r="BJ89" s="36">
        <v>4</v>
      </c>
      <c r="BK89" s="36">
        <v>1300</v>
      </c>
      <c r="BL89" s="36" t="s">
        <v>214</v>
      </c>
      <c r="BM89" s="36"/>
      <c r="BN89" s="36"/>
    </row>
    <row r="90" spans="1:66" x14ac:dyDescent="0.35">
      <c r="A90" s="36"/>
      <c r="B90" s="36"/>
      <c r="C90" s="37" t="s">
        <v>8</v>
      </c>
      <c r="D90" s="37" t="s">
        <v>8</v>
      </c>
      <c r="E90" s="36"/>
      <c r="F90" s="36" t="s">
        <v>192</v>
      </c>
      <c r="G90" s="36" t="s">
        <v>1</v>
      </c>
      <c r="H90" s="36">
        <v>0</v>
      </c>
      <c r="I90" s="36" t="s">
        <v>193</v>
      </c>
      <c r="J90" s="36" t="s">
        <v>194</v>
      </c>
      <c r="K90" s="36" t="s">
        <v>195</v>
      </c>
      <c r="L90" s="36">
        <v>923</v>
      </c>
      <c r="M90" s="36"/>
      <c r="N90" s="36" t="s">
        <v>226</v>
      </c>
      <c r="O90" s="36" t="s">
        <v>227</v>
      </c>
      <c r="P90" s="36">
        <v>2</v>
      </c>
      <c r="Q90" s="36" t="s">
        <v>228</v>
      </c>
      <c r="R90" s="37">
        <v>244658</v>
      </c>
      <c r="S90" s="37" t="s">
        <v>8</v>
      </c>
      <c r="T90" s="36" t="s">
        <v>229</v>
      </c>
      <c r="U90" s="36">
        <v>23097796</v>
      </c>
      <c r="V90" s="36" t="s">
        <v>67</v>
      </c>
      <c r="W90" s="36">
        <v>5</v>
      </c>
      <c r="X90" s="36">
        <v>5</v>
      </c>
      <c r="Y90" s="36">
        <v>5</v>
      </c>
      <c r="Z90" s="36">
        <v>5</v>
      </c>
      <c r="AA90" s="36">
        <v>0</v>
      </c>
      <c r="AB90" s="36">
        <v>0</v>
      </c>
      <c r="AC90" s="36">
        <v>0</v>
      </c>
      <c r="AD90" s="36">
        <v>0</v>
      </c>
      <c r="AE90" s="36">
        <v>5</v>
      </c>
      <c r="AF90" s="36">
        <v>5</v>
      </c>
      <c r="AG90" s="36"/>
      <c r="AH90" s="36"/>
      <c r="AI90" s="36" t="s">
        <v>200</v>
      </c>
      <c r="AJ90" s="36" t="s">
        <v>201</v>
      </c>
      <c r="AK90" s="36" t="s">
        <v>202</v>
      </c>
      <c r="AL90" s="36" t="s">
        <v>203</v>
      </c>
      <c r="AM90" s="36" t="s">
        <v>204</v>
      </c>
      <c r="AN90" s="36" t="s">
        <v>222</v>
      </c>
      <c r="AO90" s="36" t="s">
        <v>206</v>
      </c>
      <c r="AP90" s="36">
        <v>2</v>
      </c>
      <c r="AQ90" s="36"/>
      <c r="AR90" s="36"/>
      <c r="AS90" s="36"/>
      <c r="AT90" s="36" t="s">
        <v>223</v>
      </c>
      <c r="AU90" s="36" t="s">
        <v>224</v>
      </c>
      <c r="AV90" s="36" t="s">
        <v>216</v>
      </c>
      <c r="AW90" s="36" t="s">
        <v>209</v>
      </c>
      <c r="AX90" s="36" t="s">
        <v>210</v>
      </c>
      <c r="AY90" s="36">
        <v>0</v>
      </c>
      <c r="AZ90" s="36" t="s">
        <v>211</v>
      </c>
      <c r="BA90" s="36">
        <v>9045089536574</v>
      </c>
      <c r="BB90" s="36"/>
      <c r="BC90" s="36"/>
      <c r="BD90" s="36">
        <v>1</v>
      </c>
      <c r="BE90" s="36"/>
      <c r="BF90" s="36"/>
      <c r="BG90" s="36">
        <v>1333314600</v>
      </c>
      <c r="BH90" s="36" t="s">
        <v>213</v>
      </c>
      <c r="BI90" s="36">
        <v>5</v>
      </c>
      <c r="BJ90" s="36">
        <v>5</v>
      </c>
      <c r="BK90" s="36">
        <v>1300</v>
      </c>
      <c r="BL90" s="36" t="s">
        <v>214</v>
      </c>
      <c r="BM90" s="36"/>
      <c r="BN90" s="36"/>
    </row>
    <row r="91" spans="1:66" x14ac:dyDescent="0.35">
      <c r="A91" s="36"/>
      <c r="B91" s="36"/>
      <c r="C91" s="37" t="s">
        <v>8</v>
      </c>
      <c r="D91" s="37" t="s">
        <v>8</v>
      </c>
      <c r="E91" s="36"/>
      <c r="F91" s="36" t="s">
        <v>192</v>
      </c>
      <c r="G91" s="36" t="s">
        <v>1</v>
      </c>
      <c r="H91" s="36">
        <v>0</v>
      </c>
      <c r="I91" s="36" t="s">
        <v>193</v>
      </c>
      <c r="J91" s="36" t="s">
        <v>194</v>
      </c>
      <c r="K91" s="36" t="s">
        <v>195</v>
      </c>
      <c r="L91" s="36">
        <v>923</v>
      </c>
      <c r="M91" s="36"/>
      <c r="N91" s="36" t="s">
        <v>226</v>
      </c>
      <c r="O91" s="36" t="s">
        <v>227</v>
      </c>
      <c r="P91" s="36">
        <v>2</v>
      </c>
      <c r="Q91" s="36" t="s">
        <v>228</v>
      </c>
      <c r="R91" s="37">
        <v>244658</v>
      </c>
      <c r="S91" s="37" t="s">
        <v>8</v>
      </c>
      <c r="T91" s="36" t="s">
        <v>229</v>
      </c>
      <c r="U91" s="36">
        <v>23111033</v>
      </c>
      <c r="V91" s="36" t="s">
        <v>93</v>
      </c>
      <c r="W91" s="36">
        <v>12</v>
      </c>
      <c r="X91" s="36">
        <v>6</v>
      </c>
      <c r="Y91" s="36">
        <v>12</v>
      </c>
      <c r="Z91" s="36">
        <v>6</v>
      </c>
      <c r="AA91" s="36">
        <v>0</v>
      </c>
      <c r="AB91" s="36">
        <v>0</v>
      </c>
      <c r="AC91" s="36">
        <v>0</v>
      </c>
      <c r="AD91" s="36">
        <v>0</v>
      </c>
      <c r="AE91" s="36">
        <v>12</v>
      </c>
      <c r="AF91" s="36">
        <v>6</v>
      </c>
      <c r="AG91" s="36"/>
      <c r="AH91" s="36"/>
      <c r="AI91" s="36" t="s">
        <v>200</v>
      </c>
      <c r="AJ91" s="36" t="s">
        <v>201</v>
      </c>
      <c r="AK91" s="36" t="s">
        <v>202</v>
      </c>
      <c r="AL91" s="36" t="s">
        <v>225</v>
      </c>
      <c r="AM91" s="36" t="s">
        <v>204</v>
      </c>
      <c r="AN91" s="36" t="s">
        <v>222</v>
      </c>
      <c r="AO91" s="36" t="s">
        <v>206</v>
      </c>
      <c r="AP91" s="36">
        <v>2</v>
      </c>
      <c r="AQ91" s="36"/>
      <c r="AR91" s="36"/>
      <c r="AS91" s="36"/>
      <c r="AT91" s="36" t="s">
        <v>223</v>
      </c>
      <c r="AU91" s="36" t="s">
        <v>224</v>
      </c>
      <c r="AV91" s="36" t="s">
        <v>216</v>
      </c>
      <c r="AW91" s="36" t="s">
        <v>209</v>
      </c>
      <c r="AX91" s="36" t="s">
        <v>210</v>
      </c>
      <c r="AY91" s="36">
        <v>0</v>
      </c>
      <c r="AZ91" s="36" t="s">
        <v>211</v>
      </c>
      <c r="BA91" s="36">
        <v>9045089536574</v>
      </c>
      <c r="BB91" s="36"/>
      <c r="BC91" s="36"/>
      <c r="BD91" s="36">
        <v>1</v>
      </c>
      <c r="BE91" s="36"/>
      <c r="BF91" s="36"/>
      <c r="BG91" s="36">
        <v>1333314600</v>
      </c>
      <c r="BH91" s="36" t="s">
        <v>213</v>
      </c>
      <c r="BI91" s="36">
        <v>12</v>
      </c>
      <c r="BJ91" s="36">
        <v>6</v>
      </c>
      <c r="BK91" s="36">
        <v>1300</v>
      </c>
      <c r="BL91" s="36" t="s">
        <v>214</v>
      </c>
      <c r="BM91" s="36"/>
      <c r="BN91" s="36"/>
    </row>
    <row r="92" spans="1:66" x14ac:dyDescent="0.35">
      <c r="A92" s="36"/>
      <c r="B92" s="36"/>
      <c r="C92" s="37" t="s">
        <v>8</v>
      </c>
      <c r="D92" s="37" t="s">
        <v>8</v>
      </c>
      <c r="E92" s="36"/>
      <c r="F92" s="36" t="s">
        <v>192</v>
      </c>
      <c r="G92" s="36" t="s">
        <v>1</v>
      </c>
      <c r="H92" s="36">
        <v>0</v>
      </c>
      <c r="I92" s="36" t="s">
        <v>193</v>
      </c>
      <c r="J92" s="36" t="s">
        <v>194</v>
      </c>
      <c r="K92" s="36" t="s">
        <v>195</v>
      </c>
      <c r="L92" s="36">
        <v>923</v>
      </c>
      <c r="M92" s="36"/>
      <c r="N92" s="36" t="s">
        <v>226</v>
      </c>
      <c r="O92" s="36" t="s">
        <v>227</v>
      </c>
      <c r="P92" s="36">
        <v>2</v>
      </c>
      <c r="Q92" s="36" t="s">
        <v>228</v>
      </c>
      <c r="R92" s="37">
        <v>244658</v>
      </c>
      <c r="S92" s="37" t="s">
        <v>8</v>
      </c>
      <c r="T92" s="36" t="s">
        <v>229</v>
      </c>
      <c r="U92" s="36">
        <v>23110590</v>
      </c>
      <c r="V92" s="36" t="s">
        <v>88</v>
      </c>
      <c r="W92" s="36">
        <v>4</v>
      </c>
      <c r="X92" s="36">
        <v>4</v>
      </c>
      <c r="Y92" s="36">
        <v>4</v>
      </c>
      <c r="Z92" s="36">
        <v>4</v>
      </c>
      <c r="AA92" s="36">
        <v>0</v>
      </c>
      <c r="AB92" s="36">
        <v>0</v>
      </c>
      <c r="AC92" s="36">
        <v>0</v>
      </c>
      <c r="AD92" s="36">
        <v>0</v>
      </c>
      <c r="AE92" s="36">
        <v>4</v>
      </c>
      <c r="AF92" s="36">
        <v>4</v>
      </c>
      <c r="AG92" s="36"/>
      <c r="AH92" s="36"/>
      <c r="AI92" s="36" t="s">
        <v>200</v>
      </c>
      <c r="AJ92" s="36" t="s">
        <v>201</v>
      </c>
      <c r="AK92" s="36" t="s">
        <v>202</v>
      </c>
      <c r="AL92" s="36" t="s">
        <v>225</v>
      </c>
      <c r="AM92" s="36" t="s">
        <v>204</v>
      </c>
      <c r="AN92" s="36" t="s">
        <v>222</v>
      </c>
      <c r="AO92" s="36" t="s">
        <v>206</v>
      </c>
      <c r="AP92" s="36">
        <v>2</v>
      </c>
      <c r="AQ92" s="36"/>
      <c r="AR92" s="36"/>
      <c r="AS92" s="36"/>
      <c r="AT92" s="36" t="s">
        <v>223</v>
      </c>
      <c r="AU92" s="36" t="s">
        <v>224</v>
      </c>
      <c r="AV92" s="36" t="s">
        <v>216</v>
      </c>
      <c r="AW92" s="36" t="s">
        <v>209</v>
      </c>
      <c r="AX92" s="36" t="s">
        <v>210</v>
      </c>
      <c r="AY92" s="36">
        <v>0</v>
      </c>
      <c r="AZ92" s="36" t="s">
        <v>211</v>
      </c>
      <c r="BA92" s="36">
        <v>9045089536574</v>
      </c>
      <c r="BB92" s="36"/>
      <c r="BC92" s="36"/>
      <c r="BD92" s="36">
        <v>1</v>
      </c>
      <c r="BE92" s="36"/>
      <c r="BF92" s="36"/>
      <c r="BG92" s="36">
        <v>1333314600</v>
      </c>
      <c r="BH92" s="36" t="s">
        <v>213</v>
      </c>
      <c r="BI92" s="36">
        <v>4</v>
      </c>
      <c r="BJ92" s="36">
        <v>4</v>
      </c>
      <c r="BK92" s="36">
        <v>1300</v>
      </c>
      <c r="BL92" s="36" t="s">
        <v>214</v>
      </c>
      <c r="BM92" s="36"/>
      <c r="BN92" s="36"/>
    </row>
    <row r="93" spans="1:66" x14ac:dyDescent="0.35">
      <c r="A93" s="36"/>
      <c r="B93" s="36"/>
      <c r="C93" s="37" t="s">
        <v>8</v>
      </c>
      <c r="D93" s="37" t="s">
        <v>8</v>
      </c>
      <c r="E93" s="36"/>
      <c r="F93" s="36" t="s">
        <v>192</v>
      </c>
      <c r="G93" s="36" t="s">
        <v>1</v>
      </c>
      <c r="H93" s="36">
        <v>0</v>
      </c>
      <c r="I93" s="36" t="s">
        <v>193</v>
      </c>
      <c r="J93" s="36" t="s">
        <v>194</v>
      </c>
      <c r="K93" s="36" t="s">
        <v>195</v>
      </c>
      <c r="L93" s="36">
        <v>923</v>
      </c>
      <c r="M93" s="36"/>
      <c r="N93" s="36" t="s">
        <v>226</v>
      </c>
      <c r="O93" s="36" t="s">
        <v>227</v>
      </c>
      <c r="P93" s="36">
        <v>2</v>
      </c>
      <c r="Q93" s="36" t="s">
        <v>228</v>
      </c>
      <c r="R93" s="37">
        <v>244658</v>
      </c>
      <c r="S93" s="37" t="s">
        <v>8</v>
      </c>
      <c r="T93" s="36" t="s">
        <v>229</v>
      </c>
      <c r="U93" s="36">
        <v>23110631</v>
      </c>
      <c r="V93" s="36" t="s">
        <v>118</v>
      </c>
      <c r="W93" s="36">
        <v>4</v>
      </c>
      <c r="X93" s="36">
        <v>6</v>
      </c>
      <c r="Y93" s="36">
        <v>4</v>
      </c>
      <c r="Z93" s="36">
        <v>6</v>
      </c>
      <c r="AA93" s="36">
        <v>0</v>
      </c>
      <c r="AB93" s="36">
        <v>0</v>
      </c>
      <c r="AC93" s="36">
        <v>0</v>
      </c>
      <c r="AD93" s="36">
        <v>0</v>
      </c>
      <c r="AE93" s="36">
        <v>4</v>
      </c>
      <c r="AF93" s="36">
        <v>6</v>
      </c>
      <c r="AG93" s="36"/>
      <c r="AH93" s="36"/>
      <c r="AI93" s="36" t="s">
        <v>200</v>
      </c>
      <c r="AJ93" s="36" t="s">
        <v>201</v>
      </c>
      <c r="AK93" s="36" t="s">
        <v>202</v>
      </c>
      <c r="AL93" s="36" t="s">
        <v>225</v>
      </c>
      <c r="AM93" s="36" t="s">
        <v>204</v>
      </c>
      <c r="AN93" s="36" t="s">
        <v>222</v>
      </c>
      <c r="AO93" s="36" t="s">
        <v>206</v>
      </c>
      <c r="AP93" s="36">
        <v>2</v>
      </c>
      <c r="AQ93" s="36"/>
      <c r="AR93" s="36"/>
      <c r="AS93" s="36"/>
      <c r="AT93" s="36" t="s">
        <v>223</v>
      </c>
      <c r="AU93" s="36" t="s">
        <v>224</v>
      </c>
      <c r="AV93" s="36" t="s">
        <v>216</v>
      </c>
      <c r="AW93" s="36" t="s">
        <v>209</v>
      </c>
      <c r="AX93" s="36" t="s">
        <v>210</v>
      </c>
      <c r="AY93" s="36">
        <v>0</v>
      </c>
      <c r="AZ93" s="36" t="s">
        <v>211</v>
      </c>
      <c r="BA93" s="36">
        <v>9045089536574</v>
      </c>
      <c r="BB93" s="36"/>
      <c r="BC93" s="36"/>
      <c r="BD93" s="36">
        <v>1</v>
      </c>
      <c r="BE93" s="36"/>
      <c r="BF93" s="36"/>
      <c r="BG93" s="36">
        <v>1333314600</v>
      </c>
      <c r="BH93" s="36" t="s">
        <v>213</v>
      </c>
      <c r="BI93" s="36">
        <v>4</v>
      </c>
      <c r="BJ93" s="36">
        <v>6</v>
      </c>
      <c r="BK93" s="36">
        <v>1300</v>
      </c>
      <c r="BL93" s="36" t="s">
        <v>214</v>
      </c>
      <c r="BM93" s="36"/>
      <c r="BN93" s="36"/>
    </row>
    <row r="94" spans="1:66" x14ac:dyDescent="0.35">
      <c r="A94" s="36"/>
      <c r="B94" s="36"/>
      <c r="C94" s="37" t="s">
        <v>8</v>
      </c>
      <c r="D94" s="37" t="s">
        <v>8</v>
      </c>
      <c r="E94" s="36"/>
      <c r="F94" s="36" t="s">
        <v>192</v>
      </c>
      <c r="G94" s="36" t="s">
        <v>1</v>
      </c>
      <c r="H94" s="36">
        <v>0</v>
      </c>
      <c r="I94" s="36" t="s">
        <v>193</v>
      </c>
      <c r="J94" s="36" t="s">
        <v>194</v>
      </c>
      <c r="K94" s="36" t="s">
        <v>195</v>
      </c>
      <c r="L94" s="36">
        <v>923</v>
      </c>
      <c r="M94" s="36"/>
      <c r="N94" s="36" t="s">
        <v>226</v>
      </c>
      <c r="O94" s="36" t="s">
        <v>227</v>
      </c>
      <c r="P94" s="36">
        <v>2</v>
      </c>
      <c r="Q94" s="36" t="s">
        <v>228</v>
      </c>
      <c r="R94" s="37">
        <v>244658</v>
      </c>
      <c r="S94" s="37" t="s">
        <v>8</v>
      </c>
      <c r="T94" s="36" t="s">
        <v>229</v>
      </c>
      <c r="U94" s="36">
        <v>23097792</v>
      </c>
      <c r="V94" s="36" t="s">
        <v>65</v>
      </c>
      <c r="W94" s="36">
        <v>3</v>
      </c>
      <c r="X94" s="36">
        <v>3</v>
      </c>
      <c r="Y94" s="36">
        <v>3</v>
      </c>
      <c r="Z94" s="36">
        <v>3</v>
      </c>
      <c r="AA94" s="36">
        <v>0</v>
      </c>
      <c r="AB94" s="36">
        <v>0</v>
      </c>
      <c r="AC94" s="36">
        <v>0</v>
      </c>
      <c r="AD94" s="36">
        <v>0</v>
      </c>
      <c r="AE94" s="36">
        <v>3</v>
      </c>
      <c r="AF94" s="36">
        <v>3</v>
      </c>
      <c r="AG94" s="36"/>
      <c r="AH94" s="36"/>
      <c r="AI94" s="36" t="s">
        <v>200</v>
      </c>
      <c r="AJ94" s="36" t="s">
        <v>201</v>
      </c>
      <c r="AK94" s="36" t="s">
        <v>202</v>
      </c>
      <c r="AL94" s="36" t="s">
        <v>203</v>
      </c>
      <c r="AM94" s="36" t="s">
        <v>204</v>
      </c>
      <c r="AN94" s="36" t="s">
        <v>222</v>
      </c>
      <c r="AO94" s="36" t="s">
        <v>206</v>
      </c>
      <c r="AP94" s="36">
        <v>2</v>
      </c>
      <c r="AQ94" s="36"/>
      <c r="AR94" s="36"/>
      <c r="AS94" s="36"/>
      <c r="AT94" s="36" t="s">
        <v>223</v>
      </c>
      <c r="AU94" s="36" t="s">
        <v>224</v>
      </c>
      <c r="AV94" s="36" t="s">
        <v>216</v>
      </c>
      <c r="AW94" s="36" t="s">
        <v>209</v>
      </c>
      <c r="AX94" s="36" t="s">
        <v>210</v>
      </c>
      <c r="AY94" s="36">
        <v>0</v>
      </c>
      <c r="AZ94" s="36" t="s">
        <v>211</v>
      </c>
      <c r="BA94" s="36">
        <v>9045089536574</v>
      </c>
      <c r="BB94" s="36"/>
      <c r="BC94" s="36"/>
      <c r="BD94" s="36">
        <v>1</v>
      </c>
      <c r="BE94" s="36"/>
      <c r="BF94" s="36"/>
      <c r="BG94" s="36">
        <v>1333314600</v>
      </c>
      <c r="BH94" s="36" t="s">
        <v>213</v>
      </c>
      <c r="BI94" s="36">
        <v>3</v>
      </c>
      <c r="BJ94" s="36">
        <v>3</v>
      </c>
      <c r="BK94" s="36">
        <v>1300</v>
      </c>
      <c r="BL94" s="36" t="s">
        <v>214</v>
      </c>
      <c r="BM94" s="36"/>
      <c r="BN94" s="36"/>
    </row>
    <row r="95" spans="1:66" x14ac:dyDescent="0.35">
      <c r="A95" s="36"/>
      <c r="B95" s="36"/>
      <c r="C95" s="37" t="s">
        <v>8</v>
      </c>
      <c r="D95" s="37" t="s">
        <v>8</v>
      </c>
      <c r="E95" s="36"/>
      <c r="F95" s="36" t="s">
        <v>192</v>
      </c>
      <c r="G95" s="36" t="s">
        <v>1</v>
      </c>
      <c r="H95" s="36">
        <v>0</v>
      </c>
      <c r="I95" s="36" t="s">
        <v>193</v>
      </c>
      <c r="J95" s="36" t="s">
        <v>194</v>
      </c>
      <c r="K95" s="36" t="s">
        <v>195</v>
      </c>
      <c r="L95" s="36">
        <v>923</v>
      </c>
      <c r="M95" s="36"/>
      <c r="N95" s="36" t="s">
        <v>226</v>
      </c>
      <c r="O95" s="36" t="s">
        <v>227</v>
      </c>
      <c r="P95" s="36">
        <v>2</v>
      </c>
      <c r="Q95" s="36" t="s">
        <v>228</v>
      </c>
      <c r="R95" s="37">
        <v>244658</v>
      </c>
      <c r="S95" s="37" t="s">
        <v>8</v>
      </c>
      <c r="T95" s="36" t="s">
        <v>229</v>
      </c>
      <c r="U95" s="36">
        <v>23111034</v>
      </c>
      <c r="V95" s="36" t="s">
        <v>94</v>
      </c>
      <c r="W95" s="36">
        <v>8</v>
      </c>
      <c r="X95" s="36">
        <v>4</v>
      </c>
      <c r="Y95" s="36">
        <v>8</v>
      </c>
      <c r="Z95" s="36">
        <v>4</v>
      </c>
      <c r="AA95" s="36">
        <v>0</v>
      </c>
      <c r="AB95" s="36">
        <v>0</v>
      </c>
      <c r="AC95" s="36">
        <v>0</v>
      </c>
      <c r="AD95" s="36">
        <v>0</v>
      </c>
      <c r="AE95" s="36">
        <v>8</v>
      </c>
      <c r="AF95" s="36">
        <v>4</v>
      </c>
      <c r="AG95" s="36"/>
      <c r="AH95" s="36"/>
      <c r="AI95" s="36" t="s">
        <v>200</v>
      </c>
      <c r="AJ95" s="36" t="s">
        <v>201</v>
      </c>
      <c r="AK95" s="36" t="s">
        <v>202</v>
      </c>
      <c r="AL95" s="36" t="s">
        <v>225</v>
      </c>
      <c r="AM95" s="36" t="s">
        <v>204</v>
      </c>
      <c r="AN95" s="36" t="s">
        <v>222</v>
      </c>
      <c r="AO95" s="36" t="s">
        <v>206</v>
      </c>
      <c r="AP95" s="36">
        <v>2</v>
      </c>
      <c r="AQ95" s="36"/>
      <c r="AR95" s="36"/>
      <c r="AS95" s="36"/>
      <c r="AT95" s="36" t="s">
        <v>223</v>
      </c>
      <c r="AU95" s="36" t="s">
        <v>224</v>
      </c>
      <c r="AV95" s="36" t="s">
        <v>216</v>
      </c>
      <c r="AW95" s="36" t="s">
        <v>209</v>
      </c>
      <c r="AX95" s="36" t="s">
        <v>210</v>
      </c>
      <c r="AY95" s="36">
        <v>0</v>
      </c>
      <c r="AZ95" s="36" t="s">
        <v>211</v>
      </c>
      <c r="BA95" s="36">
        <v>9045089536574</v>
      </c>
      <c r="BB95" s="36"/>
      <c r="BC95" s="36"/>
      <c r="BD95" s="36">
        <v>1</v>
      </c>
      <c r="BE95" s="36"/>
      <c r="BF95" s="36"/>
      <c r="BG95" s="36">
        <v>1333314600</v>
      </c>
      <c r="BH95" s="36" t="s">
        <v>213</v>
      </c>
      <c r="BI95" s="36">
        <v>8</v>
      </c>
      <c r="BJ95" s="36">
        <v>4</v>
      </c>
      <c r="BK95" s="36">
        <v>1300</v>
      </c>
      <c r="BL95" s="36" t="s">
        <v>214</v>
      </c>
      <c r="BM95" s="36"/>
      <c r="BN95" s="36"/>
    </row>
    <row r="96" spans="1:66" x14ac:dyDescent="0.35">
      <c r="A96" s="36"/>
      <c r="B96" s="36"/>
      <c r="C96" s="37" t="s">
        <v>8</v>
      </c>
      <c r="D96" s="37" t="s">
        <v>8</v>
      </c>
      <c r="E96" s="36"/>
      <c r="F96" s="36" t="s">
        <v>192</v>
      </c>
      <c r="G96" s="36" t="s">
        <v>1</v>
      </c>
      <c r="H96" s="36">
        <v>0</v>
      </c>
      <c r="I96" s="36" t="s">
        <v>193</v>
      </c>
      <c r="J96" s="36" t="s">
        <v>194</v>
      </c>
      <c r="K96" s="36" t="s">
        <v>195</v>
      </c>
      <c r="L96" s="36">
        <v>923</v>
      </c>
      <c r="M96" s="36"/>
      <c r="N96" s="36" t="s">
        <v>226</v>
      </c>
      <c r="O96" s="36" t="s">
        <v>227</v>
      </c>
      <c r="P96" s="36">
        <v>2</v>
      </c>
      <c r="Q96" s="36" t="s">
        <v>228</v>
      </c>
      <c r="R96" s="37">
        <v>244658</v>
      </c>
      <c r="S96" s="37" t="s">
        <v>8</v>
      </c>
      <c r="T96" s="36" t="s">
        <v>229</v>
      </c>
      <c r="U96" s="36">
        <v>23110589</v>
      </c>
      <c r="V96" s="36" t="s">
        <v>99</v>
      </c>
      <c r="W96" s="36">
        <v>4</v>
      </c>
      <c r="X96" s="36">
        <v>4</v>
      </c>
      <c r="Y96" s="36">
        <v>4</v>
      </c>
      <c r="Z96" s="36">
        <v>4</v>
      </c>
      <c r="AA96" s="36">
        <v>0</v>
      </c>
      <c r="AB96" s="36">
        <v>0</v>
      </c>
      <c r="AC96" s="36">
        <v>0</v>
      </c>
      <c r="AD96" s="36">
        <v>0</v>
      </c>
      <c r="AE96" s="36">
        <v>4</v>
      </c>
      <c r="AF96" s="36">
        <v>4</v>
      </c>
      <c r="AG96" s="36"/>
      <c r="AH96" s="36"/>
      <c r="AI96" s="36" t="s">
        <v>200</v>
      </c>
      <c r="AJ96" s="36" t="s">
        <v>201</v>
      </c>
      <c r="AK96" s="36" t="s">
        <v>202</v>
      </c>
      <c r="AL96" s="36" t="s">
        <v>225</v>
      </c>
      <c r="AM96" s="36" t="s">
        <v>204</v>
      </c>
      <c r="AN96" s="36" t="s">
        <v>222</v>
      </c>
      <c r="AO96" s="36" t="s">
        <v>206</v>
      </c>
      <c r="AP96" s="36">
        <v>2</v>
      </c>
      <c r="AQ96" s="36"/>
      <c r="AR96" s="36"/>
      <c r="AS96" s="36"/>
      <c r="AT96" s="36" t="s">
        <v>223</v>
      </c>
      <c r="AU96" s="36" t="s">
        <v>224</v>
      </c>
      <c r="AV96" s="36" t="s">
        <v>216</v>
      </c>
      <c r="AW96" s="36" t="s">
        <v>209</v>
      </c>
      <c r="AX96" s="36" t="s">
        <v>210</v>
      </c>
      <c r="AY96" s="36">
        <v>0</v>
      </c>
      <c r="AZ96" s="36" t="s">
        <v>211</v>
      </c>
      <c r="BA96" s="36">
        <v>9045089536574</v>
      </c>
      <c r="BB96" s="36"/>
      <c r="BC96" s="36"/>
      <c r="BD96" s="36">
        <v>1</v>
      </c>
      <c r="BE96" s="36"/>
      <c r="BF96" s="36"/>
      <c r="BG96" s="36">
        <v>1333314600</v>
      </c>
      <c r="BH96" s="36" t="s">
        <v>213</v>
      </c>
      <c r="BI96" s="36">
        <v>4</v>
      </c>
      <c r="BJ96" s="36">
        <v>4</v>
      </c>
      <c r="BK96" s="36">
        <v>1300</v>
      </c>
      <c r="BL96" s="36" t="s">
        <v>214</v>
      </c>
      <c r="BM96" s="36"/>
      <c r="BN96" s="36"/>
    </row>
    <row r="97" spans="1:66" x14ac:dyDescent="0.35">
      <c r="A97" s="36"/>
      <c r="B97" s="36"/>
      <c r="C97" s="37" t="s">
        <v>8</v>
      </c>
      <c r="D97" s="37" t="s">
        <v>8</v>
      </c>
      <c r="E97" s="36"/>
      <c r="F97" s="36" t="s">
        <v>192</v>
      </c>
      <c r="G97" s="36" t="s">
        <v>1</v>
      </c>
      <c r="H97" s="36">
        <v>0</v>
      </c>
      <c r="I97" s="36" t="s">
        <v>193</v>
      </c>
      <c r="J97" s="36" t="s">
        <v>194</v>
      </c>
      <c r="K97" s="36" t="s">
        <v>195</v>
      </c>
      <c r="L97" s="36">
        <v>923</v>
      </c>
      <c r="M97" s="36"/>
      <c r="N97" s="36" t="s">
        <v>226</v>
      </c>
      <c r="O97" s="36" t="s">
        <v>227</v>
      </c>
      <c r="P97" s="36">
        <v>2</v>
      </c>
      <c r="Q97" s="36" t="s">
        <v>228</v>
      </c>
      <c r="R97" s="37">
        <v>244658</v>
      </c>
      <c r="S97" s="37" t="s">
        <v>8</v>
      </c>
      <c r="T97" s="36" t="s">
        <v>229</v>
      </c>
      <c r="U97" s="36">
        <v>23110623</v>
      </c>
      <c r="V97" s="36" t="s">
        <v>124</v>
      </c>
      <c r="W97" s="36">
        <v>4</v>
      </c>
      <c r="X97" s="36">
        <v>2</v>
      </c>
      <c r="Y97" s="36">
        <v>4</v>
      </c>
      <c r="Z97" s="36">
        <v>2</v>
      </c>
      <c r="AA97" s="36">
        <v>0</v>
      </c>
      <c r="AB97" s="36">
        <v>0</v>
      </c>
      <c r="AC97" s="36">
        <v>0</v>
      </c>
      <c r="AD97" s="36">
        <v>0</v>
      </c>
      <c r="AE97" s="36">
        <v>4</v>
      </c>
      <c r="AF97" s="36">
        <v>2</v>
      </c>
      <c r="AG97" s="36"/>
      <c r="AH97" s="36"/>
      <c r="AI97" s="36" t="s">
        <v>200</v>
      </c>
      <c r="AJ97" s="36" t="s">
        <v>201</v>
      </c>
      <c r="AK97" s="36" t="s">
        <v>215</v>
      </c>
      <c r="AL97" s="36" t="s">
        <v>225</v>
      </c>
      <c r="AM97" s="36" t="s">
        <v>204</v>
      </c>
      <c r="AN97" s="36" t="s">
        <v>222</v>
      </c>
      <c r="AO97" s="36" t="s">
        <v>206</v>
      </c>
      <c r="AP97" s="36">
        <v>2</v>
      </c>
      <c r="AQ97" s="36"/>
      <c r="AR97" s="36"/>
      <c r="AS97" s="36"/>
      <c r="AT97" s="36" t="s">
        <v>223</v>
      </c>
      <c r="AU97" s="36" t="s">
        <v>224</v>
      </c>
      <c r="AV97" s="36" t="s">
        <v>216</v>
      </c>
      <c r="AW97" s="36" t="s">
        <v>209</v>
      </c>
      <c r="AX97" s="36" t="s">
        <v>210</v>
      </c>
      <c r="AY97" s="36">
        <v>0</v>
      </c>
      <c r="AZ97" s="36" t="s">
        <v>211</v>
      </c>
      <c r="BA97" s="36">
        <v>9045089536574</v>
      </c>
      <c r="BB97" s="36"/>
      <c r="BC97" s="36"/>
      <c r="BD97" s="36">
        <v>1</v>
      </c>
      <c r="BE97" s="36"/>
      <c r="BF97" s="36"/>
      <c r="BG97" s="36">
        <v>1333314600</v>
      </c>
      <c r="BH97" s="36" t="s">
        <v>213</v>
      </c>
      <c r="BI97" s="36">
        <v>4</v>
      </c>
      <c r="BJ97" s="36">
        <v>2</v>
      </c>
      <c r="BK97" s="36">
        <v>1300</v>
      </c>
      <c r="BL97" s="36" t="s">
        <v>214</v>
      </c>
      <c r="BM97" s="36"/>
      <c r="BN97" s="36"/>
    </row>
    <row r="98" spans="1:66" x14ac:dyDescent="0.35">
      <c r="A98" s="36"/>
      <c r="B98" s="36"/>
      <c r="C98" s="37" t="s">
        <v>8</v>
      </c>
      <c r="D98" s="37" t="s">
        <v>8</v>
      </c>
      <c r="E98" s="36"/>
      <c r="F98" s="36" t="s">
        <v>192</v>
      </c>
      <c r="G98" s="36" t="s">
        <v>1</v>
      </c>
      <c r="H98" s="36">
        <v>0</v>
      </c>
      <c r="I98" s="36" t="s">
        <v>193</v>
      </c>
      <c r="J98" s="36" t="s">
        <v>194</v>
      </c>
      <c r="K98" s="36" t="s">
        <v>195</v>
      </c>
      <c r="L98" s="36">
        <v>923</v>
      </c>
      <c r="M98" s="36"/>
      <c r="N98" s="36" t="s">
        <v>230</v>
      </c>
      <c r="O98" s="36" t="s">
        <v>231</v>
      </c>
      <c r="P98" s="36">
        <v>2</v>
      </c>
      <c r="Q98" s="36" t="s">
        <v>232</v>
      </c>
      <c r="R98" s="37">
        <v>244658</v>
      </c>
      <c r="S98" s="37" t="s">
        <v>8</v>
      </c>
      <c r="T98" s="36" t="s">
        <v>233</v>
      </c>
      <c r="U98" s="36">
        <v>23065141</v>
      </c>
      <c r="V98" s="36" t="s">
        <v>41</v>
      </c>
      <c r="W98" s="36">
        <v>30</v>
      </c>
      <c r="X98" s="36">
        <v>30</v>
      </c>
      <c r="Y98" s="36">
        <v>30</v>
      </c>
      <c r="Z98" s="36">
        <v>30</v>
      </c>
      <c r="AA98" s="36">
        <v>0</v>
      </c>
      <c r="AB98" s="36">
        <v>0</v>
      </c>
      <c r="AC98" s="36">
        <v>0</v>
      </c>
      <c r="AD98" s="36">
        <v>0</v>
      </c>
      <c r="AE98" s="36">
        <v>30</v>
      </c>
      <c r="AF98" s="36">
        <v>30</v>
      </c>
      <c r="AG98" s="36"/>
      <c r="AH98" s="36"/>
      <c r="AI98" s="36" t="s">
        <v>200</v>
      </c>
      <c r="AJ98" s="36" t="s">
        <v>201</v>
      </c>
      <c r="AK98" s="36" t="s">
        <v>202</v>
      </c>
      <c r="AL98" s="36" t="s">
        <v>203</v>
      </c>
      <c r="AM98" s="36" t="s">
        <v>204</v>
      </c>
      <c r="AN98" s="36" t="s">
        <v>222</v>
      </c>
      <c r="AO98" s="36" t="s">
        <v>206</v>
      </c>
      <c r="AP98" s="36">
        <v>2</v>
      </c>
      <c r="AQ98" s="36"/>
      <c r="AR98" s="36"/>
      <c r="AS98" s="36"/>
      <c r="AT98" s="36" t="s">
        <v>207</v>
      </c>
      <c r="AU98" s="36" t="s">
        <v>234</v>
      </c>
      <c r="AV98" s="36" t="s">
        <v>209</v>
      </c>
      <c r="AW98" s="36" t="s">
        <v>209</v>
      </c>
      <c r="AX98" s="36" t="s">
        <v>210</v>
      </c>
      <c r="AY98" s="36">
        <v>0</v>
      </c>
      <c r="AZ98" s="36" t="s">
        <v>211</v>
      </c>
      <c r="BA98" s="36">
        <v>9044989536402</v>
      </c>
      <c r="BB98" s="36"/>
      <c r="BC98" s="36"/>
      <c r="BD98" s="36">
        <v>1</v>
      </c>
      <c r="BE98" s="36"/>
      <c r="BF98" s="36" t="s">
        <v>212</v>
      </c>
      <c r="BG98" s="36">
        <v>1333314600</v>
      </c>
      <c r="BH98" s="36" t="s">
        <v>213</v>
      </c>
      <c r="BI98" s="36">
        <v>30</v>
      </c>
      <c r="BJ98" s="36">
        <v>30</v>
      </c>
      <c r="BK98" s="36">
        <v>1300</v>
      </c>
      <c r="BL98" s="36" t="s">
        <v>214</v>
      </c>
      <c r="BM98" s="36"/>
      <c r="BN98" s="36"/>
    </row>
    <row r="99" spans="1:66" x14ac:dyDescent="0.35">
      <c r="A99" s="36"/>
      <c r="B99" s="36"/>
      <c r="C99" s="37" t="s">
        <v>8</v>
      </c>
      <c r="D99" s="37" t="s">
        <v>8</v>
      </c>
      <c r="E99" s="36"/>
      <c r="F99" s="36" t="s">
        <v>192</v>
      </c>
      <c r="G99" s="36" t="s">
        <v>1</v>
      </c>
      <c r="H99" s="36">
        <v>0</v>
      </c>
      <c r="I99" s="36" t="s">
        <v>193</v>
      </c>
      <c r="J99" s="36" t="s">
        <v>194</v>
      </c>
      <c r="K99" s="36" t="s">
        <v>195</v>
      </c>
      <c r="L99" s="36">
        <v>923</v>
      </c>
      <c r="M99" s="36"/>
      <c r="N99" s="36" t="s">
        <v>230</v>
      </c>
      <c r="O99" s="36" t="s">
        <v>231</v>
      </c>
      <c r="P99" s="36">
        <v>2</v>
      </c>
      <c r="Q99" s="36" t="s">
        <v>232</v>
      </c>
      <c r="R99" s="37">
        <v>244658</v>
      </c>
      <c r="S99" s="37" t="s">
        <v>8</v>
      </c>
      <c r="T99" s="36" t="s">
        <v>233</v>
      </c>
      <c r="U99" s="36">
        <v>23065143</v>
      </c>
      <c r="V99" s="36" t="s">
        <v>43</v>
      </c>
      <c r="W99" s="36">
        <v>180</v>
      </c>
      <c r="X99" s="36">
        <v>180</v>
      </c>
      <c r="Y99" s="36">
        <v>180</v>
      </c>
      <c r="Z99" s="36">
        <v>180</v>
      </c>
      <c r="AA99" s="36">
        <v>0</v>
      </c>
      <c r="AB99" s="36">
        <v>0</v>
      </c>
      <c r="AC99" s="36">
        <v>0</v>
      </c>
      <c r="AD99" s="36">
        <v>0</v>
      </c>
      <c r="AE99" s="36">
        <v>180</v>
      </c>
      <c r="AF99" s="36">
        <v>180</v>
      </c>
      <c r="AG99" s="36"/>
      <c r="AH99" s="36"/>
      <c r="AI99" s="36" t="s">
        <v>200</v>
      </c>
      <c r="AJ99" s="36" t="s">
        <v>201</v>
      </c>
      <c r="AK99" s="36" t="s">
        <v>202</v>
      </c>
      <c r="AL99" s="36" t="s">
        <v>203</v>
      </c>
      <c r="AM99" s="36" t="s">
        <v>204</v>
      </c>
      <c r="AN99" s="36" t="s">
        <v>222</v>
      </c>
      <c r="AO99" s="36" t="s">
        <v>206</v>
      </c>
      <c r="AP99" s="36">
        <v>2</v>
      </c>
      <c r="AQ99" s="36"/>
      <c r="AR99" s="36"/>
      <c r="AS99" s="36"/>
      <c r="AT99" s="36" t="s">
        <v>207</v>
      </c>
      <c r="AU99" s="36" t="s">
        <v>234</v>
      </c>
      <c r="AV99" s="36" t="s">
        <v>209</v>
      </c>
      <c r="AW99" s="36" t="s">
        <v>209</v>
      </c>
      <c r="AX99" s="36" t="s">
        <v>210</v>
      </c>
      <c r="AY99" s="36">
        <v>0</v>
      </c>
      <c r="AZ99" s="36" t="s">
        <v>211</v>
      </c>
      <c r="BA99" s="36">
        <v>9044989536402</v>
      </c>
      <c r="BB99" s="36"/>
      <c r="BC99" s="36"/>
      <c r="BD99" s="36">
        <v>1</v>
      </c>
      <c r="BE99" s="36"/>
      <c r="BF99" s="36" t="s">
        <v>212</v>
      </c>
      <c r="BG99" s="36">
        <v>1333314600</v>
      </c>
      <c r="BH99" s="36" t="s">
        <v>213</v>
      </c>
      <c r="BI99" s="36">
        <v>180</v>
      </c>
      <c r="BJ99" s="36">
        <v>180</v>
      </c>
      <c r="BK99" s="36">
        <v>1300</v>
      </c>
      <c r="BL99" s="36" t="s">
        <v>214</v>
      </c>
      <c r="BM99" s="36"/>
      <c r="BN99" s="36"/>
    </row>
    <row r="100" spans="1:66" x14ac:dyDescent="0.35">
      <c r="A100" s="36"/>
      <c r="B100" s="36"/>
      <c r="C100" s="37" t="s">
        <v>8</v>
      </c>
      <c r="D100" s="37" t="s">
        <v>8</v>
      </c>
      <c r="E100" s="36"/>
      <c r="F100" s="36" t="s">
        <v>192</v>
      </c>
      <c r="G100" s="36" t="s">
        <v>1</v>
      </c>
      <c r="H100" s="36">
        <v>0</v>
      </c>
      <c r="I100" s="36" t="s">
        <v>193</v>
      </c>
      <c r="J100" s="36" t="s">
        <v>194</v>
      </c>
      <c r="K100" s="36" t="s">
        <v>195</v>
      </c>
      <c r="L100" s="36">
        <v>923</v>
      </c>
      <c r="M100" s="36"/>
      <c r="N100" s="36" t="s">
        <v>230</v>
      </c>
      <c r="O100" s="36" t="s">
        <v>231</v>
      </c>
      <c r="P100" s="36">
        <v>2</v>
      </c>
      <c r="Q100" s="36" t="s">
        <v>232</v>
      </c>
      <c r="R100" s="37">
        <v>244658</v>
      </c>
      <c r="S100" s="37" t="s">
        <v>8</v>
      </c>
      <c r="T100" s="36" t="s">
        <v>233</v>
      </c>
      <c r="U100" s="36">
        <v>23068390</v>
      </c>
      <c r="V100" s="36" t="s">
        <v>46</v>
      </c>
      <c r="W100" s="36">
        <v>40</v>
      </c>
      <c r="X100" s="36">
        <v>40</v>
      </c>
      <c r="Y100" s="36">
        <v>40</v>
      </c>
      <c r="Z100" s="36">
        <v>40</v>
      </c>
      <c r="AA100" s="36">
        <v>0</v>
      </c>
      <c r="AB100" s="36">
        <v>0</v>
      </c>
      <c r="AC100" s="36">
        <v>0</v>
      </c>
      <c r="AD100" s="36">
        <v>0</v>
      </c>
      <c r="AE100" s="36">
        <v>40</v>
      </c>
      <c r="AF100" s="36">
        <v>40</v>
      </c>
      <c r="AG100" s="36"/>
      <c r="AH100" s="36"/>
      <c r="AI100" s="36" t="s">
        <v>200</v>
      </c>
      <c r="AJ100" s="36" t="s">
        <v>201</v>
      </c>
      <c r="AK100" s="36" t="s">
        <v>215</v>
      </c>
      <c r="AL100" s="36" t="s">
        <v>203</v>
      </c>
      <c r="AM100" s="36" t="s">
        <v>204</v>
      </c>
      <c r="AN100" s="36" t="s">
        <v>222</v>
      </c>
      <c r="AO100" s="36" t="s">
        <v>206</v>
      </c>
      <c r="AP100" s="36">
        <v>2</v>
      </c>
      <c r="AQ100" s="36"/>
      <c r="AR100" s="36"/>
      <c r="AS100" s="36"/>
      <c r="AT100" s="36" t="s">
        <v>207</v>
      </c>
      <c r="AU100" s="36" t="s">
        <v>234</v>
      </c>
      <c r="AV100" s="36" t="s">
        <v>209</v>
      </c>
      <c r="AW100" s="36" t="s">
        <v>209</v>
      </c>
      <c r="AX100" s="36" t="s">
        <v>210</v>
      </c>
      <c r="AY100" s="36">
        <v>0</v>
      </c>
      <c r="AZ100" s="36" t="s">
        <v>211</v>
      </c>
      <c r="BA100" s="36">
        <v>9044989536402</v>
      </c>
      <c r="BB100" s="36"/>
      <c r="BC100" s="36"/>
      <c r="BD100" s="36">
        <v>1</v>
      </c>
      <c r="BE100" s="36"/>
      <c r="BF100" s="36" t="s">
        <v>212</v>
      </c>
      <c r="BG100" s="36">
        <v>1333314600</v>
      </c>
      <c r="BH100" s="36" t="s">
        <v>213</v>
      </c>
      <c r="BI100" s="36">
        <v>40</v>
      </c>
      <c r="BJ100" s="36">
        <v>40</v>
      </c>
      <c r="BK100" s="36">
        <v>1300</v>
      </c>
      <c r="BL100" s="36" t="s">
        <v>214</v>
      </c>
      <c r="BM100" s="36"/>
      <c r="BN100" s="36"/>
    </row>
    <row r="101" spans="1:66" x14ac:dyDescent="0.35">
      <c r="A101" s="36"/>
      <c r="B101" s="36"/>
      <c r="C101" s="37" t="s">
        <v>8</v>
      </c>
      <c r="D101" s="37" t="s">
        <v>8</v>
      </c>
      <c r="E101" s="36"/>
      <c r="F101" s="36" t="s">
        <v>192</v>
      </c>
      <c r="G101" s="36" t="s">
        <v>1</v>
      </c>
      <c r="H101" s="36">
        <v>0</v>
      </c>
      <c r="I101" s="36" t="s">
        <v>193</v>
      </c>
      <c r="J101" s="36" t="s">
        <v>194</v>
      </c>
      <c r="K101" s="36" t="s">
        <v>195</v>
      </c>
      <c r="L101" s="36">
        <v>923</v>
      </c>
      <c r="M101" s="36"/>
      <c r="N101" s="36" t="s">
        <v>230</v>
      </c>
      <c r="O101" s="36" t="s">
        <v>231</v>
      </c>
      <c r="P101" s="36">
        <v>2</v>
      </c>
      <c r="Q101" s="36" t="s">
        <v>232</v>
      </c>
      <c r="R101" s="37">
        <v>244658</v>
      </c>
      <c r="S101" s="37" t="s">
        <v>8</v>
      </c>
      <c r="T101" s="36" t="s">
        <v>233</v>
      </c>
      <c r="U101" s="36">
        <v>23065142</v>
      </c>
      <c r="V101" s="36" t="s">
        <v>42</v>
      </c>
      <c r="W101" s="36">
        <v>20</v>
      </c>
      <c r="X101" s="36">
        <v>20</v>
      </c>
      <c r="Y101" s="36">
        <v>20</v>
      </c>
      <c r="Z101" s="36">
        <v>20</v>
      </c>
      <c r="AA101" s="36">
        <v>0</v>
      </c>
      <c r="AB101" s="36">
        <v>0</v>
      </c>
      <c r="AC101" s="36">
        <v>0</v>
      </c>
      <c r="AD101" s="36">
        <v>0</v>
      </c>
      <c r="AE101" s="36">
        <v>20</v>
      </c>
      <c r="AF101" s="36">
        <v>20</v>
      </c>
      <c r="AG101" s="36"/>
      <c r="AH101" s="36"/>
      <c r="AI101" s="36" t="s">
        <v>200</v>
      </c>
      <c r="AJ101" s="36" t="s">
        <v>201</v>
      </c>
      <c r="AK101" s="36" t="s">
        <v>202</v>
      </c>
      <c r="AL101" s="36" t="s">
        <v>203</v>
      </c>
      <c r="AM101" s="36" t="s">
        <v>204</v>
      </c>
      <c r="AN101" s="36" t="s">
        <v>222</v>
      </c>
      <c r="AO101" s="36" t="s">
        <v>206</v>
      </c>
      <c r="AP101" s="36">
        <v>2</v>
      </c>
      <c r="AQ101" s="36"/>
      <c r="AR101" s="36"/>
      <c r="AS101" s="36"/>
      <c r="AT101" s="36" t="s">
        <v>207</v>
      </c>
      <c r="AU101" s="36" t="s">
        <v>234</v>
      </c>
      <c r="AV101" s="36" t="s">
        <v>209</v>
      </c>
      <c r="AW101" s="36" t="s">
        <v>209</v>
      </c>
      <c r="AX101" s="36" t="s">
        <v>210</v>
      </c>
      <c r="AY101" s="36">
        <v>0</v>
      </c>
      <c r="AZ101" s="36" t="s">
        <v>211</v>
      </c>
      <c r="BA101" s="36">
        <v>9044989536402</v>
      </c>
      <c r="BB101" s="36"/>
      <c r="BC101" s="36"/>
      <c r="BD101" s="36">
        <v>1</v>
      </c>
      <c r="BE101" s="36"/>
      <c r="BF101" s="36" t="s">
        <v>212</v>
      </c>
      <c r="BG101" s="36">
        <v>1333314600</v>
      </c>
      <c r="BH101" s="36" t="s">
        <v>213</v>
      </c>
      <c r="BI101" s="36">
        <v>20</v>
      </c>
      <c r="BJ101" s="36">
        <v>20</v>
      </c>
      <c r="BK101" s="36">
        <v>1300</v>
      </c>
      <c r="BL101" s="36" t="s">
        <v>214</v>
      </c>
      <c r="BM101" s="36"/>
      <c r="BN101" s="36"/>
    </row>
    <row r="102" spans="1:66" x14ac:dyDescent="0.35">
      <c r="A102" s="36"/>
      <c r="B102" s="36"/>
      <c r="C102" s="37" t="s">
        <v>8</v>
      </c>
      <c r="D102" s="37" t="s">
        <v>8</v>
      </c>
      <c r="E102" s="36"/>
      <c r="F102" s="36" t="s">
        <v>192</v>
      </c>
      <c r="G102" s="36" t="s">
        <v>1</v>
      </c>
      <c r="H102" s="36">
        <v>0</v>
      </c>
      <c r="I102" s="36" t="s">
        <v>193</v>
      </c>
      <c r="J102" s="36" t="s">
        <v>194</v>
      </c>
      <c r="K102" s="36" t="s">
        <v>195</v>
      </c>
      <c r="L102" s="36">
        <v>923</v>
      </c>
      <c r="M102" s="36"/>
      <c r="N102" s="36" t="s">
        <v>230</v>
      </c>
      <c r="O102" s="36" t="s">
        <v>231</v>
      </c>
      <c r="P102" s="36">
        <v>2</v>
      </c>
      <c r="Q102" s="36" t="s">
        <v>232</v>
      </c>
      <c r="R102" s="37">
        <v>244658</v>
      </c>
      <c r="S102" s="37" t="s">
        <v>8</v>
      </c>
      <c r="T102" s="36" t="s">
        <v>233</v>
      </c>
      <c r="U102" s="36">
        <v>23057821</v>
      </c>
      <c r="V102" s="36" t="s">
        <v>22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  <c r="AB102" s="36">
        <v>0</v>
      </c>
      <c r="AC102" s="36">
        <v>0</v>
      </c>
      <c r="AD102" s="36">
        <v>0</v>
      </c>
      <c r="AE102" s="36">
        <v>0</v>
      </c>
      <c r="AF102" s="36">
        <v>0</v>
      </c>
      <c r="AG102" s="36"/>
      <c r="AH102" s="36"/>
      <c r="AI102" s="36" t="s">
        <v>200</v>
      </c>
      <c r="AJ102" s="36" t="s">
        <v>201</v>
      </c>
      <c r="AK102" s="36" t="s">
        <v>202</v>
      </c>
      <c r="AL102" s="36" t="s">
        <v>203</v>
      </c>
      <c r="AM102" s="36" t="s">
        <v>204</v>
      </c>
      <c r="AN102" s="36" t="s">
        <v>222</v>
      </c>
      <c r="AO102" s="36" t="s">
        <v>206</v>
      </c>
      <c r="AP102" s="36">
        <v>2</v>
      </c>
      <c r="AQ102" s="36"/>
      <c r="AR102" s="36"/>
      <c r="AS102" s="36"/>
      <c r="AT102" s="36" t="s">
        <v>207</v>
      </c>
      <c r="AU102" s="36" t="s">
        <v>234</v>
      </c>
      <c r="AV102" s="36" t="s">
        <v>209</v>
      </c>
      <c r="AW102" s="36" t="s">
        <v>209</v>
      </c>
      <c r="AX102" s="36" t="s">
        <v>210</v>
      </c>
      <c r="AY102" s="36">
        <v>0</v>
      </c>
      <c r="AZ102" s="36" t="s">
        <v>211</v>
      </c>
      <c r="BA102" s="36">
        <v>9044989536402</v>
      </c>
      <c r="BB102" s="36"/>
      <c r="BC102" s="36"/>
      <c r="BD102" s="36">
        <v>1</v>
      </c>
      <c r="BE102" s="36"/>
      <c r="BF102" s="36" t="s">
        <v>212</v>
      </c>
      <c r="BG102" s="36">
        <v>1333314600</v>
      </c>
      <c r="BH102" s="36" t="s">
        <v>213</v>
      </c>
      <c r="BI102" s="36">
        <v>0</v>
      </c>
      <c r="BJ102" s="36">
        <v>0</v>
      </c>
      <c r="BK102" s="36">
        <v>1300</v>
      </c>
      <c r="BL102" s="36" t="s">
        <v>214</v>
      </c>
      <c r="BM102" s="36"/>
      <c r="BN102" s="36"/>
    </row>
    <row r="103" spans="1:66" x14ac:dyDescent="0.35">
      <c r="A103" s="36"/>
      <c r="B103" s="36"/>
      <c r="C103" s="37" t="s">
        <v>8</v>
      </c>
      <c r="D103" s="37" t="s">
        <v>8</v>
      </c>
      <c r="E103" s="36"/>
      <c r="F103" s="36" t="s">
        <v>192</v>
      </c>
      <c r="G103" s="36" t="s">
        <v>1</v>
      </c>
      <c r="H103" s="36">
        <v>0</v>
      </c>
      <c r="I103" s="36" t="s">
        <v>193</v>
      </c>
      <c r="J103" s="36" t="s">
        <v>194</v>
      </c>
      <c r="K103" s="36" t="s">
        <v>195</v>
      </c>
      <c r="L103" s="36">
        <v>923</v>
      </c>
      <c r="M103" s="36"/>
      <c r="N103" s="36" t="s">
        <v>230</v>
      </c>
      <c r="O103" s="36" t="s">
        <v>231</v>
      </c>
      <c r="P103" s="36">
        <v>2</v>
      </c>
      <c r="Q103" s="36" t="s">
        <v>232</v>
      </c>
      <c r="R103" s="37">
        <v>244658</v>
      </c>
      <c r="S103" s="37" t="s">
        <v>8</v>
      </c>
      <c r="T103" s="36" t="s">
        <v>233</v>
      </c>
      <c r="U103" s="36">
        <v>23108462</v>
      </c>
      <c r="V103" s="36" t="s">
        <v>77</v>
      </c>
      <c r="W103" s="36">
        <v>100</v>
      </c>
      <c r="X103" s="36">
        <v>100</v>
      </c>
      <c r="Y103" s="36">
        <v>100</v>
      </c>
      <c r="Z103" s="36">
        <v>100</v>
      </c>
      <c r="AA103" s="36">
        <v>0</v>
      </c>
      <c r="AB103" s="36">
        <v>0</v>
      </c>
      <c r="AC103" s="36">
        <v>0</v>
      </c>
      <c r="AD103" s="36">
        <v>0</v>
      </c>
      <c r="AE103" s="36">
        <v>100</v>
      </c>
      <c r="AF103" s="36">
        <v>100</v>
      </c>
      <c r="AG103" s="36"/>
      <c r="AH103" s="36"/>
      <c r="AI103" s="36" t="s">
        <v>200</v>
      </c>
      <c r="AJ103" s="36" t="s">
        <v>201</v>
      </c>
      <c r="AK103" s="36" t="s">
        <v>202</v>
      </c>
      <c r="AL103" s="36" t="s">
        <v>203</v>
      </c>
      <c r="AM103" s="36" t="s">
        <v>204</v>
      </c>
      <c r="AN103" s="36" t="s">
        <v>222</v>
      </c>
      <c r="AO103" s="36" t="s">
        <v>206</v>
      </c>
      <c r="AP103" s="36">
        <v>2</v>
      </c>
      <c r="AQ103" s="36"/>
      <c r="AR103" s="36"/>
      <c r="AS103" s="36"/>
      <c r="AT103" s="36" t="s">
        <v>207</v>
      </c>
      <c r="AU103" s="36" t="s">
        <v>234</v>
      </c>
      <c r="AV103" s="36" t="s">
        <v>217</v>
      </c>
      <c r="AW103" s="36" t="s">
        <v>209</v>
      </c>
      <c r="AX103" s="36" t="s">
        <v>210</v>
      </c>
      <c r="AY103" s="36">
        <v>0</v>
      </c>
      <c r="AZ103" s="36" t="s">
        <v>211</v>
      </c>
      <c r="BA103" s="36">
        <v>9044989536402</v>
      </c>
      <c r="BB103" s="36"/>
      <c r="BC103" s="36"/>
      <c r="BD103" s="36">
        <v>1</v>
      </c>
      <c r="BE103" s="36"/>
      <c r="BF103" s="36" t="s">
        <v>212</v>
      </c>
      <c r="BG103" s="36">
        <v>1333314600</v>
      </c>
      <c r="BH103" s="36" t="s">
        <v>213</v>
      </c>
      <c r="BI103" s="36">
        <v>100</v>
      </c>
      <c r="BJ103" s="36">
        <v>100</v>
      </c>
      <c r="BK103" s="36">
        <v>1300</v>
      </c>
      <c r="BL103" s="36" t="s">
        <v>214</v>
      </c>
      <c r="BM103" s="36"/>
      <c r="BN103" s="36"/>
    </row>
    <row r="104" spans="1:66" x14ac:dyDescent="0.35">
      <c r="A104" s="36"/>
      <c r="B104" s="36"/>
      <c r="C104" s="37" t="s">
        <v>8</v>
      </c>
      <c r="D104" s="37" t="s">
        <v>8</v>
      </c>
      <c r="E104" s="36"/>
      <c r="F104" s="36" t="s">
        <v>192</v>
      </c>
      <c r="G104" s="36" t="s">
        <v>1</v>
      </c>
      <c r="H104" s="36">
        <v>0</v>
      </c>
      <c r="I104" s="36" t="s">
        <v>193</v>
      </c>
      <c r="J104" s="36" t="s">
        <v>194</v>
      </c>
      <c r="K104" s="36" t="s">
        <v>195</v>
      </c>
      <c r="L104" s="36">
        <v>923</v>
      </c>
      <c r="M104" s="36"/>
      <c r="N104" s="36" t="s">
        <v>230</v>
      </c>
      <c r="O104" s="36" t="s">
        <v>231</v>
      </c>
      <c r="P104" s="36">
        <v>2</v>
      </c>
      <c r="Q104" s="36" t="s">
        <v>232</v>
      </c>
      <c r="R104" s="37">
        <v>244658</v>
      </c>
      <c r="S104" s="37" t="s">
        <v>8</v>
      </c>
      <c r="T104" s="36" t="s">
        <v>233</v>
      </c>
      <c r="U104" s="36">
        <v>23062095</v>
      </c>
      <c r="V104" s="36" t="s">
        <v>36</v>
      </c>
      <c r="W104" s="36">
        <v>20</v>
      </c>
      <c r="X104" s="36">
        <v>20</v>
      </c>
      <c r="Y104" s="36">
        <v>20</v>
      </c>
      <c r="Z104" s="36">
        <v>20</v>
      </c>
      <c r="AA104" s="36">
        <v>0</v>
      </c>
      <c r="AB104" s="36">
        <v>0</v>
      </c>
      <c r="AC104" s="36">
        <v>0</v>
      </c>
      <c r="AD104" s="36">
        <v>0</v>
      </c>
      <c r="AE104" s="36">
        <v>20</v>
      </c>
      <c r="AF104" s="36">
        <v>20</v>
      </c>
      <c r="AG104" s="36"/>
      <c r="AH104" s="36"/>
      <c r="AI104" s="36" t="s">
        <v>200</v>
      </c>
      <c r="AJ104" s="36" t="s">
        <v>201</v>
      </c>
      <c r="AK104" s="36" t="s">
        <v>215</v>
      </c>
      <c r="AL104" s="36" t="s">
        <v>203</v>
      </c>
      <c r="AM104" s="36" t="s">
        <v>204</v>
      </c>
      <c r="AN104" s="36" t="s">
        <v>222</v>
      </c>
      <c r="AO104" s="36" t="s">
        <v>206</v>
      </c>
      <c r="AP104" s="36">
        <v>2</v>
      </c>
      <c r="AQ104" s="36"/>
      <c r="AR104" s="36"/>
      <c r="AS104" s="36"/>
      <c r="AT104" s="36" t="s">
        <v>207</v>
      </c>
      <c r="AU104" s="36" t="s">
        <v>234</v>
      </c>
      <c r="AV104" s="36" t="s">
        <v>209</v>
      </c>
      <c r="AW104" s="36" t="s">
        <v>209</v>
      </c>
      <c r="AX104" s="36" t="s">
        <v>210</v>
      </c>
      <c r="AY104" s="36">
        <v>0</v>
      </c>
      <c r="AZ104" s="36" t="s">
        <v>211</v>
      </c>
      <c r="BA104" s="36">
        <v>9044989536402</v>
      </c>
      <c r="BB104" s="36"/>
      <c r="BC104" s="36"/>
      <c r="BD104" s="36">
        <v>1</v>
      </c>
      <c r="BE104" s="36"/>
      <c r="BF104" s="36" t="s">
        <v>212</v>
      </c>
      <c r="BG104" s="36">
        <v>1333314600</v>
      </c>
      <c r="BH104" s="36" t="s">
        <v>213</v>
      </c>
      <c r="BI104" s="36">
        <v>20</v>
      </c>
      <c r="BJ104" s="36">
        <v>20</v>
      </c>
      <c r="BK104" s="36">
        <v>1300</v>
      </c>
      <c r="BL104" s="36" t="s">
        <v>214</v>
      </c>
      <c r="BM104" s="36"/>
      <c r="BN104" s="36"/>
    </row>
    <row r="105" spans="1:66" x14ac:dyDescent="0.35">
      <c r="A105" s="36"/>
      <c r="B105" s="36"/>
      <c r="C105" s="37" t="s">
        <v>8</v>
      </c>
      <c r="D105" s="37" t="s">
        <v>8</v>
      </c>
      <c r="E105" s="36"/>
      <c r="F105" s="36" t="s">
        <v>192</v>
      </c>
      <c r="G105" s="36" t="s">
        <v>1</v>
      </c>
      <c r="H105" s="36">
        <v>0</v>
      </c>
      <c r="I105" s="36" t="s">
        <v>193</v>
      </c>
      <c r="J105" s="36" t="s">
        <v>194</v>
      </c>
      <c r="K105" s="36" t="s">
        <v>195</v>
      </c>
      <c r="L105" s="36">
        <v>923</v>
      </c>
      <c r="M105" s="36"/>
      <c r="N105" s="36" t="s">
        <v>230</v>
      </c>
      <c r="O105" s="36" t="s">
        <v>231</v>
      </c>
      <c r="P105" s="36">
        <v>2</v>
      </c>
      <c r="Q105" s="36" t="s">
        <v>232</v>
      </c>
      <c r="R105" s="37">
        <v>244658</v>
      </c>
      <c r="S105" s="37" t="s">
        <v>8</v>
      </c>
      <c r="T105" s="36" t="s">
        <v>233</v>
      </c>
      <c r="U105" s="36">
        <v>23057812</v>
      </c>
      <c r="V105" s="36" t="s">
        <v>19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  <c r="AB105" s="36">
        <v>0</v>
      </c>
      <c r="AC105" s="36">
        <v>0</v>
      </c>
      <c r="AD105" s="36">
        <v>0</v>
      </c>
      <c r="AE105" s="36">
        <v>0</v>
      </c>
      <c r="AF105" s="36">
        <v>0</v>
      </c>
      <c r="AG105" s="36"/>
      <c r="AH105" s="36"/>
      <c r="AI105" s="36" t="s">
        <v>200</v>
      </c>
      <c r="AJ105" s="36" t="s">
        <v>201</v>
      </c>
      <c r="AK105" s="36" t="s">
        <v>202</v>
      </c>
      <c r="AL105" s="36" t="s">
        <v>203</v>
      </c>
      <c r="AM105" s="36" t="s">
        <v>204</v>
      </c>
      <c r="AN105" s="36" t="s">
        <v>222</v>
      </c>
      <c r="AO105" s="36" t="s">
        <v>206</v>
      </c>
      <c r="AP105" s="36">
        <v>2</v>
      </c>
      <c r="AQ105" s="36"/>
      <c r="AR105" s="36"/>
      <c r="AS105" s="36"/>
      <c r="AT105" s="36" t="s">
        <v>207</v>
      </c>
      <c r="AU105" s="36" t="s">
        <v>234</v>
      </c>
      <c r="AV105" s="36" t="s">
        <v>209</v>
      </c>
      <c r="AW105" s="36" t="s">
        <v>209</v>
      </c>
      <c r="AX105" s="36" t="s">
        <v>210</v>
      </c>
      <c r="AY105" s="36">
        <v>0</v>
      </c>
      <c r="AZ105" s="36" t="s">
        <v>211</v>
      </c>
      <c r="BA105" s="36">
        <v>9044989536402</v>
      </c>
      <c r="BB105" s="36"/>
      <c r="BC105" s="36"/>
      <c r="BD105" s="36">
        <v>1</v>
      </c>
      <c r="BE105" s="36"/>
      <c r="BF105" s="36" t="s">
        <v>212</v>
      </c>
      <c r="BG105" s="36">
        <v>1333314600</v>
      </c>
      <c r="BH105" s="36" t="s">
        <v>213</v>
      </c>
      <c r="BI105" s="36">
        <v>0</v>
      </c>
      <c r="BJ105" s="36">
        <v>0</v>
      </c>
      <c r="BK105" s="36">
        <v>1300</v>
      </c>
      <c r="BL105" s="36" t="s">
        <v>214</v>
      </c>
      <c r="BM105" s="36"/>
      <c r="BN105" s="36"/>
    </row>
    <row r="106" spans="1:66" x14ac:dyDescent="0.35">
      <c r="A106" s="36"/>
      <c r="B106" s="36"/>
      <c r="C106" s="37" t="s">
        <v>8</v>
      </c>
      <c r="D106" s="37" t="s">
        <v>8</v>
      </c>
      <c r="E106" s="36"/>
      <c r="F106" s="36" t="s">
        <v>192</v>
      </c>
      <c r="G106" s="36" t="s">
        <v>1</v>
      </c>
      <c r="H106" s="36">
        <v>0</v>
      </c>
      <c r="I106" s="36" t="s">
        <v>193</v>
      </c>
      <c r="J106" s="36" t="s">
        <v>194</v>
      </c>
      <c r="K106" s="36" t="s">
        <v>195</v>
      </c>
      <c r="L106" s="36">
        <v>923</v>
      </c>
      <c r="M106" s="36"/>
      <c r="N106" s="36" t="s">
        <v>230</v>
      </c>
      <c r="O106" s="36" t="s">
        <v>231</v>
      </c>
      <c r="P106" s="36">
        <v>2</v>
      </c>
      <c r="Q106" s="36" t="s">
        <v>232</v>
      </c>
      <c r="R106" s="37">
        <v>244658</v>
      </c>
      <c r="S106" s="37" t="s">
        <v>8</v>
      </c>
      <c r="T106" s="36" t="s">
        <v>233</v>
      </c>
      <c r="U106" s="36">
        <v>23015265</v>
      </c>
      <c r="V106" s="36" t="s">
        <v>16</v>
      </c>
      <c r="W106" s="36">
        <v>30</v>
      </c>
      <c r="X106" s="36">
        <v>30</v>
      </c>
      <c r="Y106" s="36">
        <v>30</v>
      </c>
      <c r="Z106" s="36">
        <v>30</v>
      </c>
      <c r="AA106" s="36">
        <v>0</v>
      </c>
      <c r="AB106" s="36">
        <v>0</v>
      </c>
      <c r="AC106" s="36">
        <v>0</v>
      </c>
      <c r="AD106" s="36">
        <v>0</v>
      </c>
      <c r="AE106" s="36">
        <v>30</v>
      </c>
      <c r="AF106" s="36">
        <v>30</v>
      </c>
      <c r="AG106" s="36"/>
      <c r="AH106" s="36"/>
      <c r="AI106" s="36" t="s">
        <v>200</v>
      </c>
      <c r="AJ106" s="36" t="s">
        <v>201</v>
      </c>
      <c r="AK106" s="36" t="s">
        <v>202</v>
      </c>
      <c r="AL106" s="36" t="s">
        <v>203</v>
      </c>
      <c r="AM106" s="36" t="s">
        <v>204</v>
      </c>
      <c r="AN106" s="36" t="s">
        <v>222</v>
      </c>
      <c r="AO106" s="36" t="s">
        <v>206</v>
      </c>
      <c r="AP106" s="36">
        <v>2</v>
      </c>
      <c r="AQ106" s="36"/>
      <c r="AR106" s="36"/>
      <c r="AS106" s="36"/>
      <c r="AT106" s="36" t="s">
        <v>207</v>
      </c>
      <c r="AU106" s="36" t="s">
        <v>234</v>
      </c>
      <c r="AV106" s="36" t="s">
        <v>209</v>
      </c>
      <c r="AW106" s="36" t="s">
        <v>209</v>
      </c>
      <c r="AX106" s="36" t="s">
        <v>210</v>
      </c>
      <c r="AY106" s="36">
        <v>0</v>
      </c>
      <c r="AZ106" s="36" t="s">
        <v>211</v>
      </c>
      <c r="BA106" s="36">
        <v>9044989536402</v>
      </c>
      <c r="BB106" s="36"/>
      <c r="BC106" s="36"/>
      <c r="BD106" s="36">
        <v>1</v>
      </c>
      <c r="BE106" s="36"/>
      <c r="BF106" s="36" t="s">
        <v>212</v>
      </c>
      <c r="BG106" s="36">
        <v>1333314600</v>
      </c>
      <c r="BH106" s="36" t="s">
        <v>213</v>
      </c>
      <c r="BI106" s="36">
        <v>30</v>
      </c>
      <c r="BJ106" s="36">
        <v>30</v>
      </c>
      <c r="BK106" s="36">
        <v>1300</v>
      </c>
      <c r="BL106" s="36" t="s">
        <v>214</v>
      </c>
      <c r="BM106" s="36"/>
      <c r="BN106" s="36"/>
    </row>
    <row r="107" spans="1:66" x14ac:dyDescent="0.35">
      <c r="A107" s="36"/>
      <c r="B107" s="36"/>
      <c r="C107" s="37" t="s">
        <v>8</v>
      </c>
      <c r="D107" s="37" t="s">
        <v>8</v>
      </c>
      <c r="E107" s="36"/>
      <c r="F107" s="36" t="s">
        <v>192</v>
      </c>
      <c r="G107" s="36" t="s">
        <v>1</v>
      </c>
      <c r="H107" s="36">
        <v>0</v>
      </c>
      <c r="I107" s="36" t="s">
        <v>193</v>
      </c>
      <c r="J107" s="36" t="s">
        <v>194</v>
      </c>
      <c r="K107" s="36" t="s">
        <v>195</v>
      </c>
      <c r="L107" s="36">
        <v>923</v>
      </c>
      <c r="M107" s="36"/>
      <c r="N107" s="36" t="s">
        <v>230</v>
      </c>
      <c r="O107" s="36" t="s">
        <v>231</v>
      </c>
      <c r="P107" s="36">
        <v>2</v>
      </c>
      <c r="Q107" s="36" t="s">
        <v>232</v>
      </c>
      <c r="R107" s="37">
        <v>244658</v>
      </c>
      <c r="S107" s="37" t="s">
        <v>8</v>
      </c>
      <c r="T107" s="36" t="s">
        <v>233</v>
      </c>
      <c r="U107" s="36">
        <v>23058555</v>
      </c>
      <c r="V107" s="36" t="s">
        <v>28</v>
      </c>
      <c r="W107" s="36">
        <v>40</v>
      </c>
      <c r="X107" s="36">
        <v>40</v>
      </c>
      <c r="Y107" s="36">
        <v>40</v>
      </c>
      <c r="Z107" s="36">
        <v>40</v>
      </c>
      <c r="AA107" s="36">
        <v>0</v>
      </c>
      <c r="AB107" s="36">
        <v>0</v>
      </c>
      <c r="AC107" s="36">
        <v>0</v>
      </c>
      <c r="AD107" s="36">
        <v>0</v>
      </c>
      <c r="AE107" s="36">
        <v>40</v>
      </c>
      <c r="AF107" s="36">
        <v>40</v>
      </c>
      <c r="AG107" s="36"/>
      <c r="AH107" s="36"/>
      <c r="AI107" s="36" t="s">
        <v>200</v>
      </c>
      <c r="AJ107" s="36" t="s">
        <v>201</v>
      </c>
      <c r="AK107" s="36" t="s">
        <v>215</v>
      </c>
      <c r="AL107" s="36" t="s">
        <v>203</v>
      </c>
      <c r="AM107" s="36" t="s">
        <v>204</v>
      </c>
      <c r="AN107" s="36" t="s">
        <v>222</v>
      </c>
      <c r="AO107" s="36" t="s">
        <v>206</v>
      </c>
      <c r="AP107" s="36">
        <v>2</v>
      </c>
      <c r="AQ107" s="36"/>
      <c r="AR107" s="36"/>
      <c r="AS107" s="36"/>
      <c r="AT107" s="36" t="s">
        <v>207</v>
      </c>
      <c r="AU107" s="36" t="s">
        <v>234</v>
      </c>
      <c r="AV107" s="36" t="s">
        <v>209</v>
      </c>
      <c r="AW107" s="36" t="s">
        <v>209</v>
      </c>
      <c r="AX107" s="36" t="s">
        <v>210</v>
      </c>
      <c r="AY107" s="36">
        <v>0</v>
      </c>
      <c r="AZ107" s="36" t="s">
        <v>211</v>
      </c>
      <c r="BA107" s="36">
        <v>9044989536402</v>
      </c>
      <c r="BB107" s="36"/>
      <c r="BC107" s="36"/>
      <c r="BD107" s="36">
        <v>1</v>
      </c>
      <c r="BE107" s="36"/>
      <c r="BF107" s="36" t="s">
        <v>212</v>
      </c>
      <c r="BG107" s="36">
        <v>1333314600</v>
      </c>
      <c r="BH107" s="36" t="s">
        <v>213</v>
      </c>
      <c r="BI107" s="36">
        <v>40</v>
      </c>
      <c r="BJ107" s="36">
        <v>40</v>
      </c>
      <c r="BK107" s="36">
        <v>1300</v>
      </c>
      <c r="BL107" s="36" t="s">
        <v>214</v>
      </c>
      <c r="BM107" s="36"/>
      <c r="BN107" s="36"/>
    </row>
    <row r="108" spans="1:66" x14ac:dyDescent="0.35">
      <c r="A108" s="36"/>
      <c r="B108" s="36"/>
      <c r="C108" s="37" t="s">
        <v>8</v>
      </c>
      <c r="D108" s="37" t="s">
        <v>8</v>
      </c>
      <c r="E108" s="36"/>
      <c r="F108" s="36" t="s">
        <v>192</v>
      </c>
      <c r="G108" s="36" t="s">
        <v>1</v>
      </c>
      <c r="H108" s="36">
        <v>0</v>
      </c>
      <c r="I108" s="36" t="s">
        <v>193</v>
      </c>
      <c r="J108" s="36" t="s">
        <v>194</v>
      </c>
      <c r="K108" s="36" t="s">
        <v>195</v>
      </c>
      <c r="L108" s="36">
        <v>923</v>
      </c>
      <c r="M108" s="36"/>
      <c r="N108" s="36" t="s">
        <v>230</v>
      </c>
      <c r="O108" s="36" t="s">
        <v>231</v>
      </c>
      <c r="P108" s="36">
        <v>2</v>
      </c>
      <c r="Q108" s="36" t="s">
        <v>232</v>
      </c>
      <c r="R108" s="37">
        <v>244658</v>
      </c>
      <c r="S108" s="37" t="s">
        <v>8</v>
      </c>
      <c r="T108" s="36" t="s">
        <v>233</v>
      </c>
      <c r="U108" s="36">
        <v>23065140</v>
      </c>
      <c r="V108" s="36" t="s">
        <v>40</v>
      </c>
      <c r="W108" s="36">
        <v>220</v>
      </c>
      <c r="X108" s="36">
        <v>220</v>
      </c>
      <c r="Y108" s="36">
        <v>220</v>
      </c>
      <c r="Z108" s="36">
        <v>220</v>
      </c>
      <c r="AA108" s="36">
        <v>0</v>
      </c>
      <c r="AB108" s="36">
        <v>0</v>
      </c>
      <c r="AC108" s="36">
        <v>0</v>
      </c>
      <c r="AD108" s="36">
        <v>0</v>
      </c>
      <c r="AE108" s="36">
        <v>220</v>
      </c>
      <c r="AF108" s="36">
        <v>220</v>
      </c>
      <c r="AG108" s="36"/>
      <c r="AH108" s="36"/>
      <c r="AI108" s="36" t="s">
        <v>200</v>
      </c>
      <c r="AJ108" s="36" t="s">
        <v>201</v>
      </c>
      <c r="AK108" s="36" t="s">
        <v>202</v>
      </c>
      <c r="AL108" s="36" t="s">
        <v>203</v>
      </c>
      <c r="AM108" s="36" t="s">
        <v>204</v>
      </c>
      <c r="AN108" s="36" t="s">
        <v>222</v>
      </c>
      <c r="AO108" s="36" t="s">
        <v>206</v>
      </c>
      <c r="AP108" s="36">
        <v>2</v>
      </c>
      <c r="AQ108" s="36"/>
      <c r="AR108" s="36"/>
      <c r="AS108" s="36"/>
      <c r="AT108" s="36" t="s">
        <v>207</v>
      </c>
      <c r="AU108" s="36" t="s">
        <v>234</v>
      </c>
      <c r="AV108" s="36" t="s">
        <v>209</v>
      </c>
      <c r="AW108" s="36" t="s">
        <v>209</v>
      </c>
      <c r="AX108" s="36" t="s">
        <v>210</v>
      </c>
      <c r="AY108" s="36">
        <v>0</v>
      </c>
      <c r="AZ108" s="36" t="s">
        <v>211</v>
      </c>
      <c r="BA108" s="36">
        <v>9044989536402</v>
      </c>
      <c r="BB108" s="36"/>
      <c r="BC108" s="36"/>
      <c r="BD108" s="36">
        <v>1</v>
      </c>
      <c r="BE108" s="36"/>
      <c r="BF108" s="36" t="s">
        <v>212</v>
      </c>
      <c r="BG108" s="36">
        <v>1333314600</v>
      </c>
      <c r="BH108" s="36" t="s">
        <v>213</v>
      </c>
      <c r="BI108" s="36">
        <v>220</v>
      </c>
      <c r="BJ108" s="36">
        <v>220</v>
      </c>
      <c r="BK108" s="36">
        <v>1300</v>
      </c>
      <c r="BL108" s="36" t="s">
        <v>214</v>
      </c>
      <c r="BM108" s="36"/>
      <c r="BN108" s="36"/>
    </row>
    <row r="109" spans="1:66" x14ac:dyDescent="0.35">
      <c r="A109" s="36"/>
      <c r="B109" s="36"/>
      <c r="C109" s="37" t="s">
        <v>8</v>
      </c>
      <c r="D109" s="37" t="s">
        <v>8</v>
      </c>
      <c r="E109" s="36"/>
      <c r="F109" s="36" t="s">
        <v>192</v>
      </c>
      <c r="G109" s="36" t="s">
        <v>1</v>
      </c>
      <c r="H109" s="36">
        <v>0</v>
      </c>
      <c r="I109" s="36" t="s">
        <v>193</v>
      </c>
      <c r="J109" s="36" t="s">
        <v>194</v>
      </c>
      <c r="K109" s="36" t="s">
        <v>195</v>
      </c>
      <c r="L109" s="36">
        <v>923</v>
      </c>
      <c r="M109" s="36"/>
      <c r="N109" s="36" t="s">
        <v>235</v>
      </c>
      <c r="O109" s="36" t="s">
        <v>236</v>
      </c>
      <c r="P109" s="36">
        <v>2</v>
      </c>
      <c r="Q109" s="36" t="s">
        <v>237</v>
      </c>
      <c r="R109" s="37">
        <v>244658</v>
      </c>
      <c r="S109" s="37" t="s">
        <v>8</v>
      </c>
      <c r="T109" s="36" t="s">
        <v>238</v>
      </c>
      <c r="U109" s="36">
        <v>23058551</v>
      </c>
      <c r="V109" s="36" t="s">
        <v>25</v>
      </c>
      <c r="W109" s="36">
        <v>20</v>
      </c>
      <c r="X109" s="36">
        <v>20</v>
      </c>
      <c r="Y109" s="36">
        <v>20</v>
      </c>
      <c r="Z109" s="36">
        <v>20</v>
      </c>
      <c r="AA109" s="36">
        <v>0</v>
      </c>
      <c r="AB109" s="36">
        <v>0</v>
      </c>
      <c r="AC109" s="36">
        <v>0</v>
      </c>
      <c r="AD109" s="36">
        <v>0</v>
      </c>
      <c r="AE109" s="36">
        <v>20</v>
      </c>
      <c r="AF109" s="36">
        <v>20</v>
      </c>
      <c r="AG109" s="36"/>
      <c r="AH109" s="36"/>
      <c r="AI109" s="36" t="s">
        <v>200</v>
      </c>
      <c r="AJ109" s="36" t="s">
        <v>201</v>
      </c>
      <c r="AK109" s="36" t="s">
        <v>202</v>
      </c>
      <c r="AL109" s="36" t="s">
        <v>203</v>
      </c>
      <c r="AM109" s="36" t="s">
        <v>204</v>
      </c>
      <c r="AN109" s="36" t="s">
        <v>222</v>
      </c>
      <c r="AO109" s="36" t="s">
        <v>206</v>
      </c>
      <c r="AP109" s="36">
        <v>2</v>
      </c>
      <c r="AQ109" s="36"/>
      <c r="AR109" s="36"/>
      <c r="AS109" s="36"/>
      <c r="AT109" s="36" t="s">
        <v>207</v>
      </c>
      <c r="AU109" s="36" t="s">
        <v>234</v>
      </c>
      <c r="AV109" s="36" t="s">
        <v>209</v>
      </c>
      <c r="AW109" s="36" t="s">
        <v>209</v>
      </c>
      <c r="AX109" s="36" t="s">
        <v>210</v>
      </c>
      <c r="AY109" s="36">
        <v>0</v>
      </c>
      <c r="AZ109" s="36" t="s">
        <v>211</v>
      </c>
      <c r="BA109" s="36">
        <v>9044989536419</v>
      </c>
      <c r="BB109" s="36"/>
      <c r="BC109" s="36"/>
      <c r="BD109" s="36">
        <v>1</v>
      </c>
      <c r="BE109" s="36"/>
      <c r="BF109" s="36" t="s">
        <v>212</v>
      </c>
      <c r="BG109" s="36">
        <v>1333314600</v>
      </c>
      <c r="BH109" s="36" t="s">
        <v>213</v>
      </c>
      <c r="BI109" s="36">
        <v>20</v>
      </c>
      <c r="BJ109" s="36">
        <v>20</v>
      </c>
      <c r="BK109" s="36">
        <v>1300</v>
      </c>
      <c r="BL109" s="36" t="s">
        <v>214</v>
      </c>
      <c r="BM109" s="36"/>
      <c r="BN109" s="36"/>
    </row>
    <row r="110" spans="1:66" x14ac:dyDescent="0.35">
      <c r="A110" s="36"/>
      <c r="B110" s="36"/>
      <c r="C110" s="37" t="s">
        <v>8</v>
      </c>
      <c r="D110" s="37" t="s">
        <v>8</v>
      </c>
      <c r="E110" s="36"/>
      <c r="F110" s="36" t="s">
        <v>192</v>
      </c>
      <c r="G110" s="36" t="s">
        <v>1</v>
      </c>
      <c r="H110" s="36">
        <v>0</v>
      </c>
      <c r="I110" s="36" t="s">
        <v>193</v>
      </c>
      <c r="J110" s="36" t="s">
        <v>194</v>
      </c>
      <c r="K110" s="36" t="s">
        <v>195</v>
      </c>
      <c r="L110" s="36">
        <v>923</v>
      </c>
      <c r="M110" s="36"/>
      <c r="N110" s="36" t="s">
        <v>235</v>
      </c>
      <c r="O110" s="36" t="s">
        <v>236</v>
      </c>
      <c r="P110" s="36">
        <v>2</v>
      </c>
      <c r="Q110" s="36" t="s">
        <v>237</v>
      </c>
      <c r="R110" s="37">
        <v>244658</v>
      </c>
      <c r="S110" s="37" t="s">
        <v>8</v>
      </c>
      <c r="T110" s="36" t="s">
        <v>238</v>
      </c>
      <c r="U110" s="36">
        <v>23057821</v>
      </c>
      <c r="V110" s="36" t="s">
        <v>22</v>
      </c>
      <c r="W110" s="36">
        <v>40</v>
      </c>
      <c r="X110" s="36">
        <v>40</v>
      </c>
      <c r="Y110" s="36">
        <v>40</v>
      </c>
      <c r="Z110" s="36">
        <v>40</v>
      </c>
      <c r="AA110" s="36">
        <v>0</v>
      </c>
      <c r="AB110" s="36">
        <v>0</v>
      </c>
      <c r="AC110" s="36">
        <v>0</v>
      </c>
      <c r="AD110" s="36">
        <v>0</v>
      </c>
      <c r="AE110" s="36">
        <v>40</v>
      </c>
      <c r="AF110" s="36">
        <v>40</v>
      </c>
      <c r="AG110" s="36"/>
      <c r="AH110" s="36"/>
      <c r="AI110" s="36" t="s">
        <v>200</v>
      </c>
      <c r="AJ110" s="36" t="s">
        <v>201</v>
      </c>
      <c r="AK110" s="36" t="s">
        <v>202</v>
      </c>
      <c r="AL110" s="36" t="s">
        <v>203</v>
      </c>
      <c r="AM110" s="36" t="s">
        <v>204</v>
      </c>
      <c r="AN110" s="36" t="s">
        <v>222</v>
      </c>
      <c r="AO110" s="36" t="s">
        <v>206</v>
      </c>
      <c r="AP110" s="36">
        <v>2</v>
      </c>
      <c r="AQ110" s="36"/>
      <c r="AR110" s="36"/>
      <c r="AS110" s="36"/>
      <c r="AT110" s="36" t="s">
        <v>207</v>
      </c>
      <c r="AU110" s="36" t="s">
        <v>234</v>
      </c>
      <c r="AV110" s="36" t="s">
        <v>209</v>
      </c>
      <c r="AW110" s="36" t="s">
        <v>209</v>
      </c>
      <c r="AX110" s="36" t="s">
        <v>210</v>
      </c>
      <c r="AY110" s="36">
        <v>0</v>
      </c>
      <c r="AZ110" s="36" t="s">
        <v>211</v>
      </c>
      <c r="BA110" s="36">
        <v>9044989536419</v>
      </c>
      <c r="BB110" s="36"/>
      <c r="BC110" s="36"/>
      <c r="BD110" s="36">
        <v>1</v>
      </c>
      <c r="BE110" s="36"/>
      <c r="BF110" s="36" t="s">
        <v>212</v>
      </c>
      <c r="BG110" s="36">
        <v>1333314600</v>
      </c>
      <c r="BH110" s="36" t="s">
        <v>213</v>
      </c>
      <c r="BI110" s="36">
        <v>40</v>
      </c>
      <c r="BJ110" s="36">
        <v>40</v>
      </c>
      <c r="BK110" s="36">
        <v>1300</v>
      </c>
      <c r="BL110" s="36" t="s">
        <v>214</v>
      </c>
      <c r="BM110" s="36"/>
      <c r="BN110" s="36"/>
    </row>
    <row r="111" spans="1:66" x14ac:dyDescent="0.35">
      <c r="A111" s="36"/>
      <c r="B111" s="36"/>
      <c r="C111" s="37" t="s">
        <v>8</v>
      </c>
      <c r="D111" s="37" t="s">
        <v>8</v>
      </c>
      <c r="E111" s="36"/>
      <c r="F111" s="36" t="s">
        <v>192</v>
      </c>
      <c r="G111" s="36" t="s">
        <v>1</v>
      </c>
      <c r="H111" s="36">
        <v>0</v>
      </c>
      <c r="I111" s="36" t="s">
        <v>193</v>
      </c>
      <c r="J111" s="36" t="s">
        <v>194</v>
      </c>
      <c r="K111" s="36" t="s">
        <v>195</v>
      </c>
      <c r="L111" s="36">
        <v>923</v>
      </c>
      <c r="M111" s="36"/>
      <c r="N111" s="36" t="s">
        <v>235</v>
      </c>
      <c r="O111" s="36" t="s">
        <v>236</v>
      </c>
      <c r="P111" s="36">
        <v>2</v>
      </c>
      <c r="Q111" s="36" t="s">
        <v>237</v>
      </c>
      <c r="R111" s="37">
        <v>244658</v>
      </c>
      <c r="S111" s="37" t="s">
        <v>8</v>
      </c>
      <c r="T111" s="36" t="s">
        <v>238</v>
      </c>
      <c r="U111" s="36">
        <v>23057827</v>
      </c>
      <c r="V111" s="36" t="s">
        <v>24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/>
      <c r="AH111" s="36"/>
      <c r="AI111" s="36" t="s">
        <v>200</v>
      </c>
      <c r="AJ111" s="36" t="s">
        <v>201</v>
      </c>
      <c r="AK111" s="36" t="s">
        <v>202</v>
      </c>
      <c r="AL111" s="36" t="s">
        <v>203</v>
      </c>
      <c r="AM111" s="36" t="s">
        <v>204</v>
      </c>
      <c r="AN111" s="36" t="s">
        <v>222</v>
      </c>
      <c r="AO111" s="36" t="s">
        <v>206</v>
      </c>
      <c r="AP111" s="36">
        <v>2</v>
      </c>
      <c r="AQ111" s="36"/>
      <c r="AR111" s="36"/>
      <c r="AS111" s="36"/>
      <c r="AT111" s="36" t="s">
        <v>207</v>
      </c>
      <c r="AU111" s="36" t="s">
        <v>234</v>
      </c>
      <c r="AV111" s="36" t="s">
        <v>209</v>
      </c>
      <c r="AW111" s="36" t="s">
        <v>209</v>
      </c>
      <c r="AX111" s="36" t="s">
        <v>210</v>
      </c>
      <c r="AY111" s="36">
        <v>0</v>
      </c>
      <c r="AZ111" s="36" t="s">
        <v>211</v>
      </c>
      <c r="BA111" s="36">
        <v>9044989536419</v>
      </c>
      <c r="BB111" s="36"/>
      <c r="BC111" s="36"/>
      <c r="BD111" s="36">
        <v>1</v>
      </c>
      <c r="BE111" s="36"/>
      <c r="BF111" s="36" t="s">
        <v>212</v>
      </c>
      <c r="BG111" s="36">
        <v>1333314600</v>
      </c>
      <c r="BH111" s="36" t="s">
        <v>213</v>
      </c>
      <c r="BI111" s="36">
        <v>0</v>
      </c>
      <c r="BJ111" s="36">
        <v>0</v>
      </c>
      <c r="BK111" s="36">
        <v>1300</v>
      </c>
      <c r="BL111" s="36" t="s">
        <v>214</v>
      </c>
      <c r="BM111" s="36"/>
      <c r="BN111" s="36"/>
    </row>
    <row r="112" spans="1:66" x14ac:dyDescent="0.35">
      <c r="A112" s="36"/>
      <c r="B112" s="36"/>
      <c r="C112" s="37" t="s">
        <v>8</v>
      </c>
      <c r="D112" s="37" t="s">
        <v>8</v>
      </c>
      <c r="E112" s="36"/>
      <c r="F112" s="36" t="s">
        <v>192</v>
      </c>
      <c r="G112" s="36" t="s">
        <v>1</v>
      </c>
      <c r="H112" s="36">
        <v>0</v>
      </c>
      <c r="I112" s="36" t="s">
        <v>193</v>
      </c>
      <c r="J112" s="36" t="s">
        <v>194</v>
      </c>
      <c r="K112" s="36" t="s">
        <v>195</v>
      </c>
      <c r="L112" s="36">
        <v>923</v>
      </c>
      <c r="M112" s="36"/>
      <c r="N112" s="36" t="s">
        <v>235</v>
      </c>
      <c r="O112" s="36" t="s">
        <v>236</v>
      </c>
      <c r="P112" s="36">
        <v>2</v>
      </c>
      <c r="Q112" s="36" t="s">
        <v>237</v>
      </c>
      <c r="R112" s="37">
        <v>244658</v>
      </c>
      <c r="S112" s="37" t="s">
        <v>8</v>
      </c>
      <c r="T112" s="36" t="s">
        <v>238</v>
      </c>
      <c r="U112" s="36">
        <v>23058552</v>
      </c>
      <c r="V112" s="36" t="s">
        <v>26</v>
      </c>
      <c r="W112" s="36">
        <v>20</v>
      </c>
      <c r="X112" s="36">
        <v>20</v>
      </c>
      <c r="Y112" s="36">
        <v>20</v>
      </c>
      <c r="Z112" s="36">
        <v>20</v>
      </c>
      <c r="AA112" s="36">
        <v>0</v>
      </c>
      <c r="AB112" s="36">
        <v>0</v>
      </c>
      <c r="AC112" s="36">
        <v>0</v>
      </c>
      <c r="AD112" s="36">
        <v>0</v>
      </c>
      <c r="AE112" s="36">
        <v>20</v>
      </c>
      <c r="AF112" s="36">
        <v>20</v>
      </c>
      <c r="AG112" s="36"/>
      <c r="AH112" s="36"/>
      <c r="AI112" s="36" t="s">
        <v>200</v>
      </c>
      <c r="AJ112" s="36" t="s">
        <v>201</v>
      </c>
      <c r="AK112" s="36" t="s">
        <v>215</v>
      </c>
      <c r="AL112" s="36" t="s">
        <v>203</v>
      </c>
      <c r="AM112" s="36" t="s">
        <v>204</v>
      </c>
      <c r="AN112" s="36" t="s">
        <v>222</v>
      </c>
      <c r="AO112" s="36" t="s">
        <v>206</v>
      </c>
      <c r="AP112" s="36">
        <v>2</v>
      </c>
      <c r="AQ112" s="36"/>
      <c r="AR112" s="36"/>
      <c r="AS112" s="36"/>
      <c r="AT112" s="36" t="s">
        <v>207</v>
      </c>
      <c r="AU112" s="36" t="s">
        <v>234</v>
      </c>
      <c r="AV112" s="36" t="s">
        <v>209</v>
      </c>
      <c r="AW112" s="36" t="s">
        <v>209</v>
      </c>
      <c r="AX112" s="36" t="s">
        <v>210</v>
      </c>
      <c r="AY112" s="36">
        <v>0</v>
      </c>
      <c r="AZ112" s="36" t="s">
        <v>211</v>
      </c>
      <c r="BA112" s="36">
        <v>9044989536419</v>
      </c>
      <c r="BB112" s="36"/>
      <c r="BC112" s="36"/>
      <c r="BD112" s="36">
        <v>1</v>
      </c>
      <c r="BE112" s="36"/>
      <c r="BF112" s="36" t="s">
        <v>212</v>
      </c>
      <c r="BG112" s="36">
        <v>1333314600</v>
      </c>
      <c r="BH112" s="36" t="s">
        <v>213</v>
      </c>
      <c r="BI112" s="36">
        <v>20</v>
      </c>
      <c r="BJ112" s="36">
        <v>20</v>
      </c>
      <c r="BK112" s="36">
        <v>1300</v>
      </c>
      <c r="BL112" s="36" t="s">
        <v>214</v>
      </c>
      <c r="BM112" s="36"/>
      <c r="BN112" s="36"/>
    </row>
    <row r="113" spans="1:66" x14ac:dyDescent="0.35">
      <c r="A113" s="36"/>
      <c r="B113" s="36"/>
      <c r="C113" s="37" t="s">
        <v>8</v>
      </c>
      <c r="D113" s="37" t="s">
        <v>8</v>
      </c>
      <c r="E113" s="36"/>
      <c r="F113" s="36" t="s">
        <v>192</v>
      </c>
      <c r="G113" s="36" t="s">
        <v>1</v>
      </c>
      <c r="H113" s="36">
        <v>0</v>
      </c>
      <c r="I113" s="36" t="s">
        <v>193</v>
      </c>
      <c r="J113" s="36" t="s">
        <v>194</v>
      </c>
      <c r="K113" s="36" t="s">
        <v>195</v>
      </c>
      <c r="L113" s="36">
        <v>923</v>
      </c>
      <c r="M113" s="36"/>
      <c r="N113" s="36" t="s">
        <v>235</v>
      </c>
      <c r="O113" s="36" t="s">
        <v>236</v>
      </c>
      <c r="P113" s="36">
        <v>2</v>
      </c>
      <c r="Q113" s="36" t="s">
        <v>237</v>
      </c>
      <c r="R113" s="37">
        <v>244658</v>
      </c>
      <c r="S113" s="37" t="s">
        <v>8</v>
      </c>
      <c r="T113" s="36" t="s">
        <v>238</v>
      </c>
      <c r="U113" s="36">
        <v>23088348</v>
      </c>
      <c r="V113" s="36" t="s">
        <v>57</v>
      </c>
      <c r="W113" s="36">
        <v>30</v>
      </c>
      <c r="X113" s="36">
        <v>30</v>
      </c>
      <c r="Y113" s="36">
        <v>30</v>
      </c>
      <c r="Z113" s="36">
        <v>30</v>
      </c>
      <c r="AA113" s="36">
        <v>0</v>
      </c>
      <c r="AB113" s="36">
        <v>0</v>
      </c>
      <c r="AC113" s="36">
        <v>0</v>
      </c>
      <c r="AD113" s="36">
        <v>0</v>
      </c>
      <c r="AE113" s="36">
        <v>30</v>
      </c>
      <c r="AF113" s="36">
        <v>30</v>
      </c>
      <c r="AG113" s="36"/>
      <c r="AH113" s="36"/>
      <c r="AI113" s="36" t="s">
        <v>200</v>
      </c>
      <c r="AJ113" s="36" t="s">
        <v>201</v>
      </c>
      <c r="AK113" s="36" t="s">
        <v>215</v>
      </c>
      <c r="AL113" s="36" t="s">
        <v>203</v>
      </c>
      <c r="AM113" s="36" t="s">
        <v>204</v>
      </c>
      <c r="AN113" s="36" t="s">
        <v>222</v>
      </c>
      <c r="AO113" s="36" t="s">
        <v>206</v>
      </c>
      <c r="AP113" s="36">
        <v>2</v>
      </c>
      <c r="AQ113" s="36"/>
      <c r="AR113" s="36"/>
      <c r="AS113" s="36"/>
      <c r="AT113" s="36" t="s">
        <v>207</v>
      </c>
      <c r="AU113" s="36" t="s">
        <v>234</v>
      </c>
      <c r="AV113" s="36" t="s">
        <v>209</v>
      </c>
      <c r="AW113" s="36" t="s">
        <v>209</v>
      </c>
      <c r="AX113" s="36" t="s">
        <v>210</v>
      </c>
      <c r="AY113" s="36">
        <v>0</v>
      </c>
      <c r="AZ113" s="36" t="s">
        <v>211</v>
      </c>
      <c r="BA113" s="36">
        <v>9044989536419</v>
      </c>
      <c r="BB113" s="36"/>
      <c r="BC113" s="36"/>
      <c r="BD113" s="36">
        <v>1</v>
      </c>
      <c r="BE113" s="36"/>
      <c r="BF113" s="36" t="s">
        <v>212</v>
      </c>
      <c r="BG113" s="36">
        <v>1333314600</v>
      </c>
      <c r="BH113" s="36" t="s">
        <v>213</v>
      </c>
      <c r="BI113" s="36">
        <v>30</v>
      </c>
      <c r="BJ113" s="36">
        <v>30</v>
      </c>
      <c r="BK113" s="36">
        <v>1300</v>
      </c>
      <c r="BL113" s="36" t="s">
        <v>214</v>
      </c>
      <c r="BM113" s="36"/>
      <c r="BN113" s="36"/>
    </row>
    <row r="114" spans="1:66" x14ac:dyDescent="0.35">
      <c r="A114" s="36"/>
      <c r="B114" s="36"/>
      <c r="C114" s="37" t="s">
        <v>8</v>
      </c>
      <c r="D114" s="37" t="s">
        <v>8</v>
      </c>
      <c r="E114" s="36"/>
      <c r="F114" s="36" t="s">
        <v>192</v>
      </c>
      <c r="G114" s="36" t="s">
        <v>1</v>
      </c>
      <c r="H114" s="36">
        <v>0</v>
      </c>
      <c r="I114" s="36" t="s">
        <v>193</v>
      </c>
      <c r="J114" s="36" t="s">
        <v>194</v>
      </c>
      <c r="K114" s="36" t="s">
        <v>195</v>
      </c>
      <c r="L114" s="36">
        <v>923</v>
      </c>
      <c r="M114" s="36"/>
      <c r="N114" s="36" t="s">
        <v>235</v>
      </c>
      <c r="O114" s="36" t="s">
        <v>236</v>
      </c>
      <c r="P114" s="36">
        <v>2</v>
      </c>
      <c r="Q114" s="36" t="s">
        <v>237</v>
      </c>
      <c r="R114" s="37">
        <v>244658</v>
      </c>
      <c r="S114" s="37" t="s">
        <v>8</v>
      </c>
      <c r="T114" s="36" t="s">
        <v>238</v>
      </c>
      <c r="U114" s="36">
        <v>23015265</v>
      </c>
      <c r="V114" s="36" t="s">
        <v>16</v>
      </c>
      <c r="W114" s="36">
        <v>50</v>
      </c>
      <c r="X114" s="36">
        <v>50</v>
      </c>
      <c r="Y114" s="36">
        <v>50</v>
      </c>
      <c r="Z114" s="36">
        <v>50</v>
      </c>
      <c r="AA114" s="36">
        <v>0</v>
      </c>
      <c r="AB114" s="36">
        <v>0</v>
      </c>
      <c r="AC114" s="36">
        <v>0</v>
      </c>
      <c r="AD114" s="36">
        <v>0</v>
      </c>
      <c r="AE114" s="36">
        <v>50</v>
      </c>
      <c r="AF114" s="36">
        <v>50</v>
      </c>
      <c r="AG114" s="36"/>
      <c r="AH114" s="36"/>
      <c r="AI114" s="36" t="s">
        <v>200</v>
      </c>
      <c r="AJ114" s="36" t="s">
        <v>201</v>
      </c>
      <c r="AK114" s="36" t="s">
        <v>202</v>
      </c>
      <c r="AL114" s="36" t="s">
        <v>203</v>
      </c>
      <c r="AM114" s="36" t="s">
        <v>204</v>
      </c>
      <c r="AN114" s="36" t="s">
        <v>222</v>
      </c>
      <c r="AO114" s="36" t="s">
        <v>206</v>
      </c>
      <c r="AP114" s="36">
        <v>2</v>
      </c>
      <c r="AQ114" s="36"/>
      <c r="AR114" s="36"/>
      <c r="AS114" s="36"/>
      <c r="AT114" s="36" t="s">
        <v>207</v>
      </c>
      <c r="AU114" s="36" t="s">
        <v>234</v>
      </c>
      <c r="AV114" s="36" t="s">
        <v>209</v>
      </c>
      <c r="AW114" s="36" t="s">
        <v>209</v>
      </c>
      <c r="AX114" s="36" t="s">
        <v>210</v>
      </c>
      <c r="AY114" s="36">
        <v>0</v>
      </c>
      <c r="AZ114" s="36" t="s">
        <v>211</v>
      </c>
      <c r="BA114" s="36">
        <v>9044989536419</v>
      </c>
      <c r="BB114" s="36"/>
      <c r="BC114" s="36"/>
      <c r="BD114" s="36">
        <v>1</v>
      </c>
      <c r="BE114" s="36"/>
      <c r="BF114" s="36" t="s">
        <v>212</v>
      </c>
      <c r="BG114" s="36">
        <v>1333314600</v>
      </c>
      <c r="BH114" s="36" t="s">
        <v>213</v>
      </c>
      <c r="BI114" s="36">
        <v>50</v>
      </c>
      <c r="BJ114" s="36">
        <v>50</v>
      </c>
      <c r="BK114" s="36">
        <v>1300</v>
      </c>
      <c r="BL114" s="36" t="s">
        <v>214</v>
      </c>
      <c r="BM114" s="36"/>
      <c r="BN114" s="36"/>
    </row>
    <row r="115" spans="1:66" x14ac:dyDescent="0.35">
      <c r="A115" s="36"/>
      <c r="B115" s="36"/>
      <c r="C115" s="37" t="s">
        <v>8</v>
      </c>
      <c r="D115" s="37" t="s">
        <v>8</v>
      </c>
      <c r="E115" s="36"/>
      <c r="F115" s="36" t="s">
        <v>192</v>
      </c>
      <c r="G115" s="36" t="s">
        <v>1</v>
      </c>
      <c r="H115" s="36">
        <v>0</v>
      </c>
      <c r="I115" s="36" t="s">
        <v>193</v>
      </c>
      <c r="J115" s="36" t="s">
        <v>194</v>
      </c>
      <c r="K115" s="36" t="s">
        <v>195</v>
      </c>
      <c r="L115" s="36">
        <v>923</v>
      </c>
      <c r="M115" s="36"/>
      <c r="N115" s="36" t="s">
        <v>235</v>
      </c>
      <c r="O115" s="36" t="s">
        <v>236</v>
      </c>
      <c r="P115" s="36">
        <v>2</v>
      </c>
      <c r="Q115" s="36" t="s">
        <v>237</v>
      </c>
      <c r="R115" s="37">
        <v>244658</v>
      </c>
      <c r="S115" s="37" t="s">
        <v>8</v>
      </c>
      <c r="T115" s="36" t="s">
        <v>238</v>
      </c>
      <c r="U115" s="36">
        <v>23057815</v>
      </c>
      <c r="V115" s="36" t="s">
        <v>20</v>
      </c>
      <c r="W115" s="36">
        <v>100</v>
      </c>
      <c r="X115" s="36">
        <v>100</v>
      </c>
      <c r="Y115" s="36">
        <v>100</v>
      </c>
      <c r="Z115" s="36">
        <v>100</v>
      </c>
      <c r="AA115" s="36">
        <v>0</v>
      </c>
      <c r="AB115" s="36">
        <v>0</v>
      </c>
      <c r="AC115" s="36">
        <v>0</v>
      </c>
      <c r="AD115" s="36">
        <v>0</v>
      </c>
      <c r="AE115" s="36">
        <v>100</v>
      </c>
      <c r="AF115" s="36">
        <v>100</v>
      </c>
      <c r="AG115" s="36"/>
      <c r="AH115" s="36"/>
      <c r="AI115" s="36" t="s">
        <v>200</v>
      </c>
      <c r="AJ115" s="36" t="s">
        <v>201</v>
      </c>
      <c r="AK115" s="36" t="s">
        <v>202</v>
      </c>
      <c r="AL115" s="36" t="s">
        <v>203</v>
      </c>
      <c r="AM115" s="36" t="s">
        <v>204</v>
      </c>
      <c r="AN115" s="36" t="s">
        <v>222</v>
      </c>
      <c r="AO115" s="36" t="s">
        <v>206</v>
      </c>
      <c r="AP115" s="36">
        <v>2</v>
      </c>
      <c r="AQ115" s="36"/>
      <c r="AR115" s="36"/>
      <c r="AS115" s="36"/>
      <c r="AT115" s="36" t="s">
        <v>207</v>
      </c>
      <c r="AU115" s="36" t="s">
        <v>234</v>
      </c>
      <c r="AV115" s="36" t="s">
        <v>209</v>
      </c>
      <c r="AW115" s="36" t="s">
        <v>209</v>
      </c>
      <c r="AX115" s="36" t="s">
        <v>210</v>
      </c>
      <c r="AY115" s="36">
        <v>0</v>
      </c>
      <c r="AZ115" s="36" t="s">
        <v>211</v>
      </c>
      <c r="BA115" s="36">
        <v>9044989536419</v>
      </c>
      <c r="BB115" s="36"/>
      <c r="BC115" s="36"/>
      <c r="BD115" s="36">
        <v>1</v>
      </c>
      <c r="BE115" s="36"/>
      <c r="BF115" s="36" t="s">
        <v>212</v>
      </c>
      <c r="BG115" s="36">
        <v>1333314600</v>
      </c>
      <c r="BH115" s="36" t="s">
        <v>213</v>
      </c>
      <c r="BI115" s="36">
        <v>100</v>
      </c>
      <c r="BJ115" s="36">
        <v>100</v>
      </c>
      <c r="BK115" s="36">
        <v>1300</v>
      </c>
      <c r="BL115" s="36" t="s">
        <v>214</v>
      </c>
      <c r="BM115" s="36"/>
      <c r="BN115" s="36"/>
    </row>
    <row r="116" spans="1:66" x14ac:dyDescent="0.35">
      <c r="A116" s="36"/>
      <c r="B116" s="36"/>
      <c r="C116" s="37" t="s">
        <v>8</v>
      </c>
      <c r="D116" s="37" t="s">
        <v>8</v>
      </c>
      <c r="E116" s="36"/>
      <c r="F116" s="36" t="s">
        <v>192</v>
      </c>
      <c r="G116" s="36" t="s">
        <v>1</v>
      </c>
      <c r="H116" s="36">
        <v>0</v>
      </c>
      <c r="I116" s="36" t="s">
        <v>193</v>
      </c>
      <c r="J116" s="36" t="s">
        <v>194</v>
      </c>
      <c r="K116" s="36" t="s">
        <v>195</v>
      </c>
      <c r="L116" s="36">
        <v>923</v>
      </c>
      <c r="M116" s="36"/>
      <c r="N116" s="36" t="s">
        <v>235</v>
      </c>
      <c r="O116" s="36" t="s">
        <v>236</v>
      </c>
      <c r="P116" s="36">
        <v>2</v>
      </c>
      <c r="Q116" s="36" t="s">
        <v>237</v>
      </c>
      <c r="R116" s="37">
        <v>244658</v>
      </c>
      <c r="S116" s="37" t="s">
        <v>8</v>
      </c>
      <c r="T116" s="36" t="s">
        <v>238</v>
      </c>
      <c r="U116" s="36">
        <v>23057809</v>
      </c>
      <c r="V116" s="36" t="s">
        <v>18</v>
      </c>
      <c r="W116" s="36">
        <v>90</v>
      </c>
      <c r="X116" s="36">
        <v>90</v>
      </c>
      <c r="Y116" s="36">
        <v>90</v>
      </c>
      <c r="Z116" s="36">
        <v>90</v>
      </c>
      <c r="AA116" s="36">
        <v>0</v>
      </c>
      <c r="AB116" s="36">
        <v>0</v>
      </c>
      <c r="AC116" s="36">
        <v>0</v>
      </c>
      <c r="AD116" s="36">
        <v>0</v>
      </c>
      <c r="AE116" s="36">
        <v>90</v>
      </c>
      <c r="AF116" s="36">
        <v>90</v>
      </c>
      <c r="AG116" s="36"/>
      <c r="AH116" s="36"/>
      <c r="AI116" s="36" t="s">
        <v>200</v>
      </c>
      <c r="AJ116" s="36" t="s">
        <v>201</v>
      </c>
      <c r="AK116" s="36" t="s">
        <v>202</v>
      </c>
      <c r="AL116" s="36" t="s">
        <v>203</v>
      </c>
      <c r="AM116" s="36" t="s">
        <v>204</v>
      </c>
      <c r="AN116" s="36" t="s">
        <v>222</v>
      </c>
      <c r="AO116" s="36" t="s">
        <v>206</v>
      </c>
      <c r="AP116" s="36">
        <v>2</v>
      </c>
      <c r="AQ116" s="36"/>
      <c r="AR116" s="36"/>
      <c r="AS116" s="36"/>
      <c r="AT116" s="36" t="s">
        <v>207</v>
      </c>
      <c r="AU116" s="36" t="s">
        <v>234</v>
      </c>
      <c r="AV116" s="36" t="s">
        <v>209</v>
      </c>
      <c r="AW116" s="36" t="s">
        <v>209</v>
      </c>
      <c r="AX116" s="36" t="s">
        <v>210</v>
      </c>
      <c r="AY116" s="36">
        <v>0</v>
      </c>
      <c r="AZ116" s="36" t="s">
        <v>211</v>
      </c>
      <c r="BA116" s="36">
        <v>9044989536419</v>
      </c>
      <c r="BB116" s="36"/>
      <c r="BC116" s="36"/>
      <c r="BD116" s="36">
        <v>1</v>
      </c>
      <c r="BE116" s="36"/>
      <c r="BF116" s="36" t="s">
        <v>212</v>
      </c>
      <c r="BG116" s="36">
        <v>1333314600</v>
      </c>
      <c r="BH116" s="36" t="s">
        <v>213</v>
      </c>
      <c r="BI116" s="36">
        <v>90</v>
      </c>
      <c r="BJ116" s="36">
        <v>90</v>
      </c>
      <c r="BK116" s="36">
        <v>1300</v>
      </c>
      <c r="BL116" s="36" t="s">
        <v>214</v>
      </c>
      <c r="BM116" s="36"/>
      <c r="BN116" s="36"/>
    </row>
    <row r="117" spans="1:66" x14ac:dyDescent="0.35">
      <c r="A117" s="36"/>
      <c r="B117" s="36"/>
      <c r="C117" s="37" t="s">
        <v>8</v>
      </c>
      <c r="D117" s="37" t="s">
        <v>8</v>
      </c>
      <c r="E117" s="36"/>
      <c r="F117" s="36" t="s">
        <v>192</v>
      </c>
      <c r="G117" s="36" t="s">
        <v>1</v>
      </c>
      <c r="H117" s="36">
        <v>0</v>
      </c>
      <c r="I117" s="36" t="s">
        <v>193</v>
      </c>
      <c r="J117" s="36" t="s">
        <v>194</v>
      </c>
      <c r="K117" s="36" t="s">
        <v>195</v>
      </c>
      <c r="L117" s="36">
        <v>923</v>
      </c>
      <c r="M117" s="36"/>
      <c r="N117" s="36" t="s">
        <v>235</v>
      </c>
      <c r="O117" s="36" t="s">
        <v>236</v>
      </c>
      <c r="P117" s="36">
        <v>2</v>
      </c>
      <c r="Q117" s="36" t="s">
        <v>237</v>
      </c>
      <c r="R117" s="37">
        <v>244658</v>
      </c>
      <c r="S117" s="37" t="s">
        <v>8</v>
      </c>
      <c r="T117" s="36" t="s">
        <v>238</v>
      </c>
      <c r="U117" s="36">
        <v>23058555</v>
      </c>
      <c r="V117" s="36" t="s">
        <v>28</v>
      </c>
      <c r="W117" s="36">
        <v>140</v>
      </c>
      <c r="X117" s="36">
        <v>140</v>
      </c>
      <c r="Y117" s="36">
        <v>140</v>
      </c>
      <c r="Z117" s="36">
        <v>140</v>
      </c>
      <c r="AA117" s="36">
        <v>0</v>
      </c>
      <c r="AB117" s="36">
        <v>0</v>
      </c>
      <c r="AC117" s="36">
        <v>0</v>
      </c>
      <c r="AD117" s="36">
        <v>0</v>
      </c>
      <c r="AE117" s="36">
        <v>140</v>
      </c>
      <c r="AF117" s="36">
        <v>140</v>
      </c>
      <c r="AG117" s="36"/>
      <c r="AH117" s="36"/>
      <c r="AI117" s="36" t="s">
        <v>200</v>
      </c>
      <c r="AJ117" s="36" t="s">
        <v>201</v>
      </c>
      <c r="AK117" s="36" t="s">
        <v>215</v>
      </c>
      <c r="AL117" s="36" t="s">
        <v>203</v>
      </c>
      <c r="AM117" s="36" t="s">
        <v>204</v>
      </c>
      <c r="AN117" s="36" t="s">
        <v>222</v>
      </c>
      <c r="AO117" s="36" t="s">
        <v>206</v>
      </c>
      <c r="AP117" s="36">
        <v>2</v>
      </c>
      <c r="AQ117" s="36"/>
      <c r="AR117" s="36"/>
      <c r="AS117" s="36"/>
      <c r="AT117" s="36" t="s">
        <v>207</v>
      </c>
      <c r="AU117" s="36" t="s">
        <v>234</v>
      </c>
      <c r="AV117" s="36" t="s">
        <v>209</v>
      </c>
      <c r="AW117" s="36" t="s">
        <v>209</v>
      </c>
      <c r="AX117" s="36" t="s">
        <v>210</v>
      </c>
      <c r="AY117" s="36">
        <v>0</v>
      </c>
      <c r="AZ117" s="36" t="s">
        <v>211</v>
      </c>
      <c r="BA117" s="36">
        <v>9044989536419</v>
      </c>
      <c r="BB117" s="36"/>
      <c r="BC117" s="36"/>
      <c r="BD117" s="36">
        <v>1</v>
      </c>
      <c r="BE117" s="36"/>
      <c r="BF117" s="36" t="s">
        <v>212</v>
      </c>
      <c r="BG117" s="36">
        <v>1333314600</v>
      </c>
      <c r="BH117" s="36" t="s">
        <v>213</v>
      </c>
      <c r="BI117" s="36">
        <v>140</v>
      </c>
      <c r="BJ117" s="36">
        <v>140</v>
      </c>
      <c r="BK117" s="36">
        <v>1300</v>
      </c>
      <c r="BL117" s="36" t="s">
        <v>214</v>
      </c>
      <c r="BM117" s="36"/>
      <c r="BN117" s="36"/>
    </row>
    <row r="118" spans="1:66" x14ac:dyDescent="0.35">
      <c r="A118" s="36"/>
      <c r="B118" s="36"/>
      <c r="C118" s="37" t="s">
        <v>8</v>
      </c>
      <c r="D118" s="37" t="s">
        <v>8</v>
      </c>
      <c r="E118" s="36"/>
      <c r="F118" s="36" t="s">
        <v>192</v>
      </c>
      <c r="G118" s="36" t="s">
        <v>1</v>
      </c>
      <c r="H118" s="36">
        <v>0</v>
      </c>
      <c r="I118" s="36" t="s">
        <v>193</v>
      </c>
      <c r="J118" s="36" t="s">
        <v>194</v>
      </c>
      <c r="K118" s="36" t="s">
        <v>195</v>
      </c>
      <c r="L118" s="36">
        <v>923</v>
      </c>
      <c r="M118" s="36"/>
      <c r="N118" s="36" t="s">
        <v>235</v>
      </c>
      <c r="O118" s="36" t="s">
        <v>236</v>
      </c>
      <c r="P118" s="36">
        <v>2</v>
      </c>
      <c r="Q118" s="36" t="s">
        <v>237</v>
      </c>
      <c r="R118" s="37">
        <v>244658</v>
      </c>
      <c r="S118" s="37" t="s">
        <v>8</v>
      </c>
      <c r="T118" s="36" t="s">
        <v>238</v>
      </c>
      <c r="U118" s="36">
        <v>23057812</v>
      </c>
      <c r="V118" s="36" t="s">
        <v>19</v>
      </c>
      <c r="W118" s="36">
        <v>200</v>
      </c>
      <c r="X118" s="36">
        <v>200</v>
      </c>
      <c r="Y118" s="36">
        <v>200</v>
      </c>
      <c r="Z118" s="36">
        <v>200</v>
      </c>
      <c r="AA118" s="36">
        <v>0</v>
      </c>
      <c r="AB118" s="36">
        <v>0</v>
      </c>
      <c r="AC118" s="36">
        <v>0</v>
      </c>
      <c r="AD118" s="36">
        <v>0</v>
      </c>
      <c r="AE118" s="36">
        <v>200</v>
      </c>
      <c r="AF118" s="36">
        <v>200</v>
      </c>
      <c r="AG118" s="36"/>
      <c r="AH118" s="36"/>
      <c r="AI118" s="36" t="s">
        <v>200</v>
      </c>
      <c r="AJ118" s="36" t="s">
        <v>201</v>
      </c>
      <c r="AK118" s="36" t="s">
        <v>202</v>
      </c>
      <c r="AL118" s="36" t="s">
        <v>203</v>
      </c>
      <c r="AM118" s="36" t="s">
        <v>204</v>
      </c>
      <c r="AN118" s="36" t="s">
        <v>222</v>
      </c>
      <c r="AO118" s="36" t="s">
        <v>206</v>
      </c>
      <c r="AP118" s="36">
        <v>2</v>
      </c>
      <c r="AQ118" s="36"/>
      <c r="AR118" s="36"/>
      <c r="AS118" s="36"/>
      <c r="AT118" s="36" t="s">
        <v>207</v>
      </c>
      <c r="AU118" s="36" t="s">
        <v>234</v>
      </c>
      <c r="AV118" s="36" t="s">
        <v>209</v>
      </c>
      <c r="AW118" s="36" t="s">
        <v>209</v>
      </c>
      <c r="AX118" s="36" t="s">
        <v>210</v>
      </c>
      <c r="AY118" s="36">
        <v>0</v>
      </c>
      <c r="AZ118" s="36" t="s">
        <v>211</v>
      </c>
      <c r="BA118" s="36">
        <v>9044989536419</v>
      </c>
      <c r="BB118" s="36"/>
      <c r="BC118" s="36"/>
      <c r="BD118" s="36">
        <v>1</v>
      </c>
      <c r="BE118" s="36"/>
      <c r="BF118" s="36" t="s">
        <v>212</v>
      </c>
      <c r="BG118" s="36">
        <v>1333314600</v>
      </c>
      <c r="BH118" s="36" t="s">
        <v>213</v>
      </c>
      <c r="BI118" s="36">
        <v>200</v>
      </c>
      <c r="BJ118" s="36">
        <v>200</v>
      </c>
      <c r="BK118" s="36">
        <v>1300</v>
      </c>
      <c r="BL118" s="36" t="s">
        <v>214</v>
      </c>
      <c r="BM118" s="36"/>
      <c r="BN118" s="36"/>
    </row>
    <row r="119" spans="1:66" x14ac:dyDescent="0.35">
      <c r="A119" s="36"/>
      <c r="B119" s="36"/>
      <c r="C119" s="37" t="s">
        <v>8</v>
      </c>
      <c r="D119" s="37" t="s">
        <v>8</v>
      </c>
      <c r="E119" s="36"/>
      <c r="F119" s="36" t="s">
        <v>192</v>
      </c>
      <c r="G119" s="36" t="s">
        <v>1</v>
      </c>
      <c r="H119" s="36">
        <v>0</v>
      </c>
      <c r="I119" s="36" t="s">
        <v>193</v>
      </c>
      <c r="J119" s="36" t="s">
        <v>194</v>
      </c>
      <c r="K119" s="36" t="s">
        <v>195</v>
      </c>
      <c r="L119" s="36">
        <v>923</v>
      </c>
      <c r="M119" s="36"/>
      <c r="N119" s="36" t="s">
        <v>235</v>
      </c>
      <c r="O119" s="36" t="s">
        <v>236</v>
      </c>
      <c r="P119" s="36">
        <v>2</v>
      </c>
      <c r="Q119" s="36" t="s">
        <v>237</v>
      </c>
      <c r="R119" s="37">
        <v>244658</v>
      </c>
      <c r="S119" s="37" t="s">
        <v>8</v>
      </c>
      <c r="T119" s="36" t="s">
        <v>238</v>
      </c>
      <c r="U119" s="36">
        <v>23066875</v>
      </c>
      <c r="V119" s="36" t="s">
        <v>44</v>
      </c>
      <c r="W119" s="36">
        <v>20</v>
      </c>
      <c r="X119" s="36">
        <v>20</v>
      </c>
      <c r="Y119" s="36">
        <v>20</v>
      </c>
      <c r="Z119" s="36">
        <v>20</v>
      </c>
      <c r="AA119" s="36">
        <v>0</v>
      </c>
      <c r="AB119" s="36">
        <v>0</v>
      </c>
      <c r="AC119" s="36">
        <v>0</v>
      </c>
      <c r="AD119" s="36">
        <v>0</v>
      </c>
      <c r="AE119" s="36">
        <v>20</v>
      </c>
      <c r="AF119" s="36">
        <v>20</v>
      </c>
      <c r="AG119" s="36"/>
      <c r="AH119" s="36"/>
      <c r="AI119" s="36" t="s">
        <v>200</v>
      </c>
      <c r="AJ119" s="36" t="s">
        <v>201</v>
      </c>
      <c r="AK119" s="36" t="s">
        <v>215</v>
      </c>
      <c r="AL119" s="36" t="s">
        <v>203</v>
      </c>
      <c r="AM119" s="36" t="s">
        <v>204</v>
      </c>
      <c r="AN119" s="36" t="s">
        <v>222</v>
      </c>
      <c r="AO119" s="36" t="s">
        <v>206</v>
      </c>
      <c r="AP119" s="36">
        <v>2</v>
      </c>
      <c r="AQ119" s="36"/>
      <c r="AR119" s="36"/>
      <c r="AS119" s="36"/>
      <c r="AT119" s="36" t="s">
        <v>207</v>
      </c>
      <c r="AU119" s="36" t="s">
        <v>234</v>
      </c>
      <c r="AV119" s="36" t="s">
        <v>209</v>
      </c>
      <c r="AW119" s="36" t="s">
        <v>209</v>
      </c>
      <c r="AX119" s="36" t="s">
        <v>210</v>
      </c>
      <c r="AY119" s="36">
        <v>0</v>
      </c>
      <c r="AZ119" s="36" t="s">
        <v>211</v>
      </c>
      <c r="BA119" s="36">
        <v>9044989536419</v>
      </c>
      <c r="BB119" s="36"/>
      <c r="BC119" s="36"/>
      <c r="BD119" s="36">
        <v>1</v>
      </c>
      <c r="BE119" s="36"/>
      <c r="BF119" s="36" t="s">
        <v>212</v>
      </c>
      <c r="BG119" s="36">
        <v>1333314600</v>
      </c>
      <c r="BH119" s="36" t="s">
        <v>213</v>
      </c>
      <c r="BI119" s="36">
        <v>20</v>
      </c>
      <c r="BJ119" s="36">
        <v>20</v>
      </c>
      <c r="BK119" s="36">
        <v>1300</v>
      </c>
      <c r="BL119" s="36" t="s">
        <v>214</v>
      </c>
      <c r="BM119" s="36"/>
      <c r="BN119" s="36"/>
    </row>
    <row r="120" spans="1:66" x14ac:dyDescent="0.35">
      <c r="A120" s="36"/>
      <c r="B120" s="36"/>
      <c r="C120" s="37" t="s">
        <v>8</v>
      </c>
      <c r="D120" s="37" t="s">
        <v>8</v>
      </c>
      <c r="E120" s="36"/>
      <c r="F120" s="36" t="s">
        <v>192</v>
      </c>
      <c r="G120" s="36" t="s">
        <v>1</v>
      </c>
      <c r="H120" s="36">
        <v>0</v>
      </c>
      <c r="I120" s="36" t="s">
        <v>193</v>
      </c>
      <c r="J120" s="36" t="s">
        <v>194</v>
      </c>
      <c r="K120" s="36" t="s">
        <v>195</v>
      </c>
      <c r="L120" s="36">
        <v>923</v>
      </c>
      <c r="M120" s="36"/>
      <c r="N120" s="36" t="s">
        <v>235</v>
      </c>
      <c r="O120" s="36" t="s">
        <v>236</v>
      </c>
      <c r="P120" s="36">
        <v>2</v>
      </c>
      <c r="Q120" s="36" t="s">
        <v>237</v>
      </c>
      <c r="R120" s="37">
        <v>244658</v>
      </c>
      <c r="S120" s="37" t="s">
        <v>8</v>
      </c>
      <c r="T120" s="36" t="s">
        <v>238</v>
      </c>
      <c r="U120" s="36">
        <v>23086658</v>
      </c>
      <c r="V120" s="36" t="s">
        <v>53</v>
      </c>
      <c r="W120" s="36">
        <v>15</v>
      </c>
      <c r="X120" s="36">
        <v>15</v>
      </c>
      <c r="Y120" s="36">
        <v>15</v>
      </c>
      <c r="Z120" s="36">
        <v>15</v>
      </c>
      <c r="AA120" s="36">
        <v>0</v>
      </c>
      <c r="AB120" s="36">
        <v>0</v>
      </c>
      <c r="AC120" s="36">
        <v>0</v>
      </c>
      <c r="AD120" s="36">
        <v>0</v>
      </c>
      <c r="AE120" s="36">
        <v>15</v>
      </c>
      <c r="AF120" s="36">
        <v>15</v>
      </c>
      <c r="AG120" s="36"/>
      <c r="AH120" s="36"/>
      <c r="AI120" s="36" t="s">
        <v>200</v>
      </c>
      <c r="AJ120" s="36" t="s">
        <v>201</v>
      </c>
      <c r="AK120" s="36" t="s">
        <v>202</v>
      </c>
      <c r="AL120" s="36" t="s">
        <v>203</v>
      </c>
      <c r="AM120" s="36" t="s">
        <v>204</v>
      </c>
      <c r="AN120" s="36" t="s">
        <v>222</v>
      </c>
      <c r="AO120" s="36" t="s">
        <v>206</v>
      </c>
      <c r="AP120" s="36">
        <v>2</v>
      </c>
      <c r="AQ120" s="36"/>
      <c r="AR120" s="36"/>
      <c r="AS120" s="36"/>
      <c r="AT120" s="36" t="s">
        <v>207</v>
      </c>
      <c r="AU120" s="36" t="s">
        <v>234</v>
      </c>
      <c r="AV120" s="36" t="s">
        <v>209</v>
      </c>
      <c r="AW120" s="36" t="s">
        <v>209</v>
      </c>
      <c r="AX120" s="36" t="s">
        <v>210</v>
      </c>
      <c r="AY120" s="36">
        <v>0</v>
      </c>
      <c r="AZ120" s="36" t="s">
        <v>211</v>
      </c>
      <c r="BA120" s="36">
        <v>9044989536419</v>
      </c>
      <c r="BB120" s="36"/>
      <c r="BC120" s="36"/>
      <c r="BD120" s="36">
        <v>1</v>
      </c>
      <c r="BE120" s="36"/>
      <c r="BF120" s="36" t="s">
        <v>212</v>
      </c>
      <c r="BG120" s="36">
        <v>1333314600</v>
      </c>
      <c r="BH120" s="36" t="s">
        <v>213</v>
      </c>
      <c r="BI120" s="36">
        <v>15</v>
      </c>
      <c r="BJ120" s="36">
        <v>15</v>
      </c>
      <c r="BK120" s="36">
        <v>1300</v>
      </c>
      <c r="BL120" s="36" t="s">
        <v>214</v>
      </c>
      <c r="BM120" s="36"/>
      <c r="BN120" s="36"/>
    </row>
    <row r="121" spans="1:66" x14ac:dyDescent="0.35">
      <c r="A121" s="36"/>
      <c r="B121" s="36"/>
      <c r="C121" s="37" t="s">
        <v>8</v>
      </c>
      <c r="D121" s="37" t="s">
        <v>8</v>
      </c>
      <c r="E121" s="36"/>
      <c r="F121" s="36" t="s">
        <v>192</v>
      </c>
      <c r="G121" s="36" t="s">
        <v>1</v>
      </c>
      <c r="H121" s="36">
        <v>0</v>
      </c>
      <c r="I121" s="36" t="s">
        <v>193</v>
      </c>
      <c r="J121" s="36" t="s">
        <v>194</v>
      </c>
      <c r="K121" s="36" t="s">
        <v>195</v>
      </c>
      <c r="L121" s="36">
        <v>923</v>
      </c>
      <c r="M121" s="36"/>
      <c r="N121" s="36" t="s">
        <v>235</v>
      </c>
      <c r="O121" s="36" t="s">
        <v>236</v>
      </c>
      <c r="P121" s="36">
        <v>2</v>
      </c>
      <c r="Q121" s="36" t="s">
        <v>237</v>
      </c>
      <c r="R121" s="37">
        <v>244658</v>
      </c>
      <c r="S121" s="37" t="s">
        <v>8</v>
      </c>
      <c r="T121" s="36" t="s">
        <v>238</v>
      </c>
      <c r="U121" s="36">
        <v>23073188</v>
      </c>
      <c r="V121" s="36" t="s">
        <v>50</v>
      </c>
      <c r="W121" s="36">
        <v>5</v>
      </c>
      <c r="X121" s="36">
        <v>5</v>
      </c>
      <c r="Y121" s="36">
        <v>5</v>
      </c>
      <c r="Z121" s="36">
        <v>5</v>
      </c>
      <c r="AA121" s="36">
        <v>0</v>
      </c>
      <c r="AB121" s="36">
        <v>0</v>
      </c>
      <c r="AC121" s="36">
        <v>0</v>
      </c>
      <c r="AD121" s="36">
        <v>0</v>
      </c>
      <c r="AE121" s="36">
        <v>5</v>
      </c>
      <c r="AF121" s="36">
        <v>5</v>
      </c>
      <c r="AG121" s="36"/>
      <c r="AH121" s="36"/>
      <c r="AI121" s="36" t="s">
        <v>200</v>
      </c>
      <c r="AJ121" s="36" t="s">
        <v>201</v>
      </c>
      <c r="AK121" s="36" t="s">
        <v>215</v>
      </c>
      <c r="AL121" s="36" t="s">
        <v>203</v>
      </c>
      <c r="AM121" s="36" t="s">
        <v>204</v>
      </c>
      <c r="AN121" s="36" t="s">
        <v>222</v>
      </c>
      <c r="AO121" s="36" t="s">
        <v>206</v>
      </c>
      <c r="AP121" s="36">
        <v>2</v>
      </c>
      <c r="AQ121" s="36"/>
      <c r="AR121" s="36"/>
      <c r="AS121" s="36"/>
      <c r="AT121" s="36" t="s">
        <v>207</v>
      </c>
      <c r="AU121" s="36" t="s">
        <v>234</v>
      </c>
      <c r="AV121" s="36" t="s">
        <v>209</v>
      </c>
      <c r="AW121" s="36" t="s">
        <v>209</v>
      </c>
      <c r="AX121" s="36" t="s">
        <v>210</v>
      </c>
      <c r="AY121" s="36">
        <v>0</v>
      </c>
      <c r="AZ121" s="36" t="s">
        <v>211</v>
      </c>
      <c r="BA121" s="36">
        <v>9044989536419</v>
      </c>
      <c r="BB121" s="36"/>
      <c r="BC121" s="36"/>
      <c r="BD121" s="36">
        <v>1</v>
      </c>
      <c r="BE121" s="36"/>
      <c r="BF121" s="36" t="s">
        <v>212</v>
      </c>
      <c r="BG121" s="36">
        <v>1333314600</v>
      </c>
      <c r="BH121" s="36" t="s">
        <v>213</v>
      </c>
      <c r="BI121" s="36">
        <v>5</v>
      </c>
      <c r="BJ121" s="36">
        <v>5</v>
      </c>
      <c r="BK121" s="36">
        <v>1300</v>
      </c>
      <c r="BL121" s="36" t="s">
        <v>214</v>
      </c>
      <c r="BM121" s="36"/>
      <c r="BN121" s="36"/>
    </row>
    <row r="122" spans="1:66" x14ac:dyDescent="0.35">
      <c r="A122" s="36"/>
      <c r="B122" s="36"/>
      <c r="C122" s="37" t="s">
        <v>8</v>
      </c>
      <c r="D122" s="37" t="s">
        <v>8</v>
      </c>
      <c r="E122" s="36"/>
      <c r="F122" s="36" t="s">
        <v>192</v>
      </c>
      <c r="G122" s="36" t="s">
        <v>1</v>
      </c>
      <c r="H122" s="36">
        <v>0</v>
      </c>
      <c r="I122" s="36" t="s">
        <v>193</v>
      </c>
      <c r="J122" s="36" t="s">
        <v>194</v>
      </c>
      <c r="K122" s="36" t="s">
        <v>195</v>
      </c>
      <c r="L122" s="36">
        <v>923</v>
      </c>
      <c r="M122" s="36"/>
      <c r="N122" s="36" t="s">
        <v>235</v>
      </c>
      <c r="O122" s="36" t="s">
        <v>236</v>
      </c>
      <c r="P122" s="36">
        <v>2</v>
      </c>
      <c r="Q122" s="36" t="s">
        <v>237</v>
      </c>
      <c r="R122" s="37">
        <v>244658</v>
      </c>
      <c r="S122" s="37" t="s">
        <v>8</v>
      </c>
      <c r="T122" s="36" t="s">
        <v>238</v>
      </c>
      <c r="U122" s="36">
        <v>23105754</v>
      </c>
      <c r="V122" s="36" t="s">
        <v>76</v>
      </c>
      <c r="W122" s="36">
        <v>60</v>
      </c>
      <c r="X122" s="36">
        <v>60</v>
      </c>
      <c r="Y122" s="36">
        <v>60</v>
      </c>
      <c r="Z122" s="36">
        <v>60</v>
      </c>
      <c r="AA122" s="36">
        <v>0</v>
      </c>
      <c r="AB122" s="36">
        <v>0</v>
      </c>
      <c r="AC122" s="36">
        <v>0</v>
      </c>
      <c r="AD122" s="36">
        <v>0</v>
      </c>
      <c r="AE122" s="36">
        <v>60</v>
      </c>
      <c r="AF122" s="36">
        <v>60</v>
      </c>
      <c r="AG122" s="36"/>
      <c r="AH122" s="36"/>
      <c r="AI122" s="36" t="s">
        <v>200</v>
      </c>
      <c r="AJ122" s="36" t="s">
        <v>201</v>
      </c>
      <c r="AK122" s="36" t="s">
        <v>202</v>
      </c>
      <c r="AL122" s="36" t="s">
        <v>203</v>
      </c>
      <c r="AM122" s="36" t="s">
        <v>204</v>
      </c>
      <c r="AN122" s="36" t="s">
        <v>222</v>
      </c>
      <c r="AO122" s="36" t="s">
        <v>206</v>
      </c>
      <c r="AP122" s="36">
        <v>2</v>
      </c>
      <c r="AQ122" s="36"/>
      <c r="AR122" s="36"/>
      <c r="AS122" s="36"/>
      <c r="AT122" s="36" t="s">
        <v>207</v>
      </c>
      <c r="AU122" s="36" t="s">
        <v>234</v>
      </c>
      <c r="AV122" s="36" t="s">
        <v>209</v>
      </c>
      <c r="AW122" s="36" t="s">
        <v>209</v>
      </c>
      <c r="AX122" s="36" t="s">
        <v>210</v>
      </c>
      <c r="AY122" s="36">
        <v>0</v>
      </c>
      <c r="AZ122" s="36" t="s">
        <v>211</v>
      </c>
      <c r="BA122" s="36">
        <v>9044989536419</v>
      </c>
      <c r="BB122" s="36"/>
      <c r="BC122" s="36"/>
      <c r="BD122" s="36">
        <v>1</v>
      </c>
      <c r="BE122" s="36"/>
      <c r="BF122" s="36" t="s">
        <v>212</v>
      </c>
      <c r="BG122" s="36">
        <v>1333314600</v>
      </c>
      <c r="BH122" s="36" t="s">
        <v>213</v>
      </c>
      <c r="BI122" s="36">
        <v>60</v>
      </c>
      <c r="BJ122" s="36">
        <v>60</v>
      </c>
      <c r="BK122" s="36">
        <v>1300</v>
      </c>
      <c r="BL122" s="36" t="s">
        <v>214</v>
      </c>
      <c r="BM122" s="36"/>
      <c r="BN122" s="36"/>
    </row>
    <row r="123" spans="1:66" x14ac:dyDescent="0.35">
      <c r="A123" s="36"/>
      <c r="B123" s="36"/>
      <c r="C123" s="37" t="s">
        <v>8</v>
      </c>
      <c r="D123" s="37" t="s">
        <v>8</v>
      </c>
      <c r="E123" s="36"/>
      <c r="F123" s="36" t="s">
        <v>192</v>
      </c>
      <c r="G123" s="36" t="s">
        <v>1</v>
      </c>
      <c r="H123" s="36">
        <v>0</v>
      </c>
      <c r="I123" s="36" t="s">
        <v>193</v>
      </c>
      <c r="J123" s="36" t="s">
        <v>194</v>
      </c>
      <c r="K123" s="36" t="s">
        <v>195</v>
      </c>
      <c r="L123" s="36">
        <v>923</v>
      </c>
      <c r="M123" s="36"/>
      <c r="N123" s="36" t="s">
        <v>235</v>
      </c>
      <c r="O123" s="36" t="s">
        <v>236</v>
      </c>
      <c r="P123" s="36">
        <v>2</v>
      </c>
      <c r="Q123" s="36" t="s">
        <v>237</v>
      </c>
      <c r="R123" s="37">
        <v>244658</v>
      </c>
      <c r="S123" s="37" t="s">
        <v>8</v>
      </c>
      <c r="T123" s="36" t="s">
        <v>238</v>
      </c>
      <c r="U123" s="36">
        <v>23065143</v>
      </c>
      <c r="V123" s="36" t="s">
        <v>43</v>
      </c>
      <c r="W123" s="36">
        <v>400</v>
      </c>
      <c r="X123" s="36">
        <v>400</v>
      </c>
      <c r="Y123" s="36">
        <v>400</v>
      </c>
      <c r="Z123" s="36">
        <v>400</v>
      </c>
      <c r="AA123" s="36">
        <v>0</v>
      </c>
      <c r="AB123" s="36">
        <v>0</v>
      </c>
      <c r="AC123" s="36">
        <v>0</v>
      </c>
      <c r="AD123" s="36">
        <v>0</v>
      </c>
      <c r="AE123" s="36">
        <v>400</v>
      </c>
      <c r="AF123" s="36">
        <v>400</v>
      </c>
      <c r="AG123" s="36"/>
      <c r="AH123" s="36"/>
      <c r="AI123" s="36" t="s">
        <v>200</v>
      </c>
      <c r="AJ123" s="36" t="s">
        <v>201</v>
      </c>
      <c r="AK123" s="36" t="s">
        <v>202</v>
      </c>
      <c r="AL123" s="36" t="s">
        <v>203</v>
      </c>
      <c r="AM123" s="36" t="s">
        <v>204</v>
      </c>
      <c r="AN123" s="36" t="s">
        <v>222</v>
      </c>
      <c r="AO123" s="36" t="s">
        <v>206</v>
      </c>
      <c r="AP123" s="36">
        <v>2</v>
      </c>
      <c r="AQ123" s="36"/>
      <c r="AR123" s="36"/>
      <c r="AS123" s="36"/>
      <c r="AT123" s="36" t="s">
        <v>207</v>
      </c>
      <c r="AU123" s="36" t="s">
        <v>234</v>
      </c>
      <c r="AV123" s="36" t="s">
        <v>209</v>
      </c>
      <c r="AW123" s="36" t="s">
        <v>209</v>
      </c>
      <c r="AX123" s="36" t="s">
        <v>210</v>
      </c>
      <c r="AY123" s="36">
        <v>0</v>
      </c>
      <c r="AZ123" s="36" t="s">
        <v>211</v>
      </c>
      <c r="BA123" s="36">
        <v>9044989536419</v>
      </c>
      <c r="BB123" s="36"/>
      <c r="BC123" s="36"/>
      <c r="BD123" s="36">
        <v>1</v>
      </c>
      <c r="BE123" s="36"/>
      <c r="BF123" s="36" t="s">
        <v>212</v>
      </c>
      <c r="BG123" s="36">
        <v>1333314600</v>
      </c>
      <c r="BH123" s="36" t="s">
        <v>213</v>
      </c>
      <c r="BI123" s="36">
        <v>400</v>
      </c>
      <c r="BJ123" s="36">
        <v>400</v>
      </c>
      <c r="BK123" s="36">
        <v>1300</v>
      </c>
      <c r="BL123" s="36" t="s">
        <v>214</v>
      </c>
      <c r="BM123" s="36"/>
      <c r="BN123" s="36"/>
    </row>
    <row r="124" spans="1:66" x14ac:dyDescent="0.35">
      <c r="A124" s="36"/>
      <c r="B124" s="36"/>
      <c r="C124" s="37" t="s">
        <v>8</v>
      </c>
      <c r="D124" s="37" t="s">
        <v>8</v>
      </c>
      <c r="E124" s="36"/>
      <c r="F124" s="36" t="s">
        <v>192</v>
      </c>
      <c r="G124" s="36" t="s">
        <v>1</v>
      </c>
      <c r="H124" s="36">
        <v>0</v>
      </c>
      <c r="I124" s="36" t="s">
        <v>193</v>
      </c>
      <c r="J124" s="36" t="s">
        <v>194</v>
      </c>
      <c r="K124" s="36" t="s">
        <v>195</v>
      </c>
      <c r="L124" s="36">
        <v>923</v>
      </c>
      <c r="M124" s="36"/>
      <c r="N124" s="36" t="s">
        <v>235</v>
      </c>
      <c r="O124" s="36" t="s">
        <v>236</v>
      </c>
      <c r="P124" s="36">
        <v>2</v>
      </c>
      <c r="Q124" s="36" t="s">
        <v>237</v>
      </c>
      <c r="R124" s="37">
        <v>244658</v>
      </c>
      <c r="S124" s="37" t="s">
        <v>8</v>
      </c>
      <c r="T124" s="36" t="s">
        <v>238</v>
      </c>
      <c r="U124" s="36">
        <v>23104868</v>
      </c>
      <c r="V124" s="36" t="s">
        <v>71</v>
      </c>
      <c r="W124" s="36">
        <v>2</v>
      </c>
      <c r="X124" s="36">
        <v>10</v>
      </c>
      <c r="Y124" s="36">
        <v>2</v>
      </c>
      <c r="Z124" s="36">
        <v>10</v>
      </c>
      <c r="AA124" s="36">
        <v>0</v>
      </c>
      <c r="AB124" s="36">
        <v>0</v>
      </c>
      <c r="AC124" s="36">
        <v>0</v>
      </c>
      <c r="AD124" s="36">
        <v>0</v>
      </c>
      <c r="AE124" s="36">
        <v>2</v>
      </c>
      <c r="AF124" s="36">
        <v>10</v>
      </c>
      <c r="AG124" s="36"/>
      <c r="AH124" s="36"/>
      <c r="AI124" s="36" t="s">
        <v>200</v>
      </c>
      <c r="AJ124" s="36" t="s">
        <v>201</v>
      </c>
      <c r="AK124" s="36" t="s">
        <v>202</v>
      </c>
      <c r="AL124" s="36" t="s">
        <v>203</v>
      </c>
      <c r="AM124" s="36" t="s">
        <v>204</v>
      </c>
      <c r="AN124" s="36" t="s">
        <v>222</v>
      </c>
      <c r="AO124" s="36" t="s">
        <v>206</v>
      </c>
      <c r="AP124" s="36">
        <v>2</v>
      </c>
      <c r="AQ124" s="36"/>
      <c r="AR124" s="36"/>
      <c r="AS124" s="36"/>
      <c r="AT124" s="36" t="s">
        <v>207</v>
      </c>
      <c r="AU124" s="36" t="s">
        <v>234</v>
      </c>
      <c r="AV124" s="36" t="s">
        <v>217</v>
      </c>
      <c r="AW124" s="36" t="s">
        <v>209</v>
      </c>
      <c r="AX124" s="36" t="s">
        <v>210</v>
      </c>
      <c r="AY124" s="36">
        <v>0</v>
      </c>
      <c r="AZ124" s="36" t="s">
        <v>211</v>
      </c>
      <c r="BA124" s="36">
        <v>9044989536419</v>
      </c>
      <c r="BB124" s="36"/>
      <c r="BC124" s="36"/>
      <c r="BD124" s="36">
        <v>1</v>
      </c>
      <c r="BE124" s="36"/>
      <c r="BF124" s="36" t="s">
        <v>212</v>
      </c>
      <c r="BG124" s="36">
        <v>1333314600</v>
      </c>
      <c r="BH124" s="36" t="s">
        <v>213</v>
      </c>
      <c r="BI124" s="36">
        <v>2</v>
      </c>
      <c r="BJ124" s="36">
        <v>10</v>
      </c>
      <c r="BK124" s="36">
        <v>1300</v>
      </c>
      <c r="BL124" s="36" t="s">
        <v>214</v>
      </c>
      <c r="BM124" s="36"/>
      <c r="BN124" s="36"/>
    </row>
    <row r="125" spans="1:66" x14ac:dyDescent="0.35">
      <c r="A125" s="36"/>
      <c r="B125" s="36"/>
      <c r="C125" s="37" t="s">
        <v>8</v>
      </c>
      <c r="D125" s="37" t="s">
        <v>8</v>
      </c>
      <c r="E125" s="36"/>
      <c r="F125" s="36" t="s">
        <v>192</v>
      </c>
      <c r="G125" s="36" t="s">
        <v>1</v>
      </c>
      <c r="H125" s="36">
        <v>0</v>
      </c>
      <c r="I125" s="36" t="s">
        <v>193</v>
      </c>
      <c r="J125" s="36" t="s">
        <v>194</v>
      </c>
      <c r="K125" s="36" t="s">
        <v>195</v>
      </c>
      <c r="L125" s="36">
        <v>923</v>
      </c>
      <c r="M125" s="36"/>
      <c r="N125" s="36" t="s">
        <v>235</v>
      </c>
      <c r="O125" s="36" t="s">
        <v>236</v>
      </c>
      <c r="P125" s="36">
        <v>2</v>
      </c>
      <c r="Q125" s="36" t="s">
        <v>237</v>
      </c>
      <c r="R125" s="37">
        <v>244658</v>
      </c>
      <c r="S125" s="37" t="s">
        <v>8</v>
      </c>
      <c r="T125" s="36" t="s">
        <v>238</v>
      </c>
      <c r="U125" s="36">
        <v>23087679</v>
      </c>
      <c r="V125" s="36" t="s">
        <v>128</v>
      </c>
      <c r="W125" s="36">
        <v>5</v>
      </c>
      <c r="X125" s="36">
        <v>5</v>
      </c>
      <c r="Y125" s="36">
        <v>5</v>
      </c>
      <c r="Z125" s="36">
        <v>5</v>
      </c>
      <c r="AA125" s="36">
        <v>0</v>
      </c>
      <c r="AB125" s="36">
        <v>0</v>
      </c>
      <c r="AC125" s="36">
        <v>0</v>
      </c>
      <c r="AD125" s="36">
        <v>0</v>
      </c>
      <c r="AE125" s="36">
        <v>5</v>
      </c>
      <c r="AF125" s="36">
        <v>5</v>
      </c>
      <c r="AG125" s="36"/>
      <c r="AH125" s="36"/>
      <c r="AI125" s="36" t="s">
        <v>200</v>
      </c>
      <c r="AJ125" s="36" t="s">
        <v>201</v>
      </c>
      <c r="AK125" s="36" t="s">
        <v>215</v>
      </c>
      <c r="AL125" s="36" t="s">
        <v>203</v>
      </c>
      <c r="AM125" s="36" t="s">
        <v>204</v>
      </c>
      <c r="AN125" s="36" t="s">
        <v>222</v>
      </c>
      <c r="AO125" s="36" t="s">
        <v>206</v>
      </c>
      <c r="AP125" s="36">
        <v>2</v>
      </c>
      <c r="AQ125" s="36"/>
      <c r="AR125" s="36"/>
      <c r="AS125" s="36"/>
      <c r="AT125" s="36" t="s">
        <v>207</v>
      </c>
      <c r="AU125" s="36" t="s">
        <v>234</v>
      </c>
      <c r="AV125" s="36" t="s">
        <v>209</v>
      </c>
      <c r="AW125" s="36" t="s">
        <v>209</v>
      </c>
      <c r="AX125" s="36" t="s">
        <v>210</v>
      </c>
      <c r="AY125" s="36">
        <v>0</v>
      </c>
      <c r="AZ125" s="36" t="s">
        <v>211</v>
      </c>
      <c r="BA125" s="36">
        <v>9044989536419</v>
      </c>
      <c r="BB125" s="36"/>
      <c r="BC125" s="36"/>
      <c r="BD125" s="36">
        <v>1</v>
      </c>
      <c r="BE125" s="36"/>
      <c r="BF125" s="36" t="s">
        <v>212</v>
      </c>
      <c r="BG125" s="36">
        <v>1333314600</v>
      </c>
      <c r="BH125" s="36" t="s">
        <v>213</v>
      </c>
      <c r="BI125" s="36">
        <v>5</v>
      </c>
      <c r="BJ125" s="36">
        <v>5</v>
      </c>
      <c r="BK125" s="36">
        <v>1300</v>
      </c>
      <c r="BL125" s="36" t="s">
        <v>214</v>
      </c>
      <c r="BM125" s="36"/>
      <c r="BN125" s="36"/>
    </row>
    <row r="126" spans="1:66" x14ac:dyDescent="0.35">
      <c r="A126" s="36"/>
      <c r="B126" s="36"/>
      <c r="C126" s="37" t="s">
        <v>8</v>
      </c>
      <c r="D126" s="37" t="s">
        <v>8</v>
      </c>
      <c r="E126" s="36"/>
      <c r="F126" s="36" t="s">
        <v>192</v>
      </c>
      <c r="G126" s="36" t="s">
        <v>1</v>
      </c>
      <c r="H126" s="36">
        <v>0</v>
      </c>
      <c r="I126" s="36" t="s">
        <v>193</v>
      </c>
      <c r="J126" s="36" t="s">
        <v>194</v>
      </c>
      <c r="K126" s="36" t="s">
        <v>195</v>
      </c>
      <c r="L126" s="36">
        <v>923</v>
      </c>
      <c r="M126" s="36"/>
      <c r="N126" s="36" t="s">
        <v>235</v>
      </c>
      <c r="O126" s="36" t="s">
        <v>236</v>
      </c>
      <c r="P126" s="36">
        <v>2</v>
      </c>
      <c r="Q126" s="36" t="s">
        <v>237</v>
      </c>
      <c r="R126" s="37">
        <v>244658</v>
      </c>
      <c r="S126" s="37" t="s">
        <v>8</v>
      </c>
      <c r="T126" s="36" t="s">
        <v>238</v>
      </c>
      <c r="U126" s="36">
        <v>23065140</v>
      </c>
      <c r="V126" s="36" t="s">
        <v>40</v>
      </c>
      <c r="W126" s="36">
        <v>400</v>
      </c>
      <c r="X126" s="36">
        <v>400</v>
      </c>
      <c r="Y126" s="36">
        <v>400</v>
      </c>
      <c r="Z126" s="36">
        <v>400</v>
      </c>
      <c r="AA126" s="36">
        <v>0</v>
      </c>
      <c r="AB126" s="36">
        <v>0</v>
      </c>
      <c r="AC126" s="36">
        <v>0</v>
      </c>
      <c r="AD126" s="36">
        <v>0</v>
      </c>
      <c r="AE126" s="36">
        <v>400</v>
      </c>
      <c r="AF126" s="36">
        <v>400</v>
      </c>
      <c r="AG126" s="36"/>
      <c r="AH126" s="36"/>
      <c r="AI126" s="36" t="s">
        <v>200</v>
      </c>
      <c r="AJ126" s="36" t="s">
        <v>201</v>
      </c>
      <c r="AK126" s="36" t="s">
        <v>202</v>
      </c>
      <c r="AL126" s="36" t="s">
        <v>203</v>
      </c>
      <c r="AM126" s="36" t="s">
        <v>204</v>
      </c>
      <c r="AN126" s="36" t="s">
        <v>222</v>
      </c>
      <c r="AO126" s="36" t="s">
        <v>206</v>
      </c>
      <c r="AP126" s="36">
        <v>2</v>
      </c>
      <c r="AQ126" s="36"/>
      <c r="AR126" s="36"/>
      <c r="AS126" s="36"/>
      <c r="AT126" s="36" t="s">
        <v>207</v>
      </c>
      <c r="AU126" s="36" t="s">
        <v>234</v>
      </c>
      <c r="AV126" s="36" t="s">
        <v>209</v>
      </c>
      <c r="AW126" s="36" t="s">
        <v>209</v>
      </c>
      <c r="AX126" s="36" t="s">
        <v>210</v>
      </c>
      <c r="AY126" s="36">
        <v>0</v>
      </c>
      <c r="AZ126" s="36" t="s">
        <v>211</v>
      </c>
      <c r="BA126" s="36">
        <v>9044989536419</v>
      </c>
      <c r="BB126" s="36"/>
      <c r="BC126" s="36"/>
      <c r="BD126" s="36">
        <v>1</v>
      </c>
      <c r="BE126" s="36"/>
      <c r="BF126" s="36" t="s">
        <v>212</v>
      </c>
      <c r="BG126" s="36">
        <v>1333314600</v>
      </c>
      <c r="BH126" s="36" t="s">
        <v>213</v>
      </c>
      <c r="BI126" s="36">
        <v>400</v>
      </c>
      <c r="BJ126" s="36">
        <v>400</v>
      </c>
      <c r="BK126" s="36">
        <v>1300</v>
      </c>
      <c r="BL126" s="36" t="s">
        <v>214</v>
      </c>
      <c r="BM126" s="36"/>
      <c r="BN126" s="36"/>
    </row>
    <row r="127" spans="1:66" x14ac:dyDescent="0.35">
      <c r="A127" s="36"/>
      <c r="B127" s="36"/>
      <c r="C127" s="37" t="s">
        <v>8</v>
      </c>
      <c r="D127" s="37" t="s">
        <v>8</v>
      </c>
      <c r="E127" s="36"/>
      <c r="F127" s="36" t="s">
        <v>192</v>
      </c>
      <c r="G127" s="36" t="s">
        <v>1</v>
      </c>
      <c r="H127" s="36">
        <v>0</v>
      </c>
      <c r="I127" s="36" t="s">
        <v>193</v>
      </c>
      <c r="J127" s="36" t="s">
        <v>194</v>
      </c>
      <c r="K127" s="36" t="s">
        <v>195</v>
      </c>
      <c r="L127" s="36">
        <v>923</v>
      </c>
      <c r="M127" s="36"/>
      <c r="N127" s="36" t="s">
        <v>235</v>
      </c>
      <c r="O127" s="36" t="s">
        <v>236</v>
      </c>
      <c r="P127" s="36">
        <v>2</v>
      </c>
      <c r="Q127" s="36" t="s">
        <v>237</v>
      </c>
      <c r="R127" s="37">
        <v>244658</v>
      </c>
      <c r="S127" s="37" t="s">
        <v>8</v>
      </c>
      <c r="T127" s="36" t="s">
        <v>238</v>
      </c>
      <c r="U127" s="36">
        <v>23057824</v>
      </c>
      <c r="V127" s="36" t="s">
        <v>23</v>
      </c>
      <c r="W127" s="36">
        <v>50</v>
      </c>
      <c r="X127" s="36">
        <v>50</v>
      </c>
      <c r="Y127" s="36">
        <v>50</v>
      </c>
      <c r="Z127" s="36">
        <v>50</v>
      </c>
      <c r="AA127" s="36">
        <v>0</v>
      </c>
      <c r="AB127" s="36">
        <v>0</v>
      </c>
      <c r="AC127" s="36">
        <v>0</v>
      </c>
      <c r="AD127" s="36">
        <v>0</v>
      </c>
      <c r="AE127" s="36">
        <v>50</v>
      </c>
      <c r="AF127" s="36">
        <v>50</v>
      </c>
      <c r="AG127" s="36"/>
      <c r="AH127" s="36"/>
      <c r="AI127" s="36" t="s">
        <v>200</v>
      </c>
      <c r="AJ127" s="36" t="s">
        <v>201</v>
      </c>
      <c r="AK127" s="36" t="s">
        <v>202</v>
      </c>
      <c r="AL127" s="36" t="s">
        <v>203</v>
      </c>
      <c r="AM127" s="36" t="s">
        <v>204</v>
      </c>
      <c r="AN127" s="36" t="s">
        <v>222</v>
      </c>
      <c r="AO127" s="36" t="s">
        <v>206</v>
      </c>
      <c r="AP127" s="36">
        <v>2</v>
      </c>
      <c r="AQ127" s="36"/>
      <c r="AR127" s="36"/>
      <c r="AS127" s="36"/>
      <c r="AT127" s="36" t="s">
        <v>207</v>
      </c>
      <c r="AU127" s="36" t="s">
        <v>234</v>
      </c>
      <c r="AV127" s="36" t="s">
        <v>209</v>
      </c>
      <c r="AW127" s="36" t="s">
        <v>209</v>
      </c>
      <c r="AX127" s="36" t="s">
        <v>210</v>
      </c>
      <c r="AY127" s="36">
        <v>0</v>
      </c>
      <c r="AZ127" s="36" t="s">
        <v>211</v>
      </c>
      <c r="BA127" s="36">
        <v>9044989536419</v>
      </c>
      <c r="BB127" s="36"/>
      <c r="BC127" s="36"/>
      <c r="BD127" s="36">
        <v>1</v>
      </c>
      <c r="BE127" s="36"/>
      <c r="BF127" s="36" t="s">
        <v>212</v>
      </c>
      <c r="BG127" s="36">
        <v>1333314600</v>
      </c>
      <c r="BH127" s="36" t="s">
        <v>213</v>
      </c>
      <c r="BI127" s="36">
        <v>50</v>
      </c>
      <c r="BJ127" s="36">
        <v>50</v>
      </c>
      <c r="BK127" s="36">
        <v>1300</v>
      </c>
      <c r="BL127" s="36" t="s">
        <v>214</v>
      </c>
      <c r="BM127" s="36"/>
      <c r="BN127" s="36"/>
    </row>
    <row r="128" spans="1:66" x14ac:dyDescent="0.35">
      <c r="A128" s="36"/>
      <c r="B128" s="36"/>
      <c r="C128" s="37" t="s">
        <v>8</v>
      </c>
      <c r="D128" s="37" t="s">
        <v>8</v>
      </c>
      <c r="E128" s="36"/>
      <c r="F128" s="36" t="s">
        <v>192</v>
      </c>
      <c r="G128" s="36" t="s">
        <v>1</v>
      </c>
      <c r="H128" s="36">
        <v>0</v>
      </c>
      <c r="I128" s="36" t="s">
        <v>193</v>
      </c>
      <c r="J128" s="36" t="s">
        <v>194</v>
      </c>
      <c r="K128" s="36" t="s">
        <v>195</v>
      </c>
      <c r="L128" s="36">
        <v>923</v>
      </c>
      <c r="M128" s="36"/>
      <c r="N128" s="36" t="s">
        <v>235</v>
      </c>
      <c r="O128" s="36" t="s">
        <v>236</v>
      </c>
      <c r="P128" s="36">
        <v>2</v>
      </c>
      <c r="Q128" s="36" t="s">
        <v>237</v>
      </c>
      <c r="R128" s="37">
        <v>244658</v>
      </c>
      <c r="S128" s="37" t="s">
        <v>8</v>
      </c>
      <c r="T128" s="36" t="s">
        <v>238</v>
      </c>
      <c r="U128" s="36">
        <v>23058584</v>
      </c>
      <c r="V128" s="36" t="s">
        <v>29</v>
      </c>
      <c r="W128" s="36">
        <v>30</v>
      </c>
      <c r="X128" s="36">
        <v>30</v>
      </c>
      <c r="Y128" s="36">
        <v>30</v>
      </c>
      <c r="Z128" s="36">
        <v>30</v>
      </c>
      <c r="AA128" s="36">
        <v>0</v>
      </c>
      <c r="AB128" s="36">
        <v>0</v>
      </c>
      <c r="AC128" s="36">
        <v>0</v>
      </c>
      <c r="AD128" s="36">
        <v>0</v>
      </c>
      <c r="AE128" s="36">
        <v>30</v>
      </c>
      <c r="AF128" s="36">
        <v>30</v>
      </c>
      <c r="AG128" s="36"/>
      <c r="AH128" s="36"/>
      <c r="AI128" s="36" t="s">
        <v>200</v>
      </c>
      <c r="AJ128" s="36" t="s">
        <v>201</v>
      </c>
      <c r="AK128" s="36" t="s">
        <v>215</v>
      </c>
      <c r="AL128" s="36" t="s">
        <v>203</v>
      </c>
      <c r="AM128" s="36" t="s">
        <v>204</v>
      </c>
      <c r="AN128" s="36" t="s">
        <v>222</v>
      </c>
      <c r="AO128" s="36" t="s">
        <v>206</v>
      </c>
      <c r="AP128" s="36">
        <v>2</v>
      </c>
      <c r="AQ128" s="36"/>
      <c r="AR128" s="36"/>
      <c r="AS128" s="36"/>
      <c r="AT128" s="36" t="s">
        <v>207</v>
      </c>
      <c r="AU128" s="36" t="s">
        <v>234</v>
      </c>
      <c r="AV128" s="36" t="s">
        <v>209</v>
      </c>
      <c r="AW128" s="36" t="s">
        <v>209</v>
      </c>
      <c r="AX128" s="36" t="s">
        <v>210</v>
      </c>
      <c r="AY128" s="36">
        <v>0</v>
      </c>
      <c r="AZ128" s="36" t="s">
        <v>211</v>
      </c>
      <c r="BA128" s="36">
        <v>9044989536419</v>
      </c>
      <c r="BB128" s="36"/>
      <c r="BC128" s="36"/>
      <c r="BD128" s="36">
        <v>1</v>
      </c>
      <c r="BE128" s="36"/>
      <c r="BF128" s="36" t="s">
        <v>212</v>
      </c>
      <c r="BG128" s="36">
        <v>1333314600</v>
      </c>
      <c r="BH128" s="36" t="s">
        <v>213</v>
      </c>
      <c r="BI128" s="36">
        <v>30</v>
      </c>
      <c r="BJ128" s="36">
        <v>30</v>
      </c>
      <c r="BK128" s="36">
        <v>1300</v>
      </c>
      <c r="BL128" s="36" t="s">
        <v>214</v>
      </c>
      <c r="BM128" s="36"/>
      <c r="BN128" s="36"/>
    </row>
    <row r="129" spans="1:66" x14ac:dyDescent="0.35">
      <c r="A129" s="36"/>
      <c r="B129" s="36"/>
      <c r="C129" s="37" t="s">
        <v>8</v>
      </c>
      <c r="D129" s="37" t="s">
        <v>8</v>
      </c>
      <c r="E129" s="36"/>
      <c r="F129" s="36" t="s">
        <v>192</v>
      </c>
      <c r="G129" s="36" t="s">
        <v>1</v>
      </c>
      <c r="H129" s="36">
        <v>0</v>
      </c>
      <c r="I129" s="36" t="s">
        <v>193</v>
      </c>
      <c r="J129" s="36" t="s">
        <v>194</v>
      </c>
      <c r="K129" s="36" t="s">
        <v>195</v>
      </c>
      <c r="L129" s="36">
        <v>923</v>
      </c>
      <c r="M129" s="36"/>
      <c r="N129" s="36" t="s">
        <v>235</v>
      </c>
      <c r="O129" s="36" t="s">
        <v>236</v>
      </c>
      <c r="P129" s="36">
        <v>2</v>
      </c>
      <c r="Q129" s="36" t="s">
        <v>237</v>
      </c>
      <c r="R129" s="37">
        <v>244658</v>
      </c>
      <c r="S129" s="37" t="s">
        <v>8</v>
      </c>
      <c r="T129" s="36" t="s">
        <v>238</v>
      </c>
      <c r="U129" s="36">
        <v>23047038</v>
      </c>
      <c r="V129" s="36" t="s">
        <v>17</v>
      </c>
      <c r="W129" s="36">
        <v>40</v>
      </c>
      <c r="X129" s="36">
        <v>200</v>
      </c>
      <c r="Y129" s="36">
        <v>40</v>
      </c>
      <c r="Z129" s="36">
        <v>200</v>
      </c>
      <c r="AA129" s="36">
        <v>0</v>
      </c>
      <c r="AB129" s="36">
        <v>0</v>
      </c>
      <c r="AC129" s="36">
        <v>0</v>
      </c>
      <c r="AD129" s="36">
        <v>0</v>
      </c>
      <c r="AE129" s="36">
        <v>40</v>
      </c>
      <c r="AF129" s="36">
        <v>200</v>
      </c>
      <c r="AG129" s="36"/>
      <c r="AH129" s="36"/>
      <c r="AI129" s="36" t="s">
        <v>200</v>
      </c>
      <c r="AJ129" s="36" t="s">
        <v>201</v>
      </c>
      <c r="AK129" s="36" t="s">
        <v>202</v>
      </c>
      <c r="AL129" s="36" t="s">
        <v>203</v>
      </c>
      <c r="AM129" s="36" t="s">
        <v>204</v>
      </c>
      <c r="AN129" s="36" t="s">
        <v>222</v>
      </c>
      <c r="AO129" s="36" t="s">
        <v>206</v>
      </c>
      <c r="AP129" s="36">
        <v>2</v>
      </c>
      <c r="AQ129" s="36"/>
      <c r="AR129" s="36"/>
      <c r="AS129" s="36"/>
      <c r="AT129" s="36" t="s">
        <v>207</v>
      </c>
      <c r="AU129" s="36" t="s">
        <v>234</v>
      </c>
      <c r="AV129" s="36" t="s">
        <v>216</v>
      </c>
      <c r="AW129" s="36" t="s">
        <v>209</v>
      </c>
      <c r="AX129" s="36" t="s">
        <v>210</v>
      </c>
      <c r="AY129" s="36">
        <v>0</v>
      </c>
      <c r="AZ129" s="36" t="s">
        <v>211</v>
      </c>
      <c r="BA129" s="36">
        <v>9044989536419</v>
      </c>
      <c r="BB129" s="36"/>
      <c r="BC129" s="36"/>
      <c r="BD129" s="36">
        <v>1</v>
      </c>
      <c r="BE129" s="36"/>
      <c r="BF129" s="36" t="s">
        <v>212</v>
      </c>
      <c r="BG129" s="36">
        <v>1333314600</v>
      </c>
      <c r="BH129" s="36" t="s">
        <v>213</v>
      </c>
      <c r="BI129" s="36">
        <v>40</v>
      </c>
      <c r="BJ129" s="36">
        <v>200</v>
      </c>
      <c r="BK129" s="36">
        <v>1300</v>
      </c>
      <c r="BL129" s="36" t="s">
        <v>214</v>
      </c>
      <c r="BM129" s="36"/>
      <c r="BN129" s="36"/>
    </row>
    <row r="130" spans="1:66" x14ac:dyDescent="0.35">
      <c r="A130" s="36"/>
      <c r="B130" s="36"/>
      <c r="C130" s="37" t="s">
        <v>8</v>
      </c>
      <c r="D130" s="37" t="s">
        <v>8</v>
      </c>
      <c r="E130" s="36"/>
      <c r="F130" s="36" t="s">
        <v>192</v>
      </c>
      <c r="G130" s="36" t="s">
        <v>1</v>
      </c>
      <c r="H130" s="36">
        <v>0</v>
      </c>
      <c r="I130" s="36" t="s">
        <v>193</v>
      </c>
      <c r="J130" s="36" t="s">
        <v>194</v>
      </c>
      <c r="K130" s="36" t="s">
        <v>195</v>
      </c>
      <c r="L130" s="36">
        <v>923</v>
      </c>
      <c r="M130" s="36"/>
      <c r="N130" s="36" t="s">
        <v>235</v>
      </c>
      <c r="O130" s="36" t="s">
        <v>236</v>
      </c>
      <c r="P130" s="36">
        <v>2</v>
      </c>
      <c r="Q130" s="36" t="s">
        <v>237</v>
      </c>
      <c r="R130" s="37">
        <v>244658</v>
      </c>
      <c r="S130" s="37" t="s">
        <v>8</v>
      </c>
      <c r="T130" s="36" t="s">
        <v>238</v>
      </c>
      <c r="U130" s="36">
        <v>23062095</v>
      </c>
      <c r="V130" s="36" t="s">
        <v>36</v>
      </c>
      <c r="W130" s="36">
        <v>5</v>
      </c>
      <c r="X130" s="36">
        <v>5</v>
      </c>
      <c r="Y130" s="36">
        <v>5</v>
      </c>
      <c r="Z130" s="36">
        <v>5</v>
      </c>
      <c r="AA130" s="36">
        <v>0</v>
      </c>
      <c r="AB130" s="36">
        <v>0</v>
      </c>
      <c r="AC130" s="36">
        <v>0</v>
      </c>
      <c r="AD130" s="36">
        <v>0</v>
      </c>
      <c r="AE130" s="36">
        <v>5</v>
      </c>
      <c r="AF130" s="36">
        <v>5</v>
      </c>
      <c r="AG130" s="36"/>
      <c r="AH130" s="36"/>
      <c r="AI130" s="36" t="s">
        <v>200</v>
      </c>
      <c r="AJ130" s="36" t="s">
        <v>201</v>
      </c>
      <c r="AK130" s="36" t="s">
        <v>215</v>
      </c>
      <c r="AL130" s="36" t="s">
        <v>203</v>
      </c>
      <c r="AM130" s="36" t="s">
        <v>204</v>
      </c>
      <c r="AN130" s="36" t="s">
        <v>222</v>
      </c>
      <c r="AO130" s="36" t="s">
        <v>206</v>
      </c>
      <c r="AP130" s="36">
        <v>2</v>
      </c>
      <c r="AQ130" s="36"/>
      <c r="AR130" s="36"/>
      <c r="AS130" s="36"/>
      <c r="AT130" s="36" t="s">
        <v>207</v>
      </c>
      <c r="AU130" s="36" t="s">
        <v>234</v>
      </c>
      <c r="AV130" s="36" t="s">
        <v>209</v>
      </c>
      <c r="AW130" s="36" t="s">
        <v>209</v>
      </c>
      <c r="AX130" s="36" t="s">
        <v>210</v>
      </c>
      <c r="AY130" s="36">
        <v>0</v>
      </c>
      <c r="AZ130" s="36" t="s">
        <v>211</v>
      </c>
      <c r="BA130" s="36">
        <v>9044989536419</v>
      </c>
      <c r="BB130" s="36"/>
      <c r="BC130" s="36"/>
      <c r="BD130" s="36">
        <v>1</v>
      </c>
      <c r="BE130" s="36"/>
      <c r="BF130" s="36" t="s">
        <v>212</v>
      </c>
      <c r="BG130" s="36">
        <v>1333314600</v>
      </c>
      <c r="BH130" s="36" t="s">
        <v>213</v>
      </c>
      <c r="BI130" s="36">
        <v>5</v>
      </c>
      <c r="BJ130" s="36">
        <v>5</v>
      </c>
      <c r="BK130" s="36">
        <v>1300</v>
      </c>
      <c r="BL130" s="36" t="s">
        <v>214</v>
      </c>
      <c r="BM130" s="36"/>
      <c r="BN130" s="36"/>
    </row>
    <row r="131" spans="1:66" x14ac:dyDescent="0.35">
      <c r="A131" s="36"/>
      <c r="B131" s="36"/>
      <c r="C131" s="37" t="s">
        <v>8</v>
      </c>
      <c r="D131" s="37" t="s">
        <v>8</v>
      </c>
      <c r="E131" s="36"/>
      <c r="F131" s="36" t="s">
        <v>192</v>
      </c>
      <c r="G131" s="36" t="s">
        <v>1</v>
      </c>
      <c r="H131" s="36">
        <v>0</v>
      </c>
      <c r="I131" s="36" t="s">
        <v>193</v>
      </c>
      <c r="J131" s="36" t="s">
        <v>194</v>
      </c>
      <c r="K131" s="36" t="s">
        <v>195</v>
      </c>
      <c r="L131" s="36">
        <v>923</v>
      </c>
      <c r="M131" s="36"/>
      <c r="N131" s="36" t="s">
        <v>235</v>
      </c>
      <c r="O131" s="36" t="s">
        <v>236</v>
      </c>
      <c r="P131" s="36">
        <v>2</v>
      </c>
      <c r="Q131" s="36" t="s">
        <v>237</v>
      </c>
      <c r="R131" s="37">
        <v>244658</v>
      </c>
      <c r="S131" s="37" t="s">
        <v>8</v>
      </c>
      <c r="T131" s="36" t="s">
        <v>238</v>
      </c>
      <c r="U131" s="36">
        <v>23058591</v>
      </c>
      <c r="V131" s="36" t="s">
        <v>35</v>
      </c>
      <c r="W131" s="36">
        <v>20</v>
      </c>
      <c r="X131" s="36">
        <v>20</v>
      </c>
      <c r="Y131" s="36">
        <v>20</v>
      </c>
      <c r="Z131" s="36">
        <v>20</v>
      </c>
      <c r="AA131" s="36">
        <v>0</v>
      </c>
      <c r="AB131" s="36">
        <v>0</v>
      </c>
      <c r="AC131" s="36">
        <v>0</v>
      </c>
      <c r="AD131" s="36">
        <v>0</v>
      </c>
      <c r="AE131" s="36">
        <v>20</v>
      </c>
      <c r="AF131" s="36">
        <v>20</v>
      </c>
      <c r="AG131" s="36"/>
      <c r="AH131" s="36"/>
      <c r="AI131" s="36" t="s">
        <v>200</v>
      </c>
      <c r="AJ131" s="36" t="s">
        <v>201</v>
      </c>
      <c r="AK131" s="36" t="s">
        <v>215</v>
      </c>
      <c r="AL131" s="36" t="s">
        <v>203</v>
      </c>
      <c r="AM131" s="36" t="s">
        <v>204</v>
      </c>
      <c r="AN131" s="36" t="s">
        <v>222</v>
      </c>
      <c r="AO131" s="36" t="s">
        <v>206</v>
      </c>
      <c r="AP131" s="36">
        <v>2</v>
      </c>
      <c r="AQ131" s="36"/>
      <c r="AR131" s="36"/>
      <c r="AS131" s="36"/>
      <c r="AT131" s="36" t="s">
        <v>207</v>
      </c>
      <c r="AU131" s="36" t="s">
        <v>234</v>
      </c>
      <c r="AV131" s="36" t="s">
        <v>209</v>
      </c>
      <c r="AW131" s="36" t="s">
        <v>209</v>
      </c>
      <c r="AX131" s="36" t="s">
        <v>210</v>
      </c>
      <c r="AY131" s="36">
        <v>0</v>
      </c>
      <c r="AZ131" s="36" t="s">
        <v>211</v>
      </c>
      <c r="BA131" s="36">
        <v>9044989536419</v>
      </c>
      <c r="BB131" s="36"/>
      <c r="BC131" s="36"/>
      <c r="BD131" s="36">
        <v>1</v>
      </c>
      <c r="BE131" s="36"/>
      <c r="BF131" s="36" t="s">
        <v>212</v>
      </c>
      <c r="BG131" s="36">
        <v>1333314600</v>
      </c>
      <c r="BH131" s="36" t="s">
        <v>213</v>
      </c>
      <c r="BI131" s="36">
        <v>20</v>
      </c>
      <c r="BJ131" s="36">
        <v>20</v>
      </c>
      <c r="BK131" s="36">
        <v>1300</v>
      </c>
      <c r="BL131" s="36" t="s">
        <v>214</v>
      </c>
      <c r="BM131" s="36"/>
      <c r="BN131" s="36"/>
    </row>
    <row r="132" spans="1:66" x14ac:dyDescent="0.35">
      <c r="A132" s="36"/>
      <c r="B132" s="36"/>
      <c r="C132" s="37" t="s">
        <v>8</v>
      </c>
      <c r="D132" s="37" t="s">
        <v>8</v>
      </c>
      <c r="E132" s="36"/>
      <c r="F132" s="36" t="s">
        <v>192</v>
      </c>
      <c r="G132" s="36" t="s">
        <v>1</v>
      </c>
      <c r="H132" s="36">
        <v>0</v>
      </c>
      <c r="I132" s="36" t="s">
        <v>193</v>
      </c>
      <c r="J132" s="36" t="s">
        <v>194</v>
      </c>
      <c r="K132" s="36" t="s">
        <v>195</v>
      </c>
      <c r="L132" s="36">
        <v>923</v>
      </c>
      <c r="M132" s="36"/>
      <c r="N132" s="36" t="s">
        <v>235</v>
      </c>
      <c r="O132" s="36" t="s">
        <v>236</v>
      </c>
      <c r="P132" s="36">
        <v>2</v>
      </c>
      <c r="Q132" s="36" t="s">
        <v>237</v>
      </c>
      <c r="R132" s="37">
        <v>244658</v>
      </c>
      <c r="S132" s="37" t="s">
        <v>8</v>
      </c>
      <c r="T132" s="36" t="s">
        <v>238</v>
      </c>
      <c r="U132" s="36">
        <v>23087034</v>
      </c>
      <c r="V132" s="36" t="s">
        <v>54</v>
      </c>
      <c r="W132" s="36">
        <v>10</v>
      </c>
      <c r="X132" s="36">
        <v>10</v>
      </c>
      <c r="Y132" s="36">
        <v>10</v>
      </c>
      <c r="Z132" s="36">
        <v>10</v>
      </c>
      <c r="AA132" s="36">
        <v>0</v>
      </c>
      <c r="AB132" s="36">
        <v>0</v>
      </c>
      <c r="AC132" s="36">
        <v>0</v>
      </c>
      <c r="AD132" s="36">
        <v>0</v>
      </c>
      <c r="AE132" s="36">
        <v>10</v>
      </c>
      <c r="AF132" s="36">
        <v>10</v>
      </c>
      <c r="AG132" s="36"/>
      <c r="AH132" s="36"/>
      <c r="AI132" s="36" t="s">
        <v>200</v>
      </c>
      <c r="AJ132" s="36" t="s">
        <v>201</v>
      </c>
      <c r="AK132" s="36" t="s">
        <v>202</v>
      </c>
      <c r="AL132" s="36" t="s">
        <v>203</v>
      </c>
      <c r="AM132" s="36" t="s">
        <v>204</v>
      </c>
      <c r="AN132" s="36" t="s">
        <v>222</v>
      </c>
      <c r="AO132" s="36" t="s">
        <v>206</v>
      </c>
      <c r="AP132" s="36">
        <v>2</v>
      </c>
      <c r="AQ132" s="36"/>
      <c r="AR132" s="36"/>
      <c r="AS132" s="36"/>
      <c r="AT132" s="36" t="s">
        <v>207</v>
      </c>
      <c r="AU132" s="36" t="s">
        <v>234</v>
      </c>
      <c r="AV132" s="36" t="s">
        <v>209</v>
      </c>
      <c r="AW132" s="36" t="s">
        <v>209</v>
      </c>
      <c r="AX132" s="36" t="s">
        <v>210</v>
      </c>
      <c r="AY132" s="36">
        <v>0</v>
      </c>
      <c r="AZ132" s="36" t="s">
        <v>211</v>
      </c>
      <c r="BA132" s="36">
        <v>9044989536419</v>
      </c>
      <c r="BB132" s="36"/>
      <c r="BC132" s="36"/>
      <c r="BD132" s="36">
        <v>1</v>
      </c>
      <c r="BE132" s="36"/>
      <c r="BF132" s="36" t="s">
        <v>212</v>
      </c>
      <c r="BG132" s="36">
        <v>1333314600</v>
      </c>
      <c r="BH132" s="36" t="s">
        <v>213</v>
      </c>
      <c r="BI132" s="36">
        <v>10</v>
      </c>
      <c r="BJ132" s="36">
        <v>10</v>
      </c>
      <c r="BK132" s="36">
        <v>1300</v>
      </c>
      <c r="BL132" s="36" t="s">
        <v>214</v>
      </c>
      <c r="BM132" s="36"/>
      <c r="BN132" s="36"/>
    </row>
    <row r="133" spans="1:66" x14ac:dyDescent="0.35">
      <c r="A133" s="36"/>
      <c r="B133" s="36"/>
      <c r="C133" s="37" t="s">
        <v>8</v>
      </c>
      <c r="D133" s="37" t="s">
        <v>8</v>
      </c>
      <c r="E133" s="36"/>
      <c r="F133" s="36" t="s">
        <v>192</v>
      </c>
      <c r="G133" s="36" t="s">
        <v>1</v>
      </c>
      <c r="H133" s="36">
        <v>0</v>
      </c>
      <c r="I133" s="36" t="s">
        <v>193</v>
      </c>
      <c r="J133" s="36" t="s">
        <v>194</v>
      </c>
      <c r="K133" s="36" t="s">
        <v>195</v>
      </c>
      <c r="L133" s="36">
        <v>923</v>
      </c>
      <c r="M133" s="36"/>
      <c r="N133" s="36" t="s">
        <v>235</v>
      </c>
      <c r="O133" s="36" t="s">
        <v>236</v>
      </c>
      <c r="P133" s="36">
        <v>2</v>
      </c>
      <c r="Q133" s="36" t="s">
        <v>237</v>
      </c>
      <c r="R133" s="37">
        <v>244658</v>
      </c>
      <c r="S133" s="37" t="s">
        <v>8</v>
      </c>
      <c r="T133" s="36" t="s">
        <v>238</v>
      </c>
      <c r="U133" s="36">
        <v>23098989</v>
      </c>
      <c r="V133" s="36" t="s">
        <v>69</v>
      </c>
      <c r="W133" s="36">
        <v>15</v>
      </c>
      <c r="X133" s="36">
        <v>15</v>
      </c>
      <c r="Y133" s="36">
        <v>15</v>
      </c>
      <c r="Z133" s="36">
        <v>15</v>
      </c>
      <c r="AA133" s="36">
        <v>0</v>
      </c>
      <c r="AB133" s="36">
        <v>0</v>
      </c>
      <c r="AC133" s="36">
        <v>0</v>
      </c>
      <c r="AD133" s="36">
        <v>0</v>
      </c>
      <c r="AE133" s="36">
        <v>15</v>
      </c>
      <c r="AF133" s="36">
        <v>15</v>
      </c>
      <c r="AG133" s="36"/>
      <c r="AH133" s="36"/>
      <c r="AI133" s="36" t="s">
        <v>200</v>
      </c>
      <c r="AJ133" s="36" t="s">
        <v>201</v>
      </c>
      <c r="AK133" s="36" t="s">
        <v>215</v>
      </c>
      <c r="AL133" s="36" t="s">
        <v>203</v>
      </c>
      <c r="AM133" s="36" t="s">
        <v>204</v>
      </c>
      <c r="AN133" s="36" t="s">
        <v>222</v>
      </c>
      <c r="AO133" s="36" t="s">
        <v>206</v>
      </c>
      <c r="AP133" s="36">
        <v>2</v>
      </c>
      <c r="AQ133" s="36"/>
      <c r="AR133" s="36"/>
      <c r="AS133" s="36"/>
      <c r="AT133" s="36" t="s">
        <v>207</v>
      </c>
      <c r="AU133" s="36" t="s">
        <v>234</v>
      </c>
      <c r="AV133" s="36" t="s">
        <v>209</v>
      </c>
      <c r="AW133" s="36" t="s">
        <v>209</v>
      </c>
      <c r="AX133" s="36" t="s">
        <v>210</v>
      </c>
      <c r="AY133" s="36">
        <v>0</v>
      </c>
      <c r="AZ133" s="36" t="s">
        <v>211</v>
      </c>
      <c r="BA133" s="36">
        <v>9044989536419</v>
      </c>
      <c r="BB133" s="36"/>
      <c r="BC133" s="36"/>
      <c r="BD133" s="36">
        <v>1</v>
      </c>
      <c r="BE133" s="36"/>
      <c r="BF133" s="36" t="s">
        <v>212</v>
      </c>
      <c r="BG133" s="36">
        <v>1333314600</v>
      </c>
      <c r="BH133" s="36" t="s">
        <v>213</v>
      </c>
      <c r="BI133" s="36">
        <v>15</v>
      </c>
      <c r="BJ133" s="36">
        <v>15</v>
      </c>
      <c r="BK133" s="36">
        <v>1300</v>
      </c>
      <c r="BL133" s="36" t="s">
        <v>214</v>
      </c>
      <c r="BM133" s="36"/>
      <c r="BN133" s="36"/>
    </row>
    <row r="134" spans="1:66" x14ac:dyDescent="0.35">
      <c r="A134" s="36"/>
      <c r="B134" s="36"/>
      <c r="C134" s="37" t="s">
        <v>8</v>
      </c>
      <c r="D134" s="37" t="s">
        <v>8</v>
      </c>
      <c r="E134" s="36"/>
      <c r="F134" s="36" t="s">
        <v>192</v>
      </c>
      <c r="G134" s="36" t="s">
        <v>1</v>
      </c>
      <c r="H134" s="36">
        <v>0</v>
      </c>
      <c r="I134" s="36" t="s">
        <v>193</v>
      </c>
      <c r="J134" s="36" t="s">
        <v>194</v>
      </c>
      <c r="K134" s="36" t="s">
        <v>195</v>
      </c>
      <c r="L134" s="36">
        <v>923</v>
      </c>
      <c r="M134" s="36"/>
      <c r="N134" s="36" t="s">
        <v>235</v>
      </c>
      <c r="O134" s="36" t="s">
        <v>236</v>
      </c>
      <c r="P134" s="36">
        <v>2</v>
      </c>
      <c r="Q134" s="36" t="s">
        <v>237</v>
      </c>
      <c r="R134" s="37">
        <v>244658</v>
      </c>
      <c r="S134" s="37" t="s">
        <v>8</v>
      </c>
      <c r="T134" s="36" t="s">
        <v>238</v>
      </c>
      <c r="U134" s="36">
        <v>23058589</v>
      </c>
      <c r="V134" s="36" t="s">
        <v>33</v>
      </c>
      <c r="W134" s="36">
        <v>20</v>
      </c>
      <c r="X134" s="36">
        <v>20</v>
      </c>
      <c r="Y134" s="36">
        <v>20</v>
      </c>
      <c r="Z134" s="36">
        <v>20</v>
      </c>
      <c r="AA134" s="36">
        <v>0</v>
      </c>
      <c r="AB134" s="36">
        <v>0</v>
      </c>
      <c r="AC134" s="36">
        <v>0</v>
      </c>
      <c r="AD134" s="36">
        <v>0</v>
      </c>
      <c r="AE134" s="36">
        <v>20</v>
      </c>
      <c r="AF134" s="36">
        <v>20</v>
      </c>
      <c r="AG134" s="36"/>
      <c r="AH134" s="36"/>
      <c r="AI134" s="36" t="s">
        <v>200</v>
      </c>
      <c r="AJ134" s="36" t="s">
        <v>201</v>
      </c>
      <c r="AK134" s="36" t="s">
        <v>215</v>
      </c>
      <c r="AL134" s="36" t="s">
        <v>203</v>
      </c>
      <c r="AM134" s="36" t="s">
        <v>204</v>
      </c>
      <c r="AN134" s="36" t="s">
        <v>222</v>
      </c>
      <c r="AO134" s="36" t="s">
        <v>206</v>
      </c>
      <c r="AP134" s="36">
        <v>2</v>
      </c>
      <c r="AQ134" s="36"/>
      <c r="AR134" s="36"/>
      <c r="AS134" s="36"/>
      <c r="AT134" s="36" t="s">
        <v>207</v>
      </c>
      <c r="AU134" s="36" t="s">
        <v>234</v>
      </c>
      <c r="AV134" s="36" t="s">
        <v>209</v>
      </c>
      <c r="AW134" s="36" t="s">
        <v>209</v>
      </c>
      <c r="AX134" s="36" t="s">
        <v>210</v>
      </c>
      <c r="AY134" s="36">
        <v>0</v>
      </c>
      <c r="AZ134" s="36" t="s">
        <v>211</v>
      </c>
      <c r="BA134" s="36">
        <v>9044989536419</v>
      </c>
      <c r="BB134" s="36"/>
      <c r="BC134" s="36"/>
      <c r="BD134" s="36">
        <v>1</v>
      </c>
      <c r="BE134" s="36"/>
      <c r="BF134" s="36" t="s">
        <v>212</v>
      </c>
      <c r="BG134" s="36">
        <v>1333314600</v>
      </c>
      <c r="BH134" s="36" t="s">
        <v>213</v>
      </c>
      <c r="BI134" s="36">
        <v>20</v>
      </c>
      <c r="BJ134" s="36">
        <v>20</v>
      </c>
      <c r="BK134" s="36">
        <v>1300</v>
      </c>
      <c r="BL134" s="36" t="s">
        <v>214</v>
      </c>
      <c r="BM134" s="36"/>
      <c r="BN134" s="36"/>
    </row>
    <row r="135" spans="1:66" x14ac:dyDescent="0.35">
      <c r="A135" s="36"/>
      <c r="B135" s="36"/>
      <c r="C135" s="37" t="s">
        <v>8</v>
      </c>
      <c r="D135" s="37" t="s">
        <v>8</v>
      </c>
      <c r="E135" s="36"/>
      <c r="F135" s="36" t="s">
        <v>192</v>
      </c>
      <c r="G135" s="36" t="s">
        <v>1</v>
      </c>
      <c r="H135" s="36">
        <v>0</v>
      </c>
      <c r="I135" s="36" t="s">
        <v>193</v>
      </c>
      <c r="J135" s="36" t="s">
        <v>194</v>
      </c>
      <c r="K135" s="36" t="s">
        <v>195</v>
      </c>
      <c r="L135" s="36">
        <v>923</v>
      </c>
      <c r="M135" s="36"/>
      <c r="N135" s="36" t="s">
        <v>235</v>
      </c>
      <c r="O135" s="36" t="s">
        <v>236</v>
      </c>
      <c r="P135" s="36">
        <v>2</v>
      </c>
      <c r="Q135" s="36" t="s">
        <v>237</v>
      </c>
      <c r="R135" s="37">
        <v>244658</v>
      </c>
      <c r="S135" s="37" t="s">
        <v>8</v>
      </c>
      <c r="T135" s="36" t="s">
        <v>238</v>
      </c>
      <c r="U135" s="36">
        <v>23000206</v>
      </c>
      <c r="V135" s="36" t="s">
        <v>15</v>
      </c>
      <c r="W135" s="36">
        <v>5</v>
      </c>
      <c r="X135" s="36">
        <v>5</v>
      </c>
      <c r="Y135" s="36">
        <v>5</v>
      </c>
      <c r="Z135" s="36">
        <v>5</v>
      </c>
      <c r="AA135" s="36">
        <v>0</v>
      </c>
      <c r="AB135" s="36">
        <v>0</v>
      </c>
      <c r="AC135" s="36">
        <v>0</v>
      </c>
      <c r="AD135" s="36">
        <v>0</v>
      </c>
      <c r="AE135" s="36">
        <v>5</v>
      </c>
      <c r="AF135" s="36">
        <v>5</v>
      </c>
      <c r="AG135" s="36"/>
      <c r="AH135" s="36"/>
      <c r="AI135" s="36" t="s">
        <v>200</v>
      </c>
      <c r="AJ135" s="36" t="s">
        <v>201</v>
      </c>
      <c r="AK135" s="36" t="s">
        <v>215</v>
      </c>
      <c r="AL135" s="36" t="s">
        <v>203</v>
      </c>
      <c r="AM135" s="36" t="s">
        <v>204</v>
      </c>
      <c r="AN135" s="36" t="s">
        <v>222</v>
      </c>
      <c r="AO135" s="36" t="s">
        <v>206</v>
      </c>
      <c r="AP135" s="36">
        <v>2</v>
      </c>
      <c r="AQ135" s="36"/>
      <c r="AR135" s="36"/>
      <c r="AS135" s="36"/>
      <c r="AT135" s="36" t="s">
        <v>207</v>
      </c>
      <c r="AU135" s="36" t="s">
        <v>234</v>
      </c>
      <c r="AV135" s="36" t="s">
        <v>209</v>
      </c>
      <c r="AW135" s="36" t="s">
        <v>209</v>
      </c>
      <c r="AX135" s="36" t="s">
        <v>210</v>
      </c>
      <c r="AY135" s="36">
        <v>0</v>
      </c>
      <c r="AZ135" s="36" t="s">
        <v>211</v>
      </c>
      <c r="BA135" s="36">
        <v>9044989536419</v>
      </c>
      <c r="BB135" s="36"/>
      <c r="BC135" s="36"/>
      <c r="BD135" s="36">
        <v>1</v>
      </c>
      <c r="BE135" s="36"/>
      <c r="BF135" s="36" t="s">
        <v>212</v>
      </c>
      <c r="BG135" s="36">
        <v>1333314600</v>
      </c>
      <c r="BH135" s="36" t="s">
        <v>213</v>
      </c>
      <c r="BI135" s="36">
        <v>5</v>
      </c>
      <c r="BJ135" s="36">
        <v>5</v>
      </c>
      <c r="BK135" s="36">
        <v>1300</v>
      </c>
      <c r="BL135" s="36" t="s">
        <v>214</v>
      </c>
      <c r="BM135" s="36"/>
      <c r="BN135" s="36"/>
    </row>
    <row r="136" spans="1:66" x14ac:dyDescent="0.35">
      <c r="A136" s="36"/>
      <c r="B136" s="36"/>
      <c r="C136" s="37" t="s">
        <v>8</v>
      </c>
      <c r="D136" s="37" t="s">
        <v>8</v>
      </c>
      <c r="E136" s="36"/>
      <c r="F136" s="36" t="s">
        <v>192</v>
      </c>
      <c r="G136" s="36" t="s">
        <v>1</v>
      </c>
      <c r="H136" s="36">
        <v>0</v>
      </c>
      <c r="I136" s="36" t="s">
        <v>193</v>
      </c>
      <c r="J136" s="36" t="s">
        <v>194</v>
      </c>
      <c r="K136" s="36" t="s">
        <v>195</v>
      </c>
      <c r="L136" s="36">
        <v>923</v>
      </c>
      <c r="M136" s="36"/>
      <c r="N136" s="36" t="s">
        <v>235</v>
      </c>
      <c r="O136" s="36" t="s">
        <v>236</v>
      </c>
      <c r="P136" s="36">
        <v>2</v>
      </c>
      <c r="Q136" s="36" t="s">
        <v>237</v>
      </c>
      <c r="R136" s="37">
        <v>244658</v>
      </c>
      <c r="S136" s="37" t="s">
        <v>8</v>
      </c>
      <c r="T136" s="36" t="s">
        <v>238</v>
      </c>
      <c r="U136" s="36">
        <v>23105752</v>
      </c>
      <c r="V136" s="36" t="s">
        <v>74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B136" s="36">
        <v>0</v>
      </c>
      <c r="AC136" s="36">
        <v>0</v>
      </c>
      <c r="AD136" s="36">
        <v>0</v>
      </c>
      <c r="AE136" s="36">
        <v>0</v>
      </c>
      <c r="AF136" s="36">
        <v>0</v>
      </c>
      <c r="AG136" s="36"/>
      <c r="AH136" s="36"/>
      <c r="AI136" s="36" t="s">
        <v>200</v>
      </c>
      <c r="AJ136" s="36" t="s">
        <v>201</v>
      </c>
      <c r="AK136" s="36" t="s">
        <v>202</v>
      </c>
      <c r="AL136" s="36" t="s">
        <v>203</v>
      </c>
      <c r="AM136" s="36" t="s">
        <v>204</v>
      </c>
      <c r="AN136" s="36" t="s">
        <v>222</v>
      </c>
      <c r="AO136" s="36" t="s">
        <v>206</v>
      </c>
      <c r="AP136" s="36">
        <v>2</v>
      </c>
      <c r="AQ136" s="36"/>
      <c r="AR136" s="36"/>
      <c r="AS136" s="36"/>
      <c r="AT136" s="36" t="s">
        <v>207</v>
      </c>
      <c r="AU136" s="36" t="s">
        <v>234</v>
      </c>
      <c r="AV136" s="36" t="s">
        <v>209</v>
      </c>
      <c r="AW136" s="36" t="s">
        <v>209</v>
      </c>
      <c r="AX136" s="36" t="s">
        <v>210</v>
      </c>
      <c r="AY136" s="36">
        <v>0</v>
      </c>
      <c r="AZ136" s="36" t="s">
        <v>211</v>
      </c>
      <c r="BA136" s="36">
        <v>9044989536419</v>
      </c>
      <c r="BB136" s="36"/>
      <c r="BC136" s="36"/>
      <c r="BD136" s="36">
        <v>1</v>
      </c>
      <c r="BE136" s="36"/>
      <c r="BF136" s="36" t="s">
        <v>212</v>
      </c>
      <c r="BG136" s="36">
        <v>1333314600</v>
      </c>
      <c r="BH136" s="36" t="s">
        <v>213</v>
      </c>
      <c r="BI136" s="36">
        <v>0</v>
      </c>
      <c r="BJ136" s="36">
        <v>0</v>
      </c>
      <c r="BK136" s="36">
        <v>1300</v>
      </c>
      <c r="BL136" s="36" t="s">
        <v>214</v>
      </c>
      <c r="BM136" s="36"/>
      <c r="BN136" s="36"/>
    </row>
    <row r="137" spans="1:66" x14ac:dyDescent="0.35">
      <c r="A137" s="36"/>
      <c r="B137" s="36"/>
      <c r="C137" s="37" t="s">
        <v>8</v>
      </c>
      <c r="D137" s="37" t="s">
        <v>8</v>
      </c>
      <c r="E137" s="36"/>
      <c r="F137" s="36" t="s">
        <v>192</v>
      </c>
      <c r="G137" s="36" t="s">
        <v>1</v>
      </c>
      <c r="H137" s="36">
        <v>0</v>
      </c>
      <c r="I137" s="36" t="s">
        <v>193</v>
      </c>
      <c r="J137" s="36" t="s">
        <v>194</v>
      </c>
      <c r="K137" s="36" t="s">
        <v>195</v>
      </c>
      <c r="L137" s="36">
        <v>923</v>
      </c>
      <c r="M137" s="36"/>
      <c r="N137" s="36" t="s">
        <v>235</v>
      </c>
      <c r="O137" s="36" t="s">
        <v>236</v>
      </c>
      <c r="P137" s="36">
        <v>2</v>
      </c>
      <c r="Q137" s="36" t="s">
        <v>237</v>
      </c>
      <c r="R137" s="37">
        <v>244658</v>
      </c>
      <c r="S137" s="37" t="s">
        <v>8</v>
      </c>
      <c r="T137" s="36" t="s">
        <v>238</v>
      </c>
      <c r="U137" s="36">
        <v>23088112</v>
      </c>
      <c r="V137" s="36" t="s">
        <v>56</v>
      </c>
      <c r="W137" s="36">
        <v>5</v>
      </c>
      <c r="X137" s="36">
        <v>5</v>
      </c>
      <c r="Y137" s="36">
        <v>5</v>
      </c>
      <c r="Z137" s="36">
        <v>5</v>
      </c>
      <c r="AA137" s="36">
        <v>0</v>
      </c>
      <c r="AB137" s="36">
        <v>0</v>
      </c>
      <c r="AC137" s="36">
        <v>0</v>
      </c>
      <c r="AD137" s="36">
        <v>0</v>
      </c>
      <c r="AE137" s="36">
        <v>5</v>
      </c>
      <c r="AF137" s="36">
        <v>5</v>
      </c>
      <c r="AG137" s="36"/>
      <c r="AH137" s="36"/>
      <c r="AI137" s="36" t="s">
        <v>200</v>
      </c>
      <c r="AJ137" s="36" t="s">
        <v>201</v>
      </c>
      <c r="AK137" s="36" t="s">
        <v>215</v>
      </c>
      <c r="AL137" s="36" t="s">
        <v>203</v>
      </c>
      <c r="AM137" s="36" t="s">
        <v>204</v>
      </c>
      <c r="AN137" s="36" t="s">
        <v>222</v>
      </c>
      <c r="AO137" s="36" t="s">
        <v>206</v>
      </c>
      <c r="AP137" s="36">
        <v>2</v>
      </c>
      <c r="AQ137" s="36"/>
      <c r="AR137" s="36"/>
      <c r="AS137" s="36"/>
      <c r="AT137" s="36" t="s">
        <v>207</v>
      </c>
      <c r="AU137" s="36" t="s">
        <v>234</v>
      </c>
      <c r="AV137" s="36" t="s">
        <v>209</v>
      </c>
      <c r="AW137" s="36" t="s">
        <v>209</v>
      </c>
      <c r="AX137" s="36" t="s">
        <v>210</v>
      </c>
      <c r="AY137" s="36">
        <v>0</v>
      </c>
      <c r="AZ137" s="36" t="s">
        <v>211</v>
      </c>
      <c r="BA137" s="36">
        <v>9044989536419</v>
      </c>
      <c r="BB137" s="36"/>
      <c r="BC137" s="36"/>
      <c r="BD137" s="36">
        <v>1</v>
      </c>
      <c r="BE137" s="36"/>
      <c r="BF137" s="36" t="s">
        <v>212</v>
      </c>
      <c r="BG137" s="36">
        <v>1333314600</v>
      </c>
      <c r="BH137" s="36" t="s">
        <v>213</v>
      </c>
      <c r="BI137" s="36">
        <v>5</v>
      </c>
      <c r="BJ137" s="36">
        <v>5</v>
      </c>
      <c r="BK137" s="36">
        <v>1300</v>
      </c>
      <c r="BL137" s="36" t="s">
        <v>214</v>
      </c>
      <c r="BM137" s="36"/>
      <c r="BN137" s="36"/>
    </row>
    <row r="138" spans="1:66" x14ac:dyDescent="0.35">
      <c r="A138" s="36"/>
      <c r="B138" s="36"/>
      <c r="C138" s="37" t="s">
        <v>8</v>
      </c>
      <c r="D138" s="37" t="s">
        <v>8</v>
      </c>
      <c r="E138" s="36"/>
      <c r="F138" s="36" t="s">
        <v>192</v>
      </c>
      <c r="G138" s="36" t="s">
        <v>1</v>
      </c>
      <c r="H138" s="36">
        <v>0</v>
      </c>
      <c r="I138" s="36" t="s">
        <v>193</v>
      </c>
      <c r="J138" s="36" t="s">
        <v>194</v>
      </c>
      <c r="K138" s="36" t="s">
        <v>195</v>
      </c>
      <c r="L138" s="36">
        <v>923</v>
      </c>
      <c r="M138" s="36"/>
      <c r="N138" s="36" t="s">
        <v>235</v>
      </c>
      <c r="O138" s="36" t="s">
        <v>236</v>
      </c>
      <c r="P138" s="36">
        <v>2</v>
      </c>
      <c r="Q138" s="36" t="s">
        <v>237</v>
      </c>
      <c r="R138" s="37">
        <v>244658</v>
      </c>
      <c r="S138" s="37" t="s">
        <v>8</v>
      </c>
      <c r="T138" s="36" t="s">
        <v>238</v>
      </c>
      <c r="U138" s="36">
        <v>23098995</v>
      </c>
      <c r="V138" s="36" t="s">
        <v>70</v>
      </c>
      <c r="W138" s="36">
        <v>70</v>
      </c>
      <c r="X138" s="36">
        <v>70</v>
      </c>
      <c r="Y138" s="36">
        <v>70</v>
      </c>
      <c r="Z138" s="36">
        <v>70</v>
      </c>
      <c r="AA138" s="36">
        <v>0</v>
      </c>
      <c r="AB138" s="36">
        <v>0</v>
      </c>
      <c r="AC138" s="36">
        <v>0</v>
      </c>
      <c r="AD138" s="36">
        <v>0</v>
      </c>
      <c r="AE138" s="36">
        <v>70</v>
      </c>
      <c r="AF138" s="36">
        <v>70</v>
      </c>
      <c r="AG138" s="36"/>
      <c r="AH138" s="36"/>
      <c r="AI138" s="36" t="s">
        <v>200</v>
      </c>
      <c r="AJ138" s="36" t="s">
        <v>201</v>
      </c>
      <c r="AK138" s="36" t="s">
        <v>215</v>
      </c>
      <c r="AL138" s="36" t="s">
        <v>203</v>
      </c>
      <c r="AM138" s="36" t="s">
        <v>204</v>
      </c>
      <c r="AN138" s="36" t="s">
        <v>222</v>
      </c>
      <c r="AO138" s="36" t="s">
        <v>206</v>
      </c>
      <c r="AP138" s="36">
        <v>2</v>
      </c>
      <c r="AQ138" s="36"/>
      <c r="AR138" s="36"/>
      <c r="AS138" s="36"/>
      <c r="AT138" s="36" t="s">
        <v>207</v>
      </c>
      <c r="AU138" s="36" t="s">
        <v>234</v>
      </c>
      <c r="AV138" s="36" t="s">
        <v>209</v>
      </c>
      <c r="AW138" s="36" t="s">
        <v>209</v>
      </c>
      <c r="AX138" s="36" t="s">
        <v>210</v>
      </c>
      <c r="AY138" s="36">
        <v>0</v>
      </c>
      <c r="AZ138" s="36" t="s">
        <v>211</v>
      </c>
      <c r="BA138" s="36">
        <v>9044989536419</v>
      </c>
      <c r="BB138" s="36"/>
      <c r="BC138" s="36"/>
      <c r="BD138" s="36">
        <v>1</v>
      </c>
      <c r="BE138" s="36"/>
      <c r="BF138" s="36" t="s">
        <v>212</v>
      </c>
      <c r="BG138" s="36">
        <v>1333314600</v>
      </c>
      <c r="BH138" s="36" t="s">
        <v>213</v>
      </c>
      <c r="BI138" s="36">
        <v>70</v>
      </c>
      <c r="BJ138" s="36">
        <v>70</v>
      </c>
      <c r="BK138" s="36">
        <v>1300</v>
      </c>
      <c r="BL138" s="36" t="s">
        <v>214</v>
      </c>
      <c r="BM138" s="36"/>
      <c r="BN138" s="36"/>
    </row>
    <row r="139" spans="1:66" x14ac:dyDescent="0.35">
      <c r="A139" s="36"/>
      <c r="B139" s="36"/>
      <c r="C139" s="37" t="s">
        <v>8</v>
      </c>
      <c r="D139" s="37" t="s">
        <v>8</v>
      </c>
      <c r="E139" s="36"/>
      <c r="F139" s="36" t="s">
        <v>192</v>
      </c>
      <c r="G139" s="36" t="s">
        <v>1</v>
      </c>
      <c r="H139" s="36">
        <v>0</v>
      </c>
      <c r="I139" s="36" t="s">
        <v>193</v>
      </c>
      <c r="J139" s="36" t="s">
        <v>194</v>
      </c>
      <c r="K139" s="36" t="s">
        <v>195</v>
      </c>
      <c r="L139" s="36">
        <v>923</v>
      </c>
      <c r="M139" s="36"/>
      <c r="N139" s="36" t="s">
        <v>239</v>
      </c>
      <c r="O139" s="36" t="s">
        <v>240</v>
      </c>
      <c r="P139" s="36">
        <v>2</v>
      </c>
      <c r="Q139" s="36" t="s">
        <v>241</v>
      </c>
      <c r="R139" s="37">
        <v>244658</v>
      </c>
      <c r="S139" s="37" t="s">
        <v>8</v>
      </c>
      <c r="T139" s="36" t="s">
        <v>242</v>
      </c>
      <c r="U139" s="36">
        <v>23058552</v>
      </c>
      <c r="V139" s="36" t="s">
        <v>26</v>
      </c>
      <c r="W139" s="36">
        <v>40</v>
      </c>
      <c r="X139" s="36">
        <v>40</v>
      </c>
      <c r="Y139" s="36">
        <v>40</v>
      </c>
      <c r="Z139" s="36">
        <v>40</v>
      </c>
      <c r="AA139" s="36">
        <v>0</v>
      </c>
      <c r="AB139" s="36">
        <v>0</v>
      </c>
      <c r="AC139" s="36">
        <v>0</v>
      </c>
      <c r="AD139" s="36">
        <v>0</v>
      </c>
      <c r="AE139" s="36">
        <v>40</v>
      </c>
      <c r="AF139" s="36">
        <v>40</v>
      </c>
      <c r="AG139" s="36"/>
      <c r="AH139" s="36"/>
      <c r="AI139" s="36" t="s">
        <v>200</v>
      </c>
      <c r="AJ139" s="36" t="s">
        <v>201</v>
      </c>
      <c r="AK139" s="36" t="s">
        <v>215</v>
      </c>
      <c r="AL139" s="36" t="s">
        <v>203</v>
      </c>
      <c r="AM139" s="36" t="s">
        <v>204</v>
      </c>
      <c r="AN139" s="36" t="s">
        <v>222</v>
      </c>
      <c r="AO139" s="36" t="s">
        <v>206</v>
      </c>
      <c r="AP139" s="36">
        <v>2</v>
      </c>
      <c r="AQ139" s="36"/>
      <c r="AR139" s="36"/>
      <c r="AS139" s="36"/>
      <c r="AT139" s="36" t="s">
        <v>223</v>
      </c>
      <c r="AU139" s="36" t="s">
        <v>234</v>
      </c>
      <c r="AV139" s="36" t="s">
        <v>209</v>
      </c>
      <c r="AW139" s="36" t="s">
        <v>209</v>
      </c>
      <c r="AX139" s="36" t="s">
        <v>210</v>
      </c>
      <c r="AY139" s="36">
        <v>0</v>
      </c>
      <c r="AZ139" s="36" t="s">
        <v>211</v>
      </c>
      <c r="BA139" s="36">
        <v>9044989536422</v>
      </c>
      <c r="BB139" s="36"/>
      <c r="BC139" s="36"/>
      <c r="BD139" s="36">
        <v>1</v>
      </c>
      <c r="BE139" s="36"/>
      <c r="BF139" s="36" t="s">
        <v>212</v>
      </c>
      <c r="BG139" s="36">
        <v>1333314600</v>
      </c>
      <c r="BH139" s="36" t="s">
        <v>213</v>
      </c>
      <c r="BI139" s="36">
        <v>40</v>
      </c>
      <c r="BJ139" s="36">
        <v>40</v>
      </c>
      <c r="BK139" s="36">
        <v>1300</v>
      </c>
      <c r="BL139" s="36" t="s">
        <v>214</v>
      </c>
      <c r="BM139" s="36"/>
      <c r="BN139" s="36"/>
    </row>
    <row r="140" spans="1:66" x14ac:dyDescent="0.35">
      <c r="A140" s="36"/>
      <c r="B140" s="36"/>
      <c r="C140" s="37" t="s">
        <v>8</v>
      </c>
      <c r="D140" s="37" t="s">
        <v>8</v>
      </c>
      <c r="E140" s="36"/>
      <c r="F140" s="36" t="s">
        <v>192</v>
      </c>
      <c r="G140" s="36" t="s">
        <v>1</v>
      </c>
      <c r="H140" s="36">
        <v>0</v>
      </c>
      <c r="I140" s="36" t="s">
        <v>193</v>
      </c>
      <c r="J140" s="36" t="s">
        <v>194</v>
      </c>
      <c r="K140" s="36" t="s">
        <v>195</v>
      </c>
      <c r="L140" s="36">
        <v>923</v>
      </c>
      <c r="M140" s="36"/>
      <c r="N140" s="36" t="s">
        <v>239</v>
      </c>
      <c r="O140" s="36" t="s">
        <v>240</v>
      </c>
      <c r="P140" s="36">
        <v>2</v>
      </c>
      <c r="Q140" s="36" t="s">
        <v>241</v>
      </c>
      <c r="R140" s="37">
        <v>244658</v>
      </c>
      <c r="S140" s="37" t="s">
        <v>8</v>
      </c>
      <c r="T140" s="36" t="s">
        <v>242</v>
      </c>
      <c r="U140" s="36">
        <v>23093507</v>
      </c>
      <c r="V140" s="36" t="s">
        <v>126</v>
      </c>
      <c r="W140" s="36">
        <v>5</v>
      </c>
      <c r="X140" s="36">
        <v>5</v>
      </c>
      <c r="Y140" s="36">
        <v>5</v>
      </c>
      <c r="Z140" s="36">
        <v>5</v>
      </c>
      <c r="AA140" s="36">
        <v>0</v>
      </c>
      <c r="AB140" s="36">
        <v>0</v>
      </c>
      <c r="AC140" s="36">
        <v>0</v>
      </c>
      <c r="AD140" s="36">
        <v>0</v>
      </c>
      <c r="AE140" s="36">
        <v>5</v>
      </c>
      <c r="AF140" s="36">
        <v>5</v>
      </c>
      <c r="AG140" s="36"/>
      <c r="AH140" s="36"/>
      <c r="AI140" s="36" t="s">
        <v>200</v>
      </c>
      <c r="AJ140" s="36" t="s">
        <v>201</v>
      </c>
      <c r="AK140" s="36" t="s">
        <v>215</v>
      </c>
      <c r="AL140" s="36" t="s">
        <v>203</v>
      </c>
      <c r="AM140" s="36" t="s">
        <v>204</v>
      </c>
      <c r="AN140" s="36" t="s">
        <v>222</v>
      </c>
      <c r="AO140" s="36" t="s">
        <v>206</v>
      </c>
      <c r="AP140" s="36">
        <v>2</v>
      </c>
      <c r="AQ140" s="36"/>
      <c r="AR140" s="36"/>
      <c r="AS140" s="36"/>
      <c r="AT140" s="36" t="s">
        <v>223</v>
      </c>
      <c r="AU140" s="36" t="s">
        <v>234</v>
      </c>
      <c r="AV140" s="36" t="s">
        <v>209</v>
      </c>
      <c r="AW140" s="36" t="s">
        <v>209</v>
      </c>
      <c r="AX140" s="36" t="s">
        <v>210</v>
      </c>
      <c r="AY140" s="36">
        <v>0</v>
      </c>
      <c r="AZ140" s="36" t="s">
        <v>211</v>
      </c>
      <c r="BA140" s="36">
        <v>9044989536422</v>
      </c>
      <c r="BB140" s="36"/>
      <c r="BC140" s="36"/>
      <c r="BD140" s="36">
        <v>1</v>
      </c>
      <c r="BE140" s="36"/>
      <c r="BF140" s="36" t="s">
        <v>212</v>
      </c>
      <c r="BG140" s="36">
        <v>1333314600</v>
      </c>
      <c r="BH140" s="36" t="s">
        <v>213</v>
      </c>
      <c r="BI140" s="36">
        <v>5</v>
      </c>
      <c r="BJ140" s="36">
        <v>5</v>
      </c>
      <c r="BK140" s="36">
        <v>1300</v>
      </c>
      <c r="BL140" s="36" t="s">
        <v>214</v>
      </c>
      <c r="BM140" s="36"/>
      <c r="BN140" s="36"/>
    </row>
    <row r="141" spans="1:66" x14ac:dyDescent="0.35">
      <c r="A141" s="36"/>
      <c r="B141" s="36"/>
      <c r="C141" s="37" t="s">
        <v>8</v>
      </c>
      <c r="D141" s="37" t="s">
        <v>8</v>
      </c>
      <c r="E141" s="36"/>
      <c r="F141" s="36" t="s">
        <v>192</v>
      </c>
      <c r="G141" s="36" t="s">
        <v>1</v>
      </c>
      <c r="H141" s="36">
        <v>0</v>
      </c>
      <c r="I141" s="36" t="s">
        <v>193</v>
      </c>
      <c r="J141" s="36" t="s">
        <v>194</v>
      </c>
      <c r="K141" s="36" t="s">
        <v>195</v>
      </c>
      <c r="L141" s="36">
        <v>923</v>
      </c>
      <c r="M141" s="36"/>
      <c r="N141" s="36" t="s">
        <v>239</v>
      </c>
      <c r="O141" s="36" t="s">
        <v>240</v>
      </c>
      <c r="P141" s="36">
        <v>2</v>
      </c>
      <c r="Q141" s="36" t="s">
        <v>241</v>
      </c>
      <c r="R141" s="37">
        <v>244658</v>
      </c>
      <c r="S141" s="37" t="s">
        <v>8</v>
      </c>
      <c r="T141" s="36" t="s">
        <v>242</v>
      </c>
      <c r="U141" s="36">
        <v>23058591</v>
      </c>
      <c r="V141" s="36" t="s">
        <v>35</v>
      </c>
      <c r="W141" s="36">
        <v>20</v>
      </c>
      <c r="X141" s="36">
        <v>20</v>
      </c>
      <c r="Y141" s="36">
        <v>20</v>
      </c>
      <c r="Z141" s="36">
        <v>20</v>
      </c>
      <c r="AA141" s="36">
        <v>0</v>
      </c>
      <c r="AB141" s="36">
        <v>0</v>
      </c>
      <c r="AC141" s="36">
        <v>0</v>
      </c>
      <c r="AD141" s="36">
        <v>0</v>
      </c>
      <c r="AE141" s="36">
        <v>20</v>
      </c>
      <c r="AF141" s="36">
        <v>20</v>
      </c>
      <c r="AG141" s="36"/>
      <c r="AH141" s="36"/>
      <c r="AI141" s="36" t="s">
        <v>200</v>
      </c>
      <c r="AJ141" s="36" t="s">
        <v>201</v>
      </c>
      <c r="AK141" s="36" t="s">
        <v>215</v>
      </c>
      <c r="AL141" s="36" t="s">
        <v>203</v>
      </c>
      <c r="AM141" s="36" t="s">
        <v>204</v>
      </c>
      <c r="AN141" s="36" t="s">
        <v>222</v>
      </c>
      <c r="AO141" s="36" t="s">
        <v>206</v>
      </c>
      <c r="AP141" s="36">
        <v>2</v>
      </c>
      <c r="AQ141" s="36"/>
      <c r="AR141" s="36"/>
      <c r="AS141" s="36"/>
      <c r="AT141" s="36" t="s">
        <v>223</v>
      </c>
      <c r="AU141" s="36" t="s">
        <v>234</v>
      </c>
      <c r="AV141" s="36" t="s">
        <v>209</v>
      </c>
      <c r="AW141" s="36" t="s">
        <v>209</v>
      </c>
      <c r="AX141" s="36" t="s">
        <v>210</v>
      </c>
      <c r="AY141" s="36">
        <v>0</v>
      </c>
      <c r="AZ141" s="36" t="s">
        <v>211</v>
      </c>
      <c r="BA141" s="36">
        <v>9044989536422</v>
      </c>
      <c r="BB141" s="36"/>
      <c r="BC141" s="36"/>
      <c r="BD141" s="36">
        <v>1</v>
      </c>
      <c r="BE141" s="36"/>
      <c r="BF141" s="36" t="s">
        <v>212</v>
      </c>
      <c r="BG141" s="36">
        <v>1333314600</v>
      </c>
      <c r="BH141" s="36" t="s">
        <v>213</v>
      </c>
      <c r="BI141" s="36">
        <v>20</v>
      </c>
      <c r="BJ141" s="36">
        <v>20</v>
      </c>
      <c r="BK141" s="36">
        <v>1300</v>
      </c>
      <c r="BL141" s="36" t="s">
        <v>214</v>
      </c>
      <c r="BM141" s="36"/>
      <c r="BN141" s="36"/>
    </row>
    <row r="142" spans="1:66" x14ac:dyDescent="0.35">
      <c r="A142" s="36"/>
      <c r="B142" s="36"/>
      <c r="C142" s="37" t="s">
        <v>8</v>
      </c>
      <c r="D142" s="37" t="s">
        <v>8</v>
      </c>
      <c r="E142" s="36"/>
      <c r="F142" s="36" t="s">
        <v>192</v>
      </c>
      <c r="G142" s="36" t="s">
        <v>1</v>
      </c>
      <c r="H142" s="36">
        <v>0</v>
      </c>
      <c r="I142" s="36" t="s">
        <v>193</v>
      </c>
      <c r="J142" s="36" t="s">
        <v>194</v>
      </c>
      <c r="K142" s="36" t="s">
        <v>195</v>
      </c>
      <c r="L142" s="36">
        <v>923</v>
      </c>
      <c r="M142" s="36"/>
      <c r="N142" s="36" t="s">
        <v>239</v>
      </c>
      <c r="O142" s="36" t="s">
        <v>240</v>
      </c>
      <c r="P142" s="36">
        <v>2</v>
      </c>
      <c r="Q142" s="36" t="s">
        <v>241</v>
      </c>
      <c r="R142" s="37">
        <v>244658</v>
      </c>
      <c r="S142" s="37" t="s">
        <v>8</v>
      </c>
      <c r="T142" s="36" t="s">
        <v>242</v>
      </c>
      <c r="U142" s="36">
        <v>23057812</v>
      </c>
      <c r="V142" s="36" t="s">
        <v>19</v>
      </c>
      <c r="W142" s="36">
        <v>400</v>
      </c>
      <c r="X142" s="36">
        <v>400</v>
      </c>
      <c r="Y142" s="36">
        <v>400</v>
      </c>
      <c r="Z142" s="36">
        <v>400</v>
      </c>
      <c r="AA142" s="36">
        <v>0</v>
      </c>
      <c r="AB142" s="36">
        <v>0</v>
      </c>
      <c r="AC142" s="36">
        <v>0</v>
      </c>
      <c r="AD142" s="36">
        <v>0</v>
      </c>
      <c r="AE142" s="36">
        <v>400</v>
      </c>
      <c r="AF142" s="36">
        <v>400</v>
      </c>
      <c r="AG142" s="36"/>
      <c r="AH142" s="36"/>
      <c r="AI142" s="36" t="s">
        <v>200</v>
      </c>
      <c r="AJ142" s="36" t="s">
        <v>201</v>
      </c>
      <c r="AK142" s="36" t="s">
        <v>202</v>
      </c>
      <c r="AL142" s="36" t="s">
        <v>203</v>
      </c>
      <c r="AM142" s="36" t="s">
        <v>204</v>
      </c>
      <c r="AN142" s="36" t="s">
        <v>222</v>
      </c>
      <c r="AO142" s="36" t="s">
        <v>206</v>
      </c>
      <c r="AP142" s="36">
        <v>2</v>
      </c>
      <c r="AQ142" s="36"/>
      <c r="AR142" s="36"/>
      <c r="AS142" s="36"/>
      <c r="AT142" s="36" t="s">
        <v>223</v>
      </c>
      <c r="AU142" s="36" t="s">
        <v>234</v>
      </c>
      <c r="AV142" s="36" t="s">
        <v>209</v>
      </c>
      <c r="AW142" s="36" t="s">
        <v>209</v>
      </c>
      <c r="AX142" s="36" t="s">
        <v>210</v>
      </c>
      <c r="AY142" s="36">
        <v>0</v>
      </c>
      <c r="AZ142" s="36" t="s">
        <v>211</v>
      </c>
      <c r="BA142" s="36">
        <v>9044989536422</v>
      </c>
      <c r="BB142" s="36"/>
      <c r="BC142" s="36"/>
      <c r="BD142" s="36">
        <v>1</v>
      </c>
      <c r="BE142" s="36"/>
      <c r="BF142" s="36" t="s">
        <v>212</v>
      </c>
      <c r="BG142" s="36">
        <v>1333314600</v>
      </c>
      <c r="BH142" s="36" t="s">
        <v>213</v>
      </c>
      <c r="BI142" s="36">
        <v>400</v>
      </c>
      <c r="BJ142" s="36">
        <v>400</v>
      </c>
      <c r="BK142" s="36">
        <v>1300</v>
      </c>
      <c r="BL142" s="36" t="s">
        <v>214</v>
      </c>
      <c r="BM142" s="36"/>
      <c r="BN142" s="36"/>
    </row>
    <row r="143" spans="1:66" x14ac:dyDescent="0.35">
      <c r="A143" s="36"/>
      <c r="B143" s="36"/>
      <c r="C143" s="37" t="s">
        <v>8</v>
      </c>
      <c r="D143" s="37" t="s">
        <v>8</v>
      </c>
      <c r="E143" s="36"/>
      <c r="F143" s="36" t="s">
        <v>192</v>
      </c>
      <c r="G143" s="36" t="s">
        <v>1</v>
      </c>
      <c r="H143" s="36">
        <v>0</v>
      </c>
      <c r="I143" s="36" t="s">
        <v>193</v>
      </c>
      <c r="J143" s="36" t="s">
        <v>194</v>
      </c>
      <c r="K143" s="36" t="s">
        <v>195</v>
      </c>
      <c r="L143" s="36">
        <v>923</v>
      </c>
      <c r="M143" s="36"/>
      <c r="N143" s="36" t="s">
        <v>239</v>
      </c>
      <c r="O143" s="36" t="s">
        <v>240</v>
      </c>
      <c r="P143" s="36">
        <v>2</v>
      </c>
      <c r="Q143" s="36" t="s">
        <v>241</v>
      </c>
      <c r="R143" s="37">
        <v>244658</v>
      </c>
      <c r="S143" s="37" t="s">
        <v>8</v>
      </c>
      <c r="T143" s="36" t="s">
        <v>242</v>
      </c>
      <c r="U143" s="36">
        <v>23071884</v>
      </c>
      <c r="V143" s="36" t="s">
        <v>116</v>
      </c>
      <c r="W143" s="36">
        <v>7.6923000000000004</v>
      </c>
      <c r="X143" s="36">
        <v>39.999960000000002</v>
      </c>
      <c r="Y143" s="36">
        <v>7.6923000000000004</v>
      </c>
      <c r="Z143" s="36">
        <v>40</v>
      </c>
      <c r="AA143" s="36">
        <v>0</v>
      </c>
      <c r="AB143" s="36">
        <v>-4.0000000000000003E-5</v>
      </c>
      <c r="AC143" s="36">
        <v>0</v>
      </c>
      <c r="AD143" s="36">
        <v>0</v>
      </c>
      <c r="AE143" s="36">
        <v>7.6923000000000004</v>
      </c>
      <c r="AF143" s="36">
        <v>40</v>
      </c>
      <c r="AG143" s="36"/>
      <c r="AH143" s="36"/>
      <c r="AI143" s="36" t="s">
        <v>200</v>
      </c>
      <c r="AJ143" s="36" t="s">
        <v>201</v>
      </c>
      <c r="AK143" s="36" t="s">
        <v>215</v>
      </c>
      <c r="AL143" s="36" t="s">
        <v>203</v>
      </c>
      <c r="AM143" s="36" t="s">
        <v>204</v>
      </c>
      <c r="AN143" s="36" t="s">
        <v>222</v>
      </c>
      <c r="AO143" s="36" t="s">
        <v>206</v>
      </c>
      <c r="AP143" s="36">
        <v>2</v>
      </c>
      <c r="AQ143" s="36"/>
      <c r="AR143" s="36"/>
      <c r="AS143" s="36"/>
      <c r="AT143" s="36" t="s">
        <v>223</v>
      </c>
      <c r="AU143" s="36" t="s">
        <v>234</v>
      </c>
      <c r="AV143" s="36" t="s">
        <v>217</v>
      </c>
      <c r="AW143" s="36" t="s">
        <v>209</v>
      </c>
      <c r="AX143" s="36" t="s">
        <v>210</v>
      </c>
      <c r="AY143" s="36">
        <v>0</v>
      </c>
      <c r="AZ143" s="36" t="s">
        <v>211</v>
      </c>
      <c r="BA143" s="36">
        <v>9044989536422</v>
      </c>
      <c r="BB143" s="36"/>
      <c r="BC143" s="36"/>
      <c r="BD143" s="36">
        <v>1</v>
      </c>
      <c r="BE143" s="36"/>
      <c r="BF143" s="36" t="s">
        <v>212</v>
      </c>
      <c r="BG143" s="36">
        <v>1333314600</v>
      </c>
      <c r="BH143" s="36" t="s">
        <v>213</v>
      </c>
      <c r="BI143" s="36">
        <v>7.6923000000000004</v>
      </c>
      <c r="BJ143" s="36">
        <v>39.999960000000002</v>
      </c>
      <c r="BK143" s="36">
        <v>1300</v>
      </c>
      <c r="BL143" s="36" t="s">
        <v>214</v>
      </c>
      <c r="BM143" s="36"/>
      <c r="BN143" s="36"/>
    </row>
    <row r="144" spans="1:66" x14ac:dyDescent="0.35">
      <c r="A144" s="36"/>
      <c r="B144" s="36"/>
      <c r="C144" s="37" t="s">
        <v>8</v>
      </c>
      <c r="D144" s="37" t="s">
        <v>8</v>
      </c>
      <c r="E144" s="36"/>
      <c r="F144" s="36" t="s">
        <v>192</v>
      </c>
      <c r="G144" s="36" t="s">
        <v>1</v>
      </c>
      <c r="H144" s="36">
        <v>0</v>
      </c>
      <c r="I144" s="36" t="s">
        <v>193</v>
      </c>
      <c r="J144" s="36" t="s">
        <v>194</v>
      </c>
      <c r="K144" s="36" t="s">
        <v>195</v>
      </c>
      <c r="L144" s="36">
        <v>923</v>
      </c>
      <c r="M144" s="36"/>
      <c r="N144" s="36" t="s">
        <v>239</v>
      </c>
      <c r="O144" s="36" t="s">
        <v>240</v>
      </c>
      <c r="P144" s="36">
        <v>2</v>
      </c>
      <c r="Q144" s="36" t="s">
        <v>241</v>
      </c>
      <c r="R144" s="37">
        <v>244658</v>
      </c>
      <c r="S144" s="37" t="s">
        <v>8</v>
      </c>
      <c r="T144" s="36" t="s">
        <v>242</v>
      </c>
      <c r="U144" s="36">
        <v>23088348</v>
      </c>
      <c r="V144" s="36" t="s">
        <v>57</v>
      </c>
      <c r="W144" s="36">
        <v>180</v>
      </c>
      <c r="X144" s="36">
        <v>180</v>
      </c>
      <c r="Y144" s="36">
        <v>180</v>
      </c>
      <c r="Z144" s="36">
        <v>180</v>
      </c>
      <c r="AA144" s="36">
        <v>0</v>
      </c>
      <c r="AB144" s="36">
        <v>0</v>
      </c>
      <c r="AC144" s="36">
        <v>0</v>
      </c>
      <c r="AD144" s="36">
        <v>0</v>
      </c>
      <c r="AE144" s="36">
        <v>180</v>
      </c>
      <c r="AF144" s="36">
        <v>180</v>
      </c>
      <c r="AG144" s="36"/>
      <c r="AH144" s="36"/>
      <c r="AI144" s="36" t="s">
        <v>200</v>
      </c>
      <c r="AJ144" s="36" t="s">
        <v>201</v>
      </c>
      <c r="AK144" s="36" t="s">
        <v>215</v>
      </c>
      <c r="AL144" s="36" t="s">
        <v>203</v>
      </c>
      <c r="AM144" s="36" t="s">
        <v>204</v>
      </c>
      <c r="AN144" s="36" t="s">
        <v>222</v>
      </c>
      <c r="AO144" s="36" t="s">
        <v>206</v>
      </c>
      <c r="AP144" s="36">
        <v>2</v>
      </c>
      <c r="AQ144" s="36"/>
      <c r="AR144" s="36"/>
      <c r="AS144" s="36"/>
      <c r="AT144" s="36" t="s">
        <v>223</v>
      </c>
      <c r="AU144" s="36" t="s">
        <v>234</v>
      </c>
      <c r="AV144" s="36" t="s">
        <v>209</v>
      </c>
      <c r="AW144" s="36" t="s">
        <v>209</v>
      </c>
      <c r="AX144" s="36" t="s">
        <v>210</v>
      </c>
      <c r="AY144" s="36">
        <v>0</v>
      </c>
      <c r="AZ144" s="36" t="s">
        <v>211</v>
      </c>
      <c r="BA144" s="36">
        <v>9044989536422</v>
      </c>
      <c r="BB144" s="36"/>
      <c r="BC144" s="36"/>
      <c r="BD144" s="36">
        <v>1</v>
      </c>
      <c r="BE144" s="36"/>
      <c r="BF144" s="36" t="s">
        <v>212</v>
      </c>
      <c r="BG144" s="36">
        <v>1333314600</v>
      </c>
      <c r="BH144" s="36" t="s">
        <v>213</v>
      </c>
      <c r="BI144" s="36">
        <v>180</v>
      </c>
      <c r="BJ144" s="36">
        <v>180</v>
      </c>
      <c r="BK144" s="36">
        <v>1300</v>
      </c>
      <c r="BL144" s="36" t="s">
        <v>214</v>
      </c>
      <c r="BM144" s="36"/>
      <c r="BN144" s="36"/>
    </row>
    <row r="145" spans="1:66" x14ac:dyDescent="0.35">
      <c r="A145" s="36"/>
      <c r="B145" s="36"/>
      <c r="C145" s="37" t="s">
        <v>8</v>
      </c>
      <c r="D145" s="37" t="s">
        <v>8</v>
      </c>
      <c r="E145" s="36"/>
      <c r="F145" s="36" t="s">
        <v>192</v>
      </c>
      <c r="G145" s="36" t="s">
        <v>1</v>
      </c>
      <c r="H145" s="36">
        <v>0</v>
      </c>
      <c r="I145" s="36" t="s">
        <v>193</v>
      </c>
      <c r="J145" s="36" t="s">
        <v>194</v>
      </c>
      <c r="K145" s="36" t="s">
        <v>195</v>
      </c>
      <c r="L145" s="36">
        <v>923</v>
      </c>
      <c r="M145" s="36"/>
      <c r="N145" s="36" t="s">
        <v>239</v>
      </c>
      <c r="O145" s="36" t="s">
        <v>240</v>
      </c>
      <c r="P145" s="36">
        <v>2</v>
      </c>
      <c r="Q145" s="36" t="s">
        <v>241</v>
      </c>
      <c r="R145" s="37">
        <v>244658</v>
      </c>
      <c r="S145" s="37" t="s">
        <v>8</v>
      </c>
      <c r="T145" s="36" t="s">
        <v>242</v>
      </c>
      <c r="U145" s="36">
        <v>23105751</v>
      </c>
      <c r="V145" s="36" t="s">
        <v>73</v>
      </c>
      <c r="W145" s="36">
        <v>10</v>
      </c>
      <c r="X145" s="36">
        <v>10</v>
      </c>
      <c r="Y145" s="36">
        <v>10</v>
      </c>
      <c r="Z145" s="36">
        <v>10</v>
      </c>
      <c r="AA145" s="36">
        <v>0</v>
      </c>
      <c r="AB145" s="36">
        <v>0</v>
      </c>
      <c r="AC145" s="36">
        <v>0</v>
      </c>
      <c r="AD145" s="36">
        <v>0</v>
      </c>
      <c r="AE145" s="36">
        <v>10</v>
      </c>
      <c r="AF145" s="36">
        <v>10</v>
      </c>
      <c r="AG145" s="36"/>
      <c r="AH145" s="36"/>
      <c r="AI145" s="36" t="s">
        <v>200</v>
      </c>
      <c r="AJ145" s="36" t="s">
        <v>201</v>
      </c>
      <c r="AK145" s="36" t="s">
        <v>202</v>
      </c>
      <c r="AL145" s="36" t="s">
        <v>203</v>
      </c>
      <c r="AM145" s="36" t="s">
        <v>204</v>
      </c>
      <c r="AN145" s="36" t="s">
        <v>222</v>
      </c>
      <c r="AO145" s="36" t="s">
        <v>206</v>
      </c>
      <c r="AP145" s="36">
        <v>2</v>
      </c>
      <c r="AQ145" s="36"/>
      <c r="AR145" s="36"/>
      <c r="AS145" s="36"/>
      <c r="AT145" s="36" t="s">
        <v>223</v>
      </c>
      <c r="AU145" s="36" t="s">
        <v>234</v>
      </c>
      <c r="AV145" s="36" t="s">
        <v>209</v>
      </c>
      <c r="AW145" s="36" t="s">
        <v>209</v>
      </c>
      <c r="AX145" s="36" t="s">
        <v>210</v>
      </c>
      <c r="AY145" s="36">
        <v>0</v>
      </c>
      <c r="AZ145" s="36" t="s">
        <v>211</v>
      </c>
      <c r="BA145" s="36">
        <v>9044989536422</v>
      </c>
      <c r="BB145" s="36"/>
      <c r="BC145" s="36"/>
      <c r="BD145" s="36">
        <v>1</v>
      </c>
      <c r="BE145" s="36"/>
      <c r="BF145" s="36" t="s">
        <v>212</v>
      </c>
      <c r="BG145" s="36">
        <v>1333314600</v>
      </c>
      <c r="BH145" s="36" t="s">
        <v>213</v>
      </c>
      <c r="BI145" s="36">
        <v>10</v>
      </c>
      <c r="BJ145" s="36">
        <v>10</v>
      </c>
      <c r="BK145" s="36">
        <v>1300</v>
      </c>
      <c r="BL145" s="36" t="s">
        <v>214</v>
      </c>
      <c r="BM145" s="36"/>
      <c r="BN145" s="36"/>
    </row>
    <row r="146" spans="1:66" x14ac:dyDescent="0.35">
      <c r="A146" s="36"/>
      <c r="B146" s="36"/>
      <c r="C146" s="37" t="s">
        <v>8</v>
      </c>
      <c r="D146" s="37" t="s">
        <v>8</v>
      </c>
      <c r="E146" s="36"/>
      <c r="F146" s="36" t="s">
        <v>192</v>
      </c>
      <c r="G146" s="36" t="s">
        <v>1</v>
      </c>
      <c r="H146" s="36">
        <v>0</v>
      </c>
      <c r="I146" s="36" t="s">
        <v>193</v>
      </c>
      <c r="J146" s="36" t="s">
        <v>194</v>
      </c>
      <c r="K146" s="36" t="s">
        <v>195</v>
      </c>
      <c r="L146" s="36">
        <v>923</v>
      </c>
      <c r="M146" s="36"/>
      <c r="N146" s="36" t="s">
        <v>239</v>
      </c>
      <c r="O146" s="36" t="s">
        <v>240</v>
      </c>
      <c r="P146" s="36">
        <v>2</v>
      </c>
      <c r="Q146" s="36" t="s">
        <v>241</v>
      </c>
      <c r="R146" s="37">
        <v>244658</v>
      </c>
      <c r="S146" s="37" t="s">
        <v>8</v>
      </c>
      <c r="T146" s="36" t="s">
        <v>242</v>
      </c>
      <c r="U146" s="36">
        <v>23058588</v>
      </c>
      <c r="V146" s="36" t="s">
        <v>114</v>
      </c>
      <c r="W146" s="36">
        <v>5</v>
      </c>
      <c r="X146" s="36">
        <v>5</v>
      </c>
      <c r="Y146" s="36">
        <v>5</v>
      </c>
      <c r="Z146" s="36">
        <v>5</v>
      </c>
      <c r="AA146" s="36">
        <v>0</v>
      </c>
      <c r="AB146" s="36">
        <v>0</v>
      </c>
      <c r="AC146" s="36">
        <v>0</v>
      </c>
      <c r="AD146" s="36">
        <v>0</v>
      </c>
      <c r="AE146" s="36">
        <v>5</v>
      </c>
      <c r="AF146" s="36">
        <v>5</v>
      </c>
      <c r="AG146" s="36"/>
      <c r="AH146" s="36"/>
      <c r="AI146" s="36" t="s">
        <v>200</v>
      </c>
      <c r="AJ146" s="36" t="s">
        <v>201</v>
      </c>
      <c r="AK146" s="36" t="s">
        <v>215</v>
      </c>
      <c r="AL146" s="36" t="s">
        <v>203</v>
      </c>
      <c r="AM146" s="36" t="s">
        <v>204</v>
      </c>
      <c r="AN146" s="36" t="s">
        <v>222</v>
      </c>
      <c r="AO146" s="36" t="s">
        <v>206</v>
      </c>
      <c r="AP146" s="36">
        <v>2</v>
      </c>
      <c r="AQ146" s="36"/>
      <c r="AR146" s="36"/>
      <c r="AS146" s="36"/>
      <c r="AT146" s="36" t="s">
        <v>223</v>
      </c>
      <c r="AU146" s="36" t="s">
        <v>234</v>
      </c>
      <c r="AV146" s="36" t="s">
        <v>209</v>
      </c>
      <c r="AW146" s="36" t="s">
        <v>209</v>
      </c>
      <c r="AX146" s="36" t="s">
        <v>210</v>
      </c>
      <c r="AY146" s="36">
        <v>0</v>
      </c>
      <c r="AZ146" s="36" t="s">
        <v>211</v>
      </c>
      <c r="BA146" s="36">
        <v>9044989536422</v>
      </c>
      <c r="BB146" s="36"/>
      <c r="BC146" s="36"/>
      <c r="BD146" s="36">
        <v>1</v>
      </c>
      <c r="BE146" s="36"/>
      <c r="BF146" s="36" t="s">
        <v>212</v>
      </c>
      <c r="BG146" s="36">
        <v>1333314600</v>
      </c>
      <c r="BH146" s="36" t="s">
        <v>213</v>
      </c>
      <c r="BI146" s="36">
        <v>5</v>
      </c>
      <c r="BJ146" s="36">
        <v>5</v>
      </c>
      <c r="BK146" s="36">
        <v>1300</v>
      </c>
      <c r="BL146" s="36" t="s">
        <v>214</v>
      </c>
      <c r="BM146" s="36"/>
      <c r="BN146" s="36"/>
    </row>
    <row r="147" spans="1:66" x14ac:dyDescent="0.35">
      <c r="A147" s="36"/>
      <c r="B147" s="36"/>
      <c r="C147" s="37" t="s">
        <v>8</v>
      </c>
      <c r="D147" s="37" t="s">
        <v>8</v>
      </c>
      <c r="E147" s="36"/>
      <c r="F147" s="36" t="s">
        <v>192</v>
      </c>
      <c r="G147" s="36" t="s">
        <v>1</v>
      </c>
      <c r="H147" s="36">
        <v>0</v>
      </c>
      <c r="I147" s="36" t="s">
        <v>193</v>
      </c>
      <c r="J147" s="36" t="s">
        <v>194</v>
      </c>
      <c r="K147" s="36" t="s">
        <v>195</v>
      </c>
      <c r="L147" s="36">
        <v>923</v>
      </c>
      <c r="M147" s="36"/>
      <c r="N147" s="36" t="s">
        <v>239</v>
      </c>
      <c r="O147" s="36" t="s">
        <v>240</v>
      </c>
      <c r="P147" s="36">
        <v>2</v>
      </c>
      <c r="Q147" s="36" t="s">
        <v>241</v>
      </c>
      <c r="R147" s="37">
        <v>244658</v>
      </c>
      <c r="S147" s="37" t="s">
        <v>8</v>
      </c>
      <c r="T147" s="36" t="s">
        <v>242</v>
      </c>
      <c r="U147" s="36">
        <v>23058589</v>
      </c>
      <c r="V147" s="36" t="s">
        <v>33</v>
      </c>
      <c r="W147" s="36">
        <v>40</v>
      </c>
      <c r="X147" s="36">
        <v>40</v>
      </c>
      <c r="Y147" s="36">
        <v>40</v>
      </c>
      <c r="Z147" s="36">
        <v>40</v>
      </c>
      <c r="AA147" s="36">
        <v>0</v>
      </c>
      <c r="AB147" s="36">
        <v>0</v>
      </c>
      <c r="AC147" s="36">
        <v>0</v>
      </c>
      <c r="AD147" s="36">
        <v>0</v>
      </c>
      <c r="AE147" s="36">
        <v>40</v>
      </c>
      <c r="AF147" s="36">
        <v>40</v>
      </c>
      <c r="AG147" s="36"/>
      <c r="AH147" s="36"/>
      <c r="AI147" s="36" t="s">
        <v>200</v>
      </c>
      <c r="AJ147" s="36" t="s">
        <v>201</v>
      </c>
      <c r="AK147" s="36" t="s">
        <v>215</v>
      </c>
      <c r="AL147" s="36" t="s">
        <v>203</v>
      </c>
      <c r="AM147" s="36" t="s">
        <v>204</v>
      </c>
      <c r="AN147" s="36" t="s">
        <v>222</v>
      </c>
      <c r="AO147" s="36" t="s">
        <v>206</v>
      </c>
      <c r="AP147" s="36">
        <v>2</v>
      </c>
      <c r="AQ147" s="36"/>
      <c r="AR147" s="36"/>
      <c r="AS147" s="36"/>
      <c r="AT147" s="36" t="s">
        <v>223</v>
      </c>
      <c r="AU147" s="36" t="s">
        <v>234</v>
      </c>
      <c r="AV147" s="36" t="s">
        <v>209</v>
      </c>
      <c r="AW147" s="36" t="s">
        <v>209</v>
      </c>
      <c r="AX147" s="36" t="s">
        <v>210</v>
      </c>
      <c r="AY147" s="36">
        <v>0</v>
      </c>
      <c r="AZ147" s="36" t="s">
        <v>211</v>
      </c>
      <c r="BA147" s="36">
        <v>9044989536422</v>
      </c>
      <c r="BB147" s="36"/>
      <c r="BC147" s="36"/>
      <c r="BD147" s="36">
        <v>1</v>
      </c>
      <c r="BE147" s="36"/>
      <c r="BF147" s="36" t="s">
        <v>212</v>
      </c>
      <c r="BG147" s="36">
        <v>1333314600</v>
      </c>
      <c r="BH147" s="36" t="s">
        <v>213</v>
      </c>
      <c r="BI147" s="36">
        <v>40</v>
      </c>
      <c r="BJ147" s="36">
        <v>40</v>
      </c>
      <c r="BK147" s="36">
        <v>1300</v>
      </c>
      <c r="BL147" s="36" t="s">
        <v>214</v>
      </c>
      <c r="BM147" s="36"/>
      <c r="BN147" s="36"/>
    </row>
    <row r="148" spans="1:66" x14ac:dyDescent="0.35">
      <c r="A148" s="36"/>
      <c r="B148" s="36"/>
      <c r="C148" s="37" t="s">
        <v>8</v>
      </c>
      <c r="D148" s="37" t="s">
        <v>8</v>
      </c>
      <c r="E148" s="36"/>
      <c r="F148" s="36" t="s">
        <v>192</v>
      </c>
      <c r="G148" s="36" t="s">
        <v>1</v>
      </c>
      <c r="H148" s="36">
        <v>0</v>
      </c>
      <c r="I148" s="36" t="s">
        <v>193</v>
      </c>
      <c r="J148" s="36" t="s">
        <v>194</v>
      </c>
      <c r="K148" s="36" t="s">
        <v>195</v>
      </c>
      <c r="L148" s="36">
        <v>923</v>
      </c>
      <c r="M148" s="36"/>
      <c r="N148" s="36" t="s">
        <v>239</v>
      </c>
      <c r="O148" s="36" t="s">
        <v>240</v>
      </c>
      <c r="P148" s="36">
        <v>2</v>
      </c>
      <c r="Q148" s="36" t="s">
        <v>241</v>
      </c>
      <c r="R148" s="37">
        <v>244658</v>
      </c>
      <c r="S148" s="37" t="s">
        <v>8</v>
      </c>
      <c r="T148" s="36" t="s">
        <v>242</v>
      </c>
      <c r="U148" s="36">
        <v>23105702</v>
      </c>
      <c r="V148" s="36" t="s">
        <v>72</v>
      </c>
      <c r="W148" s="36">
        <v>80</v>
      </c>
      <c r="X148" s="36">
        <v>400</v>
      </c>
      <c r="Y148" s="36">
        <v>80</v>
      </c>
      <c r="Z148" s="36">
        <v>400</v>
      </c>
      <c r="AA148" s="36">
        <v>0</v>
      </c>
      <c r="AB148" s="36">
        <v>0</v>
      </c>
      <c r="AC148" s="36">
        <v>0</v>
      </c>
      <c r="AD148" s="36">
        <v>0</v>
      </c>
      <c r="AE148" s="36">
        <v>80</v>
      </c>
      <c r="AF148" s="36">
        <v>400</v>
      </c>
      <c r="AG148" s="36"/>
      <c r="AH148" s="36"/>
      <c r="AI148" s="36" t="s">
        <v>200</v>
      </c>
      <c r="AJ148" s="36" t="s">
        <v>201</v>
      </c>
      <c r="AK148" s="36" t="s">
        <v>202</v>
      </c>
      <c r="AL148" s="36" t="s">
        <v>203</v>
      </c>
      <c r="AM148" s="36" t="s">
        <v>204</v>
      </c>
      <c r="AN148" s="36" t="s">
        <v>222</v>
      </c>
      <c r="AO148" s="36" t="s">
        <v>206</v>
      </c>
      <c r="AP148" s="36">
        <v>2</v>
      </c>
      <c r="AQ148" s="36"/>
      <c r="AR148" s="36"/>
      <c r="AS148" s="36"/>
      <c r="AT148" s="36" t="s">
        <v>223</v>
      </c>
      <c r="AU148" s="36" t="s">
        <v>234</v>
      </c>
      <c r="AV148" s="36" t="s">
        <v>217</v>
      </c>
      <c r="AW148" s="36" t="s">
        <v>209</v>
      </c>
      <c r="AX148" s="36" t="s">
        <v>210</v>
      </c>
      <c r="AY148" s="36">
        <v>0</v>
      </c>
      <c r="AZ148" s="36" t="s">
        <v>211</v>
      </c>
      <c r="BA148" s="36">
        <v>9044989536422</v>
      </c>
      <c r="BB148" s="36"/>
      <c r="BC148" s="36"/>
      <c r="BD148" s="36">
        <v>1</v>
      </c>
      <c r="BE148" s="36"/>
      <c r="BF148" s="36" t="s">
        <v>212</v>
      </c>
      <c r="BG148" s="36">
        <v>1333314600</v>
      </c>
      <c r="BH148" s="36" t="s">
        <v>213</v>
      </c>
      <c r="BI148" s="36">
        <v>80</v>
      </c>
      <c r="BJ148" s="36">
        <v>400</v>
      </c>
      <c r="BK148" s="36">
        <v>1300</v>
      </c>
      <c r="BL148" s="36" t="s">
        <v>214</v>
      </c>
      <c r="BM148" s="36"/>
      <c r="BN148" s="36"/>
    </row>
    <row r="149" spans="1:66" x14ac:dyDescent="0.35">
      <c r="A149" s="36"/>
      <c r="B149" s="36"/>
      <c r="C149" s="37" t="s">
        <v>8</v>
      </c>
      <c r="D149" s="37" t="s">
        <v>8</v>
      </c>
      <c r="E149" s="36"/>
      <c r="F149" s="36" t="s">
        <v>192</v>
      </c>
      <c r="G149" s="36" t="s">
        <v>1</v>
      </c>
      <c r="H149" s="36">
        <v>0</v>
      </c>
      <c r="I149" s="36" t="s">
        <v>193</v>
      </c>
      <c r="J149" s="36" t="s">
        <v>194</v>
      </c>
      <c r="K149" s="36" t="s">
        <v>195</v>
      </c>
      <c r="L149" s="36">
        <v>923</v>
      </c>
      <c r="M149" s="36"/>
      <c r="N149" s="36" t="s">
        <v>239</v>
      </c>
      <c r="O149" s="36" t="s">
        <v>240</v>
      </c>
      <c r="P149" s="36">
        <v>2</v>
      </c>
      <c r="Q149" s="36" t="s">
        <v>241</v>
      </c>
      <c r="R149" s="37">
        <v>244658</v>
      </c>
      <c r="S149" s="37" t="s">
        <v>8</v>
      </c>
      <c r="T149" s="36" t="s">
        <v>242</v>
      </c>
      <c r="U149" s="36">
        <v>23065143</v>
      </c>
      <c r="V149" s="36" t="s">
        <v>43</v>
      </c>
      <c r="W149" s="36">
        <v>80</v>
      </c>
      <c r="X149" s="36">
        <v>80</v>
      </c>
      <c r="Y149" s="36">
        <v>80</v>
      </c>
      <c r="Z149" s="36">
        <v>80</v>
      </c>
      <c r="AA149" s="36">
        <v>0</v>
      </c>
      <c r="AB149" s="36">
        <v>0</v>
      </c>
      <c r="AC149" s="36">
        <v>0</v>
      </c>
      <c r="AD149" s="36">
        <v>0</v>
      </c>
      <c r="AE149" s="36">
        <v>80</v>
      </c>
      <c r="AF149" s="36">
        <v>80</v>
      </c>
      <c r="AG149" s="36"/>
      <c r="AH149" s="36"/>
      <c r="AI149" s="36" t="s">
        <v>200</v>
      </c>
      <c r="AJ149" s="36" t="s">
        <v>201</v>
      </c>
      <c r="AK149" s="36" t="s">
        <v>202</v>
      </c>
      <c r="AL149" s="36" t="s">
        <v>203</v>
      </c>
      <c r="AM149" s="36" t="s">
        <v>204</v>
      </c>
      <c r="AN149" s="36" t="s">
        <v>222</v>
      </c>
      <c r="AO149" s="36" t="s">
        <v>206</v>
      </c>
      <c r="AP149" s="36">
        <v>2</v>
      </c>
      <c r="AQ149" s="36"/>
      <c r="AR149" s="36"/>
      <c r="AS149" s="36"/>
      <c r="AT149" s="36" t="s">
        <v>223</v>
      </c>
      <c r="AU149" s="36" t="s">
        <v>234</v>
      </c>
      <c r="AV149" s="36" t="s">
        <v>209</v>
      </c>
      <c r="AW149" s="36" t="s">
        <v>209</v>
      </c>
      <c r="AX149" s="36" t="s">
        <v>210</v>
      </c>
      <c r="AY149" s="36">
        <v>0</v>
      </c>
      <c r="AZ149" s="36" t="s">
        <v>211</v>
      </c>
      <c r="BA149" s="36">
        <v>9044989536422</v>
      </c>
      <c r="BB149" s="36"/>
      <c r="BC149" s="36"/>
      <c r="BD149" s="36">
        <v>1</v>
      </c>
      <c r="BE149" s="36"/>
      <c r="BF149" s="36" t="s">
        <v>212</v>
      </c>
      <c r="BG149" s="36">
        <v>1333314600</v>
      </c>
      <c r="BH149" s="36" t="s">
        <v>213</v>
      </c>
      <c r="BI149" s="36">
        <v>80</v>
      </c>
      <c r="BJ149" s="36">
        <v>80</v>
      </c>
      <c r="BK149" s="36">
        <v>1300</v>
      </c>
      <c r="BL149" s="36" t="s">
        <v>214</v>
      </c>
      <c r="BM149" s="36"/>
      <c r="BN149" s="36"/>
    </row>
    <row r="150" spans="1:66" x14ac:dyDescent="0.35">
      <c r="A150" s="36"/>
      <c r="B150" s="36"/>
      <c r="C150" s="37" t="s">
        <v>8</v>
      </c>
      <c r="D150" s="37" t="s">
        <v>8</v>
      </c>
      <c r="E150" s="36"/>
      <c r="F150" s="36" t="s">
        <v>192</v>
      </c>
      <c r="G150" s="36" t="s">
        <v>1</v>
      </c>
      <c r="H150" s="36">
        <v>0</v>
      </c>
      <c r="I150" s="36" t="s">
        <v>193</v>
      </c>
      <c r="J150" s="36" t="s">
        <v>194</v>
      </c>
      <c r="K150" s="36" t="s">
        <v>195</v>
      </c>
      <c r="L150" s="36">
        <v>923</v>
      </c>
      <c r="M150" s="36"/>
      <c r="N150" s="36" t="s">
        <v>239</v>
      </c>
      <c r="O150" s="36" t="s">
        <v>240</v>
      </c>
      <c r="P150" s="36">
        <v>2</v>
      </c>
      <c r="Q150" s="36" t="s">
        <v>241</v>
      </c>
      <c r="R150" s="37">
        <v>244658</v>
      </c>
      <c r="S150" s="37" t="s">
        <v>8</v>
      </c>
      <c r="T150" s="36" t="s">
        <v>242</v>
      </c>
      <c r="U150" s="36">
        <v>23105754</v>
      </c>
      <c r="V150" s="36" t="s">
        <v>76</v>
      </c>
      <c r="W150" s="36">
        <v>60</v>
      </c>
      <c r="X150" s="36">
        <v>60</v>
      </c>
      <c r="Y150" s="36">
        <v>60</v>
      </c>
      <c r="Z150" s="36">
        <v>60</v>
      </c>
      <c r="AA150" s="36">
        <v>0</v>
      </c>
      <c r="AB150" s="36">
        <v>0</v>
      </c>
      <c r="AC150" s="36">
        <v>0</v>
      </c>
      <c r="AD150" s="36">
        <v>0</v>
      </c>
      <c r="AE150" s="36">
        <v>60</v>
      </c>
      <c r="AF150" s="36">
        <v>60</v>
      </c>
      <c r="AG150" s="36"/>
      <c r="AH150" s="36"/>
      <c r="AI150" s="36" t="s">
        <v>200</v>
      </c>
      <c r="AJ150" s="36" t="s">
        <v>201</v>
      </c>
      <c r="AK150" s="36" t="s">
        <v>202</v>
      </c>
      <c r="AL150" s="36" t="s">
        <v>203</v>
      </c>
      <c r="AM150" s="36" t="s">
        <v>204</v>
      </c>
      <c r="AN150" s="36" t="s">
        <v>222</v>
      </c>
      <c r="AO150" s="36" t="s">
        <v>206</v>
      </c>
      <c r="AP150" s="36">
        <v>2</v>
      </c>
      <c r="AQ150" s="36"/>
      <c r="AR150" s="36"/>
      <c r="AS150" s="36"/>
      <c r="AT150" s="36" t="s">
        <v>223</v>
      </c>
      <c r="AU150" s="36" t="s">
        <v>234</v>
      </c>
      <c r="AV150" s="36" t="s">
        <v>209</v>
      </c>
      <c r="AW150" s="36" t="s">
        <v>209</v>
      </c>
      <c r="AX150" s="36" t="s">
        <v>210</v>
      </c>
      <c r="AY150" s="36">
        <v>0</v>
      </c>
      <c r="AZ150" s="36" t="s">
        <v>211</v>
      </c>
      <c r="BA150" s="36">
        <v>9044989536422</v>
      </c>
      <c r="BB150" s="36"/>
      <c r="BC150" s="36"/>
      <c r="BD150" s="36">
        <v>1</v>
      </c>
      <c r="BE150" s="36"/>
      <c r="BF150" s="36" t="s">
        <v>212</v>
      </c>
      <c r="BG150" s="36">
        <v>1333314600</v>
      </c>
      <c r="BH150" s="36" t="s">
        <v>213</v>
      </c>
      <c r="BI150" s="36">
        <v>60</v>
      </c>
      <c r="BJ150" s="36">
        <v>60</v>
      </c>
      <c r="BK150" s="36">
        <v>1300</v>
      </c>
      <c r="BL150" s="36" t="s">
        <v>214</v>
      </c>
      <c r="BM150" s="36"/>
      <c r="BN150" s="36"/>
    </row>
    <row r="151" spans="1:66" x14ac:dyDescent="0.35">
      <c r="A151" s="36"/>
      <c r="B151" s="36"/>
      <c r="C151" s="37" t="s">
        <v>8</v>
      </c>
      <c r="D151" s="37" t="s">
        <v>8</v>
      </c>
      <c r="E151" s="36"/>
      <c r="F151" s="36" t="s">
        <v>192</v>
      </c>
      <c r="G151" s="36" t="s">
        <v>1</v>
      </c>
      <c r="H151" s="36">
        <v>0</v>
      </c>
      <c r="I151" s="36" t="s">
        <v>193</v>
      </c>
      <c r="J151" s="36" t="s">
        <v>194</v>
      </c>
      <c r="K151" s="36" t="s">
        <v>195</v>
      </c>
      <c r="L151" s="36">
        <v>923</v>
      </c>
      <c r="M151" s="36"/>
      <c r="N151" s="36" t="s">
        <v>239</v>
      </c>
      <c r="O151" s="36" t="s">
        <v>240</v>
      </c>
      <c r="P151" s="36">
        <v>2</v>
      </c>
      <c r="Q151" s="36" t="s">
        <v>241</v>
      </c>
      <c r="R151" s="37">
        <v>244658</v>
      </c>
      <c r="S151" s="37" t="s">
        <v>8</v>
      </c>
      <c r="T151" s="36" t="s">
        <v>242</v>
      </c>
      <c r="U151" s="36">
        <v>23058584</v>
      </c>
      <c r="V151" s="36" t="s">
        <v>29</v>
      </c>
      <c r="W151" s="36">
        <v>100</v>
      </c>
      <c r="X151" s="36">
        <v>100</v>
      </c>
      <c r="Y151" s="36">
        <v>100</v>
      </c>
      <c r="Z151" s="36">
        <v>100</v>
      </c>
      <c r="AA151" s="36">
        <v>0</v>
      </c>
      <c r="AB151" s="36">
        <v>0</v>
      </c>
      <c r="AC151" s="36">
        <v>0</v>
      </c>
      <c r="AD151" s="36">
        <v>0</v>
      </c>
      <c r="AE151" s="36">
        <v>100</v>
      </c>
      <c r="AF151" s="36">
        <v>100</v>
      </c>
      <c r="AG151" s="36"/>
      <c r="AH151" s="36"/>
      <c r="AI151" s="36" t="s">
        <v>200</v>
      </c>
      <c r="AJ151" s="36" t="s">
        <v>201</v>
      </c>
      <c r="AK151" s="36" t="s">
        <v>215</v>
      </c>
      <c r="AL151" s="36" t="s">
        <v>203</v>
      </c>
      <c r="AM151" s="36" t="s">
        <v>204</v>
      </c>
      <c r="AN151" s="36" t="s">
        <v>222</v>
      </c>
      <c r="AO151" s="36" t="s">
        <v>206</v>
      </c>
      <c r="AP151" s="36">
        <v>2</v>
      </c>
      <c r="AQ151" s="36"/>
      <c r="AR151" s="36"/>
      <c r="AS151" s="36"/>
      <c r="AT151" s="36" t="s">
        <v>223</v>
      </c>
      <c r="AU151" s="36" t="s">
        <v>234</v>
      </c>
      <c r="AV151" s="36" t="s">
        <v>209</v>
      </c>
      <c r="AW151" s="36" t="s">
        <v>209</v>
      </c>
      <c r="AX151" s="36" t="s">
        <v>210</v>
      </c>
      <c r="AY151" s="36">
        <v>0</v>
      </c>
      <c r="AZ151" s="36" t="s">
        <v>211</v>
      </c>
      <c r="BA151" s="36">
        <v>9044989536422</v>
      </c>
      <c r="BB151" s="36"/>
      <c r="BC151" s="36"/>
      <c r="BD151" s="36">
        <v>1</v>
      </c>
      <c r="BE151" s="36"/>
      <c r="BF151" s="36" t="s">
        <v>212</v>
      </c>
      <c r="BG151" s="36">
        <v>1333314600</v>
      </c>
      <c r="BH151" s="36" t="s">
        <v>213</v>
      </c>
      <c r="BI151" s="36">
        <v>100</v>
      </c>
      <c r="BJ151" s="36">
        <v>100</v>
      </c>
      <c r="BK151" s="36">
        <v>1300</v>
      </c>
      <c r="BL151" s="36" t="s">
        <v>214</v>
      </c>
      <c r="BM151" s="36"/>
      <c r="BN151" s="36"/>
    </row>
    <row r="152" spans="1:66" x14ac:dyDescent="0.35">
      <c r="A152" s="36"/>
      <c r="B152" s="36"/>
      <c r="C152" s="37" t="s">
        <v>8</v>
      </c>
      <c r="D152" s="37" t="s">
        <v>8</v>
      </c>
      <c r="E152" s="36"/>
      <c r="F152" s="36" t="s">
        <v>192</v>
      </c>
      <c r="G152" s="36" t="s">
        <v>1</v>
      </c>
      <c r="H152" s="36">
        <v>0</v>
      </c>
      <c r="I152" s="36" t="s">
        <v>193</v>
      </c>
      <c r="J152" s="36" t="s">
        <v>194</v>
      </c>
      <c r="K152" s="36" t="s">
        <v>195</v>
      </c>
      <c r="L152" s="36">
        <v>923</v>
      </c>
      <c r="M152" s="36"/>
      <c r="N152" s="36" t="s">
        <v>239</v>
      </c>
      <c r="O152" s="36" t="s">
        <v>240</v>
      </c>
      <c r="P152" s="36">
        <v>2</v>
      </c>
      <c r="Q152" s="36" t="s">
        <v>241</v>
      </c>
      <c r="R152" s="37">
        <v>244658</v>
      </c>
      <c r="S152" s="37" t="s">
        <v>8</v>
      </c>
      <c r="T152" s="36" t="s">
        <v>242</v>
      </c>
      <c r="U152" s="36">
        <v>23057815</v>
      </c>
      <c r="V152" s="36" t="s">
        <v>20</v>
      </c>
      <c r="W152" s="36">
        <v>100</v>
      </c>
      <c r="X152" s="36">
        <v>100</v>
      </c>
      <c r="Y152" s="36">
        <v>100</v>
      </c>
      <c r="Z152" s="36">
        <v>100</v>
      </c>
      <c r="AA152" s="36">
        <v>0</v>
      </c>
      <c r="AB152" s="36">
        <v>0</v>
      </c>
      <c r="AC152" s="36">
        <v>0</v>
      </c>
      <c r="AD152" s="36">
        <v>0</v>
      </c>
      <c r="AE152" s="36">
        <v>100</v>
      </c>
      <c r="AF152" s="36">
        <v>100</v>
      </c>
      <c r="AG152" s="36"/>
      <c r="AH152" s="36"/>
      <c r="AI152" s="36" t="s">
        <v>200</v>
      </c>
      <c r="AJ152" s="36" t="s">
        <v>201</v>
      </c>
      <c r="AK152" s="36" t="s">
        <v>202</v>
      </c>
      <c r="AL152" s="36" t="s">
        <v>203</v>
      </c>
      <c r="AM152" s="36" t="s">
        <v>204</v>
      </c>
      <c r="AN152" s="36" t="s">
        <v>222</v>
      </c>
      <c r="AO152" s="36" t="s">
        <v>206</v>
      </c>
      <c r="AP152" s="36">
        <v>2</v>
      </c>
      <c r="AQ152" s="36"/>
      <c r="AR152" s="36"/>
      <c r="AS152" s="36"/>
      <c r="AT152" s="36" t="s">
        <v>223</v>
      </c>
      <c r="AU152" s="36" t="s">
        <v>234</v>
      </c>
      <c r="AV152" s="36" t="s">
        <v>209</v>
      </c>
      <c r="AW152" s="36" t="s">
        <v>209</v>
      </c>
      <c r="AX152" s="36" t="s">
        <v>210</v>
      </c>
      <c r="AY152" s="36">
        <v>0</v>
      </c>
      <c r="AZ152" s="36" t="s">
        <v>211</v>
      </c>
      <c r="BA152" s="36">
        <v>9044989536422</v>
      </c>
      <c r="BB152" s="36"/>
      <c r="BC152" s="36"/>
      <c r="BD152" s="36">
        <v>1</v>
      </c>
      <c r="BE152" s="36"/>
      <c r="BF152" s="36" t="s">
        <v>212</v>
      </c>
      <c r="BG152" s="36">
        <v>1333314600</v>
      </c>
      <c r="BH152" s="36" t="s">
        <v>213</v>
      </c>
      <c r="BI152" s="36">
        <v>100</v>
      </c>
      <c r="BJ152" s="36">
        <v>100</v>
      </c>
      <c r="BK152" s="36">
        <v>1300</v>
      </c>
      <c r="BL152" s="36" t="s">
        <v>214</v>
      </c>
      <c r="BM152" s="36"/>
      <c r="BN152" s="36"/>
    </row>
    <row r="153" spans="1:66" x14ac:dyDescent="0.35">
      <c r="A153" s="36"/>
      <c r="B153" s="36"/>
      <c r="C153" s="37" t="s">
        <v>8</v>
      </c>
      <c r="D153" s="37" t="s">
        <v>8</v>
      </c>
      <c r="E153" s="36"/>
      <c r="F153" s="36" t="s">
        <v>192</v>
      </c>
      <c r="G153" s="36" t="s">
        <v>1</v>
      </c>
      <c r="H153" s="36">
        <v>0</v>
      </c>
      <c r="I153" s="36" t="s">
        <v>193</v>
      </c>
      <c r="J153" s="36" t="s">
        <v>194</v>
      </c>
      <c r="K153" s="36" t="s">
        <v>195</v>
      </c>
      <c r="L153" s="36">
        <v>923</v>
      </c>
      <c r="M153" s="36"/>
      <c r="N153" s="36" t="s">
        <v>239</v>
      </c>
      <c r="O153" s="36" t="s">
        <v>240</v>
      </c>
      <c r="P153" s="36">
        <v>2</v>
      </c>
      <c r="Q153" s="36" t="s">
        <v>241</v>
      </c>
      <c r="R153" s="37">
        <v>244658</v>
      </c>
      <c r="S153" s="37" t="s">
        <v>8</v>
      </c>
      <c r="T153" s="36" t="s">
        <v>242</v>
      </c>
      <c r="U153" s="36">
        <v>23058553</v>
      </c>
      <c r="V153" s="36" t="s">
        <v>27</v>
      </c>
      <c r="W153" s="36">
        <v>10</v>
      </c>
      <c r="X153" s="36">
        <v>10</v>
      </c>
      <c r="Y153" s="36">
        <v>10</v>
      </c>
      <c r="Z153" s="36">
        <v>10</v>
      </c>
      <c r="AA153" s="36">
        <v>0</v>
      </c>
      <c r="AB153" s="36">
        <v>0</v>
      </c>
      <c r="AC153" s="36">
        <v>0</v>
      </c>
      <c r="AD153" s="36">
        <v>0</v>
      </c>
      <c r="AE153" s="36">
        <v>10</v>
      </c>
      <c r="AF153" s="36">
        <v>10</v>
      </c>
      <c r="AG153" s="36"/>
      <c r="AH153" s="36"/>
      <c r="AI153" s="36" t="s">
        <v>200</v>
      </c>
      <c r="AJ153" s="36" t="s">
        <v>201</v>
      </c>
      <c r="AK153" s="36" t="s">
        <v>215</v>
      </c>
      <c r="AL153" s="36" t="s">
        <v>203</v>
      </c>
      <c r="AM153" s="36" t="s">
        <v>204</v>
      </c>
      <c r="AN153" s="36" t="s">
        <v>222</v>
      </c>
      <c r="AO153" s="36" t="s">
        <v>206</v>
      </c>
      <c r="AP153" s="36">
        <v>2</v>
      </c>
      <c r="AQ153" s="36"/>
      <c r="AR153" s="36"/>
      <c r="AS153" s="36"/>
      <c r="AT153" s="36" t="s">
        <v>223</v>
      </c>
      <c r="AU153" s="36" t="s">
        <v>234</v>
      </c>
      <c r="AV153" s="36" t="s">
        <v>209</v>
      </c>
      <c r="AW153" s="36" t="s">
        <v>209</v>
      </c>
      <c r="AX153" s="36" t="s">
        <v>210</v>
      </c>
      <c r="AY153" s="36">
        <v>0</v>
      </c>
      <c r="AZ153" s="36" t="s">
        <v>211</v>
      </c>
      <c r="BA153" s="36">
        <v>9044989536422</v>
      </c>
      <c r="BB153" s="36"/>
      <c r="BC153" s="36"/>
      <c r="BD153" s="36">
        <v>1</v>
      </c>
      <c r="BE153" s="36"/>
      <c r="BF153" s="36" t="s">
        <v>212</v>
      </c>
      <c r="BG153" s="36">
        <v>1333314600</v>
      </c>
      <c r="BH153" s="36" t="s">
        <v>213</v>
      </c>
      <c r="BI153" s="36">
        <v>10</v>
      </c>
      <c r="BJ153" s="36">
        <v>10</v>
      </c>
      <c r="BK153" s="36">
        <v>1300</v>
      </c>
      <c r="BL153" s="36" t="s">
        <v>214</v>
      </c>
      <c r="BM153" s="36"/>
      <c r="BN153" s="36"/>
    </row>
    <row r="154" spans="1:66" x14ac:dyDescent="0.35">
      <c r="A154" s="36"/>
      <c r="B154" s="36"/>
      <c r="C154" s="37" t="s">
        <v>8</v>
      </c>
      <c r="D154" s="37" t="s">
        <v>8</v>
      </c>
      <c r="E154" s="36"/>
      <c r="F154" s="36" t="s">
        <v>192</v>
      </c>
      <c r="G154" s="36" t="s">
        <v>1</v>
      </c>
      <c r="H154" s="36">
        <v>0</v>
      </c>
      <c r="I154" s="36" t="s">
        <v>193</v>
      </c>
      <c r="J154" s="36" t="s">
        <v>194</v>
      </c>
      <c r="K154" s="36" t="s">
        <v>195</v>
      </c>
      <c r="L154" s="36">
        <v>923</v>
      </c>
      <c r="M154" s="36"/>
      <c r="N154" s="36" t="s">
        <v>239</v>
      </c>
      <c r="O154" s="36" t="s">
        <v>240</v>
      </c>
      <c r="P154" s="36">
        <v>2</v>
      </c>
      <c r="Q154" s="36" t="s">
        <v>241</v>
      </c>
      <c r="R154" s="37">
        <v>244658</v>
      </c>
      <c r="S154" s="37" t="s">
        <v>8</v>
      </c>
      <c r="T154" s="36" t="s">
        <v>242</v>
      </c>
      <c r="U154" s="36">
        <v>23058555</v>
      </c>
      <c r="V154" s="36" t="s">
        <v>28</v>
      </c>
      <c r="W154" s="36">
        <v>250</v>
      </c>
      <c r="X154" s="36">
        <v>250</v>
      </c>
      <c r="Y154" s="36">
        <v>250</v>
      </c>
      <c r="Z154" s="36">
        <v>250</v>
      </c>
      <c r="AA154" s="36">
        <v>0</v>
      </c>
      <c r="AB154" s="36">
        <v>0</v>
      </c>
      <c r="AC154" s="36">
        <v>0</v>
      </c>
      <c r="AD154" s="36">
        <v>0</v>
      </c>
      <c r="AE154" s="36">
        <v>250</v>
      </c>
      <c r="AF154" s="36">
        <v>250</v>
      </c>
      <c r="AG154" s="36"/>
      <c r="AH154" s="36"/>
      <c r="AI154" s="36" t="s">
        <v>200</v>
      </c>
      <c r="AJ154" s="36" t="s">
        <v>201</v>
      </c>
      <c r="AK154" s="36" t="s">
        <v>215</v>
      </c>
      <c r="AL154" s="36" t="s">
        <v>203</v>
      </c>
      <c r="AM154" s="36" t="s">
        <v>204</v>
      </c>
      <c r="AN154" s="36" t="s">
        <v>222</v>
      </c>
      <c r="AO154" s="36" t="s">
        <v>206</v>
      </c>
      <c r="AP154" s="36">
        <v>2</v>
      </c>
      <c r="AQ154" s="36"/>
      <c r="AR154" s="36"/>
      <c r="AS154" s="36"/>
      <c r="AT154" s="36" t="s">
        <v>223</v>
      </c>
      <c r="AU154" s="36" t="s">
        <v>234</v>
      </c>
      <c r="AV154" s="36" t="s">
        <v>209</v>
      </c>
      <c r="AW154" s="36" t="s">
        <v>209</v>
      </c>
      <c r="AX154" s="36" t="s">
        <v>210</v>
      </c>
      <c r="AY154" s="36">
        <v>0</v>
      </c>
      <c r="AZ154" s="36" t="s">
        <v>211</v>
      </c>
      <c r="BA154" s="36">
        <v>9044989536422</v>
      </c>
      <c r="BB154" s="36"/>
      <c r="BC154" s="36"/>
      <c r="BD154" s="36">
        <v>1</v>
      </c>
      <c r="BE154" s="36"/>
      <c r="BF154" s="36" t="s">
        <v>212</v>
      </c>
      <c r="BG154" s="36">
        <v>1333314600</v>
      </c>
      <c r="BH154" s="36" t="s">
        <v>213</v>
      </c>
      <c r="BI154" s="36">
        <v>250</v>
      </c>
      <c r="BJ154" s="36">
        <v>250</v>
      </c>
      <c r="BK154" s="36">
        <v>1300</v>
      </c>
      <c r="BL154" s="36" t="s">
        <v>214</v>
      </c>
      <c r="BM154" s="36"/>
      <c r="BN154" s="36"/>
    </row>
    <row r="155" spans="1:66" x14ac:dyDescent="0.35">
      <c r="A155" s="36"/>
      <c r="B155" s="36"/>
      <c r="C155" s="37" t="s">
        <v>8</v>
      </c>
      <c r="D155" s="37" t="s">
        <v>8</v>
      </c>
      <c r="E155" s="36"/>
      <c r="F155" s="36" t="s">
        <v>192</v>
      </c>
      <c r="G155" s="36" t="s">
        <v>1</v>
      </c>
      <c r="H155" s="36">
        <v>0</v>
      </c>
      <c r="I155" s="36" t="s">
        <v>193</v>
      </c>
      <c r="J155" s="36" t="s">
        <v>194</v>
      </c>
      <c r="K155" s="36" t="s">
        <v>195</v>
      </c>
      <c r="L155" s="36">
        <v>923</v>
      </c>
      <c r="M155" s="36"/>
      <c r="N155" s="36" t="s">
        <v>239</v>
      </c>
      <c r="O155" s="36" t="s">
        <v>240</v>
      </c>
      <c r="P155" s="36">
        <v>2</v>
      </c>
      <c r="Q155" s="36" t="s">
        <v>241</v>
      </c>
      <c r="R155" s="37">
        <v>244658</v>
      </c>
      <c r="S155" s="37" t="s">
        <v>8</v>
      </c>
      <c r="T155" s="36" t="s">
        <v>242</v>
      </c>
      <c r="U155" s="36">
        <v>23065140</v>
      </c>
      <c r="V155" s="36" t="s">
        <v>40</v>
      </c>
      <c r="W155" s="36">
        <v>100</v>
      </c>
      <c r="X155" s="36">
        <v>100</v>
      </c>
      <c r="Y155" s="36">
        <v>100</v>
      </c>
      <c r="Z155" s="36">
        <v>100</v>
      </c>
      <c r="AA155" s="36">
        <v>0</v>
      </c>
      <c r="AB155" s="36">
        <v>0</v>
      </c>
      <c r="AC155" s="36">
        <v>0</v>
      </c>
      <c r="AD155" s="36">
        <v>0</v>
      </c>
      <c r="AE155" s="36">
        <v>100</v>
      </c>
      <c r="AF155" s="36">
        <v>100</v>
      </c>
      <c r="AG155" s="36"/>
      <c r="AH155" s="36"/>
      <c r="AI155" s="36" t="s">
        <v>200</v>
      </c>
      <c r="AJ155" s="36" t="s">
        <v>201</v>
      </c>
      <c r="AK155" s="36" t="s">
        <v>202</v>
      </c>
      <c r="AL155" s="36" t="s">
        <v>203</v>
      </c>
      <c r="AM155" s="36" t="s">
        <v>204</v>
      </c>
      <c r="AN155" s="36" t="s">
        <v>222</v>
      </c>
      <c r="AO155" s="36" t="s">
        <v>206</v>
      </c>
      <c r="AP155" s="36">
        <v>2</v>
      </c>
      <c r="AQ155" s="36"/>
      <c r="AR155" s="36"/>
      <c r="AS155" s="36"/>
      <c r="AT155" s="36" t="s">
        <v>223</v>
      </c>
      <c r="AU155" s="36" t="s">
        <v>234</v>
      </c>
      <c r="AV155" s="36" t="s">
        <v>209</v>
      </c>
      <c r="AW155" s="36" t="s">
        <v>209</v>
      </c>
      <c r="AX155" s="36" t="s">
        <v>210</v>
      </c>
      <c r="AY155" s="36">
        <v>0</v>
      </c>
      <c r="AZ155" s="36" t="s">
        <v>211</v>
      </c>
      <c r="BA155" s="36">
        <v>9044989536422</v>
      </c>
      <c r="BB155" s="36"/>
      <c r="BC155" s="36"/>
      <c r="BD155" s="36">
        <v>1</v>
      </c>
      <c r="BE155" s="36"/>
      <c r="BF155" s="36" t="s">
        <v>212</v>
      </c>
      <c r="BG155" s="36">
        <v>1333314600</v>
      </c>
      <c r="BH155" s="36" t="s">
        <v>213</v>
      </c>
      <c r="BI155" s="36">
        <v>100</v>
      </c>
      <c r="BJ155" s="36">
        <v>100</v>
      </c>
      <c r="BK155" s="36">
        <v>1300</v>
      </c>
      <c r="BL155" s="36" t="s">
        <v>214</v>
      </c>
      <c r="BM155" s="36"/>
      <c r="BN155" s="36"/>
    </row>
    <row r="156" spans="1:66" x14ac:dyDescent="0.35">
      <c r="A156" s="36"/>
      <c r="B156" s="36"/>
      <c r="C156" s="37" t="s">
        <v>8</v>
      </c>
      <c r="D156" s="37" t="s">
        <v>8</v>
      </c>
      <c r="E156" s="36"/>
      <c r="F156" s="36" t="s">
        <v>192</v>
      </c>
      <c r="G156" s="36" t="s">
        <v>1</v>
      </c>
      <c r="H156" s="36">
        <v>0</v>
      </c>
      <c r="I156" s="36" t="s">
        <v>193</v>
      </c>
      <c r="J156" s="36" t="s">
        <v>194</v>
      </c>
      <c r="K156" s="36" t="s">
        <v>195</v>
      </c>
      <c r="L156" s="36">
        <v>923</v>
      </c>
      <c r="M156" s="36"/>
      <c r="N156" s="36" t="s">
        <v>239</v>
      </c>
      <c r="O156" s="36" t="s">
        <v>240</v>
      </c>
      <c r="P156" s="36">
        <v>2</v>
      </c>
      <c r="Q156" s="36" t="s">
        <v>241</v>
      </c>
      <c r="R156" s="37">
        <v>244658</v>
      </c>
      <c r="S156" s="37" t="s">
        <v>8</v>
      </c>
      <c r="T156" s="36" t="s">
        <v>242</v>
      </c>
      <c r="U156" s="36">
        <v>23058586</v>
      </c>
      <c r="V156" s="36" t="s">
        <v>31</v>
      </c>
      <c r="W156" s="36">
        <v>5</v>
      </c>
      <c r="X156" s="36">
        <v>5</v>
      </c>
      <c r="Y156" s="36">
        <v>5</v>
      </c>
      <c r="Z156" s="36">
        <v>5</v>
      </c>
      <c r="AA156" s="36">
        <v>0</v>
      </c>
      <c r="AB156" s="36">
        <v>0</v>
      </c>
      <c r="AC156" s="36">
        <v>0</v>
      </c>
      <c r="AD156" s="36">
        <v>0</v>
      </c>
      <c r="AE156" s="36">
        <v>5</v>
      </c>
      <c r="AF156" s="36">
        <v>5</v>
      </c>
      <c r="AG156" s="36"/>
      <c r="AH156" s="36"/>
      <c r="AI156" s="36" t="s">
        <v>200</v>
      </c>
      <c r="AJ156" s="36" t="s">
        <v>201</v>
      </c>
      <c r="AK156" s="36" t="s">
        <v>215</v>
      </c>
      <c r="AL156" s="36" t="s">
        <v>203</v>
      </c>
      <c r="AM156" s="36" t="s">
        <v>204</v>
      </c>
      <c r="AN156" s="36" t="s">
        <v>222</v>
      </c>
      <c r="AO156" s="36" t="s">
        <v>206</v>
      </c>
      <c r="AP156" s="36">
        <v>2</v>
      </c>
      <c r="AQ156" s="36"/>
      <c r="AR156" s="36"/>
      <c r="AS156" s="36"/>
      <c r="AT156" s="36" t="s">
        <v>223</v>
      </c>
      <c r="AU156" s="36" t="s">
        <v>234</v>
      </c>
      <c r="AV156" s="36" t="s">
        <v>209</v>
      </c>
      <c r="AW156" s="36" t="s">
        <v>209</v>
      </c>
      <c r="AX156" s="36" t="s">
        <v>210</v>
      </c>
      <c r="AY156" s="36">
        <v>0</v>
      </c>
      <c r="AZ156" s="36" t="s">
        <v>211</v>
      </c>
      <c r="BA156" s="36">
        <v>9044989536422</v>
      </c>
      <c r="BB156" s="36"/>
      <c r="BC156" s="36"/>
      <c r="BD156" s="36">
        <v>1</v>
      </c>
      <c r="BE156" s="36"/>
      <c r="BF156" s="36" t="s">
        <v>212</v>
      </c>
      <c r="BG156" s="36">
        <v>1333314600</v>
      </c>
      <c r="BH156" s="36" t="s">
        <v>213</v>
      </c>
      <c r="BI156" s="36">
        <v>5</v>
      </c>
      <c r="BJ156" s="36">
        <v>5</v>
      </c>
      <c r="BK156" s="36">
        <v>1300</v>
      </c>
      <c r="BL156" s="36" t="s">
        <v>214</v>
      </c>
      <c r="BM156" s="36"/>
      <c r="BN156" s="36"/>
    </row>
    <row r="157" spans="1:66" x14ac:dyDescent="0.35">
      <c r="A157" s="36"/>
      <c r="B157" s="36"/>
      <c r="C157" s="37" t="s">
        <v>8</v>
      </c>
      <c r="D157" s="37" t="s">
        <v>8</v>
      </c>
      <c r="E157" s="36"/>
      <c r="F157" s="36" t="s">
        <v>192</v>
      </c>
      <c r="G157" s="36" t="s">
        <v>1</v>
      </c>
      <c r="H157" s="36">
        <v>0</v>
      </c>
      <c r="I157" s="36" t="s">
        <v>193</v>
      </c>
      <c r="J157" s="36" t="s">
        <v>194</v>
      </c>
      <c r="K157" s="36" t="s">
        <v>195</v>
      </c>
      <c r="L157" s="36">
        <v>923</v>
      </c>
      <c r="M157" s="36"/>
      <c r="N157" s="36" t="s">
        <v>239</v>
      </c>
      <c r="O157" s="36" t="s">
        <v>240</v>
      </c>
      <c r="P157" s="36">
        <v>2</v>
      </c>
      <c r="Q157" s="36" t="s">
        <v>241</v>
      </c>
      <c r="R157" s="37">
        <v>244658</v>
      </c>
      <c r="S157" s="37" t="s">
        <v>8</v>
      </c>
      <c r="T157" s="36" t="s">
        <v>242</v>
      </c>
      <c r="U157" s="36">
        <v>23058590</v>
      </c>
      <c r="V157" s="36" t="s">
        <v>34</v>
      </c>
      <c r="W157" s="36">
        <v>10</v>
      </c>
      <c r="X157" s="36">
        <v>10</v>
      </c>
      <c r="Y157" s="36">
        <v>10</v>
      </c>
      <c r="Z157" s="36">
        <v>10</v>
      </c>
      <c r="AA157" s="36">
        <v>0</v>
      </c>
      <c r="AB157" s="36">
        <v>0</v>
      </c>
      <c r="AC157" s="36">
        <v>0</v>
      </c>
      <c r="AD157" s="36">
        <v>0</v>
      </c>
      <c r="AE157" s="36">
        <v>10</v>
      </c>
      <c r="AF157" s="36">
        <v>10</v>
      </c>
      <c r="AG157" s="36"/>
      <c r="AH157" s="36"/>
      <c r="AI157" s="36" t="s">
        <v>200</v>
      </c>
      <c r="AJ157" s="36" t="s">
        <v>201</v>
      </c>
      <c r="AK157" s="36" t="s">
        <v>215</v>
      </c>
      <c r="AL157" s="36" t="s">
        <v>203</v>
      </c>
      <c r="AM157" s="36" t="s">
        <v>204</v>
      </c>
      <c r="AN157" s="36" t="s">
        <v>222</v>
      </c>
      <c r="AO157" s="36" t="s">
        <v>206</v>
      </c>
      <c r="AP157" s="36">
        <v>2</v>
      </c>
      <c r="AQ157" s="36"/>
      <c r="AR157" s="36"/>
      <c r="AS157" s="36"/>
      <c r="AT157" s="36" t="s">
        <v>223</v>
      </c>
      <c r="AU157" s="36" t="s">
        <v>234</v>
      </c>
      <c r="AV157" s="36" t="s">
        <v>209</v>
      </c>
      <c r="AW157" s="36" t="s">
        <v>209</v>
      </c>
      <c r="AX157" s="36" t="s">
        <v>210</v>
      </c>
      <c r="AY157" s="36">
        <v>0</v>
      </c>
      <c r="AZ157" s="36" t="s">
        <v>211</v>
      </c>
      <c r="BA157" s="36">
        <v>9044989536422</v>
      </c>
      <c r="BB157" s="36"/>
      <c r="BC157" s="36"/>
      <c r="BD157" s="36">
        <v>1</v>
      </c>
      <c r="BE157" s="36"/>
      <c r="BF157" s="36" t="s">
        <v>212</v>
      </c>
      <c r="BG157" s="36">
        <v>1333314600</v>
      </c>
      <c r="BH157" s="36" t="s">
        <v>213</v>
      </c>
      <c r="BI157" s="36">
        <v>10</v>
      </c>
      <c r="BJ157" s="36">
        <v>10</v>
      </c>
      <c r="BK157" s="36">
        <v>1300</v>
      </c>
      <c r="BL157" s="36" t="s">
        <v>214</v>
      </c>
      <c r="BM157" s="36"/>
      <c r="BN157" s="36"/>
    </row>
    <row r="158" spans="1:66" x14ac:dyDescent="0.35">
      <c r="A158" s="36"/>
      <c r="B158" s="36"/>
      <c r="C158" s="37" t="s">
        <v>8</v>
      </c>
      <c r="D158" s="37" t="s">
        <v>8</v>
      </c>
      <c r="E158" s="36"/>
      <c r="F158" s="36" t="s">
        <v>192</v>
      </c>
      <c r="G158" s="36" t="s">
        <v>1</v>
      </c>
      <c r="H158" s="36">
        <v>0</v>
      </c>
      <c r="I158" s="36" t="s">
        <v>193</v>
      </c>
      <c r="J158" s="36" t="s">
        <v>194</v>
      </c>
      <c r="K158" s="36" t="s">
        <v>195</v>
      </c>
      <c r="L158" s="36">
        <v>923</v>
      </c>
      <c r="M158" s="36"/>
      <c r="N158" s="36" t="s">
        <v>239</v>
      </c>
      <c r="O158" s="36" t="s">
        <v>240</v>
      </c>
      <c r="P158" s="36">
        <v>2</v>
      </c>
      <c r="Q158" s="36" t="s">
        <v>241</v>
      </c>
      <c r="R158" s="37">
        <v>244658</v>
      </c>
      <c r="S158" s="37" t="s">
        <v>8</v>
      </c>
      <c r="T158" s="36" t="s">
        <v>242</v>
      </c>
      <c r="U158" s="36">
        <v>23057821</v>
      </c>
      <c r="V158" s="36" t="s">
        <v>22</v>
      </c>
      <c r="W158" s="36">
        <v>100</v>
      </c>
      <c r="X158" s="36">
        <v>100</v>
      </c>
      <c r="Y158" s="36">
        <v>100</v>
      </c>
      <c r="Z158" s="36">
        <v>100</v>
      </c>
      <c r="AA158" s="36">
        <v>0</v>
      </c>
      <c r="AB158" s="36">
        <v>0</v>
      </c>
      <c r="AC158" s="36">
        <v>0</v>
      </c>
      <c r="AD158" s="36">
        <v>0</v>
      </c>
      <c r="AE158" s="36">
        <v>100</v>
      </c>
      <c r="AF158" s="36">
        <v>100</v>
      </c>
      <c r="AG158" s="36"/>
      <c r="AH158" s="36"/>
      <c r="AI158" s="36" t="s">
        <v>200</v>
      </c>
      <c r="AJ158" s="36" t="s">
        <v>201</v>
      </c>
      <c r="AK158" s="36" t="s">
        <v>202</v>
      </c>
      <c r="AL158" s="36" t="s">
        <v>203</v>
      </c>
      <c r="AM158" s="36" t="s">
        <v>204</v>
      </c>
      <c r="AN158" s="36" t="s">
        <v>222</v>
      </c>
      <c r="AO158" s="36" t="s">
        <v>206</v>
      </c>
      <c r="AP158" s="36">
        <v>2</v>
      </c>
      <c r="AQ158" s="36"/>
      <c r="AR158" s="36"/>
      <c r="AS158" s="36"/>
      <c r="AT158" s="36" t="s">
        <v>223</v>
      </c>
      <c r="AU158" s="36" t="s">
        <v>234</v>
      </c>
      <c r="AV158" s="36" t="s">
        <v>209</v>
      </c>
      <c r="AW158" s="36" t="s">
        <v>209</v>
      </c>
      <c r="AX158" s="36" t="s">
        <v>210</v>
      </c>
      <c r="AY158" s="36">
        <v>0</v>
      </c>
      <c r="AZ158" s="36" t="s">
        <v>211</v>
      </c>
      <c r="BA158" s="36">
        <v>9044989536422</v>
      </c>
      <c r="BB158" s="36"/>
      <c r="BC158" s="36"/>
      <c r="BD158" s="36">
        <v>1</v>
      </c>
      <c r="BE158" s="36"/>
      <c r="BF158" s="36" t="s">
        <v>212</v>
      </c>
      <c r="BG158" s="36">
        <v>1333314600</v>
      </c>
      <c r="BH158" s="36" t="s">
        <v>213</v>
      </c>
      <c r="BI158" s="36">
        <v>100</v>
      </c>
      <c r="BJ158" s="36">
        <v>100</v>
      </c>
      <c r="BK158" s="36">
        <v>1300</v>
      </c>
      <c r="BL158" s="36" t="s">
        <v>214</v>
      </c>
      <c r="BM158" s="36"/>
      <c r="BN158" s="36"/>
    </row>
    <row r="159" spans="1:66" x14ac:dyDescent="0.35">
      <c r="A159" s="36"/>
      <c r="B159" s="36"/>
      <c r="C159" s="37" t="s">
        <v>8</v>
      </c>
      <c r="D159" s="37" t="s">
        <v>8</v>
      </c>
      <c r="E159" s="36"/>
      <c r="F159" s="36" t="s">
        <v>192</v>
      </c>
      <c r="G159" s="36" t="s">
        <v>1</v>
      </c>
      <c r="H159" s="36">
        <v>0</v>
      </c>
      <c r="I159" s="36" t="s">
        <v>193</v>
      </c>
      <c r="J159" s="36" t="s">
        <v>194</v>
      </c>
      <c r="K159" s="36" t="s">
        <v>195</v>
      </c>
      <c r="L159" s="36">
        <v>923</v>
      </c>
      <c r="M159" s="36"/>
      <c r="N159" s="36" t="s">
        <v>239</v>
      </c>
      <c r="O159" s="36" t="s">
        <v>240</v>
      </c>
      <c r="P159" s="36">
        <v>2</v>
      </c>
      <c r="Q159" s="36" t="s">
        <v>241</v>
      </c>
      <c r="R159" s="37">
        <v>244658</v>
      </c>
      <c r="S159" s="37" t="s">
        <v>8</v>
      </c>
      <c r="T159" s="36" t="s">
        <v>242</v>
      </c>
      <c r="U159" s="36">
        <v>23057824</v>
      </c>
      <c r="V159" s="36" t="s">
        <v>23</v>
      </c>
      <c r="W159" s="36">
        <v>100</v>
      </c>
      <c r="X159" s="36">
        <v>100</v>
      </c>
      <c r="Y159" s="36">
        <v>100</v>
      </c>
      <c r="Z159" s="36">
        <v>100</v>
      </c>
      <c r="AA159" s="36">
        <v>0</v>
      </c>
      <c r="AB159" s="36">
        <v>0</v>
      </c>
      <c r="AC159" s="36">
        <v>0</v>
      </c>
      <c r="AD159" s="36">
        <v>0</v>
      </c>
      <c r="AE159" s="36">
        <v>100</v>
      </c>
      <c r="AF159" s="36">
        <v>100</v>
      </c>
      <c r="AG159" s="36"/>
      <c r="AH159" s="36"/>
      <c r="AI159" s="36" t="s">
        <v>200</v>
      </c>
      <c r="AJ159" s="36" t="s">
        <v>201</v>
      </c>
      <c r="AK159" s="36" t="s">
        <v>202</v>
      </c>
      <c r="AL159" s="36" t="s">
        <v>203</v>
      </c>
      <c r="AM159" s="36" t="s">
        <v>204</v>
      </c>
      <c r="AN159" s="36" t="s">
        <v>222</v>
      </c>
      <c r="AO159" s="36" t="s">
        <v>206</v>
      </c>
      <c r="AP159" s="36">
        <v>2</v>
      </c>
      <c r="AQ159" s="36"/>
      <c r="AR159" s="36"/>
      <c r="AS159" s="36"/>
      <c r="AT159" s="36" t="s">
        <v>223</v>
      </c>
      <c r="AU159" s="36" t="s">
        <v>234</v>
      </c>
      <c r="AV159" s="36" t="s">
        <v>209</v>
      </c>
      <c r="AW159" s="36" t="s">
        <v>209</v>
      </c>
      <c r="AX159" s="36" t="s">
        <v>210</v>
      </c>
      <c r="AY159" s="36">
        <v>0</v>
      </c>
      <c r="AZ159" s="36" t="s">
        <v>211</v>
      </c>
      <c r="BA159" s="36">
        <v>9044989536422</v>
      </c>
      <c r="BB159" s="36"/>
      <c r="BC159" s="36"/>
      <c r="BD159" s="36">
        <v>1</v>
      </c>
      <c r="BE159" s="36"/>
      <c r="BF159" s="36" t="s">
        <v>212</v>
      </c>
      <c r="BG159" s="36">
        <v>1333314600</v>
      </c>
      <c r="BH159" s="36" t="s">
        <v>213</v>
      </c>
      <c r="BI159" s="36">
        <v>100</v>
      </c>
      <c r="BJ159" s="36">
        <v>100</v>
      </c>
      <c r="BK159" s="36">
        <v>1300</v>
      </c>
      <c r="BL159" s="36" t="s">
        <v>214</v>
      </c>
      <c r="BM159" s="36"/>
      <c r="BN159" s="36"/>
    </row>
    <row r="160" spans="1:66" x14ac:dyDescent="0.35">
      <c r="A160" s="36"/>
      <c r="B160" s="36"/>
      <c r="C160" s="37" t="s">
        <v>8</v>
      </c>
      <c r="D160" s="37" t="s">
        <v>8</v>
      </c>
      <c r="E160" s="36"/>
      <c r="F160" s="36" t="s">
        <v>192</v>
      </c>
      <c r="G160" s="36" t="s">
        <v>1</v>
      </c>
      <c r="H160" s="36">
        <v>0</v>
      </c>
      <c r="I160" s="36" t="s">
        <v>193</v>
      </c>
      <c r="J160" s="36" t="s">
        <v>194</v>
      </c>
      <c r="K160" s="36" t="s">
        <v>195</v>
      </c>
      <c r="L160" s="36">
        <v>923</v>
      </c>
      <c r="M160" s="36"/>
      <c r="N160" s="36" t="s">
        <v>239</v>
      </c>
      <c r="O160" s="36" t="s">
        <v>240</v>
      </c>
      <c r="P160" s="36">
        <v>2</v>
      </c>
      <c r="Q160" s="36" t="s">
        <v>241</v>
      </c>
      <c r="R160" s="37">
        <v>244658</v>
      </c>
      <c r="S160" s="37" t="s">
        <v>8</v>
      </c>
      <c r="T160" s="36" t="s">
        <v>242</v>
      </c>
      <c r="U160" s="36">
        <v>23062097</v>
      </c>
      <c r="V160" s="36" t="s">
        <v>115</v>
      </c>
      <c r="W160" s="36">
        <v>10</v>
      </c>
      <c r="X160" s="36">
        <v>10</v>
      </c>
      <c r="Y160" s="36">
        <v>10</v>
      </c>
      <c r="Z160" s="36">
        <v>10</v>
      </c>
      <c r="AA160" s="36">
        <v>0</v>
      </c>
      <c r="AB160" s="36">
        <v>0</v>
      </c>
      <c r="AC160" s="36">
        <v>0</v>
      </c>
      <c r="AD160" s="36">
        <v>0</v>
      </c>
      <c r="AE160" s="36">
        <v>10</v>
      </c>
      <c r="AF160" s="36">
        <v>10</v>
      </c>
      <c r="AG160" s="36"/>
      <c r="AH160" s="36"/>
      <c r="AI160" s="36" t="s">
        <v>200</v>
      </c>
      <c r="AJ160" s="36" t="s">
        <v>201</v>
      </c>
      <c r="AK160" s="36" t="s">
        <v>215</v>
      </c>
      <c r="AL160" s="36" t="s">
        <v>203</v>
      </c>
      <c r="AM160" s="36" t="s">
        <v>204</v>
      </c>
      <c r="AN160" s="36" t="s">
        <v>222</v>
      </c>
      <c r="AO160" s="36" t="s">
        <v>206</v>
      </c>
      <c r="AP160" s="36">
        <v>2</v>
      </c>
      <c r="AQ160" s="36"/>
      <c r="AR160" s="36"/>
      <c r="AS160" s="36"/>
      <c r="AT160" s="36" t="s">
        <v>223</v>
      </c>
      <c r="AU160" s="36" t="s">
        <v>234</v>
      </c>
      <c r="AV160" s="36" t="s">
        <v>209</v>
      </c>
      <c r="AW160" s="36" t="s">
        <v>209</v>
      </c>
      <c r="AX160" s="36" t="s">
        <v>210</v>
      </c>
      <c r="AY160" s="36">
        <v>0</v>
      </c>
      <c r="AZ160" s="36" t="s">
        <v>211</v>
      </c>
      <c r="BA160" s="36">
        <v>9044989536422</v>
      </c>
      <c r="BB160" s="36"/>
      <c r="BC160" s="36"/>
      <c r="BD160" s="36">
        <v>1</v>
      </c>
      <c r="BE160" s="36"/>
      <c r="BF160" s="36" t="s">
        <v>212</v>
      </c>
      <c r="BG160" s="36">
        <v>1333314600</v>
      </c>
      <c r="BH160" s="36" t="s">
        <v>213</v>
      </c>
      <c r="BI160" s="36">
        <v>10</v>
      </c>
      <c r="BJ160" s="36">
        <v>10</v>
      </c>
      <c r="BK160" s="36">
        <v>1300</v>
      </c>
      <c r="BL160" s="36" t="s">
        <v>214</v>
      </c>
      <c r="BM160" s="36"/>
      <c r="BN160" s="36"/>
    </row>
    <row r="161" spans="1:66" x14ac:dyDescent="0.35">
      <c r="A161" s="36"/>
      <c r="B161" s="36"/>
      <c r="C161" s="37" t="s">
        <v>8</v>
      </c>
      <c r="D161" s="37" t="s">
        <v>8</v>
      </c>
      <c r="E161" s="36"/>
      <c r="F161" s="36" t="s">
        <v>192</v>
      </c>
      <c r="G161" s="36" t="s">
        <v>1</v>
      </c>
      <c r="H161" s="36">
        <v>0</v>
      </c>
      <c r="I161" s="36" t="s">
        <v>193</v>
      </c>
      <c r="J161" s="36" t="s">
        <v>194</v>
      </c>
      <c r="K161" s="36" t="s">
        <v>195</v>
      </c>
      <c r="L161" s="36">
        <v>923</v>
      </c>
      <c r="M161" s="36"/>
      <c r="N161" s="36" t="s">
        <v>239</v>
      </c>
      <c r="O161" s="36" t="s">
        <v>240</v>
      </c>
      <c r="P161" s="36">
        <v>2</v>
      </c>
      <c r="Q161" s="36" t="s">
        <v>241</v>
      </c>
      <c r="R161" s="37">
        <v>244658</v>
      </c>
      <c r="S161" s="37" t="s">
        <v>8</v>
      </c>
      <c r="T161" s="36" t="s">
        <v>242</v>
      </c>
      <c r="U161" s="36">
        <v>23086658</v>
      </c>
      <c r="V161" s="36" t="s">
        <v>53</v>
      </c>
      <c r="W161" s="36">
        <v>100</v>
      </c>
      <c r="X161" s="36">
        <v>100</v>
      </c>
      <c r="Y161" s="36">
        <v>100</v>
      </c>
      <c r="Z161" s="36">
        <v>100</v>
      </c>
      <c r="AA161" s="36">
        <v>0</v>
      </c>
      <c r="AB161" s="36">
        <v>0</v>
      </c>
      <c r="AC161" s="36">
        <v>0</v>
      </c>
      <c r="AD161" s="36">
        <v>0</v>
      </c>
      <c r="AE161" s="36">
        <v>100</v>
      </c>
      <c r="AF161" s="36">
        <v>100</v>
      </c>
      <c r="AG161" s="36"/>
      <c r="AH161" s="36"/>
      <c r="AI161" s="36" t="s">
        <v>200</v>
      </c>
      <c r="AJ161" s="36" t="s">
        <v>201</v>
      </c>
      <c r="AK161" s="36" t="s">
        <v>202</v>
      </c>
      <c r="AL161" s="36" t="s">
        <v>203</v>
      </c>
      <c r="AM161" s="36" t="s">
        <v>204</v>
      </c>
      <c r="AN161" s="36" t="s">
        <v>222</v>
      </c>
      <c r="AO161" s="36" t="s">
        <v>206</v>
      </c>
      <c r="AP161" s="36">
        <v>2</v>
      </c>
      <c r="AQ161" s="36"/>
      <c r="AR161" s="36"/>
      <c r="AS161" s="36"/>
      <c r="AT161" s="36" t="s">
        <v>223</v>
      </c>
      <c r="AU161" s="36" t="s">
        <v>234</v>
      </c>
      <c r="AV161" s="36" t="s">
        <v>209</v>
      </c>
      <c r="AW161" s="36" t="s">
        <v>209</v>
      </c>
      <c r="AX161" s="36" t="s">
        <v>210</v>
      </c>
      <c r="AY161" s="36">
        <v>0</v>
      </c>
      <c r="AZ161" s="36" t="s">
        <v>211</v>
      </c>
      <c r="BA161" s="36">
        <v>9044989536422</v>
      </c>
      <c r="BB161" s="36"/>
      <c r="BC161" s="36"/>
      <c r="BD161" s="36">
        <v>1</v>
      </c>
      <c r="BE161" s="36"/>
      <c r="BF161" s="36" t="s">
        <v>212</v>
      </c>
      <c r="BG161" s="36">
        <v>1333314600</v>
      </c>
      <c r="BH161" s="36" t="s">
        <v>213</v>
      </c>
      <c r="BI161" s="36">
        <v>100</v>
      </c>
      <c r="BJ161" s="36">
        <v>100</v>
      </c>
      <c r="BK161" s="36">
        <v>1300</v>
      </c>
      <c r="BL161" s="36" t="s">
        <v>214</v>
      </c>
      <c r="BM161" s="36"/>
      <c r="BN161" s="36"/>
    </row>
    <row r="162" spans="1:66" x14ac:dyDescent="0.35">
      <c r="A162" s="36"/>
      <c r="B162" s="36"/>
      <c r="C162" s="37" t="s">
        <v>8</v>
      </c>
      <c r="D162" s="37" t="s">
        <v>8</v>
      </c>
      <c r="E162" s="36"/>
      <c r="F162" s="36" t="s">
        <v>192</v>
      </c>
      <c r="G162" s="36" t="s">
        <v>1</v>
      </c>
      <c r="H162" s="36">
        <v>0</v>
      </c>
      <c r="I162" s="36" t="s">
        <v>193</v>
      </c>
      <c r="J162" s="36" t="s">
        <v>194</v>
      </c>
      <c r="K162" s="36" t="s">
        <v>195</v>
      </c>
      <c r="L162" s="36">
        <v>923</v>
      </c>
      <c r="M162" s="36"/>
      <c r="N162" s="36" t="s">
        <v>239</v>
      </c>
      <c r="O162" s="36" t="s">
        <v>240</v>
      </c>
      <c r="P162" s="36">
        <v>2</v>
      </c>
      <c r="Q162" s="36" t="s">
        <v>241</v>
      </c>
      <c r="R162" s="37">
        <v>244658</v>
      </c>
      <c r="S162" s="37" t="s">
        <v>8</v>
      </c>
      <c r="T162" s="36" t="s">
        <v>242</v>
      </c>
      <c r="U162" s="36">
        <v>23073308</v>
      </c>
      <c r="V162" s="36" t="s">
        <v>117</v>
      </c>
      <c r="W162" s="36">
        <v>50</v>
      </c>
      <c r="X162" s="36">
        <v>50</v>
      </c>
      <c r="Y162" s="36">
        <v>50</v>
      </c>
      <c r="Z162" s="36">
        <v>50</v>
      </c>
      <c r="AA162" s="36">
        <v>0</v>
      </c>
      <c r="AB162" s="36">
        <v>0</v>
      </c>
      <c r="AC162" s="36">
        <v>0</v>
      </c>
      <c r="AD162" s="36">
        <v>0</v>
      </c>
      <c r="AE162" s="36">
        <v>50</v>
      </c>
      <c r="AF162" s="36">
        <v>50</v>
      </c>
      <c r="AG162" s="36"/>
      <c r="AH162" s="36"/>
      <c r="AI162" s="36" t="s">
        <v>200</v>
      </c>
      <c r="AJ162" s="36" t="s">
        <v>201</v>
      </c>
      <c r="AK162" s="36" t="s">
        <v>202</v>
      </c>
      <c r="AL162" s="36" t="s">
        <v>203</v>
      </c>
      <c r="AM162" s="36" t="s">
        <v>204</v>
      </c>
      <c r="AN162" s="36" t="s">
        <v>222</v>
      </c>
      <c r="AO162" s="36" t="s">
        <v>206</v>
      </c>
      <c r="AP162" s="36">
        <v>2</v>
      </c>
      <c r="AQ162" s="36"/>
      <c r="AR162" s="36"/>
      <c r="AS162" s="36"/>
      <c r="AT162" s="36" t="s">
        <v>223</v>
      </c>
      <c r="AU162" s="36" t="s">
        <v>234</v>
      </c>
      <c r="AV162" s="36" t="s">
        <v>209</v>
      </c>
      <c r="AW162" s="36" t="s">
        <v>209</v>
      </c>
      <c r="AX162" s="36" t="s">
        <v>210</v>
      </c>
      <c r="AY162" s="36">
        <v>0</v>
      </c>
      <c r="AZ162" s="36" t="s">
        <v>211</v>
      </c>
      <c r="BA162" s="36">
        <v>9044989536422</v>
      </c>
      <c r="BB162" s="36"/>
      <c r="BC162" s="36"/>
      <c r="BD162" s="36">
        <v>1</v>
      </c>
      <c r="BE162" s="36"/>
      <c r="BF162" s="36" t="s">
        <v>212</v>
      </c>
      <c r="BG162" s="36">
        <v>1333314600</v>
      </c>
      <c r="BH162" s="36" t="s">
        <v>213</v>
      </c>
      <c r="BI162" s="36">
        <v>50</v>
      </c>
      <c r="BJ162" s="36">
        <v>50</v>
      </c>
      <c r="BK162" s="36">
        <v>1300</v>
      </c>
      <c r="BL162" s="36" t="s">
        <v>214</v>
      </c>
      <c r="BM162" s="36"/>
      <c r="BN162" s="36"/>
    </row>
    <row r="163" spans="1:66" x14ac:dyDescent="0.35">
      <c r="A163" s="36"/>
      <c r="B163" s="36"/>
      <c r="C163" s="37" t="s">
        <v>8</v>
      </c>
      <c r="D163" s="37" t="s">
        <v>8</v>
      </c>
      <c r="E163" s="36"/>
      <c r="F163" s="36" t="s">
        <v>192</v>
      </c>
      <c r="G163" s="36" t="s">
        <v>1</v>
      </c>
      <c r="H163" s="36">
        <v>0</v>
      </c>
      <c r="I163" s="36" t="s">
        <v>193</v>
      </c>
      <c r="J163" s="36" t="s">
        <v>194</v>
      </c>
      <c r="K163" s="36" t="s">
        <v>195</v>
      </c>
      <c r="L163" s="36">
        <v>923</v>
      </c>
      <c r="M163" s="36"/>
      <c r="N163" s="36" t="s">
        <v>239</v>
      </c>
      <c r="O163" s="36" t="s">
        <v>240</v>
      </c>
      <c r="P163" s="36">
        <v>2</v>
      </c>
      <c r="Q163" s="36" t="s">
        <v>241</v>
      </c>
      <c r="R163" s="37">
        <v>244658</v>
      </c>
      <c r="S163" s="37" t="s">
        <v>8</v>
      </c>
      <c r="T163" s="36" t="s">
        <v>242</v>
      </c>
      <c r="U163" s="36">
        <v>23105753</v>
      </c>
      <c r="V163" s="36" t="s">
        <v>75</v>
      </c>
      <c r="W163" s="36">
        <v>60</v>
      </c>
      <c r="X163" s="36">
        <v>60</v>
      </c>
      <c r="Y163" s="36">
        <v>60</v>
      </c>
      <c r="Z163" s="36">
        <v>60</v>
      </c>
      <c r="AA163" s="36">
        <v>0</v>
      </c>
      <c r="AB163" s="36">
        <v>0</v>
      </c>
      <c r="AC163" s="36">
        <v>0</v>
      </c>
      <c r="AD163" s="36">
        <v>0</v>
      </c>
      <c r="AE163" s="36">
        <v>60</v>
      </c>
      <c r="AF163" s="36">
        <v>60</v>
      </c>
      <c r="AG163" s="36"/>
      <c r="AH163" s="36"/>
      <c r="AI163" s="36" t="s">
        <v>200</v>
      </c>
      <c r="AJ163" s="36" t="s">
        <v>201</v>
      </c>
      <c r="AK163" s="36" t="s">
        <v>202</v>
      </c>
      <c r="AL163" s="36" t="s">
        <v>203</v>
      </c>
      <c r="AM163" s="36" t="s">
        <v>204</v>
      </c>
      <c r="AN163" s="36" t="s">
        <v>222</v>
      </c>
      <c r="AO163" s="36" t="s">
        <v>206</v>
      </c>
      <c r="AP163" s="36">
        <v>2</v>
      </c>
      <c r="AQ163" s="36"/>
      <c r="AR163" s="36"/>
      <c r="AS163" s="36"/>
      <c r="AT163" s="36" t="s">
        <v>223</v>
      </c>
      <c r="AU163" s="36" t="s">
        <v>234</v>
      </c>
      <c r="AV163" s="36" t="s">
        <v>209</v>
      </c>
      <c r="AW163" s="36" t="s">
        <v>209</v>
      </c>
      <c r="AX163" s="36" t="s">
        <v>210</v>
      </c>
      <c r="AY163" s="36">
        <v>0</v>
      </c>
      <c r="AZ163" s="36" t="s">
        <v>211</v>
      </c>
      <c r="BA163" s="36">
        <v>9044989536422</v>
      </c>
      <c r="BB163" s="36"/>
      <c r="BC163" s="36"/>
      <c r="BD163" s="36">
        <v>1</v>
      </c>
      <c r="BE163" s="36"/>
      <c r="BF163" s="36" t="s">
        <v>212</v>
      </c>
      <c r="BG163" s="36">
        <v>1333314600</v>
      </c>
      <c r="BH163" s="36" t="s">
        <v>213</v>
      </c>
      <c r="BI163" s="36">
        <v>60</v>
      </c>
      <c r="BJ163" s="36">
        <v>60</v>
      </c>
      <c r="BK163" s="36">
        <v>1300</v>
      </c>
      <c r="BL163" s="36" t="s">
        <v>214</v>
      </c>
      <c r="BM163" s="36"/>
      <c r="BN163" s="36"/>
    </row>
    <row r="164" spans="1:66" x14ac:dyDescent="0.35">
      <c r="A164" s="36"/>
      <c r="B164" s="36"/>
      <c r="C164" s="37" t="s">
        <v>8</v>
      </c>
      <c r="D164" s="37" t="s">
        <v>8</v>
      </c>
      <c r="E164" s="36"/>
      <c r="F164" s="36" t="s">
        <v>192</v>
      </c>
      <c r="G164" s="36" t="s">
        <v>1</v>
      </c>
      <c r="H164" s="36">
        <v>0</v>
      </c>
      <c r="I164" s="36" t="s">
        <v>193</v>
      </c>
      <c r="J164" s="36" t="s">
        <v>194</v>
      </c>
      <c r="K164" s="36" t="s">
        <v>195</v>
      </c>
      <c r="L164" s="36">
        <v>923</v>
      </c>
      <c r="M164" s="36"/>
      <c r="N164" s="36" t="s">
        <v>239</v>
      </c>
      <c r="O164" s="36" t="s">
        <v>240</v>
      </c>
      <c r="P164" s="36">
        <v>2</v>
      </c>
      <c r="Q164" s="36" t="s">
        <v>241</v>
      </c>
      <c r="R164" s="37">
        <v>244658</v>
      </c>
      <c r="S164" s="37" t="s">
        <v>8</v>
      </c>
      <c r="T164" s="36" t="s">
        <v>242</v>
      </c>
      <c r="U164" s="36">
        <v>23109326</v>
      </c>
      <c r="V164" s="36" t="s">
        <v>78</v>
      </c>
      <c r="W164" s="36">
        <v>60</v>
      </c>
      <c r="X164" s="36">
        <v>60</v>
      </c>
      <c r="Y164" s="36">
        <v>60</v>
      </c>
      <c r="Z164" s="36">
        <v>60</v>
      </c>
      <c r="AA164" s="36">
        <v>0</v>
      </c>
      <c r="AB164" s="36">
        <v>0</v>
      </c>
      <c r="AC164" s="36">
        <v>0</v>
      </c>
      <c r="AD164" s="36">
        <v>0</v>
      </c>
      <c r="AE164" s="36">
        <v>60</v>
      </c>
      <c r="AF164" s="36">
        <v>60</v>
      </c>
      <c r="AG164" s="36"/>
      <c r="AH164" s="36"/>
      <c r="AI164" s="36" t="s">
        <v>200</v>
      </c>
      <c r="AJ164" s="36" t="s">
        <v>201</v>
      </c>
      <c r="AK164" s="36" t="s">
        <v>215</v>
      </c>
      <c r="AL164" s="36" t="s">
        <v>203</v>
      </c>
      <c r="AM164" s="36" t="s">
        <v>204</v>
      </c>
      <c r="AN164" s="36" t="s">
        <v>222</v>
      </c>
      <c r="AO164" s="36" t="s">
        <v>206</v>
      </c>
      <c r="AP164" s="36">
        <v>2</v>
      </c>
      <c r="AQ164" s="36"/>
      <c r="AR164" s="36"/>
      <c r="AS164" s="36"/>
      <c r="AT164" s="36" t="s">
        <v>223</v>
      </c>
      <c r="AU164" s="36" t="s">
        <v>234</v>
      </c>
      <c r="AV164" s="36" t="s">
        <v>209</v>
      </c>
      <c r="AW164" s="36" t="s">
        <v>209</v>
      </c>
      <c r="AX164" s="36" t="s">
        <v>210</v>
      </c>
      <c r="AY164" s="36">
        <v>0</v>
      </c>
      <c r="AZ164" s="36" t="s">
        <v>211</v>
      </c>
      <c r="BA164" s="36">
        <v>9044989536422</v>
      </c>
      <c r="BB164" s="36"/>
      <c r="BC164" s="36"/>
      <c r="BD164" s="36">
        <v>1</v>
      </c>
      <c r="BE164" s="36"/>
      <c r="BF164" s="36" t="s">
        <v>212</v>
      </c>
      <c r="BG164" s="36">
        <v>1333314600</v>
      </c>
      <c r="BH164" s="36" t="s">
        <v>213</v>
      </c>
      <c r="BI164" s="36">
        <v>60</v>
      </c>
      <c r="BJ164" s="36">
        <v>60</v>
      </c>
      <c r="BK164" s="36">
        <v>1300</v>
      </c>
      <c r="BL164" s="36" t="s">
        <v>214</v>
      </c>
      <c r="BM164" s="36"/>
      <c r="BN164" s="36"/>
    </row>
    <row r="165" spans="1:66" x14ac:dyDescent="0.35">
      <c r="A165" s="36"/>
      <c r="B165" s="36"/>
      <c r="C165" s="37" t="s">
        <v>8</v>
      </c>
      <c r="D165" s="37" t="s">
        <v>8</v>
      </c>
      <c r="E165" s="36"/>
      <c r="F165" s="36" t="s">
        <v>192</v>
      </c>
      <c r="G165" s="36" t="s">
        <v>1</v>
      </c>
      <c r="H165" s="36">
        <v>0</v>
      </c>
      <c r="I165" s="36" t="s">
        <v>193</v>
      </c>
      <c r="J165" s="36" t="s">
        <v>194</v>
      </c>
      <c r="K165" s="36" t="s">
        <v>195</v>
      </c>
      <c r="L165" s="36">
        <v>923</v>
      </c>
      <c r="M165" s="36"/>
      <c r="N165" s="36" t="s">
        <v>239</v>
      </c>
      <c r="O165" s="36" t="s">
        <v>240</v>
      </c>
      <c r="P165" s="36">
        <v>2</v>
      </c>
      <c r="Q165" s="36" t="s">
        <v>241</v>
      </c>
      <c r="R165" s="37">
        <v>244658</v>
      </c>
      <c r="S165" s="37" t="s">
        <v>8</v>
      </c>
      <c r="T165" s="36" t="s">
        <v>242</v>
      </c>
      <c r="U165" s="36">
        <v>23062107</v>
      </c>
      <c r="V165" s="36" t="s">
        <v>108</v>
      </c>
      <c r="W165" s="36">
        <v>100</v>
      </c>
      <c r="X165" s="36">
        <v>100</v>
      </c>
      <c r="Y165" s="36">
        <v>100</v>
      </c>
      <c r="Z165" s="36">
        <v>100</v>
      </c>
      <c r="AA165" s="36">
        <v>0</v>
      </c>
      <c r="AB165" s="36">
        <v>0</v>
      </c>
      <c r="AC165" s="36">
        <v>0</v>
      </c>
      <c r="AD165" s="36">
        <v>0</v>
      </c>
      <c r="AE165" s="36">
        <v>100</v>
      </c>
      <c r="AF165" s="36">
        <v>100</v>
      </c>
      <c r="AG165" s="36"/>
      <c r="AH165" s="36"/>
      <c r="AI165" s="36" t="s">
        <v>200</v>
      </c>
      <c r="AJ165" s="36" t="s">
        <v>201</v>
      </c>
      <c r="AK165" s="36" t="s">
        <v>215</v>
      </c>
      <c r="AL165" s="36" t="s">
        <v>203</v>
      </c>
      <c r="AM165" s="36" t="s">
        <v>204</v>
      </c>
      <c r="AN165" s="36" t="s">
        <v>222</v>
      </c>
      <c r="AO165" s="36" t="s">
        <v>206</v>
      </c>
      <c r="AP165" s="36">
        <v>2</v>
      </c>
      <c r="AQ165" s="36"/>
      <c r="AR165" s="36"/>
      <c r="AS165" s="36"/>
      <c r="AT165" s="36" t="s">
        <v>223</v>
      </c>
      <c r="AU165" s="36" t="s">
        <v>234</v>
      </c>
      <c r="AV165" s="36" t="s">
        <v>209</v>
      </c>
      <c r="AW165" s="36" t="s">
        <v>209</v>
      </c>
      <c r="AX165" s="36" t="s">
        <v>210</v>
      </c>
      <c r="AY165" s="36">
        <v>0</v>
      </c>
      <c r="AZ165" s="36" t="s">
        <v>211</v>
      </c>
      <c r="BA165" s="36">
        <v>9044989536422</v>
      </c>
      <c r="BB165" s="36"/>
      <c r="BC165" s="36"/>
      <c r="BD165" s="36">
        <v>1</v>
      </c>
      <c r="BE165" s="36"/>
      <c r="BF165" s="36" t="s">
        <v>212</v>
      </c>
      <c r="BG165" s="36">
        <v>1333314600</v>
      </c>
      <c r="BH165" s="36" t="s">
        <v>213</v>
      </c>
      <c r="BI165" s="36">
        <v>100</v>
      </c>
      <c r="BJ165" s="36">
        <v>100</v>
      </c>
      <c r="BK165" s="36">
        <v>1300</v>
      </c>
      <c r="BL165" s="36" t="s">
        <v>214</v>
      </c>
      <c r="BM165" s="36"/>
      <c r="BN165" s="36"/>
    </row>
    <row r="166" spans="1:66" x14ac:dyDescent="0.35">
      <c r="A166" s="36"/>
      <c r="B166" s="36"/>
      <c r="C166" s="37" t="s">
        <v>8</v>
      </c>
      <c r="D166" s="37" t="s">
        <v>8</v>
      </c>
      <c r="E166" s="36"/>
      <c r="F166" s="36" t="s">
        <v>192</v>
      </c>
      <c r="G166" s="36" t="s">
        <v>1</v>
      </c>
      <c r="H166" s="36">
        <v>0</v>
      </c>
      <c r="I166" s="36" t="s">
        <v>193</v>
      </c>
      <c r="J166" s="36" t="s">
        <v>194</v>
      </c>
      <c r="K166" s="36" t="s">
        <v>195</v>
      </c>
      <c r="L166" s="36">
        <v>923</v>
      </c>
      <c r="M166" s="36"/>
      <c r="N166" s="36" t="s">
        <v>239</v>
      </c>
      <c r="O166" s="36" t="s">
        <v>240</v>
      </c>
      <c r="P166" s="36">
        <v>2</v>
      </c>
      <c r="Q166" s="36" t="s">
        <v>241</v>
      </c>
      <c r="R166" s="37">
        <v>244658</v>
      </c>
      <c r="S166" s="37" t="s">
        <v>8</v>
      </c>
      <c r="T166" s="36" t="s">
        <v>242</v>
      </c>
      <c r="U166" s="36">
        <v>23000206</v>
      </c>
      <c r="V166" s="36" t="s">
        <v>15</v>
      </c>
      <c r="W166" s="36">
        <v>10</v>
      </c>
      <c r="X166" s="36">
        <v>10</v>
      </c>
      <c r="Y166" s="36">
        <v>10</v>
      </c>
      <c r="Z166" s="36">
        <v>10</v>
      </c>
      <c r="AA166" s="36">
        <v>0</v>
      </c>
      <c r="AB166" s="36">
        <v>0</v>
      </c>
      <c r="AC166" s="36">
        <v>0</v>
      </c>
      <c r="AD166" s="36">
        <v>0</v>
      </c>
      <c r="AE166" s="36">
        <v>10</v>
      </c>
      <c r="AF166" s="36">
        <v>10</v>
      </c>
      <c r="AG166" s="36"/>
      <c r="AH166" s="36"/>
      <c r="AI166" s="36" t="s">
        <v>200</v>
      </c>
      <c r="AJ166" s="36" t="s">
        <v>201</v>
      </c>
      <c r="AK166" s="36" t="s">
        <v>215</v>
      </c>
      <c r="AL166" s="36" t="s">
        <v>203</v>
      </c>
      <c r="AM166" s="36" t="s">
        <v>204</v>
      </c>
      <c r="AN166" s="36" t="s">
        <v>222</v>
      </c>
      <c r="AO166" s="36" t="s">
        <v>206</v>
      </c>
      <c r="AP166" s="36">
        <v>2</v>
      </c>
      <c r="AQ166" s="36"/>
      <c r="AR166" s="36"/>
      <c r="AS166" s="36"/>
      <c r="AT166" s="36" t="s">
        <v>223</v>
      </c>
      <c r="AU166" s="36" t="s">
        <v>234</v>
      </c>
      <c r="AV166" s="36" t="s">
        <v>209</v>
      </c>
      <c r="AW166" s="36" t="s">
        <v>209</v>
      </c>
      <c r="AX166" s="36" t="s">
        <v>210</v>
      </c>
      <c r="AY166" s="36">
        <v>0</v>
      </c>
      <c r="AZ166" s="36" t="s">
        <v>211</v>
      </c>
      <c r="BA166" s="36">
        <v>9044989536422</v>
      </c>
      <c r="BB166" s="36"/>
      <c r="BC166" s="36"/>
      <c r="BD166" s="36">
        <v>1</v>
      </c>
      <c r="BE166" s="36"/>
      <c r="BF166" s="36" t="s">
        <v>212</v>
      </c>
      <c r="BG166" s="36">
        <v>1333314600</v>
      </c>
      <c r="BH166" s="36" t="s">
        <v>213</v>
      </c>
      <c r="BI166" s="36">
        <v>10</v>
      </c>
      <c r="BJ166" s="36">
        <v>10</v>
      </c>
      <c r="BK166" s="36">
        <v>1300</v>
      </c>
      <c r="BL166" s="36" t="s">
        <v>214</v>
      </c>
      <c r="BM166" s="36"/>
      <c r="BN166" s="36"/>
    </row>
    <row r="167" spans="1:66" x14ac:dyDescent="0.35">
      <c r="A167" s="36"/>
      <c r="B167" s="36"/>
      <c r="C167" s="37" t="s">
        <v>8</v>
      </c>
      <c r="D167" s="37" t="s">
        <v>8</v>
      </c>
      <c r="E167" s="36"/>
      <c r="F167" s="36" t="s">
        <v>192</v>
      </c>
      <c r="G167" s="36" t="s">
        <v>1</v>
      </c>
      <c r="H167" s="36">
        <v>0</v>
      </c>
      <c r="I167" s="36" t="s">
        <v>193</v>
      </c>
      <c r="J167" s="36" t="s">
        <v>194</v>
      </c>
      <c r="K167" s="36" t="s">
        <v>195</v>
      </c>
      <c r="L167" s="36">
        <v>923</v>
      </c>
      <c r="M167" s="36"/>
      <c r="N167" s="36" t="s">
        <v>239</v>
      </c>
      <c r="O167" s="36" t="s">
        <v>240</v>
      </c>
      <c r="P167" s="36">
        <v>2</v>
      </c>
      <c r="Q167" s="36" t="s">
        <v>241</v>
      </c>
      <c r="R167" s="37">
        <v>244658</v>
      </c>
      <c r="S167" s="37" t="s">
        <v>8</v>
      </c>
      <c r="T167" s="36" t="s">
        <v>242</v>
      </c>
      <c r="U167" s="36">
        <v>23057818</v>
      </c>
      <c r="V167" s="36" t="s">
        <v>21</v>
      </c>
      <c r="W167" s="36">
        <v>60</v>
      </c>
      <c r="X167" s="36">
        <v>60</v>
      </c>
      <c r="Y167" s="36">
        <v>60</v>
      </c>
      <c r="Z167" s="36">
        <v>60</v>
      </c>
      <c r="AA167" s="36">
        <v>0</v>
      </c>
      <c r="AB167" s="36">
        <v>0</v>
      </c>
      <c r="AC167" s="36">
        <v>0</v>
      </c>
      <c r="AD167" s="36">
        <v>0</v>
      </c>
      <c r="AE167" s="36">
        <v>60</v>
      </c>
      <c r="AF167" s="36">
        <v>60</v>
      </c>
      <c r="AG167" s="36"/>
      <c r="AH167" s="36"/>
      <c r="AI167" s="36" t="s">
        <v>200</v>
      </c>
      <c r="AJ167" s="36" t="s">
        <v>201</v>
      </c>
      <c r="AK167" s="36" t="s">
        <v>202</v>
      </c>
      <c r="AL167" s="36" t="s">
        <v>203</v>
      </c>
      <c r="AM167" s="36" t="s">
        <v>204</v>
      </c>
      <c r="AN167" s="36" t="s">
        <v>222</v>
      </c>
      <c r="AO167" s="36" t="s">
        <v>206</v>
      </c>
      <c r="AP167" s="36">
        <v>2</v>
      </c>
      <c r="AQ167" s="36"/>
      <c r="AR167" s="36"/>
      <c r="AS167" s="36"/>
      <c r="AT167" s="36" t="s">
        <v>223</v>
      </c>
      <c r="AU167" s="36" t="s">
        <v>234</v>
      </c>
      <c r="AV167" s="36" t="s">
        <v>209</v>
      </c>
      <c r="AW167" s="36" t="s">
        <v>209</v>
      </c>
      <c r="AX167" s="36" t="s">
        <v>210</v>
      </c>
      <c r="AY167" s="36">
        <v>0</v>
      </c>
      <c r="AZ167" s="36" t="s">
        <v>211</v>
      </c>
      <c r="BA167" s="36">
        <v>9044989536422</v>
      </c>
      <c r="BB167" s="36"/>
      <c r="BC167" s="36"/>
      <c r="BD167" s="36">
        <v>1</v>
      </c>
      <c r="BE167" s="36"/>
      <c r="BF167" s="36" t="s">
        <v>212</v>
      </c>
      <c r="BG167" s="36">
        <v>1333314600</v>
      </c>
      <c r="BH167" s="36" t="s">
        <v>213</v>
      </c>
      <c r="BI167" s="36">
        <v>60</v>
      </c>
      <c r="BJ167" s="36">
        <v>60</v>
      </c>
      <c r="BK167" s="36">
        <v>1300</v>
      </c>
      <c r="BL167" s="36" t="s">
        <v>214</v>
      </c>
      <c r="BM167" s="36"/>
      <c r="BN167" s="36"/>
    </row>
    <row r="168" spans="1:66" x14ac:dyDescent="0.35">
      <c r="A168" s="36"/>
      <c r="B168" s="36"/>
      <c r="C168" s="37" t="s">
        <v>8</v>
      </c>
      <c r="D168" s="37" t="s">
        <v>8</v>
      </c>
      <c r="E168" s="36"/>
      <c r="F168" s="36" t="s">
        <v>192</v>
      </c>
      <c r="G168" s="36" t="s">
        <v>1</v>
      </c>
      <c r="H168" s="36">
        <v>0</v>
      </c>
      <c r="I168" s="36" t="s">
        <v>193</v>
      </c>
      <c r="J168" s="36" t="s">
        <v>194</v>
      </c>
      <c r="K168" s="36" t="s">
        <v>195</v>
      </c>
      <c r="L168" s="36">
        <v>923</v>
      </c>
      <c r="M168" s="36"/>
      <c r="N168" s="36" t="s">
        <v>239</v>
      </c>
      <c r="O168" s="36" t="s">
        <v>240</v>
      </c>
      <c r="P168" s="36">
        <v>2</v>
      </c>
      <c r="Q168" s="36" t="s">
        <v>241</v>
      </c>
      <c r="R168" s="37">
        <v>244658</v>
      </c>
      <c r="S168" s="37" t="s">
        <v>8</v>
      </c>
      <c r="T168" s="36" t="s">
        <v>242</v>
      </c>
      <c r="U168" s="36">
        <v>23058551</v>
      </c>
      <c r="V168" s="36" t="s">
        <v>25</v>
      </c>
      <c r="W168" s="36">
        <v>100</v>
      </c>
      <c r="X168" s="36">
        <v>100</v>
      </c>
      <c r="Y168" s="36">
        <v>100</v>
      </c>
      <c r="Z168" s="36">
        <v>100</v>
      </c>
      <c r="AA168" s="36">
        <v>0</v>
      </c>
      <c r="AB168" s="36">
        <v>0</v>
      </c>
      <c r="AC168" s="36">
        <v>0</v>
      </c>
      <c r="AD168" s="36">
        <v>0</v>
      </c>
      <c r="AE168" s="36">
        <v>100</v>
      </c>
      <c r="AF168" s="36">
        <v>100</v>
      </c>
      <c r="AG168" s="36"/>
      <c r="AH168" s="36"/>
      <c r="AI168" s="36" t="s">
        <v>200</v>
      </c>
      <c r="AJ168" s="36" t="s">
        <v>201</v>
      </c>
      <c r="AK168" s="36" t="s">
        <v>202</v>
      </c>
      <c r="AL168" s="36" t="s">
        <v>203</v>
      </c>
      <c r="AM168" s="36" t="s">
        <v>204</v>
      </c>
      <c r="AN168" s="36" t="s">
        <v>222</v>
      </c>
      <c r="AO168" s="36" t="s">
        <v>206</v>
      </c>
      <c r="AP168" s="36">
        <v>2</v>
      </c>
      <c r="AQ168" s="36"/>
      <c r="AR168" s="36"/>
      <c r="AS168" s="36"/>
      <c r="AT168" s="36" t="s">
        <v>223</v>
      </c>
      <c r="AU168" s="36" t="s">
        <v>234</v>
      </c>
      <c r="AV168" s="36" t="s">
        <v>209</v>
      </c>
      <c r="AW168" s="36" t="s">
        <v>209</v>
      </c>
      <c r="AX168" s="36" t="s">
        <v>210</v>
      </c>
      <c r="AY168" s="36">
        <v>0</v>
      </c>
      <c r="AZ168" s="36" t="s">
        <v>211</v>
      </c>
      <c r="BA168" s="36">
        <v>9044989536422</v>
      </c>
      <c r="BB168" s="36"/>
      <c r="BC168" s="36"/>
      <c r="BD168" s="36">
        <v>1</v>
      </c>
      <c r="BE168" s="36"/>
      <c r="BF168" s="36" t="s">
        <v>212</v>
      </c>
      <c r="BG168" s="36">
        <v>1333314600</v>
      </c>
      <c r="BH168" s="36" t="s">
        <v>213</v>
      </c>
      <c r="BI168" s="36">
        <v>100</v>
      </c>
      <c r="BJ168" s="36">
        <v>100</v>
      </c>
      <c r="BK168" s="36">
        <v>1300</v>
      </c>
      <c r="BL168" s="36" t="s">
        <v>214</v>
      </c>
      <c r="BM168" s="36"/>
      <c r="BN168" s="36"/>
    </row>
    <row r="169" spans="1:66" x14ac:dyDescent="0.35">
      <c r="A169" s="36"/>
      <c r="B169" s="36"/>
      <c r="C169" s="37" t="s">
        <v>8</v>
      </c>
      <c r="D169" s="37" t="s">
        <v>8</v>
      </c>
      <c r="E169" s="36"/>
      <c r="F169" s="36" t="s">
        <v>192</v>
      </c>
      <c r="G169" s="36" t="s">
        <v>1</v>
      </c>
      <c r="H169" s="36">
        <v>0</v>
      </c>
      <c r="I169" s="36" t="s">
        <v>193</v>
      </c>
      <c r="J169" s="36" t="s">
        <v>194</v>
      </c>
      <c r="K169" s="36" t="s">
        <v>195</v>
      </c>
      <c r="L169" s="36">
        <v>923</v>
      </c>
      <c r="M169" s="36"/>
      <c r="N169" s="36" t="s">
        <v>239</v>
      </c>
      <c r="O169" s="36" t="s">
        <v>240</v>
      </c>
      <c r="P169" s="36">
        <v>2</v>
      </c>
      <c r="Q169" s="36" t="s">
        <v>241</v>
      </c>
      <c r="R169" s="37">
        <v>244658</v>
      </c>
      <c r="S169" s="37" t="s">
        <v>8</v>
      </c>
      <c r="T169" s="36" t="s">
        <v>242</v>
      </c>
      <c r="U169" s="36">
        <v>23087034</v>
      </c>
      <c r="V169" s="36" t="s">
        <v>54</v>
      </c>
      <c r="W169" s="36">
        <v>150</v>
      </c>
      <c r="X169" s="36">
        <v>150</v>
      </c>
      <c r="Y169" s="36">
        <v>150</v>
      </c>
      <c r="Z169" s="36">
        <v>150</v>
      </c>
      <c r="AA169" s="36">
        <v>0</v>
      </c>
      <c r="AB169" s="36">
        <v>0</v>
      </c>
      <c r="AC169" s="36">
        <v>0</v>
      </c>
      <c r="AD169" s="36">
        <v>0</v>
      </c>
      <c r="AE169" s="36">
        <v>150</v>
      </c>
      <c r="AF169" s="36">
        <v>150</v>
      </c>
      <c r="AG169" s="36"/>
      <c r="AH169" s="36"/>
      <c r="AI169" s="36" t="s">
        <v>200</v>
      </c>
      <c r="AJ169" s="36" t="s">
        <v>201</v>
      </c>
      <c r="AK169" s="36" t="s">
        <v>202</v>
      </c>
      <c r="AL169" s="36" t="s">
        <v>203</v>
      </c>
      <c r="AM169" s="36" t="s">
        <v>204</v>
      </c>
      <c r="AN169" s="36" t="s">
        <v>222</v>
      </c>
      <c r="AO169" s="36" t="s">
        <v>206</v>
      </c>
      <c r="AP169" s="36">
        <v>2</v>
      </c>
      <c r="AQ169" s="36"/>
      <c r="AR169" s="36"/>
      <c r="AS169" s="36"/>
      <c r="AT169" s="36" t="s">
        <v>223</v>
      </c>
      <c r="AU169" s="36" t="s">
        <v>234</v>
      </c>
      <c r="AV169" s="36" t="s">
        <v>209</v>
      </c>
      <c r="AW169" s="36" t="s">
        <v>209</v>
      </c>
      <c r="AX169" s="36" t="s">
        <v>210</v>
      </c>
      <c r="AY169" s="36">
        <v>0</v>
      </c>
      <c r="AZ169" s="36" t="s">
        <v>211</v>
      </c>
      <c r="BA169" s="36">
        <v>9044989536422</v>
      </c>
      <c r="BB169" s="36"/>
      <c r="BC169" s="36"/>
      <c r="BD169" s="36">
        <v>1</v>
      </c>
      <c r="BE169" s="36"/>
      <c r="BF169" s="36" t="s">
        <v>212</v>
      </c>
      <c r="BG169" s="36">
        <v>1333314600</v>
      </c>
      <c r="BH169" s="36" t="s">
        <v>213</v>
      </c>
      <c r="BI169" s="36">
        <v>150</v>
      </c>
      <c r="BJ169" s="36">
        <v>150</v>
      </c>
      <c r="BK169" s="36">
        <v>1300</v>
      </c>
      <c r="BL169" s="36" t="s">
        <v>214</v>
      </c>
      <c r="BM169" s="36"/>
      <c r="BN169" s="36"/>
    </row>
    <row r="170" spans="1:66" x14ac:dyDescent="0.35">
      <c r="A170" s="36"/>
      <c r="B170" s="36"/>
      <c r="C170" s="37" t="s">
        <v>8</v>
      </c>
      <c r="D170" s="37" t="s">
        <v>8</v>
      </c>
      <c r="E170" s="36"/>
      <c r="F170" s="36" t="s">
        <v>192</v>
      </c>
      <c r="G170" s="36" t="s">
        <v>1</v>
      </c>
      <c r="H170" s="36">
        <v>0</v>
      </c>
      <c r="I170" s="36" t="s">
        <v>193</v>
      </c>
      <c r="J170" s="36" t="s">
        <v>194</v>
      </c>
      <c r="K170" s="36" t="s">
        <v>195</v>
      </c>
      <c r="L170" s="36">
        <v>923</v>
      </c>
      <c r="M170" s="36"/>
      <c r="N170" s="36" t="s">
        <v>239</v>
      </c>
      <c r="O170" s="36" t="s">
        <v>240</v>
      </c>
      <c r="P170" s="36">
        <v>2</v>
      </c>
      <c r="Q170" s="36" t="s">
        <v>241</v>
      </c>
      <c r="R170" s="37">
        <v>244658</v>
      </c>
      <c r="S170" s="37" t="s">
        <v>8</v>
      </c>
      <c r="T170" s="36" t="s">
        <v>242</v>
      </c>
      <c r="U170" s="36">
        <v>23105752</v>
      </c>
      <c r="V170" s="36" t="s">
        <v>74</v>
      </c>
      <c r="W170" s="36">
        <v>10</v>
      </c>
      <c r="X170" s="36">
        <v>10</v>
      </c>
      <c r="Y170" s="36">
        <v>10</v>
      </c>
      <c r="Z170" s="36">
        <v>10</v>
      </c>
      <c r="AA170" s="36">
        <v>0</v>
      </c>
      <c r="AB170" s="36">
        <v>0</v>
      </c>
      <c r="AC170" s="36">
        <v>0</v>
      </c>
      <c r="AD170" s="36">
        <v>0</v>
      </c>
      <c r="AE170" s="36">
        <v>10</v>
      </c>
      <c r="AF170" s="36">
        <v>10</v>
      </c>
      <c r="AG170" s="36"/>
      <c r="AH170" s="36"/>
      <c r="AI170" s="36" t="s">
        <v>200</v>
      </c>
      <c r="AJ170" s="36" t="s">
        <v>201</v>
      </c>
      <c r="AK170" s="36" t="s">
        <v>202</v>
      </c>
      <c r="AL170" s="36" t="s">
        <v>203</v>
      </c>
      <c r="AM170" s="36" t="s">
        <v>204</v>
      </c>
      <c r="AN170" s="36" t="s">
        <v>222</v>
      </c>
      <c r="AO170" s="36" t="s">
        <v>206</v>
      </c>
      <c r="AP170" s="36">
        <v>2</v>
      </c>
      <c r="AQ170" s="36"/>
      <c r="AR170" s="36"/>
      <c r="AS170" s="36"/>
      <c r="AT170" s="36" t="s">
        <v>223</v>
      </c>
      <c r="AU170" s="36" t="s">
        <v>234</v>
      </c>
      <c r="AV170" s="36" t="s">
        <v>209</v>
      </c>
      <c r="AW170" s="36" t="s">
        <v>209</v>
      </c>
      <c r="AX170" s="36" t="s">
        <v>210</v>
      </c>
      <c r="AY170" s="36">
        <v>0</v>
      </c>
      <c r="AZ170" s="36" t="s">
        <v>211</v>
      </c>
      <c r="BA170" s="36">
        <v>9044989536422</v>
      </c>
      <c r="BB170" s="36"/>
      <c r="BC170" s="36"/>
      <c r="BD170" s="36">
        <v>1</v>
      </c>
      <c r="BE170" s="36"/>
      <c r="BF170" s="36" t="s">
        <v>212</v>
      </c>
      <c r="BG170" s="36">
        <v>1333314600</v>
      </c>
      <c r="BH170" s="36" t="s">
        <v>213</v>
      </c>
      <c r="BI170" s="36">
        <v>10</v>
      </c>
      <c r="BJ170" s="36">
        <v>10</v>
      </c>
      <c r="BK170" s="36">
        <v>1300</v>
      </c>
      <c r="BL170" s="36" t="s">
        <v>214</v>
      </c>
      <c r="BM170" s="36"/>
      <c r="BN170" s="36"/>
    </row>
    <row r="171" spans="1:66" x14ac:dyDescent="0.35">
      <c r="A171" s="36"/>
      <c r="B171" s="36"/>
      <c r="C171" s="37" t="s">
        <v>8</v>
      </c>
      <c r="D171" s="37" t="s">
        <v>8</v>
      </c>
      <c r="E171" s="36"/>
      <c r="F171" s="36" t="s">
        <v>192</v>
      </c>
      <c r="G171" s="36" t="s">
        <v>1</v>
      </c>
      <c r="H171" s="36">
        <v>0</v>
      </c>
      <c r="I171" s="36" t="s">
        <v>193</v>
      </c>
      <c r="J171" s="36" t="s">
        <v>194</v>
      </c>
      <c r="K171" s="36" t="s">
        <v>195</v>
      </c>
      <c r="L171" s="36">
        <v>923</v>
      </c>
      <c r="M171" s="36"/>
      <c r="N171" s="36" t="s">
        <v>239</v>
      </c>
      <c r="O171" s="36" t="s">
        <v>240</v>
      </c>
      <c r="P171" s="36">
        <v>2</v>
      </c>
      <c r="Q171" s="36" t="s">
        <v>241</v>
      </c>
      <c r="R171" s="37">
        <v>244658</v>
      </c>
      <c r="S171" s="37" t="s">
        <v>8</v>
      </c>
      <c r="T171" s="36" t="s">
        <v>242</v>
      </c>
      <c r="U171" s="36">
        <v>23066879</v>
      </c>
      <c r="V171" s="36" t="s">
        <v>45</v>
      </c>
      <c r="W171" s="36">
        <v>50</v>
      </c>
      <c r="X171" s="36">
        <v>50</v>
      </c>
      <c r="Y171" s="36">
        <v>50</v>
      </c>
      <c r="Z171" s="36">
        <v>50</v>
      </c>
      <c r="AA171" s="36">
        <v>0</v>
      </c>
      <c r="AB171" s="36">
        <v>0</v>
      </c>
      <c r="AC171" s="36">
        <v>0</v>
      </c>
      <c r="AD171" s="36">
        <v>0</v>
      </c>
      <c r="AE171" s="36">
        <v>50</v>
      </c>
      <c r="AF171" s="36">
        <v>50</v>
      </c>
      <c r="AG171" s="36"/>
      <c r="AH171" s="36"/>
      <c r="AI171" s="36" t="s">
        <v>200</v>
      </c>
      <c r="AJ171" s="36" t="s">
        <v>201</v>
      </c>
      <c r="AK171" s="36" t="s">
        <v>215</v>
      </c>
      <c r="AL171" s="36" t="s">
        <v>203</v>
      </c>
      <c r="AM171" s="36" t="s">
        <v>204</v>
      </c>
      <c r="AN171" s="36" t="s">
        <v>222</v>
      </c>
      <c r="AO171" s="36" t="s">
        <v>206</v>
      </c>
      <c r="AP171" s="36">
        <v>2</v>
      </c>
      <c r="AQ171" s="36"/>
      <c r="AR171" s="36"/>
      <c r="AS171" s="36"/>
      <c r="AT171" s="36" t="s">
        <v>223</v>
      </c>
      <c r="AU171" s="36" t="s">
        <v>234</v>
      </c>
      <c r="AV171" s="36" t="s">
        <v>209</v>
      </c>
      <c r="AW171" s="36" t="s">
        <v>209</v>
      </c>
      <c r="AX171" s="36" t="s">
        <v>210</v>
      </c>
      <c r="AY171" s="36">
        <v>0</v>
      </c>
      <c r="AZ171" s="36" t="s">
        <v>211</v>
      </c>
      <c r="BA171" s="36">
        <v>9044989536422</v>
      </c>
      <c r="BB171" s="36"/>
      <c r="BC171" s="36"/>
      <c r="BD171" s="36">
        <v>1</v>
      </c>
      <c r="BE171" s="36"/>
      <c r="BF171" s="36" t="s">
        <v>212</v>
      </c>
      <c r="BG171" s="36">
        <v>1333314600</v>
      </c>
      <c r="BH171" s="36" t="s">
        <v>213</v>
      </c>
      <c r="BI171" s="36">
        <v>50</v>
      </c>
      <c r="BJ171" s="36">
        <v>50</v>
      </c>
      <c r="BK171" s="36">
        <v>1300</v>
      </c>
      <c r="BL171" s="36" t="s">
        <v>214</v>
      </c>
      <c r="BM171" s="36"/>
      <c r="BN171" s="36"/>
    </row>
    <row r="172" spans="1:66" x14ac:dyDescent="0.35">
      <c r="A172" s="36"/>
      <c r="B172" s="36"/>
      <c r="C172" s="37" t="s">
        <v>8</v>
      </c>
      <c r="D172" s="37" t="s">
        <v>8</v>
      </c>
      <c r="E172" s="36"/>
      <c r="F172" s="36" t="s">
        <v>192</v>
      </c>
      <c r="G172" s="36" t="s">
        <v>1</v>
      </c>
      <c r="H172" s="36">
        <v>0</v>
      </c>
      <c r="I172" s="36" t="s">
        <v>193</v>
      </c>
      <c r="J172" s="36" t="s">
        <v>194</v>
      </c>
      <c r="K172" s="36" t="s">
        <v>195</v>
      </c>
      <c r="L172" s="36">
        <v>923</v>
      </c>
      <c r="M172" s="36"/>
      <c r="N172" s="36" t="s">
        <v>239</v>
      </c>
      <c r="O172" s="36" t="s">
        <v>240</v>
      </c>
      <c r="P172" s="36">
        <v>2</v>
      </c>
      <c r="Q172" s="36" t="s">
        <v>241</v>
      </c>
      <c r="R172" s="37">
        <v>244658</v>
      </c>
      <c r="S172" s="37" t="s">
        <v>8</v>
      </c>
      <c r="T172" s="36" t="s">
        <v>242</v>
      </c>
      <c r="U172" s="36">
        <v>23098989</v>
      </c>
      <c r="V172" s="36" t="s">
        <v>69</v>
      </c>
      <c r="W172" s="36">
        <v>20</v>
      </c>
      <c r="X172" s="36">
        <v>20</v>
      </c>
      <c r="Y172" s="36">
        <v>20</v>
      </c>
      <c r="Z172" s="36">
        <v>20</v>
      </c>
      <c r="AA172" s="36">
        <v>0</v>
      </c>
      <c r="AB172" s="36">
        <v>0</v>
      </c>
      <c r="AC172" s="36">
        <v>0</v>
      </c>
      <c r="AD172" s="36">
        <v>0</v>
      </c>
      <c r="AE172" s="36">
        <v>20</v>
      </c>
      <c r="AF172" s="36">
        <v>20</v>
      </c>
      <c r="AG172" s="36"/>
      <c r="AH172" s="36"/>
      <c r="AI172" s="36" t="s">
        <v>200</v>
      </c>
      <c r="AJ172" s="36" t="s">
        <v>201</v>
      </c>
      <c r="AK172" s="36" t="s">
        <v>215</v>
      </c>
      <c r="AL172" s="36" t="s">
        <v>203</v>
      </c>
      <c r="AM172" s="36" t="s">
        <v>204</v>
      </c>
      <c r="AN172" s="36" t="s">
        <v>222</v>
      </c>
      <c r="AO172" s="36" t="s">
        <v>206</v>
      </c>
      <c r="AP172" s="36">
        <v>2</v>
      </c>
      <c r="AQ172" s="36"/>
      <c r="AR172" s="36"/>
      <c r="AS172" s="36"/>
      <c r="AT172" s="36" t="s">
        <v>223</v>
      </c>
      <c r="AU172" s="36" t="s">
        <v>234</v>
      </c>
      <c r="AV172" s="36" t="s">
        <v>209</v>
      </c>
      <c r="AW172" s="36" t="s">
        <v>209</v>
      </c>
      <c r="AX172" s="36" t="s">
        <v>210</v>
      </c>
      <c r="AY172" s="36">
        <v>0</v>
      </c>
      <c r="AZ172" s="36" t="s">
        <v>211</v>
      </c>
      <c r="BA172" s="36">
        <v>9044989536422</v>
      </c>
      <c r="BB172" s="36"/>
      <c r="BC172" s="36"/>
      <c r="BD172" s="36">
        <v>1</v>
      </c>
      <c r="BE172" s="36"/>
      <c r="BF172" s="36" t="s">
        <v>212</v>
      </c>
      <c r="BG172" s="36">
        <v>1333314600</v>
      </c>
      <c r="BH172" s="36" t="s">
        <v>213</v>
      </c>
      <c r="BI172" s="36">
        <v>20</v>
      </c>
      <c r="BJ172" s="36">
        <v>20</v>
      </c>
      <c r="BK172" s="36">
        <v>1300</v>
      </c>
      <c r="BL172" s="36" t="s">
        <v>214</v>
      </c>
      <c r="BM172" s="36"/>
      <c r="BN172" s="36"/>
    </row>
    <row r="173" spans="1:66" x14ac:dyDescent="0.35">
      <c r="A173" s="36"/>
      <c r="B173" s="36"/>
      <c r="C173" s="37" t="s">
        <v>8</v>
      </c>
      <c r="D173" s="37" t="s">
        <v>8</v>
      </c>
      <c r="E173" s="36"/>
      <c r="F173" s="36" t="s">
        <v>192</v>
      </c>
      <c r="G173" s="36" t="s">
        <v>1</v>
      </c>
      <c r="H173" s="36">
        <v>0</v>
      </c>
      <c r="I173" s="36" t="s">
        <v>193</v>
      </c>
      <c r="J173" s="36" t="s">
        <v>194</v>
      </c>
      <c r="K173" s="36" t="s">
        <v>195</v>
      </c>
      <c r="L173" s="36">
        <v>923</v>
      </c>
      <c r="M173" s="36"/>
      <c r="N173" s="36" t="s">
        <v>218</v>
      </c>
      <c r="O173" s="36" t="s">
        <v>219</v>
      </c>
      <c r="P173" s="36">
        <v>2</v>
      </c>
      <c r="Q173" s="36" t="s">
        <v>220</v>
      </c>
      <c r="R173" s="37">
        <v>244658</v>
      </c>
      <c r="S173" s="37" t="s">
        <v>8</v>
      </c>
      <c r="T173" s="36" t="s">
        <v>243</v>
      </c>
      <c r="U173" s="36">
        <v>23058591</v>
      </c>
      <c r="V173" s="36" t="s">
        <v>35</v>
      </c>
      <c r="W173" s="36">
        <v>20</v>
      </c>
      <c r="X173" s="36">
        <v>20</v>
      </c>
      <c r="Y173" s="36">
        <v>20</v>
      </c>
      <c r="Z173" s="36">
        <v>20</v>
      </c>
      <c r="AA173" s="36">
        <v>0</v>
      </c>
      <c r="AB173" s="36">
        <v>0</v>
      </c>
      <c r="AC173" s="36">
        <v>0</v>
      </c>
      <c r="AD173" s="36">
        <v>0</v>
      </c>
      <c r="AE173" s="36">
        <v>20</v>
      </c>
      <c r="AF173" s="36">
        <v>20</v>
      </c>
      <c r="AG173" s="36"/>
      <c r="AH173" s="36"/>
      <c r="AI173" s="36" t="s">
        <v>200</v>
      </c>
      <c r="AJ173" s="36" t="s">
        <v>201</v>
      </c>
      <c r="AK173" s="36" t="s">
        <v>215</v>
      </c>
      <c r="AL173" s="36" t="s">
        <v>203</v>
      </c>
      <c r="AM173" s="36" t="s">
        <v>204</v>
      </c>
      <c r="AN173" s="36" t="s">
        <v>222</v>
      </c>
      <c r="AO173" s="36" t="s">
        <v>206</v>
      </c>
      <c r="AP173" s="36">
        <v>2</v>
      </c>
      <c r="AQ173" s="36"/>
      <c r="AR173" s="36"/>
      <c r="AS173" s="36"/>
      <c r="AT173" s="36" t="s">
        <v>223</v>
      </c>
      <c r="AU173" s="36" t="s">
        <v>234</v>
      </c>
      <c r="AV173" s="36" t="s">
        <v>209</v>
      </c>
      <c r="AW173" s="36" t="s">
        <v>209</v>
      </c>
      <c r="AX173" s="36" t="s">
        <v>210</v>
      </c>
      <c r="AY173" s="36">
        <v>0</v>
      </c>
      <c r="AZ173" s="36" t="s">
        <v>211</v>
      </c>
      <c r="BA173" s="36">
        <v>9044989536447</v>
      </c>
      <c r="BB173" s="36"/>
      <c r="BC173" s="36"/>
      <c r="BD173" s="36">
        <v>1</v>
      </c>
      <c r="BE173" s="36"/>
      <c r="BF173" s="36" t="s">
        <v>212</v>
      </c>
      <c r="BG173" s="36">
        <v>1333314600</v>
      </c>
      <c r="BH173" s="36" t="s">
        <v>213</v>
      </c>
      <c r="BI173" s="36">
        <v>20</v>
      </c>
      <c r="BJ173" s="36">
        <v>20</v>
      </c>
      <c r="BK173" s="36">
        <v>1300</v>
      </c>
      <c r="BL173" s="36" t="s">
        <v>214</v>
      </c>
      <c r="BM173" s="36"/>
      <c r="BN173" s="36"/>
    </row>
    <row r="174" spans="1:66" x14ac:dyDescent="0.35">
      <c r="A174" s="36"/>
      <c r="B174" s="36"/>
      <c r="C174" s="37" t="s">
        <v>8</v>
      </c>
      <c r="D174" s="37" t="s">
        <v>8</v>
      </c>
      <c r="E174" s="36"/>
      <c r="F174" s="36" t="s">
        <v>192</v>
      </c>
      <c r="G174" s="36" t="s">
        <v>1</v>
      </c>
      <c r="H174" s="36">
        <v>0</v>
      </c>
      <c r="I174" s="36" t="s">
        <v>193</v>
      </c>
      <c r="J174" s="36" t="s">
        <v>194</v>
      </c>
      <c r="K174" s="36" t="s">
        <v>195</v>
      </c>
      <c r="L174" s="36">
        <v>923</v>
      </c>
      <c r="M174" s="36"/>
      <c r="N174" s="36" t="s">
        <v>218</v>
      </c>
      <c r="O174" s="36" t="s">
        <v>219</v>
      </c>
      <c r="P174" s="36">
        <v>2</v>
      </c>
      <c r="Q174" s="36" t="s">
        <v>220</v>
      </c>
      <c r="R174" s="37">
        <v>244658</v>
      </c>
      <c r="S174" s="37" t="s">
        <v>8</v>
      </c>
      <c r="T174" s="36" t="s">
        <v>243</v>
      </c>
      <c r="U174" s="36">
        <v>23057827</v>
      </c>
      <c r="V174" s="36" t="s">
        <v>24</v>
      </c>
      <c r="W174" s="36">
        <v>5</v>
      </c>
      <c r="X174" s="36">
        <v>5</v>
      </c>
      <c r="Y174" s="36">
        <v>5</v>
      </c>
      <c r="Z174" s="36">
        <v>5</v>
      </c>
      <c r="AA174" s="36">
        <v>0</v>
      </c>
      <c r="AB174" s="36">
        <v>0</v>
      </c>
      <c r="AC174" s="36">
        <v>0</v>
      </c>
      <c r="AD174" s="36">
        <v>0</v>
      </c>
      <c r="AE174" s="36">
        <v>5</v>
      </c>
      <c r="AF174" s="36">
        <v>5</v>
      </c>
      <c r="AG174" s="36"/>
      <c r="AH174" s="36"/>
      <c r="AI174" s="36" t="s">
        <v>200</v>
      </c>
      <c r="AJ174" s="36" t="s">
        <v>201</v>
      </c>
      <c r="AK174" s="36" t="s">
        <v>202</v>
      </c>
      <c r="AL174" s="36" t="s">
        <v>203</v>
      </c>
      <c r="AM174" s="36" t="s">
        <v>204</v>
      </c>
      <c r="AN174" s="36" t="s">
        <v>222</v>
      </c>
      <c r="AO174" s="36" t="s">
        <v>206</v>
      </c>
      <c r="AP174" s="36">
        <v>2</v>
      </c>
      <c r="AQ174" s="36"/>
      <c r="AR174" s="36"/>
      <c r="AS174" s="36"/>
      <c r="AT174" s="36" t="s">
        <v>223</v>
      </c>
      <c r="AU174" s="36" t="s">
        <v>234</v>
      </c>
      <c r="AV174" s="36" t="s">
        <v>209</v>
      </c>
      <c r="AW174" s="36" t="s">
        <v>209</v>
      </c>
      <c r="AX174" s="36" t="s">
        <v>210</v>
      </c>
      <c r="AY174" s="36">
        <v>0</v>
      </c>
      <c r="AZ174" s="36" t="s">
        <v>211</v>
      </c>
      <c r="BA174" s="36">
        <v>9044989536447</v>
      </c>
      <c r="BB174" s="36"/>
      <c r="BC174" s="36"/>
      <c r="BD174" s="36">
        <v>1</v>
      </c>
      <c r="BE174" s="36"/>
      <c r="BF174" s="36" t="s">
        <v>212</v>
      </c>
      <c r="BG174" s="36">
        <v>1333314600</v>
      </c>
      <c r="BH174" s="36" t="s">
        <v>213</v>
      </c>
      <c r="BI174" s="36">
        <v>5</v>
      </c>
      <c r="BJ174" s="36">
        <v>5</v>
      </c>
      <c r="BK174" s="36">
        <v>1300</v>
      </c>
      <c r="BL174" s="36" t="s">
        <v>214</v>
      </c>
      <c r="BM174" s="36"/>
      <c r="BN174" s="36"/>
    </row>
    <row r="175" spans="1:66" x14ac:dyDescent="0.35">
      <c r="A175" s="36"/>
      <c r="B175" s="36"/>
      <c r="C175" s="37" t="s">
        <v>8</v>
      </c>
      <c r="D175" s="37" t="s">
        <v>8</v>
      </c>
      <c r="E175" s="36"/>
      <c r="F175" s="36" t="s">
        <v>192</v>
      </c>
      <c r="G175" s="36" t="s">
        <v>1</v>
      </c>
      <c r="H175" s="36">
        <v>0</v>
      </c>
      <c r="I175" s="36" t="s">
        <v>193</v>
      </c>
      <c r="J175" s="36" t="s">
        <v>194</v>
      </c>
      <c r="K175" s="36" t="s">
        <v>195</v>
      </c>
      <c r="L175" s="36">
        <v>923</v>
      </c>
      <c r="M175" s="36"/>
      <c r="N175" s="36" t="s">
        <v>218</v>
      </c>
      <c r="O175" s="36" t="s">
        <v>219</v>
      </c>
      <c r="P175" s="36">
        <v>2</v>
      </c>
      <c r="Q175" s="36" t="s">
        <v>220</v>
      </c>
      <c r="R175" s="37">
        <v>244658</v>
      </c>
      <c r="S175" s="37" t="s">
        <v>8</v>
      </c>
      <c r="T175" s="36" t="s">
        <v>243</v>
      </c>
      <c r="U175" s="36">
        <v>23087034</v>
      </c>
      <c r="V175" s="36" t="s">
        <v>54</v>
      </c>
      <c r="W175" s="36">
        <v>15</v>
      </c>
      <c r="X175" s="36">
        <v>15</v>
      </c>
      <c r="Y175" s="36">
        <v>15</v>
      </c>
      <c r="Z175" s="36">
        <v>15</v>
      </c>
      <c r="AA175" s="36">
        <v>0</v>
      </c>
      <c r="AB175" s="36">
        <v>0</v>
      </c>
      <c r="AC175" s="36">
        <v>0</v>
      </c>
      <c r="AD175" s="36">
        <v>0</v>
      </c>
      <c r="AE175" s="36">
        <v>15</v>
      </c>
      <c r="AF175" s="36">
        <v>15</v>
      </c>
      <c r="AG175" s="36"/>
      <c r="AH175" s="36"/>
      <c r="AI175" s="36" t="s">
        <v>200</v>
      </c>
      <c r="AJ175" s="36" t="s">
        <v>201</v>
      </c>
      <c r="AK175" s="36" t="s">
        <v>202</v>
      </c>
      <c r="AL175" s="36" t="s">
        <v>203</v>
      </c>
      <c r="AM175" s="36" t="s">
        <v>204</v>
      </c>
      <c r="AN175" s="36" t="s">
        <v>222</v>
      </c>
      <c r="AO175" s="36" t="s">
        <v>206</v>
      </c>
      <c r="AP175" s="36">
        <v>2</v>
      </c>
      <c r="AQ175" s="36"/>
      <c r="AR175" s="36"/>
      <c r="AS175" s="36"/>
      <c r="AT175" s="36" t="s">
        <v>223</v>
      </c>
      <c r="AU175" s="36" t="s">
        <v>234</v>
      </c>
      <c r="AV175" s="36" t="s">
        <v>209</v>
      </c>
      <c r="AW175" s="36" t="s">
        <v>209</v>
      </c>
      <c r="AX175" s="36" t="s">
        <v>210</v>
      </c>
      <c r="AY175" s="36">
        <v>0</v>
      </c>
      <c r="AZ175" s="36" t="s">
        <v>211</v>
      </c>
      <c r="BA175" s="36">
        <v>9044989536447</v>
      </c>
      <c r="BB175" s="36"/>
      <c r="BC175" s="36"/>
      <c r="BD175" s="36">
        <v>1</v>
      </c>
      <c r="BE175" s="36"/>
      <c r="BF175" s="36" t="s">
        <v>212</v>
      </c>
      <c r="BG175" s="36">
        <v>1333314600</v>
      </c>
      <c r="BH175" s="36" t="s">
        <v>213</v>
      </c>
      <c r="BI175" s="36">
        <v>15</v>
      </c>
      <c r="BJ175" s="36">
        <v>15</v>
      </c>
      <c r="BK175" s="36">
        <v>1300</v>
      </c>
      <c r="BL175" s="36" t="s">
        <v>214</v>
      </c>
      <c r="BM175" s="36"/>
      <c r="BN175" s="36"/>
    </row>
    <row r="176" spans="1:66" x14ac:dyDescent="0.35">
      <c r="A176" s="36"/>
      <c r="B176" s="36"/>
      <c r="C176" s="37" t="s">
        <v>8</v>
      </c>
      <c r="D176" s="37" t="s">
        <v>8</v>
      </c>
      <c r="E176" s="36"/>
      <c r="F176" s="36" t="s">
        <v>192</v>
      </c>
      <c r="G176" s="36" t="s">
        <v>1</v>
      </c>
      <c r="H176" s="36">
        <v>0</v>
      </c>
      <c r="I176" s="36" t="s">
        <v>193</v>
      </c>
      <c r="J176" s="36" t="s">
        <v>194</v>
      </c>
      <c r="K176" s="36" t="s">
        <v>195</v>
      </c>
      <c r="L176" s="36">
        <v>923</v>
      </c>
      <c r="M176" s="36"/>
      <c r="N176" s="36" t="s">
        <v>218</v>
      </c>
      <c r="O176" s="36" t="s">
        <v>219</v>
      </c>
      <c r="P176" s="36">
        <v>2</v>
      </c>
      <c r="Q176" s="36" t="s">
        <v>220</v>
      </c>
      <c r="R176" s="37">
        <v>244658</v>
      </c>
      <c r="S176" s="37" t="s">
        <v>8</v>
      </c>
      <c r="T176" s="36" t="s">
        <v>243</v>
      </c>
      <c r="U176" s="36">
        <v>23074624</v>
      </c>
      <c r="V176" s="36" t="s">
        <v>129</v>
      </c>
      <c r="W176" s="36">
        <v>40</v>
      </c>
      <c r="X176" s="36">
        <v>40</v>
      </c>
      <c r="Y176" s="36">
        <v>40</v>
      </c>
      <c r="Z176" s="36">
        <v>40</v>
      </c>
      <c r="AA176" s="36">
        <v>0</v>
      </c>
      <c r="AB176" s="36">
        <v>0</v>
      </c>
      <c r="AC176" s="36">
        <v>0</v>
      </c>
      <c r="AD176" s="36">
        <v>0</v>
      </c>
      <c r="AE176" s="36">
        <v>40</v>
      </c>
      <c r="AF176" s="36">
        <v>40</v>
      </c>
      <c r="AG176" s="36"/>
      <c r="AH176" s="36"/>
      <c r="AI176" s="36" t="s">
        <v>200</v>
      </c>
      <c r="AJ176" s="36" t="s">
        <v>201</v>
      </c>
      <c r="AK176" s="36" t="s">
        <v>202</v>
      </c>
      <c r="AL176" s="36" t="s">
        <v>203</v>
      </c>
      <c r="AM176" s="36" t="s">
        <v>204</v>
      </c>
      <c r="AN176" s="36" t="s">
        <v>222</v>
      </c>
      <c r="AO176" s="36" t="s">
        <v>206</v>
      </c>
      <c r="AP176" s="36">
        <v>2</v>
      </c>
      <c r="AQ176" s="36"/>
      <c r="AR176" s="36"/>
      <c r="AS176" s="36"/>
      <c r="AT176" s="36" t="s">
        <v>223</v>
      </c>
      <c r="AU176" s="36" t="s">
        <v>234</v>
      </c>
      <c r="AV176" s="36" t="s">
        <v>209</v>
      </c>
      <c r="AW176" s="36" t="s">
        <v>209</v>
      </c>
      <c r="AX176" s="36" t="s">
        <v>210</v>
      </c>
      <c r="AY176" s="36">
        <v>0</v>
      </c>
      <c r="AZ176" s="36" t="s">
        <v>211</v>
      </c>
      <c r="BA176" s="36">
        <v>9044989536447</v>
      </c>
      <c r="BB176" s="36"/>
      <c r="BC176" s="36"/>
      <c r="BD176" s="36">
        <v>1</v>
      </c>
      <c r="BE176" s="36"/>
      <c r="BF176" s="36" t="s">
        <v>212</v>
      </c>
      <c r="BG176" s="36">
        <v>1333314600</v>
      </c>
      <c r="BH176" s="36" t="s">
        <v>213</v>
      </c>
      <c r="BI176" s="36">
        <v>40</v>
      </c>
      <c r="BJ176" s="36">
        <v>40</v>
      </c>
      <c r="BK176" s="36">
        <v>1300</v>
      </c>
      <c r="BL176" s="36" t="s">
        <v>214</v>
      </c>
      <c r="BM176" s="36"/>
      <c r="BN176" s="36"/>
    </row>
    <row r="177" spans="1:66" x14ac:dyDescent="0.35">
      <c r="A177" s="36"/>
      <c r="B177" s="36"/>
      <c r="C177" s="37" t="s">
        <v>8</v>
      </c>
      <c r="D177" s="37" t="s">
        <v>8</v>
      </c>
      <c r="E177" s="36"/>
      <c r="F177" s="36" t="s">
        <v>192</v>
      </c>
      <c r="G177" s="36" t="s">
        <v>1</v>
      </c>
      <c r="H177" s="36">
        <v>0</v>
      </c>
      <c r="I177" s="36" t="s">
        <v>193</v>
      </c>
      <c r="J177" s="36" t="s">
        <v>194</v>
      </c>
      <c r="K177" s="36" t="s">
        <v>195</v>
      </c>
      <c r="L177" s="36">
        <v>923</v>
      </c>
      <c r="M177" s="36"/>
      <c r="N177" s="36" t="s">
        <v>218</v>
      </c>
      <c r="O177" s="36" t="s">
        <v>219</v>
      </c>
      <c r="P177" s="36">
        <v>2</v>
      </c>
      <c r="Q177" s="36" t="s">
        <v>220</v>
      </c>
      <c r="R177" s="37">
        <v>244658</v>
      </c>
      <c r="S177" s="37" t="s">
        <v>8</v>
      </c>
      <c r="T177" s="36" t="s">
        <v>243</v>
      </c>
      <c r="U177" s="36">
        <v>23105753</v>
      </c>
      <c r="V177" s="36" t="s">
        <v>75</v>
      </c>
      <c r="W177" s="36">
        <v>20</v>
      </c>
      <c r="X177" s="36">
        <v>20</v>
      </c>
      <c r="Y177" s="36">
        <v>20</v>
      </c>
      <c r="Z177" s="36">
        <v>20</v>
      </c>
      <c r="AA177" s="36">
        <v>0</v>
      </c>
      <c r="AB177" s="36">
        <v>0</v>
      </c>
      <c r="AC177" s="36">
        <v>0</v>
      </c>
      <c r="AD177" s="36">
        <v>0</v>
      </c>
      <c r="AE177" s="36">
        <v>20</v>
      </c>
      <c r="AF177" s="36">
        <v>20</v>
      </c>
      <c r="AG177" s="36"/>
      <c r="AH177" s="36"/>
      <c r="AI177" s="36" t="s">
        <v>200</v>
      </c>
      <c r="AJ177" s="36" t="s">
        <v>201</v>
      </c>
      <c r="AK177" s="36" t="s">
        <v>202</v>
      </c>
      <c r="AL177" s="36" t="s">
        <v>203</v>
      </c>
      <c r="AM177" s="36" t="s">
        <v>204</v>
      </c>
      <c r="AN177" s="36" t="s">
        <v>222</v>
      </c>
      <c r="AO177" s="36" t="s">
        <v>206</v>
      </c>
      <c r="AP177" s="36">
        <v>2</v>
      </c>
      <c r="AQ177" s="36"/>
      <c r="AR177" s="36"/>
      <c r="AS177" s="36"/>
      <c r="AT177" s="36" t="s">
        <v>223</v>
      </c>
      <c r="AU177" s="36" t="s">
        <v>234</v>
      </c>
      <c r="AV177" s="36" t="s">
        <v>209</v>
      </c>
      <c r="AW177" s="36" t="s">
        <v>209</v>
      </c>
      <c r="AX177" s="36" t="s">
        <v>210</v>
      </c>
      <c r="AY177" s="36">
        <v>0</v>
      </c>
      <c r="AZ177" s="36" t="s">
        <v>211</v>
      </c>
      <c r="BA177" s="36">
        <v>9044989536447</v>
      </c>
      <c r="BB177" s="36"/>
      <c r="BC177" s="36"/>
      <c r="BD177" s="36">
        <v>1</v>
      </c>
      <c r="BE177" s="36"/>
      <c r="BF177" s="36" t="s">
        <v>212</v>
      </c>
      <c r="BG177" s="36">
        <v>1333314600</v>
      </c>
      <c r="BH177" s="36" t="s">
        <v>213</v>
      </c>
      <c r="BI177" s="36">
        <v>20</v>
      </c>
      <c r="BJ177" s="36">
        <v>20</v>
      </c>
      <c r="BK177" s="36">
        <v>1300</v>
      </c>
      <c r="BL177" s="36" t="s">
        <v>214</v>
      </c>
      <c r="BM177" s="36"/>
      <c r="BN177" s="36"/>
    </row>
    <row r="178" spans="1:66" x14ac:dyDescent="0.35">
      <c r="A178" s="36"/>
      <c r="B178" s="36"/>
      <c r="C178" s="37" t="s">
        <v>8</v>
      </c>
      <c r="D178" s="37" t="s">
        <v>8</v>
      </c>
      <c r="E178" s="36"/>
      <c r="F178" s="36" t="s">
        <v>192</v>
      </c>
      <c r="G178" s="36" t="s">
        <v>1</v>
      </c>
      <c r="H178" s="36">
        <v>0</v>
      </c>
      <c r="I178" s="36" t="s">
        <v>193</v>
      </c>
      <c r="J178" s="36" t="s">
        <v>194</v>
      </c>
      <c r="K178" s="36" t="s">
        <v>195</v>
      </c>
      <c r="L178" s="36">
        <v>923</v>
      </c>
      <c r="M178" s="36"/>
      <c r="N178" s="36" t="s">
        <v>218</v>
      </c>
      <c r="O178" s="36" t="s">
        <v>219</v>
      </c>
      <c r="P178" s="36">
        <v>2</v>
      </c>
      <c r="Q178" s="36" t="s">
        <v>220</v>
      </c>
      <c r="R178" s="37">
        <v>244658</v>
      </c>
      <c r="S178" s="37" t="s">
        <v>8</v>
      </c>
      <c r="T178" s="36" t="s">
        <v>243</v>
      </c>
      <c r="U178" s="36">
        <v>23070475</v>
      </c>
      <c r="V178" s="36" t="s">
        <v>47</v>
      </c>
      <c r="W178" s="36">
        <v>40</v>
      </c>
      <c r="X178" s="36">
        <v>40</v>
      </c>
      <c r="Y178" s="36">
        <v>40</v>
      </c>
      <c r="Z178" s="36">
        <v>40</v>
      </c>
      <c r="AA178" s="36">
        <v>0</v>
      </c>
      <c r="AB178" s="36">
        <v>0</v>
      </c>
      <c r="AC178" s="36">
        <v>0</v>
      </c>
      <c r="AD178" s="36">
        <v>0</v>
      </c>
      <c r="AE178" s="36">
        <v>40</v>
      </c>
      <c r="AF178" s="36">
        <v>40</v>
      </c>
      <c r="AG178" s="36"/>
      <c r="AH178" s="36"/>
      <c r="AI178" s="36" t="s">
        <v>200</v>
      </c>
      <c r="AJ178" s="36" t="s">
        <v>201</v>
      </c>
      <c r="AK178" s="36" t="s">
        <v>202</v>
      </c>
      <c r="AL178" s="36" t="s">
        <v>203</v>
      </c>
      <c r="AM178" s="36" t="s">
        <v>204</v>
      </c>
      <c r="AN178" s="36" t="s">
        <v>222</v>
      </c>
      <c r="AO178" s="36" t="s">
        <v>206</v>
      </c>
      <c r="AP178" s="36">
        <v>2</v>
      </c>
      <c r="AQ178" s="36"/>
      <c r="AR178" s="36"/>
      <c r="AS178" s="36"/>
      <c r="AT178" s="36" t="s">
        <v>223</v>
      </c>
      <c r="AU178" s="36" t="s">
        <v>234</v>
      </c>
      <c r="AV178" s="36" t="s">
        <v>209</v>
      </c>
      <c r="AW178" s="36" t="s">
        <v>209</v>
      </c>
      <c r="AX178" s="36" t="s">
        <v>210</v>
      </c>
      <c r="AY178" s="36">
        <v>0</v>
      </c>
      <c r="AZ178" s="36" t="s">
        <v>211</v>
      </c>
      <c r="BA178" s="36">
        <v>9044989536447</v>
      </c>
      <c r="BB178" s="36"/>
      <c r="BC178" s="36"/>
      <c r="BD178" s="36">
        <v>1</v>
      </c>
      <c r="BE178" s="36"/>
      <c r="BF178" s="36" t="s">
        <v>212</v>
      </c>
      <c r="BG178" s="36">
        <v>1333314600</v>
      </c>
      <c r="BH178" s="36" t="s">
        <v>213</v>
      </c>
      <c r="BI178" s="36">
        <v>40</v>
      </c>
      <c r="BJ178" s="36">
        <v>40</v>
      </c>
      <c r="BK178" s="36">
        <v>1300</v>
      </c>
      <c r="BL178" s="36" t="s">
        <v>214</v>
      </c>
      <c r="BM178" s="36"/>
      <c r="BN178" s="36"/>
    </row>
    <row r="179" spans="1:66" x14ac:dyDescent="0.35">
      <c r="A179" s="36"/>
      <c r="B179" s="36"/>
      <c r="C179" s="37" t="s">
        <v>8</v>
      </c>
      <c r="D179" s="37" t="s">
        <v>8</v>
      </c>
      <c r="E179" s="36"/>
      <c r="F179" s="36" t="s">
        <v>192</v>
      </c>
      <c r="G179" s="36" t="s">
        <v>1</v>
      </c>
      <c r="H179" s="36">
        <v>0</v>
      </c>
      <c r="I179" s="36" t="s">
        <v>193</v>
      </c>
      <c r="J179" s="36" t="s">
        <v>194</v>
      </c>
      <c r="K179" s="36" t="s">
        <v>195</v>
      </c>
      <c r="L179" s="36">
        <v>923</v>
      </c>
      <c r="M179" s="36"/>
      <c r="N179" s="36" t="s">
        <v>218</v>
      </c>
      <c r="O179" s="36" t="s">
        <v>219</v>
      </c>
      <c r="P179" s="36">
        <v>2</v>
      </c>
      <c r="Q179" s="36" t="s">
        <v>220</v>
      </c>
      <c r="R179" s="37">
        <v>244658</v>
      </c>
      <c r="S179" s="37" t="s">
        <v>8</v>
      </c>
      <c r="T179" s="36" t="s">
        <v>243</v>
      </c>
      <c r="U179" s="36">
        <v>23105754</v>
      </c>
      <c r="V179" s="36" t="s">
        <v>76</v>
      </c>
      <c r="W179" s="36">
        <v>20</v>
      </c>
      <c r="X179" s="36">
        <v>20</v>
      </c>
      <c r="Y179" s="36">
        <v>20</v>
      </c>
      <c r="Z179" s="36">
        <v>20</v>
      </c>
      <c r="AA179" s="36">
        <v>0</v>
      </c>
      <c r="AB179" s="36">
        <v>0</v>
      </c>
      <c r="AC179" s="36">
        <v>0</v>
      </c>
      <c r="AD179" s="36">
        <v>0</v>
      </c>
      <c r="AE179" s="36">
        <v>20</v>
      </c>
      <c r="AF179" s="36">
        <v>20</v>
      </c>
      <c r="AG179" s="36"/>
      <c r="AH179" s="36"/>
      <c r="AI179" s="36" t="s">
        <v>200</v>
      </c>
      <c r="AJ179" s="36" t="s">
        <v>201</v>
      </c>
      <c r="AK179" s="36" t="s">
        <v>202</v>
      </c>
      <c r="AL179" s="36" t="s">
        <v>203</v>
      </c>
      <c r="AM179" s="36" t="s">
        <v>204</v>
      </c>
      <c r="AN179" s="36" t="s">
        <v>222</v>
      </c>
      <c r="AO179" s="36" t="s">
        <v>206</v>
      </c>
      <c r="AP179" s="36">
        <v>2</v>
      </c>
      <c r="AQ179" s="36"/>
      <c r="AR179" s="36"/>
      <c r="AS179" s="36"/>
      <c r="AT179" s="36" t="s">
        <v>223</v>
      </c>
      <c r="AU179" s="36" t="s">
        <v>234</v>
      </c>
      <c r="AV179" s="36" t="s">
        <v>209</v>
      </c>
      <c r="AW179" s="36" t="s">
        <v>209</v>
      </c>
      <c r="AX179" s="36" t="s">
        <v>210</v>
      </c>
      <c r="AY179" s="36">
        <v>0</v>
      </c>
      <c r="AZ179" s="36" t="s">
        <v>211</v>
      </c>
      <c r="BA179" s="36">
        <v>9044989536447</v>
      </c>
      <c r="BB179" s="36"/>
      <c r="BC179" s="36"/>
      <c r="BD179" s="36">
        <v>1</v>
      </c>
      <c r="BE179" s="36"/>
      <c r="BF179" s="36" t="s">
        <v>212</v>
      </c>
      <c r="BG179" s="36">
        <v>1333314600</v>
      </c>
      <c r="BH179" s="36" t="s">
        <v>213</v>
      </c>
      <c r="BI179" s="36">
        <v>20</v>
      </c>
      <c r="BJ179" s="36">
        <v>20</v>
      </c>
      <c r="BK179" s="36">
        <v>1300</v>
      </c>
      <c r="BL179" s="36" t="s">
        <v>214</v>
      </c>
      <c r="BM179" s="36"/>
      <c r="BN179" s="36"/>
    </row>
    <row r="180" spans="1:66" x14ac:dyDescent="0.35">
      <c r="A180" s="36"/>
      <c r="B180" s="36"/>
      <c r="C180" s="37" t="s">
        <v>8</v>
      </c>
      <c r="D180" s="37" t="s">
        <v>8</v>
      </c>
      <c r="E180" s="36"/>
      <c r="F180" s="36" t="s">
        <v>192</v>
      </c>
      <c r="G180" s="36" t="s">
        <v>1</v>
      </c>
      <c r="H180" s="36">
        <v>0</v>
      </c>
      <c r="I180" s="36" t="s">
        <v>193</v>
      </c>
      <c r="J180" s="36" t="s">
        <v>194</v>
      </c>
      <c r="K180" s="36" t="s">
        <v>195</v>
      </c>
      <c r="L180" s="36">
        <v>923</v>
      </c>
      <c r="M180" s="36"/>
      <c r="N180" s="36" t="s">
        <v>218</v>
      </c>
      <c r="O180" s="36" t="s">
        <v>219</v>
      </c>
      <c r="P180" s="36">
        <v>2</v>
      </c>
      <c r="Q180" s="36" t="s">
        <v>220</v>
      </c>
      <c r="R180" s="37">
        <v>244658</v>
      </c>
      <c r="S180" s="37" t="s">
        <v>8</v>
      </c>
      <c r="T180" s="36" t="s">
        <v>243</v>
      </c>
      <c r="U180" s="36">
        <v>23062107</v>
      </c>
      <c r="V180" s="36" t="s">
        <v>108</v>
      </c>
      <c r="W180" s="36">
        <v>30</v>
      </c>
      <c r="X180" s="36">
        <v>30</v>
      </c>
      <c r="Y180" s="36">
        <v>30</v>
      </c>
      <c r="Z180" s="36">
        <v>30</v>
      </c>
      <c r="AA180" s="36">
        <v>0</v>
      </c>
      <c r="AB180" s="36">
        <v>0</v>
      </c>
      <c r="AC180" s="36">
        <v>0</v>
      </c>
      <c r="AD180" s="36">
        <v>0</v>
      </c>
      <c r="AE180" s="36">
        <v>30</v>
      </c>
      <c r="AF180" s="36">
        <v>30</v>
      </c>
      <c r="AG180" s="36"/>
      <c r="AH180" s="36"/>
      <c r="AI180" s="36" t="s">
        <v>200</v>
      </c>
      <c r="AJ180" s="36" t="s">
        <v>201</v>
      </c>
      <c r="AK180" s="36" t="s">
        <v>215</v>
      </c>
      <c r="AL180" s="36" t="s">
        <v>203</v>
      </c>
      <c r="AM180" s="36" t="s">
        <v>204</v>
      </c>
      <c r="AN180" s="36" t="s">
        <v>222</v>
      </c>
      <c r="AO180" s="36" t="s">
        <v>206</v>
      </c>
      <c r="AP180" s="36">
        <v>2</v>
      </c>
      <c r="AQ180" s="36"/>
      <c r="AR180" s="36"/>
      <c r="AS180" s="36"/>
      <c r="AT180" s="36" t="s">
        <v>223</v>
      </c>
      <c r="AU180" s="36" t="s">
        <v>234</v>
      </c>
      <c r="AV180" s="36" t="s">
        <v>209</v>
      </c>
      <c r="AW180" s="36" t="s">
        <v>209</v>
      </c>
      <c r="AX180" s="36" t="s">
        <v>210</v>
      </c>
      <c r="AY180" s="36">
        <v>0</v>
      </c>
      <c r="AZ180" s="36" t="s">
        <v>211</v>
      </c>
      <c r="BA180" s="36">
        <v>9044989536447</v>
      </c>
      <c r="BB180" s="36"/>
      <c r="BC180" s="36"/>
      <c r="BD180" s="36">
        <v>1</v>
      </c>
      <c r="BE180" s="36"/>
      <c r="BF180" s="36" t="s">
        <v>212</v>
      </c>
      <c r="BG180" s="36">
        <v>1333314600</v>
      </c>
      <c r="BH180" s="36" t="s">
        <v>213</v>
      </c>
      <c r="BI180" s="36">
        <v>30</v>
      </c>
      <c r="BJ180" s="36">
        <v>30</v>
      </c>
      <c r="BK180" s="36">
        <v>1300</v>
      </c>
      <c r="BL180" s="36" t="s">
        <v>214</v>
      </c>
      <c r="BM180" s="36"/>
      <c r="BN180" s="36"/>
    </row>
    <row r="181" spans="1:66" x14ac:dyDescent="0.35">
      <c r="A181" s="36"/>
      <c r="B181" s="36"/>
      <c r="C181" s="37" t="s">
        <v>8</v>
      </c>
      <c r="D181" s="37" t="s">
        <v>8</v>
      </c>
      <c r="E181" s="36"/>
      <c r="F181" s="36" t="s">
        <v>192</v>
      </c>
      <c r="G181" s="36" t="s">
        <v>1</v>
      </c>
      <c r="H181" s="36">
        <v>0</v>
      </c>
      <c r="I181" s="36" t="s">
        <v>193</v>
      </c>
      <c r="J181" s="36" t="s">
        <v>194</v>
      </c>
      <c r="K181" s="36" t="s">
        <v>195</v>
      </c>
      <c r="L181" s="36">
        <v>923</v>
      </c>
      <c r="M181" s="36"/>
      <c r="N181" s="36" t="s">
        <v>218</v>
      </c>
      <c r="O181" s="36" t="s">
        <v>219</v>
      </c>
      <c r="P181" s="36">
        <v>2</v>
      </c>
      <c r="Q181" s="36" t="s">
        <v>220</v>
      </c>
      <c r="R181" s="37">
        <v>244658</v>
      </c>
      <c r="S181" s="37" t="s">
        <v>8</v>
      </c>
      <c r="T181" s="36" t="s">
        <v>243</v>
      </c>
      <c r="U181" s="36">
        <v>23074625</v>
      </c>
      <c r="V181" s="36" t="s">
        <v>130</v>
      </c>
      <c r="W181" s="36">
        <v>40</v>
      </c>
      <c r="X181" s="36">
        <v>40</v>
      </c>
      <c r="Y181" s="36">
        <v>40</v>
      </c>
      <c r="Z181" s="36">
        <v>40</v>
      </c>
      <c r="AA181" s="36">
        <v>0</v>
      </c>
      <c r="AB181" s="36">
        <v>0</v>
      </c>
      <c r="AC181" s="36">
        <v>0</v>
      </c>
      <c r="AD181" s="36">
        <v>0</v>
      </c>
      <c r="AE181" s="36">
        <v>40</v>
      </c>
      <c r="AF181" s="36">
        <v>40</v>
      </c>
      <c r="AG181" s="36"/>
      <c r="AH181" s="36"/>
      <c r="AI181" s="36" t="s">
        <v>200</v>
      </c>
      <c r="AJ181" s="36" t="s">
        <v>201</v>
      </c>
      <c r="AK181" s="36" t="s">
        <v>202</v>
      </c>
      <c r="AL181" s="36" t="s">
        <v>203</v>
      </c>
      <c r="AM181" s="36" t="s">
        <v>204</v>
      </c>
      <c r="AN181" s="36" t="s">
        <v>222</v>
      </c>
      <c r="AO181" s="36" t="s">
        <v>206</v>
      </c>
      <c r="AP181" s="36">
        <v>2</v>
      </c>
      <c r="AQ181" s="36"/>
      <c r="AR181" s="36"/>
      <c r="AS181" s="36"/>
      <c r="AT181" s="36" t="s">
        <v>223</v>
      </c>
      <c r="AU181" s="36" t="s">
        <v>234</v>
      </c>
      <c r="AV181" s="36" t="s">
        <v>209</v>
      </c>
      <c r="AW181" s="36" t="s">
        <v>209</v>
      </c>
      <c r="AX181" s="36" t="s">
        <v>210</v>
      </c>
      <c r="AY181" s="36">
        <v>0</v>
      </c>
      <c r="AZ181" s="36" t="s">
        <v>211</v>
      </c>
      <c r="BA181" s="36">
        <v>9044989536447</v>
      </c>
      <c r="BB181" s="36"/>
      <c r="BC181" s="36"/>
      <c r="BD181" s="36">
        <v>1</v>
      </c>
      <c r="BE181" s="36"/>
      <c r="BF181" s="36" t="s">
        <v>212</v>
      </c>
      <c r="BG181" s="36">
        <v>1333314600</v>
      </c>
      <c r="BH181" s="36" t="s">
        <v>213</v>
      </c>
      <c r="BI181" s="36">
        <v>40</v>
      </c>
      <c r="BJ181" s="36">
        <v>40</v>
      </c>
      <c r="BK181" s="36">
        <v>1300</v>
      </c>
      <c r="BL181" s="36" t="s">
        <v>214</v>
      </c>
      <c r="BM181" s="36"/>
      <c r="BN181" s="36"/>
    </row>
    <row r="182" spans="1:66" x14ac:dyDescent="0.35">
      <c r="A182" s="36"/>
      <c r="B182" s="36"/>
      <c r="C182" s="37" t="s">
        <v>8</v>
      </c>
      <c r="D182" s="37" t="s">
        <v>8</v>
      </c>
      <c r="E182" s="36"/>
      <c r="F182" s="36" t="s">
        <v>192</v>
      </c>
      <c r="G182" s="36" t="s">
        <v>1</v>
      </c>
      <c r="H182" s="36">
        <v>0</v>
      </c>
      <c r="I182" s="36" t="s">
        <v>193</v>
      </c>
      <c r="J182" s="36" t="s">
        <v>194</v>
      </c>
      <c r="K182" s="36" t="s">
        <v>195</v>
      </c>
      <c r="L182" s="36">
        <v>923</v>
      </c>
      <c r="M182" s="36"/>
      <c r="N182" s="36" t="s">
        <v>218</v>
      </c>
      <c r="O182" s="36" t="s">
        <v>219</v>
      </c>
      <c r="P182" s="36">
        <v>2</v>
      </c>
      <c r="Q182" s="36" t="s">
        <v>220</v>
      </c>
      <c r="R182" s="37">
        <v>244658</v>
      </c>
      <c r="S182" s="37" t="s">
        <v>8</v>
      </c>
      <c r="T182" s="36" t="s">
        <v>243</v>
      </c>
      <c r="U182" s="36">
        <v>23074626</v>
      </c>
      <c r="V182" s="36" t="s">
        <v>131</v>
      </c>
      <c r="W182" s="36">
        <v>20</v>
      </c>
      <c r="X182" s="36">
        <v>20</v>
      </c>
      <c r="Y182" s="36">
        <v>20</v>
      </c>
      <c r="Z182" s="36">
        <v>20</v>
      </c>
      <c r="AA182" s="36">
        <v>0</v>
      </c>
      <c r="AB182" s="36">
        <v>0</v>
      </c>
      <c r="AC182" s="36">
        <v>0</v>
      </c>
      <c r="AD182" s="36">
        <v>0</v>
      </c>
      <c r="AE182" s="36">
        <v>20</v>
      </c>
      <c r="AF182" s="36">
        <v>20</v>
      </c>
      <c r="AG182" s="36"/>
      <c r="AH182" s="36"/>
      <c r="AI182" s="36" t="s">
        <v>200</v>
      </c>
      <c r="AJ182" s="36" t="s">
        <v>201</v>
      </c>
      <c r="AK182" s="36" t="s">
        <v>202</v>
      </c>
      <c r="AL182" s="36" t="s">
        <v>203</v>
      </c>
      <c r="AM182" s="36" t="s">
        <v>204</v>
      </c>
      <c r="AN182" s="36" t="s">
        <v>222</v>
      </c>
      <c r="AO182" s="36" t="s">
        <v>206</v>
      </c>
      <c r="AP182" s="36">
        <v>2</v>
      </c>
      <c r="AQ182" s="36"/>
      <c r="AR182" s="36"/>
      <c r="AS182" s="36"/>
      <c r="AT182" s="36" t="s">
        <v>223</v>
      </c>
      <c r="AU182" s="36" t="s">
        <v>234</v>
      </c>
      <c r="AV182" s="36" t="s">
        <v>209</v>
      </c>
      <c r="AW182" s="36" t="s">
        <v>209</v>
      </c>
      <c r="AX182" s="36" t="s">
        <v>210</v>
      </c>
      <c r="AY182" s="36">
        <v>0</v>
      </c>
      <c r="AZ182" s="36" t="s">
        <v>211</v>
      </c>
      <c r="BA182" s="36">
        <v>9044989536447</v>
      </c>
      <c r="BB182" s="36"/>
      <c r="BC182" s="36"/>
      <c r="BD182" s="36">
        <v>1</v>
      </c>
      <c r="BE182" s="36"/>
      <c r="BF182" s="36" t="s">
        <v>212</v>
      </c>
      <c r="BG182" s="36">
        <v>1333314600</v>
      </c>
      <c r="BH182" s="36" t="s">
        <v>213</v>
      </c>
      <c r="BI182" s="36">
        <v>20</v>
      </c>
      <c r="BJ182" s="36">
        <v>20</v>
      </c>
      <c r="BK182" s="36">
        <v>1300</v>
      </c>
      <c r="BL182" s="36" t="s">
        <v>214</v>
      </c>
      <c r="BM182" s="36"/>
      <c r="BN182" s="36"/>
    </row>
    <row r="183" spans="1:66" x14ac:dyDescent="0.35">
      <c r="A183" s="36"/>
      <c r="B183" s="36"/>
      <c r="C183" s="37" t="s">
        <v>8</v>
      </c>
      <c r="D183" s="37" t="s">
        <v>8</v>
      </c>
      <c r="E183" s="36"/>
      <c r="F183" s="36" t="s">
        <v>192</v>
      </c>
      <c r="G183" s="36" t="s">
        <v>1</v>
      </c>
      <c r="H183" s="36">
        <v>0</v>
      </c>
      <c r="I183" s="36" t="s">
        <v>193</v>
      </c>
      <c r="J183" s="36" t="s">
        <v>194</v>
      </c>
      <c r="K183" s="36" t="s">
        <v>195</v>
      </c>
      <c r="L183" s="36">
        <v>923</v>
      </c>
      <c r="M183" s="36"/>
      <c r="N183" s="36" t="s">
        <v>218</v>
      </c>
      <c r="O183" s="36" t="s">
        <v>219</v>
      </c>
      <c r="P183" s="36">
        <v>2</v>
      </c>
      <c r="Q183" s="36" t="s">
        <v>220</v>
      </c>
      <c r="R183" s="37">
        <v>244658</v>
      </c>
      <c r="S183" s="37" t="s">
        <v>8</v>
      </c>
      <c r="T183" s="36" t="s">
        <v>243</v>
      </c>
      <c r="U183" s="36">
        <v>23074627</v>
      </c>
      <c r="V183" s="36" t="s">
        <v>132</v>
      </c>
      <c r="W183" s="36">
        <v>40</v>
      </c>
      <c r="X183" s="36">
        <v>40</v>
      </c>
      <c r="Y183" s="36">
        <v>40</v>
      </c>
      <c r="Z183" s="36">
        <v>40</v>
      </c>
      <c r="AA183" s="36">
        <v>0</v>
      </c>
      <c r="AB183" s="36">
        <v>0</v>
      </c>
      <c r="AC183" s="36">
        <v>0</v>
      </c>
      <c r="AD183" s="36">
        <v>0</v>
      </c>
      <c r="AE183" s="36">
        <v>40</v>
      </c>
      <c r="AF183" s="36">
        <v>40</v>
      </c>
      <c r="AG183" s="36"/>
      <c r="AH183" s="36"/>
      <c r="AI183" s="36" t="s">
        <v>200</v>
      </c>
      <c r="AJ183" s="36" t="s">
        <v>201</v>
      </c>
      <c r="AK183" s="36" t="s">
        <v>202</v>
      </c>
      <c r="AL183" s="36" t="s">
        <v>203</v>
      </c>
      <c r="AM183" s="36" t="s">
        <v>204</v>
      </c>
      <c r="AN183" s="36" t="s">
        <v>222</v>
      </c>
      <c r="AO183" s="36" t="s">
        <v>206</v>
      </c>
      <c r="AP183" s="36">
        <v>2</v>
      </c>
      <c r="AQ183" s="36"/>
      <c r="AR183" s="36"/>
      <c r="AS183" s="36"/>
      <c r="AT183" s="36" t="s">
        <v>223</v>
      </c>
      <c r="AU183" s="36" t="s">
        <v>234</v>
      </c>
      <c r="AV183" s="36" t="s">
        <v>209</v>
      </c>
      <c r="AW183" s="36" t="s">
        <v>209</v>
      </c>
      <c r="AX183" s="36" t="s">
        <v>210</v>
      </c>
      <c r="AY183" s="36">
        <v>0</v>
      </c>
      <c r="AZ183" s="36" t="s">
        <v>211</v>
      </c>
      <c r="BA183" s="36">
        <v>9044989536447</v>
      </c>
      <c r="BB183" s="36"/>
      <c r="BC183" s="36"/>
      <c r="BD183" s="36">
        <v>1</v>
      </c>
      <c r="BE183" s="36"/>
      <c r="BF183" s="36" t="s">
        <v>212</v>
      </c>
      <c r="BG183" s="36">
        <v>1333314600</v>
      </c>
      <c r="BH183" s="36" t="s">
        <v>213</v>
      </c>
      <c r="BI183" s="36">
        <v>40</v>
      </c>
      <c r="BJ183" s="36">
        <v>40</v>
      </c>
      <c r="BK183" s="36">
        <v>1300</v>
      </c>
      <c r="BL183" s="36" t="s">
        <v>214</v>
      </c>
      <c r="BM183" s="36"/>
      <c r="BN183" s="36"/>
    </row>
    <row r="184" spans="1:66" x14ac:dyDescent="0.35">
      <c r="A184" s="36"/>
      <c r="B184" s="36"/>
      <c r="C184" s="37" t="s">
        <v>8</v>
      </c>
      <c r="D184" s="37" t="s">
        <v>8</v>
      </c>
      <c r="E184" s="36"/>
      <c r="F184" s="36" t="s">
        <v>192</v>
      </c>
      <c r="G184" s="36" t="s">
        <v>1</v>
      </c>
      <c r="H184" s="36">
        <v>0</v>
      </c>
      <c r="I184" s="36" t="s">
        <v>193</v>
      </c>
      <c r="J184" s="36" t="s">
        <v>194</v>
      </c>
      <c r="K184" s="36" t="s">
        <v>195</v>
      </c>
      <c r="L184" s="36">
        <v>923</v>
      </c>
      <c r="M184" s="36"/>
      <c r="N184" s="36" t="s">
        <v>218</v>
      </c>
      <c r="O184" s="36" t="s">
        <v>219</v>
      </c>
      <c r="P184" s="36">
        <v>2</v>
      </c>
      <c r="Q184" s="36" t="s">
        <v>220</v>
      </c>
      <c r="R184" s="37">
        <v>244658</v>
      </c>
      <c r="S184" s="37" t="s">
        <v>8</v>
      </c>
      <c r="T184" s="36" t="s">
        <v>243</v>
      </c>
      <c r="U184" s="36">
        <v>23105751</v>
      </c>
      <c r="V184" s="36" t="s">
        <v>73</v>
      </c>
      <c r="W184" s="36">
        <v>5</v>
      </c>
      <c r="X184" s="36">
        <v>5</v>
      </c>
      <c r="Y184" s="36">
        <v>5</v>
      </c>
      <c r="Z184" s="36">
        <v>5</v>
      </c>
      <c r="AA184" s="36">
        <v>0</v>
      </c>
      <c r="AB184" s="36">
        <v>0</v>
      </c>
      <c r="AC184" s="36">
        <v>0</v>
      </c>
      <c r="AD184" s="36">
        <v>0</v>
      </c>
      <c r="AE184" s="36">
        <v>5</v>
      </c>
      <c r="AF184" s="36">
        <v>5</v>
      </c>
      <c r="AG184" s="36"/>
      <c r="AH184" s="36"/>
      <c r="AI184" s="36" t="s">
        <v>200</v>
      </c>
      <c r="AJ184" s="36" t="s">
        <v>201</v>
      </c>
      <c r="AK184" s="36" t="s">
        <v>202</v>
      </c>
      <c r="AL184" s="36" t="s">
        <v>203</v>
      </c>
      <c r="AM184" s="36" t="s">
        <v>204</v>
      </c>
      <c r="AN184" s="36" t="s">
        <v>222</v>
      </c>
      <c r="AO184" s="36" t="s">
        <v>206</v>
      </c>
      <c r="AP184" s="36">
        <v>2</v>
      </c>
      <c r="AQ184" s="36"/>
      <c r="AR184" s="36"/>
      <c r="AS184" s="36"/>
      <c r="AT184" s="36" t="s">
        <v>223</v>
      </c>
      <c r="AU184" s="36" t="s">
        <v>234</v>
      </c>
      <c r="AV184" s="36" t="s">
        <v>209</v>
      </c>
      <c r="AW184" s="36" t="s">
        <v>209</v>
      </c>
      <c r="AX184" s="36" t="s">
        <v>210</v>
      </c>
      <c r="AY184" s="36">
        <v>0</v>
      </c>
      <c r="AZ184" s="36" t="s">
        <v>211</v>
      </c>
      <c r="BA184" s="36">
        <v>9044989536447</v>
      </c>
      <c r="BB184" s="36"/>
      <c r="BC184" s="36"/>
      <c r="BD184" s="36">
        <v>1</v>
      </c>
      <c r="BE184" s="36"/>
      <c r="BF184" s="36" t="s">
        <v>212</v>
      </c>
      <c r="BG184" s="36">
        <v>1333314600</v>
      </c>
      <c r="BH184" s="36" t="s">
        <v>213</v>
      </c>
      <c r="BI184" s="36">
        <v>5</v>
      </c>
      <c r="BJ184" s="36">
        <v>5</v>
      </c>
      <c r="BK184" s="36">
        <v>1300</v>
      </c>
      <c r="BL184" s="36" t="s">
        <v>214</v>
      </c>
      <c r="BM184" s="36"/>
      <c r="BN184" s="36"/>
    </row>
    <row r="185" spans="1:66" x14ac:dyDescent="0.35">
      <c r="A185" s="36"/>
      <c r="B185" s="36"/>
      <c r="C185" s="37" t="s">
        <v>8</v>
      </c>
      <c r="D185" s="37" t="s">
        <v>8</v>
      </c>
      <c r="E185" s="36"/>
      <c r="F185" s="36" t="s">
        <v>192</v>
      </c>
      <c r="G185" s="36" t="s">
        <v>1</v>
      </c>
      <c r="H185" s="36">
        <v>0</v>
      </c>
      <c r="I185" s="36" t="s">
        <v>193</v>
      </c>
      <c r="J185" s="36" t="s">
        <v>194</v>
      </c>
      <c r="K185" s="36" t="s">
        <v>195</v>
      </c>
      <c r="L185" s="36">
        <v>923</v>
      </c>
      <c r="M185" s="36"/>
      <c r="N185" s="36" t="s">
        <v>226</v>
      </c>
      <c r="O185" s="36" t="s">
        <v>227</v>
      </c>
      <c r="P185" s="36">
        <v>2</v>
      </c>
      <c r="Q185" s="36" t="s">
        <v>228</v>
      </c>
      <c r="R185" s="37">
        <v>244658</v>
      </c>
      <c r="S185" s="37" t="s">
        <v>8</v>
      </c>
      <c r="T185" s="36" t="s">
        <v>244</v>
      </c>
      <c r="U185" s="36">
        <v>23062105</v>
      </c>
      <c r="V185" s="36" t="s">
        <v>37</v>
      </c>
      <c r="W185" s="36">
        <v>5</v>
      </c>
      <c r="X185" s="36">
        <v>5</v>
      </c>
      <c r="Y185" s="36">
        <v>5</v>
      </c>
      <c r="Z185" s="36">
        <v>5</v>
      </c>
      <c r="AA185" s="36">
        <v>0</v>
      </c>
      <c r="AB185" s="36">
        <v>0</v>
      </c>
      <c r="AC185" s="36">
        <v>0</v>
      </c>
      <c r="AD185" s="36">
        <v>0</v>
      </c>
      <c r="AE185" s="36">
        <v>5</v>
      </c>
      <c r="AF185" s="36">
        <v>5</v>
      </c>
      <c r="AG185" s="36"/>
      <c r="AH185" s="36"/>
      <c r="AI185" s="36" t="s">
        <v>200</v>
      </c>
      <c r="AJ185" s="36" t="s">
        <v>201</v>
      </c>
      <c r="AK185" s="36" t="s">
        <v>215</v>
      </c>
      <c r="AL185" s="36" t="s">
        <v>203</v>
      </c>
      <c r="AM185" s="36" t="s">
        <v>204</v>
      </c>
      <c r="AN185" s="36" t="s">
        <v>222</v>
      </c>
      <c r="AO185" s="36" t="s">
        <v>206</v>
      </c>
      <c r="AP185" s="36">
        <v>2</v>
      </c>
      <c r="AQ185" s="36"/>
      <c r="AR185" s="36"/>
      <c r="AS185" s="36"/>
      <c r="AT185" s="36" t="s">
        <v>207</v>
      </c>
      <c r="AU185" s="36" t="s">
        <v>234</v>
      </c>
      <c r="AV185" s="36" t="s">
        <v>209</v>
      </c>
      <c r="AW185" s="36" t="s">
        <v>209</v>
      </c>
      <c r="AX185" s="36" t="s">
        <v>210</v>
      </c>
      <c r="AY185" s="36">
        <v>0</v>
      </c>
      <c r="AZ185" s="36" t="s">
        <v>211</v>
      </c>
      <c r="BA185" s="36">
        <v>9044989536467</v>
      </c>
      <c r="BB185" s="36"/>
      <c r="BC185" s="36"/>
      <c r="BD185" s="36">
        <v>1</v>
      </c>
      <c r="BE185" s="36"/>
      <c r="BF185" s="36" t="s">
        <v>212</v>
      </c>
      <c r="BG185" s="36">
        <v>1333314600</v>
      </c>
      <c r="BH185" s="36" t="s">
        <v>213</v>
      </c>
      <c r="BI185" s="36">
        <v>5</v>
      </c>
      <c r="BJ185" s="36">
        <v>5</v>
      </c>
      <c r="BK185" s="36">
        <v>1300</v>
      </c>
      <c r="BL185" s="36" t="s">
        <v>214</v>
      </c>
      <c r="BM185" s="36"/>
      <c r="BN185" s="36"/>
    </row>
    <row r="186" spans="1:66" x14ac:dyDescent="0.35">
      <c r="A186" s="36"/>
      <c r="B186" s="36"/>
      <c r="C186" s="37" t="s">
        <v>8</v>
      </c>
      <c r="D186" s="37" t="s">
        <v>8</v>
      </c>
      <c r="E186" s="36"/>
      <c r="F186" s="36" t="s">
        <v>192</v>
      </c>
      <c r="G186" s="36" t="s">
        <v>1</v>
      </c>
      <c r="H186" s="36">
        <v>0</v>
      </c>
      <c r="I186" s="36" t="s">
        <v>193</v>
      </c>
      <c r="J186" s="36" t="s">
        <v>194</v>
      </c>
      <c r="K186" s="36" t="s">
        <v>195</v>
      </c>
      <c r="L186" s="36">
        <v>923</v>
      </c>
      <c r="M186" s="36"/>
      <c r="N186" s="36" t="s">
        <v>226</v>
      </c>
      <c r="O186" s="36" t="s">
        <v>227</v>
      </c>
      <c r="P186" s="36">
        <v>2</v>
      </c>
      <c r="Q186" s="36" t="s">
        <v>228</v>
      </c>
      <c r="R186" s="37">
        <v>244658</v>
      </c>
      <c r="S186" s="37" t="s">
        <v>8</v>
      </c>
      <c r="T186" s="36" t="s">
        <v>244</v>
      </c>
      <c r="U186" s="36">
        <v>23058553</v>
      </c>
      <c r="V186" s="36" t="s">
        <v>27</v>
      </c>
      <c r="W186" s="36">
        <v>300</v>
      </c>
      <c r="X186" s="36">
        <v>300</v>
      </c>
      <c r="Y186" s="36">
        <v>300</v>
      </c>
      <c r="Z186" s="36">
        <v>300</v>
      </c>
      <c r="AA186" s="36">
        <v>0</v>
      </c>
      <c r="AB186" s="36">
        <v>0</v>
      </c>
      <c r="AC186" s="36">
        <v>0</v>
      </c>
      <c r="AD186" s="36">
        <v>0</v>
      </c>
      <c r="AE186" s="36">
        <v>300</v>
      </c>
      <c r="AF186" s="36">
        <v>300</v>
      </c>
      <c r="AG186" s="36"/>
      <c r="AH186" s="36"/>
      <c r="AI186" s="36" t="s">
        <v>200</v>
      </c>
      <c r="AJ186" s="36" t="s">
        <v>201</v>
      </c>
      <c r="AK186" s="36" t="s">
        <v>215</v>
      </c>
      <c r="AL186" s="36" t="s">
        <v>203</v>
      </c>
      <c r="AM186" s="36" t="s">
        <v>204</v>
      </c>
      <c r="AN186" s="36" t="s">
        <v>222</v>
      </c>
      <c r="AO186" s="36" t="s">
        <v>206</v>
      </c>
      <c r="AP186" s="36">
        <v>2</v>
      </c>
      <c r="AQ186" s="36"/>
      <c r="AR186" s="36"/>
      <c r="AS186" s="36"/>
      <c r="AT186" s="36" t="s">
        <v>207</v>
      </c>
      <c r="AU186" s="36" t="s">
        <v>234</v>
      </c>
      <c r="AV186" s="36" t="s">
        <v>209</v>
      </c>
      <c r="AW186" s="36" t="s">
        <v>209</v>
      </c>
      <c r="AX186" s="36" t="s">
        <v>210</v>
      </c>
      <c r="AY186" s="36">
        <v>0</v>
      </c>
      <c r="AZ186" s="36" t="s">
        <v>211</v>
      </c>
      <c r="BA186" s="36">
        <v>9044989536467</v>
      </c>
      <c r="BB186" s="36"/>
      <c r="BC186" s="36"/>
      <c r="BD186" s="36">
        <v>1</v>
      </c>
      <c r="BE186" s="36"/>
      <c r="BF186" s="36" t="s">
        <v>212</v>
      </c>
      <c r="BG186" s="36">
        <v>1333314600</v>
      </c>
      <c r="BH186" s="36" t="s">
        <v>213</v>
      </c>
      <c r="BI186" s="36">
        <v>300</v>
      </c>
      <c r="BJ186" s="36">
        <v>300</v>
      </c>
      <c r="BK186" s="36">
        <v>1300</v>
      </c>
      <c r="BL186" s="36" t="s">
        <v>214</v>
      </c>
      <c r="BM186" s="36"/>
      <c r="BN186" s="36"/>
    </row>
    <row r="187" spans="1:66" x14ac:dyDescent="0.35">
      <c r="A187" s="36"/>
      <c r="B187" s="36"/>
      <c r="C187" s="37" t="s">
        <v>8</v>
      </c>
      <c r="D187" s="37" t="s">
        <v>8</v>
      </c>
      <c r="E187" s="36"/>
      <c r="F187" s="36" t="s">
        <v>192</v>
      </c>
      <c r="G187" s="36" t="s">
        <v>1</v>
      </c>
      <c r="H187" s="36">
        <v>0</v>
      </c>
      <c r="I187" s="36" t="s">
        <v>193</v>
      </c>
      <c r="J187" s="36" t="s">
        <v>194</v>
      </c>
      <c r="K187" s="36" t="s">
        <v>195</v>
      </c>
      <c r="L187" s="36">
        <v>923</v>
      </c>
      <c r="M187" s="36"/>
      <c r="N187" s="36" t="s">
        <v>226</v>
      </c>
      <c r="O187" s="36" t="s">
        <v>227</v>
      </c>
      <c r="P187" s="36">
        <v>2</v>
      </c>
      <c r="Q187" s="36" t="s">
        <v>228</v>
      </c>
      <c r="R187" s="37">
        <v>244658</v>
      </c>
      <c r="S187" s="37" t="s">
        <v>8</v>
      </c>
      <c r="T187" s="36" t="s">
        <v>244</v>
      </c>
      <c r="U187" s="36">
        <v>23058585</v>
      </c>
      <c r="V187" s="36" t="s">
        <v>30</v>
      </c>
      <c r="W187" s="36">
        <v>5</v>
      </c>
      <c r="X187" s="36">
        <v>5</v>
      </c>
      <c r="Y187" s="36">
        <v>5</v>
      </c>
      <c r="Z187" s="36">
        <v>5</v>
      </c>
      <c r="AA187" s="36">
        <v>0</v>
      </c>
      <c r="AB187" s="36">
        <v>0</v>
      </c>
      <c r="AC187" s="36">
        <v>0</v>
      </c>
      <c r="AD187" s="36">
        <v>0</v>
      </c>
      <c r="AE187" s="36">
        <v>5</v>
      </c>
      <c r="AF187" s="36">
        <v>5</v>
      </c>
      <c r="AG187" s="36"/>
      <c r="AH187" s="36"/>
      <c r="AI187" s="36" t="s">
        <v>200</v>
      </c>
      <c r="AJ187" s="36" t="s">
        <v>201</v>
      </c>
      <c r="AK187" s="36" t="s">
        <v>215</v>
      </c>
      <c r="AL187" s="36" t="s">
        <v>203</v>
      </c>
      <c r="AM187" s="36" t="s">
        <v>204</v>
      </c>
      <c r="AN187" s="36" t="s">
        <v>222</v>
      </c>
      <c r="AO187" s="36" t="s">
        <v>206</v>
      </c>
      <c r="AP187" s="36">
        <v>2</v>
      </c>
      <c r="AQ187" s="36"/>
      <c r="AR187" s="36"/>
      <c r="AS187" s="36"/>
      <c r="AT187" s="36" t="s">
        <v>207</v>
      </c>
      <c r="AU187" s="36" t="s">
        <v>234</v>
      </c>
      <c r="AV187" s="36" t="s">
        <v>209</v>
      </c>
      <c r="AW187" s="36" t="s">
        <v>209</v>
      </c>
      <c r="AX187" s="36" t="s">
        <v>210</v>
      </c>
      <c r="AY187" s="36">
        <v>0</v>
      </c>
      <c r="AZ187" s="36" t="s">
        <v>211</v>
      </c>
      <c r="BA187" s="36">
        <v>9044989536467</v>
      </c>
      <c r="BB187" s="36"/>
      <c r="BC187" s="36"/>
      <c r="BD187" s="36">
        <v>1</v>
      </c>
      <c r="BE187" s="36"/>
      <c r="BF187" s="36" t="s">
        <v>212</v>
      </c>
      <c r="BG187" s="36">
        <v>1333314600</v>
      </c>
      <c r="BH187" s="36" t="s">
        <v>213</v>
      </c>
      <c r="BI187" s="36">
        <v>5</v>
      </c>
      <c r="BJ187" s="36">
        <v>5</v>
      </c>
      <c r="BK187" s="36">
        <v>1300</v>
      </c>
      <c r="BL187" s="36" t="s">
        <v>214</v>
      </c>
      <c r="BM187" s="36"/>
      <c r="BN187" s="36"/>
    </row>
    <row r="188" spans="1:66" x14ac:dyDescent="0.35">
      <c r="A188" s="36"/>
      <c r="B188" s="36"/>
      <c r="C188" s="37" t="s">
        <v>8</v>
      </c>
      <c r="D188" s="37" t="s">
        <v>8</v>
      </c>
      <c r="E188" s="36"/>
      <c r="F188" s="36" t="s">
        <v>192</v>
      </c>
      <c r="G188" s="36" t="s">
        <v>1</v>
      </c>
      <c r="H188" s="36">
        <v>0</v>
      </c>
      <c r="I188" s="36" t="s">
        <v>193</v>
      </c>
      <c r="J188" s="36" t="s">
        <v>194</v>
      </c>
      <c r="K188" s="36" t="s">
        <v>195</v>
      </c>
      <c r="L188" s="36">
        <v>923</v>
      </c>
      <c r="M188" s="36"/>
      <c r="N188" s="36" t="s">
        <v>226</v>
      </c>
      <c r="O188" s="36" t="s">
        <v>227</v>
      </c>
      <c r="P188" s="36">
        <v>2</v>
      </c>
      <c r="Q188" s="36" t="s">
        <v>228</v>
      </c>
      <c r="R188" s="37">
        <v>244658</v>
      </c>
      <c r="S188" s="37" t="s">
        <v>8</v>
      </c>
      <c r="T188" s="36" t="s">
        <v>244</v>
      </c>
      <c r="U188" s="36">
        <v>23015265</v>
      </c>
      <c r="V188" s="36" t="s">
        <v>16</v>
      </c>
      <c r="W188" s="36">
        <v>20</v>
      </c>
      <c r="X188" s="36">
        <v>20</v>
      </c>
      <c r="Y188" s="36">
        <v>20</v>
      </c>
      <c r="Z188" s="36">
        <v>20</v>
      </c>
      <c r="AA188" s="36">
        <v>0</v>
      </c>
      <c r="AB188" s="36">
        <v>0</v>
      </c>
      <c r="AC188" s="36">
        <v>0</v>
      </c>
      <c r="AD188" s="36">
        <v>0</v>
      </c>
      <c r="AE188" s="36">
        <v>20</v>
      </c>
      <c r="AF188" s="36">
        <v>20</v>
      </c>
      <c r="AG188" s="36"/>
      <c r="AH188" s="36"/>
      <c r="AI188" s="36" t="s">
        <v>200</v>
      </c>
      <c r="AJ188" s="36" t="s">
        <v>201</v>
      </c>
      <c r="AK188" s="36" t="s">
        <v>202</v>
      </c>
      <c r="AL188" s="36" t="s">
        <v>203</v>
      </c>
      <c r="AM188" s="36" t="s">
        <v>204</v>
      </c>
      <c r="AN188" s="36" t="s">
        <v>222</v>
      </c>
      <c r="AO188" s="36" t="s">
        <v>206</v>
      </c>
      <c r="AP188" s="36">
        <v>2</v>
      </c>
      <c r="AQ188" s="36"/>
      <c r="AR188" s="36"/>
      <c r="AS188" s="36"/>
      <c r="AT188" s="36" t="s">
        <v>207</v>
      </c>
      <c r="AU188" s="36" t="s">
        <v>234</v>
      </c>
      <c r="AV188" s="36" t="s">
        <v>209</v>
      </c>
      <c r="AW188" s="36" t="s">
        <v>209</v>
      </c>
      <c r="AX188" s="36" t="s">
        <v>210</v>
      </c>
      <c r="AY188" s="36">
        <v>0</v>
      </c>
      <c r="AZ188" s="36" t="s">
        <v>211</v>
      </c>
      <c r="BA188" s="36">
        <v>9044989536467</v>
      </c>
      <c r="BB188" s="36"/>
      <c r="BC188" s="36"/>
      <c r="BD188" s="36">
        <v>1</v>
      </c>
      <c r="BE188" s="36"/>
      <c r="BF188" s="36" t="s">
        <v>212</v>
      </c>
      <c r="BG188" s="36">
        <v>1333314600</v>
      </c>
      <c r="BH188" s="36" t="s">
        <v>213</v>
      </c>
      <c r="BI188" s="36">
        <v>20</v>
      </c>
      <c r="BJ188" s="36">
        <v>20</v>
      </c>
      <c r="BK188" s="36">
        <v>1300</v>
      </c>
      <c r="BL188" s="36" t="s">
        <v>214</v>
      </c>
      <c r="BM188" s="36"/>
      <c r="BN188" s="36"/>
    </row>
    <row r="189" spans="1:66" x14ac:dyDescent="0.35">
      <c r="A189" s="36"/>
      <c r="B189" s="36"/>
      <c r="C189" s="37" t="s">
        <v>8</v>
      </c>
      <c r="D189" s="37" t="s">
        <v>8</v>
      </c>
      <c r="E189" s="36"/>
      <c r="F189" s="36" t="s">
        <v>192</v>
      </c>
      <c r="G189" s="36" t="s">
        <v>1</v>
      </c>
      <c r="H189" s="36">
        <v>0</v>
      </c>
      <c r="I189" s="36" t="s">
        <v>193</v>
      </c>
      <c r="J189" s="36" t="s">
        <v>194</v>
      </c>
      <c r="K189" s="36" t="s">
        <v>195</v>
      </c>
      <c r="L189" s="36">
        <v>923</v>
      </c>
      <c r="M189" s="36"/>
      <c r="N189" s="36" t="s">
        <v>226</v>
      </c>
      <c r="O189" s="36" t="s">
        <v>227</v>
      </c>
      <c r="P189" s="36">
        <v>2</v>
      </c>
      <c r="Q189" s="36" t="s">
        <v>228</v>
      </c>
      <c r="R189" s="37">
        <v>244658</v>
      </c>
      <c r="S189" s="37" t="s">
        <v>8</v>
      </c>
      <c r="T189" s="36" t="s">
        <v>244</v>
      </c>
      <c r="U189" s="36">
        <v>23062111</v>
      </c>
      <c r="V189" s="36" t="s">
        <v>110</v>
      </c>
      <c r="W189" s="36">
        <v>5</v>
      </c>
      <c r="X189" s="36">
        <v>5</v>
      </c>
      <c r="Y189" s="36">
        <v>5</v>
      </c>
      <c r="Z189" s="36">
        <v>5</v>
      </c>
      <c r="AA189" s="36">
        <v>0</v>
      </c>
      <c r="AB189" s="36">
        <v>0</v>
      </c>
      <c r="AC189" s="36">
        <v>0</v>
      </c>
      <c r="AD189" s="36">
        <v>0</v>
      </c>
      <c r="AE189" s="36">
        <v>5</v>
      </c>
      <c r="AF189" s="36">
        <v>5</v>
      </c>
      <c r="AG189" s="36"/>
      <c r="AH189" s="36"/>
      <c r="AI189" s="36" t="s">
        <v>200</v>
      </c>
      <c r="AJ189" s="36" t="s">
        <v>201</v>
      </c>
      <c r="AK189" s="36" t="s">
        <v>215</v>
      </c>
      <c r="AL189" s="36" t="s">
        <v>203</v>
      </c>
      <c r="AM189" s="36" t="s">
        <v>204</v>
      </c>
      <c r="AN189" s="36" t="s">
        <v>222</v>
      </c>
      <c r="AO189" s="36" t="s">
        <v>206</v>
      </c>
      <c r="AP189" s="36">
        <v>2</v>
      </c>
      <c r="AQ189" s="36"/>
      <c r="AR189" s="36"/>
      <c r="AS189" s="36"/>
      <c r="AT189" s="36" t="s">
        <v>207</v>
      </c>
      <c r="AU189" s="36" t="s">
        <v>234</v>
      </c>
      <c r="AV189" s="36" t="s">
        <v>209</v>
      </c>
      <c r="AW189" s="36" t="s">
        <v>209</v>
      </c>
      <c r="AX189" s="36" t="s">
        <v>210</v>
      </c>
      <c r="AY189" s="36">
        <v>0</v>
      </c>
      <c r="AZ189" s="36" t="s">
        <v>211</v>
      </c>
      <c r="BA189" s="36">
        <v>9044989536467</v>
      </c>
      <c r="BB189" s="36"/>
      <c r="BC189" s="36"/>
      <c r="BD189" s="36">
        <v>1</v>
      </c>
      <c r="BE189" s="36"/>
      <c r="BF189" s="36" t="s">
        <v>212</v>
      </c>
      <c r="BG189" s="36">
        <v>1333314600</v>
      </c>
      <c r="BH189" s="36" t="s">
        <v>213</v>
      </c>
      <c r="BI189" s="36">
        <v>5</v>
      </c>
      <c r="BJ189" s="36">
        <v>5</v>
      </c>
      <c r="BK189" s="36">
        <v>1300</v>
      </c>
      <c r="BL189" s="36" t="s">
        <v>214</v>
      </c>
      <c r="BM189" s="36"/>
      <c r="BN189" s="36"/>
    </row>
    <row r="190" spans="1:66" x14ac:dyDescent="0.35">
      <c r="A190" s="36"/>
      <c r="B190" s="36"/>
      <c r="C190" s="37" t="s">
        <v>8</v>
      </c>
      <c r="D190" s="37" t="s">
        <v>8</v>
      </c>
      <c r="E190" s="36"/>
      <c r="F190" s="36" t="s">
        <v>192</v>
      </c>
      <c r="G190" s="36" t="s">
        <v>1</v>
      </c>
      <c r="H190" s="36">
        <v>0</v>
      </c>
      <c r="I190" s="36" t="s">
        <v>193</v>
      </c>
      <c r="J190" s="36" t="s">
        <v>194</v>
      </c>
      <c r="K190" s="36" t="s">
        <v>195</v>
      </c>
      <c r="L190" s="36">
        <v>923</v>
      </c>
      <c r="M190" s="36"/>
      <c r="N190" s="36" t="s">
        <v>226</v>
      </c>
      <c r="O190" s="36" t="s">
        <v>227</v>
      </c>
      <c r="P190" s="36">
        <v>2</v>
      </c>
      <c r="Q190" s="36" t="s">
        <v>228</v>
      </c>
      <c r="R190" s="37">
        <v>244658</v>
      </c>
      <c r="S190" s="37" t="s">
        <v>8</v>
      </c>
      <c r="T190" s="36" t="s">
        <v>244</v>
      </c>
      <c r="U190" s="36">
        <v>23062103</v>
      </c>
      <c r="V190" s="36" t="s">
        <v>111</v>
      </c>
      <c r="W190" s="36">
        <v>5</v>
      </c>
      <c r="X190" s="36">
        <v>5</v>
      </c>
      <c r="Y190" s="36">
        <v>5</v>
      </c>
      <c r="Z190" s="36">
        <v>5</v>
      </c>
      <c r="AA190" s="36">
        <v>0</v>
      </c>
      <c r="AB190" s="36">
        <v>0</v>
      </c>
      <c r="AC190" s="36">
        <v>0</v>
      </c>
      <c r="AD190" s="36">
        <v>0</v>
      </c>
      <c r="AE190" s="36">
        <v>5</v>
      </c>
      <c r="AF190" s="36">
        <v>5</v>
      </c>
      <c r="AG190" s="36"/>
      <c r="AH190" s="36"/>
      <c r="AI190" s="36" t="s">
        <v>200</v>
      </c>
      <c r="AJ190" s="36" t="s">
        <v>201</v>
      </c>
      <c r="AK190" s="36" t="s">
        <v>215</v>
      </c>
      <c r="AL190" s="36" t="s">
        <v>203</v>
      </c>
      <c r="AM190" s="36" t="s">
        <v>204</v>
      </c>
      <c r="AN190" s="36" t="s">
        <v>222</v>
      </c>
      <c r="AO190" s="36" t="s">
        <v>206</v>
      </c>
      <c r="AP190" s="36">
        <v>2</v>
      </c>
      <c r="AQ190" s="36"/>
      <c r="AR190" s="36"/>
      <c r="AS190" s="36"/>
      <c r="AT190" s="36" t="s">
        <v>207</v>
      </c>
      <c r="AU190" s="36" t="s">
        <v>234</v>
      </c>
      <c r="AV190" s="36" t="s">
        <v>209</v>
      </c>
      <c r="AW190" s="36" t="s">
        <v>209</v>
      </c>
      <c r="AX190" s="36" t="s">
        <v>210</v>
      </c>
      <c r="AY190" s="36">
        <v>0</v>
      </c>
      <c r="AZ190" s="36" t="s">
        <v>211</v>
      </c>
      <c r="BA190" s="36">
        <v>9044989536467</v>
      </c>
      <c r="BB190" s="36"/>
      <c r="BC190" s="36"/>
      <c r="BD190" s="36">
        <v>1</v>
      </c>
      <c r="BE190" s="36"/>
      <c r="BF190" s="36" t="s">
        <v>212</v>
      </c>
      <c r="BG190" s="36">
        <v>1333314600</v>
      </c>
      <c r="BH190" s="36" t="s">
        <v>213</v>
      </c>
      <c r="BI190" s="36">
        <v>5</v>
      </c>
      <c r="BJ190" s="36">
        <v>5</v>
      </c>
      <c r="BK190" s="36">
        <v>1300</v>
      </c>
      <c r="BL190" s="36" t="s">
        <v>214</v>
      </c>
      <c r="BM190" s="36"/>
      <c r="BN190" s="36"/>
    </row>
    <row r="191" spans="1:66" x14ac:dyDescent="0.35">
      <c r="A191" s="36"/>
      <c r="B191" s="36"/>
      <c r="C191" s="37" t="s">
        <v>8</v>
      </c>
      <c r="D191" s="37" t="s">
        <v>8</v>
      </c>
      <c r="E191" s="36"/>
      <c r="F191" s="36" t="s">
        <v>192</v>
      </c>
      <c r="G191" s="36" t="s">
        <v>1</v>
      </c>
      <c r="H191" s="36">
        <v>0</v>
      </c>
      <c r="I191" s="36" t="s">
        <v>193</v>
      </c>
      <c r="J191" s="36" t="s">
        <v>194</v>
      </c>
      <c r="K191" s="36" t="s">
        <v>195</v>
      </c>
      <c r="L191" s="36">
        <v>923</v>
      </c>
      <c r="M191" s="36"/>
      <c r="N191" s="36" t="s">
        <v>226</v>
      </c>
      <c r="O191" s="36" t="s">
        <v>227</v>
      </c>
      <c r="P191" s="36">
        <v>2</v>
      </c>
      <c r="Q191" s="36" t="s">
        <v>228</v>
      </c>
      <c r="R191" s="37">
        <v>244658</v>
      </c>
      <c r="S191" s="37" t="s">
        <v>8</v>
      </c>
      <c r="T191" s="36" t="s">
        <v>244</v>
      </c>
      <c r="U191" s="36">
        <v>23105754</v>
      </c>
      <c r="V191" s="36" t="s">
        <v>76</v>
      </c>
      <c r="W191" s="36">
        <v>10</v>
      </c>
      <c r="X191" s="36">
        <v>10</v>
      </c>
      <c r="Y191" s="36">
        <v>10</v>
      </c>
      <c r="Z191" s="36">
        <v>10</v>
      </c>
      <c r="AA191" s="36">
        <v>0</v>
      </c>
      <c r="AB191" s="36">
        <v>0</v>
      </c>
      <c r="AC191" s="36">
        <v>0</v>
      </c>
      <c r="AD191" s="36">
        <v>0</v>
      </c>
      <c r="AE191" s="36">
        <v>10</v>
      </c>
      <c r="AF191" s="36">
        <v>10</v>
      </c>
      <c r="AG191" s="36"/>
      <c r="AH191" s="36"/>
      <c r="AI191" s="36" t="s">
        <v>200</v>
      </c>
      <c r="AJ191" s="36" t="s">
        <v>201</v>
      </c>
      <c r="AK191" s="36" t="s">
        <v>202</v>
      </c>
      <c r="AL191" s="36" t="s">
        <v>203</v>
      </c>
      <c r="AM191" s="36" t="s">
        <v>204</v>
      </c>
      <c r="AN191" s="36" t="s">
        <v>222</v>
      </c>
      <c r="AO191" s="36" t="s">
        <v>206</v>
      </c>
      <c r="AP191" s="36">
        <v>2</v>
      </c>
      <c r="AQ191" s="36"/>
      <c r="AR191" s="36"/>
      <c r="AS191" s="36"/>
      <c r="AT191" s="36" t="s">
        <v>207</v>
      </c>
      <c r="AU191" s="36" t="s">
        <v>234</v>
      </c>
      <c r="AV191" s="36" t="s">
        <v>209</v>
      </c>
      <c r="AW191" s="36" t="s">
        <v>209</v>
      </c>
      <c r="AX191" s="36" t="s">
        <v>210</v>
      </c>
      <c r="AY191" s="36">
        <v>0</v>
      </c>
      <c r="AZ191" s="36" t="s">
        <v>211</v>
      </c>
      <c r="BA191" s="36">
        <v>9044989536467</v>
      </c>
      <c r="BB191" s="36"/>
      <c r="BC191" s="36"/>
      <c r="BD191" s="36">
        <v>1</v>
      </c>
      <c r="BE191" s="36"/>
      <c r="BF191" s="36" t="s">
        <v>212</v>
      </c>
      <c r="BG191" s="36">
        <v>1333314600</v>
      </c>
      <c r="BH191" s="36" t="s">
        <v>213</v>
      </c>
      <c r="BI191" s="36">
        <v>10</v>
      </c>
      <c r="BJ191" s="36">
        <v>10</v>
      </c>
      <c r="BK191" s="36">
        <v>1300</v>
      </c>
      <c r="BL191" s="36" t="s">
        <v>214</v>
      </c>
      <c r="BM191" s="36"/>
      <c r="BN191" s="36"/>
    </row>
    <row r="192" spans="1:66" x14ac:dyDescent="0.35">
      <c r="A192" s="36"/>
      <c r="B192" s="36"/>
      <c r="C192" s="37" t="s">
        <v>8</v>
      </c>
      <c r="D192" s="37" t="s">
        <v>8</v>
      </c>
      <c r="E192" s="36"/>
      <c r="F192" s="36" t="s">
        <v>192</v>
      </c>
      <c r="G192" s="36" t="s">
        <v>1</v>
      </c>
      <c r="H192" s="36">
        <v>0</v>
      </c>
      <c r="I192" s="36" t="s">
        <v>193</v>
      </c>
      <c r="J192" s="36" t="s">
        <v>194</v>
      </c>
      <c r="K192" s="36" t="s">
        <v>195</v>
      </c>
      <c r="L192" s="36">
        <v>923</v>
      </c>
      <c r="M192" s="36"/>
      <c r="N192" s="36" t="s">
        <v>226</v>
      </c>
      <c r="O192" s="36" t="s">
        <v>227</v>
      </c>
      <c r="P192" s="36">
        <v>2</v>
      </c>
      <c r="Q192" s="36" t="s">
        <v>228</v>
      </c>
      <c r="R192" s="37">
        <v>244658</v>
      </c>
      <c r="S192" s="37" t="s">
        <v>8</v>
      </c>
      <c r="T192" s="36" t="s">
        <v>244</v>
      </c>
      <c r="U192" s="36">
        <v>23065143</v>
      </c>
      <c r="V192" s="36" t="s">
        <v>43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  <c r="AB192" s="36">
        <v>0</v>
      </c>
      <c r="AC192" s="36">
        <v>0</v>
      </c>
      <c r="AD192" s="36">
        <v>0</v>
      </c>
      <c r="AE192" s="36">
        <v>0</v>
      </c>
      <c r="AF192" s="36">
        <v>0</v>
      </c>
      <c r="AG192" s="36"/>
      <c r="AH192" s="36"/>
      <c r="AI192" s="36" t="s">
        <v>200</v>
      </c>
      <c r="AJ192" s="36" t="s">
        <v>201</v>
      </c>
      <c r="AK192" s="36" t="s">
        <v>202</v>
      </c>
      <c r="AL192" s="36" t="s">
        <v>203</v>
      </c>
      <c r="AM192" s="36" t="s">
        <v>204</v>
      </c>
      <c r="AN192" s="36" t="s">
        <v>222</v>
      </c>
      <c r="AO192" s="36" t="s">
        <v>206</v>
      </c>
      <c r="AP192" s="36">
        <v>2</v>
      </c>
      <c r="AQ192" s="36"/>
      <c r="AR192" s="36"/>
      <c r="AS192" s="36"/>
      <c r="AT192" s="36" t="s">
        <v>207</v>
      </c>
      <c r="AU192" s="36" t="s">
        <v>234</v>
      </c>
      <c r="AV192" s="36" t="s">
        <v>209</v>
      </c>
      <c r="AW192" s="36" t="s">
        <v>209</v>
      </c>
      <c r="AX192" s="36" t="s">
        <v>210</v>
      </c>
      <c r="AY192" s="36">
        <v>0</v>
      </c>
      <c r="AZ192" s="36" t="s">
        <v>211</v>
      </c>
      <c r="BA192" s="36">
        <v>9044989536467</v>
      </c>
      <c r="BB192" s="36"/>
      <c r="BC192" s="36"/>
      <c r="BD192" s="36">
        <v>1</v>
      </c>
      <c r="BE192" s="36"/>
      <c r="BF192" s="36" t="s">
        <v>212</v>
      </c>
      <c r="BG192" s="36">
        <v>1333314600</v>
      </c>
      <c r="BH192" s="36" t="s">
        <v>213</v>
      </c>
      <c r="BI192" s="36">
        <v>0</v>
      </c>
      <c r="BJ192" s="36">
        <v>0</v>
      </c>
      <c r="BK192" s="36">
        <v>1300</v>
      </c>
      <c r="BL192" s="36" t="s">
        <v>214</v>
      </c>
      <c r="BM192" s="36"/>
      <c r="BN192" s="36"/>
    </row>
    <row r="193" spans="1:66" x14ac:dyDescent="0.35">
      <c r="A193" s="36"/>
      <c r="B193" s="36"/>
      <c r="C193" s="37" t="s">
        <v>8</v>
      </c>
      <c r="D193" s="37" t="s">
        <v>8</v>
      </c>
      <c r="E193" s="36"/>
      <c r="F193" s="36" t="s">
        <v>192</v>
      </c>
      <c r="G193" s="36" t="s">
        <v>1</v>
      </c>
      <c r="H193" s="36">
        <v>0</v>
      </c>
      <c r="I193" s="36" t="s">
        <v>193</v>
      </c>
      <c r="J193" s="36" t="s">
        <v>194</v>
      </c>
      <c r="K193" s="36" t="s">
        <v>195</v>
      </c>
      <c r="L193" s="36">
        <v>923</v>
      </c>
      <c r="M193" s="36"/>
      <c r="N193" s="36" t="s">
        <v>226</v>
      </c>
      <c r="O193" s="36" t="s">
        <v>227</v>
      </c>
      <c r="P193" s="36">
        <v>2</v>
      </c>
      <c r="Q193" s="36" t="s">
        <v>228</v>
      </c>
      <c r="R193" s="37">
        <v>244658</v>
      </c>
      <c r="S193" s="37" t="s">
        <v>8</v>
      </c>
      <c r="T193" s="36" t="s">
        <v>244</v>
      </c>
      <c r="U193" s="36">
        <v>23058589</v>
      </c>
      <c r="V193" s="36" t="s">
        <v>33</v>
      </c>
      <c r="W193" s="36">
        <v>10</v>
      </c>
      <c r="X193" s="36">
        <v>10</v>
      </c>
      <c r="Y193" s="36">
        <v>10</v>
      </c>
      <c r="Z193" s="36">
        <v>10</v>
      </c>
      <c r="AA193" s="36">
        <v>0</v>
      </c>
      <c r="AB193" s="36">
        <v>0</v>
      </c>
      <c r="AC193" s="36">
        <v>0</v>
      </c>
      <c r="AD193" s="36">
        <v>0</v>
      </c>
      <c r="AE193" s="36">
        <v>10</v>
      </c>
      <c r="AF193" s="36">
        <v>10</v>
      </c>
      <c r="AG193" s="36"/>
      <c r="AH193" s="36"/>
      <c r="AI193" s="36" t="s">
        <v>200</v>
      </c>
      <c r="AJ193" s="36" t="s">
        <v>201</v>
      </c>
      <c r="AK193" s="36" t="s">
        <v>215</v>
      </c>
      <c r="AL193" s="36" t="s">
        <v>203</v>
      </c>
      <c r="AM193" s="36" t="s">
        <v>204</v>
      </c>
      <c r="AN193" s="36" t="s">
        <v>222</v>
      </c>
      <c r="AO193" s="36" t="s">
        <v>206</v>
      </c>
      <c r="AP193" s="36">
        <v>2</v>
      </c>
      <c r="AQ193" s="36"/>
      <c r="AR193" s="36"/>
      <c r="AS193" s="36"/>
      <c r="AT193" s="36" t="s">
        <v>207</v>
      </c>
      <c r="AU193" s="36" t="s">
        <v>234</v>
      </c>
      <c r="AV193" s="36" t="s">
        <v>209</v>
      </c>
      <c r="AW193" s="36" t="s">
        <v>209</v>
      </c>
      <c r="AX193" s="36" t="s">
        <v>210</v>
      </c>
      <c r="AY193" s="36">
        <v>0</v>
      </c>
      <c r="AZ193" s="36" t="s">
        <v>211</v>
      </c>
      <c r="BA193" s="36">
        <v>9044989536467</v>
      </c>
      <c r="BB193" s="36"/>
      <c r="BC193" s="36"/>
      <c r="BD193" s="36">
        <v>1</v>
      </c>
      <c r="BE193" s="36"/>
      <c r="BF193" s="36" t="s">
        <v>212</v>
      </c>
      <c r="BG193" s="36">
        <v>1333314600</v>
      </c>
      <c r="BH193" s="36" t="s">
        <v>213</v>
      </c>
      <c r="BI193" s="36">
        <v>10</v>
      </c>
      <c r="BJ193" s="36">
        <v>10</v>
      </c>
      <c r="BK193" s="36">
        <v>1300</v>
      </c>
      <c r="BL193" s="36" t="s">
        <v>214</v>
      </c>
      <c r="BM193" s="36"/>
      <c r="BN193" s="36"/>
    </row>
    <row r="194" spans="1:66" x14ac:dyDescent="0.35">
      <c r="A194" s="36"/>
      <c r="B194" s="36"/>
      <c r="C194" s="37" t="s">
        <v>8</v>
      </c>
      <c r="D194" s="37" t="s">
        <v>8</v>
      </c>
      <c r="E194" s="36"/>
      <c r="F194" s="36" t="s">
        <v>192</v>
      </c>
      <c r="G194" s="36" t="s">
        <v>1</v>
      </c>
      <c r="H194" s="36">
        <v>0</v>
      </c>
      <c r="I194" s="36" t="s">
        <v>193</v>
      </c>
      <c r="J194" s="36" t="s">
        <v>194</v>
      </c>
      <c r="K194" s="36" t="s">
        <v>195</v>
      </c>
      <c r="L194" s="36">
        <v>923</v>
      </c>
      <c r="M194" s="36"/>
      <c r="N194" s="36" t="s">
        <v>226</v>
      </c>
      <c r="O194" s="36" t="s">
        <v>227</v>
      </c>
      <c r="P194" s="36">
        <v>2</v>
      </c>
      <c r="Q194" s="36" t="s">
        <v>228</v>
      </c>
      <c r="R194" s="37">
        <v>244658</v>
      </c>
      <c r="S194" s="37" t="s">
        <v>8</v>
      </c>
      <c r="T194" s="36" t="s">
        <v>244</v>
      </c>
      <c r="U194" s="36">
        <v>23015198</v>
      </c>
      <c r="V194" s="36" t="s">
        <v>119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  <c r="AG194" s="36"/>
      <c r="AH194" s="36"/>
      <c r="AI194" s="36" t="s">
        <v>200</v>
      </c>
      <c r="AJ194" s="36" t="s">
        <v>201</v>
      </c>
      <c r="AK194" s="36" t="s">
        <v>202</v>
      </c>
      <c r="AL194" s="36" t="s">
        <v>203</v>
      </c>
      <c r="AM194" s="36" t="s">
        <v>204</v>
      </c>
      <c r="AN194" s="36" t="s">
        <v>222</v>
      </c>
      <c r="AO194" s="36" t="s">
        <v>206</v>
      </c>
      <c r="AP194" s="36">
        <v>2</v>
      </c>
      <c r="AQ194" s="36"/>
      <c r="AR194" s="36"/>
      <c r="AS194" s="36"/>
      <c r="AT194" s="36" t="s">
        <v>207</v>
      </c>
      <c r="AU194" s="36" t="s">
        <v>234</v>
      </c>
      <c r="AV194" s="36" t="s">
        <v>209</v>
      </c>
      <c r="AW194" s="36" t="s">
        <v>209</v>
      </c>
      <c r="AX194" s="36" t="s">
        <v>210</v>
      </c>
      <c r="AY194" s="36">
        <v>0</v>
      </c>
      <c r="AZ194" s="36" t="s">
        <v>211</v>
      </c>
      <c r="BA194" s="36">
        <v>9044989536467</v>
      </c>
      <c r="BB194" s="36"/>
      <c r="BC194" s="36"/>
      <c r="BD194" s="36">
        <v>1</v>
      </c>
      <c r="BE194" s="36"/>
      <c r="BF194" s="36" t="s">
        <v>212</v>
      </c>
      <c r="BG194" s="36">
        <v>1333314600</v>
      </c>
      <c r="BH194" s="36" t="s">
        <v>213</v>
      </c>
      <c r="BI194" s="36">
        <v>0</v>
      </c>
      <c r="BJ194" s="36">
        <v>0</v>
      </c>
      <c r="BK194" s="36">
        <v>1300</v>
      </c>
      <c r="BL194" s="36" t="s">
        <v>214</v>
      </c>
      <c r="BM194" s="36"/>
      <c r="BN194" s="36"/>
    </row>
    <row r="195" spans="1:66" x14ac:dyDescent="0.35">
      <c r="A195" s="36"/>
      <c r="B195" s="36"/>
      <c r="C195" s="37" t="s">
        <v>8</v>
      </c>
      <c r="D195" s="37" t="s">
        <v>8</v>
      </c>
      <c r="E195" s="36"/>
      <c r="F195" s="36" t="s">
        <v>192</v>
      </c>
      <c r="G195" s="36" t="s">
        <v>1</v>
      </c>
      <c r="H195" s="36">
        <v>0</v>
      </c>
      <c r="I195" s="36" t="s">
        <v>193</v>
      </c>
      <c r="J195" s="36" t="s">
        <v>194</v>
      </c>
      <c r="K195" s="36" t="s">
        <v>195</v>
      </c>
      <c r="L195" s="36">
        <v>923</v>
      </c>
      <c r="M195" s="36"/>
      <c r="N195" s="36" t="s">
        <v>226</v>
      </c>
      <c r="O195" s="36" t="s">
        <v>227</v>
      </c>
      <c r="P195" s="36">
        <v>2</v>
      </c>
      <c r="Q195" s="36" t="s">
        <v>228</v>
      </c>
      <c r="R195" s="37">
        <v>244658</v>
      </c>
      <c r="S195" s="37" t="s">
        <v>8</v>
      </c>
      <c r="T195" s="36" t="s">
        <v>244</v>
      </c>
      <c r="U195" s="36">
        <v>23058552</v>
      </c>
      <c r="V195" s="36" t="s">
        <v>26</v>
      </c>
      <c r="W195" s="36">
        <v>20</v>
      </c>
      <c r="X195" s="36">
        <v>20</v>
      </c>
      <c r="Y195" s="36">
        <v>20</v>
      </c>
      <c r="Z195" s="36">
        <v>20</v>
      </c>
      <c r="AA195" s="36">
        <v>0</v>
      </c>
      <c r="AB195" s="36">
        <v>0</v>
      </c>
      <c r="AC195" s="36">
        <v>0</v>
      </c>
      <c r="AD195" s="36">
        <v>0</v>
      </c>
      <c r="AE195" s="36">
        <v>20</v>
      </c>
      <c r="AF195" s="36">
        <v>20</v>
      </c>
      <c r="AG195" s="36"/>
      <c r="AH195" s="36"/>
      <c r="AI195" s="36" t="s">
        <v>200</v>
      </c>
      <c r="AJ195" s="36" t="s">
        <v>201</v>
      </c>
      <c r="AK195" s="36" t="s">
        <v>215</v>
      </c>
      <c r="AL195" s="36" t="s">
        <v>203</v>
      </c>
      <c r="AM195" s="36" t="s">
        <v>204</v>
      </c>
      <c r="AN195" s="36" t="s">
        <v>222</v>
      </c>
      <c r="AO195" s="36" t="s">
        <v>206</v>
      </c>
      <c r="AP195" s="36">
        <v>2</v>
      </c>
      <c r="AQ195" s="36"/>
      <c r="AR195" s="36"/>
      <c r="AS195" s="36"/>
      <c r="AT195" s="36" t="s">
        <v>207</v>
      </c>
      <c r="AU195" s="36" t="s">
        <v>234</v>
      </c>
      <c r="AV195" s="36" t="s">
        <v>209</v>
      </c>
      <c r="AW195" s="36" t="s">
        <v>209</v>
      </c>
      <c r="AX195" s="36" t="s">
        <v>210</v>
      </c>
      <c r="AY195" s="36">
        <v>0</v>
      </c>
      <c r="AZ195" s="36" t="s">
        <v>211</v>
      </c>
      <c r="BA195" s="36">
        <v>9044989536467</v>
      </c>
      <c r="BB195" s="36"/>
      <c r="BC195" s="36"/>
      <c r="BD195" s="36">
        <v>1</v>
      </c>
      <c r="BE195" s="36"/>
      <c r="BF195" s="36" t="s">
        <v>212</v>
      </c>
      <c r="BG195" s="36">
        <v>1333314600</v>
      </c>
      <c r="BH195" s="36" t="s">
        <v>213</v>
      </c>
      <c r="BI195" s="36">
        <v>20</v>
      </c>
      <c r="BJ195" s="36">
        <v>20</v>
      </c>
      <c r="BK195" s="36">
        <v>1300</v>
      </c>
      <c r="BL195" s="36" t="s">
        <v>214</v>
      </c>
      <c r="BM195" s="36"/>
      <c r="BN195" s="36"/>
    </row>
    <row r="196" spans="1:66" x14ac:dyDescent="0.35">
      <c r="A196" s="36"/>
      <c r="B196" s="36"/>
      <c r="C196" s="37" t="s">
        <v>8</v>
      </c>
      <c r="D196" s="37" t="s">
        <v>8</v>
      </c>
      <c r="E196" s="36"/>
      <c r="F196" s="36" t="s">
        <v>192</v>
      </c>
      <c r="G196" s="36" t="s">
        <v>1</v>
      </c>
      <c r="H196" s="36">
        <v>0</v>
      </c>
      <c r="I196" s="36" t="s">
        <v>193</v>
      </c>
      <c r="J196" s="36" t="s">
        <v>194</v>
      </c>
      <c r="K196" s="36" t="s">
        <v>195</v>
      </c>
      <c r="L196" s="36">
        <v>923</v>
      </c>
      <c r="M196" s="36"/>
      <c r="N196" s="36" t="s">
        <v>226</v>
      </c>
      <c r="O196" s="36" t="s">
        <v>227</v>
      </c>
      <c r="P196" s="36">
        <v>2</v>
      </c>
      <c r="Q196" s="36" t="s">
        <v>228</v>
      </c>
      <c r="R196" s="37">
        <v>244658</v>
      </c>
      <c r="S196" s="37" t="s">
        <v>8</v>
      </c>
      <c r="T196" s="36" t="s">
        <v>244</v>
      </c>
      <c r="U196" s="36">
        <v>23066879</v>
      </c>
      <c r="V196" s="36" t="s">
        <v>45</v>
      </c>
      <c r="W196" s="36">
        <v>10</v>
      </c>
      <c r="X196" s="36">
        <v>10</v>
      </c>
      <c r="Y196" s="36">
        <v>10</v>
      </c>
      <c r="Z196" s="36">
        <v>10</v>
      </c>
      <c r="AA196" s="36">
        <v>0</v>
      </c>
      <c r="AB196" s="36">
        <v>0</v>
      </c>
      <c r="AC196" s="36">
        <v>0</v>
      </c>
      <c r="AD196" s="36">
        <v>0</v>
      </c>
      <c r="AE196" s="36">
        <v>10</v>
      </c>
      <c r="AF196" s="36">
        <v>10</v>
      </c>
      <c r="AG196" s="36"/>
      <c r="AH196" s="36"/>
      <c r="AI196" s="36" t="s">
        <v>200</v>
      </c>
      <c r="AJ196" s="36" t="s">
        <v>201</v>
      </c>
      <c r="AK196" s="36" t="s">
        <v>215</v>
      </c>
      <c r="AL196" s="36" t="s">
        <v>203</v>
      </c>
      <c r="AM196" s="36" t="s">
        <v>204</v>
      </c>
      <c r="AN196" s="36" t="s">
        <v>222</v>
      </c>
      <c r="AO196" s="36" t="s">
        <v>206</v>
      </c>
      <c r="AP196" s="36">
        <v>2</v>
      </c>
      <c r="AQ196" s="36"/>
      <c r="AR196" s="36"/>
      <c r="AS196" s="36"/>
      <c r="AT196" s="36" t="s">
        <v>207</v>
      </c>
      <c r="AU196" s="36" t="s">
        <v>234</v>
      </c>
      <c r="AV196" s="36" t="s">
        <v>209</v>
      </c>
      <c r="AW196" s="36" t="s">
        <v>209</v>
      </c>
      <c r="AX196" s="36" t="s">
        <v>210</v>
      </c>
      <c r="AY196" s="36">
        <v>0</v>
      </c>
      <c r="AZ196" s="36" t="s">
        <v>211</v>
      </c>
      <c r="BA196" s="36">
        <v>9044989536467</v>
      </c>
      <c r="BB196" s="36"/>
      <c r="BC196" s="36"/>
      <c r="BD196" s="36">
        <v>1</v>
      </c>
      <c r="BE196" s="36"/>
      <c r="BF196" s="36" t="s">
        <v>212</v>
      </c>
      <c r="BG196" s="36">
        <v>1333314600</v>
      </c>
      <c r="BH196" s="36" t="s">
        <v>213</v>
      </c>
      <c r="BI196" s="36">
        <v>10</v>
      </c>
      <c r="BJ196" s="36">
        <v>10</v>
      </c>
      <c r="BK196" s="36">
        <v>1300</v>
      </c>
      <c r="BL196" s="36" t="s">
        <v>214</v>
      </c>
      <c r="BM196" s="36"/>
      <c r="BN196" s="36"/>
    </row>
    <row r="197" spans="1:66" x14ac:dyDescent="0.35">
      <c r="A197" s="36"/>
      <c r="B197" s="36"/>
      <c r="C197" s="37" t="s">
        <v>8</v>
      </c>
      <c r="D197" s="37" t="s">
        <v>8</v>
      </c>
      <c r="E197" s="36"/>
      <c r="F197" s="36" t="s">
        <v>192</v>
      </c>
      <c r="G197" s="36" t="s">
        <v>1</v>
      </c>
      <c r="H197" s="36">
        <v>0</v>
      </c>
      <c r="I197" s="36" t="s">
        <v>193</v>
      </c>
      <c r="J197" s="36" t="s">
        <v>194</v>
      </c>
      <c r="K197" s="36" t="s">
        <v>195</v>
      </c>
      <c r="L197" s="36">
        <v>923</v>
      </c>
      <c r="M197" s="36"/>
      <c r="N197" s="36" t="s">
        <v>226</v>
      </c>
      <c r="O197" s="36" t="s">
        <v>227</v>
      </c>
      <c r="P197" s="36">
        <v>2</v>
      </c>
      <c r="Q197" s="36" t="s">
        <v>228</v>
      </c>
      <c r="R197" s="37">
        <v>244658</v>
      </c>
      <c r="S197" s="37" t="s">
        <v>8</v>
      </c>
      <c r="T197" s="36" t="s">
        <v>244</v>
      </c>
      <c r="U197" s="36">
        <v>23088036</v>
      </c>
      <c r="V197" s="36" t="s">
        <v>55</v>
      </c>
      <c r="W197" s="36">
        <v>5</v>
      </c>
      <c r="X197" s="36">
        <v>5</v>
      </c>
      <c r="Y197" s="36">
        <v>5</v>
      </c>
      <c r="Z197" s="36">
        <v>5</v>
      </c>
      <c r="AA197" s="36">
        <v>0</v>
      </c>
      <c r="AB197" s="36">
        <v>0</v>
      </c>
      <c r="AC197" s="36">
        <v>0</v>
      </c>
      <c r="AD197" s="36">
        <v>0</v>
      </c>
      <c r="AE197" s="36">
        <v>5</v>
      </c>
      <c r="AF197" s="36">
        <v>5</v>
      </c>
      <c r="AG197" s="36"/>
      <c r="AH197" s="36"/>
      <c r="AI197" s="36" t="s">
        <v>200</v>
      </c>
      <c r="AJ197" s="36" t="s">
        <v>201</v>
      </c>
      <c r="AK197" s="36" t="s">
        <v>202</v>
      </c>
      <c r="AL197" s="36" t="s">
        <v>203</v>
      </c>
      <c r="AM197" s="36" t="s">
        <v>204</v>
      </c>
      <c r="AN197" s="36" t="s">
        <v>222</v>
      </c>
      <c r="AO197" s="36" t="s">
        <v>206</v>
      </c>
      <c r="AP197" s="36">
        <v>2</v>
      </c>
      <c r="AQ197" s="36"/>
      <c r="AR197" s="36"/>
      <c r="AS197" s="36"/>
      <c r="AT197" s="36" t="s">
        <v>207</v>
      </c>
      <c r="AU197" s="36" t="s">
        <v>234</v>
      </c>
      <c r="AV197" s="36" t="s">
        <v>209</v>
      </c>
      <c r="AW197" s="36" t="s">
        <v>209</v>
      </c>
      <c r="AX197" s="36" t="s">
        <v>210</v>
      </c>
      <c r="AY197" s="36">
        <v>0</v>
      </c>
      <c r="AZ197" s="36" t="s">
        <v>211</v>
      </c>
      <c r="BA197" s="36">
        <v>9044989536467</v>
      </c>
      <c r="BB197" s="36"/>
      <c r="BC197" s="36"/>
      <c r="BD197" s="36">
        <v>1</v>
      </c>
      <c r="BE197" s="36"/>
      <c r="BF197" s="36" t="s">
        <v>212</v>
      </c>
      <c r="BG197" s="36">
        <v>1333314600</v>
      </c>
      <c r="BH197" s="36" t="s">
        <v>213</v>
      </c>
      <c r="BI197" s="36">
        <v>5</v>
      </c>
      <c r="BJ197" s="36">
        <v>5</v>
      </c>
      <c r="BK197" s="36">
        <v>1300</v>
      </c>
      <c r="BL197" s="36" t="s">
        <v>214</v>
      </c>
      <c r="BM197" s="36"/>
      <c r="BN197" s="36"/>
    </row>
    <row r="198" spans="1:66" x14ac:dyDescent="0.35">
      <c r="A198" s="36"/>
      <c r="B198" s="36"/>
      <c r="C198" s="37" t="s">
        <v>8</v>
      </c>
      <c r="D198" s="37" t="s">
        <v>8</v>
      </c>
      <c r="E198" s="36"/>
      <c r="F198" s="36" t="s">
        <v>192</v>
      </c>
      <c r="G198" s="36" t="s">
        <v>1</v>
      </c>
      <c r="H198" s="36">
        <v>0</v>
      </c>
      <c r="I198" s="36" t="s">
        <v>193</v>
      </c>
      <c r="J198" s="36" t="s">
        <v>194</v>
      </c>
      <c r="K198" s="36" t="s">
        <v>195</v>
      </c>
      <c r="L198" s="36">
        <v>923</v>
      </c>
      <c r="M198" s="36"/>
      <c r="N198" s="36" t="s">
        <v>226</v>
      </c>
      <c r="O198" s="36" t="s">
        <v>227</v>
      </c>
      <c r="P198" s="36">
        <v>2</v>
      </c>
      <c r="Q198" s="36" t="s">
        <v>228</v>
      </c>
      <c r="R198" s="37">
        <v>244658</v>
      </c>
      <c r="S198" s="37" t="s">
        <v>8</v>
      </c>
      <c r="T198" s="36" t="s">
        <v>244</v>
      </c>
      <c r="U198" s="36">
        <v>23106549</v>
      </c>
      <c r="V198" s="36" t="s">
        <v>122</v>
      </c>
      <c r="W198" s="36">
        <v>10</v>
      </c>
      <c r="X198" s="36">
        <v>50</v>
      </c>
      <c r="Y198" s="36">
        <v>10</v>
      </c>
      <c r="Z198" s="36">
        <v>50</v>
      </c>
      <c r="AA198" s="36">
        <v>0</v>
      </c>
      <c r="AB198" s="36">
        <v>0</v>
      </c>
      <c r="AC198" s="36">
        <v>0</v>
      </c>
      <c r="AD198" s="36">
        <v>0</v>
      </c>
      <c r="AE198" s="36">
        <v>10</v>
      </c>
      <c r="AF198" s="36">
        <v>50</v>
      </c>
      <c r="AG198" s="36"/>
      <c r="AH198" s="36"/>
      <c r="AI198" s="36" t="s">
        <v>200</v>
      </c>
      <c r="AJ198" s="36" t="s">
        <v>201</v>
      </c>
      <c r="AK198" s="36"/>
      <c r="AL198" s="36"/>
      <c r="AM198" s="36"/>
      <c r="AN198" s="36" t="s">
        <v>222</v>
      </c>
      <c r="AO198" s="36" t="s">
        <v>206</v>
      </c>
      <c r="AP198" s="36">
        <v>2</v>
      </c>
      <c r="AQ198" s="36"/>
      <c r="AR198" s="36"/>
      <c r="AS198" s="36"/>
      <c r="AT198" s="36" t="s">
        <v>207</v>
      </c>
      <c r="AU198" s="36" t="s">
        <v>234</v>
      </c>
      <c r="AV198" s="36" t="s">
        <v>217</v>
      </c>
      <c r="AW198" s="36" t="s">
        <v>209</v>
      </c>
      <c r="AX198" s="36" t="s">
        <v>210</v>
      </c>
      <c r="AY198" s="36">
        <v>0</v>
      </c>
      <c r="AZ198" s="36" t="s">
        <v>211</v>
      </c>
      <c r="BA198" s="36">
        <v>9044989536467</v>
      </c>
      <c r="BB198" s="36"/>
      <c r="BC198" s="36"/>
      <c r="BD198" s="36">
        <v>1</v>
      </c>
      <c r="BE198" s="36"/>
      <c r="BF198" s="36" t="s">
        <v>212</v>
      </c>
      <c r="BG198" s="36">
        <v>1333314600</v>
      </c>
      <c r="BH198" s="36" t="s">
        <v>213</v>
      </c>
      <c r="BI198" s="36">
        <v>10</v>
      </c>
      <c r="BJ198" s="36">
        <v>50</v>
      </c>
      <c r="BK198" s="36">
        <v>1300</v>
      </c>
      <c r="BL198" s="36" t="s">
        <v>214</v>
      </c>
      <c r="BM198" s="36"/>
      <c r="BN198" s="36"/>
    </row>
    <row r="199" spans="1:66" x14ac:dyDescent="0.35">
      <c r="A199" s="36"/>
      <c r="B199" s="36"/>
      <c r="C199" s="37" t="s">
        <v>8</v>
      </c>
      <c r="D199" s="37" t="s">
        <v>8</v>
      </c>
      <c r="E199" s="36"/>
      <c r="F199" s="36" t="s">
        <v>192</v>
      </c>
      <c r="G199" s="36" t="s">
        <v>1</v>
      </c>
      <c r="H199" s="36">
        <v>0</v>
      </c>
      <c r="I199" s="36" t="s">
        <v>193</v>
      </c>
      <c r="J199" s="36" t="s">
        <v>194</v>
      </c>
      <c r="K199" s="36" t="s">
        <v>195</v>
      </c>
      <c r="L199" s="36">
        <v>923</v>
      </c>
      <c r="M199" s="36"/>
      <c r="N199" s="36" t="s">
        <v>226</v>
      </c>
      <c r="O199" s="36" t="s">
        <v>227</v>
      </c>
      <c r="P199" s="36">
        <v>2</v>
      </c>
      <c r="Q199" s="36" t="s">
        <v>228</v>
      </c>
      <c r="R199" s="37">
        <v>244658</v>
      </c>
      <c r="S199" s="37" t="s">
        <v>8</v>
      </c>
      <c r="T199" s="36" t="s">
        <v>244</v>
      </c>
      <c r="U199" s="36">
        <v>23058590</v>
      </c>
      <c r="V199" s="36" t="s">
        <v>34</v>
      </c>
      <c r="W199" s="36">
        <v>120</v>
      </c>
      <c r="X199" s="36">
        <v>120</v>
      </c>
      <c r="Y199" s="36">
        <v>120</v>
      </c>
      <c r="Z199" s="36">
        <v>120</v>
      </c>
      <c r="AA199" s="36">
        <v>0</v>
      </c>
      <c r="AB199" s="36">
        <v>0</v>
      </c>
      <c r="AC199" s="36">
        <v>0</v>
      </c>
      <c r="AD199" s="36">
        <v>0</v>
      </c>
      <c r="AE199" s="36">
        <v>120</v>
      </c>
      <c r="AF199" s="36">
        <v>120</v>
      </c>
      <c r="AG199" s="36"/>
      <c r="AH199" s="36"/>
      <c r="AI199" s="36" t="s">
        <v>200</v>
      </c>
      <c r="AJ199" s="36" t="s">
        <v>201</v>
      </c>
      <c r="AK199" s="36" t="s">
        <v>215</v>
      </c>
      <c r="AL199" s="36" t="s">
        <v>203</v>
      </c>
      <c r="AM199" s="36" t="s">
        <v>204</v>
      </c>
      <c r="AN199" s="36" t="s">
        <v>222</v>
      </c>
      <c r="AO199" s="36" t="s">
        <v>206</v>
      </c>
      <c r="AP199" s="36">
        <v>2</v>
      </c>
      <c r="AQ199" s="36"/>
      <c r="AR199" s="36"/>
      <c r="AS199" s="36"/>
      <c r="AT199" s="36" t="s">
        <v>207</v>
      </c>
      <c r="AU199" s="36" t="s">
        <v>234</v>
      </c>
      <c r="AV199" s="36" t="s">
        <v>209</v>
      </c>
      <c r="AW199" s="36" t="s">
        <v>209</v>
      </c>
      <c r="AX199" s="36" t="s">
        <v>210</v>
      </c>
      <c r="AY199" s="36">
        <v>0</v>
      </c>
      <c r="AZ199" s="36" t="s">
        <v>211</v>
      </c>
      <c r="BA199" s="36">
        <v>9044989536467</v>
      </c>
      <c r="BB199" s="36"/>
      <c r="BC199" s="36"/>
      <c r="BD199" s="36">
        <v>1</v>
      </c>
      <c r="BE199" s="36"/>
      <c r="BF199" s="36" t="s">
        <v>212</v>
      </c>
      <c r="BG199" s="36">
        <v>1333314600</v>
      </c>
      <c r="BH199" s="36" t="s">
        <v>213</v>
      </c>
      <c r="BI199" s="36">
        <v>120</v>
      </c>
      <c r="BJ199" s="36">
        <v>120</v>
      </c>
      <c r="BK199" s="36">
        <v>1300</v>
      </c>
      <c r="BL199" s="36" t="s">
        <v>214</v>
      </c>
      <c r="BM199" s="36"/>
      <c r="BN199" s="36"/>
    </row>
    <row r="200" spans="1:66" x14ac:dyDescent="0.35">
      <c r="A200" s="36"/>
      <c r="B200" s="36"/>
      <c r="C200" s="37" t="s">
        <v>8</v>
      </c>
      <c r="D200" s="37" t="s">
        <v>8</v>
      </c>
      <c r="E200" s="36"/>
      <c r="F200" s="36" t="s">
        <v>192</v>
      </c>
      <c r="G200" s="36" t="s">
        <v>1</v>
      </c>
      <c r="H200" s="36">
        <v>0</v>
      </c>
      <c r="I200" s="36" t="s">
        <v>193</v>
      </c>
      <c r="J200" s="36" t="s">
        <v>194</v>
      </c>
      <c r="K200" s="36" t="s">
        <v>195</v>
      </c>
      <c r="L200" s="36">
        <v>923</v>
      </c>
      <c r="M200" s="36"/>
      <c r="N200" s="36" t="s">
        <v>226</v>
      </c>
      <c r="O200" s="36" t="s">
        <v>227</v>
      </c>
      <c r="P200" s="36">
        <v>2</v>
      </c>
      <c r="Q200" s="36" t="s">
        <v>228</v>
      </c>
      <c r="R200" s="37">
        <v>244658</v>
      </c>
      <c r="S200" s="37" t="s">
        <v>8</v>
      </c>
      <c r="T200" s="36" t="s">
        <v>244</v>
      </c>
      <c r="U200" s="36">
        <v>23058591</v>
      </c>
      <c r="V200" s="36" t="s">
        <v>35</v>
      </c>
      <c r="W200" s="36">
        <v>20</v>
      </c>
      <c r="X200" s="36">
        <v>20</v>
      </c>
      <c r="Y200" s="36">
        <v>20</v>
      </c>
      <c r="Z200" s="36">
        <v>20</v>
      </c>
      <c r="AA200" s="36">
        <v>0</v>
      </c>
      <c r="AB200" s="36">
        <v>0</v>
      </c>
      <c r="AC200" s="36">
        <v>0</v>
      </c>
      <c r="AD200" s="36">
        <v>0</v>
      </c>
      <c r="AE200" s="36">
        <v>20</v>
      </c>
      <c r="AF200" s="36">
        <v>20</v>
      </c>
      <c r="AG200" s="36"/>
      <c r="AH200" s="36"/>
      <c r="AI200" s="36" t="s">
        <v>200</v>
      </c>
      <c r="AJ200" s="36" t="s">
        <v>201</v>
      </c>
      <c r="AK200" s="36" t="s">
        <v>215</v>
      </c>
      <c r="AL200" s="36" t="s">
        <v>203</v>
      </c>
      <c r="AM200" s="36" t="s">
        <v>204</v>
      </c>
      <c r="AN200" s="36" t="s">
        <v>222</v>
      </c>
      <c r="AO200" s="36" t="s">
        <v>206</v>
      </c>
      <c r="AP200" s="36">
        <v>2</v>
      </c>
      <c r="AQ200" s="36"/>
      <c r="AR200" s="36"/>
      <c r="AS200" s="36"/>
      <c r="AT200" s="36" t="s">
        <v>207</v>
      </c>
      <c r="AU200" s="36" t="s">
        <v>234</v>
      </c>
      <c r="AV200" s="36" t="s">
        <v>209</v>
      </c>
      <c r="AW200" s="36" t="s">
        <v>209</v>
      </c>
      <c r="AX200" s="36" t="s">
        <v>210</v>
      </c>
      <c r="AY200" s="36">
        <v>0</v>
      </c>
      <c r="AZ200" s="36" t="s">
        <v>211</v>
      </c>
      <c r="BA200" s="36">
        <v>9044989536467</v>
      </c>
      <c r="BB200" s="36"/>
      <c r="BC200" s="36"/>
      <c r="BD200" s="36">
        <v>1</v>
      </c>
      <c r="BE200" s="36"/>
      <c r="BF200" s="36" t="s">
        <v>212</v>
      </c>
      <c r="BG200" s="36">
        <v>1333314600</v>
      </c>
      <c r="BH200" s="36" t="s">
        <v>213</v>
      </c>
      <c r="BI200" s="36">
        <v>20</v>
      </c>
      <c r="BJ200" s="36">
        <v>20</v>
      </c>
      <c r="BK200" s="36">
        <v>1300</v>
      </c>
      <c r="BL200" s="36" t="s">
        <v>214</v>
      </c>
      <c r="BM200" s="36"/>
      <c r="BN200" s="36"/>
    </row>
    <row r="201" spans="1:66" x14ac:dyDescent="0.35">
      <c r="A201" s="36"/>
      <c r="B201" s="36"/>
      <c r="C201" s="37" t="s">
        <v>8</v>
      </c>
      <c r="D201" s="37" t="s">
        <v>8</v>
      </c>
      <c r="E201" s="36"/>
      <c r="F201" s="36" t="s">
        <v>192</v>
      </c>
      <c r="G201" s="36" t="s">
        <v>1</v>
      </c>
      <c r="H201" s="36">
        <v>0</v>
      </c>
      <c r="I201" s="36" t="s">
        <v>193</v>
      </c>
      <c r="J201" s="36" t="s">
        <v>194</v>
      </c>
      <c r="K201" s="36" t="s">
        <v>195</v>
      </c>
      <c r="L201" s="36">
        <v>923</v>
      </c>
      <c r="M201" s="36"/>
      <c r="N201" s="36" t="s">
        <v>226</v>
      </c>
      <c r="O201" s="36" t="s">
        <v>227</v>
      </c>
      <c r="P201" s="36">
        <v>2</v>
      </c>
      <c r="Q201" s="36" t="s">
        <v>228</v>
      </c>
      <c r="R201" s="37">
        <v>244658</v>
      </c>
      <c r="S201" s="37" t="s">
        <v>8</v>
      </c>
      <c r="T201" s="36" t="s">
        <v>244</v>
      </c>
      <c r="U201" s="36">
        <v>23098990</v>
      </c>
      <c r="V201" s="36" t="s">
        <v>121</v>
      </c>
      <c r="W201" s="36">
        <v>5</v>
      </c>
      <c r="X201" s="36">
        <v>5</v>
      </c>
      <c r="Y201" s="36">
        <v>5</v>
      </c>
      <c r="Z201" s="36">
        <v>5</v>
      </c>
      <c r="AA201" s="36">
        <v>0</v>
      </c>
      <c r="AB201" s="36">
        <v>0</v>
      </c>
      <c r="AC201" s="36">
        <v>0</v>
      </c>
      <c r="AD201" s="36">
        <v>0</v>
      </c>
      <c r="AE201" s="36">
        <v>5</v>
      </c>
      <c r="AF201" s="36">
        <v>5</v>
      </c>
      <c r="AG201" s="36"/>
      <c r="AH201" s="36"/>
      <c r="AI201" s="36" t="s">
        <v>200</v>
      </c>
      <c r="AJ201" s="36" t="s">
        <v>201</v>
      </c>
      <c r="AK201" s="36" t="s">
        <v>202</v>
      </c>
      <c r="AL201" s="36" t="s">
        <v>203</v>
      </c>
      <c r="AM201" s="36" t="s">
        <v>204</v>
      </c>
      <c r="AN201" s="36" t="s">
        <v>222</v>
      </c>
      <c r="AO201" s="36" t="s">
        <v>206</v>
      </c>
      <c r="AP201" s="36">
        <v>2</v>
      </c>
      <c r="AQ201" s="36"/>
      <c r="AR201" s="36"/>
      <c r="AS201" s="36"/>
      <c r="AT201" s="36" t="s">
        <v>207</v>
      </c>
      <c r="AU201" s="36" t="s">
        <v>234</v>
      </c>
      <c r="AV201" s="36" t="s">
        <v>209</v>
      </c>
      <c r="AW201" s="36" t="s">
        <v>209</v>
      </c>
      <c r="AX201" s="36" t="s">
        <v>210</v>
      </c>
      <c r="AY201" s="36">
        <v>0</v>
      </c>
      <c r="AZ201" s="36" t="s">
        <v>211</v>
      </c>
      <c r="BA201" s="36">
        <v>9044989536467</v>
      </c>
      <c r="BB201" s="36"/>
      <c r="BC201" s="36"/>
      <c r="BD201" s="36">
        <v>1</v>
      </c>
      <c r="BE201" s="36"/>
      <c r="BF201" s="36" t="s">
        <v>212</v>
      </c>
      <c r="BG201" s="36">
        <v>1333314600</v>
      </c>
      <c r="BH201" s="36" t="s">
        <v>213</v>
      </c>
      <c r="BI201" s="36">
        <v>5</v>
      </c>
      <c r="BJ201" s="36">
        <v>5</v>
      </c>
      <c r="BK201" s="36">
        <v>1300</v>
      </c>
      <c r="BL201" s="36" t="s">
        <v>214</v>
      </c>
      <c r="BM201" s="36"/>
      <c r="BN201" s="36"/>
    </row>
    <row r="202" spans="1:66" x14ac:dyDescent="0.35">
      <c r="A202" s="36"/>
      <c r="B202" s="36"/>
      <c r="C202" s="37" t="s">
        <v>8</v>
      </c>
      <c r="D202" s="37" t="s">
        <v>8</v>
      </c>
      <c r="E202" s="36"/>
      <c r="F202" s="36" t="s">
        <v>192</v>
      </c>
      <c r="G202" s="36" t="s">
        <v>1</v>
      </c>
      <c r="H202" s="36">
        <v>0</v>
      </c>
      <c r="I202" s="36" t="s">
        <v>193</v>
      </c>
      <c r="J202" s="36" t="s">
        <v>194</v>
      </c>
      <c r="K202" s="36" t="s">
        <v>195</v>
      </c>
      <c r="L202" s="36">
        <v>923</v>
      </c>
      <c r="M202" s="36"/>
      <c r="N202" s="36" t="s">
        <v>226</v>
      </c>
      <c r="O202" s="36" t="s">
        <v>227</v>
      </c>
      <c r="P202" s="36">
        <v>2</v>
      </c>
      <c r="Q202" s="36" t="s">
        <v>228</v>
      </c>
      <c r="R202" s="37">
        <v>244658</v>
      </c>
      <c r="S202" s="37" t="s">
        <v>8</v>
      </c>
      <c r="T202" s="36" t="s">
        <v>244</v>
      </c>
      <c r="U202" s="36">
        <v>23070475</v>
      </c>
      <c r="V202" s="36" t="s">
        <v>47</v>
      </c>
      <c r="W202" s="36">
        <v>5</v>
      </c>
      <c r="X202" s="36">
        <v>5</v>
      </c>
      <c r="Y202" s="36">
        <v>5</v>
      </c>
      <c r="Z202" s="36">
        <v>5</v>
      </c>
      <c r="AA202" s="36">
        <v>0</v>
      </c>
      <c r="AB202" s="36">
        <v>0</v>
      </c>
      <c r="AC202" s="36">
        <v>0</v>
      </c>
      <c r="AD202" s="36">
        <v>0</v>
      </c>
      <c r="AE202" s="36">
        <v>5</v>
      </c>
      <c r="AF202" s="36">
        <v>5</v>
      </c>
      <c r="AG202" s="36"/>
      <c r="AH202" s="36"/>
      <c r="AI202" s="36" t="s">
        <v>200</v>
      </c>
      <c r="AJ202" s="36" t="s">
        <v>201</v>
      </c>
      <c r="AK202" s="36" t="s">
        <v>202</v>
      </c>
      <c r="AL202" s="36" t="s">
        <v>203</v>
      </c>
      <c r="AM202" s="36" t="s">
        <v>204</v>
      </c>
      <c r="AN202" s="36" t="s">
        <v>222</v>
      </c>
      <c r="AO202" s="36" t="s">
        <v>206</v>
      </c>
      <c r="AP202" s="36">
        <v>2</v>
      </c>
      <c r="AQ202" s="36"/>
      <c r="AR202" s="36"/>
      <c r="AS202" s="36"/>
      <c r="AT202" s="36" t="s">
        <v>207</v>
      </c>
      <c r="AU202" s="36" t="s">
        <v>234</v>
      </c>
      <c r="AV202" s="36" t="s">
        <v>209</v>
      </c>
      <c r="AW202" s="36" t="s">
        <v>209</v>
      </c>
      <c r="AX202" s="36" t="s">
        <v>210</v>
      </c>
      <c r="AY202" s="36">
        <v>0</v>
      </c>
      <c r="AZ202" s="36" t="s">
        <v>211</v>
      </c>
      <c r="BA202" s="36">
        <v>9044989536467</v>
      </c>
      <c r="BB202" s="36"/>
      <c r="BC202" s="36"/>
      <c r="BD202" s="36">
        <v>1</v>
      </c>
      <c r="BE202" s="36"/>
      <c r="BF202" s="36" t="s">
        <v>212</v>
      </c>
      <c r="BG202" s="36">
        <v>1333314600</v>
      </c>
      <c r="BH202" s="36" t="s">
        <v>213</v>
      </c>
      <c r="BI202" s="36">
        <v>5</v>
      </c>
      <c r="BJ202" s="36">
        <v>5</v>
      </c>
      <c r="BK202" s="36">
        <v>1300</v>
      </c>
      <c r="BL202" s="36" t="s">
        <v>214</v>
      </c>
      <c r="BM202" s="36"/>
      <c r="BN202" s="36"/>
    </row>
    <row r="203" spans="1:66" x14ac:dyDescent="0.35">
      <c r="A203" s="36"/>
      <c r="B203" s="36"/>
      <c r="C203" s="37" t="s">
        <v>8</v>
      </c>
      <c r="D203" s="37" t="s">
        <v>8</v>
      </c>
      <c r="E203" s="36"/>
      <c r="F203" s="36" t="s">
        <v>192</v>
      </c>
      <c r="G203" s="36" t="s">
        <v>1</v>
      </c>
      <c r="H203" s="36">
        <v>0</v>
      </c>
      <c r="I203" s="36" t="s">
        <v>193</v>
      </c>
      <c r="J203" s="36" t="s">
        <v>194</v>
      </c>
      <c r="K203" s="36" t="s">
        <v>195</v>
      </c>
      <c r="L203" s="36">
        <v>923</v>
      </c>
      <c r="M203" s="36"/>
      <c r="N203" s="36" t="s">
        <v>226</v>
      </c>
      <c r="O203" s="36" t="s">
        <v>227</v>
      </c>
      <c r="P203" s="36">
        <v>2</v>
      </c>
      <c r="Q203" s="36" t="s">
        <v>228</v>
      </c>
      <c r="R203" s="37">
        <v>244658</v>
      </c>
      <c r="S203" s="37" t="s">
        <v>8</v>
      </c>
      <c r="T203" s="36" t="s">
        <v>244</v>
      </c>
      <c r="U203" s="36">
        <v>23071884</v>
      </c>
      <c r="V203" s="36" t="s">
        <v>116</v>
      </c>
      <c r="W203" s="36">
        <v>0.96150000000000002</v>
      </c>
      <c r="X203" s="36">
        <v>4.9997999999999996</v>
      </c>
      <c r="Y203" s="36">
        <v>0.96150000000000002</v>
      </c>
      <c r="Z203" s="36">
        <v>4.9997999999999996</v>
      </c>
      <c r="AA203" s="36">
        <v>0</v>
      </c>
      <c r="AB203" s="36">
        <v>0</v>
      </c>
      <c r="AC203" s="36">
        <v>0</v>
      </c>
      <c r="AD203" s="36">
        <v>0</v>
      </c>
      <c r="AE203" s="36">
        <v>0.96150000000000002</v>
      </c>
      <c r="AF203" s="36">
        <v>4.9997999999999996</v>
      </c>
      <c r="AG203" s="36"/>
      <c r="AH203" s="36"/>
      <c r="AI203" s="36" t="s">
        <v>200</v>
      </c>
      <c r="AJ203" s="36" t="s">
        <v>201</v>
      </c>
      <c r="AK203" s="36" t="s">
        <v>215</v>
      </c>
      <c r="AL203" s="36" t="s">
        <v>203</v>
      </c>
      <c r="AM203" s="36" t="s">
        <v>204</v>
      </c>
      <c r="AN203" s="36" t="s">
        <v>222</v>
      </c>
      <c r="AO203" s="36" t="s">
        <v>206</v>
      </c>
      <c r="AP203" s="36">
        <v>2</v>
      </c>
      <c r="AQ203" s="36"/>
      <c r="AR203" s="36"/>
      <c r="AS203" s="36"/>
      <c r="AT203" s="36" t="s">
        <v>207</v>
      </c>
      <c r="AU203" s="36" t="s">
        <v>234</v>
      </c>
      <c r="AV203" s="36" t="s">
        <v>217</v>
      </c>
      <c r="AW203" s="36" t="s">
        <v>209</v>
      </c>
      <c r="AX203" s="36" t="s">
        <v>210</v>
      </c>
      <c r="AY203" s="36">
        <v>0</v>
      </c>
      <c r="AZ203" s="36" t="s">
        <v>211</v>
      </c>
      <c r="BA203" s="36">
        <v>9044989536467</v>
      </c>
      <c r="BB203" s="36"/>
      <c r="BC203" s="36"/>
      <c r="BD203" s="36">
        <v>1</v>
      </c>
      <c r="BE203" s="36"/>
      <c r="BF203" s="36" t="s">
        <v>212</v>
      </c>
      <c r="BG203" s="36">
        <v>1333314600</v>
      </c>
      <c r="BH203" s="36" t="s">
        <v>213</v>
      </c>
      <c r="BI203" s="36">
        <v>0.96150000000000002</v>
      </c>
      <c r="BJ203" s="36">
        <v>4.9997999999999996</v>
      </c>
      <c r="BK203" s="36">
        <v>1300</v>
      </c>
      <c r="BL203" s="36" t="s">
        <v>214</v>
      </c>
      <c r="BM203" s="36"/>
      <c r="BN203" s="36"/>
    </row>
    <row r="204" spans="1:66" x14ac:dyDescent="0.35">
      <c r="A204" s="36"/>
      <c r="B204" s="36"/>
      <c r="C204" s="37" t="s">
        <v>8</v>
      </c>
      <c r="D204" s="37" t="s">
        <v>8</v>
      </c>
      <c r="E204" s="36"/>
      <c r="F204" s="36" t="s">
        <v>192</v>
      </c>
      <c r="G204" s="36" t="s">
        <v>1</v>
      </c>
      <c r="H204" s="36">
        <v>0</v>
      </c>
      <c r="I204" s="36" t="s">
        <v>193</v>
      </c>
      <c r="J204" s="36" t="s">
        <v>194</v>
      </c>
      <c r="K204" s="36" t="s">
        <v>195</v>
      </c>
      <c r="L204" s="36">
        <v>923</v>
      </c>
      <c r="M204" s="36"/>
      <c r="N204" s="36" t="s">
        <v>226</v>
      </c>
      <c r="O204" s="36" t="s">
        <v>227</v>
      </c>
      <c r="P204" s="36">
        <v>2</v>
      </c>
      <c r="Q204" s="36" t="s">
        <v>228</v>
      </c>
      <c r="R204" s="37">
        <v>244658</v>
      </c>
      <c r="S204" s="37" t="s">
        <v>8</v>
      </c>
      <c r="T204" s="36" t="s">
        <v>244</v>
      </c>
      <c r="U204" s="36">
        <v>23065142</v>
      </c>
      <c r="V204" s="36" t="s">
        <v>42</v>
      </c>
      <c r="W204" s="36">
        <v>10</v>
      </c>
      <c r="X204" s="36">
        <v>10</v>
      </c>
      <c r="Y204" s="36">
        <v>10</v>
      </c>
      <c r="Z204" s="36">
        <v>10</v>
      </c>
      <c r="AA204" s="36">
        <v>0</v>
      </c>
      <c r="AB204" s="36">
        <v>0</v>
      </c>
      <c r="AC204" s="36">
        <v>0</v>
      </c>
      <c r="AD204" s="36">
        <v>0</v>
      </c>
      <c r="AE204" s="36">
        <v>10</v>
      </c>
      <c r="AF204" s="36">
        <v>10</v>
      </c>
      <c r="AG204" s="36"/>
      <c r="AH204" s="36"/>
      <c r="AI204" s="36" t="s">
        <v>200</v>
      </c>
      <c r="AJ204" s="36" t="s">
        <v>201</v>
      </c>
      <c r="AK204" s="36" t="s">
        <v>202</v>
      </c>
      <c r="AL204" s="36" t="s">
        <v>203</v>
      </c>
      <c r="AM204" s="36" t="s">
        <v>204</v>
      </c>
      <c r="AN204" s="36" t="s">
        <v>222</v>
      </c>
      <c r="AO204" s="36" t="s">
        <v>206</v>
      </c>
      <c r="AP204" s="36">
        <v>2</v>
      </c>
      <c r="AQ204" s="36"/>
      <c r="AR204" s="36"/>
      <c r="AS204" s="36"/>
      <c r="AT204" s="36" t="s">
        <v>207</v>
      </c>
      <c r="AU204" s="36" t="s">
        <v>234</v>
      </c>
      <c r="AV204" s="36" t="s">
        <v>209</v>
      </c>
      <c r="AW204" s="36" t="s">
        <v>209</v>
      </c>
      <c r="AX204" s="36" t="s">
        <v>210</v>
      </c>
      <c r="AY204" s="36">
        <v>0</v>
      </c>
      <c r="AZ204" s="36" t="s">
        <v>211</v>
      </c>
      <c r="BA204" s="36">
        <v>9044989536467</v>
      </c>
      <c r="BB204" s="36"/>
      <c r="BC204" s="36"/>
      <c r="BD204" s="36">
        <v>1</v>
      </c>
      <c r="BE204" s="36"/>
      <c r="BF204" s="36" t="s">
        <v>212</v>
      </c>
      <c r="BG204" s="36">
        <v>1333314600</v>
      </c>
      <c r="BH204" s="36" t="s">
        <v>213</v>
      </c>
      <c r="BI204" s="36">
        <v>10</v>
      </c>
      <c r="BJ204" s="36">
        <v>10</v>
      </c>
      <c r="BK204" s="36">
        <v>1300</v>
      </c>
      <c r="BL204" s="36" t="s">
        <v>214</v>
      </c>
      <c r="BM204" s="36"/>
      <c r="BN204" s="36"/>
    </row>
    <row r="205" spans="1:66" x14ac:dyDescent="0.35">
      <c r="A205" s="36"/>
      <c r="B205" s="36"/>
      <c r="C205" s="37" t="s">
        <v>8</v>
      </c>
      <c r="D205" s="37" t="s">
        <v>8</v>
      </c>
      <c r="E205" s="36"/>
      <c r="F205" s="36" t="s">
        <v>192</v>
      </c>
      <c r="G205" s="36" t="s">
        <v>1</v>
      </c>
      <c r="H205" s="36">
        <v>0</v>
      </c>
      <c r="I205" s="36" t="s">
        <v>193</v>
      </c>
      <c r="J205" s="36" t="s">
        <v>194</v>
      </c>
      <c r="K205" s="36" t="s">
        <v>195</v>
      </c>
      <c r="L205" s="36">
        <v>923</v>
      </c>
      <c r="M205" s="36"/>
      <c r="N205" s="36" t="s">
        <v>226</v>
      </c>
      <c r="O205" s="36" t="s">
        <v>227</v>
      </c>
      <c r="P205" s="36">
        <v>2</v>
      </c>
      <c r="Q205" s="36" t="s">
        <v>228</v>
      </c>
      <c r="R205" s="37">
        <v>244658</v>
      </c>
      <c r="S205" s="37" t="s">
        <v>8</v>
      </c>
      <c r="T205" s="36" t="s">
        <v>244</v>
      </c>
      <c r="U205" s="36">
        <v>23109326</v>
      </c>
      <c r="V205" s="36" t="s">
        <v>78</v>
      </c>
      <c r="W205" s="36">
        <v>80</v>
      </c>
      <c r="X205" s="36">
        <v>80</v>
      </c>
      <c r="Y205" s="36">
        <v>80</v>
      </c>
      <c r="Z205" s="36">
        <v>80</v>
      </c>
      <c r="AA205" s="36">
        <v>0</v>
      </c>
      <c r="AB205" s="36">
        <v>0</v>
      </c>
      <c r="AC205" s="36">
        <v>0</v>
      </c>
      <c r="AD205" s="36">
        <v>0</v>
      </c>
      <c r="AE205" s="36">
        <v>80</v>
      </c>
      <c r="AF205" s="36">
        <v>80</v>
      </c>
      <c r="AG205" s="36"/>
      <c r="AH205" s="36"/>
      <c r="AI205" s="36" t="s">
        <v>200</v>
      </c>
      <c r="AJ205" s="36" t="s">
        <v>201</v>
      </c>
      <c r="AK205" s="36" t="s">
        <v>215</v>
      </c>
      <c r="AL205" s="36" t="s">
        <v>203</v>
      </c>
      <c r="AM205" s="36" t="s">
        <v>204</v>
      </c>
      <c r="AN205" s="36" t="s">
        <v>222</v>
      </c>
      <c r="AO205" s="36" t="s">
        <v>206</v>
      </c>
      <c r="AP205" s="36">
        <v>2</v>
      </c>
      <c r="AQ205" s="36"/>
      <c r="AR205" s="36"/>
      <c r="AS205" s="36"/>
      <c r="AT205" s="36" t="s">
        <v>207</v>
      </c>
      <c r="AU205" s="36" t="s">
        <v>234</v>
      </c>
      <c r="AV205" s="36" t="s">
        <v>209</v>
      </c>
      <c r="AW205" s="36" t="s">
        <v>209</v>
      </c>
      <c r="AX205" s="36" t="s">
        <v>210</v>
      </c>
      <c r="AY205" s="36">
        <v>0</v>
      </c>
      <c r="AZ205" s="36" t="s">
        <v>211</v>
      </c>
      <c r="BA205" s="36">
        <v>9044989536467</v>
      </c>
      <c r="BB205" s="36"/>
      <c r="BC205" s="36"/>
      <c r="BD205" s="36">
        <v>1</v>
      </c>
      <c r="BE205" s="36"/>
      <c r="BF205" s="36" t="s">
        <v>212</v>
      </c>
      <c r="BG205" s="36">
        <v>1333314600</v>
      </c>
      <c r="BH205" s="36" t="s">
        <v>213</v>
      </c>
      <c r="BI205" s="36">
        <v>80</v>
      </c>
      <c r="BJ205" s="36">
        <v>80</v>
      </c>
      <c r="BK205" s="36">
        <v>1300</v>
      </c>
      <c r="BL205" s="36" t="s">
        <v>214</v>
      </c>
      <c r="BM205" s="36"/>
      <c r="BN205" s="36"/>
    </row>
    <row r="206" spans="1:66" x14ac:dyDescent="0.35">
      <c r="A206" s="36"/>
      <c r="B206" s="36"/>
      <c r="C206" s="37" t="s">
        <v>8</v>
      </c>
      <c r="D206" s="37" t="s">
        <v>8</v>
      </c>
      <c r="E206" s="36"/>
      <c r="F206" s="36" t="s">
        <v>192</v>
      </c>
      <c r="G206" s="36" t="s">
        <v>1</v>
      </c>
      <c r="H206" s="36">
        <v>0</v>
      </c>
      <c r="I206" s="36" t="s">
        <v>193</v>
      </c>
      <c r="J206" s="36" t="s">
        <v>194</v>
      </c>
      <c r="K206" s="36" t="s">
        <v>195</v>
      </c>
      <c r="L206" s="36">
        <v>923</v>
      </c>
      <c r="M206" s="36"/>
      <c r="N206" s="36" t="s">
        <v>226</v>
      </c>
      <c r="O206" s="36" t="s">
        <v>227</v>
      </c>
      <c r="P206" s="36">
        <v>2</v>
      </c>
      <c r="Q206" s="36" t="s">
        <v>228</v>
      </c>
      <c r="R206" s="37">
        <v>244658</v>
      </c>
      <c r="S206" s="37" t="s">
        <v>8</v>
      </c>
      <c r="T206" s="36" t="s">
        <v>244</v>
      </c>
      <c r="U206" s="36">
        <v>23058584</v>
      </c>
      <c r="V206" s="36" t="s">
        <v>29</v>
      </c>
      <c r="W206" s="36">
        <v>20</v>
      </c>
      <c r="X206" s="36">
        <v>20</v>
      </c>
      <c r="Y206" s="36">
        <v>20</v>
      </c>
      <c r="Z206" s="36">
        <v>20</v>
      </c>
      <c r="AA206" s="36">
        <v>0</v>
      </c>
      <c r="AB206" s="36">
        <v>0</v>
      </c>
      <c r="AC206" s="36">
        <v>0</v>
      </c>
      <c r="AD206" s="36">
        <v>0</v>
      </c>
      <c r="AE206" s="36">
        <v>20</v>
      </c>
      <c r="AF206" s="36">
        <v>20</v>
      </c>
      <c r="AG206" s="36"/>
      <c r="AH206" s="36"/>
      <c r="AI206" s="36" t="s">
        <v>200</v>
      </c>
      <c r="AJ206" s="36" t="s">
        <v>201</v>
      </c>
      <c r="AK206" s="36" t="s">
        <v>215</v>
      </c>
      <c r="AL206" s="36" t="s">
        <v>203</v>
      </c>
      <c r="AM206" s="36" t="s">
        <v>204</v>
      </c>
      <c r="AN206" s="36" t="s">
        <v>222</v>
      </c>
      <c r="AO206" s="36" t="s">
        <v>206</v>
      </c>
      <c r="AP206" s="36">
        <v>2</v>
      </c>
      <c r="AQ206" s="36"/>
      <c r="AR206" s="36"/>
      <c r="AS206" s="36"/>
      <c r="AT206" s="36" t="s">
        <v>207</v>
      </c>
      <c r="AU206" s="36" t="s">
        <v>234</v>
      </c>
      <c r="AV206" s="36" t="s">
        <v>209</v>
      </c>
      <c r="AW206" s="36" t="s">
        <v>209</v>
      </c>
      <c r="AX206" s="36" t="s">
        <v>210</v>
      </c>
      <c r="AY206" s="36">
        <v>0</v>
      </c>
      <c r="AZ206" s="36" t="s">
        <v>211</v>
      </c>
      <c r="BA206" s="36">
        <v>9044989536467</v>
      </c>
      <c r="BB206" s="36"/>
      <c r="BC206" s="36"/>
      <c r="BD206" s="36">
        <v>1</v>
      </c>
      <c r="BE206" s="36"/>
      <c r="BF206" s="36" t="s">
        <v>212</v>
      </c>
      <c r="BG206" s="36">
        <v>1333314600</v>
      </c>
      <c r="BH206" s="36" t="s">
        <v>213</v>
      </c>
      <c r="BI206" s="36">
        <v>20</v>
      </c>
      <c r="BJ206" s="36">
        <v>20</v>
      </c>
      <c r="BK206" s="36">
        <v>1300</v>
      </c>
      <c r="BL206" s="36" t="s">
        <v>214</v>
      </c>
      <c r="BM206" s="36"/>
      <c r="BN206" s="36"/>
    </row>
    <row r="207" spans="1:66" x14ac:dyDescent="0.35">
      <c r="A207" s="36"/>
      <c r="B207" s="36"/>
      <c r="C207" s="37" t="s">
        <v>8</v>
      </c>
      <c r="D207" s="37" t="s">
        <v>8</v>
      </c>
      <c r="E207" s="36"/>
      <c r="F207" s="36" t="s">
        <v>192</v>
      </c>
      <c r="G207" s="36" t="s">
        <v>1</v>
      </c>
      <c r="H207" s="36">
        <v>0</v>
      </c>
      <c r="I207" s="36" t="s">
        <v>193</v>
      </c>
      <c r="J207" s="36" t="s">
        <v>194</v>
      </c>
      <c r="K207" s="36" t="s">
        <v>195</v>
      </c>
      <c r="L207" s="36">
        <v>923</v>
      </c>
      <c r="M207" s="36"/>
      <c r="N207" s="36" t="s">
        <v>226</v>
      </c>
      <c r="O207" s="36" t="s">
        <v>227</v>
      </c>
      <c r="P207" s="36">
        <v>2</v>
      </c>
      <c r="Q207" s="36" t="s">
        <v>228</v>
      </c>
      <c r="R207" s="37">
        <v>244658</v>
      </c>
      <c r="S207" s="37" t="s">
        <v>8</v>
      </c>
      <c r="T207" s="36" t="s">
        <v>244</v>
      </c>
      <c r="U207" s="36">
        <v>23058587</v>
      </c>
      <c r="V207" s="36" t="s">
        <v>32</v>
      </c>
      <c r="W207" s="36">
        <v>5</v>
      </c>
      <c r="X207" s="36">
        <v>5</v>
      </c>
      <c r="Y207" s="36">
        <v>5</v>
      </c>
      <c r="Z207" s="36">
        <v>5</v>
      </c>
      <c r="AA207" s="36">
        <v>0</v>
      </c>
      <c r="AB207" s="36">
        <v>0</v>
      </c>
      <c r="AC207" s="36">
        <v>0</v>
      </c>
      <c r="AD207" s="36">
        <v>0</v>
      </c>
      <c r="AE207" s="36">
        <v>5</v>
      </c>
      <c r="AF207" s="36">
        <v>5</v>
      </c>
      <c r="AG207" s="36"/>
      <c r="AH207" s="36"/>
      <c r="AI207" s="36" t="s">
        <v>200</v>
      </c>
      <c r="AJ207" s="36" t="s">
        <v>201</v>
      </c>
      <c r="AK207" s="36" t="s">
        <v>215</v>
      </c>
      <c r="AL207" s="36" t="s">
        <v>203</v>
      </c>
      <c r="AM207" s="36" t="s">
        <v>204</v>
      </c>
      <c r="AN207" s="36" t="s">
        <v>222</v>
      </c>
      <c r="AO207" s="36" t="s">
        <v>206</v>
      </c>
      <c r="AP207" s="36">
        <v>2</v>
      </c>
      <c r="AQ207" s="36"/>
      <c r="AR207" s="36"/>
      <c r="AS207" s="36"/>
      <c r="AT207" s="36" t="s">
        <v>207</v>
      </c>
      <c r="AU207" s="36" t="s">
        <v>234</v>
      </c>
      <c r="AV207" s="36" t="s">
        <v>209</v>
      </c>
      <c r="AW207" s="36" t="s">
        <v>209</v>
      </c>
      <c r="AX207" s="36" t="s">
        <v>210</v>
      </c>
      <c r="AY207" s="36">
        <v>0</v>
      </c>
      <c r="AZ207" s="36" t="s">
        <v>211</v>
      </c>
      <c r="BA207" s="36">
        <v>9044989536467</v>
      </c>
      <c r="BB207" s="36"/>
      <c r="BC207" s="36"/>
      <c r="BD207" s="36">
        <v>1</v>
      </c>
      <c r="BE207" s="36"/>
      <c r="BF207" s="36" t="s">
        <v>212</v>
      </c>
      <c r="BG207" s="36">
        <v>1333314600</v>
      </c>
      <c r="BH207" s="36" t="s">
        <v>213</v>
      </c>
      <c r="BI207" s="36">
        <v>5</v>
      </c>
      <c r="BJ207" s="36">
        <v>5</v>
      </c>
      <c r="BK207" s="36">
        <v>1300</v>
      </c>
      <c r="BL207" s="36" t="s">
        <v>214</v>
      </c>
      <c r="BM207" s="36"/>
      <c r="BN207" s="36"/>
    </row>
    <row r="208" spans="1:66" x14ac:dyDescent="0.35">
      <c r="A208" s="36"/>
      <c r="B208" s="36"/>
      <c r="C208" s="37" t="s">
        <v>8</v>
      </c>
      <c r="D208" s="37" t="s">
        <v>8</v>
      </c>
      <c r="E208" s="36"/>
      <c r="F208" s="36" t="s">
        <v>192</v>
      </c>
      <c r="G208" s="36" t="s">
        <v>1</v>
      </c>
      <c r="H208" s="36">
        <v>0</v>
      </c>
      <c r="I208" s="36" t="s">
        <v>193</v>
      </c>
      <c r="J208" s="36" t="s">
        <v>194</v>
      </c>
      <c r="K208" s="36" t="s">
        <v>195</v>
      </c>
      <c r="L208" s="36">
        <v>923</v>
      </c>
      <c r="M208" s="36"/>
      <c r="N208" s="36" t="s">
        <v>226</v>
      </c>
      <c r="O208" s="36" t="s">
        <v>227</v>
      </c>
      <c r="P208" s="36">
        <v>2</v>
      </c>
      <c r="Q208" s="36" t="s">
        <v>228</v>
      </c>
      <c r="R208" s="37">
        <v>244658</v>
      </c>
      <c r="S208" s="37" t="s">
        <v>8</v>
      </c>
      <c r="T208" s="36" t="s">
        <v>244</v>
      </c>
      <c r="U208" s="36">
        <v>23057815</v>
      </c>
      <c r="V208" s="36" t="s">
        <v>20</v>
      </c>
      <c r="W208" s="36">
        <v>200</v>
      </c>
      <c r="X208" s="36">
        <v>200</v>
      </c>
      <c r="Y208" s="36">
        <v>200</v>
      </c>
      <c r="Z208" s="36">
        <v>200</v>
      </c>
      <c r="AA208" s="36">
        <v>0</v>
      </c>
      <c r="AB208" s="36">
        <v>0</v>
      </c>
      <c r="AC208" s="36">
        <v>0</v>
      </c>
      <c r="AD208" s="36">
        <v>0</v>
      </c>
      <c r="AE208" s="36">
        <v>200</v>
      </c>
      <c r="AF208" s="36">
        <v>200</v>
      </c>
      <c r="AG208" s="36"/>
      <c r="AH208" s="36"/>
      <c r="AI208" s="36" t="s">
        <v>200</v>
      </c>
      <c r="AJ208" s="36" t="s">
        <v>201</v>
      </c>
      <c r="AK208" s="36" t="s">
        <v>202</v>
      </c>
      <c r="AL208" s="36" t="s">
        <v>203</v>
      </c>
      <c r="AM208" s="36" t="s">
        <v>204</v>
      </c>
      <c r="AN208" s="36" t="s">
        <v>222</v>
      </c>
      <c r="AO208" s="36" t="s">
        <v>206</v>
      </c>
      <c r="AP208" s="36">
        <v>2</v>
      </c>
      <c r="AQ208" s="36"/>
      <c r="AR208" s="36"/>
      <c r="AS208" s="36"/>
      <c r="AT208" s="36" t="s">
        <v>207</v>
      </c>
      <c r="AU208" s="36" t="s">
        <v>234</v>
      </c>
      <c r="AV208" s="36" t="s">
        <v>209</v>
      </c>
      <c r="AW208" s="36" t="s">
        <v>209</v>
      </c>
      <c r="AX208" s="36" t="s">
        <v>210</v>
      </c>
      <c r="AY208" s="36">
        <v>0</v>
      </c>
      <c r="AZ208" s="36" t="s">
        <v>211</v>
      </c>
      <c r="BA208" s="36">
        <v>9044989536467</v>
      </c>
      <c r="BB208" s="36"/>
      <c r="BC208" s="36"/>
      <c r="BD208" s="36">
        <v>1</v>
      </c>
      <c r="BE208" s="36"/>
      <c r="BF208" s="36" t="s">
        <v>212</v>
      </c>
      <c r="BG208" s="36">
        <v>1333314600</v>
      </c>
      <c r="BH208" s="36" t="s">
        <v>213</v>
      </c>
      <c r="BI208" s="36">
        <v>200</v>
      </c>
      <c r="BJ208" s="36">
        <v>200</v>
      </c>
      <c r="BK208" s="36">
        <v>1300</v>
      </c>
      <c r="BL208" s="36" t="s">
        <v>214</v>
      </c>
      <c r="BM208" s="36"/>
      <c r="BN208" s="36"/>
    </row>
    <row r="209" spans="1:66" x14ac:dyDescent="0.35">
      <c r="A209" s="36"/>
      <c r="B209" s="36"/>
      <c r="C209" s="37" t="s">
        <v>8</v>
      </c>
      <c r="D209" s="37" t="s">
        <v>8</v>
      </c>
      <c r="E209" s="36"/>
      <c r="F209" s="36" t="s">
        <v>192</v>
      </c>
      <c r="G209" s="36" t="s">
        <v>1</v>
      </c>
      <c r="H209" s="36">
        <v>0</v>
      </c>
      <c r="I209" s="36" t="s">
        <v>193</v>
      </c>
      <c r="J209" s="36" t="s">
        <v>194</v>
      </c>
      <c r="K209" s="36" t="s">
        <v>195</v>
      </c>
      <c r="L209" s="36">
        <v>923</v>
      </c>
      <c r="M209" s="36"/>
      <c r="N209" s="36" t="s">
        <v>226</v>
      </c>
      <c r="O209" s="36" t="s">
        <v>227</v>
      </c>
      <c r="P209" s="36">
        <v>2</v>
      </c>
      <c r="Q209" s="36" t="s">
        <v>228</v>
      </c>
      <c r="R209" s="37">
        <v>244658</v>
      </c>
      <c r="S209" s="37" t="s">
        <v>8</v>
      </c>
      <c r="T209" s="36" t="s">
        <v>244</v>
      </c>
      <c r="U209" s="36">
        <v>23105820</v>
      </c>
      <c r="V209" s="36" t="s">
        <v>123</v>
      </c>
      <c r="W209" s="36">
        <v>10</v>
      </c>
      <c r="X209" s="36">
        <v>50</v>
      </c>
      <c r="Y209" s="36">
        <v>10</v>
      </c>
      <c r="Z209" s="36">
        <v>50</v>
      </c>
      <c r="AA209" s="36">
        <v>0</v>
      </c>
      <c r="AB209" s="36">
        <v>0</v>
      </c>
      <c r="AC209" s="36">
        <v>0</v>
      </c>
      <c r="AD209" s="36">
        <v>0</v>
      </c>
      <c r="AE209" s="36">
        <v>10</v>
      </c>
      <c r="AF209" s="36">
        <v>50</v>
      </c>
      <c r="AG209" s="36"/>
      <c r="AH209" s="36"/>
      <c r="AI209" s="36" t="s">
        <v>200</v>
      </c>
      <c r="AJ209" s="36" t="s">
        <v>201</v>
      </c>
      <c r="AK209" s="36" t="s">
        <v>202</v>
      </c>
      <c r="AL209" s="36" t="s">
        <v>203</v>
      </c>
      <c r="AM209" s="36" t="s">
        <v>204</v>
      </c>
      <c r="AN209" s="36" t="s">
        <v>222</v>
      </c>
      <c r="AO209" s="36" t="s">
        <v>206</v>
      </c>
      <c r="AP209" s="36">
        <v>2</v>
      </c>
      <c r="AQ209" s="36"/>
      <c r="AR209" s="36"/>
      <c r="AS209" s="36"/>
      <c r="AT209" s="36" t="s">
        <v>207</v>
      </c>
      <c r="AU209" s="36" t="s">
        <v>234</v>
      </c>
      <c r="AV209" s="36" t="s">
        <v>217</v>
      </c>
      <c r="AW209" s="36" t="s">
        <v>209</v>
      </c>
      <c r="AX209" s="36" t="s">
        <v>210</v>
      </c>
      <c r="AY209" s="36">
        <v>0</v>
      </c>
      <c r="AZ209" s="36" t="s">
        <v>211</v>
      </c>
      <c r="BA209" s="36">
        <v>9044989536467</v>
      </c>
      <c r="BB209" s="36"/>
      <c r="BC209" s="36"/>
      <c r="BD209" s="36">
        <v>1</v>
      </c>
      <c r="BE209" s="36"/>
      <c r="BF209" s="36" t="s">
        <v>212</v>
      </c>
      <c r="BG209" s="36">
        <v>1333314600</v>
      </c>
      <c r="BH209" s="36" t="s">
        <v>213</v>
      </c>
      <c r="BI209" s="36">
        <v>10</v>
      </c>
      <c r="BJ209" s="36">
        <v>50</v>
      </c>
      <c r="BK209" s="36">
        <v>1300</v>
      </c>
      <c r="BL209" s="36" t="s">
        <v>214</v>
      </c>
      <c r="BM209" s="36"/>
      <c r="BN209" s="36"/>
    </row>
    <row r="210" spans="1:66" x14ac:dyDescent="0.35">
      <c r="A210" s="36"/>
      <c r="B210" s="36"/>
      <c r="C210" s="37" t="s">
        <v>8</v>
      </c>
      <c r="D210" s="37" t="s">
        <v>8</v>
      </c>
      <c r="E210" s="36"/>
      <c r="F210" s="36" t="s">
        <v>192</v>
      </c>
      <c r="G210" s="36" t="s">
        <v>1</v>
      </c>
      <c r="H210" s="36">
        <v>0</v>
      </c>
      <c r="I210" s="36" t="s">
        <v>193</v>
      </c>
      <c r="J210" s="36" t="s">
        <v>194</v>
      </c>
      <c r="K210" s="36" t="s">
        <v>195</v>
      </c>
      <c r="L210" s="36">
        <v>923</v>
      </c>
      <c r="M210" s="36"/>
      <c r="N210" s="36" t="s">
        <v>226</v>
      </c>
      <c r="O210" s="36" t="s">
        <v>227</v>
      </c>
      <c r="P210" s="36">
        <v>2</v>
      </c>
      <c r="Q210" s="36" t="s">
        <v>228</v>
      </c>
      <c r="R210" s="37">
        <v>244658</v>
      </c>
      <c r="S210" s="37" t="s">
        <v>8</v>
      </c>
      <c r="T210" s="36" t="s">
        <v>244</v>
      </c>
      <c r="U210" s="36">
        <v>23057821</v>
      </c>
      <c r="V210" s="36" t="s">
        <v>22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  <c r="AB210" s="36">
        <v>0</v>
      </c>
      <c r="AC210" s="36">
        <v>0</v>
      </c>
      <c r="AD210" s="36">
        <v>0</v>
      </c>
      <c r="AE210" s="36">
        <v>0</v>
      </c>
      <c r="AF210" s="36">
        <v>0</v>
      </c>
      <c r="AG210" s="36"/>
      <c r="AH210" s="36"/>
      <c r="AI210" s="36" t="s">
        <v>200</v>
      </c>
      <c r="AJ210" s="36" t="s">
        <v>201</v>
      </c>
      <c r="AK210" s="36" t="s">
        <v>202</v>
      </c>
      <c r="AL210" s="36" t="s">
        <v>203</v>
      </c>
      <c r="AM210" s="36" t="s">
        <v>204</v>
      </c>
      <c r="AN210" s="36" t="s">
        <v>222</v>
      </c>
      <c r="AO210" s="36" t="s">
        <v>206</v>
      </c>
      <c r="AP210" s="36">
        <v>2</v>
      </c>
      <c r="AQ210" s="36"/>
      <c r="AR210" s="36"/>
      <c r="AS210" s="36"/>
      <c r="AT210" s="36" t="s">
        <v>207</v>
      </c>
      <c r="AU210" s="36" t="s">
        <v>234</v>
      </c>
      <c r="AV210" s="36" t="s">
        <v>209</v>
      </c>
      <c r="AW210" s="36" t="s">
        <v>209</v>
      </c>
      <c r="AX210" s="36" t="s">
        <v>210</v>
      </c>
      <c r="AY210" s="36">
        <v>0</v>
      </c>
      <c r="AZ210" s="36" t="s">
        <v>211</v>
      </c>
      <c r="BA210" s="36">
        <v>9044989536467</v>
      </c>
      <c r="BB210" s="36"/>
      <c r="BC210" s="36"/>
      <c r="BD210" s="36">
        <v>1</v>
      </c>
      <c r="BE210" s="36"/>
      <c r="BF210" s="36" t="s">
        <v>212</v>
      </c>
      <c r="BG210" s="36">
        <v>1333314600</v>
      </c>
      <c r="BH210" s="36" t="s">
        <v>213</v>
      </c>
      <c r="BI210" s="36">
        <v>0</v>
      </c>
      <c r="BJ210" s="36">
        <v>0</v>
      </c>
      <c r="BK210" s="36">
        <v>1300</v>
      </c>
      <c r="BL210" s="36" t="s">
        <v>214</v>
      </c>
      <c r="BM210" s="36"/>
      <c r="BN210" s="36"/>
    </row>
    <row r="211" spans="1:66" x14ac:dyDescent="0.35">
      <c r="A211" s="36"/>
      <c r="B211" s="36"/>
      <c r="C211" s="37" t="s">
        <v>8</v>
      </c>
      <c r="D211" s="37" t="s">
        <v>8</v>
      </c>
      <c r="E211" s="36"/>
      <c r="F211" s="36" t="s">
        <v>192</v>
      </c>
      <c r="G211" s="36" t="s">
        <v>1</v>
      </c>
      <c r="H211" s="36">
        <v>0</v>
      </c>
      <c r="I211" s="36" t="s">
        <v>193</v>
      </c>
      <c r="J211" s="36" t="s">
        <v>194</v>
      </c>
      <c r="K211" s="36" t="s">
        <v>195</v>
      </c>
      <c r="L211" s="36">
        <v>923</v>
      </c>
      <c r="M211" s="36"/>
      <c r="N211" s="36" t="s">
        <v>226</v>
      </c>
      <c r="O211" s="36" t="s">
        <v>227</v>
      </c>
      <c r="P211" s="36">
        <v>2</v>
      </c>
      <c r="Q211" s="36" t="s">
        <v>228</v>
      </c>
      <c r="R211" s="37">
        <v>244658</v>
      </c>
      <c r="S211" s="37" t="s">
        <v>8</v>
      </c>
      <c r="T211" s="36" t="s">
        <v>244</v>
      </c>
      <c r="U211" s="36">
        <v>23057809</v>
      </c>
      <c r="V211" s="36" t="s">
        <v>18</v>
      </c>
      <c r="W211" s="36">
        <v>100</v>
      </c>
      <c r="X211" s="36">
        <v>100</v>
      </c>
      <c r="Y211" s="36">
        <v>100</v>
      </c>
      <c r="Z211" s="36">
        <v>100</v>
      </c>
      <c r="AA211" s="36">
        <v>0</v>
      </c>
      <c r="AB211" s="36">
        <v>0</v>
      </c>
      <c r="AC211" s="36">
        <v>0</v>
      </c>
      <c r="AD211" s="36">
        <v>0</v>
      </c>
      <c r="AE211" s="36">
        <v>100</v>
      </c>
      <c r="AF211" s="36">
        <v>100</v>
      </c>
      <c r="AG211" s="36"/>
      <c r="AH211" s="36"/>
      <c r="AI211" s="36" t="s">
        <v>200</v>
      </c>
      <c r="AJ211" s="36" t="s">
        <v>201</v>
      </c>
      <c r="AK211" s="36" t="s">
        <v>202</v>
      </c>
      <c r="AL211" s="36" t="s">
        <v>203</v>
      </c>
      <c r="AM211" s="36" t="s">
        <v>204</v>
      </c>
      <c r="AN211" s="36" t="s">
        <v>222</v>
      </c>
      <c r="AO211" s="36" t="s">
        <v>206</v>
      </c>
      <c r="AP211" s="36">
        <v>2</v>
      </c>
      <c r="AQ211" s="36"/>
      <c r="AR211" s="36"/>
      <c r="AS211" s="36"/>
      <c r="AT211" s="36" t="s">
        <v>207</v>
      </c>
      <c r="AU211" s="36" t="s">
        <v>234</v>
      </c>
      <c r="AV211" s="36" t="s">
        <v>209</v>
      </c>
      <c r="AW211" s="36" t="s">
        <v>209</v>
      </c>
      <c r="AX211" s="36" t="s">
        <v>210</v>
      </c>
      <c r="AY211" s="36">
        <v>0</v>
      </c>
      <c r="AZ211" s="36" t="s">
        <v>211</v>
      </c>
      <c r="BA211" s="36">
        <v>9044989536467</v>
      </c>
      <c r="BB211" s="36"/>
      <c r="BC211" s="36"/>
      <c r="BD211" s="36">
        <v>1</v>
      </c>
      <c r="BE211" s="36"/>
      <c r="BF211" s="36" t="s">
        <v>212</v>
      </c>
      <c r="BG211" s="36">
        <v>1333314600</v>
      </c>
      <c r="BH211" s="36" t="s">
        <v>213</v>
      </c>
      <c r="BI211" s="36">
        <v>100</v>
      </c>
      <c r="BJ211" s="36">
        <v>100</v>
      </c>
      <c r="BK211" s="36">
        <v>1300</v>
      </c>
      <c r="BL211" s="36" t="s">
        <v>214</v>
      </c>
      <c r="BM211" s="36"/>
      <c r="BN211" s="36"/>
    </row>
    <row r="212" spans="1:66" x14ac:dyDescent="0.35">
      <c r="A212" s="36"/>
      <c r="B212" s="36"/>
      <c r="C212" s="37" t="s">
        <v>8</v>
      </c>
      <c r="D212" s="37" t="s">
        <v>8</v>
      </c>
      <c r="E212" s="36"/>
      <c r="F212" s="36" t="s">
        <v>192</v>
      </c>
      <c r="G212" s="36" t="s">
        <v>1</v>
      </c>
      <c r="H212" s="36">
        <v>0</v>
      </c>
      <c r="I212" s="36" t="s">
        <v>193</v>
      </c>
      <c r="J212" s="36" t="s">
        <v>194</v>
      </c>
      <c r="K212" s="36" t="s">
        <v>195</v>
      </c>
      <c r="L212" s="36">
        <v>923</v>
      </c>
      <c r="M212" s="36"/>
      <c r="N212" s="36" t="s">
        <v>226</v>
      </c>
      <c r="O212" s="36" t="s">
        <v>227</v>
      </c>
      <c r="P212" s="36">
        <v>2</v>
      </c>
      <c r="Q212" s="36" t="s">
        <v>228</v>
      </c>
      <c r="R212" s="37">
        <v>244658</v>
      </c>
      <c r="S212" s="37" t="s">
        <v>8</v>
      </c>
      <c r="T212" s="36" t="s">
        <v>244</v>
      </c>
      <c r="U212" s="36">
        <v>23058555</v>
      </c>
      <c r="V212" s="36" t="s">
        <v>28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  <c r="AB212" s="36">
        <v>0</v>
      </c>
      <c r="AC212" s="36">
        <v>0</v>
      </c>
      <c r="AD212" s="36">
        <v>0</v>
      </c>
      <c r="AE212" s="36">
        <v>0</v>
      </c>
      <c r="AF212" s="36">
        <v>0</v>
      </c>
      <c r="AG212" s="36"/>
      <c r="AH212" s="36"/>
      <c r="AI212" s="36" t="s">
        <v>200</v>
      </c>
      <c r="AJ212" s="36" t="s">
        <v>201</v>
      </c>
      <c r="AK212" s="36" t="s">
        <v>215</v>
      </c>
      <c r="AL212" s="36" t="s">
        <v>203</v>
      </c>
      <c r="AM212" s="36" t="s">
        <v>204</v>
      </c>
      <c r="AN212" s="36" t="s">
        <v>222</v>
      </c>
      <c r="AO212" s="36" t="s">
        <v>206</v>
      </c>
      <c r="AP212" s="36">
        <v>2</v>
      </c>
      <c r="AQ212" s="36"/>
      <c r="AR212" s="36"/>
      <c r="AS212" s="36"/>
      <c r="AT212" s="36" t="s">
        <v>207</v>
      </c>
      <c r="AU212" s="36" t="s">
        <v>234</v>
      </c>
      <c r="AV212" s="36" t="s">
        <v>209</v>
      </c>
      <c r="AW212" s="36" t="s">
        <v>209</v>
      </c>
      <c r="AX212" s="36" t="s">
        <v>210</v>
      </c>
      <c r="AY212" s="36">
        <v>0</v>
      </c>
      <c r="AZ212" s="36" t="s">
        <v>211</v>
      </c>
      <c r="BA212" s="36">
        <v>9044989536467</v>
      </c>
      <c r="BB212" s="36"/>
      <c r="BC212" s="36"/>
      <c r="BD212" s="36">
        <v>1</v>
      </c>
      <c r="BE212" s="36"/>
      <c r="BF212" s="36" t="s">
        <v>212</v>
      </c>
      <c r="BG212" s="36">
        <v>1333314600</v>
      </c>
      <c r="BH212" s="36" t="s">
        <v>213</v>
      </c>
      <c r="BI212" s="36">
        <v>0</v>
      </c>
      <c r="BJ212" s="36">
        <v>0</v>
      </c>
      <c r="BK212" s="36">
        <v>1300</v>
      </c>
      <c r="BL212" s="36" t="s">
        <v>214</v>
      </c>
      <c r="BM212" s="36"/>
      <c r="BN212" s="36"/>
    </row>
    <row r="213" spans="1:66" x14ac:dyDescent="0.35">
      <c r="A213" s="36"/>
      <c r="B213" s="36"/>
      <c r="C213" s="37" t="s">
        <v>8</v>
      </c>
      <c r="D213" s="37" t="s">
        <v>8</v>
      </c>
      <c r="E213" s="36"/>
      <c r="F213" s="36" t="s">
        <v>192</v>
      </c>
      <c r="G213" s="36" t="s">
        <v>1</v>
      </c>
      <c r="H213" s="36">
        <v>0</v>
      </c>
      <c r="I213" s="36" t="s">
        <v>193</v>
      </c>
      <c r="J213" s="36" t="s">
        <v>194</v>
      </c>
      <c r="K213" s="36" t="s">
        <v>195</v>
      </c>
      <c r="L213" s="36">
        <v>923</v>
      </c>
      <c r="M213" s="36"/>
      <c r="N213" s="36" t="s">
        <v>226</v>
      </c>
      <c r="O213" s="36" t="s">
        <v>227</v>
      </c>
      <c r="P213" s="36">
        <v>2</v>
      </c>
      <c r="Q213" s="36" t="s">
        <v>228</v>
      </c>
      <c r="R213" s="37">
        <v>244658</v>
      </c>
      <c r="S213" s="37" t="s">
        <v>8</v>
      </c>
      <c r="T213" s="36" t="s">
        <v>244</v>
      </c>
      <c r="U213" s="36">
        <v>23088348</v>
      </c>
      <c r="V213" s="36" t="s">
        <v>57</v>
      </c>
      <c r="W213" s="36">
        <v>50</v>
      </c>
      <c r="X213" s="36">
        <v>50</v>
      </c>
      <c r="Y213" s="36">
        <v>50</v>
      </c>
      <c r="Z213" s="36">
        <v>50</v>
      </c>
      <c r="AA213" s="36">
        <v>0</v>
      </c>
      <c r="AB213" s="36">
        <v>0</v>
      </c>
      <c r="AC213" s="36">
        <v>0</v>
      </c>
      <c r="AD213" s="36">
        <v>0</v>
      </c>
      <c r="AE213" s="36">
        <v>50</v>
      </c>
      <c r="AF213" s="36">
        <v>50</v>
      </c>
      <c r="AG213" s="36"/>
      <c r="AH213" s="36"/>
      <c r="AI213" s="36" t="s">
        <v>200</v>
      </c>
      <c r="AJ213" s="36" t="s">
        <v>201</v>
      </c>
      <c r="AK213" s="36" t="s">
        <v>215</v>
      </c>
      <c r="AL213" s="36" t="s">
        <v>203</v>
      </c>
      <c r="AM213" s="36" t="s">
        <v>204</v>
      </c>
      <c r="AN213" s="36" t="s">
        <v>222</v>
      </c>
      <c r="AO213" s="36" t="s">
        <v>206</v>
      </c>
      <c r="AP213" s="36">
        <v>2</v>
      </c>
      <c r="AQ213" s="36"/>
      <c r="AR213" s="36"/>
      <c r="AS213" s="36"/>
      <c r="AT213" s="36" t="s">
        <v>207</v>
      </c>
      <c r="AU213" s="36" t="s">
        <v>234</v>
      </c>
      <c r="AV213" s="36" t="s">
        <v>209</v>
      </c>
      <c r="AW213" s="36" t="s">
        <v>209</v>
      </c>
      <c r="AX213" s="36" t="s">
        <v>210</v>
      </c>
      <c r="AY213" s="36">
        <v>0</v>
      </c>
      <c r="AZ213" s="36" t="s">
        <v>211</v>
      </c>
      <c r="BA213" s="36">
        <v>9044989536467</v>
      </c>
      <c r="BB213" s="36"/>
      <c r="BC213" s="36"/>
      <c r="BD213" s="36">
        <v>1</v>
      </c>
      <c r="BE213" s="36"/>
      <c r="BF213" s="36" t="s">
        <v>212</v>
      </c>
      <c r="BG213" s="36">
        <v>1333314600</v>
      </c>
      <c r="BH213" s="36" t="s">
        <v>213</v>
      </c>
      <c r="BI213" s="36">
        <v>50</v>
      </c>
      <c r="BJ213" s="36">
        <v>50</v>
      </c>
      <c r="BK213" s="36">
        <v>1300</v>
      </c>
      <c r="BL213" s="36" t="s">
        <v>214</v>
      </c>
      <c r="BM213" s="36"/>
      <c r="BN213" s="36"/>
    </row>
    <row r="214" spans="1:66" x14ac:dyDescent="0.35">
      <c r="A214" s="36"/>
      <c r="B214" s="36"/>
      <c r="C214" s="37" t="s">
        <v>8</v>
      </c>
      <c r="D214" s="37" t="s">
        <v>8</v>
      </c>
      <c r="E214" s="36"/>
      <c r="F214" s="36" t="s">
        <v>192</v>
      </c>
      <c r="G214" s="36" t="s">
        <v>1</v>
      </c>
      <c r="H214" s="36">
        <v>0</v>
      </c>
      <c r="I214" s="36" t="s">
        <v>193</v>
      </c>
      <c r="J214" s="36" t="s">
        <v>194</v>
      </c>
      <c r="K214" s="36" t="s">
        <v>195</v>
      </c>
      <c r="L214" s="36">
        <v>923</v>
      </c>
      <c r="M214" s="36"/>
      <c r="N214" s="36" t="s">
        <v>226</v>
      </c>
      <c r="O214" s="36" t="s">
        <v>227</v>
      </c>
      <c r="P214" s="36">
        <v>2</v>
      </c>
      <c r="Q214" s="36" t="s">
        <v>228</v>
      </c>
      <c r="R214" s="37">
        <v>244658</v>
      </c>
      <c r="S214" s="37" t="s">
        <v>8</v>
      </c>
      <c r="T214" s="36" t="s">
        <v>244</v>
      </c>
      <c r="U214" s="36">
        <v>23088112</v>
      </c>
      <c r="V214" s="36" t="s">
        <v>56</v>
      </c>
      <c r="W214" s="36">
        <v>5</v>
      </c>
      <c r="X214" s="36">
        <v>5</v>
      </c>
      <c r="Y214" s="36">
        <v>5</v>
      </c>
      <c r="Z214" s="36">
        <v>5</v>
      </c>
      <c r="AA214" s="36">
        <v>0</v>
      </c>
      <c r="AB214" s="36">
        <v>0</v>
      </c>
      <c r="AC214" s="36">
        <v>0</v>
      </c>
      <c r="AD214" s="36">
        <v>0</v>
      </c>
      <c r="AE214" s="36">
        <v>5</v>
      </c>
      <c r="AF214" s="36">
        <v>5</v>
      </c>
      <c r="AG214" s="36"/>
      <c r="AH214" s="36"/>
      <c r="AI214" s="36" t="s">
        <v>200</v>
      </c>
      <c r="AJ214" s="36" t="s">
        <v>201</v>
      </c>
      <c r="AK214" s="36" t="s">
        <v>215</v>
      </c>
      <c r="AL214" s="36" t="s">
        <v>203</v>
      </c>
      <c r="AM214" s="36" t="s">
        <v>204</v>
      </c>
      <c r="AN214" s="36" t="s">
        <v>222</v>
      </c>
      <c r="AO214" s="36" t="s">
        <v>206</v>
      </c>
      <c r="AP214" s="36">
        <v>2</v>
      </c>
      <c r="AQ214" s="36"/>
      <c r="AR214" s="36"/>
      <c r="AS214" s="36"/>
      <c r="AT214" s="36" t="s">
        <v>207</v>
      </c>
      <c r="AU214" s="36" t="s">
        <v>234</v>
      </c>
      <c r="AV214" s="36" t="s">
        <v>209</v>
      </c>
      <c r="AW214" s="36" t="s">
        <v>209</v>
      </c>
      <c r="AX214" s="36" t="s">
        <v>210</v>
      </c>
      <c r="AY214" s="36">
        <v>0</v>
      </c>
      <c r="AZ214" s="36" t="s">
        <v>211</v>
      </c>
      <c r="BA214" s="36">
        <v>9044989536467</v>
      </c>
      <c r="BB214" s="36"/>
      <c r="BC214" s="36"/>
      <c r="BD214" s="36">
        <v>1</v>
      </c>
      <c r="BE214" s="36"/>
      <c r="BF214" s="36" t="s">
        <v>212</v>
      </c>
      <c r="BG214" s="36">
        <v>1333314600</v>
      </c>
      <c r="BH214" s="36" t="s">
        <v>213</v>
      </c>
      <c r="BI214" s="36">
        <v>5</v>
      </c>
      <c r="BJ214" s="36">
        <v>5</v>
      </c>
      <c r="BK214" s="36">
        <v>1300</v>
      </c>
      <c r="BL214" s="36" t="s">
        <v>214</v>
      </c>
      <c r="BM214" s="36"/>
      <c r="BN214" s="36"/>
    </row>
    <row r="215" spans="1:66" x14ac:dyDescent="0.35">
      <c r="A215" s="36"/>
      <c r="B215" s="36"/>
      <c r="C215" s="37" t="s">
        <v>8</v>
      </c>
      <c r="D215" s="37" t="s">
        <v>8</v>
      </c>
      <c r="E215" s="36"/>
      <c r="F215" s="36" t="s">
        <v>192</v>
      </c>
      <c r="G215" s="36" t="s">
        <v>1</v>
      </c>
      <c r="H215" s="36">
        <v>0</v>
      </c>
      <c r="I215" s="36" t="s">
        <v>193</v>
      </c>
      <c r="J215" s="36" t="s">
        <v>194</v>
      </c>
      <c r="K215" s="36" t="s">
        <v>195</v>
      </c>
      <c r="L215" s="36">
        <v>923</v>
      </c>
      <c r="M215" s="36"/>
      <c r="N215" s="36" t="s">
        <v>226</v>
      </c>
      <c r="O215" s="36" t="s">
        <v>227</v>
      </c>
      <c r="P215" s="36">
        <v>2</v>
      </c>
      <c r="Q215" s="36" t="s">
        <v>228</v>
      </c>
      <c r="R215" s="37">
        <v>244658</v>
      </c>
      <c r="S215" s="37" t="s">
        <v>8</v>
      </c>
      <c r="T215" s="36" t="s">
        <v>244</v>
      </c>
      <c r="U215" s="36">
        <v>23058551</v>
      </c>
      <c r="V215" s="36" t="s">
        <v>25</v>
      </c>
      <c r="W215" s="36">
        <v>20</v>
      </c>
      <c r="X215" s="36">
        <v>20</v>
      </c>
      <c r="Y215" s="36">
        <v>20</v>
      </c>
      <c r="Z215" s="36">
        <v>20</v>
      </c>
      <c r="AA215" s="36">
        <v>0</v>
      </c>
      <c r="AB215" s="36">
        <v>0</v>
      </c>
      <c r="AC215" s="36">
        <v>0</v>
      </c>
      <c r="AD215" s="36">
        <v>0</v>
      </c>
      <c r="AE215" s="36">
        <v>20</v>
      </c>
      <c r="AF215" s="36">
        <v>20</v>
      </c>
      <c r="AG215" s="36"/>
      <c r="AH215" s="36"/>
      <c r="AI215" s="36" t="s">
        <v>200</v>
      </c>
      <c r="AJ215" s="36" t="s">
        <v>201</v>
      </c>
      <c r="AK215" s="36" t="s">
        <v>202</v>
      </c>
      <c r="AL215" s="36" t="s">
        <v>203</v>
      </c>
      <c r="AM215" s="36" t="s">
        <v>204</v>
      </c>
      <c r="AN215" s="36" t="s">
        <v>222</v>
      </c>
      <c r="AO215" s="36" t="s">
        <v>206</v>
      </c>
      <c r="AP215" s="36">
        <v>2</v>
      </c>
      <c r="AQ215" s="36"/>
      <c r="AR215" s="36"/>
      <c r="AS215" s="36"/>
      <c r="AT215" s="36" t="s">
        <v>207</v>
      </c>
      <c r="AU215" s="36" t="s">
        <v>234</v>
      </c>
      <c r="AV215" s="36" t="s">
        <v>209</v>
      </c>
      <c r="AW215" s="36" t="s">
        <v>209</v>
      </c>
      <c r="AX215" s="36" t="s">
        <v>210</v>
      </c>
      <c r="AY215" s="36">
        <v>0</v>
      </c>
      <c r="AZ215" s="36" t="s">
        <v>211</v>
      </c>
      <c r="BA215" s="36">
        <v>9044989536467</v>
      </c>
      <c r="BB215" s="36"/>
      <c r="BC215" s="36"/>
      <c r="BD215" s="36">
        <v>1</v>
      </c>
      <c r="BE215" s="36"/>
      <c r="BF215" s="36" t="s">
        <v>212</v>
      </c>
      <c r="BG215" s="36">
        <v>1333314600</v>
      </c>
      <c r="BH215" s="36" t="s">
        <v>213</v>
      </c>
      <c r="BI215" s="36">
        <v>20</v>
      </c>
      <c r="BJ215" s="36">
        <v>20</v>
      </c>
      <c r="BK215" s="36">
        <v>1300</v>
      </c>
      <c r="BL215" s="36" t="s">
        <v>214</v>
      </c>
      <c r="BM215" s="36"/>
      <c r="BN215" s="36"/>
    </row>
    <row r="216" spans="1:66" x14ac:dyDescent="0.35">
      <c r="A216" s="36"/>
      <c r="B216" s="36"/>
      <c r="C216" s="37" t="s">
        <v>8</v>
      </c>
      <c r="D216" s="37" t="s">
        <v>8</v>
      </c>
      <c r="E216" s="36"/>
      <c r="F216" s="36" t="s">
        <v>192</v>
      </c>
      <c r="G216" s="36" t="s">
        <v>1</v>
      </c>
      <c r="H216" s="36">
        <v>0</v>
      </c>
      <c r="I216" s="36" t="s">
        <v>193</v>
      </c>
      <c r="J216" s="36" t="s">
        <v>194</v>
      </c>
      <c r="K216" s="36" t="s">
        <v>195</v>
      </c>
      <c r="L216" s="36">
        <v>923</v>
      </c>
      <c r="M216" s="36"/>
      <c r="N216" s="36" t="s">
        <v>226</v>
      </c>
      <c r="O216" s="36" t="s">
        <v>227</v>
      </c>
      <c r="P216" s="36">
        <v>2</v>
      </c>
      <c r="Q216" s="36" t="s">
        <v>228</v>
      </c>
      <c r="R216" s="37">
        <v>244658</v>
      </c>
      <c r="S216" s="37" t="s">
        <v>8</v>
      </c>
      <c r="T216" s="36" t="s">
        <v>244</v>
      </c>
      <c r="U216" s="36">
        <v>23098995</v>
      </c>
      <c r="V216" s="36" t="s">
        <v>70</v>
      </c>
      <c r="W216" s="36">
        <v>0</v>
      </c>
      <c r="X216" s="36">
        <v>0</v>
      </c>
      <c r="Y216" s="36">
        <v>0</v>
      </c>
      <c r="Z216" s="36">
        <v>0</v>
      </c>
      <c r="AA216" s="36">
        <v>0</v>
      </c>
      <c r="AB216" s="36">
        <v>0</v>
      </c>
      <c r="AC216" s="36">
        <v>0</v>
      </c>
      <c r="AD216" s="36">
        <v>0</v>
      </c>
      <c r="AE216" s="36">
        <v>0</v>
      </c>
      <c r="AF216" s="36">
        <v>0</v>
      </c>
      <c r="AG216" s="36"/>
      <c r="AH216" s="36"/>
      <c r="AI216" s="36" t="s">
        <v>200</v>
      </c>
      <c r="AJ216" s="36" t="s">
        <v>201</v>
      </c>
      <c r="AK216" s="36" t="s">
        <v>215</v>
      </c>
      <c r="AL216" s="36" t="s">
        <v>203</v>
      </c>
      <c r="AM216" s="36" t="s">
        <v>204</v>
      </c>
      <c r="AN216" s="36" t="s">
        <v>222</v>
      </c>
      <c r="AO216" s="36" t="s">
        <v>206</v>
      </c>
      <c r="AP216" s="36">
        <v>2</v>
      </c>
      <c r="AQ216" s="36"/>
      <c r="AR216" s="36"/>
      <c r="AS216" s="36"/>
      <c r="AT216" s="36" t="s">
        <v>207</v>
      </c>
      <c r="AU216" s="36" t="s">
        <v>234</v>
      </c>
      <c r="AV216" s="36" t="s">
        <v>209</v>
      </c>
      <c r="AW216" s="36" t="s">
        <v>209</v>
      </c>
      <c r="AX216" s="36" t="s">
        <v>210</v>
      </c>
      <c r="AY216" s="36">
        <v>0</v>
      </c>
      <c r="AZ216" s="36" t="s">
        <v>211</v>
      </c>
      <c r="BA216" s="36">
        <v>9044989536467</v>
      </c>
      <c r="BB216" s="36"/>
      <c r="BC216" s="36"/>
      <c r="BD216" s="36">
        <v>1</v>
      </c>
      <c r="BE216" s="36"/>
      <c r="BF216" s="36" t="s">
        <v>212</v>
      </c>
      <c r="BG216" s="36">
        <v>1333314600</v>
      </c>
      <c r="BH216" s="36" t="s">
        <v>213</v>
      </c>
      <c r="BI216" s="36">
        <v>0</v>
      </c>
      <c r="BJ216" s="36">
        <v>0</v>
      </c>
      <c r="BK216" s="36">
        <v>1300</v>
      </c>
      <c r="BL216" s="36" t="s">
        <v>214</v>
      </c>
      <c r="BM216" s="36"/>
      <c r="BN216" s="36"/>
    </row>
    <row r="217" spans="1:66" x14ac:dyDescent="0.35">
      <c r="A217" s="36"/>
      <c r="B217" s="36"/>
      <c r="C217" s="37" t="s">
        <v>8</v>
      </c>
      <c r="D217" s="37" t="s">
        <v>8</v>
      </c>
      <c r="E217" s="36"/>
      <c r="F217" s="36" t="s">
        <v>192</v>
      </c>
      <c r="G217" s="36" t="s">
        <v>1</v>
      </c>
      <c r="H217" s="36">
        <v>0</v>
      </c>
      <c r="I217" s="36" t="s">
        <v>193</v>
      </c>
      <c r="J217" s="36" t="s">
        <v>194</v>
      </c>
      <c r="K217" s="36" t="s">
        <v>195</v>
      </c>
      <c r="L217" s="36">
        <v>923</v>
      </c>
      <c r="M217" s="36"/>
      <c r="N217" s="36" t="s">
        <v>226</v>
      </c>
      <c r="O217" s="36" t="s">
        <v>227</v>
      </c>
      <c r="P217" s="36">
        <v>2</v>
      </c>
      <c r="Q217" s="36" t="s">
        <v>228</v>
      </c>
      <c r="R217" s="37">
        <v>244658</v>
      </c>
      <c r="S217" s="37" t="s">
        <v>8</v>
      </c>
      <c r="T217" s="36" t="s">
        <v>244</v>
      </c>
      <c r="U217" s="36">
        <v>23105753</v>
      </c>
      <c r="V217" s="36" t="s">
        <v>75</v>
      </c>
      <c r="W217" s="36">
        <v>30</v>
      </c>
      <c r="X217" s="36">
        <v>30</v>
      </c>
      <c r="Y217" s="36">
        <v>30</v>
      </c>
      <c r="Z217" s="36">
        <v>30</v>
      </c>
      <c r="AA217" s="36">
        <v>0</v>
      </c>
      <c r="AB217" s="36">
        <v>0</v>
      </c>
      <c r="AC217" s="36">
        <v>0</v>
      </c>
      <c r="AD217" s="36">
        <v>0</v>
      </c>
      <c r="AE217" s="36">
        <v>30</v>
      </c>
      <c r="AF217" s="36">
        <v>30</v>
      </c>
      <c r="AG217" s="36"/>
      <c r="AH217" s="36"/>
      <c r="AI217" s="36" t="s">
        <v>200</v>
      </c>
      <c r="AJ217" s="36" t="s">
        <v>201</v>
      </c>
      <c r="AK217" s="36" t="s">
        <v>202</v>
      </c>
      <c r="AL217" s="36" t="s">
        <v>203</v>
      </c>
      <c r="AM217" s="36" t="s">
        <v>204</v>
      </c>
      <c r="AN217" s="36" t="s">
        <v>222</v>
      </c>
      <c r="AO217" s="36" t="s">
        <v>206</v>
      </c>
      <c r="AP217" s="36">
        <v>2</v>
      </c>
      <c r="AQ217" s="36"/>
      <c r="AR217" s="36"/>
      <c r="AS217" s="36"/>
      <c r="AT217" s="36" t="s">
        <v>207</v>
      </c>
      <c r="AU217" s="36" t="s">
        <v>234</v>
      </c>
      <c r="AV217" s="36" t="s">
        <v>209</v>
      </c>
      <c r="AW217" s="36" t="s">
        <v>209</v>
      </c>
      <c r="AX217" s="36" t="s">
        <v>210</v>
      </c>
      <c r="AY217" s="36">
        <v>0</v>
      </c>
      <c r="AZ217" s="36" t="s">
        <v>211</v>
      </c>
      <c r="BA217" s="36">
        <v>9044989536467</v>
      </c>
      <c r="BB217" s="36"/>
      <c r="BC217" s="36"/>
      <c r="BD217" s="36">
        <v>1</v>
      </c>
      <c r="BE217" s="36"/>
      <c r="BF217" s="36" t="s">
        <v>212</v>
      </c>
      <c r="BG217" s="36">
        <v>1333314600</v>
      </c>
      <c r="BH217" s="36" t="s">
        <v>213</v>
      </c>
      <c r="BI217" s="36">
        <v>30</v>
      </c>
      <c r="BJ217" s="36">
        <v>30</v>
      </c>
      <c r="BK217" s="36">
        <v>1300</v>
      </c>
      <c r="BL217" s="36" t="s">
        <v>214</v>
      </c>
      <c r="BM217" s="36"/>
      <c r="BN217" s="36"/>
    </row>
    <row r="218" spans="1:66" x14ac:dyDescent="0.35">
      <c r="A218" s="36"/>
      <c r="B218" s="36"/>
      <c r="C218" s="37" t="s">
        <v>8</v>
      </c>
      <c r="D218" s="37" t="s">
        <v>8</v>
      </c>
      <c r="E218" s="36"/>
      <c r="F218" s="36" t="s">
        <v>192</v>
      </c>
      <c r="G218" s="36" t="s">
        <v>1</v>
      </c>
      <c r="H218" s="36">
        <v>0</v>
      </c>
      <c r="I218" s="36" t="s">
        <v>193</v>
      </c>
      <c r="J218" s="36" t="s">
        <v>194</v>
      </c>
      <c r="K218" s="36" t="s">
        <v>195</v>
      </c>
      <c r="L218" s="36">
        <v>923</v>
      </c>
      <c r="M218" s="36"/>
      <c r="N218" s="36" t="s">
        <v>226</v>
      </c>
      <c r="O218" s="36" t="s">
        <v>227</v>
      </c>
      <c r="P218" s="36">
        <v>2</v>
      </c>
      <c r="Q218" s="36" t="s">
        <v>228</v>
      </c>
      <c r="R218" s="37">
        <v>244658</v>
      </c>
      <c r="S218" s="37" t="s">
        <v>8</v>
      </c>
      <c r="T218" s="36" t="s">
        <v>244</v>
      </c>
      <c r="U218" s="36">
        <v>23071881</v>
      </c>
      <c r="V218" s="36" t="s">
        <v>48</v>
      </c>
      <c r="W218" s="36">
        <v>1</v>
      </c>
      <c r="X218" s="36">
        <v>5</v>
      </c>
      <c r="Y218" s="36">
        <v>1</v>
      </c>
      <c r="Z218" s="36">
        <v>5</v>
      </c>
      <c r="AA218" s="36">
        <v>0</v>
      </c>
      <c r="AB218" s="36">
        <v>0</v>
      </c>
      <c r="AC218" s="36">
        <v>0</v>
      </c>
      <c r="AD218" s="36">
        <v>0</v>
      </c>
      <c r="AE218" s="36">
        <v>1</v>
      </c>
      <c r="AF218" s="36">
        <v>5</v>
      </c>
      <c r="AG218" s="36"/>
      <c r="AH218" s="36"/>
      <c r="AI218" s="36" t="s">
        <v>200</v>
      </c>
      <c r="AJ218" s="36" t="s">
        <v>201</v>
      </c>
      <c r="AK218" s="36" t="s">
        <v>202</v>
      </c>
      <c r="AL218" s="36" t="s">
        <v>203</v>
      </c>
      <c r="AM218" s="36" t="s">
        <v>204</v>
      </c>
      <c r="AN218" s="36" t="s">
        <v>222</v>
      </c>
      <c r="AO218" s="36" t="s">
        <v>206</v>
      </c>
      <c r="AP218" s="36">
        <v>2</v>
      </c>
      <c r="AQ218" s="36"/>
      <c r="AR218" s="36"/>
      <c r="AS218" s="36"/>
      <c r="AT218" s="36" t="s">
        <v>207</v>
      </c>
      <c r="AU218" s="36" t="s">
        <v>234</v>
      </c>
      <c r="AV218" s="36" t="s">
        <v>217</v>
      </c>
      <c r="AW218" s="36" t="s">
        <v>209</v>
      </c>
      <c r="AX218" s="36" t="s">
        <v>210</v>
      </c>
      <c r="AY218" s="36">
        <v>0</v>
      </c>
      <c r="AZ218" s="36" t="s">
        <v>211</v>
      </c>
      <c r="BA218" s="36">
        <v>9044989536467</v>
      </c>
      <c r="BB218" s="36"/>
      <c r="BC218" s="36"/>
      <c r="BD218" s="36">
        <v>1</v>
      </c>
      <c r="BE218" s="36"/>
      <c r="BF218" s="36" t="s">
        <v>212</v>
      </c>
      <c r="BG218" s="36">
        <v>1333314600</v>
      </c>
      <c r="BH218" s="36" t="s">
        <v>213</v>
      </c>
      <c r="BI218" s="36">
        <v>1</v>
      </c>
      <c r="BJ218" s="36">
        <v>5</v>
      </c>
      <c r="BK218" s="36">
        <v>1300</v>
      </c>
      <c r="BL218" s="36" t="s">
        <v>214</v>
      </c>
      <c r="BM218" s="36"/>
      <c r="BN218" s="36"/>
    </row>
    <row r="219" spans="1:66" x14ac:dyDescent="0.35">
      <c r="A219" s="36"/>
      <c r="B219" s="36"/>
      <c r="C219" s="37" t="s">
        <v>8</v>
      </c>
      <c r="D219" s="37" t="s">
        <v>8</v>
      </c>
      <c r="E219" s="36"/>
      <c r="F219" s="36" t="s">
        <v>192</v>
      </c>
      <c r="G219" s="36" t="s">
        <v>1</v>
      </c>
      <c r="H219" s="36">
        <v>0</v>
      </c>
      <c r="I219" s="36" t="s">
        <v>193</v>
      </c>
      <c r="J219" s="36" t="s">
        <v>194</v>
      </c>
      <c r="K219" s="36" t="s">
        <v>195</v>
      </c>
      <c r="L219" s="36">
        <v>923</v>
      </c>
      <c r="M219" s="36"/>
      <c r="N219" s="36" t="s">
        <v>226</v>
      </c>
      <c r="O219" s="36" t="s">
        <v>227</v>
      </c>
      <c r="P219" s="36">
        <v>2</v>
      </c>
      <c r="Q219" s="36" t="s">
        <v>228</v>
      </c>
      <c r="R219" s="37">
        <v>244658</v>
      </c>
      <c r="S219" s="37" t="s">
        <v>8</v>
      </c>
      <c r="T219" s="36" t="s">
        <v>244</v>
      </c>
      <c r="U219" s="36">
        <v>23087034</v>
      </c>
      <c r="V219" s="36" t="s">
        <v>54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  <c r="AB219" s="36">
        <v>0</v>
      </c>
      <c r="AC219" s="36">
        <v>0</v>
      </c>
      <c r="AD219" s="36">
        <v>0</v>
      </c>
      <c r="AE219" s="36">
        <v>0</v>
      </c>
      <c r="AF219" s="36">
        <v>0</v>
      </c>
      <c r="AG219" s="36"/>
      <c r="AH219" s="36"/>
      <c r="AI219" s="36" t="s">
        <v>200</v>
      </c>
      <c r="AJ219" s="36" t="s">
        <v>201</v>
      </c>
      <c r="AK219" s="36" t="s">
        <v>202</v>
      </c>
      <c r="AL219" s="36" t="s">
        <v>203</v>
      </c>
      <c r="AM219" s="36" t="s">
        <v>204</v>
      </c>
      <c r="AN219" s="36" t="s">
        <v>222</v>
      </c>
      <c r="AO219" s="36" t="s">
        <v>206</v>
      </c>
      <c r="AP219" s="36">
        <v>2</v>
      </c>
      <c r="AQ219" s="36"/>
      <c r="AR219" s="36"/>
      <c r="AS219" s="36"/>
      <c r="AT219" s="36" t="s">
        <v>207</v>
      </c>
      <c r="AU219" s="36" t="s">
        <v>234</v>
      </c>
      <c r="AV219" s="36" t="s">
        <v>209</v>
      </c>
      <c r="AW219" s="36" t="s">
        <v>209</v>
      </c>
      <c r="AX219" s="36" t="s">
        <v>210</v>
      </c>
      <c r="AY219" s="36">
        <v>0</v>
      </c>
      <c r="AZ219" s="36" t="s">
        <v>211</v>
      </c>
      <c r="BA219" s="36">
        <v>9044989536467</v>
      </c>
      <c r="BB219" s="36"/>
      <c r="BC219" s="36"/>
      <c r="BD219" s="36">
        <v>1</v>
      </c>
      <c r="BE219" s="36"/>
      <c r="BF219" s="36" t="s">
        <v>212</v>
      </c>
      <c r="BG219" s="36">
        <v>1333314600</v>
      </c>
      <c r="BH219" s="36" t="s">
        <v>213</v>
      </c>
      <c r="BI219" s="36">
        <v>0</v>
      </c>
      <c r="BJ219" s="36">
        <v>0</v>
      </c>
      <c r="BK219" s="36">
        <v>1300</v>
      </c>
      <c r="BL219" s="36" t="s">
        <v>214</v>
      </c>
      <c r="BM219" s="36"/>
      <c r="BN219" s="36"/>
    </row>
    <row r="220" spans="1:66" x14ac:dyDescent="0.35">
      <c r="A220" s="36"/>
      <c r="B220" s="36"/>
      <c r="C220" s="37" t="s">
        <v>8</v>
      </c>
      <c r="D220" s="37" t="s">
        <v>8</v>
      </c>
      <c r="E220" s="36"/>
      <c r="F220" s="36" t="s">
        <v>192</v>
      </c>
      <c r="G220" s="36" t="s">
        <v>1</v>
      </c>
      <c r="H220" s="36">
        <v>0</v>
      </c>
      <c r="I220" s="36" t="s">
        <v>193</v>
      </c>
      <c r="J220" s="36" t="s">
        <v>194</v>
      </c>
      <c r="K220" s="36" t="s">
        <v>195</v>
      </c>
      <c r="L220" s="36">
        <v>923</v>
      </c>
      <c r="M220" s="36"/>
      <c r="N220" s="36" t="s">
        <v>226</v>
      </c>
      <c r="O220" s="36" t="s">
        <v>227</v>
      </c>
      <c r="P220" s="36">
        <v>2</v>
      </c>
      <c r="Q220" s="36" t="s">
        <v>228</v>
      </c>
      <c r="R220" s="37">
        <v>244658</v>
      </c>
      <c r="S220" s="37" t="s">
        <v>8</v>
      </c>
      <c r="T220" s="36" t="s">
        <v>244</v>
      </c>
      <c r="U220" s="36">
        <v>23057818</v>
      </c>
      <c r="V220" s="36" t="s">
        <v>21</v>
      </c>
      <c r="W220" s="36">
        <v>10</v>
      </c>
      <c r="X220" s="36">
        <v>10</v>
      </c>
      <c r="Y220" s="36">
        <v>10</v>
      </c>
      <c r="Z220" s="36">
        <v>10</v>
      </c>
      <c r="AA220" s="36">
        <v>0</v>
      </c>
      <c r="AB220" s="36">
        <v>0</v>
      </c>
      <c r="AC220" s="36">
        <v>0</v>
      </c>
      <c r="AD220" s="36">
        <v>0</v>
      </c>
      <c r="AE220" s="36">
        <v>10</v>
      </c>
      <c r="AF220" s="36">
        <v>10</v>
      </c>
      <c r="AG220" s="36"/>
      <c r="AH220" s="36"/>
      <c r="AI220" s="36" t="s">
        <v>200</v>
      </c>
      <c r="AJ220" s="36" t="s">
        <v>201</v>
      </c>
      <c r="AK220" s="36" t="s">
        <v>202</v>
      </c>
      <c r="AL220" s="36" t="s">
        <v>203</v>
      </c>
      <c r="AM220" s="36" t="s">
        <v>204</v>
      </c>
      <c r="AN220" s="36" t="s">
        <v>222</v>
      </c>
      <c r="AO220" s="36" t="s">
        <v>206</v>
      </c>
      <c r="AP220" s="36">
        <v>2</v>
      </c>
      <c r="AQ220" s="36"/>
      <c r="AR220" s="36"/>
      <c r="AS220" s="36"/>
      <c r="AT220" s="36" t="s">
        <v>207</v>
      </c>
      <c r="AU220" s="36" t="s">
        <v>234</v>
      </c>
      <c r="AV220" s="36" t="s">
        <v>209</v>
      </c>
      <c r="AW220" s="36" t="s">
        <v>209</v>
      </c>
      <c r="AX220" s="36" t="s">
        <v>210</v>
      </c>
      <c r="AY220" s="36">
        <v>0</v>
      </c>
      <c r="AZ220" s="36" t="s">
        <v>211</v>
      </c>
      <c r="BA220" s="36">
        <v>9044989536467</v>
      </c>
      <c r="BB220" s="36"/>
      <c r="BC220" s="36"/>
      <c r="BD220" s="36">
        <v>1</v>
      </c>
      <c r="BE220" s="36"/>
      <c r="BF220" s="36" t="s">
        <v>212</v>
      </c>
      <c r="BG220" s="36">
        <v>1333314600</v>
      </c>
      <c r="BH220" s="36" t="s">
        <v>213</v>
      </c>
      <c r="BI220" s="36">
        <v>10</v>
      </c>
      <c r="BJ220" s="36">
        <v>10</v>
      </c>
      <c r="BK220" s="36">
        <v>1300</v>
      </c>
      <c r="BL220" s="36" t="s">
        <v>214</v>
      </c>
      <c r="BM220" s="36"/>
      <c r="BN220" s="36"/>
    </row>
    <row r="221" spans="1:66" x14ac:dyDescent="0.35">
      <c r="A221" s="36"/>
      <c r="B221" s="36"/>
      <c r="C221" s="37" t="s">
        <v>8</v>
      </c>
      <c r="D221" s="37" t="s">
        <v>8</v>
      </c>
      <c r="E221" s="36"/>
      <c r="F221" s="36" t="s">
        <v>192</v>
      </c>
      <c r="G221" s="36" t="s">
        <v>1</v>
      </c>
      <c r="H221" s="36">
        <v>0</v>
      </c>
      <c r="I221" s="36" t="s">
        <v>193</v>
      </c>
      <c r="J221" s="36" t="s">
        <v>194</v>
      </c>
      <c r="K221" s="36" t="s">
        <v>195</v>
      </c>
      <c r="L221" s="36">
        <v>923</v>
      </c>
      <c r="M221" s="36"/>
      <c r="N221" s="36" t="s">
        <v>226</v>
      </c>
      <c r="O221" s="36" t="s">
        <v>227</v>
      </c>
      <c r="P221" s="36">
        <v>2</v>
      </c>
      <c r="Q221" s="36" t="s">
        <v>228</v>
      </c>
      <c r="R221" s="37">
        <v>244658</v>
      </c>
      <c r="S221" s="37" t="s">
        <v>8</v>
      </c>
      <c r="T221" s="36" t="s">
        <v>244</v>
      </c>
      <c r="U221" s="36">
        <v>23058588</v>
      </c>
      <c r="V221" s="36" t="s">
        <v>114</v>
      </c>
      <c r="W221" s="36">
        <v>5</v>
      </c>
      <c r="X221" s="36">
        <v>5</v>
      </c>
      <c r="Y221" s="36">
        <v>5</v>
      </c>
      <c r="Z221" s="36">
        <v>5</v>
      </c>
      <c r="AA221" s="36">
        <v>0</v>
      </c>
      <c r="AB221" s="36">
        <v>0</v>
      </c>
      <c r="AC221" s="36">
        <v>0</v>
      </c>
      <c r="AD221" s="36">
        <v>0</v>
      </c>
      <c r="AE221" s="36">
        <v>5</v>
      </c>
      <c r="AF221" s="36">
        <v>5</v>
      </c>
      <c r="AG221" s="36"/>
      <c r="AH221" s="36"/>
      <c r="AI221" s="36" t="s">
        <v>200</v>
      </c>
      <c r="AJ221" s="36" t="s">
        <v>201</v>
      </c>
      <c r="AK221" s="36" t="s">
        <v>215</v>
      </c>
      <c r="AL221" s="36" t="s">
        <v>203</v>
      </c>
      <c r="AM221" s="36" t="s">
        <v>204</v>
      </c>
      <c r="AN221" s="36" t="s">
        <v>222</v>
      </c>
      <c r="AO221" s="36" t="s">
        <v>206</v>
      </c>
      <c r="AP221" s="36">
        <v>2</v>
      </c>
      <c r="AQ221" s="36"/>
      <c r="AR221" s="36"/>
      <c r="AS221" s="36"/>
      <c r="AT221" s="36" t="s">
        <v>207</v>
      </c>
      <c r="AU221" s="36" t="s">
        <v>234</v>
      </c>
      <c r="AV221" s="36" t="s">
        <v>209</v>
      </c>
      <c r="AW221" s="36" t="s">
        <v>209</v>
      </c>
      <c r="AX221" s="36" t="s">
        <v>210</v>
      </c>
      <c r="AY221" s="36">
        <v>0</v>
      </c>
      <c r="AZ221" s="36" t="s">
        <v>211</v>
      </c>
      <c r="BA221" s="36">
        <v>9044989536467</v>
      </c>
      <c r="BB221" s="36"/>
      <c r="BC221" s="36"/>
      <c r="BD221" s="36">
        <v>1</v>
      </c>
      <c r="BE221" s="36"/>
      <c r="BF221" s="36" t="s">
        <v>212</v>
      </c>
      <c r="BG221" s="36">
        <v>1333314600</v>
      </c>
      <c r="BH221" s="36" t="s">
        <v>213</v>
      </c>
      <c r="BI221" s="36">
        <v>5</v>
      </c>
      <c r="BJ221" s="36">
        <v>5</v>
      </c>
      <c r="BK221" s="36">
        <v>1300</v>
      </c>
      <c r="BL221" s="36" t="s">
        <v>214</v>
      </c>
      <c r="BM221" s="36"/>
      <c r="BN221" s="36"/>
    </row>
    <row r="222" spans="1:66" x14ac:dyDescent="0.35">
      <c r="A222" s="36"/>
      <c r="B222" s="36"/>
      <c r="C222" s="37" t="s">
        <v>8</v>
      </c>
      <c r="D222" s="37" t="s">
        <v>8</v>
      </c>
      <c r="E222" s="36"/>
      <c r="F222" s="36" t="s">
        <v>192</v>
      </c>
      <c r="G222" s="36" t="s">
        <v>1</v>
      </c>
      <c r="H222" s="36">
        <v>0</v>
      </c>
      <c r="I222" s="36" t="s">
        <v>193</v>
      </c>
      <c r="J222" s="36" t="s">
        <v>194</v>
      </c>
      <c r="K222" s="36" t="s">
        <v>195</v>
      </c>
      <c r="L222" s="36">
        <v>923</v>
      </c>
      <c r="M222" s="36"/>
      <c r="N222" s="36" t="s">
        <v>226</v>
      </c>
      <c r="O222" s="36" t="s">
        <v>227</v>
      </c>
      <c r="P222" s="36">
        <v>2</v>
      </c>
      <c r="Q222" s="36" t="s">
        <v>228</v>
      </c>
      <c r="R222" s="37">
        <v>244658</v>
      </c>
      <c r="S222" s="37" t="s">
        <v>8</v>
      </c>
      <c r="T222" s="36" t="s">
        <v>244</v>
      </c>
      <c r="U222" s="36">
        <v>23062107</v>
      </c>
      <c r="V222" s="36" t="s">
        <v>108</v>
      </c>
      <c r="W222" s="36">
        <v>10</v>
      </c>
      <c r="X222" s="36">
        <v>10</v>
      </c>
      <c r="Y222" s="36">
        <v>10</v>
      </c>
      <c r="Z222" s="36">
        <v>10</v>
      </c>
      <c r="AA222" s="36">
        <v>0</v>
      </c>
      <c r="AB222" s="36">
        <v>0</v>
      </c>
      <c r="AC222" s="36">
        <v>0</v>
      </c>
      <c r="AD222" s="36">
        <v>0</v>
      </c>
      <c r="AE222" s="36">
        <v>10</v>
      </c>
      <c r="AF222" s="36">
        <v>10</v>
      </c>
      <c r="AG222" s="36"/>
      <c r="AH222" s="36"/>
      <c r="AI222" s="36" t="s">
        <v>200</v>
      </c>
      <c r="AJ222" s="36" t="s">
        <v>201</v>
      </c>
      <c r="AK222" s="36" t="s">
        <v>215</v>
      </c>
      <c r="AL222" s="36" t="s">
        <v>203</v>
      </c>
      <c r="AM222" s="36" t="s">
        <v>204</v>
      </c>
      <c r="AN222" s="36" t="s">
        <v>222</v>
      </c>
      <c r="AO222" s="36" t="s">
        <v>206</v>
      </c>
      <c r="AP222" s="36">
        <v>2</v>
      </c>
      <c r="AQ222" s="36"/>
      <c r="AR222" s="36"/>
      <c r="AS222" s="36"/>
      <c r="AT222" s="36" t="s">
        <v>207</v>
      </c>
      <c r="AU222" s="36" t="s">
        <v>234</v>
      </c>
      <c r="AV222" s="36" t="s">
        <v>209</v>
      </c>
      <c r="AW222" s="36" t="s">
        <v>209</v>
      </c>
      <c r="AX222" s="36" t="s">
        <v>210</v>
      </c>
      <c r="AY222" s="36">
        <v>0</v>
      </c>
      <c r="AZ222" s="36" t="s">
        <v>211</v>
      </c>
      <c r="BA222" s="36">
        <v>9044989536467</v>
      </c>
      <c r="BB222" s="36"/>
      <c r="BC222" s="36"/>
      <c r="BD222" s="36">
        <v>1</v>
      </c>
      <c r="BE222" s="36"/>
      <c r="BF222" s="36" t="s">
        <v>212</v>
      </c>
      <c r="BG222" s="36">
        <v>1333314600</v>
      </c>
      <c r="BH222" s="36" t="s">
        <v>213</v>
      </c>
      <c r="BI222" s="36">
        <v>10</v>
      </c>
      <c r="BJ222" s="36">
        <v>10</v>
      </c>
      <c r="BK222" s="36">
        <v>1300</v>
      </c>
      <c r="BL222" s="36" t="s">
        <v>214</v>
      </c>
      <c r="BM222" s="36"/>
      <c r="BN222" s="36"/>
    </row>
    <row r="223" spans="1:66" x14ac:dyDescent="0.35">
      <c r="A223" s="36"/>
      <c r="B223" s="36"/>
      <c r="C223" s="37" t="s">
        <v>8</v>
      </c>
      <c r="D223" s="37" t="s">
        <v>8</v>
      </c>
      <c r="E223" s="36"/>
      <c r="F223" s="36" t="s">
        <v>192</v>
      </c>
      <c r="G223" s="36" t="s">
        <v>1</v>
      </c>
      <c r="H223" s="36">
        <v>0</v>
      </c>
      <c r="I223" s="36" t="s">
        <v>193</v>
      </c>
      <c r="J223" s="36" t="s">
        <v>194</v>
      </c>
      <c r="K223" s="36" t="s">
        <v>195</v>
      </c>
      <c r="L223" s="36">
        <v>923</v>
      </c>
      <c r="M223" s="36"/>
      <c r="N223" s="36" t="s">
        <v>226</v>
      </c>
      <c r="O223" s="36" t="s">
        <v>227</v>
      </c>
      <c r="P223" s="36">
        <v>2</v>
      </c>
      <c r="Q223" s="36" t="s">
        <v>228</v>
      </c>
      <c r="R223" s="37">
        <v>244658</v>
      </c>
      <c r="S223" s="37" t="s">
        <v>8</v>
      </c>
      <c r="T223" s="36" t="s">
        <v>244</v>
      </c>
      <c r="U223" s="36">
        <v>23057812</v>
      </c>
      <c r="V223" s="36" t="s">
        <v>19</v>
      </c>
      <c r="W223" s="36">
        <v>300</v>
      </c>
      <c r="X223" s="36">
        <v>300</v>
      </c>
      <c r="Y223" s="36">
        <v>300</v>
      </c>
      <c r="Z223" s="36">
        <v>300</v>
      </c>
      <c r="AA223" s="36">
        <v>0</v>
      </c>
      <c r="AB223" s="36">
        <v>0</v>
      </c>
      <c r="AC223" s="36">
        <v>0</v>
      </c>
      <c r="AD223" s="36">
        <v>0</v>
      </c>
      <c r="AE223" s="36">
        <v>300</v>
      </c>
      <c r="AF223" s="36">
        <v>300</v>
      </c>
      <c r="AG223" s="36"/>
      <c r="AH223" s="36"/>
      <c r="AI223" s="36" t="s">
        <v>200</v>
      </c>
      <c r="AJ223" s="36" t="s">
        <v>201</v>
      </c>
      <c r="AK223" s="36" t="s">
        <v>202</v>
      </c>
      <c r="AL223" s="36" t="s">
        <v>203</v>
      </c>
      <c r="AM223" s="36" t="s">
        <v>204</v>
      </c>
      <c r="AN223" s="36" t="s">
        <v>222</v>
      </c>
      <c r="AO223" s="36" t="s">
        <v>206</v>
      </c>
      <c r="AP223" s="36">
        <v>2</v>
      </c>
      <c r="AQ223" s="36"/>
      <c r="AR223" s="36"/>
      <c r="AS223" s="36"/>
      <c r="AT223" s="36" t="s">
        <v>207</v>
      </c>
      <c r="AU223" s="36" t="s">
        <v>234</v>
      </c>
      <c r="AV223" s="36" t="s">
        <v>209</v>
      </c>
      <c r="AW223" s="36" t="s">
        <v>209</v>
      </c>
      <c r="AX223" s="36" t="s">
        <v>210</v>
      </c>
      <c r="AY223" s="36">
        <v>0</v>
      </c>
      <c r="AZ223" s="36" t="s">
        <v>211</v>
      </c>
      <c r="BA223" s="36">
        <v>9044989536467</v>
      </c>
      <c r="BB223" s="36"/>
      <c r="BC223" s="36"/>
      <c r="BD223" s="36">
        <v>1</v>
      </c>
      <c r="BE223" s="36"/>
      <c r="BF223" s="36" t="s">
        <v>212</v>
      </c>
      <c r="BG223" s="36">
        <v>1333314600</v>
      </c>
      <c r="BH223" s="36" t="s">
        <v>213</v>
      </c>
      <c r="BI223" s="36">
        <v>300</v>
      </c>
      <c r="BJ223" s="36">
        <v>300</v>
      </c>
      <c r="BK223" s="36">
        <v>1300</v>
      </c>
      <c r="BL223" s="36" t="s">
        <v>214</v>
      </c>
      <c r="BM223" s="36"/>
      <c r="BN223" s="36"/>
    </row>
    <row r="224" spans="1:66" x14ac:dyDescent="0.35">
      <c r="A224" s="36"/>
      <c r="B224" s="36"/>
      <c r="C224" s="37" t="s">
        <v>8</v>
      </c>
      <c r="D224" s="37" t="s">
        <v>8</v>
      </c>
      <c r="E224" s="36"/>
      <c r="F224" s="36" t="s">
        <v>192</v>
      </c>
      <c r="G224" s="36" t="s">
        <v>1</v>
      </c>
      <c r="H224" s="36">
        <v>0</v>
      </c>
      <c r="I224" s="36" t="s">
        <v>193</v>
      </c>
      <c r="J224" s="36" t="s">
        <v>194</v>
      </c>
      <c r="K224" s="36" t="s">
        <v>195</v>
      </c>
      <c r="L224" s="36">
        <v>923</v>
      </c>
      <c r="M224" s="36"/>
      <c r="N224" s="36" t="s">
        <v>226</v>
      </c>
      <c r="O224" s="36" t="s">
        <v>227</v>
      </c>
      <c r="P224" s="36">
        <v>2</v>
      </c>
      <c r="Q224" s="36" t="s">
        <v>228</v>
      </c>
      <c r="R224" s="37">
        <v>244658</v>
      </c>
      <c r="S224" s="37" t="s">
        <v>8</v>
      </c>
      <c r="T224" s="36" t="s">
        <v>244</v>
      </c>
      <c r="U224" s="36">
        <v>23065141</v>
      </c>
      <c r="V224" s="36" t="s">
        <v>41</v>
      </c>
      <c r="W224" s="36">
        <v>10</v>
      </c>
      <c r="X224" s="36">
        <v>10</v>
      </c>
      <c r="Y224" s="36">
        <v>10</v>
      </c>
      <c r="Z224" s="36">
        <v>10</v>
      </c>
      <c r="AA224" s="36">
        <v>0</v>
      </c>
      <c r="AB224" s="36">
        <v>0</v>
      </c>
      <c r="AC224" s="36">
        <v>0</v>
      </c>
      <c r="AD224" s="36">
        <v>0</v>
      </c>
      <c r="AE224" s="36">
        <v>10</v>
      </c>
      <c r="AF224" s="36">
        <v>10</v>
      </c>
      <c r="AG224" s="36"/>
      <c r="AH224" s="36"/>
      <c r="AI224" s="36" t="s">
        <v>200</v>
      </c>
      <c r="AJ224" s="36" t="s">
        <v>201</v>
      </c>
      <c r="AK224" s="36" t="s">
        <v>202</v>
      </c>
      <c r="AL224" s="36" t="s">
        <v>203</v>
      </c>
      <c r="AM224" s="36" t="s">
        <v>204</v>
      </c>
      <c r="AN224" s="36" t="s">
        <v>222</v>
      </c>
      <c r="AO224" s="36" t="s">
        <v>206</v>
      </c>
      <c r="AP224" s="36">
        <v>2</v>
      </c>
      <c r="AQ224" s="36"/>
      <c r="AR224" s="36"/>
      <c r="AS224" s="36"/>
      <c r="AT224" s="36" t="s">
        <v>207</v>
      </c>
      <c r="AU224" s="36" t="s">
        <v>234</v>
      </c>
      <c r="AV224" s="36" t="s">
        <v>209</v>
      </c>
      <c r="AW224" s="36" t="s">
        <v>209</v>
      </c>
      <c r="AX224" s="36" t="s">
        <v>210</v>
      </c>
      <c r="AY224" s="36">
        <v>0</v>
      </c>
      <c r="AZ224" s="36" t="s">
        <v>211</v>
      </c>
      <c r="BA224" s="36">
        <v>9044989536467</v>
      </c>
      <c r="BB224" s="36"/>
      <c r="BC224" s="36"/>
      <c r="BD224" s="36">
        <v>1</v>
      </c>
      <c r="BE224" s="36"/>
      <c r="BF224" s="36" t="s">
        <v>212</v>
      </c>
      <c r="BG224" s="36">
        <v>1333314600</v>
      </c>
      <c r="BH224" s="36" t="s">
        <v>213</v>
      </c>
      <c r="BI224" s="36">
        <v>10</v>
      </c>
      <c r="BJ224" s="36">
        <v>10</v>
      </c>
      <c r="BK224" s="36">
        <v>1300</v>
      </c>
      <c r="BL224" s="36" t="s">
        <v>214</v>
      </c>
      <c r="BM224" s="36"/>
      <c r="BN224" s="36"/>
    </row>
    <row r="225" spans="1:66" x14ac:dyDescent="0.35">
      <c r="A225" s="36"/>
      <c r="B225" s="36"/>
      <c r="C225" s="37" t="s">
        <v>8</v>
      </c>
      <c r="D225" s="37" t="s">
        <v>8</v>
      </c>
      <c r="E225" s="36"/>
      <c r="F225" s="36" t="s">
        <v>192</v>
      </c>
      <c r="G225" s="36" t="s">
        <v>1</v>
      </c>
      <c r="H225" s="36">
        <v>0</v>
      </c>
      <c r="I225" s="36" t="s">
        <v>193</v>
      </c>
      <c r="J225" s="36" t="s">
        <v>194</v>
      </c>
      <c r="K225" s="36" t="s">
        <v>195</v>
      </c>
      <c r="L225" s="36">
        <v>923</v>
      </c>
      <c r="M225" s="36"/>
      <c r="N225" s="36" t="s">
        <v>226</v>
      </c>
      <c r="O225" s="36" t="s">
        <v>227</v>
      </c>
      <c r="P225" s="36">
        <v>2</v>
      </c>
      <c r="Q225" s="36" t="s">
        <v>228</v>
      </c>
      <c r="R225" s="37">
        <v>244658</v>
      </c>
      <c r="S225" s="37" t="s">
        <v>8</v>
      </c>
      <c r="T225" s="36" t="s">
        <v>244</v>
      </c>
      <c r="U225" s="36">
        <v>23105751</v>
      </c>
      <c r="V225" s="36" t="s">
        <v>73</v>
      </c>
      <c r="W225" s="36">
        <v>10</v>
      </c>
      <c r="X225" s="36">
        <v>10</v>
      </c>
      <c r="Y225" s="36">
        <v>10</v>
      </c>
      <c r="Z225" s="36">
        <v>10</v>
      </c>
      <c r="AA225" s="36">
        <v>0</v>
      </c>
      <c r="AB225" s="36">
        <v>0</v>
      </c>
      <c r="AC225" s="36">
        <v>0</v>
      </c>
      <c r="AD225" s="36">
        <v>0</v>
      </c>
      <c r="AE225" s="36">
        <v>10</v>
      </c>
      <c r="AF225" s="36">
        <v>10</v>
      </c>
      <c r="AG225" s="36"/>
      <c r="AH225" s="36"/>
      <c r="AI225" s="36" t="s">
        <v>200</v>
      </c>
      <c r="AJ225" s="36" t="s">
        <v>201</v>
      </c>
      <c r="AK225" s="36" t="s">
        <v>202</v>
      </c>
      <c r="AL225" s="36" t="s">
        <v>203</v>
      </c>
      <c r="AM225" s="36" t="s">
        <v>204</v>
      </c>
      <c r="AN225" s="36" t="s">
        <v>222</v>
      </c>
      <c r="AO225" s="36" t="s">
        <v>206</v>
      </c>
      <c r="AP225" s="36">
        <v>2</v>
      </c>
      <c r="AQ225" s="36"/>
      <c r="AR225" s="36"/>
      <c r="AS225" s="36"/>
      <c r="AT225" s="36" t="s">
        <v>207</v>
      </c>
      <c r="AU225" s="36" t="s">
        <v>234</v>
      </c>
      <c r="AV225" s="36" t="s">
        <v>209</v>
      </c>
      <c r="AW225" s="36" t="s">
        <v>209</v>
      </c>
      <c r="AX225" s="36" t="s">
        <v>210</v>
      </c>
      <c r="AY225" s="36">
        <v>0</v>
      </c>
      <c r="AZ225" s="36" t="s">
        <v>211</v>
      </c>
      <c r="BA225" s="36">
        <v>9044989536467</v>
      </c>
      <c r="BB225" s="36"/>
      <c r="BC225" s="36"/>
      <c r="BD225" s="36">
        <v>1</v>
      </c>
      <c r="BE225" s="36"/>
      <c r="BF225" s="36" t="s">
        <v>212</v>
      </c>
      <c r="BG225" s="36">
        <v>1333314600</v>
      </c>
      <c r="BH225" s="36" t="s">
        <v>213</v>
      </c>
      <c r="BI225" s="36">
        <v>10</v>
      </c>
      <c r="BJ225" s="36">
        <v>10</v>
      </c>
      <c r="BK225" s="36">
        <v>1300</v>
      </c>
      <c r="BL225" s="36" t="s">
        <v>214</v>
      </c>
      <c r="BM225" s="36"/>
      <c r="BN225" s="36"/>
    </row>
    <row r="226" spans="1:66" x14ac:dyDescent="0.35">
      <c r="A226" s="36"/>
      <c r="B226" s="36"/>
      <c r="C226" s="37" t="s">
        <v>8</v>
      </c>
      <c r="D226" s="37" t="s">
        <v>8</v>
      </c>
      <c r="E226" s="36"/>
      <c r="F226" s="36" t="s">
        <v>192</v>
      </c>
      <c r="G226" s="36" t="s">
        <v>1</v>
      </c>
      <c r="H226" s="36">
        <v>0</v>
      </c>
      <c r="I226" s="36" t="s">
        <v>193</v>
      </c>
      <c r="J226" s="36" t="s">
        <v>194</v>
      </c>
      <c r="K226" s="36" t="s">
        <v>195</v>
      </c>
      <c r="L226" s="36">
        <v>923</v>
      </c>
      <c r="M226" s="36"/>
      <c r="N226" s="36" t="s">
        <v>235</v>
      </c>
      <c r="O226" s="36" t="s">
        <v>236</v>
      </c>
      <c r="P226" s="36">
        <v>2</v>
      </c>
      <c r="Q226" s="36" t="s">
        <v>237</v>
      </c>
      <c r="R226" s="37">
        <v>244688</v>
      </c>
      <c r="S226" s="37" t="s">
        <v>8</v>
      </c>
      <c r="T226" s="36" t="s">
        <v>245</v>
      </c>
      <c r="U226" s="36">
        <v>23084674</v>
      </c>
      <c r="V226" s="36" t="s">
        <v>52</v>
      </c>
      <c r="W226" s="36">
        <v>28</v>
      </c>
      <c r="X226" s="36">
        <v>11.2</v>
      </c>
      <c r="Y226" s="36">
        <v>28</v>
      </c>
      <c r="Z226" s="36">
        <v>11.2</v>
      </c>
      <c r="AA226" s="36">
        <v>0</v>
      </c>
      <c r="AB226" s="36">
        <v>0</v>
      </c>
      <c r="AC226" s="36">
        <v>0</v>
      </c>
      <c r="AD226" s="36">
        <v>0</v>
      </c>
      <c r="AE226" s="36">
        <v>28</v>
      </c>
      <c r="AF226" s="36">
        <v>11.2</v>
      </c>
      <c r="AG226" s="36"/>
      <c r="AH226" s="36"/>
      <c r="AI226" s="36" t="s">
        <v>200</v>
      </c>
      <c r="AJ226" s="36" t="s">
        <v>201</v>
      </c>
      <c r="AK226" s="36" t="s">
        <v>215</v>
      </c>
      <c r="AL226" s="36" t="s">
        <v>246</v>
      </c>
      <c r="AM226" s="36" t="s">
        <v>204</v>
      </c>
      <c r="AN226" s="36" t="s">
        <v>222</v>
      </c>
      <c r="AO226" s="36" t="s">
        <v>206</v>
      </c>
      <c r="AP226" s="36">
        <v>2</v>
      </c>
      <c r="AQ226" s="36"/>
      <c r="AR226" s="36"/>
      <c r="AS226" s="36"/>
      <c r="AT226" s="36" t="s">
        <v>247</v>
      </c>
      <c r="AU226" s="36" t="s">
        <v>248</v>
      </c>
      <c r="AV226" s="36" t="s">
        <v>249</v>
      </c>
      <c r="AW226" s="36" t="s">
        <v>209</v>
      </c>
      <c r="AX226" s="36" t="s">
        <v>210</v>
      </c>
      <c r="AY226" s="36">
        <v>0</v>
      </c>
      <c r="AZ226" s="36" t="s">
        <v>211</v>
      </c>
      <c r="BA226" s="36">
        <v>9045089556849</v>
      </c>
      <c r="BB226" s="36"/>
      <c r="BC226" s="36"/>
      <c r="BD226" s="36">
        <v>1</v>
      </c>
      <c r="BE226" s="36"/>
      <c r="BF226" s="36"/>
      <c r="BG226" s="36">
        <v>1333314600</v>
      </c>
      <c r="BH226" s="36" t="s">
        <v>213</v>
      </c>
      <c r="BI226" s="36">
        <v>28</v>
      </c>
      <c r="BJ226" s="36">
        <v>11.2</v>
      </c>
      <c r="BK226" s="36">
        <v>1300</v>
      </c>
      <c r="BL226" s="36" t="s">
        <v>214</v>
      </c>
      <c r="BM226" s="36"/>
      <c r="BN226" s="36"/>
    </row>
    <row r="227" spans="1:66" x14ac:dyDescent="0.35">
      <c r="A227" s="36"/>
      <c r="B227" s="36"/>
      <c r="C227" s="37" t="s">
        <v>8</v>
      </c>
      <c r="D227" s="37" t="s">
        <v>8</v>
      </c>
      <c r="E227" s="36"/>
      <c r="F227" s="36" t="s">
        <v>192</v>
      </c>
      <c r="G227" s="36" t="s">
        <v>1</v>
      </c>
      <c r="H227" s="36">
        <v>0</v>
      </c>
      <c r="I227" s="36" t="s">
        <v>193</v>
      </c>
      <c r="J227" s="36" t="s">
        <v>194</v>
      </c>
      <c r="K227" s="36" t="s">
        <v>195</v>
      </c>
      <c r="L227" s="36">
        <v>923</v>
      </c>
      <c r="M227" s="36"/>
      <c r="N227" s="36" t="s">
        <v>239</v>
      </c>
      <c r="O227" s="36" t="s">
        <v>240</v>
      </c>
      <c r="P227" s="36">
        <v>2</v>
      </c>
      <c r="Q227" s="36" t="s">
        <v>241</v>
      </c>
      <c r="R227" s="37">
        <v>244688</v>
      </c>
      <c r="S227" s="37" t="s">
        <v>8</v>
      </c>
      <c r="T227" s="36" t="s">
        <v>250</v>
      </c>
      <c r="U227" s="36">
        <v>23084674</v>
      </c>
      <c r="V227" s="36" t="s">
        <v>52</v>
      </c>
      <c r="W227" s="36">
        <v>28</v>
      </c>
      <c r="X227" s="36">
        <v>11.2</v>
      </c>
      <c r="Y227" s="36">
        <v>28</v>
      </c>
      <c r="Z227" s="36">
        <v>11.2</v>
      </c>
      <c r="AA227" s="36">
        <v>0</v>
      </c>
      <c r="AB227" s="36">
        <v>0</v>
      </c>
      <c r="AC227" s="36">
        <v>0</v>
      </c>
      <c r="AD227" s="36">
        <v>0</v>
      </c>
      <c r="AE227" s="36">
        <v>28</v>
      </c>
      <c r="AF227" s="36">
        <v>11.2</v>
      </c>
      <c r="AG227" s="36"/>
      <c r="AH227" s="36"/>
      <c r="AI227" s="36" t="s">
        <v>200</v>
      </c>
      <c r="AJ227" s="36" t="s">
        <v>201</v>
      </c>
      <c r="AK227" s="36" t="s">
        <v>215</v>
      </c>
      <c r="AL227" s="36" t="s">
        <v>246</v>
      </c>
      <c r="AM227" s="36" t="s">
        <v>204</v>
      </c>
      <c r="AN227" s="36" t="s">
        <v>222</v>
      </c>
      <c r="AO227" s="36" t="s">
        <v>206</v>
      </c>
      <c r="AP227" s="36">
        <v>2</v>
      </c>
      <c r="AQ227" s="36"/>
      <c r="AR227" s="36"/>
      <c r="AS227" s="36"/>
      <c r="AT227" s="36" t="s">
        <v>247</v>
      </c>
      <c r="AU227" s="36" t="s">
        <v>248</v>
      </c>
      <c r="AV227" s="36" t="s">
        <v>249</v>
      </c>
      <c r="AW227" s="36" t="s">
        <v>209</v>
      </c>
      <c r="AX227" s="36" t="s">
        <v>210</v>
      </c>
      <c r="AY227" s="36">
        <v>0</v>
      </c>
      <c r="AZ227" s="36" t="s">
        <v>211</v>
      </c>
      <c r="BA227" s="36">
        <v>9045089556851</v>
      </c>
      <c r="BB227" s="36"/>
      <c r="BC227" s="36"/>
      <c r="BD227" s="36">
        <v>1</v>
      </c>
      <c r="BE227" s="36"/>
      <c r="BF227" s="36"/>
      <c r="BG227" s="36">
        <v>1333314600</v>
      </c>
      <c r="BH227" s="36" t="s">
        <v>213</v>
      </c>
      <c r="BI227" s="36">
        <v>28</v>
      </c>
      <c r="BJ227" s="36">
        <v>11.2</v>
      </c>
      <c r="BK227" s="36">
        <v>1300</v>
      </c>
      <c r="BL227" s="36" t="s">
        <v>214</v>
      </c>
      <c r="BM227" s="36"/>
      <c r="BN227" s="36"/>
    </row>
    <row r="228" spans="1:66" x14ac:dyDescent="0.35">
      <c r="A228" s="36"/>
      <c r="B228" s="36"/>
      <c r="C228" s="37" t="s">
        <v>8</v>
      </c>
      <c r="D228" s="37" t="s">
        <v>8</v>
      </c>
      <c r="E228" s="36"/>
      <c r="F228" s="36" t="s">
        <v>192</v>
      </c>
      <c r="G228" s="36" t="s">
        <v>1</v>
      </c>
      <c r="H228" s="36">
        <v>0</v>
      </c>
      <c r="I228" s="36" t="s">
        <v>193</v>
      </c>
      <c r="J228" s="36" t="s">
        <v>194</v>
      </c>
      <c r="K228" s="36" t="s">
        <v>195</v>
      </c>
      <c r="L228" s="36">
        <v>923</v>
      </c>
      <c r="M228" s="36"/>
      <c r="N228" s="36" t="s">
        <v>226</v>
      </c>
      <c r="O228" s="36" t="s">
        <v>227</v>
      </c>
      <c r="P228" s="36">
        <v>2</v>
      </c>
      <c r="Q228" s="36" t="s">
        <v>228</v>
      </c>
      <c r="R228" s="37">
        <v>244688</v>
      </c>
      <c r="S228" s="37" t="s">
        <v>8</v>
      </c>
      <c r="T228" s="36" t="s">
        <v>251</v>
      </c>
      <c r="U228" s="36">
        <v>23084674</v>
      </c>
      <c r="V228" s="36" t="s">
        <v>52</v>
      </c>
      <c r="W228" s="36">
        <v>14</v>
      </c>
      <c r="X228" s="36">
        <v>5.6</v>
      </c>
      <c r="Y228" s="36">
        <v>14</v>
      </c>
      <c r="Z228" s="36">
        <v>5.6</v>
      </c>
      <c r="AA228" s="36">
        <v>0</v>
      </c>
      <c r="AB228" s="36">
        <v>0</v>
      </c>
      <c r="AC228" s="36">
        <v>0</v>
      </c>
      <c r="AD228" s="36">
        <v>0</v>
      </c>
      <c r="AE228" s="36">
        <v>14</v>
      </c>
      <c r="AF228" s="36">
        <v>5.6</v>
      </c>
      <c r="AG228" s="36"/>
      <c r="AH228" s="36"/>
      <c r="AI228" s="36" t="s">
        <v>200</v>
      </c>
      <c r="AJ228" s="36" t="s">
        <v>201</v>
      </c>
      <c r="AK228" s="36" t="s">
        <v>215</v>
      </c>
      <c r="AL228" s="36" t="s">
        <v>246</v>
      </c>
      <c r="AM228" s="36" t="s">
        <v>204</v>
      </c>
      <c r="AN228" s="36" t="s">
        <v>222</v>
      </c>
      <c r="AO228" s="36" t="s">
        <v>206</v>
      </c>
      <c r="AP228" s="36">
        <v>2</v>
      </c>
      <c r="AQ228" s="36"/>
      <c r="AR228" s="36"/>
      <c r="AS228" s="36"/>
      <c r="AT228" s="36" t="s">
        <v>247</v>
      </c>
      <c r="AU228" s="36" t="s">
        <v>248</v>
      </c>
      <c r="AV228" s="36" t="s">
        <v>249</v>
      </c>
      <c r="AW228" s="36" t="s">
        <v>209</v>
      </c>
      <c r="AX228" s="36" t="s">
        <v>210</v>
      </c>
      <c r="AY228" s="36">
        <v>0</v>
      </c>
      <c r="AZ228" s="36" t="s">
        <v>211</v>
      </c>
      <c r="BA228" s="36">
        <v>9045089556861</v>
      </c>
      <c r="BB228" s="36"/>
      <c r="BC228" s="36"/>
      <c r="BD228" s="36">
        <v>1</v>
      </c>
      <c r="BE228" s="36"/>
      <c r="BF228" s="36"/>
      <c r="BG228" s="36">
        <v>1333314600</v>
      </c>
      <c r="BH228" s="36" t="s">
        <v>213</v>
      </c>
      <c r="BI228" s="36">
        <v>14</v>
      </c>
      <c r="BJ228" s="36">
        <v>5.6</v>
      </c>
      <c r="BK228" s="36">
        <v>1300</v>
      </c>
      <c r="BL228" s="36" t="s">
        <v>214</v>
      </c>
      <c r="BM228" s="36"/>
      <c r="BN228" s="36"/>
    </row>
    <row r="229" spans="1:66" x14ac:dyDescent="0.35">
      <c r="A229" s="36"/>
      <c r="B229" s="36"/>
      <c r="C229" s="37" t="s">
        <v>8</v>
      </c>
      <c r="D229" s="37" t="s">
        <v>8</v>
      </c>
      <c r="E229" s="36"/>
      <c r="F229" s="36" t="s">
        <v>192</v>
      </c>
      <c r="G229" s="36" t="s">
        <v>1</v>
      </c>
      <c r="H229" s="36">
        <v>0</v>
      </c>
      <c r="I229" s="36" t="s">
        <v>193</v>
      </c>
      <c r="J229" s="36" t="s">
        <v>194</v>
      </c>
      <c r="K229" s="36" t="s">
        <v>195</v>
      </c>
      <c r="L229" s="36">
        <v>923</v>
      </c>
      <c r="M229" s="36"/>
      <c r="N229" s="36" t="s">
        <v>196</v>
      </c>
      <c r="O229" s="36" t="s">
        <v>197</v>
      </c>
      <c r="P229" s="36">
        <v>2</v>
      </c>
      <c r="Q229" s="36" t="s">
        <v>198</v>
      </c>
      <c r="R229" s="37">
        <v>244688</v>
      </c>
      <c r="S229" s="37" t="s">
        <v>8</v>
      </c>
      <c r="T229" s="36" t="s">
        <v>252</v>
      </c>
      <c r="U229" s="36">
        <v>23084674</v>
      </c>
      <c r="V229" s="36" t="s">
        <v>52</v>
      </c>
      <c r="W229" s="36">
        <v>14</v>
      </c>
      <c r="X229" s="36">
        <v>5.6</v>
      </c>
      <c r="Y229" s="36">
        <v>14</v>
      </c>
      <c r="Z229" s="36">
        <v>5.6</v>
      </c>
      <c r="AA229" s="36">
        <v>0</v>
      </c>
      <c r="AB229" s="36">
        <v>0</v>
      </c>
      <c r="AC229" s="36">
        <v>0</v>
      </c>
      <c r="AD229" s="36">
        <v>0</v>
      </c>
      <c r="AE229" s="36">
        <v>14</v>
      </c>
      <c r="AF229" s="36">
        <v>5.6</v>
      </c>
      <c r="AG229" s="36"/>
      <c r="AH229" s="36"/>
      <c r="AI229" s="36" t="s">
        <v>200</v>
      </c>
      <c r="AJ229" s="36" t="s">
        <v>201</v>
      </c>
      <c r="AK229" s="36" t="s">
        <v>215</v>
      </c>
      <c r="AL229" s="36" t="s">
        <v>246</v>
      </c>
      <c r="AM229" s="36" t="s">
        <v>204</v>
      </c>
      <c r="AN229" s="36" t="s">
        <v>205</v>
      </c>
      <c r="AO229" s="36" t="s">
        <v>206</v>
      </c>
      <c r="AP229" s="36">
        <v>20</v>
      </c>
      <c r="AQ229" s="36">
        <v>1</v>
      </c>
      <c r="AR229" s="36"/>
      <c r="AS229" s="36"/>
      <c r="AT229" s="36" t="s">
        <v>247</v>
      </c>
      <c r="AU229" s="36" t="s">
        <v>248</v>
      </c>
      <c r="AV229" s="36" t="s">
        <v>249</v>
      </c>
      <c r="AW229" s="36" t="s">
        <v>209</v>
      </c>
      <c r="AX229" s="36" t="s">
        <v>210</v>
      </c>
      <c r="AY229" s="36">
        <v>0</v>
      </c>
      <c r="AZ229" s="36" t="s">
        <v>211</v>
      </c>
      <c r="BA229" s="36">
        <v>9045089556881</v>
      </c>
      <c r="BB229" s="36"/>
      <c r="BC229" s="36"/>
      <c r="BD229" s="36">
        <v>1</v>
      </c>
      <c r="BE229" s="36"/>
      <c r="BF229" s="36"/>
      <c r="BG229" s="36">
        <v>1333314600</v>
      </c>
      <c r="BH229" s="36" t="s">
        <v>213</v>
      </c>
      <c r="BI229" s="36">
        <v>14</v>
      </c>
      <c r="BJ229" s="36">
        <v>5.6</v>
      </c>
      <c r="BK229" s="36"/>
      <c r="BL229" s="36" t="s">
        <v>214</v>
      </c>
      <c r="BM229" s="36"/>
      <c r="BN229" s="36"/>
    </row>
    <row r="230" spans="1:66" x14ac:dyDescent="0.35">
      <c r="A230" s="36"/>
      <c r="B230" s="36"/>
      <c r="C230" s="37" t="s">
        <v>8</v>
      </c>
      <c r="D230" s="37" t="s">
        <v>8</v>
      </c>
      <c r="E230" s="36"/>
      <c r="F230" s="36" t="s">
        <v>192</v>
      </c>
      <c r="G230" s="36" t="s">
        <v>1</v>
      </c>
      <c r="H230" s="36">
        <v>0</v>
      </c>
      <c r="I230" s="36" t="s">
        <v>193</v>
      </c>
      <c r="J230" s="36" t="s">
        <v>194</v>
      </c>
      <c r="K230" s="36" t="s">
        <v>195</v>
      </c>
      <c r="L230" s="36">
        <v>923</v>
      </c>
      <c r="M230" s="36"/>
      <c r="N230" s="36" t="s">
        <v>218</v>
      </c>
      <c r="O230" s="36" t="s">
        <v>219</v>
      </c>
      <c r="P230" s="36">
        <v>2</v>
      </c>
      <c r="Q230" s="36" t="s">
        <v>220</v>
      </c>
      <c r="R230" s="37">
        <v>244688</v>
      </c>
      <c r="S230" s="37" t="s">
        <v>8</v>
      </c>
      <c r="T230" s="36" t="s">
        <v>253</v>
      </c>
      <c r="U230" s="36">
        <v>23083450</v>
      </c>
      <c r="V230" s="36" t="s">
        <v>103</v>
      </c>
      <c r="W230" s="36">
        <v>16</v>
      </c>
      <c r="X230" s="36">
        <v>16</v>
      </c>
      <c r="Y230" s="36">
        <v>16</v>
      </c>
      <c r="Z230" s="36">
        <v>16</v>
      </c>
      <c r="AA230" s="36">
        <v>0</v>
      </c>
      <c r="AB230" s="36">
        <v>0</v>
      </c>
      <c r="AC230" s="36">
        <v>0</v>
      </c>
      <c r="AD230" s="36">
        <v>0</v>
      </c>
      <c r="AE230" s="36">
        <v>16</v>
      </c>
      <c r="AF230" s="36">
        <v>16</v>
      </c>
      <c r="AG230" s="36"/>
      <c r="AH230" s="36"/>
      <c r="AI230" s="36" t="s">
        <v>200</v>
      </c>
      <c r="AJ230" s="36" t="s">
        <v>201</v>
      </c>
      <c r="AK230" s="36" t="s">
        <v>215</v>
      </c>
      <c r="AL230" s="36" t="s">
        <v>254</v>
      </c>
      <c r="AM230" s="36" t="s">
        <v>204</v>
      </c>
      <c r="AN230" s="36" t="s">
        <v>222</v>
      </c>
      <c r="AO230" s="36" t="s">
        <v>206</v>
      </c>
      <c r="AP230" s="36">
        <v>2</v>
      </c>
      <c r="AQ230" s="36"/>
      <c r="AR230" s="36"/>
      <c r="AS230" s="36"/>
      <c r="AT230" s="36" t="s">
        <v>247</v>
      </c>
      <c r="AU230" s="36" t="s">
        <v>255</v>
      </c>
      <c r="AV230" s="36" t="s">
        <v>216</v>
      </c>
      <c r="AW230" s="36" t="s">
        <v>209</v>
      </c>
      <c r="AX230" s="36" t="s">
        <v>210</v>
      </c>
      <c r="AY230" s="36">
        <v>0</v>
      </c>
      <c r="AZ230" s="36" t="s">
        <v>211</v>
      </c>
      <c r="BA230" s="36">
        <v>9045089567219</v>
      </c>
      <c r="BB230" s="36"/>
      <c r="BC230" s="36"/>
      <c r="BD230" s="36">
        <v>1</v>
      </c>
      <c r="BE230" s="36"/>
      <c r="BF230" s="36"/>
      <c r="BG230" s="36">
        <v>1333314600</v>
      </c>
      <c r="BH230" s="36" t="s">
        <v>213</v>
      </c>
      <c r="BI230" s="36">
        <v>16</v>
      </c>
      <c r="BJ230" s="36">
        <v>16</v>
      </c>
      <c r="BK230" s="36">
        <v>1300</v>
      </c>
      <c r="BL230" s="36" t="s">
        <v>214</v>
      </c>
      <c r="BM230" s="36"/>
      <c r="BN230" s="36"/>
    </row>
    <row r="231" spans="1:66" x14ac:dyDescent="0.35">
      <c r="A231" s="36"/>
      <c r="B231" s="36"/>
      <c r="C231" s="37" t="s">
        <v>8</v>
      </c>
      <c r="D231" s="37" t="s">
        <v>8</v>
      </c>
      <c r="E231" s="36"/>
      <c r="F231" s="36" t="s">
        <v>192</v>
      </c>
      <c r="G231" s="36" t="s">
        <v>1</v>
      </c>
      <c r="H231" s="36">
        <v>0</v>
      </c>
      <c r="I231" s="36" t="s">
        <v>193</v>
      </c>
      <c r="J231" s="36" t="s">
        <v>194</v>
      </c>
      <c r="K231" s="36" t="s">
        <v>195</v>
      </c>
      <c r="L231" s="36">
        <v>923</v>
      </c>
      <c r="M231" s="36"/>
      <c r="N231" s="36" t="s">
        <v>218</v>
      </c>
      <c r="O231" s="36" t="s">
        <v>219</v>
      </c>
      <c r="P231" s="36">
        <v>2</v>
      </c>
      <c r="Q231" s="36" t="s">
        <v>220</v>
      </c>
      <c r="R231" s="37">
        <v>244688</v>
      </c>
      <c r="S231" s="37" t="s">
        <v>8</v>
      </c>
      <c r="T231" s="36" t="s">
        <v>253</v>
      </c>
      <c r="U231" s="36">
        <v>23084674</v>
      </c>
      <c r="V231" s="36" t="s">
        <v>52</v>
      </c>
      <c r="W231" s="36">
        <v>14</v>
      </c>
      <c r="X231" s="36">
        <v>5.6</v>
      </c>
      <c r="Y231" s="36">
        <v>14</v>
      </c>
      <c r="Z231" s="36">
        <v>5.6</v>
      </c>
      <c r="AA231" s="36">
        <v>0</v>
      </c>
      <c r="AB231" s="36">
        <v>0</v>
      </c>
      <c r="AC231" s="36">
        <v>0</v>
      </c>
      <c r="AD231" s="36">
        <v>0</v>
      </c>
      <c r="AE231" s="36">
        <v>14</v>
      </c>
      <c r="AF231" s="36">
        <v>5.6</v>
      </c>
      <c r="AG231" s="36"/>
      <c r="AH231" s="36"/>
      <c r="AI231" s="36" t="s">
        <v>200</v>
      </c>
      <c r="AJ231" s="36" t="s">
        <v>201</v>
      </c>
      <c r="AK231" s="36" t="s">
        <v>215</v>
      </c>
      <c r="AL231" s="36" t="s">
        <v>246</v>
      </c>
      <c r="AM231" s="36" t="s">
        <v>204</v>
      </c>
      <c r="AN231" s="36" t="s">
        <v>222</v>
      </c>
      <c r="AO231" s="36" t="s">
        <v>206</v>
      </c>
      <c r="AP231" s="36">
        <v>2</v>
      </c>
      <c r="AQ231" s="36"/>
      <c r="AR231" s="36"/>
      <c r="AS231" s="36"/>
      <c r="AT231" s="36" t="s">
        <v>247</v>
      </c>
      <c r="AU231" s="36" t="s">
        <v>255</v>
      </c>
      <c r="AV231" s="36" t="s">
        <v>249</v>
      </c>
      <c r="AW231" s="36" t="s">
        <v>209</v>
      </c>
      <c r="AX231" s="36" t="s">
        <v>210</v>
      </c>
      <c r="AY231" s="36">
        <v>0</v>
      </c>
      <c r="AZ231" s="36" t="s">
        <v>211</v>
      </c>
      <c r="BA231" s="36">
        <v>9045089567219</v>
      </c>
      <c r="BB231" s="36"/>
      <c r="BC231" s="36"/>
      <c r="BD231" s="36">
        <v>1</v>
      </c>
      <c r="BE231" s="36"/>
      <c r="BF231" s="36"/>
      <c r="BG231" s="36">
        <v>1333314600</v>
      </c>
      <c r="BH231" s="36" t="s">
        <v>213</v>
      </c>
      <c r="BI231" s="36">
        <v>14</v>
      </c>
      <c r="BJ231" s="36">
        <v>5.6</v>
      </c>
      <c r="BK231" s="36">
        <v>1300</v>
      </c>
      <c r="BL231" s="36" t="s">
        <v>214</v>
      </c>
      <c r="BM231" s="36"/>
      <c r="BN231" s="36"/>
    </row>
    <row r="232" spans="1:66" x14ac:dyDescent="0.35">
      <c r="A232" s="36"/>
      <c r="B232" s="36"/>
      <c r="C232" s="37" t="s">
        <v>8</v>
      </c>
      <c r="D232" s="37" t="s">
        <v>8</v>
      </c>
      <c r="E232" s="36"/>
      <c r="F232" s="36" t="s">
        <v>192</v>
      </c>
      <c r="G232" s="36" t="s">
        <v>1</v>
      </c>
      <c r="H232" s="36">
        <v>0</v>
      </c>
      <c r="I232" s="36" t="s">
        <v>193</v>
      </c>
      <c r="J232" s="36" t="s">
        <v>194</v>
      </c>
      <c r="K232" s="36" t="s">
        <v>195</v>
      </c>
      <c r="L232" s="36">
        <v>923</v>
      </c>
      <c r="M232" s="36"/>
      <c r="N232" s="36" t="s">
        <v>256</v>
      </c>
      <c r="O232" s="36" t="s">
        <v>257</v>
      </c>
      <c r="P232" s="36">
        <v>2</v>
      </c>
      <c r="Q232" s="36" t="s">
        <v>258</v>
      </c>
      <c r="R232" s="37">
        <v>244688</v>
      </c>
      <c r="S232" s="37" t="s">
        <v>8</v>
      </c>
      <c r="T232" s="36" t="s">
        <v>259</v>
      </c>
      <c r="U232" s="36">
        <v>23058552</v>
      </c>
      <c r="V232" s="36" t="s">
        <v>26</v>
      </c>
      <c r="W232" s="36">
        <v>10</v>
      </c>
      <c r="X232" s="36">
        <v>10</v>
      </c>
      <c r="Y232" s="36">
        <v>10</v>
      </c>
      <c r="Z232" s="36">
        <v>10</v>
      </c>
      <c r="AA232" s="36">
        <v>0</v>
      </c>
      <c r="AB232" s="36">
        <v>0</v>
      </c>
      <c r="AC232" s="36">
        <v>0</v>
      </c>
      <c r="AD232" s="36">
        <v>0</v>
      </c>
      <c r="AE232" s="36">
        <v>10</v>
      </c>
      <c r="AF232" s="36">
        <v>10</v>
      </c>
      <c r="AG232" s="36"/>
      <c r="AH232" s="36"/>
      <c r="AI232" s="36" t="s">
        <v>200</v>
      </c>
      <c r="AJ232" s="36" t="s">
        <v>201</v>
      </c>
      <c r="AK232" s="36" t="s">
        <v>215</v>
      </c>
      <c r="AL232" s="36" t="s">
        <v>203</v>
      </c>
      <c r="AM232" s="36" t="s">
        <v>204</v>
      </c>
      <c r="AN232" s="36" t="s">
        <v>222</v>
      </c>
      <c r="AO232" s="36" t="s">
        <v>206</v>
      </c>
      <c r="AP232" s="36">
        <v>2</v>
      </c>
      <c r="AQ232" s="36"/>
      <c r="AR232" s="36"/>
      <c r="AS232" s="36"/>
      <c r="AT232" s="36" t="s">
        <v>223</v>
      </c>
      <c r="AU232" s="36" t="s">
        <v>260</v>
      </c>
      <c r="AV232" s="36" t="s">
        <v>209</v>
      </c>
      <c r="AW232" s="36" t="s">
        <v>209</v>
      </c>
      <c r="AX232" s="36" t="s">
        <v>210</v>
      </c>
      <c r="AY232" s="36">
        <v>0</v>
      </c>
      <c r="AZ232" s="36" t="s">
        <v>211</v>
      </c>
      <c r="BA232" s="36">
        <v>9044989567153</v>
      </c>
      <c r="BB232" s="36"/>
      <c r="BC232" s="36"/>
      <c r="BD232" s="36">
        <v>1</v>
      </c>
      <c r="BE232" s="36"/>
      <c r="BF232" s="36" t="s">
        <v>212</v>
      </c>
      <c r="BG232" s="36">
        <v>1333314600</v>
      </c>
      <c r="BH232" s="36" t="s">
        <v>213</v>
      </c>
      <c r="BI232" s="36">
        <v>10</v>
      </c>
      <c r="BJ232" s="36">
        <v>10</v>
      </c>
      <c r="BK232" s="36">
        <v>1300</v>
      </c>
      <c r="BL232" s="36" t="s">
        <v>214</v>
      </c>
      <c r="BM232" s="36"/>
      <c r="BN232" s="36"/>
    </row>
    <row r="233" spans="1:66" x14ac:dyDescent="0.35">
      <c r="A233" s="36"/>
      <c r="B233" s="36"/>
      <c r="C233" s="37" t="s">
        <v>8</v>
      </c>
      <c r="D233" s="37" t="s">
        <v>8</v>
      </c>
      <c r="E233" s="36"/>
      <c r="F233" s="36" t="s">
        <v>192</v>
      </c>
      <c r="G233" s="36" t="s">
        <v>1</v>
      </c>
      <c r="H233" s="36">
        <v>0</v>
      </c>
      <c r="I233" s="36" t="s">
        <v>193</v>
      </c>
      <c r="J233" s="36" t="s">
        <v>194</v>
      </c>
      <c r="K233" s="36" t="s">
        <v>195</v>
      </c>
      <c r="L233" s="36">
        <v>923</v>
      </c>
      <c r="M233" s="36"/>
      <c r="N233" s="36" t="s">
        <v>256</v>
      </c>
      <c r="O233" s="36" t="s">
        <v>257</v>
      </c>
      <c r="P233" s="36">
        <v>2</v>
      </c>
      <c r="Q233" s="36" t="s">
        <v>258</v>
      </c>
      <c r="R233" s="37">
        <v>244688</v>
      </c>
      <c r="S233" s="37" t="s">
        <v>8</v>
      </c>
      <c r="T233" s="36" t="s">
        <v>259</v>
      </c>
      <c r="U233" s="36">
        <v>23065143</v>
      </c>
      <c r="V233" s="36" t="s">
        <v>43</v>
      </c>
      <c r="W233" s="36">
        <v>20</v>
      </c>
      <c r="X233" s="36">
        <v>20</v>
      </c>
      <c r="Y233" s="36">
        <v>20</v>
      </c>
      <c r="Z233" s="36">
        <v>20</v>
      </c>
      <c r="AA233" s="36">
        <v>0</v>
      </c>
      <c r="AB233" s="36">
        <v>0</v>
      </c>
      <c r="AC233" s="36">
        <v>0</v>
      </c>
      <c r="AD233" s="36">
        <v>0</v>
      </c>
      <c r="AE233" s="36">
        <v>20</v>
      </c>
      <c r="AF233" s="36">
        <v>20</v>
      </c>
      <c r="AG233" s="36"/>
      <c r="AH233" s="36"/>
      <c r="AI233" s="36" t="s">
        <v>200</v>
      </c>
      <c r="AJ233" s="36" t="s">
        <v>201</v>
      </c>
      <c r="AK233" s="36" t="s">
        <v>202</v>
      </c>
      <c r="AL233" s="36" t="s">
        <v>203</v>
      </c>
      <c r="AM233" s="36" t="s">
        <v>204</v>
      </c>
      <c r="AN233" s="36" t="s">
        <v>222</v>
      </c>
      <c r="AO233" s="36" t="s">
        <v>206</v>
      </c>
      <c r="AP233" s="36">
        <v>2</v>
      </c>
      <c r="AQ233" s="36"/>
      <c r="AR233" s="36"/>
      <c r="AS233" s="36"/>
      <c r="AT233" s="36" t="s">
        <v>223</v>
      </c>
      <c r="AU233" s="36" t="s">
        <v>260</v>
      </c>
      <c r="AV233" s="36" t="s">
        <v>209</v>
      </c>
      <c r="AW233" s="36" t="s">
        <v>209</v>
      </c>
      <c r="AX233" s="36" t="s">
        <v>210</v>
      </c>
      <c r="AY233" s="36">
        <v>0</v>
      </c>
      <c r="AZ233" s="36" t="s">
        <v>211</v>
      </c>
      <c r="BA233" s="36">
        <v>9044989567153</v>
      </c>
      <c r="BB233" s="36"/>
      <c r="BC233" s="36"/>
      <c r="BD233" s="36">
        <v>1</v>
      </c>
      <c r="BE233" s="36"/>
      <c r="BF233" s="36" t="s">
        <v>212</v>
      </c>
      <c r="BG233" s="36">
        <v>1333314600</v>
      </c>
      <c r="BH233" s="36" t="s">
        <v>213</v>
      </c>
      <c r="BI233" s="36">
        <v>20</v>
      </c>
      <c r="BJ233" s="36">
        <v>20</v>
      </c>
      <c r="BK233" s="36">
        <v>1300</v>
      </c>
      <c r="BL233" s="36" t="s">
        <v>214</v>
      </c>
      <c r="BM233" s="36"/>
      <c r="BN233" s="36"/>
    </row>
    <row r="234" spans="1:66" x14ac:dyDescent="0.35">
      <c r="A234" s="36"/>
      <c r="B234" s="36"/>
      <c r="C234" s="37" t="s">
        <v>8</v>
      </c>
      <c r="D234" s="37" t="s">
        <v>8</v>
      </c>
      <c r="E234" s="36"/>
      <c r="F234" s="36" t="s">
        <v>192</v>
      </c>
      <c r="G234" s="36" t="s">
        <v>1</v>
      </c>
      <c r="H234" s="36">
        <v>0</v>
      </c>
      <c r="I234" s="36" t="s">
        <v>193</v>
      </c>
      <c r="J234" s="36" t="s">
        <v>194</v>
      </c>
      <c r="K234" s="36" t="s">
        <v>195</v>
      </c>
      <c r="L234" s="36">
        <v>923</v>
      </c>
      <c r="M234" s="36"/>
      <c r="N234" s="36" t="s">
        <v>256</v>
      </c>
      <c r="O234" s="36" t="s">
        <v>257</v>
      </c>
      <c r="P234" s="36">
        <v>2</v>
      </c>
      <c r="Q234" s="36" t="s">
        <v>258</v>
      </c>
      <c r="R234" s="37">
        <v>244688</v>
      </c>
      <c r="S234" s="37" t="s">
        <v>8</v>
      </c>
      <c r="T234" s="36" t="s">
        <v>259</v>
      </c>
      <c r="U234" s="36">
        <v>23065142</v>
      </c>
      <c r="V234" s="36" t="s">
        <v>42</v>
      </c>
      <c r="W234" s="36">
        <v>10</v>
      </c>
      <c r="X234" s="36">
        <v>10</v>
      </c>
      <c r="Y234" s="36">
        <v>10</v>
      </c>
      <c r="Z234" s="36">
        <v>10</v>
      </c>
      <c r="AA234" s="36">
        <v>0</v>
      </c>
      <c r="AB234" s="36">
        <v>0</v>
      </c>
      <c r="AC234" s="36">
        <v>0</v>
      </c>
      <c r="AD234" s="36">
        <v>0</v>
      </c>
      <c r="AE234" s="36">
        <v>10</v>
      </c>
      <c r="AF234" s="36">
        <v>10</v>
      </c>
      <c r="AG234" s="36"/>
      <c r="AH234" s="36"/>
      <c r="AI234" s="36" t="s">
        <v>200</v>
      </c>
      <c r="AJ234" s="36" t="s">
        <v>201</v>
      </c>
      <c r="AK234" s="36" t="s">
        <v>202</v>
      </c>
      <c r="AL234" s="36" t="s">
        <v>203</v>
      </c>
      <c r="AM234" s="36" t="s">
        <v>204</v>
      </c>
      <c r="AN234" s="36" t="s">
        <v>222</v>
      </c>
      <c r="AO234" s="36" t="s">
        <v>206</v>
      </c>
      <c r="AP234" s="36">
        <v>2</v>
      </c>
      <c r="AQ234" s="36"/>
      <c r="AR234" s="36"/>
      <c r="AS234" s="36"/>
      <c r="AT234" s="36" t="s">
        <v>223</v>
      </c>
      <c r="AU234" s="36" t="s">
        <v>260</v>
      </c>
      <c r="AV234" s="36" t="s">
        <v>209</v>
      </c>
      <c r="AW234" s="36" t="s">
        <v>209</v>
      </c>
      <c r="AX234" s="36" t="s">
        <v>210</v>
      </c>
      <c r="AY234" s="36">
        <v>0</v>
      </c>
      <c r="AZ234" s="36" t="s">
        <v>211</v>
      </c>
      <c r="BA234" s="36">
        <v>9044989567153</v>
      </c>
      <c r="BB234" s="36"/>
      <c r="BC234" s="36"/>
      <c r="BD234" s="36">
        <v>1</v>
      </c>
      <c r="BE234" s="36"/>
      <c r="BF234" s="36" t="s">
        <v>212</v>
      </c>
      <c r="BG234" s="36">
        <v>1333314600</v>
      </c>
      <c r="BH234" s="36" t="s">
        <v>213</v>
      </c>
      <c r="BI234" s="36">
        <v>10</v>
      </c>
      <c r="BJ234" s="36">
        <v>10</v>
      </c>
      <c r="BK234" s="36">
        <v>1300</v>
      </c>
      <c r="BL234" s="36" t="s">
        <v>214</v>
      </c>
      <c r="BM234" s="36"/>
      <c r="BN234" s="36"/>
    </row>
    <row r="235" spans="1:66" x14ac:dyDescent="0.35">
      <c r="A235" s="36"/>
      <c r="B235" s="36"/>
      <c r="C235" s="37" t="s">
        <v>8</v>
      </c>
      <c r="D235" s="37" t="s">
        <v>8</v>
      </c>
      <c r="E235" s="36"/>
      <c r="F235" s="36" t="s">
        <v>192</v>
      </c>
      <c r="G235" s="36" t="s">
        <v>1</v>
      </c>
      <c r="H235" s="36">
        <v>0</v>
      </c>
      <c r="I235" s="36" t="s">
        <v>193</v>
      </c>
      <c r="J235" s="36" t="s">
        <v>194</v>
      </c>
      <c r="K235" s="36" t="s">
        <v>195</v>
      </c>
      <c r="L235" s="36">
        <v>923</v>
      </c>
      <c r="M235" s="36"/>
      <c r="N235" s="36" t="s">
        <v>256</v>
      </c>
      <c r="O235" s="36" t="s">
        <v>257</v>
      </c>
      <c r="P235" s="36">
        <v>2</v>
      </c>
      <c r="Q235" s="36" t="s">
        <v>258</v>
      </c>
      <c r="R235" s="37">
        <v>244688</v>
      </c>
      <c r="S235" s="37" t="s">
        <v>8</v>
      </c>
      <c r="T235" s="36" t="s">
        <v>259</v>
      </c>
      <c r="U235" s="36">
        <v>23066879</v>
      </c>
      <c r="V235" s="36" t="s">
        <v>45</v>
      </c>
      <c r="W235" s="36">
        <v>5</v>
      </c>
      <c r="X235" s="36">
        <v>5</v>
      </c>
      <c r="Y235" s="36">
        <v>5</v>
      </c>
      <c r="Z235" s="36">
        <v>5</v>
      </c>
      <c r="AA235" s="36">
        <v>0</v>
      </c>
      <c r="AB235" s="36">
        <v>0</v>
      </c>
      <c r="AC235" s="36">
        <v>0</v>
      </c>
      <c r="AD235" s="36">
        <v>0</v>
      </c>
      <c r="AE235" s="36">
        <v>5</v>
      </c>
      <c r="AF235" s="36">
        <v>5</v>
      </c>
      <c r="AG235" s="36"/>
      <c r="AH235" s="36"/>
      <c r="AI235" s="36" t="s">
        <v>200</v>
      </c>
      <c r="AJ235" s="36" t="s">
        <v>201</v>
      </c>
      <c r="AK235" s="36" t="s">
        <v>215</v>
      </c>
      <c r="AL235" s="36" t="s">
        <v>203</v>
      </c>
      <c r="AM235" s="36" t="s">
        <v>204</v>
      </c>
      <c r="AN235" s="36" t="s">
        <v>222</v>
      </c>
      <c r="AO235" s="36" t="s">
        <v>206</v>
      </c>
      <c r="AP235" s="36">
        <v>2</v>
      </c>
      <c r="AQ235" s="36"/>
      <c r="AR235" s="36"/>
      <c r="AS235" s="36"/>
      <c r="AT235" s="36" t="s">
        <v>223</v>
      </c>
      <c r="AU235" s="36" t="s">
        <v>260</v>
      </c>
      <c r="AV235" s="36" t="s">
        <v>209</v>
      </c>
      <c r="AW235" s="36" t="s">
        <v>209</v>
      </c>
      <c r="AX235" s="36" t="s">
        <v>210</v>
      </c>
      <c r="AY235" s="36">
        <v>0</v>
      </c>
      <c r="AZ235" s="36" t="s">
        <v>211</v>
      </c>
      <c r="BA235" s="36">
        <v>9044989567153</v>
      </c>
      <c r="BB235" s="36"/>
      <c r="BC235" s="36"/>
      <c r="BD235" s="36">
        <v>1</v>
      </c>
      <c r="BE235" s="36"/>
      <c r="BF235" s="36" t="s">
        <v>212</v>
      </c>
      <c r="BG235" s="36">
        <v>1333314600</v>
      </c>
      <c r="BH235" s="36" t="s">
        <v>213</v>
      </c>
      <c r="BI235" s="36">
        <v>5</v>
      </c>
      <c r="BJ235" s="36">
        <v>5</v>
      </c>
      <c r="BK235" s="36">
        <v>1300</v>
      </c>
      <c r="BL235" s="36" t="s">
        <v>214</v>
      </c>
      <c r="BM235" s="36"/>
      <c r="BN235" s="36"/>
    </row>
    <row r="236" spans="1:66" x14ac:dyDescent="0.35">
      <c r="A236" s="36"/>
      <c r="B236" s="36"/>
      <c r="C236" s="37" t="s">
        <v>8</v>
      </c>
      <c r="D236" s="37" t="s">
        <v>8</v>
      </c>
      <c r="E236" s="36"/>
      <c r="F236" s="36" t="s">
        <v>192</v>
      </c>
      <c r="G236" s="36" t="s">
        <v>1</v>
      </c>
      <c r="H236" s="36">
        <v>0</v>
      </c>
      <c r="I236" s="36" t="s">
        <v>193</v>
      </c>
      <c r="J236" s="36" t="s">
        <v>194</v>
      </c>
      <c r="K236" s="36" t="s">
        <v>195</v>
      </c>
      <c r="L236" s="36">
        <v>923</v>
      </c>
      <c r="M236" s="36"/>
      <c r="N236" s="36" t="s">
        <v>256</v>
      </c>
      <c r="O236" s="36" t="s">
        <v>257</v>
      </c>
      <c r="P236" s="36">
        <v>2</v>
      </c>
      <c r="Q236" s="36" t="s">
        <v>258</v>
      </c>
      <c r="R236" s="37">
        <v>244688</v>
      </c>
      <c r="S236" s="37" t="s">
        <v>8</v>
      </c>
      <c r="T236" s="36" t="s">
        <v>259</v>
      </c>
      <c r="U236" s="36">
        <v>23105753</v>
      </c>
      <c r="V236" s="36" t="s">
        <v>75</v>
      </c>
      <c r="W236" s="36">
        <v>10</v>
      </c>
      <c r="X236" s="36">
        <v>10</v>
      </c>
      <c r="Y236" s="36">
        <v>10</v>
      </c>
      <c r="Z236" s="36">
        <v>10</v>
      </c>
      <c r="AA236" s="36">
        <v>0</v>
      </c>
      <c r="AB236" s="36">
        <v>0</v>
      </c>
      <c r="AC236" s="36">
        <v>0</v>
      </c>
      <c r="AD236" s="36">
        <v>0</v>
      </c>
      <c r="AE236" s="36">
        <v>10</v>
      </c>
      <c r="AF236" s="36">
        <v>10</v>
      </c>
      <c r="AG236" s="36"/>
      <c r="AH236" s="36"/>
      <c r="AI236" s="36" t="s">
        <v>200</v>
      </c>
      <c r="AJ236" s="36" t="s">
        <v>201</v>
      </c>
      <c r="AK236" s="36" t="s">
        <v>202</v>
      </c>
      <c r="AL236" s="36" t="s">
        <v>203</v>
      </c>
      <c r="AM236" s="36" t="s">
        <v>204</v>
      </c>
      <c r="AN236" s="36" t="s">
        <v>222</v>
      </c>
      <c r="AO236" s="36" t="s">
        <v>206</v>
      </c>
      <c r="AP236" s="36">
        <v>2</v>
      </c>
      <c r="AQ236" s="36"/>
      <c r="AR236" s="36"/>
      <c r="AS236" s="36"/>
      <c r="AT236" s="36" t="s">
        <v>223</v>
      </c>
      <c r="AU236" s="36" t="s">
        <v>260</v>
      </c>
      <c r="AV236" s="36" t="s">
        <v>209</v>
      </c>
      <c r="AW236" s="36" t="s">
        <v>209</v>
      </c>
      <c r="AX236" s="36" t="s">
        <v>210</v>
      </c>
      <c r="AY236" s="36">
        <v>0</v>
      </c>
      <c r="AZ236" s="36" t="s">
        <v>211</v>
      </c>
      <c r="BA236" s="36">
        <v>9044989567153</v>
      </c>
      <c r="BB236" s="36"/>
      <c r="BC236" s="36"/>
      <c r="BD236" s="36">
        <v>1</v>
      </c>
      <c r="BE236" s="36"/>
      <c r="BF236" s="36" t="s">
        <v>212</v>
      </c>
      <c r="BG236" s="36">
        <v>1333314600</v>
      </c>
      <c r="BH236" s="36" t="s">
        <v>213</v>
      </c>
      <c r="BI236" s="36">
        <v>10</v>
      </c>
      <c r="BJ236" s="36">
        <v>10</v>
      </c>
      <c r="BK236" s="36">
        <v>1300</v>
      </c>
      <c r="BL236" s="36" t="s">
        <v>214</v>
      </c>
      <c r="BM236" s="36"/>
      <c r="BN236" s="36"/>
    </row>
    <row r="237" spans="1:66" x14ac:dyDescent="0.35">
      <c r="A237" s="36"/>
      <c r="B237" s="36"/>
      <c r="C237" s="37" t="s">
        <v>8</v>
      </c>
      <c r="D237" s="37" t="s">
        <v>8</v>
      </c>
      <c r="E237" s="36"/>
      <c r="F237" s="36" t="s">
        <v>192</v>
      </c>
      <c r="G237" s="36" t="s">
        <v>1</v>
      </c>
      <c r="H237" s="36">
        <v>0</v>
      </c>
      <c r="I237" s="36" t="s">
        <v>193</v>
      </c>
      <c r="J237" s="36" t="s">
        <v>194</v>
      </c>
      <c r="K237" s="36" t="s">
        <v>195</v>
      </c>
      <c r="L237" s="36">
        <v>923</v>
      </c>
      <c r="M237" s="36"/>
      <c r="N237" s="36" t="s">
        <v>256</v>
      </c>
      <c r="O237" s="36" t="s">
        <v>257</v>
      </c>
      <c r="P237" s="36">
        <v>2</v>
      </c>
      <c r="Q237" s="36" t="s">
        <v>258</v>
      </c>
      <c r="R237" s="37">
        <v>244688</v>
      </c>
      <c r="S237" s="37" t="s">
        <v>8</v>
      </c>
      <c r="T237" s="36" t="s">
        <v>259</v>
      </c>
      <c r="U237" s="36">
        <v>23057818</v>
      </c>
      <c r="V237" s="36" t="s">
        <v>21</v>
      </c>
      <c r="W237" s="36">
        <v>5</v>
      </c>
      <c r="X237" s="36">
        <v>5</v>
      </c>
      <c r="Y237" s="36">
        <v>5</v>
      </c>
      <c r="Z237" s="36">
        <v>5</v>
      </c>
      <c r="AA237" s="36">
        <v>0</v>
      </c>
      <c r="AB237" s="36">
        <v>0</v>
      </c>
      <c r="AC237" s="36">
        <v>0</v>
      </c>
      <c r="AD237" s="36">
        <v>0</v>
      </c>
      <c r="AE237" s="36">
        <v>5</v>
      </c>
      <c r="AF237" s="36">
        <v>5</v>
      </c>
      <c r="AG237" s="36"/>
      <c r="AH237" s="36"/>
      <c r="AI237" s="36" t="s">
        <v>200</v>
      </c>
      <c r="AJ237" s="36" t="s">
        <v>201</v>
      </c>
      <c r="AK237" s="36" t="s">
        <v>202</v>
      </c>
      <c r="AL237" s="36" t="s">
        <v>203</v>
      </c>
      <c r="AM237" s="36" t="s">
        <v>204</v>
      </c>
      <c r="AN237" s="36" t="s">
        <v>222</v>
      </c>
      <c r="AO237" s="36" t="s">
        <v>206</v>
      </c>
      <c r="AP237" s="36">
        <v>2</v>
      </c>
      <c r="AQ237" s="36"/>
      <c r="AR237" s="36"/>
      <c r="AS237" s="36"/>
      <c r="AT237" s="36" t="s">
        <v>223</v>
      </c>
      <c r="AU237" s="36" t="s">
        <v>260</v>
      </c>
      <c r="AV237" s="36" t="s">
        <v>209</v>
      </c>
      <c r="AW237" s="36" t="s">
        <v>209</v>
      </c>
      <c r="AX237" s="36" t="s">
        <v>210</v>
      </c>
      <c r="AY237" s="36">
        <v>0</v>
      </c>
      <c r="AZ237" s="36" t="s">
        <v>211</v>
      </c>
      <c r="BA237" s="36">
        <v>9044989567153</v>
      </c>
      <c r="BB237" s="36"/>
      <c r="BC237" s="36"/>
      <c r="BD237" s="36">
        <v>1</v>
      </c>
      <c r="BE237" s="36"/>
      <c r="BF237" s="36" t="s">
        <v>212</v>
      </c>
      <c r="BG237" s="36">
        <v>1333314600</v>
      </c>
      <c r="BH237" s="36" t="s">
        <v>213</v>
      </c>
      <c r="BI237" s="36">
        <v>5</v>
      </c>
      <c r="BJ237" s="36">
        <v>5</v>
      </c>
      <c r="BK237" s="36">
        <v>1300</v>
      </c>
      <c r="BL237" s="36" t="s">
        <v>214</v>
      </c>
      <c r="BM237" s="36"/>
      <c r="BN237" s="36"/>
    </row>
    <row r="238" spans="1:66" x14ac:dyDescent="0.35">
      <c r="A238" s="36"/>
      <c r="B238" s="36"/>
      <c r="C238" s="37" t="s">
        <v>8</v>
      </c>
      <c r="D238" s="37" t="s">
        <v>8</v>
      </c>
      <c r="E238" s="36"/>
      <c r="F238" s="36" t="s">
        <v>192</v>
      </c>
      <c r="G238" s="36" t="s">
        <v>1</v>
      </c>
      <c r="H238" s="36">
        <v>0</v>
      </c>
      <c r="I238" s="36" t="s">
        <v>193</v>
      </c>
      <c r="J238" s="36" t="s">
        <v>194</v>
      </c>
      <c r="K238" s="36" t="s">
        <v>195</v>
      </c>
      <c r="L238" s="36">
        <v>923</v>
      </c>
      <c r="M238" s="36"/>
      <c r="N238" s="36" t="s">
        <v>256</v>
      </c>
      <c r="O238" s="36" t="s">
        <v>257</v>
      </c>
      <c r="P238" s="36">
        <v>2</v>
      </c>
      <c r="Q238" s="36" t="s">
        <v>258</v>
      </c>
      <c r="R238" s="37">
        <v>244688</v>
      </c>
      <c r="S238" s="37" t="s">
        <v>8</v>
      </c>
      <c r="T238" s="36" t="s">
        <v>259</v>
      </c>
      <c r="U238" s="36">
        <v>23057815</v>
      </c>
      <c r="V238" s="36" t="s">
        <v>20</v>
      </c>
      <c r="W238" s="36">
        <v>40</v>
      </c>
      <c r="X238" s="36">
        <v>40</v>
      </c>
      <c r="Y238" s="36">
        <v>40</v>
      </c>
      <c r="Z238" s="36">
        <v>40</v>
      </c>
      <c r="AA238" s="36">
        <v>0</v>
      </c>
      <c r="AB238" s="36">
        <v>0</v>
      </c>
      <c r="AC238" s="36">
        <v>0</v>
      </c>
      <c r="AD238" s="36">
        <v>0</v>
      </c>
      <c r="AE238" s="36">
        <v>40</v>
      </c>
      <c r="AF238" s="36">
        <v>40</v>
      </c>
      <c r="AG238" s="36"/>
      <c r="AH238" s="36"/>
      <c r="AI238" s="36" t="s">
        <v>200</v>
      </c>
      <c r="AJ238" s="36" t="s">
        <v>201</v>
      </c>
      <c r="AK238" s="36" t="s">
        <v>202</v>
      </c>
      <c r="AL238" s="36" t="s">
        <v>203</v>
      </c>
      <c r="AM238" s="36" t="s">
        <v>204</v>
      </c>
      <c r="AN238" s="36" t="s">
        <v>222</v>
      </c>
      <c r="AO238" s="36" t="s">
        <v>206</v>
      </c>
      <c r="AP238" s="36">
        <v>2</v>
      </c>
      <c r="AQ238" s="36"/>
      <c r="AR238" s="36"/>
      <c r="AS238" s="36"/>
      <c r="AT238" s="36" t="s">
        <v>223</v>
      </c>
      <c r="AU238" s="36" t="s">
        <v>260</v>
      </c>
      <c r="AV238" s="36" t="s">
        <v>209</v>
      </c>
      <c r="AW238" s="36" t="s">
        <v>209</v>
      </c>
      <c r="AX238" s="36" t="s">
        <v>210</v>
      </c>
      <c r="AY238" s="36">
        <v>0</v>
      </c>
      <c r="AZ238" s="36" t="s">
        <v>211</v>
      </c>
      <c r="BA238" s="36">
        <v>9044989567153</v>
      </c>
      <c r="BB238" s="36"/>
      <c r="BC238" s="36"/>
      <c r="BD238" s="36">
        <v>1</v>
      </c>
      <c r="BE238" s="36"/>
      <c r="BF238" s="36" t="s">
        <v>212</v>
      </c>
      <c r="BG238" s="36">
        <v>1333314600</v>
      </c>
      <c r="BH238" s="36" t="s">
        <v>213</v>
      </c>
      <c r="BI238" s="36">
        <v>40</v>
      </c>
      <c r="BJ238" s="36">
        <v>40</v>
      </c>
      <c r="BK238" s="36">
        <v>1300</v>
      </c>
      <c r="BL238" s="36" t="s">
        <v>214</v>
      </c>
      <c r="BM238" s="36"/>
      <c r="BN238" s="36"/>
    </row>
    <row r="239" spans="1:66" x14ac:dyDescent="0.35">
      <c r="A239" s="36"/>
      <c r="B239" s="36"/>
      <c r="C239" s="37" t="s">
        <v>8</v>
      </c>
      <c r="D239" s="37" t="s">
        <v>8</v>
      </c>
      <c r="E239" s="36"/>
      <c r="F239" s="36" t="s">
        <v>192</v>
      </c>
      <c r="G239" s="36" t="s">
        <v>1</v>
      </c>
      <c r="H239" s="36">
        <v>0</v>
      </c>
      <c r="I239" s="36" t="s">
        <v>193</v>
      </c>
      <c r="J239" s="36" t="s">
        <v>194</v>
      </c>
      <c r="K239" s="36" t="s">
        <v>195</v>
      </c>
      <c r="L239" s="36">
        <v>923</v>
      </c>
      <c r="M239" s="36"/>
      <c r="N239" s="36" t="s">
        <v>256</v>
      </c>
      <c r="O239" s="36" t="s">
        <v>257</v>
      </c>
      <c r="P239" s="36">
        <v>2</v>
      </c>
      <c r="Q239" s="36" t="s">
        <v>258</v>
      </c>
      <c r="R239" s="37">
        <v>244688</v>
      </c>
      <c r="S239" s="37" t="s">
        <v>8</v>
      </c>
      <c r="T239" s="36" t="s">
        <v>259</v>
      </c>
      <c r="U239" s="36">
        <v>23057821</v>
      </c>
      <c r="V239" s="36" t="s">
        <v>22</v>
      </c>
      <c r="W239" s="36">
        <v>5</v>
      </c>
      <c r="X239" s="36">
        <v>5</v>
      </c>
      <c r="Y239" s="36">
        <v>5</v>
      </c>
      <c r="Z239" s="36">
        <v>5</v>
      </c>
      <c r="AA239" s="36">
        <v>0</v>
      </c>
      <c r="AB239" s="36">
        <v>0</v>
      </c>
      <c r="AC239" s="36">
        <v>0</v>
      </c>
      <c r="AD239" s="36">
        <v>0</v>
      </c>
      <c r="AE239" s="36">
        <v>5</v>
      </c>
      <c r="AF239" s="36">
        <v>5</v>
      </c>
      <c r="AG239" s="36"/>
      <c r="AH239" s="36"/>
      <c r="AI239" s="36" t="s">
        <v>200</v>
      </c>
      <c r="AJ239" s="36" t="s">
        <v>201</v>
      </c>
      <c r="AK239" s="36" t="s">
        <v>202</v>
      </c>
      <c r="AL239" s="36" t="s">
        <v>203</v>
      </c>
      <c r="AM239" s="36" t="s">
        <v>204</v>
      </c>
      <c r="AN239" s="36" t="s">
        <v>222</v>
      </c>
      <c r="AO239" s="36" t="s">
        <v>206</v>
      </c>
      <c r="AP239" s="36">
        <v>2</v>
      </c>
      <c r="AQ239" s="36"/>
      <c r="AR239" s="36"/>
      <c r="AS239" s="36"/>
      <c r="AT239" s="36" t="s">
        <v>223</v>
      </c>
      <c r="AU239" s="36" t="s">
        <v>260</v>
      </c>
      <c r="AV239" s="36" t="s">
        <v>209</v>
      </c>
      <c r="AW239" s="36" t="s">
        <v>209</v>
      </c>
      <c r="AX239" s="36" t="s">
        <v>210</v>
      </c>
      <c r="AY239" s="36">
        <v>0</v>
      </c>
      <c r="AZ239" s="36" t="s">
        <v>211</v>
      </c>
      <c r="BA239" s="36">
        <v>9044989567153</v>
      </c>
      <c r="BB239" s="36"/>
      <c r="BC239" s="36"/>
      <c r="BD239" s="36">
        <v>1</v>
      </c>
      <c r="BE239" s="36"/>
      <c r="BF239" s="36" t="s">
        <v>212</v>
      </c>
      <c r="BG239" s="36">
        <v>1333314600</v>
      </c>
      <c r="BH239" s="36" t="s">
        <v>213</v>
      </c>
      <c r="BI239" s="36">
        <v>5</v>
      </c>
      <c r="BJ239" s="36">
        <v>5</v>
      </c>
      <c r="BK239" s="36">
        <v>1300</v>
      </c>
      <c r="BL239" s="36" t="s">
        <v>214</v>
      </c>
      <c r="BM239" s="36"/>
      <c r="BN239" s="36"/>
    </row>
    <row r="240" spans="1:66" x14ac:dyDescent="0.35">
      <c r="A240" s="36"/>
      <c r="B240" s="36"/>
      <c r="C240" s="37" t="s">
        <v>8</v>
      </c>
      <c r="D240" s="37" t="s">
        <v>8</v>
      </c>
      <c r="E240" s="36"/>
      <c r="F240" s="36" t="s">
        <v>192</v>
      </c>
      <c r="G240" s="36" t="s">
        <v>1</v>
      </c>
      <c r="H240" s="36">
        <v>0</v>
      </c>
      <c r="I240" s="36" t="s">
        <v>193</v>
      </c>
      <c r="J240" s="36" t="s">
        <v>194</v>
      </c>
      <c r="K240" s="36" t="s">
        <v>195</v>
      </c>
      <c r="L240" s="36">
        <v>923</v>
      </c>
      <c r="M240" s="36"/>
      <c r="N240" s="36" t="s">
        <v>256</v>
      </c>
      <c r="O240" s="36" t="s">
        <v>257</v>
      </c>
      <c r="P240" s="36">
        <v>2</v>
      </c>
      <c r="Q240" s="36" t="s">
        <v>258</v>
      </c>
      <c r="R240" s="37">
        <v>244688</v>
      </c>
      <c r="S240" s="37" t="s">
        <v>8</v>
      </c>
      <c r="T240" s="36" t="s">
        <v>259</v>
      </c>
      <c r="U240" s="36">
        <v>23058555</v>
      </c>
      <c r="V240" s="36" t="s">
        <v>28</v>
      </c>
      <c r="W240" s="36">
        <v>50</v>
      </c>
      <c r="X240" s="36">
        <v>50</v>
      </c>
      <c r="Y240" s="36">
        <v>50</v>
      </c>
      <c r="Z240" s="36">
        <v>50</v>
      </c>
      <c r="AA240" s="36">
        <v>0</v>
      </c>
      <c r="AB240" s="36">
        <v>0</v>
      </c>
      <c r="AC240" s="36">
        <v>0</v>
      </c>
      <c r="AD240" s="36">
        <v>0</v>
      </c>
      <c r="AE240" s="36">
        <v>50</v>
      </c>
      <c r="AF240" s="36">
        <v>50</v>
      </c>
      <c r="AG240" s="36"/>
      <c r="AH240" s="36"/>
      <c r="AI240" s="36" t="s">
        <v>200</v>
      </c>
      <c r="AJ240" s="36" t="s">
        <v>201</v>
      </c>
      <c r="AK240" s="36" t="s">
        <v>215</v>
      </c>
      <c r="AL240" s="36" t="s">
        <v>203</v>
      </c>
      <c r="AM240" s="36" t="s">
        <v>204</v>
      </c>
      <c r="AN240" s="36" t="s">
        <v>222</v>
      </c>
      <c r="AO240" s="36" t="s">
        <v>206</v>
      </c>
      <c r="AP240" s="36">
        <v>2</v>
      </c>
      <c r="AQ240" s="36"/>
      <c r="AR240" s="36"/>
      <c r="AS240" s="36"/>
      <c r="AT240" s="36" t="s">
        <v>223</v>
      </c>
      <c r="AU240" s="36" t="s">
        <v>260</v>
      </c>
      <c r="AV240" s="36" t="s">
        <v>209</v>
      </c>
      <c r="AW240" s="36" t="s">
        <v>209</v>
      </c>
      <c r="AX240" s="36" t="s">
        <v>210</v>
      </c>
      <c r="AY240" s="36">
        <v>0</v>
      </c>
      <c r="AZ240" s="36" t="s">
        <v>211</v>
      </c>
      <c r="BA240" s="36">
        <v>9044989567153</v>
      </c>
      <c r="BB240" s="36"/>
      <c r="BC240" s="36"/>
      <c r="BD240" s="36">
        <v>1</v>
      </c>
      <c r="BE240" s="36"/>
      <c r="BF240" s="36" t="s">
        <v>212</v>
      </c>
      <c r="BG240" s="36">
        <v>1333314600</v>
      </c>
      <c r="BH240" s="36" t="s">
        <v>213</v>
      </c>
      <c r="BI240" s="36">
        <v>50</v>
      </c>
      <c r="BJ240" s="36">
        <v>50</v>
      </c>
      <c r="BK240" s="36">
        <v>1300</v>
      </c>
      <c r="BL240" s="36" t="s">
        <v>214</v>
      </c>
      <c r="BM240" s="36"/>
      <c r="BN240" s="36"/>
    </row>
    <row r="241" spans="1:66" x14ac:dyDescent="0.35">
      <c r="A241" s="36"/>
      <c r="B241" s="36"/>
      <c r="C241" s="37" t="s">
        <v>8</v>
      </c>
      <c r="D241" s="37" t="s">
        <v>8</v>
      </c>
      <c r="E241" s="36"/>
      <c r="F241" s="36" t="s">
        <v>192</v>
      </c>
      <c r="G241" s="36" t="s">
        <v>1</v>
      </c>
      <c r="H241" s="36">
        <v>0</v>
      </c>
      <c r="I241" s="36" t="s">
        <v>193</v>
      </c>
      <c r="J241" s="36" t="s">
        <v>194</v>
      </c>
      <c r="K241" s="36" t="s">
        <v>195</v>
      </c>
      <c r="L241" s="36">
        <v>923</v>
      </c>
      <c r="M241" s="36"/>
      <c r="N241" s="36" t="s">
        <v>256</v>
      </c>
      <c r="O241" s="36" t="s">
        <v>257</v>
      </c>
      <c r="P241" s="36">
        <v>2</v>
      </c>
      <c r="Q241" s="36" t="s">
        <v>258</v>
      </c>
      <c r="R241" s="37">
        <v>244688</v>
      </c>
      <c r="S241" s="37" t="s">
        <v>8</v>
      </c>
      <c r="T241" s="36" t="s">
        <v>259</v>
      </c>
      <c r="U241" s="36">
        <v>23071882</v>
      </c>
      <c r="V241" s="36" t="s">
        <v>49</v>
      </c>
      <c r="W241" s="36">
        <v>8</v>
      </c>
      <c r="X241" s="36">
        <v>40</v>
      </c>
      <c r="Y241" s="36">
        <v>8</v>
      </c>
      <c r="Z241" s="36">
        <v>40</v>
      </c>
      <c r="AA241" s="36">
        <v>0</v>
      </c>
      <c r="AB241" s="36">
        <v>0</v>
      </c>
      <c r="AC241" s="36">
        <v>0</v>
      </c>
      <c r="AD241" s="36">
        <v>0</v>
      </c>
      <c r="AE241" s="36">
        <v>8</v>
      </c>
      <c r="AF241" s="36">
        <v>40</v>
      </c>
      <c r="AG241" s="36"/>
      <c r="AH241" s="36"/>
      <c r="AI241" s="36" t="s">
        <v>200</v>
      </c>
      <c r="AJ241" s="36" t="s">
        <v>201</v>
      </c>
      <c r="AK241" s="36" t="s">
        <v>202</v>
      </c>
      <c r="AL241" s="36" t="s">
        <v>203</v>
      </c>
      <c r="AM241" s="36" t="s">
        <v>204</v>
      </c>
      <c r="AN241" s="36" t="s">
        <v>222</v>
      </c>
      <c r="AO241" s="36" t="s">
        <v>206</v>
      </c>
      <c r="AP241" s="36">
        <v>2</v>
      </c>
      <c r="AQ241" s="36"/>
      <c r="AR241" s="36"/>
      <c r="AS241" s="36"/>
      <c r="AT241" s="36" t="s">
        <v>223</v>
      </c>
      <c r="AU241" s="36" t="s">
        <v>260</v>
      </c>
      <c r="AV241" s="36" t="s">
        <v>217</v>
      </c>
      <c r="AW241" s="36" t="s">
        <v>209</v>
      </c>
      <c r="AX241" s="36" t="s">
        <v>210</v>
      </c>
      <c r="AY241" s="36">
        <v>0</v>
      </c>
      <c r="AZ241" s="36" t="s">
        <v>211</v>
      </c>
      <c r="BA241" s="36">
        <v>9044989567153</v>
      </c>
      <c r="BB241" s="36"/>
      <c r="BC241" s="36"/>
      <c r="BD241" s="36">
        <v>1</v>
      </c>
      <c r="BE241" s="36"/>
      <c r="BF241" s="36" t="s">
        <v>212</v>
      </c>
      <c r="BG241" s="36">
        <v>1333314600</v>
      </c>
      <c r="BH241" s="36" t="s">
        <v>213</v>
      </c>
      <c r="BI241" s="36">
        <v>8</v>
      </c>
      <c r="BJ241" s="36">
        <v>40</v>
      </c>
      <c r="BK241" s="36">
        <v>1300</v>
      </c>
      <c r="BL241" s="36" t="s">
        <v>214</v>
      </c>
      <c r="BM241" s="36"/>
      <c r="BN241" s="36"/>
    </row>
    <row r="242" spans="1:66" x14ac:dyDescent="0.35">
      <c r="A242" s="36"/>
      <c r="B242" s="36"/>
      <c r="C242" s="37" t="s">
        <v>8</v>
      </c>
      <c r="D242" s="37" t="s">
        <v>8</v>
      </c>
      <c r="E242" s="36"/>
      <c r="F242" s="36" t="s">
        <v>192</v>
      </c>
      <c r="G242" s="36" t="s">
        <v>1</v>
      </c>
      <c r="H242" s="36">
        <v>0</v>
      </c>
      <c r="I242" s="36" t="s">
        <v>193</v>
      </c>
      <c r="J242" s="36" t="s">
        <v>194</v>
      </c>
      <c r="K242" s="36" t="s">
        <v>195</v>
      </c>
      <c r="L242" s="36">
        <v>923</v>
      </c>
      <c r="M242" s="36"/>
      <c r="N242" s="36" t="s">
        <v>256</v>
      </c>
      <c r="O242" s="36" t="s">
        <v>257</v>
      </c>
      <c r="P242" s="36">
        <v>2</v>
      </c>
      <c r="Q242" s="36" t="s">
        <v>258</v>
      </c>
      <c r="R242" s="37">
        <v>244688</v>
      </c>
      <c r="S242" s="37" t="s">
        <v>8</v>
      </c>
      <c r="T242" s="36" t="s">
        <v>259</v>
      </c>
      <c r="U242" s="36">
        <v>23071881</v>
      </c>
      <c r="V242" s="36" t="s">
        <v>48</v>
      </c>
      <c r="W242" s="36">
        <v>12</v>
      </c>
      <c r="X242" s="36">
        <v>60</v>
      </c>
      <c r="Y242" s="36">
        <v>12</v>
      </c>
      <c r="Z242" s="36">
        <v>60</v>
      </c>
      <c r="AA242" s="36">
        <v>0</v>
      </c>
      <c r="AB242" s="36">
        <v>0</v>
      </c>
      <c r="AC242" s="36">
        <v>0</v>
      </c>
      <c r="AD242" s="36">
        <v>0</v>
      </c>
      <c r="AE242" s="36">
        <v>12</v>
      </c>
      <c r="AF242" s="36">
        <v>60</v>
      </c>
      <c r="AG242" s="36"/>
      <c r="AH242" s="36"/>
      <c r="AI242" s="36" t="s">
        <v>200</v>
      </c>
      <c r="AJ242" s="36" t="s">
        <v>201</v>
      </c>
      <c r="AK242" s="36" t="s">
        <v>202</v>
      </c>
      <c r="AL242" s="36" t="s">
        <v>203</v>
      </c>
      <c r="AM242" s="36" t="s">
        <v>204</v>
      </c>
      <c r="AN242" s="36" t="s">
        <v>222</v>
      </c>
      <c r="AO242" s="36" t="s">
        <v>206</v>
      </c>
      <c r="AP242" s="36">
        <v>2</v>
      </c>
      <c r="AQ242" s="36"/>
      <c r="AR242" s="36"/>
      <c r="AS242" s="36"/>
      <c r="AT242" s="36" t="s">
        <v>223</v>
      </c>
      <c r="AU242" s="36" t="s">
        <v>260</v>
      </c>
      <c r="AV242" s="36" t="s">
        <v>217</v>
      </c>
      <c r="AW242" s="36" t="s">
        <v>209</v>
      </c>
      <c r="AX242" s="36" t="s">
        <v>210</v>
      </c>
      <c r="AY242" s="36">
        <v>0</v>
      </c>
      <c r="AZ242" s="36" t="s">
        <v>211</v>
      </c>
      <c r="BA242" s="36">
        <v>9044989567153</v>
      </c>
      <c r="BB242" s="36"/>
      <c r="BC242" s="36"/>
      <c r="BD242" s="36">
        <v>1</v>
      </c>
      <c r="BE242" s="36"/>
      <c r="BF242" s="36" t="s">
        <v>212</v>
      </c>
      <c r="BG242" s="36">
        <v>1333314600</v>
      </c>
      <c r="BH242" s="36" t="s">
        <v>213</v>
      </c>
      <c r="BI242" s="36">
        <v>12</v>
      </c>
      <c r="BJ242" s="36">
        <v>60</v>
      </c>
      <c r="BK242" s="36">
        <v>1300</v>
      </c>
      <c r="BL242" s="36" t="s">
        <v>214</v>
      </c>
      <c r="BM242" s="36"/>
      <c r="BN242" s="36"/>
    </row>
    <row r="243" spans="1:66" x14ac:dyDescent="0.35">
      <c r="A243" s="36"/>
      <c r="B243" s="36"/>
      <c r="C243" s="37" t="s">
        <v>8</v>
      </c>
      <c r="D243" s="37" t="s">
        <v>8</v>
      </c>
      <c r="E243" s="36"/>
      <c r="F243" s="36" t="s">
        <v>192</v>
      </c>
      <c r="G243" s="36" t="s">
        <v>1</v>
      </c>
      <c r="H243" s="36">
        <v>0</v>
      </c>
      <c r="I243" s="36" t="s">
        <v>193</v>
      </c>
      <c r="J243" s="36" t="s">
        <v>194</v>
      </c>
      <c r="K243" s="36" t="s">
        <v>195</v>
      </c>
      <c r="L243" s="36">
        <v>923</v>
      </c>
      <c r="M243" s="36"/>
      <c r="N243" s="36" t="s">
        <v>256</v>
      </c>
      <c r="O243" s="36" t="s">
        <v>257</v>
      </c>
      <c r="P243" s="36">
        <v>2</v>
      </c>
      <c r="Q243" s="36" t="s">
        <v>258</v>
      </c>
      <c r="R243" s="37">
        <v>244688</v>
      </c>
      <c r="S243" s="37" t="s">
        <v>8</v>
      </c>
      <c r="T243" s="36" t="s">
        <v>259</v>
      </c>
      <c r="U243" s="36">
        <v>23105754</v>
      </c>
      <c r="V243" s="36" t="s">
        <v>76</v>
      </c>
      <c r="W243" s="36">
        <v>10</v>
      </c>
      <c r="X243" s="36">
        <v>10</v>
      </c>
      <c r="Y243" s="36">
        <v>10</v>
      </c>
      <c r="Z243" s="36">
        <v>10</v>
      </c>
      <c r="AA243" s="36">
        <v>0</v>
      </c>
      <c r="AB243" s="36">
        <v>0</v>
      </c>
      <c r="AC243" s="36">
        <v>0</v>
      </c>
      <c r="AD243" s="36">
        <v>0</v>
      </c>
      <c r="AE243" s="36">
        <v>10</v>
      </c>
      <c r="AF243" s="36">
        <v>10</v>
      </c>
      <c r="AG243" s="36"/>
      <c r="AH243" s="36"/>
      <c r="AI243" s="36" t="s">
        <v>200</v>
      </c>
      <c r="AJ243" s="36" t="s">
        <v>201</v>
      </c>
      <c r="AK243" s="36" t="s">
        <v>202</v>
      </c>
      <c r="AL243" s="36" t="s">
        <v>203</v>
      </c>
      <c r="AM243" s="36" t="s">
        <v>204</v>
      </c>
      <c r="AN243" s="36" t="s">
        <v>222</v>
      </c>
      <c r="AO243" s="36" t="s">
        <v>206</v>
      </c>
      <c r="AP243" s="36">
        <v>2</v>
      </c>
      <c r="AQ243" s="36"/>
      <c r="AR243" s="36"/>
      <c r="AS243" s="36"/>
      <c r="AT243" s="36" t="s">
        <v>223</v>
      </c>
      <c r="AU243" s="36" t="s">
        <v>260</v>
      </c>
      <c r="AV243" s="36" t="s">
        <v>209</v>
      </c>
      <c r="AW243" s="36" t="s">
        <v>209</v>
      </c>
      <c r="AX243" s="36" t="s">
        <v>210</v>
      </c>
      <c r="AY243" s="36">
        <v>0</v>
      </c>
      <c r="AZ243" s="36" t="s">
        <v>211</v>
      </c>
      <c r="BA243" s="36">
        <v>9044989567153</v>
      </c>
      <c r="BB243" s="36"/>
      <c r="BC243" s="36"/>
      <c r="BD243" s="36">
        <v>1</v>
      </c>
      <c r="BE243" s="36"/>
      <c r="BF243" s="36" t="s">
        <v>212</v>
      </c>
      <c r="BG243" s="36">
        <v>1333314600</v>
      </c>
      <c r="BH243" s="36" t="s">
        <v>213</v>
      </c>
      <c r="BI243" s="36">
        <v>10</v>
      </c>
      <c r="BJ243" s="36">
        <v>10</v>
      </c>
      <c r="BK243" s="36">
        <v>1300</v>
      </c>
      <c r="BL243" s="36" t="s">
        <v>214</v>
      </c>
      <c r="BM243" s="36"/>
      <c r="BN243" s="36"/>
    </row>
    <row r="244" spans="1:66" x14ac:dyDescent="0.35">
      <c r="A244" s="36"/>
      <c r="B244" s="36"/>
      <c r="C244" s="37" t="s">
        <v>8</v>
      </c>
      <c r="D244" s="37" t="s">
        <v>8</v>
      </c>
      <c r="E244" s="36"/>
      <c r="F244" s="36" t="s">
        <v>192</v>
      </c>
      <c r="G244" s="36" t="s">
        <v>1</v>
      </c>
      <c r="H244" s="36">
        <v>0</v>
      </c>
      <c r="I244" s="36" t="s">
        <v>193</v>
      </c>
      <c r="J244" s="36" t="s">
        <v>194</v>
      </c>
      <c r="K244" s="36" t="s">
        <v>195</v>
      </c>
      <c r="L244" s="36">
        <v>923</v>
      </c>
      <c r="M244" s="36"/>
      <c r="N244" s="36" t="s">
        <v>256</v>
      </c>
      <c r="O244" s="36" t="s">
        <v>257</v>
      </c>
      <c r="P244" s="36">
        <v>2</v>
      </c>
      <c r="Q244" s="36" t="s">
        <v>258</v>
      </c>
      <c r="R244" s="37">
        <v>244688</v>
      </c>
      <c r="S244" s="37" t="s">
        <v>8</v>
      </c>
      <c r="T244" s="36" t="s">
        <v>259</v>
      </c>
      <c r="U244" s="36">
        <v>23058584</v>
      </c>
      <c r="V244" s="36" t="s">
        <v>29</v>
      </c>
      <c r="W244" s="36">
        <v>10</v>
      </c>
      <c r="X244" s="36">
        <v>10</v>
      </c>
      <c r="Y244" s="36">
        <v>10</v>
      </c>
      <c r="Z244" s="36">
        <v>10</v>
      </c>
      <c r="AA244" s="36">
        <v>0</v>
      </c>
      <c r="AB244" s="36">
        <v>0</v>
      </c>
      <c r="AC244" s="36">
        <v>0</v>
      </c>
      <c r="AD244" s="36">
        <v>0</v>
      </c>
      <c r="AE244" s="36">
        <v>10</v>
      </c>
      <c r="AF244" s="36">
        <v>10</v>
      </c>
      <c r="AG244" s="36"/>
      <c r="AH244" s="36"/>
      <c r="AI244" s="36" t="s">
        <v>200</v>
      </c>
      <c r="AJ244" s="36" t="s">
        <v>201</v>
      </c>
      <c r="AK244" s="36" t="s">
        <v>215</v>
      </c>
      <c r="AL244" s="36" t="s">
        <v>203</v>
      </c>
      <c r="AM244" s="36" t="s">
        <v>204</v>
      </c>
      <c r="AN244" s="36" t="s">
        <v>222</v>
      </c>
      <c r="AO244" s="36" t="s">
        <v>206</v>
      </c>
      <c r="AP244" s="36">
        <v>2</v>
      </c>
      <c r="AQ244" s="36"/>
      <c r="AR244" s="36"/>
      <c r="AS244" s="36"/>
      <c r="AT244" s="36" t="s">
        <v>223</v>
      </c>
      <c r="AU244" s="36" t="s">
        <v>260</v>
      </c>
      <c r="AV244" s="36" t="s">
        <v>209</v>
      </c>
      <c r="AW244" s="36" t="s">
        <v>209</v>
      </c>
      <c r="AX244" s="36" t="s">
        <v>210</v>
      </c>
      <c r="AY244" s="36">
        <v>0</v>
      </c>
      <c r="AZ244" s="36" t="s">
        <v>211</v>
      </c>
      <c r="BA244" s="36">
        <v>9044989567153</v>
      </c>
      <c r="BB244" s="36"/>
      <c r="BC244" s="36"/>
      <c r="BD244" s="36">
        <v>1</v>
      </c>
      <c r="BE244" s="36"/>
      <c r="BF244" s="36" t="s">
        <v>212</v>
      </c>
      <c r="BG244" s="36">
        <v>1333314600</v>
      </c>
      <c r="BH244" s="36" t="s">
        <v>213</v>
      </c>
      <c r="BI244" s="36">
        <v>10</v>
      </c>
      <c r="BJ244" s="36">
        <v>10</v>
      </c>
      <c r="BK244" s="36">
        <v>1300</v>
      </c>
      <c r="BL244" s="36" t="s">
        <v>214</v>
      </c>
      <c r="BM244" s="36"/>
      <c r="BN244" s="36"/>
    </row>
    <row r="245" spans="1:66" x14ac:dyDescent="0.35">
      <c r="A245" s="36"/>
      <c r="B245" s="36"/>
      <c r="C245" s="37" t="s">
        <v>8</v>
      </c>
      <c r="D245" s="37" t="s">
        <v>8</v>
      </c>
      <c r="E245" s="36"/>
      <c r="F245" s="36" t="s">
        <v>192</v>
      </c>
      <c r="G245" s="36" t="s">
        <v>1</v>
      </c>
      <c r="H245" s="36">
        <v>0</v>
      </c>
      <c r="I245" s="36" t="s">
        <v>193</v>
      </c>
      <c r="J245" s="36" t="s">
        <v>194</v>
      </c>
      <c r="K245" s="36" t="s">
        <v>195</v>
      </c>
      <c r="L245" s="36">
        <v>923</v>
      </c>
      <c r="M245" s="36"/>
      <c r="N245" s="36" t="s">
        <v>256</v>
      </c>
      <c r="O245" s="36" t="s">
        <v>257</v>
      </c>
      <c r="P245" s="36">
        <v>2</v>
      </c>
      <c r="Q245" s="36" t="s">
        <v>258</v>
      </c>
      <c r="R245" s="37">
        <v>244688</v>
      </c>
      <c r="S245" s="37" t="s">
        <v>8</v>
      </c>
      <c r="T245" s="36" t="s">
        <v>259</v>
      </c>
      <c r="U245" s="36">
        <v>23058551</v>
      </c>
      <c r="V245" s="36" t="s">
        <v>25</v>
      </c>
      <c r="W245" s="36">
        <v>5</v>
      </c>
      <c r="X245" s="36">
        <v>5</v>
      </c>
      <c r="Y245" s="36">
        <v>5</v>
      </c>
      <c r="Z245" s="36">
        <v>5</v>
      </c>
      <c r="AA245" s="36">
        <v>0</v>
      </c>
      <c r="AB245" s="36">
        <v>0</v>
      </c>
      <c r="AC245" s="36">
        <v>0</v>
      </c>
      <c r="AD245" s="36">
        <v>0</v>
      </c>
      <c r="AE245" s="36">
        <v>5</v>
      </c>
      <c r="AF245" s="36">
        <v>5</v>
      </c>
      <c r="AG245" s="36"/>
      <c r="AH245" s="36"/>
      <c r="AI245" s="36" t="s">
        <v>200</v>
      </c>
      <c r="AJ245" s="36" t="s">
        <v>201</v>
      </c>
      <c r="AK245" s="36" t="s">
        <v>202</v>
      </c>
      <c r="AL245" s="36" t="s">
        <v>203</v>
      </c>
      <c r="AM245" s="36" t="s">
        <v>204</v>
      </c>
      <c r="AN245" s="36" t="s">
        <v>222</v>
      </c>
      <c r="AO245" s="36" t="s">
        <v>206</v>
      </c>
      <c r="AP245" s="36">
        <v>2</v>
      </c>
      <c r="AQ245" s="36"/>
      <c r="AR245" s="36"/>
      <c r="AS245" s="36"/>
      <c r="AT245" s="36" t="s">
        <v>223</v>
      </c>
      <c r="AU245" s="36" t="s">
        <v>260</v>
      </c>
      <c r="AV245" s="36" t="s">
        <v>209</v>
      </c>
      <c r="AW245" s="36" t="s">
        <v>209</v>
      </c>
      <c r="AX245" s="36" t="s">
        <v>210</v>
      </c>
      <c r="AY245" s="36">
        <v>0</v>
      </c>
      <c r="AZ245" s="36" t="s">
        <v>211</v>
      </c>
      <c r="BA245" s="36">
        <v>9044989567153</v>
      </c>
      <c r="BB245" s="36"/>
      <c r="BC245" s="36"/>
      <c r="BD245" s="36">
        <v>1</v>
      </c>
      <c r="BE245" s="36"/>
      <c r="BF245" s="36" t="s">
        <v>212</v>
      </c>
      <c r="BG245" s="36">
        <v>1333314600</v>
      </c>
      <c r="BH245" s="36" t="s">
        <v>213</v>
      </c>
      <c r="BI245" s="36">
        <v>5</v>
      </c>
      <c r="BJ245" s="36">
        <v>5</v>
      </c>
      <c r="BK245" s="36">
        <v>1300</v>
      </c>
      <c r="BL245" s="36" t="s">
        <v>214</v>
      </c>
      <c r="BM245" s="36"/>
      <c r="BN245" s="36"/>
    </row>
    <row r="246" spans="1:66" x14ac:dyDescent="0.35">
      <c r="A246" s="36"/>
      <c r="B246" s="36"/>
      <c r="C246" s="37" t="s">
        <v>8</v>
      </c>
      <c r="D246" s="37" t="s">
        <v>8</v>
      </c>
      <c r="E246" s="36"/>
      <c r="F246" s="36" t="s">
        <v>192</v>
      </c>
      <c r="G246" s="36" t="s">
        <v>1</v>
      </c>
      <c r="H246" s="36">
        <v>0</v>
      </c>
      <c r="I246" s="36" t="s">
        <v>193</v>
      </c>
      <c r="J246" s="36" t="s">
        <v>194</v>
      </c>
      <c r="K246" s="36" t="s">
        <v>195</v>
      </c>
      <c r="L246" s="36">
        <v>923</v>
      </c>
      <c r="M246" s="36"/>
      <c r="N246" s="36" t="s">
        <v>256</v>
      </c>
      <c r="O246" s="36" t="s">
        <v>257</v>
      </c>
      <c r="P246" s="36">
        <v>2</v>
      </c>
      <c r="Q246" s="36" t="s">
        <v>258</v>
      </c>
      <c r="R246" s="37">
        <v>244688</v>
      </c>
      <c r="S246" s="37" t="s">
        <v>8</v>
      </c>
      <c r="T246" s="36" t="s">
        <v>259</v>
      </c>
      <c r="U246" s="36">
        <v>23058589</v>
      </c>
      <c r="V246" s="36" t="s">
        <v>33</v>
      </c>
      <c r="W246" s="36">
        <v>5</v>
      </c>
      <c r="X246" s="36">
        <v>5</v>
      </c>
      <c r="Y246" s="36">
        <v>5</v>
      </c>
      <c r="Z246" s="36">
        <v>5</v>
      </c>
      <c r="AA246" s="36">
        <v>0</v>
      </c>
      <c r="AB246" s="36">
        <v>0</v>
      </c>
      <c r="AC246" s="36">
        <v>0</v>
      </c>
      <c r="AD246" s="36">
        <v>0</v>
      </c>
      <c r="AE246" s="36">
        <v>5</v>
      </c>
      <c r="AF246" s="36">
        <v>5</v>
      </c>
      <c r="AG246" s="36"/>
      <c r="AH246" s="36"/>
      <c r="AI246" s="36" t="s">
        <v>200</v>
      </c>
      <c r="AJ246" s="36" t="s">
        <v>201</v>
      </c>
      <c r="AK246" s="36" t="s">
        <v>215</v>
      </c>
      <c r="AL246" s="36" t="s">
        <v>203</v>
      </c>
      <c r="AM246" s="36" t="s">
        <v>204</v>
      </c>
      <c r="AN246" s="36" t="s">
        <v>222</v>
      </c>
      <c r="AO246" s="36" t="s">
        <v>206</v>
      </c>
      <c r="AP246" s="36">
        <v>2</v>
      </c>
      <c r="AQ246" s="36"/>
      <c r="AR246" s="36"/>
      <c r="AS246" s="36"/>
      <c r="AT246" s="36" t="s">
        <v>223</v>
      </c>
      <c r="AU246" s="36" t="s">
        <v>260</v>
      </c>
      <c r="AV246" s="36" t="s">
        <v>209</v>
      </c>
      <c r="AW246" s="36" t="s">
        <v>209</v>
      </c>
      <c r="AX246" s="36" t="s">
        <v>210</v>
      </c>
      <c r="AY246" s="36">
        <v>0</v>
      </c>
      <c r="AZ246" s="36" t="s">
        <v>211</v>
      </c>
      <c r="BA246" s="36">
        <v>9044989567153</v>
      </c>
      <c r="BB246" s="36"/>
      <c r="BC246" s="36"/>
      <c r="BD246" s="36">
        <v>1</v>
      </c>
      <c r="BE246" s="36"/>
      <c r="BF246" s="36" t="s">
        <v>212</v>
      </c>
      <c r="BG246" s="36">
        <v>1333314600</v>
      </c>
      <c r="BH246" s="36" t="s">
        <v>213</v>
      </c>
      <c r="BI246" s="36">
        <v>5</v>
      </c>
      <c r="BJ246" s="36">
        <v>5</v>
      </c>
      <c r="BK246" s="36">
        <v>1300</v>
      </c>
      <c r="BL246" s="36" t="s">
        <v>214</v>
      </c>
      <c r="BM246" s="36"/>
      <c r="BN246" s="36"/>
    </row>
    <row r="247" spans="1:66" x14ac:dyDescent="0.35">
      <c r="A247" s="36"/>
      <c r="B247" s="36"/>
      <c r="C247" s="37" t="s">
        <v>8</v>
      </c>
      <c r="D247" s="37" t="s">
        <v>8</v>
      </c>
      <c r="E247" s="36"/>
      <c r="F247" s="36" t="s">
        <v>192</v>
      </c>
      <c r="G247" s="36" t="s">
        <v>1</v>
      </c>
      <c r="H247" s="36">
        <v>0</v>
      </c>
      <c r="I247" s="36" t="s">
        <v>193</v>
      </c>
      <c r="J247" s="36" t="s">
        <v>194</v>
      </c>
      <c r="K247" s="36" t="s">
        <v>195</v>
      </c>
      <c r="L247" s="36">
        <v>923</v>
      </c>
      <c r="M247" s="36"/>
      <c r="N247" s="36" t="s">
        <v>256</v>
      </c>
      <c r="O247" s="36" t="s">
        <v>257</v>
      </c>
      <c r="P247" s="36">
        <v>2</v>
      </c>
      <c r="Q247" s="36" t="s">
        <v>258</v>
      </c>
      <c r="R247" s="37">
        <v>244688</v>
      </c>
      <c r="S247" s="37" t="s">
        <v>8</v>
      </c>
      <c r="T247" s="36" t="s">
        <v>259</v>
      </c>
      <c r="U247" s="36">
        <v>23063759</v>
      </c>
      <c r="V247" s="36" t="s">
        <v>39</v>
      </c>
      <c r="W247" s="36">
        <v>160</v>
      </c>
      <c r="X247" s="36">
        <v>160</v>
      </c>
      <c r="Y247" s="36">
        <v>160</v>
      </c>
      <c r="Z247" s="36">
        <v>160</v>
      </c>
      <c r="AA247" s="36">
        <v>0</v>
      </c>
      <c r="AB247" s="36">
        <v>0</v>
      </c>
      <c r="AC247" s="36">
        <v>0</v>
      </c>
      <c r="AD247" s="36">
        <v>0</v>
      </c>
      <c r="AE247" s="36">
        <v>160</v>
      </c>
      <c r="AF247" s="36">
        <v>160</v>
      </c>
      <c r="AG247" s="36"/>
      <c r="AH247" s="36"/>
      <c r="AI247" s="36" t="s">
        <v>200</v>
      </c>
      <c r="AJ247" s="36" t="s">
        <v>201</v>
      </c>
      <c r="AK247" s="36" t="s">
        <v>215</v>
      </c>
      <c r="AL247" s="36" t="s">
        <v>203</v>
      </c>
      <c r="AM247" s="36" t="s">
        <v>204</v>
      </c>
      <c r="AN247" s="36" t="s">
        <v>222</v>
      </c>
      <c r="AO247" s="36" t="s">
        <v>206</v>
      </c>
      <c r="AP247" s="36">
        <v>2</v>
      </c>
      <c r="AQ247" s="36"/>
      <c r="AR247" s="36"/>
      <c r="AS247" s="36"/>
      <c r="AT247" s="36" t="s">
        <v>223</v>
      </c>
      <c r="AU247" s="36" t="s">
        <v>260</v>
      </c>
      <c r="AV247" s="36" t="s">
        <v>209</v>
      </c>
      <c r="AW247" s="36" t="s">
        <v>209</v>
      </c>
      <c r="AX247" s="36" t="s">
        <v>210</v>
      </c>
      <c r="AY247" s="36">
        <v>0</v>
      </c>
      <c r="AZ247" s="36" t="s">
        <v>211</v>
      </c>
      <c r="BA247" s="36">
        <v>9044989567153</v>
      </c>
      <c r="BB247" s="36"/>
      <c r="BC247" s="36"/>
      <c r="BD247" s="36">
        <v>1</v>
      </c>
      <c r="BE247" s="36"/>
      <c r="BF247" s="36" t="s">
        <v>212</v>
      </c>
      <c r="BG247" s="36">
        <v>1333314600</v>
      </c>
      <c r="BH247" s="36" t="s">
        <v>213</v>
      </c>
      <c r="BI247" s="36">
        <v>160</v>
      </c>
      <c r="BJ247" s="36">
        <v>160</v>
      </c>
      <c r="BK247" s="36">
        <v>1300</v>
      </c>
      <c r="BL247" s="36" t="s">
        <v>214</v>
      </c>
      <c r="BM247" s="36"/>
      <c r="BN247" s="36"/>
    </row>
    <row r="248" spans="1:66" x14ac:dyDescent="0.35">
      <c r="A248" s="36"/>
      <c r="B248" s="36"/>
      <c r="C248" s="37" t="s">
        <v>8</v>
      </c>
      <c r="D248" s="37" t="s">
        <v>8</v>
      </c>
      <c r="E248" s="36"/>
      <c r="F248" s="36" t="s">
        <v>192</v>
      </c>
      <c r="G248" s="36" t="s">
        <v>1</v>
      </c>
      <c r="H248" s="36">
        <v>0</v>
      </c>
      <c r="I248" s="36" t="s">
        <v>193</v>
      </c>
      <c r="J248" s="36" t="s">
        <v>194</v>
      </c>
      <c r="K248" s="36" t="s">
        <v>195</v>
      </c>
      <c r="L248" s="36">
        <v>923</v>
      </c>
      <c r="M248" s="36"/>
      <c r="N248" s="36" t="s">
        <v>256</v>
      </c>
      <c r="O248" s="36" t="s">
        <v>257</v>
      </c>
      <c r="P248" s="36">
        <v>2</v>
      </c>
      <c r="Q248" s="36" t="s">
        <v>258</v>
      </c>
      <c r="R248" s="37">
        <v>244688</v>
      </c>
      <c r="S248" s="37" t="s">
        <v>8</v>
      </c>
      <c r="T248" s="36" t="s">
        <v>259</v>
      </c>
      <c r="U248" s="36">
        <v>23057812</v>
      </c>
      <c r="V248" s="36" t="s">
        <v>19</v>
      </c>
      <c r="W248" s="36">
        <v>100</v>
      </c>
      <c r="X248" s="36">
        <v>100</v>
      </c>
      <c r="Y248" s="36">
        <v>100</v>
      </c>
      <c r="Z248" s="36">
        <v>100</v>
      </c>
      <c r="AA248" s="36">
        <v>0</v>
      </c>
      <c r="AB248" s="36">
        <v>0</v>
      </c>
      <c r="AC248" s="36">
        <v>0</v>
      </c>
      <c r="AD248" s="36">
        <v>0</v>
      </c>
      <c r="AE248" s="36">
        <v>100</v>
      </c>
      <c r="AF248" s="36">
        <v>100</v>
      </c>
      <c r="AG248" s="36"/>
      <c r="AH248" s="36"/>
      <c r="AI248" s="36" t="s">
        <v>200</v>
      </c>
      <c r="AJ248" s="36" t="s">
        <v>201</v>
      </c>
      <c r="AK248" s="36" t="s">
        <v>202</v>
      </c>
      <c r="AL248" s="36" t="s">
        <v>203</v>
      </c>
      <c r="AM248" s="36" t="s">
        <v>204</v>
      </c>
      <c r="AN248" s="36" t="s">
        <v>222</v>
      </c>
      <c r="AO248" s="36" t="s">
        <v>206</v>
      </c>
      <c r="AP248" s="36">
        <v>2</v>
      </c>
      <c r="AQ248" s="36"/>
      <c r="AR248" s="36"/>
      <c r="AS248" s="36"/>
      <c r="AT248" s="36" t="s">
        <v>223</v>
      </c>
      <c r="AU248" s="36" t="s">
        <v>260</v>
      </c>
      <c r="AV248" s="36" t="s">
        <v>209</v>
      </c>
      <c r="AW248" s="36" t="s">
        <v>209</v>
      </c>
      <c r="AX248" s="36" t="s">
        <v>210</v>
      </c>
      <c r="AY248" s="36">
        <v>0</v>
      </c>
      <c r="AZ248" s="36" t="s">
        <v>211</v>
      </c>
      <c r="BA248" s="36">
        <v>9044989567153</v>
      </c>
      <c r="BB248" s="36"/>
      <c r="BC248" s="36"/>
      <c r="BD248" s="36">
        <v>1</v>
      </c>
      <c r="BE248" s="36"/>
      <c r="BF248" s="36" t="s">
        <v>212</v>
      </c>
      <c r="BG248" s="36">
        <v>1333314600</v>
      </c>
      <c r="BH248" s="36" t="s">
        <v>213</v>
      </c>
      <c r="BI248" s="36">
        <v>100</v>
      </c>
      <c r="BJ248" s="36">
        <v>100</v>
      </c>
      <c r="BK248" s="36">
        <v>1300</v>
      </c>
      <c r="BL248" s="36" t="s">
        <v>214</v>
      </c>
      <c r="BM248" s="36"/>
      <c r="BN248" s="36"/>
    </row>
    <row r="249" spans="1:66" x14ac:dyDescent="0.35">
      <c r="A249" s="36"/>
      <c r="B249" s="36"/>
      <c r="C249" s="37" t="s">
        <v>8</v>
      </c>
      <c r="D249" s="37" t="s">
        <v>8</v>
      </c>
      <c r="E249" s="36"/>
      <c r="F249" s="36" t="s">
        <v>192</v>
      </c>
      <c r="G249" s="36" t="s">
        <v>1</v>
      </c>
      <c r="H249" s="36">
        <v>0</v>
      </c>
      <c r="I249" s="36" t="s">
        <v>193</v>
      </c>
      <c r="J249" s="36" t="s">
        <v>194</v>
      </c>
      <c r="K249" s="36" t="s">
        <v>195</v>
      </c>
      <c r="L249" s="36">
        <v>923</v>
      </c>
      <c r="M249" s="36"/>
      <c r="N249" s="36" t="s">
        <v>256</v>
      </c>
      <c r="O249" s="36" t="s">
        <v>257</v>
      </c>
      <c r="P249" s="36">
        <v>2</v>
      </c>
      <c r="Q249" s="36" t="s">
        <v>258</v>
      </c>
      <c r="R249" s="37">
        <v>244688</v>
      </c>
      <c r="S249" s="37" t="s">
        <v>8</v>
      </c>
      <c r="T249" s="36" t="s">
        <v>259</v>
      </c>
      <c r="U249" s="36">
        <v>23065140</v>
      </c>
      <c r="V249" s="36" t="s">
        <v>40</v>
      </c>
      <c r="W249" s="36">
        <v>30</v>
      </c>
      <c r="X249" s="36">
        <v>30</v>
      </c>
      <c r="Y249" s="36">
        <v>30</v>
      </c>
      <c r="Z249" s="36">
        <v>30</v>
      </c>
      <c r="AA249" s="36">
        <v>0</v>
      </c>
      <c r="AB249" s="36">
        <v>0</v>
      </c>
      <c r="AC249" s="36">
        <v>0</v>
      </c>
      <c r="AD249" s="36">
        <v>0</v>
      </c>
      <c r="AE249" s="36">
        <v>30</v>
      </c>
      <c r="AF249" s="36">
        <v>30</v>
      </c>
      <c r="AG249" s="36"/>
      <c r="AH249" s="36"/>
      <c r="AI249" s="36" t="s">
        <v>200</v>
      </c>
      <c r="AJ249" s="36" t="s">
        <v>201</v>
      </c>
      <c r="AK249" s="36" t="s">
        <v>202</v>
      </c>
      <c r="AL249" s="36" t="s">
        <v>203</v>
      </c>
      <c r="AM249" s="36" t="s">
        <v>204</v>
      </c>
      <c r="AN249" s="36" t="s">
        <v>222</v>
      </c>
      <c r="AO249" s="36" t="s">
        <v>206</v>
      </c>
      <c r="AP249" s="36">
        <v>2</v>
      </c>
      <c r="AQ249" s="36"/>
      <c r="AR249" s="36"/>
      <c r="AS249" s="36"/>
      <c r="AT249" s="36" t="s">
        <v>223</v>
      </c>
      <c r="AU249" s="36" t="s">
        <v>260</v>
      </c>
      <c r="AV249" s="36" t="s">
        <v>209</v>
      </c>
      <c r="AW249" s="36" t="s">
        <v>209</v>
      </c>
      <c r="AX249" s="36" t="s">
        <v>210</v>
      </c>
      <c r="AY249" s="36">
        <v>0</v>
      </c>
      <c r="AZ249" s="36" t="s">
        <v>211</v>
      </c>
      <c r="BA249" s="36">
        <v>9044989567153</v>
      </c>
      <c r="BB249" s="36"/>
      <c r="BC249" s="36"/>
      <c r="BD249" s="36">
        <v>1</v>
      </c>
      <c r="BE249" s="36"/>
      <c r="BF249" s="36" t="s">
        <v>212</v>
      </c>
      <c r="BG249" s="36">
        <v>1333314600</v>
      </c>
      <c r="BH249" s="36" t="s">
        <v>213</v>
      </c>
      <c r="BI249" s="36">
        <v>30</v>
      </c>
      <c r="BJ249" s="36">
        <v>30</v>
      </c>
      <c r="BK249" s="36">
        <v>1300</v>
      </c>
      <c r="BL249" s="36" t="s">
        <v>214</v>
      </c>
      <c r="BM249" s="36"/>
      <c r="BN249" s="36"/>
    </row>
    <row r="250" spans="1:66" x14ac:dyDescent="0.35">
      <c r="A250" s="36"/>
      <c r="B250" s="36"/>
      <c r="C250" s="37" t="s">
        <v>8</v>
      </c>
      <c r="D250" s="37" t="s">
        <v>8</v>
      </c>
      <c r="E250" s="36"/>
      <c r="F250" s="36" t="s">
        <v>192</v>
      </c>
      <c r="G250" s="36" t="s">
        <v>1</v>
      </c>
      <c r="H250" s="36">
        <v>0</v>
      </c>
      <c r="I250" s="36" t="s">
        <v>193</v>
      </c>
      <c r="J250" s="36" t="s">
        <v>194</v>
      </c>
      <c r="K250" s="36" t="s">
        <v>195</v>
      </c>
      <c r="L250" s="36">
        <v>923</v>
      </c>
      <c r="M250" s="36"/>
      <c r="N250" s="36" t="s">
        <v>256</v>
      </c>
      <c r="O250" s="36" t="s">
        <v>257</v>
      </c>
      <c r="P250" s="36">
        <v>2</v>
      </c>
      <c r="Q250" s="36" t="s">
        <v>258</v>
      </c>
      <c r="R250" s="37">
        <v>244688</v>
      </c>
      <c r="S250" s="37" t="s">
        <v>8</v>
      </c>
      <c r="T250" s="36" t="s">
        <v>259</v>
      </c>
      <c r="U250" s="36">
        <v>23057809</v>
      </c>
      <c r="V250" s="36" t="s">
        <v>18</v>
      </c>
      <c r="W250" s="36">
        <v>70</v>
      </c>
      <c r="X250" s="36">
        <v>70</v>
      </c>
      <c r="Y250" s="36">
        <v>70</v>
      </c>
      <c r="Z250" s="36">
        <v>70</v>
      </c>
      <c r="AA250" s="36">
        <v>0</v>
      </c>
      <c r="AB250" s="36">
        <v>0</v>
      </c>
      <c r="AC250" s="36">
        <v>0</v>
      </c>
      <c r="AD250" s="36">
        <v>0</v>
      </c>
      <c r="AE250" s="36">
        <v>70</v>
      </c>
      <c r="AF250" s="36">
        <v>70</v>
      </c>
      <c r="AG250" s="36"/>
      <c r="AH250" s="36"/>
      <c r="AI250" s="36" t="s">
        <v>200</v>
      </c>
      <c r="AJ250" s="36" t="s">
        <v>201</v>
      </c>
      <c r="AK250" s="36" t="s">
        <v>202</v>
      </c>
      <c r="AL250" s="36" t="s">
        <v>203</v>
      </c>
      <c r="AM250" s="36" t="s">
        <v>204</v>
      </c>
      <c r="AN250" s="36" t="s">
        <v>222</v>
      </c>
      <c r="AO250" s="36" t="s">
        <v>206</v>
      </c>
      <c r="AP250" s="36">
        <v>2</v>
      </c>
      <c r="AQ250" s="36"/>
      <c r="AR250" s="36"/>
      <c r="AS250" s="36"/>
      <c r="AT250" s="36" t="s">
        <v>223</v>
      </c>
      <c r="AU250" s="36" t="s">
        <v>260</v>
      </c>
      <c r="AV250" s="36" t="s">
        <v>209</v>
      </c>
      <c r="AW250" s="36" t="s">
        <v>209</v>
      </c>
      <c r="AX250" s="36" t="s">
        <v>210</v>
      </c>
      <c r="AY250" s="36">
        <v>0</v>
      </c>
      <c r="AZ250" s="36" t="s">
        <v>211</v>
      </c>
      <c r="BA250" s="36">
        <v>9044989567153</v>
      </c>
      <c r="BB250" s="36"/>
      <c r="BC250" s="36"/>
      <c r="BD250" s="36">
        <v>1</v>
      </c>
      <c r="BE250" s="36"/>
      <c r="BF250" s="36" t="s">
        <v>212</v>
      </c>
      <c r="BG250" s="36">
        <v>1333314600</v>
      </c>
      <c r="BH250" s="36" t="s">
        <v>213</v>
      </c>
      <c r="BI250" s="36">
        <v>70</v>
      </c>
      <c r="BJ250" s="36">
        <v>70</v>
      </c>
      <c r="BK250" s="36">
        <v>1300</v>
      </c>
      <c r="BL250" s="36" t="s">
        <v>214</v>
      </c>
      <c r="BM250" s="36"/>
      <c r="BN250" s="36"/>
    </row>
    <row r="251" spans="1:66" x14ac:dyDescent="0.35">
      <c r="A251" s="36"/>
      <c r="B251" s="36"/>
      <c r="C251" s="37" t="s">
        <v>8</v>
      </c>
      <c r="D251" s="37" t="s">
        <v>8</v>
      </c>
      <c r="E251" s="36"/>
      <c r="F251" s="36" t="s">
        <v>192</v>
      </c>
      <c r="G251" s="36" t="s">
        <v>1</v>
      </c>
      <c r="H251" s="36">
        <v>0</v>
      </c>
      <c r="I251" s="36" t="s">
        <v>193</v>
      </c>
      <c r="J251" s="36" t="s">
        <v>194</v>
      </c>
      <c r="K251" s="36" t="s">
        <v>195</v>
      </c>
      <c r="L251" s="36">
        <v>923</v>
      </c>
      <c r="M251" s="36"/>
      <c r="N251" s="36" t="s">
        <v>256</v>
      </c>
      <c r="O251" s="36" t="s">
        <v>257</v>
      </c>
      <c r="P251" s="36">
        <v>2</v>
      </c>
      <c r="Q251" s="36" t="s">
        <v>258</v>
      </c>
      <c r="R251" s="37">
        <v>244688</v>
      </c>
      <c r="S251" s="37" t="s">
        <v>8</v>
      </c>
      <c r="T251" s="36" t="s">
        <v>259</v>
      </c>
      <c r="U251" s="36">
        <v>23070475</v>
      </c>
      <c r="V251" s="36" t="s">
        <v>47</v>
      </c>
      <c r="W251" s="36">
        <v>60</v>
      </c>
      <c r="X251" s="36">
        <v>60</v>
      </c>
      <c r="Y251" s="36">
        <v>60</v>
      </c>
      <c r="Z251" s="36">
        <v>60</v>
      </c>
      <c r="AA251" s="36">
        <v>0</v>
      </c>
      <c r="AB251" s="36">
        <v>0</v>
      </c>
      <c r="AC251" s="36">
        <v>0</v>
      </c>
      <c r="AD251" s="36">
        <v>0</v>
      </c>
      <c r="AE251" s="36">
        <v>60</v>
      </c>
      <c r="AF251" s="36">
        <v>60</v>
      </c>
      <c r="AG251" s="36"/>
      <c r="AH251" s="36"/>
      <c r="AI251" s="36" t="s">
        <v>200</v>
      </c>
      <c r="AJ251" s="36" t="s">
        <v>201</v>
      </c>
      <c r="AK251" s="36" t="s">
        <v>202</v>
      </c>
      <c r="AL251" s="36" t="s">
        <v>203</v>
      </c>
      <c r="AM251" s="36" t="s">
        <v>204</v>
      </c>
      <c r="AN251" s="36" t="s">
        <v>222</v>
      </c>
      <c r="AO251" s="36" t="s">
        <v>206</v>
      </c>
      <c r="AP251" s="36">
        <v>2</v>
      </c>
      <c r="AQ251" s="36"/>
      <c r="AR251" s="36"/>
      <c r="AS251" s="36"/>
      <c r="AT251" s="36" t="s">
        <v>223</v>
      </c>
      <c r="AU251" s="36" t="s">
        <v>260</v>
      </c>
      <c r="AV251" s="36" t="s">
        <v>209</v>
      </c>
      <c r="AW251" s="36" t="s">
        <v>209</v>
      </c>
      <c r="AX251" s="36" t="s">
        <v>210</v>
      </c>
      <c r="AY251" s="36">
        <v>0</v>
      </c>
      <c r="AZ251" s="36" t="s">
        <v>211</v>
      </c>
      <c r="BA251" s="36">
        <v>9044989567153</v>
      </c>
      <c r="BB251" s="36"/>
      <c r="BC251" s="36"/>
      <c r="BD251" s="36">
        <v>1</v>
      </c>
      <c r="BE251" s="36"/>
      <c r="BF251" s="36" t="s">
        <v>212</v>
      </c>
      <c r="BG251" s="36">
        <v>1333314600</v>
      </c>
      <c r="BH251" s="36" t="s">
        <v>213</v>
      </c>
      <c r="BI251" s="36">
        <v>60</v>
      </c>
      <c r="BJ251" s="36">
        <v>60</v>
      </c>
      <c r="BK251" s="36">
        <v>1300</v>
      </c>
      <c r="BL251" s="36" t="s">
        <v>214</v>
      </c>
      <c r="BM251" s="36"/>
      <c r="BN251" s="36"/>
    </row>
    <row r="252" spans="1:66" x14ac:dyDescent="0.35">
      <c r="A252" s="36"/>
      <c r="B252" s="36"/>
      <c r="C252" s="37"/>
      <c r="D252" s="37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7"/>
      <c r="S252" s="37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</row>
    <row r="253" spans="1:66" x14ac:dyDescent="0.35">
      <c r="A253" s="36"/>
      <c r="B253" s="36"/>
      <c r="C253" s="37"/>
      <c r="D253" s="37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7"/>
      <c r="S253" s="37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</row>
    <row r="254" spans="1:66" x14ac:dyDescent="0.35">
      <c r="A254" s="36"/>
      <c r="B254" s="36"/>
      <c r="C254" s="37"/>
      <c r="D254" s="37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7"/>
      <c r="S254" s="37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</row>
    <row r="255" spans="1:66" x14ac:dyDescent="0.35">
      <c r="A255" s="36"/>
      <c r="B255" s="36"/>
      <c r="C255" s="37"/>
      <c r="D255" s="37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7"/>
      <c r="S255" s="37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</row>
    <row r="256" spans="1:66" x14ac:dyDescent="0.35">
      <c r="A256" s="36"/>
      <c r="B256" s="36"/>
      <c r="C256" s="37"/>
      <c r="D256" s="37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7"/>
      <c r="S256" s="37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</row>
    <row r="257" spans="1:66" x14ac:dyDescent="0.35">
      <c r="A257" s="36"/>
      <c r="B257" s="36"/>
      <c r="C257" s="37"/>
      <c r="D257" s="37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7"/>
      <c r="S257" s="37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</row>
    <row r="258" spans="1:66" x14ac:dyDescent="0.35">
      <c r="A258" s="36"/>
      <c r="B258" s="36"/>
      <c r="C258" s="37"/>
      <c r="D258" s="37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7"/>
      <c r="S258" s="37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</row>
    <row r="259" spans="1:66" x14ac:dyDescent="0.35">
      <c r="A259" s="36"/>
      <c r="B259" s="36"/>
      <c r="C259" s="37"/>
      <c r="D259" s="37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7"/>
      <c r="S259" s="37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</row>
    <row r="260" spans="1:66" x14ac:dyDescent="0.35">
      <c r="A260" s="36"/>
      <c r="B260" s="36"/>
      <c r="C260" s="37"/>
      <c r="D260" s="37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7"/>
      <c r="S260" s="37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</row>
    <row r="261" spans="1:66" x14ac:dyDescent="0.35">
      <c r="A261" s="36"/>
      <c r="B261" s="36"/>
      <c r="C261" s="37"/>
      <c r="D261" s="37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7"/>
      <c r="S261" s="37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</row>
    <row r="262" spans="1:66" x14ac:dyDescent="0.35">
      <c r="A262" s="36"/>
      <c r="B262" s="36"/>
      <c r="C262" s="37"/>
      <c r="D262" s="37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7"/>
      <c r="S262" s="37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</row>
    <row r="263" spans="1:66" x14ac:dyDescent="0.35">
      <c r="A263" s="36"/>
      <c r="B263" s="36"/>
      <c r="C263" s="37"/>
      <c r="D263" s="37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7"/>
      <c r="S263" s="37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</row>
    <row r="264" spans="1:66" x14ac:dyDescent="0.35">
      <c r="A264" s="36"/>
      <c r="B264" s="36"/>
      <c r="C264" s="37"/>
      <c r="D264" s="37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7"/>
      <c r="S264" s="37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</row>
    <row r="265" spans="1:66" x14ac:dyDescent="0.35">
      <c r="A265" s="36"/>
      <c r="B265" s="36"/>
      <c r="C265" s="37"/>
      <c r="D265" s="37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7"/>
      <c r="S265" s="37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</row>
    <row r="266" spans="1:66" x14ac:dyDescent="0.35">
      <c r="A266" s="36"/>
      <c r="B266" s="36"/>
      <c r="C266" s="37"/>
      <c r="D266" s="37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7"/>
      <c r="S266" s="37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</row>
    <row r="267" spans="1:66" x14ac:dyDescent="0.35">
      <c r="A267" s="36"/>
      <c r="B267" s="36"/>
      <c r="C267" s="37"/>
      <c r="D267" s="37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7"/>
      <c r="S267" s="37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</row>
    <row r="268" spans="1:66" x14ac:dyDescent="0.35">
      <c r="A268" s="36"/>
      <c r="B268" s="36"/>
      <c r="C268" s="37"/>
      <c r="D268" s="37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7"/>
      <c r="S268" s="37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</row>
    <row r="269" spans="1:66" x14ac:dyDescent="0.35">
      <c r="A269" s="36"/>
      <c r="B269" s="36"/>
      <c r="C269" s="37"/>
      <c r="D269" s="37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7"/>
      <c r="S269" s="37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</row>
    <row r="270" spans="1:66" x14ac:dyDescent="0.35">
      <c r="A270" s="36"/>
      <c r="B270" s="36"/>
      <c r="C270" s="37"/>
      <c r="D270" s="37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7"/>
      <c r="S270" s="37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</row>
    <row r="271" spans="1:66" x14ac:dyDescent="0.35">
      <c r="A271" s="36"/>
      <c r="B271" s="36"/>
      <c r="C271" s="37"/>
      <c r="D271" s="37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7"/>
      <c r="S271" s="37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</row>
    <row r="272" spans="1:66" x14ac:dyDescent="0.35">
      <c r="A272" s="36"/>
      <c r="B272" s="36"/>
      <c r="C272" s="37"/>
      <c r="D272" s="37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7"/>
      <c r="S272" s="37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</row>
    <row r="273" spans="1:66" x14ac:dyDescent="0.35">
      <c r="A273" s="36"/>
      <c r="B273" s="36"/>
      <c r="C273" s="37"/>
      <c r="D273" s="37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7"/>
      <c r="S273" s="37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</row>
    <row r="274" spans="1:66" x14ac:dyDescent="0.35">
      <c r="A274" s="36"/>
      <c r="B274" s="36"/>
      <c r="C274" s="37"/>
      <c r="D274" s="37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7"/>
      <c r="S274" s="37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</row>
    <row r="275" spans="1:66" x14ac:dyDescent="0.35">
      <c r="A275" s="36"/>
      <c r="B275" s="36"/>
      <c r="C275" s="37"/>
      <c r="D275" s="37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7"/>
      <c r="S275" s="37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</row>
    <row r="276" spans="1:66" x14ac:dyDescent="0.35">
      <c r="A276" s="36"/>
      <c r="B276" s="36"/>
      <c r="C276" s="37"/>
      <c r="D276" s="37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7"/>
      <c r="S276" s="37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</row>
    <row r="277" spans="1:66" x14ac:dyDescent="0.35">
      <c r="A277" s="36"/>
      <c r="B277" s="36"/>
      <c r="C277" s="37"/>
      <c r="D277" s="37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7"/>
      <c r="S277" s="37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</row>
    <row r="278" spans="1:66" x14ac:dyDescent="0.35">
      <c r="A278" s="36"/>
      <c r="B278" s="36"/>
      <c r="C278" s="37"/>
      <c r="D278" s="37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7"/>
      <c r="S278" s="37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</row>
    <row r="279" spans="1:66" x14ac:dyDescent="0.35">
      <c r="A279" s="36"/>
      <c r="B279" s="36"/>
      <c r="C279" s="37"/>
      <c r="D279" s="37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7"/>
      <c r="S279" s="37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</row>
    <row r="280" spans="1:66" x14ac:dyDescent="0.35">
      <c r="A280" s="36"/>
      <c r="B280" s="36"/>
      <c r="C280" s="37"/>
      <c r="D280" s="37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7"/>
      <c r="S280" s="37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</row>
    <row r="281" spans="1:66" x14ac:dyDescent="0.35">
      <c r="A281" s="36"/>
      <c r="B281" s="36"/>
      <c r="C281" s="37"/>
      <c r="D281" s="37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7"/>
      <c r="S281" s="37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</row>
    <row r="282" spans="1:66" x14ac:dyDescent="0.35">
      <c r="A282" s="36"/>
      <c r="B282" s="36"/>
      <c r="C282" s="37"/>
      <c r="D282" s="37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7"/>
      <c r="S282" s="37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</row>
    <row r="283" spans="1:66" x14ac:dyDescent="0.35">
      <c r="A283" s="36"/>
      <c r="B283" s="36"/>
      <c r="C283" s="37"/>
      <c r="D283" s="37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7"/>
      <c r="S283" s="37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</row>
    <row r="284" spans="1:66" x14ac:dyDescent="0.35">
      <c r="A284" s="36"/>
      <c r="B284" s="36"/>
      <c r="C284" s="37"/>
      <c r="D284" s="37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7"/>
      <c r="S284" s="37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</row>
    <row r="285" spans="1:66" x14ac:dyDescent="0.35">
      <c r="A285" s="36"/>
      <c r="B285" s="36"/>
      <c r="C285" s="37"/>
      <c r="D285" s="37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7"/>
      <c r="S285" s="37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</row>
    <row r="286" spans="1:66" x14ac:dyDescent="0.35">
      <c r="A286" s="36"/>
      <c r="B286" s="36"/>
      <c r="C286" s="37"/>
      <c r="D286" s="37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7"/>
      <c r="S286" s="37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</row>
    <row r="287" spans="1:66" x14ac:dyDescent="0.35">
      <c r="A287" s="36"/>
      <c r="B287" s="36"/>
      <c r="C287" s="37"/>
      <c r="D287" s="37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7"/>
      <c r="S287" s="37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</row>
    <row r="288" spans="1:66" x14ac:dyDescent="0.35">
      <c r="A288" s="36"/>
      <c r="B288" s="36"/>
      <c r="C288" s="37"/>
      <c r="D288" s="37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7"/>
      <c r="S288" s="37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</row>
    <row r="289" spans="1:66" x14ac:dyDescent="0.35">
      <c r="A289" s="36"/>
      <c r="B289" s="36"/>
      <c r="C289" s="37"/>
      <c r="D289" s="37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7"/>
      <c r="S289" s="37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</row>
    <row r="290" spans="1:66" x14ac:dyDescent="0.35">
      <c r="A290" s="36"/>
      <c r="B290" s="36"/>
      <c r="C290" s="37"/>
      <c r="D290" s="37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7"/>
      <c r="S290" s="37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</row>
    <row r="291" spans="1:66" x14ac:dyDescent="0.35">
      <c r="A291" s="36"/>
      <c r="B291" s="36"/>
      <c r="C291" s="37"/>
      <c r="D291" s="37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7"/>
      <c r="S291" s="37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</row>
    <row r="292" spans="1:66" x14ac:dyDescent="0.35">
      <c r="A292" s="36"/>
      <c r="B292" s="36"/>
      <c r="C292" s="37"/>
      <c r="D292" s="37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7"/>
      <c r="S292" s="37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</row>
    <row r="293" spans="1:66" x14ac:dyDescent="0.35">
      <c r="A293" s="36"/>
      <c r="B293" s="36"/>
      <c r="C293" s="37"/>
      <c r="D293" s="37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7"/>
      <c r="S293" s="37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</row>
    <row r="294" spans="1:66" x14ac:dyDescent="0.35">
      <c r="A294" s="36"/>
      <c r="B294" s="36"/>
      <c r="C294" s="37"/>
      <c r="D294" s="37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7"/>
      <c r="S294" s="37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</row>
    <row r="295" spans="1:66" x14ac:dyDescent="0.35">
      <c r="A295" s="36"/>
      <c r="B295" s="36"/>
      <c r="C295" s="37"/>
      <c r="D295" s="37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7"/>
      <c r="S295" s="37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</row>
    <row r="296" spans="1:66" x14ac:dyDescent="0.35">
      <c r="A296" s="36"/>
      <c r="B296" s="36"/>
      <c r="C296" s="37"/>
      <c r="D296" s="37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7"/>
      <c r="S296" s="37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</row>
    <row r="297" spans="1:66" x14ac:dyDescent="0.35">
      <c r="A297" s="36"/>
      <c r="B297" s="36"/>
      <c r="C297" s="37"/>
      <c r="D297" s="37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7"/>
      <c r="S297" s="37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</row>
    <row r="298" spans="1:66" x14ac:dyDescent="0.35">
      <c r="A298" s="36"/>
      <c r="B298" s="36"/>
      <c r="C298" s="37"/>
      <c r="D298" s="37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7"/>
      <c r="S298" s="37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</row>
    <row r="299" spans="1:66" x14ac:dyDescent="0.35">
      <c r="A299" s="36"/>
      <c r="B299" s="36"/>
      <c r="C299" s="37"/>
      <c r="D299" s="37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7"/>
      <c r="S299" s="37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</row>
    <row r="300" spans="1:66" x14ac:dyDescent="0.35">
      <c r="A300" s="36"/>
      <c r="B300" s="36"/>
      <c r="C300" s="37"/>
      <c r="D300" s="37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7"/>
      <c r="S300" s="37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</row>
    <row r="301" spans="1:66" x14ac:dyDescent="0.35">
      <c r="A301" s="36"/>
      <c r="B301" s="36"/>
      <c r="C301" s="37"/>
      <c r="D301" s="37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7"/>
      <c r="S301" s="37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</row>
    <row r="302" spans="1:66" x14ac:dyDescent="0.35">
      <c r="A302" s="36"/>
      <c r="B302" s="36"/>
      <c r="C302" s="37"/>
      <c r="D302" s="37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7"/>
      <c r="S302" s="37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</row>
    <row r="303" spans="1:66" x14ac:dyDescent="0.35">
      <c r="A303" s="36"/>
      <c r="B303" s="36"/>
      <c r="C303" s="37"/>
      <c r="D303" s="37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7"/>
      <c r="S303" s="37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</row>
    <row r="304" spans="1:66" x14ac:dyDescent="0.35">
      <c r="A304" s="36"/>
      <c r="B304" s="36"/>
      <c r="C304" s="37"/>
      <c r="D304" s="37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7"/>
      <c r="S304" s="37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</row>
    <row r="305" spans="1:66" x14ac:dyDescent="0.35">
      <c r="A305" s="36"/>
      <c r="B305" s="36"/>
      <c r="C305" s="37"/>
      <c r="D305" s="37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7"/>
      <c r="S305" s="37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</row>
    <row r="306" spans="1:66" x14ac:dyDescent="0.35">
      <c r="A306" s="36"/>
      <c r="B306" s="36"/>
      <c r="C306" s="37"/>
      <c r="D306" s="37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7"/>
      <c r="S306" s="37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</row>
    <row r="307" spans="1:66" x14ac:dyDescent="0.35">
      <c r="A307" s="36"/>
      <c r="B307" s="36"/>
      <c r="C307" s="37"/>
      <c r="D307" s="37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7"/>
      <c r="S307" s="37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</row>
    <row r="308" spans="1:66" x14ac:dyDescent="0.35">
      <c r="A308" s="36"/>
      <c r="B308" s="36"/>
      <c r="C308" s="37"/>
      <c r="D308" s="37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7"/>
      <c r="S308" s="37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</row>
    <row r="309" spans="1:66" x14ac:dyDescent="0.35">
      <c r="A309" s="36"/>
      <c r="B309" s="36"/>
      <c r="C309" s="37"/>
      <c r="D309" s="37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7"/>
      <c r="S309" s="37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</row>
    <row r="310" spans="1:66" x14ac:dyDescent="0.35">
      <c r="A310" s="36"/>
      <c r="B310" s="36"/>
      <c r="C310" s="37"/>
      <c r="D310" s="37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7"/>
      <c r="S310" s="37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</row>
    <row r="311" spans="1:66" x14ac:dyDescent="0.35">
      <c r="A311" s="36"/>
      <c r="B311" s="36"/>
      <c r="C311" s="37"/>
      <c r="D311" s="37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7"/>
      <c r="S311" s="37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</row>
    <row r="312" spans="1:66" x14ac:dyDescent="0.35">
      <c r="A312" s="36"/>
      <c r="B312" s="36"/>
      <c r="C312" s="37"/>
      <c r="D312" s="37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7"/>
      <c r="S312" s="37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</row>
    <row r="313" spans="1:66" x14ac:dyDescent="0.35">
      <c r="A313" s="36"/>
      <c r="B313" s="36"/>
      <c r="C313" s="37"/>
      <c r="D313" s="37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7"/>
      <c r="S313" s="37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</row>
    <row r="314" spans="1:66" x14ac:dyDescent="0.35">
      <c r="A314" s="36"/>
      <c r="B314" s="36"/>
      <c r="C314" s="37"/>
      <c r="D314" s="37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7"/>
      <c r="S314" s="37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</row>
    <row r="315" spans="1:66" x14ac:dyDescent="0.35">
      <c r="A315" s="36"/>
      <c r="B315" s="36"/>
      <c r="C315" s="37"/>
      <c r="D315" s="37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7"/>
      <c r="S315" s="37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</row>
    <row r="316" spans="1:66" x14ac:dyDescent="0.35">
      <c r="A316" s="36"/>
      <c r="B316" s="36"/>
      <c r="C316" s="37"/>
      <c r="D316" s="37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7"/>
      <c r="S316" s="37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</row>
    <row r="317" spans="1:66" x14ac:dyDescent="0.35">
      <c r="A317" s="36"/>
      <c r="B317" s="36"/>
      <c r="C317" s="37"/>
      <c r="D317" s="37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7"/>
      <c r="S317" s="37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</row>
    <row r="318" spans="1:66" x14ac:dyDescent="0.35">
      <c r="A318" s="36"/>
      <c r="B318" s="36"/>
      <c r="C318" s="37"/>
      <c r="D318" s="37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7"/>
      <c r="S318" s="37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</row>
    <row r="319" spans="1:66" x14ac:dyDescent="0.35">
      <c r="A319" s="36"/>
      <c r="B319" s="36"/>
      <c r="C319" s="37"/>
      <c r="D319" s="37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7"/>
      <c r="S319" s="37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</row>
    <row r="320" spans="1:66" x14ac:dyDescent="0.35">
      <c r="A320" s="36"/>
      <c r="B320" s="36"/>
      <c r="C320" s="37"/>
      <c r="D320" s="37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7"/>
      <c r="S320" s="37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</row>
    <row r="321" spans="1:66" x14ac:dyDescent="0.35">
      <c r="A321" s="36"/>
      <c r="B321" s="36"/>
      <c r="C321" s="37"/>
      <c r="D321" s="37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7"/>
      <c r="S321" s="37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</row>
    <row r="322" spans="1:66" x14ac:dyDescent="0.35">
      <c r="A322" s="36"/>
      <c r="B322" s="36"/>
      <c r="C322" s="37"/>
      <c r="D322" s="37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7"/>
      <c r="S322" s="37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</row>
    <row r="323" spans="1:66" x14ac:dyDescent="0.35">
      <c r="A323" s="36"/>
      <c r="B323" s="36"/>
      <c r="C323" s="37"/>
      <c r="D323" s="37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7"/>
      <c r="S323" s="37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</row>
    <row r="324" spans="1:66" x14ac:dyDescent="0.35">
      <c r="A324" s="36"/>
      <c r="B324" s="36"/>
      <c r="C324" s="37"/>
      <c r="D324" s="37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7"/>
      <c r="S324" s="37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</row>
    <row r="325" spans="1:66" x14ac:dyDescent="0.35">
      <c r="C325" s="1"/>
      <c r="D325" s="1"/>
      <c r="R325" s="1"/>
      <c r="S325" s="1"/>
    </row>
    <row r="326" spans="1:66" x14ac:dyDescent="0.35">
      <c r="C326" s="1"/>
      <c r="D326" s="1"/>
      <c r="R326" s="1"/>
      <c r="S326" s="1"/>
    </row>
    <row r="327" spans="1:66" x14ac:dyDescent="0.35">
      <c r="C327" s="1"/>
      <c r="D327" s="1"/>
      <c r="R327" s="1"/>
      <c r="S327" s="1"/>
    </row>
    <row r="328" spans="1:66" x14ac:dyDescent="0.35">
      <c r="C328" s="1"/>
      <c r="D328" s="1"/>
      <c r="R328" s="1"/>
      <c r="S328" s="1"/>
    </row>
    <row r="329" spans="1:66" x14ac:dyDescent="0.35">
      <c r="C329" s="1"/>
      <c r="D329" s="1"/>
      <c r="R329" s="1"/>
      <c r="S329" s="1"/>
    </row>
    <row r="330" spans="1:66" x14ac:dyDescent="0.35">
      <c r="C330" s="1"/>
      <c r="D330" s="1"/>
      <c r="R330" s="1"/>
      <c r="S330" s="1"/>
    </row>
    <row r="331" spans="1:66" x14ac:dyDescent="0.35">
      <c r="C331" s="1"/>
      <c r="D331" s="1"/>
      <c r="R331" s="1"/>
      <c r="S331" s="1"/>
    </row>
    <row r="332" spans="1:66" x14ac:dyDescent="0.35">
      <c r="C332" s="1"/>
      <c r="D332" s="1"/>
      <c r="R332" s="1"/>
      <c r="S332" s="1"/>
    </row>
    <row r="333" spans="1:66" x14ac:dyDescent="0.35">
      <c r="C333" s="1"/>
      <c r="D333" s="1"/>
      <c r="R333" s="1"/>
      <c r="S333" s="1"/>
    </row>
    <row r="334" spans="1:66" x14ac:dyDescent="0.35">
      <c r="C334" s="1"/>
      <c r="D334" s="1"/>
      <c r="R334" s="1"/>
      <c r="S334" s="1"/>
    </row>
    <row r="335" spans="1:66" x14ac:dyDescent="0.35">
      <c r="C335" s="1"/>
      <c r="D335" s="1"/>
      <c r="R335" s="1"/>
      <c r="S335" s="1"/>
    </row>
    <row r="336" spans="1:66" x14ac:dyDescent="0.35">
      <c r="C336" s="1"/>
      <c r="D336" s="1"/>
      <c r="R336" s="1"/>
      <c r="S336" s="1"/>
    </row>
    <row r="337" spans="3:19" x14ac:dyDescent="0.35">
      <c r="C337" s="1"/>
      <c r="D337" s="1"/>
      <c r="R337" s="1"/>
      <c r="S337" s="1"/>
    </row>
    <row r="338" spans="3:19" x14ac:dyDescent="0.35">
      <c r="C338" s="1"/>
      <c r="D338" s="1"/>
      <c r="R338" s="1"/>
      <c r="S338" s="1"/>
    </row>
    <row r="339" spans="3:19" x14ac:dyDescent="0.35">
      <c r="C339" s="1"/>
      <c r="D339" s="1"/>
      <c r="R339" s="1"/>
      <c r="S339" s="1"/>
    </row>
    <row r="340" spans="3:19" x14ac:dyDescent="0.35">
      <c r="C340" s="1"/>
      <c r="D340" s="1"/>
      <c r="R340" s="1"/>
      <c r="S340" s="1"/>
    </row>
    <row r="341" spans="3:19" x14ac:dyDescent="0.35">
      <c r="C341" s="1"/>
      <c r="D341" s="1"/>
      <c r="R341" s="1"/>
      <c r="S341" s="1"/>
    </row>
    <row r="342" spans="3:19" x14ac:dyDescent="0.35">
      <c r="C342" s="1"/>
      <c r="D342" s="1"/>
      <c r="R342" s="1"/>
      <c r="S342" s="1"/>
    </row>
    <row r="343" spans="3:19" x14ac:dyDescent="0.35">
      <c r="C343" s="1"/>
      <c r="D343" s="1"/>
      <c r="R343" s="1"/>
      <c r="S343" s="1"/>
    </row>
    <row r="344" spans="3:19" x14ac:dyDescent="0.35">
      <c r="C344" s="1"/>
      <c r="D344" s="1"/>
      <c r="R344" s="1"/>
      <c r="S344" s="1"/>
    </row>
    <row r="345" spans="3:19" x14ac:dyDescent="0.35">
      <c r="C345" s="1"/>
      <c r="D345" s="1"/>
      <c r="R345" s="1"/>
      <c r="S345" s="1"/>
    </row>
    <row r="346" spans="3:19" x14ac:dyDescent="0.35">
      <c r="C346" s="1"/>
      <c r="D346" s="1"/>
      <c r="R346" s="1"/>
      <c r="S346" s="1"/>
    </row>
    <row r="347" spans="3:19" x14ac:dyDescent="0.35">
      <c r="C347" s="1"/>
      <c r="D347" s="1"/>
      <c r="R347" s="1"/>
      <c r="S347" s="1"/>
    </row>
    <row r="348" spans="3:19" x14ac:dyDescent="0.35">
      <c r="C348" s="1"/>
      <c r="D348" s="1"/>
      <c r="R348" s="1"/>
      <c r="S348" s="1"/>
    </row>
    <row r="349" spans="3:19" x14ac:dyDescent="0.35">
      <c r="C349" s="1"/>
      <c r="D349" s="1"/>
      <c r="R349" s="1"/>
      <c r="S349" s="1"/>
    </row>
    <row r="350" spans="3:19" x14ac:dyDescent="0.35">
      <c r="C350" s="1"/>
      <c r="D350" s="1"/>
      <c r="R350" s="1"/>
      <c r="S350" s="1"/>
    </row>
    <row r="351" spans="3:19" x14ac:dyDescent="0.35">
      <c r="C351" s="1"/>
      <c r="D351" s="1"/>
      <c r="R351" s="1"/>
      <c r="S351" s="1"/>
    </row>
    <row r="352" spans="3:19" x14ac:dyDescent="0.35">
      <c r="C352" s="1"/>
      <c r="D352" s="1"/>
      <c r="R352" s="1"/>
      <c r="S352" s="1"/>
    </row>
    <row r="353" spans="3:19" x14ac:dyDescent="0.35">
      <c r="C353" s="1"/>
      <c r="D353" s="1"/>
      <c r="R353" s="1"/>
      <c r="S353" s="1"/>
    </row>
    <row r="354" spans="3:19" x14ac:dyDescent="0.35">
      <c r="C354" s="1"/>
      <c r="D354" s="1"/>
      <c r="R354" s="1"/>
      <c r="S354" s="1"/>
    </row>
    <row r="355" spans="3:19" x14ac:dyDescent="0.35">
      <c r="C355" s="1"/>
      <c r="D355" s="1"/>
      <c r="R355" s="1"/>
      <c r="S355" s="1"/>
    </row>
    <row r="356" spans="3:19" x14ac:dyDescent="0.35">
      <c r="C356" s="1"/>
      <c r="D356" s="1"/>
      <c r="R356" s="1"/>
      <c r="S356" s="1"/>
    </row>
    <row r="357" spans="3:19" x14ac:dyDescent="0.35">
      <c r="C357" s="1"/>
      <c r="D357" s="1"/>
      <c r="R357" s="1"/>
      <c r="S357" s="1"/>
    </row>
    <row r="358" spans="3:19" x14ac:dyDescent="0.35">
      <c r="C358" s="1"/>
      <c r="D358" s="1"/>
      <c r="R358" s="1"/>
      <c r="S358" s="1"/>
    </row>
    <row r="359" spans="3:19" x14ac:dyDescent="0.35">
      <c r="C359" s="1"/>
      <c r="D359" s="1"/>
      <c r="R359" s="1"/>
      <c r="S359" s="1"/>
    </row>
    <row r="360" spans="3:19" x14ac:dyDescent="0.35">
      <c r="C360" s="1"/>
      <c r="D360" s="1"/>
      <c r="R360" s="1"/>
      <c r="S360" s="1"/>
    </row>
    <row r="361" spans="3:19" x14ac:dyDescent="0.35">
      <c r="C361" s="1"/>
      <c r="D361" s="1"/>
      <c r="R361" s="1"/>
      <c r="S361" s="1"/>
    </row>
    <row r="362" spans="3:19" x14ac:dyDescent="0.35">
      <c r="C362" s="1"/>
      <c r="D362" s="1"/>
      <c r="R362" s="1"/>
      <c r="S362" s="1"/>
    </row>
    <row r="363" spans="3:19" x14ac:dyDescent="0.35">
      <c r="C363" s="1"/>
      <c r="D363" s="1"/>
      <c r="R363" s="1"/>
      <c r="S363" s="1"/>
    </row>
    <row r="364" spans="3:19" x14ac:dyDescent="0.35">
      <c r="C364" s="1"/>
      <c r="D364" s="1"/>
      <c r="R364" s="1"/>
      <c r="S364" s="1"/>
    </row>
    <row r="365" spans="3:19" x14ac:dyDescent="0.35">
      <c r="C365" s="1"/>
      <c r="D365" s="1"/>
      <c r="R365" s="1"/>
      <c r="S365" s="1"/>
    </row>
    <row r="366" spans="3:19" x14ac:dyDescent="0.35">
      <c r="C366" s="1"/>
      <c r="D366" s="1"/>
      <c r="R366" s="1"/>
      <c r="S366" s="1"/>
    </row>
    <row r="367" spans="3:19" x14ac:dyDescent="0.35">
      <c r="C367" s="1"/>
      <c r="D367" s="1"/>
      <c r="R367" s="1"/>
      <c r="S367" s="1"/>
    </row>
    <row r="368" spans="3:19" x14ac:dyDescent="0.35">
      <c r="C368" s="1"/>
      <c r="D368" s="1"/>
      <c r="R368" s="1"/>
      <c r="S368" s="1"/>
    </row>
    <row r="369" spans="3:19" x14ac:dyDescent="0.35">
      <c r="C369" s="1"/>
      <c r="D369" s="1"/>
      <c r="R369" s="1"/>
      <c r="S369" s="1"/>
    </row>
    <row r="370" spans="3:19" x14ac:dyDescent="0.35">
      <c r="C370" s="1"/>
      <c r="D370" s="1"/>
      <c r="R370" s="1"/>
      <c r="S370" s="1"/>
    </row>
    <row r="371" spans="3:19" x14ac:dyDescent="0.35">
      <c r="C371" s="1"/>
      <c r="D371" s="1"/>
      <c r="R371" s="1"/>
      <c r="S371" s="1"/>
    </row>
    <row r="372" spans="3:19" x14ac:dyDescent="0.35">
      <c r="C372" s="1"/>
      <c r="D372" s="1"/>
      <c r="R372" s="1"/>
      <c r="S372" s="1"/>
    </row>
    <row r="373" spans="3:19" x14ac:dyDescent="0.35">
      <c r="C373" s="1"/>
      <c r="D373" s="1"/>
      <c r="R373" s="1"/>
      <c r="S3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807B-FBFD-4D0D-8788-4020D5166370}">
  <sheetPr>
    <tabColor rgb="FF92D050"/>
  </sheetPr>
  <dimension ref="A1:BN502"/>
  <sheetViews>
    <sheetView topLeftCell="O459" workbookViewId="0">
      <selection activeCell="U513" sqref="U513"/>
    </sheetView>
  </sheetViews>
  <sheetFormatPr defaultRowHeight="14.5" x14ac:dyDescent="0.35"/>
  <cols>
    <col min="3" max="3" width="15.54296875" style="1" customWidth="1"/>
    <col min="4" max="4" width="16.453125" style="1" customWidth="1"/>
    <col min="15" max="15" width="34.7265625" customWidth="1"/>
    <col min="17" max="17" width="24" customWidth="1"/>
    <col min="18" max="18" width="9.7265625" style="1" bestFit="1" customWidth="1"/>
    <col min="19" max="19" width="23.26953125" style="1" customWidth="1"/>
    <col min="21" max="21" width="15.26953125" customWidth="1"/>
    <col min="22" max="22" width="36" bestFit="1" customWidth="1"/>
    <col min="26" max="26" width="9.1796875" style="13"/>
    <col min="35" max="35" width="55" bestFit="1" customWidth="1"/>
    <col min="53" max="53" width="29.26953125" style="21" customWidth="1"/>
  </cols>
  <sheetData>
    <row r="1" spans="1:66" x14ac:dyDescent="0.35">
      <c r="A1" t="str">
        <f>'mk 001 10.3'!A2</f>
        <v>rDate1</v>
      </c>
      <c r="B1" t="str">
        <f>'mk 001 10.3'!B2</f>
        <v>rDate2</v>
      </c>
      <c r="C1" s="1" t="str">
        <f>'mk 001 10.3'!C2</f>
        <v>rRDate1</v>
      </c>
      <c r="D1" s="1" t="str">
        <f>'mk 001 10.3'!D2</f>
        <v>rRDate2</v>
      </c>
      <c r="E1" t="str">
        <f>'mk 001 10.3'!E2</f>
        <v>rRDate3</v>
      </c>
      <c r="F1" t="str">
        <f>'mk 001 10.3'!F2</f>
        <v>rOper_code</v>
      </c>
      <c r="G1" t="str">
        <f>'mk 001 10.3'!G2</f>
        <v>rOper_name</v>
      </c>
      <c r="H1" t="str">
        <f>'mk 001 10.3'!H2</f>
        <v>rSub_oper</v>
      </c>
      <c r="I1" t="str">
        <f>'mk 001 10.3'!I2</f>
        <v>rSub_name</v>
      </c>
      <c r="J1" t="str">
        <f>'mk 001 10.3'!J2</f>
        <v>rWarehouse</v>
      </c>
      <c r="K1" t="str">
        <f>'mk 001 10.3'!K2</f>
        <v>rSub_warehouse</v>
      </c>
      <c r="L1" t="str">
        <f>'mk 001 10.3'!L2</f>
        <v>rBst_code</v>
      </c>
      <c r="M1" t="str">
        <f>'mk 001 10.3'!M2</f>
        <v>rBst_name</v>
      </c>
      <c r="N1" t="str">
        <f>'mk 001 10.3'!N2</f>
        <v>rCv_code</v>
      </c>
      <c r="O1" t="str">
        <f>'mk 001 10.3'!O2</f>
        <v>rCv_name</v>
      </c>
      <c r="P1" t="str">
        <f>'mk 001 10.3'!P2</f>
        <v>rShip_to</v>
      </c>
      <c r="Q1" t="str">
        <f>'mk 001 10.3'!Q2</f>
        <v>rShip_name</v>
      </c>
      <c r="R1" s="1" t="str">
        <f>'mk 001 10.3'!R2</f>
        <v>rDoc_date</v>
      </c>
      <c r="S1" s="1" t="str">
        <f>'mk 001 10.3'!S2</f>
        <v>rReq_date</v>
      </c>
      <c r="T1" t="str">
        <f>'mk 001 10.3'!T2</f>
        <v>rDoc_number</v>
      </c>
      <c r="U1" t="str">
        <f>'mk 001 10.3'!U2</f>
        <v>rProduct_code</v>
      </c>
      <c r="V1" t="str">
        <f>'mk 001 10.3'!V2</f>
        <v>rProduct_name</v>
      </c>
      <c r="W1" t="str">
        <f>'mk 001 10.3'!W2</f>
        <v>rStock_qty</v>
      </c>
      <c r="X1" t="str">
        <f>'mk 001 10.3'!X2</f>
        <v>rStock_wgt</v>
      </c>
      <c r="Y1" t="str">
        <f>'mk 001 10.3'!Y2</f>
        <v>rPlan_qty</v>
      </c>
      <c r="Z1" s="13" t="str">
        <f>'mk 001 10.3'!Z2</f>
        <v>rPlan_wgt</v>
      </c>
      <c r="AA1" t="str">
        <f>'mk 001 10.3'!AA2</f>
        <v>rDiff_stock_qty_plan</v>
      </c>
      <c r="AB1" t="str">
        <f>'mk 001 10.3'!AB2</f>
        <v>rDiff_stock_wgt_plan</v>
      </c>
      <c r="AC1" t="str">
        <f>'mk 001 10.3'!AC2</f>
        <v>rAllocate_stock_qty</v>
      </c>
      <c r="AD1" t="str">
        <f>'mk 001 10.3'!AD2</f>
        <v>rAllocate_stock_wgt</v>
      </c>
      <c r="AE1" t="str">
        <f>'mk 001 10.3'!AE2</f>
        <v>rDiff_stock_qty</v>
      </c>
      <c r="AF1" t="str">
        <f>'mk 001 10.3'!AF2</f>
        <v>rDiff_stock_wgt</v>
      </c>
      <c r="AG1" t="str">
        <f>'mk 001 10.3'!AG2</f>
        <v>rPlan_byquota_qty</v>
      </c>
      <c r="AH1" t="str">
        <f>'mk 001 10.3'!AH2</f>
        <v>rPlan_byquota_wgt</v>
      </c>
      <c r="AI1" t="str">
        <f>'mk 001 10.3'!AI2</f>
        <v>rBreak</v>
      </c>
      <c r="AJ1" t="str">
        <f>'mk 001 10.3'!AJ2</f>
        <v>rEntry_type</v>
      </c>
      <c r="AK1" t="str">
        <f>'mk 001 10.3'!AK2</f>
        <v>rProduct_group_code1</v>
      </c>
      <c r="AL1" t="str">
        <f>'mk 001 10.3'!AL2</f>
        <v>rProduct_group_code2</v>
      </c>
      <c r="AM1" t="str">
        <f>'mk 001 10.3'!AM2</f>
        <v>rProduct_group_dim1</v>
      </c>
      <c r="AN1" t="str">
        <f>'mk 001 10.3'!AN2</f>
        <v>rCv_channel</v>
      </c>
      <c r="AO1" t="str">
        <f>'mk 001 10.3'!AO2</f>
        <v>rCV_FLAG1</v>
      </c>
      <c r="AP1" t="str">
        <f>'mk 001 10.3'!AP2</f>
        <v>rCV_FLAG2</v>
      </c>
      <c r="AQ1" t="str">
        <f>'mk 001 10.3'!AQ2</f>
        <v>rCV_FLAG3</v>
      </c>
      <c r="AR1" t="str">
        <f>'mk 001 10.3'!AR2</f>
        <v>rCV_FLAG4</v>
      </c>
      <c r="AS1" t="str">
        <f>'mk 001 10.3'!AS2</f>
        <v>rCV_FLAG5</v>
      </c>
      <c r="AT1" t="str">
        <f>'mk 001 10.3'!AT2</f>
        <v>rOwner_so</v>
      </c>
      <c r="AU1" t="str">
        <f>'mk 001 10.3'!AU2</f>
        <v>rCreate_date_so</v>
      </c>
      <c r="AV1" t="str">
        <f>'mk 001 10.3'!AV2</f>
        <v>rUm_stock_qty</v>
      </c>
      <c r="AW1" t="str">
        <f>'mk 001 10.3'!AW2</f>
        <v>rUm_stock_wgt</v>
      </c>
      <c r="AX1" t="str">
        <f>'mk 001 10.3'!AX2</f>
        <v>rArea</v>
      </c>
      <c r="AY1" t="str">
        <f>'mk 001 10.3'!AY2</f>
        <v>nShow_area</v>
      </c>
      <c r="AZ1" t="str">
        <f>'mk 001 10.3'!AZ2</f>
        <v>rModel</v>
      </c>
      <c r="BA1" s="21" t="str">
        <f>'mk 001 10.3'!BA2</f>
        <v>rPO_no</v>
      </c>
      <c r="BB1" t="str">
        <f>'mk 001 10.3'!BB2</f>
        <v>rDO_no</v>
      </c>
      <c r="BC1" t="str">
        <f>'mk 001 10.3'!BC2</f>
        <v>rINV_no</v>
      </c>
      <c r="BD1" t="str">
        <f>'mk 001 10.3'!BD2</f>
        <v>rDoc_issue</v>
      </c>
      <c r="BE1" t="str">
        <f>'mk 001 10.3'!BE2</f>
        <v>rPlant_code</v>
      </c>
      <c r="BF1" t="str">
        <f>'mk 001 10.3'!BF2</f>
        <v>rAllocate_remark</v>
      </c>
      <c r="BG1" t="str">
        <f>'mk 001 10.3'!BG2</f>
        <v>rVendor_code</v>
      </c>
      <c r="BH1" t="str">
        <f>'mk 001 10.3'!BH2</f>
        <v>rStatus</v>
      </c>
      <c r="BI1" t="str">
        <f>'mk 001 10.3'!BI2</f>
        <v>rStock_qty_pur</v>
      </c>
      <c r="BJ1" t="str">
        <f>'mk 001 10.3'!BJ2</f>
        <v>rStock_wgt_pur</v>
      </c>
      <c r="BK1" t="str">
        <f>'mk 001 10.3'!BK2</f>
        <v>rCut_off_time</v>
      </c>
      <c r="BL1" t="str">
        <f>'mk 001 10.3'!BL2</f>
        <v>rOwner_create</v>
      </c>
      <c r="BM1" t="str">
        <f>'mk 001 10.3'!BM2</f>
        <v>rCo_load</v>
      </c>
      <c r="BN1" t="str">
        <f>'mk 001 10.3'!BN2</f>
        <v>rLicense_plate</v>
      </c>
    </row>
    <row r="2" spans="1:66" x14ac:dyDescent="0.35">
      <c r="A2">
        <f>'mk 001 10.3'!A3</f>
        <v>0</v>
      </c>
      <c r="B2">
        <f>'mk 001 10.3'!B3</f>
        <v>0</v>
      </c>
      <c r="C2" s="1" t="str">
        <f>'mk 001 10.3'!C3</f>
        <v>14/5/2569</v>
      </c>
      <c r="D2" s="1" t="str">
        <f>'mk 001 10.3'!D3</f>
        <v>14/5/2569</v>
      </c>
      <c r="E2">
        <f>'mk 001 10.3'!E3</f>
        <v>0</v>
      </c>
      <c r="F2" t="str">
        <f>'mk 001 10.3'!F3</f>
        <v>489M</v>
      </c>
      <c r="G2" t="str">
        <f>'mk 001 10.3'!G3</f>
        <v>Modern Trade (Makro)</v>
      </c>
      <c r="H2">
        <f>'mk 001 10.3'!H3</f>
        <v>0</v>
      </c>
      <c r="I2" t="str">
        <f>'mk 001 10.3'!I3</f>
        <v>หน่วยงานกลาง</v>
      </c>
      <c r="J2" t="str">
        <f>'mk 001 10.3'!J3</f>
        <v>F213  DMCW-รชล-พระพุทธบาท</v>
      </c>
      <c r="K2" t="str">
        <f>'mk 001 10.3'!K3</f>
        <v>00000  หน่วยงานกลาง</v>
      </c>
      <c r="L2">
        <f>'mk 001 10.3'!L3</f>
        <v>923</v>
      </c>
      <c r="M2">
        <f>'mk 001 10.3'!M3</f>
        <v>0</v>
      </c>
      <c r="N2" t="str">
        <f>'mk 001 10.3'!N3</f>
        <v>1A53017200</v>
      </c>
      <c r="O2" t="str">
        <f>'mk 001 10.3'!O3</f>
        <v>บมจ. ซีพี แอ็กซ์ตร้า สาขาชัยนาท</v>
      </c>
      <c r="P2">
        <f>'mk 001 10.3'!P3</f>
        <v>2</v>
      </c>
      <c r="Q2" t="str">
        <f>'mk 001 10.3'!Q3</f>
        <v>MAKRO 0164 สาขาชัยนาท</v>
      </c>
      <c r="R2" s="1">
        <f>'mk 001 10.3'!R3</f>
        <v>244566</v>
      </c>
      <c r="S2" s="1" t="str">
        <f>'mk 001 10.3'!S3</f>
        <v>14/5/2569</v>
      </c>
      <c r="T2" t="str">
        <f>'mk 001 10.3'!T3</f>
        <v>H6954RMA0058184</v>
      </c>
      <c r="U2">
        <f>'mk 001 10.3'!U3</f>
        <v>23057821</v>
      </c>
      <c r="V2" t="str">
        <f>'mk 001 10.3'!V3</f>
        <v>สันคอ(M)</v>
      </c>
      <c r="W2">
        <f>'mk 001 10.3'!W3</f>
        <v>20</v>
      </c>
      <c r="X2">
        <f>'mk 001 10.3'!X3</f>
        <v>20</v>
      </c>
      <c r="Y2">
        <f>IFERROR(W2*Z2/X2,0)</f>
        <v>20</v>
      </c>
      <c r="Z2" s="13">
        <f>IF(COUNTIFS(แปลงข้อมูล!H:H,Q2,แปลงข้อมูล!I:I,U2,แปลงข้อมูล!J:J,V2)&gt;0,SUMIFS(แปลงข้อมูล!Q:Q,แปลงข้อมูล!I:I,U2,แปลงข้อมูล!H:H,Q2,แปลงข้อมูล!J:J,V2),'mk 001 10.3'!Z3)</f>
        <v>20</v>
      </c>
      <c r="AA2">
        <f>'mk 001 10.3'!AA3</f>
        <v>0</v>
      </c>
      <c r="AB2">
        <f>'mk 001 10.3'!AB3</f>
        <v>0</v>
      </c>
      <c r="AC2">
        <f>'mk 001 10.3'!AC3</f>
        <v>0</v>
      </c>
      <c r="AD2">
        <f>'mk 001 10.3'!AD3</f>
        <v>0</v>
      </c>
      <c r="AE2">
        <f>'mk 001 10.3'!AE3</f>
        <v>20</v>
      </c>
      <c r="AF2">
        <f>'mk 001 10.3'!AF3</f>
        <v>20</v>
      </c>
      <c r="AG2">
        <f>'mk 001 10.3'!AG3</f>
        <v>0</v>
      </c>
      <c r="AH2">
        <f>'mk 001 10.3'!AH3</f>
        <v>0</v>
      </c>
      <c r="AI2" t="str">
        <f>'mk 001 10.3'!AI3</f>
        <v>OPRCD489MOPRCD00000OPRCDF213OPRCD00000OPRCD923</v>
      </c>
      <c r="AJ2" t="str">
        <f>'mk 001 10.3'!AJ3</f>
        <v>ซื้อ / ขาย</v>
      </c>
      <c r="AK2" t="str">
        <f>'mk 001 10.3'!AK3</f>
        <v>Main proudct</v>
      </c>
      <c r="AL2" t="str">
        <f>'mk 001 10.3'!AL3</f>
        <v>Bulk Normal</v>
      </c>
      <c r="AM2" t="str">
        <f>'mk 001 10.3'!AM3</f>
        <v>สุกร</v>
      </c>
      <c r="AN2" t="str">
        <f>'mk 001 10.3'!AN3</f>
        <v>MT2001 SUPER MK.-Makro</v>
      </c>
      <c r="AO2" t="str">
        <f>'mk 001 10.3'!AO3</f>
        <v>MT</v>
      </c>
      <c r="AP2">
        <f>'mk 001 10.3'!AP3</f>
        <v>20</v>
      </c>
      <c r="AQ2">
        <f>'mk 001 10.3'!AQ3</f>
        <v>1</v>
      </c>
      <c r="AR2">
        <f>'mk 001 10.3'!AR3</f>
        <v>0</v>
      </c>
      <c r="AS2">
        <f>'mk 001 10.3'!AS3</f>
        <v>0</v>
      </c>
      <c r="AT2" t="str">
        <f>'mk 001 10.3'!AT3</f>
        <v>เบญจพจน์ เพชรเหลี่ยม</v>
      </c>
      <c r="AU2" t="str">
        <f>'mk 001 10.3'!AU3</f>
        <v>2026-05-08-13.09.12.000000</v>
      </c>
      <c r="AV2" t="str">
        <f>'mk 001 10.3'!AV3</f>
        <v>ก.ก.</v>
      </c>
      <c r="AW2" t="str">
        <f>'mk 001 10.3'!AW3</f>
        <v>ก.ก.</v>
      </c>
      <c r="AX2" t="str">
        <f>'mk 001 10.3'!AX3</f>
        <v xml:space="preserve"> </v>
      </c>
      <c r="AY2">
        <f>'mk 001 10.3'!AY3</f>
        <v>0</v>
      </c>
      <c r="AZ2" t="str">
        <f>'mk 001 10.3'!AZ3</f>
        <v>N</v>
      </c>
      <c r="BA2" s="22">
        <f>'mk 001 10.3'!BA3</f>
        <v>9044989472405</v>
      </c>
      <c r="BB2">
        <f>'mk 001 10.3'!BB3</f>
        <v>0</v>
      </c>
      <c r="BC2">
        <f>'mk 001 10.3'!BC3</f>
        <v>0</v>
      </c>
      <c r="BD2">
        <f>'mk 001 10.3'!BD3</f>
        <v>1</v>
      </c>
      <c r="BE2">
        <f>'mk 001 10.3'!BE3</f>
        <v>0</v>
      </c>
      <c r="BF2" t="str">
        <f>'mk 001 10.3'!BF3</f>
        <v>;0000</v>
      </c>
      <c r="BG2">
        <f>'mk 001 10.3'!BG3</f>
        <v>1333314600</v>
      </c>
      <c r="BH2" t="str">
        <f>'mk 001 10.3'!BH3</f>
        <v>G</v>
      </c>
      <c r="BI2">
        <f>'mk 001 10.3'!BI3</f>
        <v>20</v>
      </c>
      <c r="BJ2">
        <f>'mk 001 10.3'!BJ3</f>
        <v>20</v>
      </c>
      <c r="BK2">
        <f>'mk 001 10.3'!BK3</f>
        <v>0</v>
      </c>
      <c r="BL2" t="str">
        <f>'mk 001 10.3'!BL3</f>
        <v>SYSBATCH</v>
      </c>
      <c r="BM2">
        <f>'mk 001 10.3'!BM3</f>
        <v>0</v>
      </c>
      <c r="BN2">
        <f>'mk 001 10.3'!BN3</f>
        <v>0</v>
      </c>
    </row>
    <row r="3" spans="1:66" x14ac:dyDescent="0.35">
      <c r="A3">
        <f>'mk 001 10.3'!A4</f>
        <v>0</v>
      </c>
      <c r="B3">
        <f>'mk 001 10.3'!B4</f>
        <v>0</v>
      </c>
      <c r="C3" s="1" t="str">
        <f>'mk 001 10.3'!C4</f>
        <v>14/5/2569</v>
      </c>
      <c r="D3" s="1" t="str">
        <f>'mk 001 10.3'!D4</f>
        <v>14/5/2569</v>
      </c>
      <c r="E3">
        <f>'mk 001 10.3'!E4</f>
        <v>0</v>
      </c>
      <c r="F3" t="str">
        <f>'mk 001 10.3'!F4</f>
        <v>489M</v>
      </c>
      <c r="G3" t="str">
        <f>'mk 001 10.3'!G4</f>
        <v>Modern Trade (Makro)</v>
      </c>
      <c r="H3">
        <f>'mk 001 10.3'!H4</f>
        <v>0</v>
      </c>
      <c r="I3" t="str">
        <f>'mk 001 10.3'!I4</f>
        <v>หน่วยงานกลาง</v>
      </c>
      <c r="J3" t="str">
        <f>'mk 001 10.3'!J4</f>
        <v>F213  DMCW-รชล-พระพุทธบาท</v>
      </c>
      <c r="K3" t="str">
        <f>'mk 001 10.3'!K4</f>
        <v>00000  หน่วยงานกลาง</v>
      </c>
      <c r="L3">
        <f>'mk 001 10.3'!L4</f>
        <v>923</v>
      </c>
      <c r="M3">
        <f>'mk 001 10.3'!M4</f>
        <v>0</v>
      </c>
      <c r="N3" t="str">
        <f>'mk 001 10.3'!N4</f>
        <v>1A53017200</v>
      </c>
      <c r="O3" t="str">
        <f>'mk 001 10.3'!O4</f>
        <v>บมจ. ซีพี แอ็กซ์ตร้า สาขาชัยนาท</v>
      </c>
      <c r="P3">
        <f>'mk 001 10.3'!P4</f>
        <v>2</v>
      </c>
      <c r="Q3" t="str">
        <f>'mk 001 10.3'!Q4</f>
        <v>MAKRO 0164 สาขาชัยนาท</v>
      </c>
      <c r="R3" s="1">
        <f>'mk 001 10.3'!R4</f>
        <v>244566</v>
      </c>
      <c r="S3" s="1" t="str">
        <f>'mk 001 10.3'!S4</f>
        <v>14/5/2569</v>
      </c>
      <c r="T3" t="str">
        <f>'mk 001 10.3'!T4</f>
        <v>H6954RMA0058184</v>
      </c>
      <c r="U3">
        <f>'mk 001 10.3'!U4</f>
        <v>23057812</v>
      </c>
      <c r="V3" t="str">
        <f>'mk 001 10.3'!V4</f>
        <v>สะโพก(M)</v>
      </c>
      <c r="W3">
        <f>'mk 001 10.3'!W4</f>
        <v>130</v>
      </c>
      <c r="X3">
        <f>'mk 001 10.3'!X4</f>
        <v>130</v>
      </c>
      <c r="Y3">
        <f t="shared" ref="Y3:Y66" si="0">IFERROR(W3*Z3/X3,0)</f>
        <v>130</v>
      </c>
      <c r="Z3" s="13">
        <f>IF(COUNTIFS(แปลงข้อมูล!H:H,Q3,แปลงข้อมูล!I:I,U3,แปลงข้อมูล!J:J,V3)&gt;0,SUMIFS(แปลงข้อมูล!Q:Q,แปลงข้อมูล!I:I,U3,แปลงข้อมูล!H:H,Q3,แปลงข้อมูล!J:J,V3),'mk 001 10.3'!Z4)</f>
        <v>130</v>
      </c>
      <c r="AA3">
        <f>'mk 001 10.3'!AA4</f>
        <v>0</v>
      </c>
      <c r="AB3">
        <f>'mk 001 10.3'!AB4</f>
        <v>0</v>
      </c>
      <c r="AC3">
        <f>'mk 001 10.3'!AC4</f>
        <v>0</v>
      </c>
      <c r="AD3">
        <f>'mk 001 10.3'!AD4</f>
        <v>0</v>
      </c>
      <c r="AE3">
        <f>'mk 001 10.3'!AE4</f>
        <v>130</v>
      </c>
      <c r="AF3">
        <f>'mk 001 10.3'!AF4</f>
        <v>130</v>
      </c>
      <c r="AG3">
        <f>'mk 001 10.3'!AG4</f>
        <v>0</v>
      </c>
      <c r="AH3">
        <f>'mk 001 10.3'!AH4</f>
        <v>0</v>
      </c>
      <c r="AI3" t="str">
        <f>'mk 001 10.3'!AI4</f>
        <v>OPRCD489MOPRCD00000OPRCDF213OPRCD00000OPRCD923</v>
      </c>
      <c r="AJ3" t="str">
        <f>'mk 001 10.3'!AJ4</f>
        <v>ซื้อ / ขาย</v>
      </c>
      <c r="AK3" t="str">
        <f>'mk 001 10.3'!AK4</f>
        <v>Main proudct</v>
      </c>
      <c r="AL3" t="str">
        <f>'mk 001 10.3'!AL4</f>
        <v>Bulk Normal</v>
      </c>
      <c r="AM3" t="str">
        <f>'mk 001 10.3'!AM4</f>
        <v>สุกร</v>
      </c>
      <c r="AN3" t="str">
        <f>'mk 001 10.3'!AN4</f>
        <v>MT2001 SUPER MK.-Makro</v>
      </c>
      <c r="AO3" t="str">
        <f>'mk 001 10.3'!AO4</f>
        <v>MT</v>
      </c>
      <c r="AP3">
        <f>'mk 001 10.3'!AP4</f>
        <v>20</v>
      </c>
      <c r="AQ3">
        <f>'mk 001 10.3'!AQ4</f>
        <v>1</v>
      </c>
      <c r="AR3">
        <f>'mk 001 10.3'!AR4</f>
        <v>0</v>
      </c>
      <c r="AS3">
        <f>'mk 001 10.3'!AS4</f>
        <v>0</v>
      </c>
      <c r="AT3" t="str">
        <f>'mk 001 10.3'!AT4</f>
        <v>เบญจพจน์ เพชรเหลี่ยม</v>
      </c>
      <c r="AU3" t="str">
        <f>'mk 001 10.3'!AU4</f>
        <v>2026-05-08-13.09.12.000000</v>
      </c>
      <c r="AV3" t="str">
        <f>'mk 001 10.3'!AV4</f>
        <v>ก.ก.</v>
      </c>
      <c r="AW3" t="str">
        <f>'mk 001 10.3'!AW4</f>
        <v>ก.ก.</v>
      </c>
      <c r="AX3" t="str">
        <f>'mk 001 10.3'!AX4</f>
        <v xml:space="preserve"> </v>
      </c>
      <c r="AY3">
        <f>'mk 001 10.3'!AY4</f>
        <v>0</v>
      </c>
      <c r="AZ3" t="str">
        <f>'mk 001 10.3'!AZ4</f>
        <v>N</v>
      </c>
      <c r="BA3" s="22">
        <f>'mk 001 10.3'!BA4</f>
        <v>9044989472405</v>
      </c>
      <c r="BB3">
        <f>'mk 001 10.3'!BB4</f>
        <v>0</v>
      </c>
      <c r="BC3">
        <f>'mk 001 10.3'!BC4</f>
        <v>0</v>
      </c>
      <c r="BD3">
        <f>'mk 001 10.3'!BD4</f>
        <v>1</v>
      </c>
      <c r="BE3">
        <f>'mk 001 10.3'!BE4</f>
        <v>0</v>
      </c>
      <c r="BF3" t="str">
        <f>'mk 001 10.3'!BF4</f>
        <v>;0000</v>
      </c>
      <c r="BG3">
        <f>'mk 001 10.3'!BG4</f>
        <v>1333314600</v>
      </c>
      <c r="BH3" t="str">
        <f>'mk 001 10.3'!BH4</f>
        <v>G</v>
      </c>
      <c r="BI3">
        <f>'mk 001 10.3'!BI4</f>
        <v>130</v>
      </c>
      <c r="BJ3">
        <f>'mk 001 10.3'!BJ4</f>
        <v>130</v>
      </c>
      <c r="BK3">
        <f>'mk 001 10.3'!BK4</f>
        <v>0</v>
      </c>
      <c r="BL3" t="str">
        <f>'mk 001 10.3'!BL4</f>
        <v>SYSBATCH</v>
      </c>
      <c r="BM3">
        <f>'mk 001 10.3'!BM4</f>
        <v>0</v>
      </c>
      <c r="BN3">
        <f>'mk 001 10.3'!BN4</f>
        <v>0</v>
      </c>
    </row>
    <row r="4" spans="1:66" x14ac:dyDescent="0.35">
      <c r="A4">
        <f>'mk 001 10.3'!A5</f>
        <v>0</v>
      </c>
      <c r="B4">
        <f>'mk 001 10.3'!B5</f>
        <v>0</v>
      </c>
      <c r="C4" s="1" t="str">
        <f>'mk 001 10.3'!C5</f>
        <v>14/5/2569</v>
      </c>
      <c r="D4" s="1" t="str">
        <f>'mk 001 10.3'!D5</f>
        <v>14/5/2569</v>
      </c>
      <c r="E4">
        <f>'mk 001 10.3'!E5</f>
        <v>0</v>
      </c>
      <c r="F4" t="str">
        <f>'mk 001 10.3'!F5</f>
        <v>489M</v>
      </c>
      <c r="G4" t="str">
        <f>'mk 001 10.3'!G5</f>
        <v>Modern Trade (Makro)</v>
      </c>
      <c r="H4">
        <f>'mk 001 10.3'!H5</f>
        <v>0</v>
      </c>
      <c r="I4" t="str">
        <f>'mk 001 10.3'!I5</f>
        <v>หน่วยงานกลาง</v>
      </c>
      <c r="J4" t="str">
        <f>'mk 001 10.3'!J5</f>
        <v>F213  DMCW-รชล-พระพุทธบาท</v>
      </c>
      <c r="K4" t="str">
        <f>'mk 001 10.3'!K5</f>
        <v>00000  หน่วยงานกลาง</v>
      </c>
      <c r="L4">
        <f>'mk 001 10.3'!L5</f>
        <v>923</v>
      </c>
      <c r="M4">
        <f>'mk 001 10.3'!M5</f>
        <v>0</v>
      </c>
      <c r="N4" t="str">
        <f>'mk 001 10.3'!N5</f>
        <v>1A53017200</v>
      </c>
      <c r="O4" t="str">
        <f>'mk 001 10.3'!O5</f>
        <v>บมจ. ซีพี แอ็กซ์ตร้า สาขาชัยนาท</v>
      </c>
      <c r="P4">
        <f>'mk 001 10.3'!P5</f>
        <v>2</v>
      </c>
      <c r="Q4" t="str">
        <f>'mk 001 10.3'!Q5</f>
        <v>MAKRO 0164 สาขาชัยนาท</v>
      </c>
      <c r="R4" s="1">
        <f>'mk 001 10.3'!R5</f>
        <v>244566</v>
      </c>
      <c r="S4" s="1" t="str">
        <f>'mk 001 10.3'!S5</f>
        <v>14/5/2569</v>
      </c>
      <c r="T4" t="str">
        <f>'mk 001 10.3'!T5</f>
        <v>H6954RMA0058184</v>
      </c>
      <c r="U4">
        <f>'mk 001 10.3'!U5</f>
        <v>23065143</v>
      </c>
      <c r="V4" t="str">
        <f>'mk 001 10.3'!V5</f>
        <v>สามชั้นสไลด์</v>
      </c>
      <c r="W4">
        <f>'mk 001 10.3'!W5</f>
        <v>90</v>
      </c>
      <c r="X4">
        <f>'mk 001 10.3'!X5</f>
        <v>90</v>
      </c>
      <c r="Y4">
        <f t="shared" si="0"/>
        <v>90</v>
      </c>
      <c r="Z4" s="13">
        <f>IF(COUNTIFS(แปลงข้อมูล!H:H,Q4,แปลงข้อมูล!I:I,U4,แปลงข้อมูล!J:J,V4)&gt;0,SUMIFS(แปลงข้อมูล!Q:Q,แปลงข้อมูล!I:I,U4,แปลงข้อมูล!H:H,Q4,แปลงข้อมูล!J:J,V4),'mk 001 10.3'!Z5)</f>
        <v>90</v>
      </c>
      <c r="AA4">
        <f>'mk 001 10.3'!AA5</f>
        <v>0</v>
      </c>
      <c r="AB4">
        <f>'mk 001 10.3'!AB5</f>
        <v>0</v>
      </c>
      <c r="AC4">
        <f>'mk 001 10.3'!AC5</f>
        <v>0</v>
      </c>
      <c r="AD4">
        <f>'mk 001 10.3'!AD5</f>
        <v>0</v>
      </c>
      <c r="AE4">
        <f>'mk 001 10.3'!AE5</f>
        <v>90</v>
      </c>
      <c r="AF4">
        <f>'mk 001 10.3'!AF5</f>
        <v>90</v>
      </c>
      <c r="AG4">
        <f>'mk 001 10.3'!AG5</f>
        <v>0</v>
      </c>
      <c r="AH4">
        <f>'mk 001 10.3'!AH5</f>
        <v>0</v>
      </c>
      <c r="AI4" t="str">
        <f>'mk 001 10.3'!AI5</f>
        <v>OPRCD489MOPRCD00000OPRCDF213OPRCD00000OPRCD923</v>
      </c>
      <c r="AJ4" t="str">
        <f>'mk 001 10.3'!AJ5</f>
        <v>ซื้อ / ขาย</v>
      </c>
      <c r="AK4" t="str">
        <f>'mk 001 10.3'!AK5</f>
        <v>Main proudct</v>
      </c>
      <c r="AL4" t="str">
        <f>'mk 001 10.3'!AL5</f>
        <v>Bulk Normal</v>
      </c>
      <c r="AM4" t="str">
        <f>'mk 001 10.3'!AM5</f>
        <v>สุกร</v>
      </c>
      <c r="AN4" t="str">
        <f>'mk 001 10.3'!AN5</f>
        <v>MT2001 SUPER MK.-Makro</v>
      </c>
      <c r="AO4" t="str">
        <f>'mk 001 10.3'!AO5</f>
        <v>MT</v>
      </c>
      <c r="AP4">
        <f>'mk 001 10.3'!AP5</f>
        <v>20</v>
      </c>
      <c r="AQ4">
        <f>'mk 001 10.3'!AQ5</f>
        <v>1</v>
      </c>
      <c r="AR4">
        <f>'mk 001 10.3'!AR5</f>
        <v>0</v>
      </c>
      <c r="AS4">
        <f>'mk 001 10.3'!AS5</f>
        <v>0</v>
      </c>
      <c r="AT4" t="str">
        <f>'mk 001 10.3'!AT5</f>
        <v>เบญจพจน์ เพชรเหลี่ยม</v>
      </c>
      <c r="AU4" t="str">
        <f>'mk 001 10.3'!AU5</f>
        <v>2026-05-08-13.09.12.000000</v>
      </c>
      <c r="AV4" t="str">
        <f>'mk 001 10.3'!AV5</f>
        <v>ก.ก.</v>
      </c>
      <c r="AW4" t="str">
        <f>'mk 001 10.3'!AW5</f>
        <v>ก.ก.</v>
      </c>
      <c r="AX4" t="str">
        <f>'mk 001 10.3'!AX5</f>
        <v xml:space="preserve"> </v>
      </c>
      <c r="AY4">
        <f>'mk 001 10.3'!AY5</f>
        <v>0</v>
      </c>
      <c r="AZ4" t="str">
        <f>'mk 001 10.3'!AZ5</f>
        <v>N</v>
      </c>
      <c r="BA4" s="22">
        <f>'mk 001 10.3'!BA5</f>
        <v>9044989472405</v>
      </c>
      <c r="BB4">
        <f>'mk 001 10.3'!BB5</f>
        <v>0</v>
      </c>
      <c r="BC4">
        <f>'mk 001 10.3'!BC5</f>
        <v>0</v>
      </c>
      <c r="BD4">
        <f>'mk 001 10.3'!BD5</f>
        <v>1</v>
      </c>
      <c r="BE4">
        <f>'mk 001 10.3'!BE5</f>
        <v>0</v>
      </c>
      <c r="BF4" t="str">
        <f>'mk 001 10.3'!BF5</f>
        <v>;0000</v>
      </c>
      <c r="BG4">
        <f>'mk 001 10.3'!BG5</f>
        <v>1333314600</v>
      </c>
      <c r="BH4" t="str">
        <f>'mk 001 10.3'!BH5</f>
        <v>G</v>
      </c>
      <c r="BI4">
        <f>'mk 001 10.3'!BI5</f>
        <v>90</v>
      </c>
      <c r="BJ4">
        <f>'mk 001 10.3'!BJ5</f>
        <v>90</v>
      </c>
      <c r="BK4">
        <f>'mk 001 10.3'!BK5</f>
        <v>0</v>
      </c>
      <c r="BL4" t="str">
        <f>'mk 001 10.3'!BL5</f>
        <v>SYSBATCH</v>
      </c>
      <c r="BM4">
        <f>'mk 001 10.3'!BM5</f>
        <v>0</v>
      </c>
      <c r="BN4">
        <f>'mk 001 10.3'!BN5</f>
        <v>0</v>
      </c>
    </row>
    <row r="5" spans="1:66" x14ac:dyDescent="0.35">
      <c r="A5">
        <f>'mk 001 10.3'!A6</f>
        <v>0</v>
      </c>
      <c r="B5">
        <f>'mk 001 10.3'!B6</f>
        <v>0</v>
      </c>
      <c r="C5" s="1" t="str">
        <f>'mk 001 10.3'!C6</f>
        <v>14/5/2569</v>
      </c>
      <c r="D5" s="1" t="str">
        <f>'mk 001 10.3'!D6</f>
        <v>14/5/2569</v>
      </c>
      <c r="E5">
        <f>'mk 001 10.3'!E6</f>
        <v>0</v>
      </c>
      <c r="F5" t="str">
        <f>'mk 001 10.3'!F6</f>
        <v>489M</v>
      </c>
      <c r="G5" t="str">
        <f>'mk 001 10.3'!G6</f>
        <v>Modern Trade (Makro)</v>
      </c>
      <c r="H5">
        <f>'mk 001 10.3'!H6</f>
        <v>0</v>
      </c>
      <c r="I5" t="str">
        <f>'mk 001 10.3'!I6</f>
        <v>หน่วยงานกลาง</v>
      </c>
      <c r="J5" t="str">
        <f>'mk 001 10.3'!J6</f>
        <v>F213  DMCW-รชล-พระพุทธบาท</v>
      </c>
      <c r="K5" t="str">
        <f>'mk 001 10.3'!K6</f>
        <v>00000  หน่วยงานกลาง</v>
      </c>
      <c r="L5">
        <f>'mk 001 10.3'!L6</f>
        <v>923</v>
      </c>
      <c r="M5">
        <f>'mk 001 10.3'!M6</f>
        <v>0</v>
      </c>
      <c r="N5" t="str">
        <f>'mk 001 10.3'!N6</f>
        <v>1A53017200</v>
      </c>
      <c r="O5" t="str">
        <f>'mk 001 10.3'!O6</f>
        <v>บมจ. ซีพี แอ็กซ์ตร้า สาขาชัยนาท</v>
      </c>
      <c r="P5">
        <f>'mk 001 10.3'!P6</f>
        <v>2</v>
      </c>
      <c r="Q5" t="str">
        <f>'mk 001 10.3'!Q6</f>
        <v>MAKRO 0164 สาขาชัยนาท</v>
      </c>
      <c r="R5" s="1">
        <f>'mk 001 10.3'!R6</f>
        <v>244566</v>
      </c>
      <c r="S5" s="1" t="str">
        <f>'mk 001 10.3'!S6</f>
        <v>14/5/2569</v>
      </c>
      <c r="T5" t="str">
        <f>'mk 001 10.3'!T6</f>
        <v>H6954RMA0058184</v>
      </c>
      <c r="U5">
        <f>'mk 001 10.3'!U6</f>
        <v>23109326</v>
      </c>
      <c r="V5" t="str">
        <f>'mk 001 10.3'!V6</f>
        <v>ขาหมูเผาเลาะติดหนัง กก.ละ</v>
      </c>
      <c r="W5">
        <f>'mk 001 10.3'!W6</f>
        <v>80</v>
      </c>
      <c r="X5">
        <f>'mk 001 10.3'!X6</f>
        <v>80</v>
      </c>
      <c r="Y5">
        <f t="shared" si="0"/>
        <v>80</v>
      </c>
      <c r="Z5" s="13">
        <f>IF(COUNTIFS(แปลงข้อมูล!H:H,Q5,แปลงข้อมูล!I:I,U5,แปลงข้อมูล!J:J,V5)&gt;0,SUMIFS(แปลงข้อมูล!Q:Q,แปลงข้อมูล!I:I,U5,แปลงข้อมูล!H:H,Q5,แปลงข้อมูล!J:J,V5),'mk 001 10.3'!Z6)</f>
        <v>80</v>
      </c>
      <c r="AA5">
        <f>'mk 001 10.3'!AA6</f>
        <v>0</v>
      </c>
      <c r="AB5">
        <f>'mk 001 10.3'!AB6</f>
        <v>0</v>
      </c>
      <c r="AC5">
        <f>'mk 001 10.3'!AC6</f>
        <v>0</v>
      </c>
      <c r="AD5">
        <f>'mk 001 10.3'!AD6</f>
        <v>0</v>
      </c>
      <c r="AE5">
        <f>'mk 001 10.3'!AE6</f>
        <v>80</v>
      </c>
      <c r="AF5">
        <f>'mk 001 10.3'!AF6</f>
        <v>80</v>
      </c>
      <c r="AG5">
        <f>'mk 001 10.3'!AG6</f>
        <v>0</v>
      </c>
      <c r="AH5">
        <f>'mk 001 10.3'!AH6</f>
        <v>0</v>
      </c>
      <c r="AI5" t="str">
        <f>'mk 001 10.3'!AI6</f>
        <v>OPRCD489MOPRCD00000OPRCDF213OPRCD00000OPRCD923</v>
      </c>
      <c r="AJ5" t="str">
        <f>'mk 001 10.3'!AJ6</f>
        <v>ซื้อ / ขาย</v>
      </c>
      <c r="AK5" t="str">
        <f>'mk 001 10.3'!AK6</f>
        <v>By proudct</v>
      </c>
      <c r="AL5" t="str">
        <f>'mk 001 10.3'!AL6</f>
        <v>Bulk Normal</v>
      </c>
      <c r="AM5" t="str">
        <f>'mk 001 10.3'!AM6</f>
        <v>สุกร</v>
      </c>
      <c r="AN5" t="str">
        <f>'mk 001 10.3'!AN6</f>
        <v>MT2001 SUPER MK.-Makro</v>
      </c>
      <c r="AO5" t="str">
        <f>'mk 001 10.3'!AO6</f>
        <v>MT</v>
      </c>
      <c r="AP5">
        <f>'mk 001 10.3'!AP6</f>
        <v>20</v>
      </c>
      <c r="AQ5">
        <f>'mk 001 10.3'!AQ6</f>
        <v>1</v>
      </c>
      <c r="AR5">
        <f>'mk 001 10.3'!AR6</f>
        <v>0</v>
      </c>
      <c r="AS5">
        <f>'mk 001 10.3'!AS6</f>
        <v>0</v>
      </c>
      <c r="AT5" t="str">
        <f>'mk 001 10.3'!AT6</f>
        <v>เบญจพจน์ เพชรเหลี่ยม</v>
      </c>
      <c r="AU5" t="str">
        <f>'mk 001 10.3'!AU6</f>
        <v>2026-05-08-13.09.12.000000</v>
      </c>
      <c r="AV5" t="str">
        <f>'mk 001 10.3'!AV6</f>
        <v>ก.ก.</v>
      </c>
      <c r="AW5" t="str">
        <f>'mk 001 10.3'!AW6</f>
        <v>ก.ก.</v>
      </c>
      <c r="AX5" t="str">
        <f>'mk 001 10.3'!AX6</f>
        <v xml:space="preserve"> </v>
      </c>
      <c r="AY5">
        <f>'mk 001 10.3'!AY6</f>
        <v>0</v>
      </c>
      <c r="AZ5" t="str">
        <f>'mk 001 10.3'!AZ6</f>
        <v>N</v>
      </c>
      <c r="BA5" s="22">
        <f>'mk 001 10.3'!BA6</f>
        <v>9044989472405</v>
      </c>
      <c r="BB5">
        <f>'mk 001 10.3'!BB6</f>
        <v>0</v>
      </c>
      <c r="BC5">
        <f>'mk 001 10.3'!BC6</f>
        <v>0</v>
      </c>
      <c r="BD5">
        <f>'mk 001 10.3'!BD6</f>
        <v>1</v>
      </c>
      <c r="BE5">
        <f>'mk 001 10.3'!BE6</f>
        <v>0</v>
      </c>
      <c r="BF5" t="str">
        <f>'mk 001 10.3'!BF6</f>
        <v>;0000</v>
      </c>
      <c r="BG5">
        <f>'mk 001 10.3'!BG6</f>
        <v>1333314600</v>
      </c>
      <c r="BH5" t="str">
        <f>'mk 001 10.3'!BH6</f>
        <v>G</v>
      </c>
      <c r="BI5">
        <f>'mk 001 10.3'!BI6</f>
        <v>80</v>
      </c>
      <c r="BJ5">
        <f>'mk 001 10.3'!BJ6</f>
        <v>80</v>
      </c>
      <c r="BK5">
        <f>'mk 001 10.3'!BK6</f>
        <v>0</v>
      </c>
      <c r="BL5" t="str">
        <f>'mk 001 10.3'!BL6</f>
        <v>SYSBATCH</v>
      </c>
      <c r="BM5">
        <f>'mk 001 10.3'!BM6</f>
        <v>0</v>
      </c>
      <c r="BN5">
        <f>'mk 001 10.3'!BN6</f>
        <v>0</v>
      </c>
    </row>
    <row r="6" spans="1:66" x14ac:dyDescent="0.35">
      <c r="A6">
        <f>'mk 001 10.3'!A7</f>
        <v>0</v>
      </c>
      <c r="B6">
        <f>'mk 001 10.3'!B7</f>
        <v>0</v>
      </c>
      <c r="C6" s="1" t="str">
        <f>'mk 001 10.3'!C7</f>
        <v>14/5/2569</v>
      </c>
      <c r="D6" s="1" t="str">
        <f>'mk 001 10.3'!D7</f>
        <v>14/5/2569</v>
      </c>
      <c r="E6">
        <f>'mk 001 10.3'!E7</f>
        <v>0</v>
      </c>
      <c r="F6" t="str">
        <f>'mk 001 10.3'!F7</f>
        <v>489M</v>
      </c>
      <c r="G6" t="str">
        <f>'mk 001 10.3'!G7</f>
        <v>Modern Trade (Makro)</v>
      </c>
      <c r="H6">
        <f>'mk 001 10.3'!H7</f>
        <v>0</v>
      </c>
      <c r="I6" t="str">
        <f>'mk 001 10.3'!I7</f>
        <v>หน่วยงานกลาง</v>
      </c>
      <c r="J6" t="str">
        <f>'mk 001 10.3'!J7</f>
        <v>F213  DMCW-รชล-พระพุทธบาท</v>
      </c>
      <c r="K6" t="str">
        <f>'mk 001 10.3'!K7</f>
        <v>00000  หน่วยงานกลาง</v>
      </c>
      <c r="L6">
        <f>'mk 001 10.3'!L7</f>
        <v>923</v>
      </c>
      <c r="M6">
        <f>'mk 001 10.3'!M7</f>
        <v>0</v>
      </c>
      <c r="N6" t="str">
        <f>'mk 001 10.3'!N7</f>
        <v>1A53017200</v>
      </c>
      <c r="O6" t="str">
        <f>'mk 001 10.3'!O7</f>
        <v>บมจ. ซีพี แอ็กซ์ตร้า สาขาชัยนาท</v>
      </c>
      <c r="P6">
        <f>'mk 001 10.3'!P7</f>
        <v>2</v>
      </c>
      <c r="Q6" t="str">
        <f>'mk 001 10.3'!Q7</f>
        <v>MAKRO 0164 สาขาชัยนาท</v>
      </c>
      <c r="R6" s="1">
        <f>'mk 001 10.3'!R7</f>
        <v>244566</v>
      </c>
      <c r="S6" s="1" t="str">
        <f>'mk 001 10.3'!S7</f>
        <v>14/5/2569</v>
      </c>
      <c r="T6" t="str">
        <f>'mk 001 10.3'!T7</f>
        <v>H6954RMA0058184</v>
      </c>
      <c r="U6">
        <f>'mk 001 10.3'!U7</f>
        <v>23062101</v>
      </c>
      <c r="V6" t="str">
        <f>'mk 001 10.3'!V7</f>
        <v>หางหมูเผา(M)</v>
      </c>
      <c r="W6">
        <f>'mk 001 10.3'!W7</f>
        <v>0</v>
      </c>
      <c r="X6">
        <f>'mk 001 10.3'!X7</f>
        <v>0</v>
      </c>
      <c r="Y6">
        <f t="shared" si="0"/>
        <v>0</v>
      </c>
      <c r="Z6" s="13">
        <f>IF(COUNTIFS(แปลงข้อมูล!H:H,Q6,แปลงข้อมูล!I:I,U6,แปลงข้อมูล!J:J,V6)&gt;0,SUMIFS(แปลงข้อมูล!Q:Q,แปลงข้อมูล!I:I,U6,แปลงข้อมูล!H:H,Q6,แปลงข้อมูล!J:J,V6),'mk 001 10.3'!Z7)</f>
        <v>0</v>
      </c>
      <c r="AA6">
        <f>'mk 001 10.3'!AA7</f>
        <v>0</v>
      </c>
      <c r="AB6">
        <f>'mk 001 10.3'!AB7</f>
        <v>0</v>
      </c>
      <c r="AC6">
        <f>'mk 001 10.3'!AC7</f>
        <v>0</v>
      </c>
      <c r="AD6">
        <f>'mk 001 10.3'!AD7</f>
        <v>0</v>
      </c>
      <c r="AE6">
        <f>'mk 001 10.3'!AE7</f>
        <v>0</v>
      </c>
      <c r="AF6">
        <f>'mk 001 10.3'!AF7</f>
        <v>0</v>
      </c>
      <c r="AG6">
        <f>'mk 001 10.3'!AG7</f>
        <v>0</v>
      </c>
      <c r="AH6">
        <f>'mk 001 10.3'!AH7</f>
        <v>0</v>
      </c>
      <c r="AI6" t="str">
        <f>'mk 001 10.3'!AI7</f>
        <v>OPRCD489MOPRCD00000OPRCDF213OPRCD00000OPRCD923</v>
      </c>
      <c r="AJ6" t="str">
        <f>'mk 001 10.3'!AJ7</f>
        <v>ซื้อ / ขาย</v>
      </c>
      <c r="AK6" t="str">
        <f>'mk 001 10.3'!AK7</f>
        <v>By proudct</v>
      </c>
      <c r="AL6" t="str">
        <f>'mk 001 10.3'!AL7</f>
        <v>Bulk Normal</v>
      </c>
      <c r="AM6" t="str">
        <f>'mk 001 10.3'!AM7</f>
        <v>สุกร</v>
      </c>
      <c r="AN6" t="str">
        <f>'mk 001 10.3'!AN7</f>
        <v>MT2001 SUPER MK.-Makro</v>
      </c>
      <c r="AO6" t="str">
        <f>'mk 001 10.3'!AO7</f>
        <v>MT</v>
      </c>
      <c r="AP6">
        <f>'mk 001 10.3'!AP7</f>
        <v>20</v>
      </c>
      <c r="AQ6">
        <f>'mk 001 10.3'!AQ7</f>
        <v>1</v>
      </c>
      <c r="AR6">
        <f>'mk 001 10.3'!AR7</f>
        <v>0</v>
      </c>
      <c r="AS6">
        <f>'mk 001 10.3'!AS7</f>
        <v>0</v>
      </c>
      <c r="AT6" t="str">
        <f>'mk 001 10.3'!AT7</f>
        <v>เบญจพจน์ เพชรเหลี่ยม</v>
      </c>
      <c r="AU6" t="str">
        <f>'mk 001 10.3'!AU7</f>
        <v>2026-05-08-13.09.12.000000</v>
      </c>
      <c r="AV6" t="str">
        <f>'mk 001 10.3'!AV7</f>
        <v>ก.ก.</v>
      </c>
      <c r="AW6" t="str">
        <f>'mk 001 10.3'!AW7</f>
        <v>ก.ก.</v>
      </c>
      <c r="AX6" t="str">
        <f>'mk 001 10.3'!AX7</f>
        <v xml:space="preserve"> </v>
      </c>
      <c r="AY6">
        <f>'mk 001 10.3'!AY7</f>
        <v>0</v>
      </c>
      <c r="AZ6" t="str">
        <f>'mk 001 10.3'!AZ7</f>
        <v>N</v>
      </c>
      <c r="BA6" s="22">
        <f>'mk 001 10.3'!BA7</f>
        <v>9044989472405</v>
      </c>
      <c r="BB6">
        <f>'mk 001 10.3'!BB7</f>
        <v>0</v>
      </c>
      <c r="BC6">
        <f>'mk 001 10.3'!BC7</f>
        <v>0</v>
      </c>
      <c r="BD6">
        <f>'mk 001 10.3'!BD7</f>
        <v>1</v>
      </c>
      <c r="BE6">
        <f>'mk 001 10.3'!BE7</f>
        <v>0</v>
      </c>
      <c r="BF6" t="str">
        <f>'mk 001 10.3'!BF7</f>
        <v>;0000</v>
      </c>
      <c r="BG6">
        <f>'mk 001 10.3'!BG7</f>
        <v>1333314600</v>
      </c>
      <c r="BH6" t="str">
        <f>'mk 001 10.3'!BH7</f>
        <v>G</v>
      </c>
      <c r="BI6">
        <f>'mk 001 10.3'!BI7</f>
        <v>0</v>
      </c>
      <c r="BJ6">
        <f>'mk 001 10.3'!BJ7</f>
        <v>0</v>
      </c>
      <c r="BK6">
        <f>'mk 001 10.3'!BK7</f>
        <v>0</v>
      </c>
      <c r="BL6" t="str">
        <f>'mk 001 10.3'!BL7</f>
        <v>SYSBATCH</v>
      </c>
      <c r="BM6">
        <f>'mk 001 10.3'!BM7</f>
        <v>0</v>
      </c>
      <c r="BN6">
        <f>'mk 001 10.3'!BN7</f>
        <v>0</v>
      </c>
    </row>
    <row r="7" spans="1:66" x14ac:dyDescent="0.35">
      <c r="A7">
        <f>'mk 001 10.3'!A8</f>
        <v>0</v>
      </c>
      <c r="B7">
        <f>'mk 001 10.3'!B8</f>
        <v>0</v>
      </c>
      <c r="C7" s="1" t="str">
        <f>'mk 001 10.3'!C8</f>
        <v>14/5/2569</v>
      </c>
      <c r="D7" s="1" t="str">
        <f>'mk 001 10.3'!D8</f>
        <v>14/5/2569</v>
      </c>
      <c r="E7">
        <f>'mk 001 10.3'!E8</f>
        <v>0</v>
      </c>
      <c r="F7" t="str">
        <f>'mk 001 10.3'!F8</f>
        <v>489M</v>
      </c>
      <c r="G7" t="str">
        <f>'mk 001 10.3'!G8</f>
        <v>Modern Trade (Makro)</v>
      </c>
      <c r="H7">
        <f>'mk 001 10.3'!H8</f>
        <v>0</v>
      </c>
      <c r="I7" t="str">
        <f>'mk 001 10.3'!I8</f>
        <v>หน่วยงานกลาง</v>
      </c>
      <c r="J7" t="str">
        <f>'mk 001 10.3'!J8</f>
        <v>F213  DMCW-รชล-พระพุทธบาท</v>
      </c>
      <c r="K7" t="str">
        <f>'mk 001 10.3'!K8</f>
        <v>00000  หน่วยงานกลาง</v>
      </c>
      <c r="L7">
        <f>'mk 001 10.3'!L8</f>
        <v>923</v>
      </c>
      <c r="M7">
        <f>'mk 001 10.3'!M8</f>
        <v>0</v>
      </c>
      <c r="N7" t="str">
        <f>'mk 001 10.3'!N8</f>
        <v>1A53017200</v>
      </c>
      <c r="O7" t="str">
        <f>'mk 001 10.3'!O8</f>
        <v>บมจ. ซีพี แอ็กซ์ตร้า สาขาชัยนาท</v>
      </c>
      <c r="P7">
        <f>'mk 001 10.3'!P8</f>
        <v>2</v>
      </c>
      <c r="Q7" t="str">
        <f>'mk 001 10.3'!Q8</f>
        <v>MAKRO 0164 สาขาชัยนาท</v>
      </c>
      <c r="R7" s="1">
        <f>'mk 001 10.3'!R8</f>
        <v>244566</v>
      </c>
      <c r="S7" s="1" t="str">
        <f>'mk 001 10.3'!S8</f>
        <v>14/5/2569</v>
      </c>
      <c r="T7" t="str">
        <f>'mk 001 10.3'!T8</f>
        <v>H6954RMA0058184</v>
      </c>
      <c r="U7">
        <f>'mk 001 10.3'!U8</f>
        <v>23058556</v>
      </c>
      <c r="V7" t="str">
        <f>'mk 001 10.3'!V8</f>
        <v>กระเพาะลวก (M)</v>
      </c>
      <c r="W7">
        <f>'mk 001 10.3'!W8</f>
        <v>0</v>
      </c>
      <c r="X7">
        <f>'mk 001 10.3'!X8</f>
        <v>0</v>
      </c>
      <c r="Y7">
        <f t="shared" si="0"/>
        <v>0</v>
      </c>
      <c r="Z7" s="13">
        <f>IF(COUNTIFS(แปลงข้อมูล!H:H,Q7,แปลงข้อมูล!I:I,U7,แปลงข้อมูล!J:J,V7)&gt;0,SUMIFS(แปลงข้อมูล!Q:Q,แปลงข้อมูล!I:I,U7,แปลงข้อมูล!H:H,Q7,แปลงข้อมูล!J:J,V7),'mk 001 10.3'!Z8)</f>
        <v>0</v>
      </c>
      <c r="AA7">
        <f>'mk 001 10.3'!AA8</f>
        <v>0</v>
      </c>
      <c r="AB7">
        <f>'mk 001 10.3'!AB8</f>
        <v>0</v>
      </c>
      <c r="AC7">
        <f>'mk 001 10.3'!AC8</f>
        <v>0</v>
      </c>
      <c r="AD7">
        <f>'mk 001 10.3'!AD8</f>
        <v>0</v>
      </c>
      <c r="AE7">
        <f>'mk 001 10.3'!AE8</f>
        <v>0</v>
      </c>
      <c r="AF7">
        <f>'mk 001 10.3'!AF8</f>
        <v>0</v>
      </c>
      <c r="AG7">
        <f>'mk 001 10.3'!AG8</f>
        <v>0</v>
      </c>
      <c r="AH7">
        <f>'mk 001 10.3'!AH8</f>
        <v>0</v>
      </c>
      <c r="AI7" t="str">
        <f>'mk 001 10.3'!AI8</f>
        <v>OPRCD489MOPRCD00000OPRCDF213OPRCD00000OPRCD923</v>
      </c>
      <c r="AJ7" t="str">
        <f>'mk 001 10.3'!AJ8</f>
        <v>ซื้อ / ขาย</v>
      </c>
      <c r="AK7" t="str">
        <f>'mk 001 10.3'!AK8</f>
        <v>By proudct</v>
      </c>
      <c r="AL7" t="str">
        <f>'mk 001 10.3'!AL8</f>
        <v>Bulk Normal</v>
      </c>
      <c r="AM7" t="str">
        <f>'mk 001 10.3'!AM8</f>
        <v>สุกร</v>
      </c>
      <c r="AN7" t="str">
        <f>'mk 001 10.3'!AN8</f>
        <v>MT2001 SUPER MK.-Makro</v>
      </c>
      <c r="AO7" t="str">
        <f>'mk 001 10.3'!AO8</f>
        <v>MT</v>
      </c>
      <c r="AP7">
        <f>'mk 001 10.3'!AP8</f>
        <v>20</v>
      </c>
      <c r="AQ7">
        <f>'mk 001 10.3'!AQ8</f>
        <v>1</v>
      </c>
      <c r="AR7">
        <f>'mk 001 10.3'!AR8</f>
        <v>0</v>
      </c>
      <c r="AS7">
        <f>'mk 001 10.3'!AS8</f>
        <v>0</v>
      </c>
      <c r="AT7" t="str">
        <f>'mk 001 10.3'!AT8</f>
        <v>เบญจพจน์ เพชรเหลี่ยม</v>
      </c>
      <c r="AU7" t="str">
        <f>'mk 001 10.3'!AU8</f>
        <v>2026-05-08-13.09.12.000000</v>
      </c>
      <c r="AV7" t="str">
        <f>'mk 001 10.3'!AV8</f>
        <v>ก.ก.</v>
      </c>
      <c r="AW7" t="str">
        <f>'mk 001 10.3'!AW8</f>
        <v>ก.ก.</v>
      </c>
      <c r="AX7" t="str">
        <f>'mk 001 10.3'!AX8</f>
        <v xml:space="preserve"> </v>
      </c>
      <c r="AY7">
        <f>'mk 001 10.3'!AY8</f>
        <v>0</v>
      </c>
      <c r="AZ7" t="str">
        <f>'mk 001 10.3'!AZ8</f>
        <v>N</v>
      </c>
      <c r="BA7" s="22">
        <f>'mk 001 10.3'!BA8</f>
        <v>9044989472405</v>
      </c>
      <c r="BB7">
        <f>'mk 001 10.3'!BB8</f>
        <v>0</v>
      </c>
      <c r="BC7">
        <f>'mk 001 10.3'!BC8</f>
        <v>0</v>
      </c>
      <c r="BD7">
        <f>'mk 001 10.3'!BD8</f>
        <v>1</v>
      </c>
      <c r="BE7">
        <f>'mk 001 10.3'!BE8</f>
        <v>0</v>
      </c>
      <c r="BF7" t="str">
        <f>'mk 001 10.3'!BF8</f>
        <v>;0000</v>
      </c>
      <c r="BG7">
        <f>'mk 001 10.3'!BG8</f>
        <v>1333314600</v>
      </c>
      <c r="BH7" t="str">
        <f>'mk 001 10.3'!BH8</f>
        <v>G</v>
      </c>
      <c r="BI7">
        <f>'mk 001 10.3'!BI8</f>
        <v>0</v>
      </c>
      <c r="BJ7">
        <f>'mk 001 10.3'!BJ8</f>
        <v>0</v>
      </c>
      <c r="BK7">
        <f>'mk 001 10.3'!BK8</f>
        <v>0</v>
      </c>
      <c r="BL7" t="str">
        <f>'mk 001 10.3'!BL8</f>
        <v>SYSBATCH</v>
      </c>
      <c r="BM7">
        <f>'mk 001 10.3'!BM8</f>
        <v>0</v>
      </c>
      <c r="BN7">
        <f>'mk 001 10.3'!BN8</f>
        <v>0</v>
      </c>
    </row>
    <row r="8" spans="1:66" x14ac:dyDescent="0.35">
      <c r="A8">
        <f>'mk 001 10.3'!A9</f>
        <v>0</v>
      </c>
      <c r="B8">
        <f>'mk 001 10.3'!B9</f>
        <v>0</v>
      </c>
      <c r="C8" s="1" t="str">
        <f>'mk 001 10.3'!C9</f>
        <v>14/5/2569</v>
      </c>
      <c r="D8" s="1" t="str">
        <f>'mk 001 10.3'!D9</f>
        <v>14/5/2569</v>
      </c>
      <c r="E8">
        <f>'mk 001 10.3'!E9</f>
        <v>0</v>
      </c>
      <c r="F8" t="str">
        <f>'mk 001 10.3'!F9</f>
        <v>489M</v>
      </c>
      <c r="G8" t="str">
        <f>'mk 001 10.3'!G9</f>
        <v>Modern Trade (Makro)</v>
      </c>
      <c r="H8">
        <f>'mk 001 10.3'!H9</f>
        <v>0</v>
      </c>
      <c r="I8" t="str">
        <f>'mk 001 10.3'!I9</f>
        <v>หน่วยงานกลาง</v>
      </c>
      <c r="J8" t="str">
        <f>'mk 001 10.3'!J9</f>
        <v>F213  DMCW-รชล-พระพุทธบาท</v>
      </c>
      <c r="K8" t="str">
        <f>'mk 001 10.3'!K9</f>
        <v>00000  หน่วยงานกลาง</v>
      </c>
      <c r="L8">
        <f>'mk 001 10.3'!L9</f>
        <v>923</v>
      </c>
      <c r="M8">
        <f>'mk 001 10.3'!M9</f>
        <v>0</v>
      </c>
      <c r="N8" t="str">
        <f>'mk 001 10.3'!N9</f>
        <v>1A53017200</v>
      </c>
      <c r="O8" t="str">
        <f>'mk 001 10.3'!O9</f>
        <v>บมจ. ซีพี แอ็กซ์ตร้า สาขาชัยนาท</v>
      </c>
      <c r="P8">
        <f>'mk 001 10.3'!P9</f>
        <v>2</v>
      </c>
      <c r="Q8" t="str">
        <f>'mk 001 10.3'!Q9</f>
        <v>MAKRO 0164 สาขาชัยนาท</v>
      </c>
      <c r="R8" s="1">
        <f>'mk 001 10.3'!R9</f>
        <v>244566</v>
      </c>
      <c r="S8" s="1" t="str">
        <f>'mk 001 10.3'!S9</f>
        <v>14/5/2569</v>
      </c>
      <c r="T8" t="str">
        <f>'mk 001 10.3'!T9</f>
        <v>H6954RMA0058184</v>
      </c>
      <c r="U8">
        <f>'mk 001 10.3'!U9</f>
        <v>23073188</v>
      </c>
      <c r="V8" t="str">
        <f>'mk 001 10.3'!V9</f>
        <v>กระดูกอก(M)</v>
      </c>
      <c r="W8">
        <f>'mk 001 10.3'!W9</f>
        <v>10</v>
      </c>
      <c r="X8">
        <f>'mk 001 10.3'!X9</f>
        <v>10</v>
      </c>
      <c r="Y8">
        <f t="shared" si="0"/>
        <v>10</v>
      </c>
      <c r="Z8" s="13">
        <f>IF(COUNTIFS(แปลงข้อมูล!H:H,Q8,แปลงข้อมูล!I:I,U8,แปลงข้อมูล!J:J,V8)&gt;0,SUMIFS(แปลงข้อมูล!Q:Q,แปลงข้อมูล!I:I,U8,แปลงข้อมูล!H:H,Q8,แปลงข้อมูล!J:J,V8),'mk 001 10.3'!Z9)</f>
        <v>10</v>
      </c>
      <c r="AA8">
        <f>'mk 001 10.3'!AA9</f>
        <v>0</v>
      </c>
      <c r="AB8">
        <f>'mk 001 10.3'!AB9</f>
        <v>0</v>
      </c>
      <c r="AC8">
        <f>'mk 001 10.3'!AC9</f>
        <v>0</v>
      </c>
      <c r="AD8">
        <f>'mk 001 10.3'!AD9</f>
        <v>0</v>
      </c>
      <c r="AE8">
        <f>'mk 001 10.3'!AE9</f>
        <v>10</v>
      </c>
      <c r="AF8">
        <f>'mk 001 10.3'!AF9</f>
        <v>10</v>
      </c>
      <c r="AG8">
        <f>'mk 001 10.3'!AG9</f>
        <v>0</v>
      </c>
      <c r="AH8">
        <f>'mk 001 10.3'!AH9</f>
        <v>0</v>
      </c>
      <c r="AI8" t="str">
        <f>'mk 001 10.3'!AI9</f>
        <v>OPRCD489MOPRCD00000OPRCDF213OPRCD00000OPRCD923</v>
      </c>
      <c r="AJ8" t="str">
        <f>'mk 001 10.3'!AJ9</f>
        <v>ซื้อ / ขาย</v>
      </c>
      <c r="AK8" t="str">
        <f>'mk 001 10.3'!AK9</f>
        <v>By proudct</v>
      </c>
      <c r="AL8" t="str">
        <f>'mk 001 10.3'!AL9</f>
        <v>Bulk Normal</v>
      </c>
      <c r="AM8" t="str">
        <f>'mk 001 10.3'!AM9</f>
        <v>สุกร</v>
      </c>
      <c r="AN8" t="str">
        <f>'mk 001 10.3'!AN9</f>
        <v>MT2001 SUPER MK.-Makro</v>
      </c>
      <c r="AO8" t="str">
        <f>'mk 001 10.3'!AO9</f>
        <v>MT</v>
      </c>
      <c r="AP8">
        <f>'mk 001 10.3'!AP9</f>
        <v>20</v>
      </c>
      <c r="AQ8">
        <f>'mk 001 10.3'!AQ9</f>
        <v>1</v>
      </c>
      <c r="AR8">
        <f>'mk 001 10.3'!AR9</f>
        <v>0</v>
      </c>
      <c r="AS8">
        <f>'mk 001 10.3'!AS9</f>
        <v>0</v>
      </c>
      <c r="AT8" t="str">
        <f>'mk 001 10.3'!AT9</f>
        <v>เบญจพจน์ เพชรเหลี่ยม</v>
      </c>
      <c r="AU8" t="str">
        <f>'mk 001 10.3'!AU9</f>
        <v>2026-05-08-13.09.12.000000</v>
      </c>
      <c r="AV8" t="str">
        <f>'mk 001 10.3'!AV9</f>
        <v>ก.ก.</v>
      </c>
      <c r="AW8" t="str">
        <f>'mk 001 10.3'!AW9</f>
        <v>ก.ก.</v>
      </c>
      <c r="AX8" t="str">
        <f>'mk 001 10.3'!AX9</f>
        <v xml:space="preserve"> </v>
      </c>
      <c r="AY8">
        <f>'mk 001 10.3'!AY9</f>
        <v>0</v>
      </c>
      <c r="AZ8" t="str">
        <f>'mk 001 10.3'!AZ9</f>
        <v>N</v>
      </c>
      <c r="BA8" s="22">
        <f>'mk 001 10.3'!BA9</f>
        <v>9044989472405</v>
      </c>
      <c r="BB8">
        <f>'mk 001 10.3'!BB9</f>
        <v>0</v>
      </c>
      <c r="BC8">
        <f>'mk 001 10.3'!BC9</f>
        <v>0</v>
      </c>
      <c r="BD8">
        <f>'mk 001 10.3'!BD9</f>
        <v>1</v>
      </c>
      <c r="BE8">
        <f>'mk 001 10.3'!BE9</f>
        <v>0</v>
      </c>
      <c r="BF8" t="str">
        <f>'mk 001 10.3'!BF9</f>
        <v>;0000</v>
      </c>
      <c r="BG8">
        <f>'mk 001 10.3'!BG9</f>
        <v>1333314600</v>
      </c>
      <c r="BH8" t="str">
        <f>'mk 001 10.3'!BH9</f>
        <v>G</v>
      </c>
      <c r="BI8">
        <f>'mk 001 10.3'!BI9</f>
        <v>10</v>
      </c>
      <c r="BJ8">
        <f>'mk 001 10.3'!BJ9</f>
        <v>10</v>
      </c>
      <c r="BK8">
        <f>'mk 001 10.3'!BK9</f>
        <v>0</v>
      </c>
      <c r="BL8" t="str">
        <f>'mk 001 10.3'!BL9</f>
        <v>SYSBATCH</v>
      </c>
      <c r="BM8">
        <f>'mk 001 10.3'!BM9</f>
        <v>0</v>
      </c>
      <c r="BN8">
        <f>'mk 001 10.3'!BN9</f>
        <v>0</v>
      </c>
    </row>
    <row r="9" spans="1:66" x14ac:dyDescent="0.35">
      <c r="A9">
        <f>'mk 001 10.3'!A10</f>
        <v>0</v>
      </c>
      <c r="B9">
        <f>'mk 001 10.3'!B10</f>
        <v>0</v>
      </c>
      <c r="C9" s="1" t="str">
        <f>'mk 001 10.3'!C10</f>
        <v>14/5/2569</v>
      </c>
      <c r="D9" s="1" t="str">
        <f>'mk 001 10.3'!D10</f>
        <v>14/5/2569</v>
      </c>
      <c r="E9">
        <f>'mk 001 10.3'!E10</f>
        <v>0</v>
      </c>
      <c r="F9" t="str">
        <f>'mk 001 10.3'!F10</f>
        <v>489M</v>
      </c>
      <c r="G9" t="str">
        <f>'mk 001 10.3'!G10</f>
        <v>Modern Trade (Makro)</v>
      </c>
      <c r="H9">
        <f>'mk 001 10.3'!H10</f>
        <v>0</v>
      </c>
      <c r="I9" t="str">
        <f>'mk 001 10.3'!I10</f>
        <v>หน่วยงานกลาง</v>
      </c>
      <c r="J9" t="str">
        <f>'mk 001 10.3'!J10</f>
        <v>F213  DMCW-รชล-พระพุทธบาท</v>
      </c>
      <c r="K9" t="str">
        <f>'mk 001 10.3'!K10</f>
        <v>00000  หน่วยงานกลาง</v>
      </c>
      <c r="L9">
        <f>'mk 001 10.3'!L10</f>
        <v>923</v>
      </c>
      <c r="M9">
        <f>'mk 001 10.3'!M10</f>
        <v>0</v>
      </c>
      <c r="N9" t="str">
        <f>'mk 001 10.3'!N10</f>
        <v>1A53017200</v>
      </c>
      <c r="O9" t="str">
        <f>'mk 001 10.3'!O10</f>
        <v>บมจ. ซีพี แอ็กซ์ตร้า สาขาชัยนาท</v>
      </c>
      <c r="P9">
        <f>'mk 001 10.3'!P10</f>
        <v>2</v>
      </c>
      <c r="Q9" t="str">
        <f>'mk 001 10.3'!Q10</f>
        <v>MAKRO 0164 สาขาชัยนาท</v>
      </c>
      <c r="R9" s="1">
        <f>'mk 001 10.3'!R10</f>
        <v>244566</v>
      </c>
      <c r="S9" s="1" t="str">
        <f>'mk 001 10.3'!S10</f>
        <v>14/5/2569</v>
      </c>
      <c r="T9" t="str">
        <f>'mk 001 10.3'!T10</f>
        <v>H6954RMA0058184</v>
      </c>
      <c r="U9">
        <f>'mk 001 10.3'!U10</f>
        <v>23088036</v>
      </c>
      <c r="V9" t="str">
        <f>'mk 001 10.3'!V10</f>
        <v>เนื้อไหล่หมูติดหนังหั่นชิ้น(M)</v>
      </c>
      <c r="W9">
        <f>'mk 001 10.3'!W10</f>
        <v>0</v>
      </c>
      <c r="X9">
        <f>'mk 001 10.3'!X10</f>
        <v>0</v>
      </c>
      <c r="Y9">
        <f t="shared" si="0"/>
        <v>0</v>
      </c>
      <c r="Z9" s="13">
        <f>IF(COUNTIFS(แปลงข้อมูล!H:H,Q9,แปลงข้อมูล!I:I,U9,แปลงข้อมูล!J:J,V9)&gt;0,SUMIFS(แปลงข้อมูล!Q:Q,แปลงข้อมูล!I:I,U9,แปลงข้อมูล!H:H,Q9,แปลงข้อมูล!J:J,V9),'mk 001 10.3'!Z10)</f>
        <v>0</v>
      </c>
      <c r="AA9">
        <f>'mk 001 10.3'!AA10</f>
        <v>0</v>
      </c>
      <c r="AB9">
        <f>'mk 001 10.3'!AB10</f>
        <v>0</v>
      </c>
      <c r="AC9">
        <f>'mk 001 10.3'!AC10</f>
        <v>0</v>
      </c>
      <c r="AD9">
        <f>'mk 001 10.3'!AD10</f>
        <v>0</v>
      </c>
      <c r="AE9">
        <f>'mk 001 10.3'!AE10</f>
        <v>0</v>
      </c>
      <c r="AF9">
        <f>'mk 001 10.3'!AF10</f>
        <v>0</v>
      </c>
      <c r="AG9">
        <f>'mk 001 10.3'!AG10</f>
        <v>0</v>
      </c>
      <c r="AH9">
        <f>'mk 001 10.3'!AH10</f>
        <v>0</v>
      </c>
      <c r="AI9" t="str">
        <f>'mk 001 10.3'!AI10</f>
        <v>OPRCD489MOPRCD00000OPRCDF213OPRCD00000OPRCD923</v>
      </c>
      <c r="AJ9" t="str">
        <f>'mk 001 10.3'!AJ10</f>
        <v>ซื้อ / ขาย</v>
      </c>
      <c r="AK9" t="str">
        <f>'mk 001 10.3'!AK10</f>
        <v>Main proudct</v>
      </c>
      <c r="AL9" t="str">
        <f>'mk 001 10.3'!AL10</f>
        <v>Bulk Normal</v>
      </c>
      <c r="AM9" t="str">
        <f>'mk 001 10.3'!AM10</f>
        <v>สุกร</v>
      </c>
      <c r="AN9" t="str">
        <f>'mk 001 10.3'!AN10</f>
        <v>MT2001 SUPER MK.-Makro</v>
      </c>
      <c r="AO9" t="str">
        <f>'mk 001 10.3'!AO10</f>
        <v>MT</v>
      </c>
      <c r="AP9">
        <f>'mk 001 10.3'!AP10</f>
        <v>20</v>
      </c>
      <c r="AQ9">
        <f>'mk 001 10.3'!AQ10</f>
        <v>1</v>
      </c>
      <c r="AR9">
        <f>'mk 001 10.3'!AR10</f>
        <v>0</v>
      </c>
      <c r="AS9">
        <f>'mk 001 10.3'!AS10</f>
        <v>0</v>
      </c>
      <c r="AT9" t="str">
        <f>'mk 001 10.3'!AT10</f>
        <v>เบญจพจน์ เพชรเหลี่ยม</v>
      </c>
      <c r="AU9" t="str">
        <f>'mk 001 10.3'!AU10</f>
        <v>2026-05-08-13.09.12.000000</v>
      </c>
      <c r="AV9" t="str">
        <f>'mk 001 10.3'!AV10</f>
        <v>ก.ก.</v>
      </c>
      <c r="AW9" t="str">
        <f>'mk 001 10.3'!AW10</f>
        <v>ก.ก.</v>
      </c>
      <c r="AX9" t="str">
        <f>'mk 001 10.3'!AX10</f>
        <v xml:space="preserve"> </v>
      </c>
      <c r="AY9">
        <f>'mk 001 10.3'!AY10</f>
        <v>0</v>
      </c>
      <c r="AZ9" t="str">
        <f>'mk 001 10.3'!AZ10</f>
        <v>N</v>
      </c>
      <c r="BA9" s="22">
        <f>'mk 001 10.3'!BA10</f>
        <v>9044989472405</v>
      </c>
      <c r="BB9">
        <f>'mk 001 10.3'!BB10</f>
        <v>0</v>
      </c>
      <c r="BC9">
        <f>'mk 001 10.3'!BC10</f>
        <v>0</v>
      </c>
      <c r="BD9">
        <f>'mk 001 10.3'!BD10</f>
        <v>1</v>
      </c>
      <c r="BE9">
        <f>'mk 001 10.3'!BE10</f>
        <v>0</v>
      </c>
      <c r="BF9" t="str">
        <f>'mk 001 10.3'!BF10</f>
        <v>;0000</v>
      </c>
      <c r="BG9">
        <f>'mk 001 10.3'!BG10</f>
        <v>1333314600</v>
      </c>
      <c r="BH9" t="str">
        <f>'mk 001 10.3'!BH10</f>
        <v>G</v>
      </c>
      <c r="BI9">
        <f>'mk 001 10.3'!BI10</f>
        <v>0</v>
      </c>
      <c r="BJ9">
        <f>'mk 001 10.3'!BJ10</f>
        <v>0</v>
      </c>
      <c r="BK9">
        <f>'mk 001 10.3'!BK10</f>
        <v>0</v>
      </c>
      <c r="BL9" t="str">
        <f>'mk 001 10.3'!BL10</f>
        <v>SYSBATCH</v>
      </c>
      <c r="BM9">
        <f>'mk 001 10.3'!BM10</f>
        <v>0</v>
      </c>
      <c r="BN9">
        <f>'mk 001 10.3'!BN10</f>
        <v>0</v>
      </c>
    </row>
    <row r="10" spans="1:66" x14ac:dyDescent="0.35">
      <c r="A10">
        <f>'mk 001 10.3'!A11</f>
        <v>0</v>
      </c>
      <c r="B10">
        <f>'mk 001 10.3'!B11</f>
        <v>0</v>
      </c>
      <c r="C10" s="1" t="str">
        <f>'mk 001 10.3'!C11</f>
        <v>14/5/2569</v>
      </c>
      <c r="D10" s="1" t="str">
        <f>'mk 001 10.3'!D11</f>
        <v>14/5/2569</v>
      </c>
      <c r="E10">
        <f>'mk 001 10.3'!E11</f>
        <v>0</v>
      </c>
      <c r="F10" t="str">
        <f>'mk 001 10.3'!F11</f>
        <v>489M</v>
      </c>
      <c r="G10" t="str">
        <f>'mk 001 10.3'!G11</f>
        <v>Modern Trade (Makro)</v>
      </c>
      <c r="H10">
        <f>'mk 001 10.3'!H11</f>
        <v>0</v>
      </c>
      <c r="I10" t="str">
        <f>'mk 001 10.3'!I11</f>
        <v>หน่วยงานกลาง</v>
      </c>
      <c r="J10" t="str">
        <f>'mk 001 10.3'!J11</f>
        <v>F213  DMCW-รชล-พระพุทธบาท</v>
      </c>
      <c r="K10" t="str">
        <f>'mk 001 10.3'!K11</f>
        <v>00000  หน่วยงานกลาง</v>
      </c>
      <c r="L10">
        <f>'mk 001 10.3'!L11</f>
        <v>923</v>
      </c>
      <c r="M10">
        <f>'mk 001 10.3'!M11</f>
        <v>0</v>
      </c>
      <c r="N10" t="str">
        <f>'mk 001 10.3'!N11</f>
        <v>1A53017200</v>
      </c>
      <c r="O10" t="str">
        <f>'mk 001 10.3'!O11</f>
        <v>บมจ. ซีพี แอ็กซ์ตร้า สาขาชัยนาท</v>
      </c>
      <c r="P10">
        <f>'mk 001 10.3'!P11</f>
        <v>2</v>
      </c>
      <c r="Q10" t="str">
        <f>'mk 001 10.3'!Q11</f>
        <v>MAKRO 0164 สาขาชัยนาท</v>
      </c>
      <c r="R10" s="1">
        <f>'mk 001 10.3'!R11</f>
        <v>244566</v>
      </c>
      <c r="S10" s="1" t="str">
        <f>'mk 001 10.3'!S11</f>
        <v>14/5/2569</v>
      </c>
      <c r="T10" t="str">
        <f>'mk 001 10.3'!T11</f>
        <v>H6954RMA0058184</v>
      </c>
      <c r="U10">
        <f>'mk 001 10.3'!U11</f>
        <v>23098991</v>
      </c>
      <c r="V10" t="str">
        <f>'mk 001 10.3'!V11</f>
        <v>พอร์คชอพตัดสเต็ก กก.ละ</v>
      </c>
      <c r="W10">
        <f>'mk 001 10.3'!W11</f>
        <v>0</v>
      </c>
      <c r="X10">
        <f>'mk 001 10.3'!X11</f>
        <v>0</v>
      </c>
      <c r="Y10">
        <f t="shared" si="0"/>
        <v>0</v>
      </c>
      <c r="Z10" s="13">
        <f>IF(COUNTIFS(แปลงข้อมูล!H:H,Q10,แปลงข้อมูล!I:I,U10,แปลงข้อมูล!J:J,V10)&gt;0,SUMIFS(แปลงข้อมูล!Q:Q,แปลงข้อมูล!I:I,U10,แปลงข้อมูล!H:H,Q10,แปลงข้อมูล!J:J,V10),'mk 001 10.3'!Z11)</f>
        <v>0</v>
      </c>
      <c r="AA10">
        <f>'mk 001 10.3'!AA11</f>
        <v>0</v>
      </c>
      <c r="AB10">
        <f>'mk 001 10.3'!AB11</f>
        <v>0</v>
      </c>
      <c r="AC10">
        <f>'mk 001 10.3'!AC11</f>
        <v>0</v>
      </c>
      <c r="AD10">
        <f>'mk 001 10.3'!AD11</f>
        <v>0</v>
      </c>
      <c r="AE10">
        <f>'mk 001 10.3'!AE11</f>
        <v>0</v>
      </c>
      <c r="AF10">
        <f>'mk 001 10.3'!AF11</f>
        <v>0</v>
      </c>
      <c r="AG10">
        <f>'mk 001 10.3'!AG11</f>
        <v>0</v>
      </c>
      <c r="AH10">
        <f>'mk 001 10.3'!AH11</f>
        <v>0</v>
      </c>
      <c r="AI10" t="str">
        <f>'mk 001 10.3'!AI11</f>
        <v>OPRCD489MOPRCD00000OPRCDF213OPRCD00000OPRCD923</v>
      </c>
      <c r="AJ10" t="str">
        <f>'mk 001 10.3'!AJ11</f>
        <v>ซื้อ / ขาย</v>
      </c>
      <c r="AK10" t="str">
        <f>'mk 001 10.3'!AK11</f>
        <v>Main proudct</v>
      </c>
      <c r="AL10" t="str">
        <f>'mk 001 10.3'!AL11</f>
        <v>Bulk Normal</v>
      </c>
      <c r="AM10" t="str">
        <f>'mk 001 10.3'!AM11</f>
        <v>สุกร</v>
      </c>
      <c r="AN10" t="str">
        <f>'mk 001 10.3'!AN11</f>
        <v>MT2001 SUPER MK.-Makro</v>
      </c>
      <c r="AO10" t="str">
        <f>'mk 001 10.3'!AO11</f>
        <v>MT</v>
      </c>
      <c r="AP10">
        <f>'mk 001 10.3'!AP11</f>
        <v>20</v>
      </c>
      <c r="AQ10">
        <f>'mk 001 10.3'!AQ11</f>
        <v>1</v>
      </c>
      <c r="AR10">
        <f>'mk 001 10.3'!AR11</f>
        <v>0</v>
      </c>
      <c r="AS10">
        <f>'mk 001 10.3'!AS11</f>
        <v>0</v>
      </c>
      <c r="AT10" t="str">
        <f>'mk 001 10.3'!AT11</f>
        <v>เบญจพจน์ เพชรเหลี่ยม</v>
      </c>
      <c r="AU10" t="str">
        <f>'mk 001 10.3'!AU11</f>
        <v>2026-05-08-13.09.12.000000</v>
      </c>
      <c r="AV10" t="str">
        <f>'mk 001 10.3'!AV11</f>
        <v>ก.ก.</v>
      </c>
      <c r="AW10" t="str">
        <f>'mk 001 10.3'!AW11</f>
        <v>ก.ก.</v>
      </c>
      <c r="AX10" t="str">
        <f>'mk 001 10.3'!AX11</f>
        <v xml:space="preserve"> </v>
      </c>
      <c r="AY10">
        <f>'mk 001 10.3'!AY11</f>
        <v>0</v>
      </c>
      <c r="AZ10" t="str">
        <f>'mk 001 10.3'!AZ11</f>
        <v>N</v>
      </c>
      <c r="BA10" s="22">
        <f>'mk 001 10.3'!BA11</f>
        <v>9044989472405</v>
      </c>
      <c r="BB10">
        <f>'mk 001 10.3'!BB11</f>
        <v>0</v>
      </c>
      <c r="BC10">
        <f>'mk 001 10.3'!BC11</f>
        <v>0</v>
      </c>
      <c r="BD10">
        <f>'mk 001 10.3'!BD11</f>
        <v>1</v>
      </c>
      <c r="BE10">
        <f>'mk 001 10.3'!BE11</f>
        <v>0</v>
      </c>
      <c r="BF10" t="str">
        <f>'mk 001 10.3'!BF11</f>
        <v>;0000</v>
      </c>
      <c r="BG10">
        <f>'mk 001 10.3'!BG11</f>
        <v>1333314600</v>
      </c>
      <c r="BH10" t="str">
        <f>'mk 001 10.3'!BH11</f>
        <v>G</v>
      </c>
      <c r="BI10">
        <f>'mk 001 10.3'!BI11</f>
        <v>0</v>
      </c>
      <c r="BJ10">
        <f>'mk 001 10.3'!BJ11</f>
        <v>0</v>
      </c>
      <c r="BK10">
        <f>'mk 001 10.3'!BK11</f>
        <v>0</v>
      </c>
      <c r="BL10" t="str">
        <f>'mk 001 10.3'!BL11</f>
        <v>SYSBATCH</v>
      </c>
      <c r="BM10">
        <f>'mk 001 10.3'!BM11</f>
        <v>0</v>
      </c>
      <c r="BN10">
        <f>'mk 001 10.3'!BN11</f>
        <v>0</v>
      </c>
    </row>
    <row r="11" spans="1:66" x14ac:dyDescent="0.35">
      <c r="A11">
        <f>'mk 001 10.3'!A12</f>
        <v>0</v>
      </c>
      <c r="B11">
        <f>'mk 001 10.3'!B12</f>
        <v>0</v>
      </c>
      <c r="C11" s="1" t="str">
        <f>'mk 001 10.3'!C12</f>
        <v>14/5/2569</v>
      </c>
      <c r="D11" s="1" t="str">
        <f>'mk 001 10.3'!D12</f>
        <v>14/5/2569</v>
      </c>
      <c r="E11">
        <f>'mk 001 10.3'!E12</f>
        <v>0</v>
      </c>
      <c r="F11" t="str">
        <f>'mk 001 10.3'!F12</f>
        <v>489M</v>
      </c>
      <c r="G11" t="str">
        <f>'mk 001 10.3'!G12</f>
        <v>Modern Trade (Makro)</v>
      </c>
      <c r="H11">
        <f>'mk 001 10.3'!H12</f>
        <v>0</v>
      </c>
      <c r="I11" t="str">
        <f>'mk 001 10.3'!I12</f>
        <v>หน่วยงานกลาง</v>
      </c>
      <c r="J11" t="str">
        <f>'mk 001 10.3'!J12</f>
        <v>F213  DMCW-รชล-พระพุทธบาท</v>
      </c>
      <c r="K11" t="str">
        <f>'mk 001 10.3'!K12</f>
        <v>00000  หน่วยงานกลาง</v>
      </c>
      <c r="L11">
        <f>'mk 001 10.3'!L12</f>
        <v>923</v>
      </c>
      <c r="M11">
        <f>'mk 001 10.3'!M12</f>
        <v>0</v>
      </c>
      <c r="N11" t="str">
        <f>'mk 001 10.3'!N12</f>
        <v>1A53017200</v>
      </c>
      <c r="O11" t="str">
        <f>'mk 001 10.3'!O12</f>
        <v>บมจ. ซีพี แอ็กซ์ตร้า สาขาชัยนาท</v>
      </c>
      <c r="P11">
        <f>'mk 001 10.3'!P12</f>
        <v>2</v>
      </c>
      <c r="Q11" t="str">
        <f>'mk 001 10.3'!Q12</f>
        <v>MAKRO 0164 สาขาชัยนาท</v>
      </c>
      <c r="R11" s="1">
        <f>'mk 001 10.3'!R12</f>
        <v>244566</v>
      </c>
      <c r="S11" s="1" t="str">
        <f>'mk 001 10.3'!S12</f>
        <v>14/5/2569</v>
      </c>
      <c r="T11" t="str">
        <f>'mk 001 10.3'!T12</f>
        <v>H6954RMA0058184</v>
      </c>
      <c r="U11">
        <f>'mk 001 10.3'!U12</f>
        <v>23062105</v>
      </c>
      <c r="V11" t="str">
        <f>'mk 001 10.3'!V12</f>
        <v>ไส้ตันลวก(M)</v>
      </c>
      <c r="W11">
        <f>'mk 001 10.3'!W12</f>
        <v>0</v>
      </c>
      <c r="X11">
        <f>'mk 001 10.3'!X12</f>
        <v>0</v>
      </c>
      <c r="Y11">
        <f t="shared" si="0"/>
        <v>0</v>
      </c>
      <c r="Z11" s="13">
        <f>IF(COUNTIFS(แปลงข้อมูล!H:H,Q11,แปลงข้อมูล!I:I,U11,แปลงข้อมูล!J:J,V11)&gt;0,SUMIFS(แปลงข้อมูล!Q:Q,แปลงข้อมูล!I:I,U11,แปลงข้อมูล!H:H,Q11,แปลงข้อมูล!J:J,V11),'mk 001 10.3'!Z12)</f>
        <v>0</v>
      </c>
      <c r="AA11">
        <f>'mk 001 10.3'!AA12</f>
        <v>0</v>
      </c>
      <c r="AB11">
        <f>'mk 001 10.3'!AB12</f>
        <v>0</v>
      </c>
      <c r="AC11">
        <f>'mk 001 10.3'!AC12</f>
        <v>0</v>
      </c>
      <c r="AD11">
        <f>'mk 001 10.3'!AD12</f>
        <v>0</v>
      </c>
      <c r="AE11">
        <f>'mk 001 10.3'!AE12</f>
        <v>0</v>
      </c>
      <c r="AF11">
        <f>'mk 001 10.3'!AF12</f>
        <v>0</v>
      </c>
      <c r="AG11">
        <f>'mk 001 10.3'!AG12</f>
        <v>0</v>
      </c>
      <c r="AH11">
        <f>'mk 001 10.3'!AH12</f>
        <v>0</v>
      </c>
      <c r="AI11" t="str">
        <f>'mk 001 10.3'!AI12</f>
        <v>OPRCD489MOPRCD00000OPRCDF213OPRCD00000OPRCD923</v>
      </c>
      <c r="AJ11" t="str">
        <f>'mk 001 10.3'!AJ12</f>
        <v>ซื้อ / ขาย</v>
      </c>
      <c r="AK11" t="str">
        <f>'mk 001 10.3'!AK12</f>
        <v>By proudct</v>
      </c>
      <c r="AL11" t="str">
        <f>'mk 001 10.3'!AL12</f>
        <v>Bulk Normal</v>
      </c>
      <c r="AM11" t="str">
        <f>'mk 001 10.3'!AM12</f>
        <v>สุกร</v>
      </c>
      <c r="AN11" t="str">
        <f>'mk 001 10.3'!AN12</f>
        <v>MT2001 SUPER MK.-Makro</v>
      </c>
      <c r="AO11" t="str">
        <f>'mk 001 10.3'!AO12</f>
        <v>MT</v>
      </c>
      <c r="AP11">
        <f>'mk 001 10.3'!AP12</f>
        <v>20</v>
      </c>
      <c r="AQ11">
        <f>'mk 001 10.3'!AQ12</f>
        <v>1</v>
      </c>
      <c r="AR11">
        <f>'mk 001 10.3'!AR12</f>
        <v>0</v>
      </c>
      <c r="AS11">
        <f>'mk 001 10.3'!AS12</f>
        <v>0</v>
      </c>
      <c r="AT11" t="str">
        <f>'mk 001 10.3'!AT12</f>
        <v>เบญจพจน์ เพชรเหลี่ยม</v>
      </c>
      <c r="AU11" t="str">
        <f>'mk 001 10.3'!AU12</f>
        <v>2026-05-08-13.09.12.000000</v>
      </c>
      <c r="AV11" t="str">
        <f>'mk 001 10.3'!AV12</f>
        <v>ก.ก.</v>
      </c>
      <c r="AW11" t="str">
        <f>'mk 001 10.3'!AW12</f>
        <v>ก.ก.</v>
      </c>
      <c r="AX11" t="str">
        <f>'mk 001 10.3'!AX12</f>
        <v xml:space="preserve"> </v>
      </c>
      <c r="AY11">
        <f>'mk 001 10.3'!AY12</f>
        <v>0</v>
      </c>
      <c r="AZ11" t="str">
        <f>'mk 001 10.3'!AZ12</f>
        <v>N</v>
      </c>
      <c r="BA11" s="22">
        <f>'mk 001 10.3'!BA12</f>
        <v>9044989472405</v>
      </c>
      <c r="BB11">
        <f>'mk 001 10.3'!BB12</f>
        <v>0</v>
      </c>
      <c r="BC11">
        <f>'mk 001 10.3'!BC12</f>
        <v>0</v>
      </c>
      <c r="BD11">
        <f>'mk 001 10.3'!BD12</f>
        <v>1</v>
      </c>
      <c r="BE11">
        <f>'mk 001 10.3'!BE12</f>
        <v>0</v>
      </c>
      <c r="BF11" t="str">
        <f>'mk 001 10.3'!BF12</f>
        <v>;0000</v>
      </c>
      <c r="BG11">
        <f>'mk 001 10.3'!BG12</f>
        <v>1333314600</v>
      </c>
      <c r="BH11" t="str">
        <f>'mk 001 10.3'!BH12</f>
        <v>G</v>
      </c>
      <c r="BI11">
        <f>'mk 001 10.3'!BI12</f>
        <v>0</v>
      </c>
      <c r="BJ11">
        <f>'mk 001 10.3'!BJ12</f>
        <v>0</v>
      </c>
      <c r="BK11">
        <f>'mk 001 10.3'!BK12</f>
        <v>0</v>
      </c>
      <c r="BL11" t="str">
        <f>'mk 001 10.3'!BL12</f>
        <v>SYSBATCH</v>
      </c>
      <c r="BM11">
        <f>'mk 001 10.3'!BM12</f>
        <v>0</v>
      </c>
      <c r="BN11">
        <f>'mk 001 10.3'!BN12</f>
        <v>0</v>
      </c>
    </row>
    <row r="12" spans="1:66" x14ac:dyDescent="0.35">
      <c r="A12">
        <f>'mk 001 10.3'!A13</f>
        <v>0</v>
      </c>
      <c r="B12">
        <f>'mk 001 10.3'!B13</f>
        <v>0</v>
      </c>
      <c r="C12" s="1" t="str">
        <f>'mk 001 10.3'!C13</f>
        <v>14/5/2569</v>
      </c>
      <c r="D12" s="1" t="str">
        <f>'mk 001 10.3'!D13</f>
        <v>14/5/2569</v>
      </c>
      <c r="E12">
        <f>'mk 001 10.3'!E13</f>
        <v>0</v>
      </c>
      <c r="F12" t="str">
        <f>'mk 001 10.3'!F13</f>
        <v>489M</v>
      </c>
      <c r="G12" t="str">
        <f>'mk 001 10.3'!G13</f>
        <v>Modern Trade (Makro)</v>
      </c>
      <c r="H12">
        <f>'mk 001 10.3'!H13</f>
        <v>0</v>
      </c>
      <c r="I12" t="str">
        <f>'mk 001 10.3'!I13</f>
        <v>หน่วยงานกลาง</v>
      </c>
      <c r="J12" t="str">
        <f>'mk 001 10.3'!J13</f>
        <v>F213  DMCW-รชล-พระพุทธบาท</v>
      </c>
      <c r="K12" t="str">
        <f>'mk 001 10.3'!K13</f>
        <v>00000  หน่วยงานกลาง</v>
      </c>
      <c r="L12">
        <f>'mk 001 10.3'!L13</f>
        <v>923</v>
      </c>
      <c r="M12">
        <f>'mk 001 10.3'!M13</f>
        <v>0</v>
      </c>
      <c r="N12" t="str">
        <f>'mk 001 10.3'!N13</f>
        <v>1A53017200</v>
      </c>
      <c r="O12" t="str">
        <f>'mk 001 10.3'!O13</f>
        <v>บมจ. ซีพี แอ็กซ์ตร้า สาขาชัยนาท</v>
      </c>
      <c r="P12">
        <f>'mk 001 10.3'!P13</f>
        <v>2</v>
      </c>
      <c r="Q12" t="str">
        <f>'mk 001 10.3'!Q13</f>
        <v>MAKRO 0164 สาขาชัยนาท</v>
      </c>
      <c r="R12" s="1">
        <f>'mk 001 10.3'!R13</f>
        <v>244566</v>
      </c>
      <c r="S12" s="1" t="str">
        <f>'mk 001 10.3'!S13</f>
        <v>14/5/2569</v>
      </c>
      <c r="T12" t="str">
        <f>'mk 001 10.3'!T13</f>
        <v>H6954RMA0058184</v>
      </c>
      <c r="U12">
        <f>'mk 001 10.3'!U13</f>
        <v>23058551</v>
      </c>
      <c r="V12" t="str">
        <f>'mk 001 10.3'!V13</f>
        <v>คอหมูย่าง (M)</v>
      </c>
      <c r="W12">
        <f>'mk 001 10.3'!W13</f>
        <v>5</v>
      </c>
      <c r="X12">
        <f>'mk 001 10.3'!X13</f>
        <v>5</v>
      </c>
      <c r="Y12">
        <f t="shared" si="0"/>
        <v>5</v>
      </c>
      <c r="Z12" s="13">
        <f>IF(COUNTIFS(แปลงข้อมูล!H:H,Q12,แปลงข้อมูล!I:I,U12,แปลงข้อมูล!J:J,V12)&gt;0,SUMIFS(แปลงข้อมูล!Q:Q,แปลงข้อมูล!I:I,U12,แปลงข้อมูล!H:H,Q12,แปลงข้อมูล!J:J,V12),'mk 001 10.3'!Z13)</f>
        <v>5</v>
      </c>
      <c r="AA12">
        <f>'mk 001 10.3'!AA13</f>
        <v>0</v>
      </c>
      <c r="AB12">
        <f>'mk 001 10.3'!AB13</f>
        <v>0</v>
      </c>
      <c r="AC12">
        <f>'mk 001 10.3'!AC13</f>
        <v>0</v>
      </c>
      <c r="AD12">
        <f>'mk 001 10.3'!AD13</f>
        <v>0</v>
      </c>
      <c r="AE12">
        <f>'mk 001 10.3'!AE13</f>
        <v>5</v>
      </c>
      <c r="AF12">
        <f>'mk 001 10.3'!AF13</f>
        <v>5</v>
      </c>
      <c r="AG12">
        <f>'mk 001 10.3'!AG13</f>
        <v>0</v>
      </c>
      <c r="AH12">
        <f>'mk 001 10.3'!AH13</f>
        <v>0</v>
      </c>
      <c r="AI12" t="str">
        <f>'mk 001 10.3'!AI13</f>
        <v>OPRCD489MOPRCD00000OPRCDF213OPRCD00000OPRCD923</v>
      </c>
      <c r="AJ12" t="str">
        <f>'mk 001 10.3'!AJ13</f>
        <v>ซื้อ / ขาย</v>
      </c>
      <c r="AK12" t="str">
        <f>'mk 001 10.3'!AK13</f>
        <v>Main proudct</v>
      </c>
      <c r="AL12" t="str">
        <f>'mk 001 10.3'!AL13</f>
        <v>Bulk Normal</v>
      </c>
      <c r="AM12" t="str">
        <f>'mk 001 10.3'!AM13</f>
        <v>สุกร</v>
      </c>
      <c r="AN12" t="str">
        <f>'mk 001 10.3'!AN13</f>
        <v>MT2001 SUPER MK.-Makro</v>
      </c>
      <c r="AO12" t="str">
        <f>'mk 001 10.3'!AO13</f>
        <v>MT</v>
      </c>
      <c r="AP12">
        <f>'mk 001 10.3'!AP13</f>
        <v>20</v>
      </c>
      <c r="AQ12">
        <f>'mk 001 10.3'!AQ13</f>
        <v>1</v>
      </c>
      <c r="AR12">
        <f>'mk 001 10.3'!AR13</f>
        <v>0</v>
      </c>
      <c r="AS12">
        <f>'mk 001 10.3'!AS13</f>
        <v>0</v>
      </c>
      <c r="AT12" t="str">
        <f>'mk 001 10.3'!AT13</f>
        <v>เบญจพจน์ เพชรเหลี่ยม</v>
      </c>
      <c r="AU12" t="str">
        <f>'mk 001 10.3'!AU13</f>
        <v>2026-05-08-13.09.12.000000</v>
      </c>
      <c r="AV12" t="str">
        <f>'mk 001 10.3'!AV13</f>
        <v>ก.ก.</v>
      </c>
      <c r="AW12" t="str">
        <f>'mk 001 10.3'!AW13</f>
        <v>ก.ก.</v>
      </c>
      <c r="AX12" t="str">
        <f>'mk 001 10.3'!AX13</f>
        <v xml:space="preserve"> </v>
      </c>
      <c r="AY12">
        <f>'mk 001 10.3'!AY13</f>
        <v>0</v>
      </c>
      <c r="AZ12" t="str">
        <f>'mk 001 10.3'!AZ13</f>
        <v>N</v>
      </c>
      <c r="BA12" s="22">
        <f>'mk 001 10.3'!BA13</f>
        <v>9044989472405</v>
      </c>
      <c r="BB12">
        <f>'mk 001 10.3'!BB13</f>
        <v>0</v>
      </c>
      <c r="BC12">
        <f>'mk 001 10.3'!BC13</f>
        <v>0</v>
      </c>
      <c r="BD12">
        <f>'mk 001 10.3'!BD13</f>
        <v>1</v>
      </c>
      <c r="BE12">
        <f>'mk 001 10.3'!BE13</f>
        <v>0</v>
      </c>
      <c r="BF12" t="str">
        <f>'mk 001 10.3'!BF13</f>
        <v>;0000</v>
      </c>
      <c r="BG12">
        <f>'mk 001 10.3'!BG13</f>
        <v>1333314600</v>
      </c>
      <c r="BH12" t="str">
        <f>'mk 001 10.3'!BH13</f>
        <v>G</v>
      </c>
      <c r="BI12">
        <f>'mk 001 10.3'!BI13</f>
        <v>5</v>
      </c>
      <c r="BJ12">
        <f>'mk 001 10.3'!BJ13</f>
        <v>5</v>
      </c>
      <c r="BK12">
        <f>'mk 001 10.3'!BK13</f>
        <v>0</v>
      </c>
      <c r="BL12" t="str">
        <f>'mk 001 10.3'!BL13</f>
        <v>SYSBATCH</v>
      </c>
      <c r="BM12">
        <f>'mk 001 10.3'!BM13</f>
        <v>0</v>
      </c>
      <c r="BN12">
        <f>'mk 001 10.3'!BN13</f>
        <v>0</v>
      </c>
    </row>
    <row r="13" spans="1:66" x14ac:dyDescent="0.35">
      <c r="A13">
        <f>'mk 001 10.3'!A14</f>
        <v>0</v>
      </c>
      <c r="B13">
        <f>'mk 001 10.3'!B14</f>
        <v>0</v>
      </c>
      <c r="C13" s="1" t="str">
        <f>'mk 001 10.3'!C14</f>
        <v>14/5/2569</v>
      </c>
      <c r="D13" s="1" t="str">
        <f>'mk 001 10.3'!D14</f>
        <v>14/5/2569</v>
      </c>
      <c r="E13">
        <f>'mk 001 10.3'!E14</f>
        <v>0</v>
      </c>
      <c r="F13" t="str">
        <f>'mk 001 10.3'!F14</f>
        <v>489M</v>
      </c>
      <c r="G13" t="str">
        <f>'mk 001 10.3'!G14</f>
        <v>Modern Trade (Makro)</v>
      </c>
      <c r="H13">
        <f>'mk 001 10.3'!H14</f>
        <v>0</v>
      </c>
      <c r="I13" t="str">
        <f>'mk 001 10.3'!I14</f>
        <v>หน่วยงานกลาง</v>
      </c>
      <c r="J13" t="str">
        <f>'mk 001 10.3'!J14</f>
        <v>F213  DMCW-รชล-พระพุทธบาท</v>
      </c>
      <c r="K13" t="str">
        <f>'mk 001 10.3'!K14</f>
        <v>00000  หน่วยงานกลาง</v>
      </c>
      <c r="L13">
        <f>'mk 001 10.3'!L14</f>
        <v>923</v>
      </c>
      <c r="M13">
        <f>'mk 001 10.3'!M14</f>
        <v>0</v>
      </c>
      <c r="N13" t="str">
        <f>'mk 001 10.3'!N14</f>
        <v>1A53017200</v>
      </c>
      <c r="O13" t="str">
        <f>'mk 001 10.3'!O14</f>
        <v>บมจ. ซีพี แอ็กซ์ตร้า สาขาชัยนาท</v>
      </c>
      <c r="P13">
        <f>'mk 001 10.3'!P14</f>
        <v>2</v>
      </c>
      <c r="Q13" t="str">
        <f>'mk 001 10.3'!Q14</f>
        <v>MAKRO 0164 สาขาชัยนาท</v>
      </c>
      <c r="R13" s="1">
        <f>'mk 001 10.3'!R14</f>
        <v>244566</v>
      </c>
      <c r="S13" s="1" t="str">
        <f>'mk 001 10.3'!S14</f>
        <v>14/5/2569</v>
      </c>
      <c r="T13" t="str">
        <f>'mk 001 10.3'!T14</f>
        <v>H6954RMA0058184</v>
      </c>
      <c r="U13">
        <f>'mk 001 10.3'!U14</f>
        <v>23062095</v>
      </c>
      <c r="V13" t="str">
        <f>'mk 001 10.3'!V14</f>
        <v>หน้ากากหมูเผา(M)</v>
      </c>
      <c r="W13">
        <f>'mk 001 10.3'!W14</f>
        <v>5</v>
      </c>
      <c r="X13">
        <f>'mk 001 10.3'!X14</f>
        <v>5</v>
      </c>
      <c r="Y13">
        <f t="shared" si="0"/>
        <v>5</v>
      </c>
      <c r="Z13" s="13">
        <f>IF(COUNTIFS(แปลงข้อมูล!H:H,Q13,แปลงข้อมูล!I:I,U13,แปลงข้อมูล!J:J,V13)&gt;0,SUMIFS(แปลงข้อมูล!Q:Q,แปลงข้อมูล!I:I,U13,แปลงข้อมูล!H:H,Q13,แปลงข้อมูล!J:J,V13),'mk 001 10.3'!Z14)</f>
        <v>5</v>
      </c>
      <c r="AA13">
        <f>'mk 001 10.3'!AA14</f>
        <v>0</v>
      </c>
      <c r="AB13">
        <f>'mk 001 10.3'!AB14</f>
        <v>0</v>
      </c>
      <c r="AC13">
        <f>'mk 001 10.3'!AC14</f>
        <v>0</v>
      </c>
      <c r="AD13">
        <f>'mk 001 10.3'!AD14</f>
        <v>0</v>
      </c>
      <c r="AE13">
        <f>'mk 001 10.3'!AE14</f>
        <v>5</v>
      </c>
      <c r="AF13">
        <f>'mk 001 10.3'!AF14</f>
        <v>5</v>
      </c>
      <c r="AG13">
        <f>'mk 001 10.3'!AG14</f>
        <v>0</v>
      </c>
      <c r="AH13">
        <f>'mk 001 10.3'!AH14</f>
        <v>0</v>
      </c>
      <c r="AI13" t="str">
        <f>'mk 001 10.3'!AI14</f>
        <v>OPRCD489MOPRCD00000OPRCDF213OPRCD00000OPRCD923</v>
      </c>
      <c r="AJ13" t="str">
        <f>'mk 001 10.3'!AJ14</f>
        <v>ซื้อ / ขาย</v>
      </c>
      <c r="AK13" t="str">
        <f>'mk 001 10.3'!AK14</f>
        <v>By proudct</v>
      </c>
      <c r="AL13" t="str">
        <f>'mk 001 10.3'!AL14</f>
        <v>Bulk Normal</v>
      </c>
      <c r="AM13" t="str">
        <f>'mk 001 10.3'!AM14</f>
        <v>สุกร</v>
      </c>
      <c r="AN13" t="str">
        <f>'mk 001 10.3'!AN14</f>
        <v>MT2001 SUPER MK.-Makro</v>
      </c>
      <c r="AO13" t="str">
        <f>'mk 001 10.3'!AO14</f>
        <v>MT</v>
      </c>
      <c r="AP13">
        <f>'mk 001 10.3'!AP14</f>
        <v>20</v>
      </c>
      <c r="AQ13">
        <f>'mk 001 10.3'!AQ14</f>
        <v>1</v>
      </c>
      <c r="AR13">
        <f>'mk 001 10.3'!AR14</f>
        <v>0</v>
      </c>
      <c r="AS13">
        <f>'mk 001 10.3'!AS14</f>
        <v>0</v>
      </c>
      <c r="AT13" t="str">
        <f>'mk 001 10.3'!AT14</f>
        <v>เบญจพจน์ เพชรเหลี่ยม</v>
      </c>
      <c r="AU13" t="str">
        <f>'mk 001 10.3'!AU14</f>
        <v>2026-05-08-13.09.12.000000</v>
      </c>
      <c r="AV13" t="str">
        <f>'mk 001 10.3'!AV14</f>
        <v>ก.ก.</v>
      </c>
      <c r="AW13" t="str">
        <f>'mk 001 10.3'!AW14</f>
        <v>ก.ก.</v>
      </c>
      <c r="AX13" t="str">
        <f>'mk 001 10.3'!AX14</f>
        <v xml:space="preserve"> </v>
      </c>
      <c r="AY13">
        <f>'mk 001 10.3'!AY14</f>
        <v>0</v>
      </c>
      <c r="AZ13" t="str">
        <f>'mk 001 10.3'!AZ14</f>
        <v>N</v>
      </c>
      <c r="BA13" s="22">
        <f>'mk 001 10.3'!BA14</f>
        <v>9044989472405</v>
      </c>
      <c r="BB13">
        <f>'mk 001 10.3'!BB14</f>
        <v>0</v>
      </c>
      <c r="BC13">
        <f>'mk 001 10.3'!BC14</f>
        <v>0</v>
      </c>
      <c r="BD13">
        <f>'mk 001 10.3'!BD14</f>
        <v>1</v>
      </c>
      <c r="BE13">
        <f>'mk 001 10.3'!BE14</f>
        <v>0</v>
      </c>
      <c r="BF13" t="str">
        <f>'mk 001 10.3'!BF14</f>
        <v>;0000</v>
      </c>
      <c r="BG13">
        <f>'mk 001 10.3'!BG14</f>
        <v>1333314600</v>
      </c>
      <c r="BH13" t="str">
        <f>'mk 001 10.3'!BH14</f>
        <v>G</v>
      </c>
      <c r="BI13">
        <f>'mk 001 10.3'!BI14</f>
        <v>5</v>
      </c>
      <c r="BJ13">
        <f>'mk 001 10.3'!BJ14</f>
        <v>5</v>
      </c>
      <c r="BK13">
        <f>'mk 001 10.3'!BK14</f>
        <v>0</v>
      </c>
      <c r="BL13" t="str">
        <f>'mk 001 10.3'!BL14</f>
        <v>SYSBATCH</v>
      </c>
      <c r="BM13">
        <f>'mk 001 10.3'!BM14</f>
        <v>0</v>
      </c>
      <c r="BN13">
        <f>'mk 001 10.3'!BN14</f>
        <v>0</v>
      </c>
    </row>
    <row r="14" spans="1:66" x14ac:dyDescent="0.35">
      <c r="A14">
        <f>'mk 001 10.3'!A15</f>
        <v>0</v>
      </c>
      <c r="B14">
        <f>'mk 001 10.3'!B15</f>
        <v>0</v>
      </c>
      <c r="C14" s="1" t="str">
        <f>'mk 001 10.3'!C15</f>
        <v>14/5/2569</v>
      </c>
      <c r="D14" s="1" t="str">
        <f>'mk 001 10.3'!D15</f>
        <v>14/5/2569</v>
      </c>
      <c r="E14">
        <f>'mk 001 10.3'!E15</f>
        <v>0</v>
      </c>
      <c r="F14" t="str">
        <f>'mk 001 10.3'!F15</f>
        <v>489M</v>
      </c>
      <c r="G14" t="str">
        <f>'mk 001 10.3'!G15</f>
        <v>Modern Trade (Makro)</v>
      </c>
      <c r="H14">
        <f>'mk 001 10.3'!H15</f>
        <v>0</v>
      </c>
      <c r="I14" t="str">
        <f>'mk 001 10.3'!I15</f>
        <v>หน่วยงานกลาง</v>
      </c>
      <c r="J14" t="str">
        <f>'mk 001 10.3'!J15</f>
        <v>F213  DMCW-รชล-พระพุทธบาท</v>
      </c>
      <c r="K14" t="str">
        <f>'mk 001 10.3'!K15</f>
        <v>00000  หน่วยงานกลาง</v>
      </c>
      <c r="L14">
        <f>'mk 001 10.3'!L15</f>
        <v>923</v>
      </c>
      <c r="M14">
        <f>'mk 001 10.3'!M15</f>
        <v>0</v>
      </c>
      <c r="N14" t="str">
        <f>'mk 001 10.3'!N15</f>
        <v>1A53017200</v>
      </c>
      <c r="O14" t="str">
        <f>'mk 001 10.3'!O15</f>
        <v>บมจ. ซีพี แอ็กซ์ตร้า สาขาชัยนาท</v>
      </c>
      <c r="P14">
        <f>'mk 001 10.3'!P15</f>
        <v>2</v>
      </c>
      <c r="Q14" t="str">
        <f>'mk 001 10.3'!Q15</f>
        <v>MAKRO 0164 สาขาชัยนาท</v>
      </c>
      <c r="R14" s="1">
        <f>'mk 001 10.3'!R15</f>
        <v>244566</v>
      </c>
      <c r="S14" s="1" t="str">
        <f>'mk 001 10.3'!S15</f>
        <v>14/5/2569</v>
      </c>
      <c r="T14" t="str">
        <f>'mk 001 10.3'!T15</f>
        <v>H6954RMA0058184</v>
      </c>
      <c r="U14">
        <f>'mk 001 10.3'!U15</f>
        <v>23058555</v>
      </c>
      <c r="V14" t="str">
        <f>'mk 001 10.3'!V15</f>
        <v>กระดูกซุป (M)</v>
      </c>
      <c r="W14">
        <f>'mk 001 10.3'!W15</f>
        <v>70</v>
      </c>
      <c r="X14">
        <f>'mk 001 10.3'!X15</f>
        <v>70</v>
      </c>
      <c r="Y14">
        <f t="shared" si="0"/>
        <v>70</v>
      </c>
      <c r="Z14" s="13">
        <f>IF(COUNTIFS(แปลงข้อมูล!H:H,Q14,แปลงข้อมูล!I:I,U14,แปลงข้อมูล!J:J,V14)&gt;0,SUMIFS(แปลงข้อมูล!Q:Q,แปลงข้อมูล!I:I,U14,แปลงข้อมูล!H:H,Q14,แปลงข้อมูล!J:J,V14),'mk 001 10.3'!Z15)</f>
        <v>70</v>
      </c>
      <c r="AA14">
        <f>'mk 001 10.3'!AA15</f>
        <v>0</v>
      </c>
      <c r="AB14">
        <f>'mk 001 10.3'!AB15</f>
        <v>0</v>
      </c>
      <c r="AC14">
        <f>'mk 001 10.3'!AC15</f>
        <v>0</v>
      </c>
      <c r="AD14">
        <f>'mk 001 10.3'!AD15</f>
        <v>0</v>
      </c>
      <c r="AE14">
        <f>'mk 001 10.3'!AE15</f>
        <v>70</v>
      </c>
      <c r="AF14">
        <f>'mk 001 10.3'!AF15</f>
        <v>70</v>
      </c>
      <c r="AG14">
        <f>'mk 001 10.3'!AG15</f>
        <v>0</v>
      </c>
      <c r="AH14">
        <f>'mk 001 10.3'!AH15</f>
        <v>0</v>
      </c>
      <c r="AI14" t="str">
        <f>'mk 001 10.3'!AI15</f>
        <v>OPRCD489MOPRCD00000OPRCDF213OPRCD00000OPRCD923</v>
      </c>
      <c r="AJ14" t="str">
        <f>'mk 001 10.3'!AJ15</f>
        <v>ซื้อ / ขาย</v>
      </c>
      <c r="AK14" t="str">
        <f>'mk 001 10.3'!AK15</f>
        <v>By proudct</v>
      </c>
      <c r="AL14" t="str">
        <f>'mk 001 10.3'!AL15</f>
        <v>Bulk Normal</v>
      </c>
      <c r="AM14" t="str">
        <f>'mk 001 10.3'!AM15</f>
        <v>สุกร</v>
      </c>
      <c r="AN14" t="str">
        <f>'mk 001 10.3'!AN15</f>
        <v>MT2001 SUPER MK.-Makro</v>
      </c>
      <c r="AO14" t="str">
        <f>'mk 001 10.3'!AO15</f>
        <v>MT</v>
      </c>
      <c r="AP14">
        <f>'mk 001 10.3'!AP15</f>
        <v>20</v>
      </c>
      <c r="AQ14">
        <f>'mk 001 10.3'!AQ15</f>
        <v>1</v>
      </c>
      <c r="AR14">
        <f>'mk 001 10.3'!AR15</f>
        <v>0</v>
      </c>
      <c r="AS14">
        <f>'mk 001 10.3'!AS15</f>
        <v>0</v>
      </c>
      <c r="AT14" t="str">
        <f>'mk 001 10.3'!AT15</f>
        <v>เบญจพจน์ เพชรเหลี่ยม</v>
      </c>
      <c r="AU14" t="str">
        <f>'mk 001 10.3'!AU15</f>
        <v>2026-05-08-13.09.12.000000</v>
      </c>
      <c r="AV14" t="str">
        <f>'mk 001 10.3'!AV15</f>
        <v>ก.ก.</v>
      </c>
      <c r="AW14" t="str">
        <f>'mk 001 10.3'!AW15</f>
        <v>ก.ก.</v>
      </c>
      <c r="AX14" t="str">
        <f>'mk 001 10.3'!AX15</f>
        <v xml:space="preserve"> </v>
      </c>
      <c r="AY14">
        <f>'mk 001 10.3'!AY15</f>
        <v>0</v>
      </c>
      <c r="AZ14" t="str">
        <f>'mk 001 10.3'!AZ15</f>
        <v>N</v>
      </c>
      <c r="BA14" s="22">
        <f>'mk 001 10.3'!BA15</f>
        <v>9044989472405</v>
      </c>
      <c r="BB14">
        <f>'mk 001 10.3'!BB15</f>
        <v>0</v>
      </c>
      <c r="BC14">
        <f>'mk 001 10.3'!BC15</f>
        <v>0</v>
      </c>
      <c r="BD14">
        <f>'mk 001 10.3'!BD15</f>
        <v>1</v>
      </c>
      <c r="BE14">
        <f>'mk 001 10.3'!BE15</f>
        <v>0</v>
      </c>
      <c r="BF14" t="str">
        <f>'mk 001 10.3'!BF15</f>
        <v>;0000</v>
      </c>
      <c r="BG14">
        <f>'mk 001 10.3'!BG15</f>
        <v>1333314600</v>
      </c>
      <c r="BH14" t="str">
        <f>'mk 001 10.3'!BH15</f>
        <v>G</v>
      </c>
      <c r="BI14">
        <f>'mk 001 10.3'!BI15</f>
        <v>70</v>
      </c>
      <c r="BJ14">
        <f>'mk 001 10.3'!BJ15</f>
        <v>70</v>
      </c>
      <c r="BK14">
        <f>'mk 001 10.3'!BK15</f>
        <v>0</v>
      </c>
      <c r="BL14" t="str">
        <f>'mk 001 10.3'!BL15</f>
        <v>SYSBATCH</v>
      </c>
      <c r="BM14">
        <f>'mk 001 10.3'!BM15</f>
        <v>0</v>
      </c>
      <c r="BN14">
        <f>'mk 001 10.3'!BN15</f>
        <v>0</v>
      </c>
    </row>
    <row r="15" spans="1:66" x14ac:dyDescent="0.35">
      <c r="A15">
        <f>'mk 001 10.3'!A16</f>
        <v>0</v>
      </c>
      <c r="B15">
        <f>'mk 001 10.3'!B16</f>
        <v>0</v>
      </c>
      <c r="C15" s="1" t="str">
        <f>'mk 001 10.3'!C16</f>
        <v>14/5/2569</v>
      </c>
      <c r="D15" s="1" t="str">
        <f>'mk 001 10.3'!D16</f>
        <v>14/5/2569</v>
      </c>
      <c r="E15">
        <f>'mk 001 10.3'!E16</f>
        <v>0</v>
      </c>
      <c r="F15" t="str">
        <f>'mk 001 10.3'!F16</f>
        <v>489M</v>
      </c>
      <c r="G15" t="str">
        <f>'mk 001 10.3'!G16</f>
        <v>Modern Trade (Makro)</v>
      </c>
      <c r="H15">
        <f>'mk 001 10.3'!H16</f>
        <v>0</v>
      </c>
      <c r="I15" t="str">
        <f>'mk 001 10.3'!I16</f>
        <v>หน่วยงานกลาง</v>
      </c>
      <c r="J15" t="str">
        <f>'mk 001 10.3'!J16</f>
        <v>F213  DMCW-รชล-พระพุทธบาท</v>
      </c>
      <c r="K15" t="str">
        <f>'mk 001 10.3'!K16</f>
        <v>00000  หน่วยงานกลาง</v>
      </c>
      <c r="L15">
        <f>'mk 001 10.3'!L16</f>
        <v>923</v>
      </c>
      <c r="M15">
        <f>'mk 001 10.3'!M16</f>
        <v>0</v>
      </c>
      <c r="N15" t="str">
        <f>'mk 001 10.3'!N16</f>
        <v>1A53017200</v>
      </c>
      <c r="O15" t="str">
        <f>'mk 001 10.3'!O16</f>
        <v>บมจ. ซีพี แอ็กซ์ตร้า สาขาชัยนาท</v>
      </c>
      <c r="P15">
        <f>'mk 001 10.3'!P16</f>
        <v>2</v>
      </c>
      <c r="Q15" t="str">
        <f>'mk 001 10.3'!Q16</f>
        <v>MAKRO 0164 สาขาชัยนาท</v>
      </c>
      <c r="R15" s="1">
        <f>'mk 001 10.3'!R16</f>
        <v>244566</v>
      </c>
      <c r="S15" s="1" t="str">
        <f>'mk 001 10.3'!S16</f>
        <v>14/5/2569</v>
      </c>
      <c r="T15" t="str">
        <f>'mk 001 10.3'!T16</f>
        <v>H6954RMA0058184</v>
      </c>
      <c r="U15">
        <f>'mk 001 10.3'!U16</f>
        <v>23062967</v>
      </c>
      <c r="V15" t="str">
        <f>'mk 001 10.3'!V16</f>
        <v>หมูบดเบอร์ 1(1 กก.)</v>
      </c>
      <c r="W15">
        <f>'mk 001 10.3'!W16</f>
        <v>30</v>
      </c>
      <c r="X15">
        <f>'mk 001 10.3'!X16</f>
        <v>30</v>
      </c>
      <c r="Y15">
        <f t="shared" si="0"/>
        <v>30</v>
      </c>
      <c r="Z15" s="13">
        <f>IF(COUNTIFS(แปลงข้อมูล!H:H,Q15,แปลงข้อมูล!I:I,U15,แปลงข้อมูล!J:J,V15)&gt;0,SUMIFS(แปลงข้อมูล!Q:Q,แปลงข้อมูล!I:I,U15,แปลงข้อมูล!H:H,Q15,แปลงข้อมูล!J:J,V15),'mk 001 10.3'!Z16)</f>
        <v>30</v>
      </c>
      <c r="AA15">
        <f>'mk 001 10.3'!AA16</f>
        <v>0</v>
      </c>
      <c r="AB15">
        <f>'mk 001 10.3'!AB16</f>
        <v>0</v>
      </c>
      <c r="AC15">
        <f>'mk 001 10.3'!AC16</f>
        <v>0</v>
      </c>
      <c r="AD15">
        <f>'mk 001 10.3'!AD16</f>
        <v>0</v>
      </c>
      <c r="AE15">
        <f>'mk 001 10.3'!AE16</f>
        <v>30</v>
      </c>
      <c r="AF15">
        <f>'mk 001 10.3'!AF16</f>
        <v>30</v>
      </c>
      <c r="AG15">
        <f>'mk 001 10.3'!AG16</f>
        <v>0</v>
      </c>
      <c r="AH15">
        <f>'mk 001 10.3'!AH16</f>
        <v>0</v>
      </c>
      <c r="AI15" t="str">
        <f>'mk 001 10.3'!AI16</f>
        <v>OPRCD489MOPRCD00000OPRCDF213OPRCD00000OPRCD923</v>
      </c>
      <c r="AJ15" t="str">
        <f>'mk 001 10.3'!AJ16</f>
        <v>ซื้อ / ขาย</v>
      </c>
      <c r="AK15" t="str">
        <f>'mk 001 10.3'!AK16</f>
        <v>Main proudct</v>
      </c>
      <c r="AL15" t="str">
        <f>'mk 001 10.3'!AL16</f>
        <v>Bulk Normal</v>
      </c>
      <c r="AM15" t="str">
        <f>'mk 001 10.3'!AM16</f>
        <v>สุกร</v>
      </c>
      <c r="AN15" t="str">
        <f>'mk 001 10.3'!AN16</f>
        <v>MT2001 SUPER MK.-Makro</v>
      </c>
      <c r="AO15" t="str">
        <f>'mk 001 10.3'!AO16</f>
        <v>MT</v>
      </c>
      <c r="AP15">
        <f>'mk 001 10.3'!AP16</f>
        <v>20</v>
      </c>
      <c r="AQ15">
        <f>'mk 001 10.3'!AQ16</f>
        <v>1</v>
      </c>
      <c r="AR15">
        <f>'mk 001 10.3'!AR16</f>
        <v>0</v>
      </c>
      <c r="AS15">
        <f>'mk 001 10.3'!AS16</f>
        <v>0</v>
      </c>
      <c r="AT15" t="str">
        <f>'mk 001 10.3'!AT16</f>
        <v>เบญจพจน์ เพชรเหลี่ยม</v>
      </c>
      <c r="AU15" t="str">
        <f>'mk 001 10.3'!AU16</f>
        <v>2026-05-08-13.09.12.000000</v>
      </c>
      <c r="AV15" t="str">
        <f>'mk 001 10.3'!AV16</f>
        <v>แพ็ค</v>
      </c>
      <c r="AW15" t="str">
        <f>'mk 001 10.3'!AW16</f>
        <v>ก.ก.</v>
      </c>
      <c r="AX15" t="str">
        <f>'mk 001 10.3'!AX16</f>
        <v xml:space="preserve"> </v>
      </c>
      <c r="AY15">
        <f>'mk 001 10.3'!AY16</f>
        <v>0</v>
      </c>
      <c r="AZ15" t="str">
        <f>'mk 001 10.3'!AZ16</f>
        <v>N</v>
      </c>
      <c r="BA15" s="22">
        <f>'mk 001 10.3'!BA16</f>
        <v>9044989472405</v>
      </c>
      <c r="BB15">
        <f>'mk 001 10.3'!BB16</f>
        <v>0</v>
      </c>
      <c r="BC15">
        <f>'mk 001 10.3'!BC16</f>
        <v>0</v>
      </c>
      <c r="BD15">
        <f>'mk 001 10.3'!BD16</f>
        <v>1</v>
      </c>
      <c r="BE15">
        <f>'mk 001 10.3'!BE16</f>
        <v>0</v>
      </c>
      <c r="BF15" t="str">
        <f>'mk 001 10.3'!BF16</f>
        <v>;0000</v>
      </c>
      <c r="BG15">
        <f>'mk 001 10.3'!BG16</f>
        <v>1333314600</v>
      </c>
      <c r="BH15" t="str">
        <f>'mk 001 10.3'!BH16</f>
        <v>G</v>
      </c>
      <c r="BI15">
        <f>'mk 001 10.3'!BI16</f>
        <v>30</v>
      </c>
      <c r="BJ15">
        <f>'mk 001 10.3'!BJ16</f>
        <v>30</v>
      </c>
      <c r="BK15">
        <f>'mk 001 10.3'!BK16</f>
        <v>0</v>
      </c>
      <c r="BL15" t="str">
        <f>'mk 001 10.3'!BL16</f>
        <v>SYSBATCH</v>
      </c>
      <c r="BM15">
        <f>'mk 001 10.3'!BM16</f>
        <v>0</v>
      </c>
      <c r="BN15">
        <f>'mk 001 10.3'!BN16</f>
        <v>0</v>
      </c>
    </row>
    <row r="16" spans="1:66" x14ac:dyDescent="0.35">
      <c r="A16">
        <f>'mk 001 10.3'!A17</f>
        <v>0</v>
      </c>
      <c r="B16">
        <f>'mk 001 10.3'!B17</f>
        <v>0</v>
      </c>
      <c r="C16" s="1" t="str">
        <f>'mk 001 10.3'!C17</f>
        <v>14/5/2569</v>
      </c>
      <c r="D16" s="1" t="str">
        <f>'mk 001 10.3'!D17</f>
        <v>14/5/2569</v>
      </c>
      <c r="E16">
        <f>'mk 001 10.3'!E17</f>
        <v>0</v>
      </c>
      <c r="F16" t="str">
        <f>'mk 001 10.3'!F17</f>
        <v>489M</v>
      </c>
      <c r="G16" t="str">
        <f>'mk 001 10.3'!G17</f>
        <v>Modern Trade (Makro)</v>
      </c>
      <c r="H16">
        <f>'mk 001 10.3'!H17</f>
        <v>0</v>
      </c>
      <c r="I16" t="str">
        <f>'mk 001 10.3'!I17</f>
        <v>หน่วยงานกลาง</v>
      </c>
      <c r="J16" t="str">
        <f>'mk 001 10.3'!J17</f>
        <v>F213  DMCW-รชล-พระพุทธบาท</v>
      </c>
      <c r="K16" t="str">
        <f>'mk 001 10.3'!K17</f>
        <v>00000  หน่วยงานกลาง</v>
      </c>
      <c r="L16">
        <f>'mk 001 10.3'!L17</f>
        <v>923</v>
      </c>
      <c r="M16">
        <f>'mk 001 10.3'!M17</f>
        <v>0</v>
      </c>
      <c r="N16" t="str">
        <f>'mk 001 10.3'!N17</f>
        <v>1A53017200</v>
      </c>
      <c r="O16" t="str">
        <f>'mk 001 10.3'!O17</f>
        <v>บมจ. ซีพี แอ็กซ์ตร้า สาขาชัยนาท</v>
      </c>
      <c r="P16">
        <f>'mk 001 10.3'!P17</f>
        <v>2</v>
      </c>
      <c r="Q16" t="str">
        <f>'mk 001 10.3'!Q17</f>
        <v>MAKRO 0164 สาขาชัยนาท</v>
      </c>
      <c r="R16" s="1">
        <f>'mk 001 10.3'!R17</f>
        <v>244566</v>
      </c>
      <c r="S16" s="1" t="str">
        <f>'mk 001 10.3'!S17</f>
        <v>14/5/2569</v>
      </c>
      <c r="T16" t="str">
        <f>'mk 001 10.3'!T17</f>
        <v>H6954RMA0058184</v>
      </c>
      <c r="U16">
        <f>'mk 001 10.3'!U17</f>
        <v>23105753</v>
      </c>
      <c r="V16" t="str">
        <f>'mk 001 10.3'!V17</f>
        <v>เซพแพ็ค สะโพกหมู กก.ละ</v>
      </c>
      <c r="W16">
        <f>'mk 001 10.3'!W17</f>
        <v>80</v>
      </c>
      <c r="X16">
        <f>'mk 001 10.3'!X17</f>
        <v>80</v>
      </c>
      <c r="Y16">
        <f t="shared" si="0"/>
        <v>80</v>
      </c>
      <c r="Z16" s="13">
        <f>IF(COUNTIFS(แปลงข้อมูล!H:H,Q16,แปลงข้อมูล!I:I,U16,แปลงข้อมูล!J:J,V16)&gt;0,SUMIFS(แปลงข้อมูล!Q:Q,แปลงข้อมูล!I:I,U16,แปลงข้อมูล!H:H,Q16,แปลงข้อมูล!J:J,V16),'mk 001 10.3'!Z17)</f>
        <v>80</v>
      </c>
      <c r="AA16">
        <f>'mk 001 10.3'!AA17</f>
        <v>0</v>
      </c>
      <c r="AB16">
        <f>'mk 001 10.3'!AB17</f>
        <v>0</v>
      </c>
      <c r="AC16">
        <f>'mk 001 10.3'!AC17</f>
        <v>0</v>
      </c>
      <c r="AD16">
        <f>'mk 001 10.3'!AD17</f>
        <v>0</v>
      </c>
      <c r="AE16">
        <f>'mk 001 10.3'!AE17</f>
        <v>80</v>
      </c>
      <c r="AF16">
        <f>'mk 001 10.3'!AF17</f>
        <v>80</v>
      </c>
      <c r="AG16">
        <f>'mk 001 10.3'!AG17</f>
        <v>0</v>
      </c>
      <c r="AH16">
        <f>'mk 001 10.3'!AH17</f>
        <v>0</v>
      </c>
      <c r="AI16" t="str">
        <f>'mk 001 10.3'!AI17</f>
        <v>OPRCD489MOPRCD00000OPRCDF213OPRCD00000OPRCD923</v>
      </c>
      <c r="AJ16" t="str">
        <f>'mk 001 10.3'!AJ17</f>
        <v>ซื้อ / ขาย</v>
      </c>
      <c r="AK16" t="str">
        <f>'mk 001 10.3'!AK17</f>
        <v>Main proudct</v>
      </c>
      <c r="AL16" t="str">
        <f>'mk 001 10.3'!AL17</f>
        <v>Bulk Normal</v>
      </c>
      <c r="AM16" t="str">
        <f>'mk 001 10.3'!AM17</f>
        <v>สุกร</v>
      </c>
      <c r="AN16" t="str">
        <f>'mk 001 10.3'!AN17</f>
        <v>MT2001 SUPER MK.-Makro</v>
      </c>
      <c r="AO16" t="str">
        <f>'mk 001 10.3'!AO17</f>
        <v>MT</v>
      </c>
      <c r="AP16">
        <f>'mk 001 10.3'!AP17</f>
        <v>20</v>
      </c>
      <c r="AQ16">
        <f>'mk 001 10.3'!AQ17</f>
        <v>1</v>
      </c>
      <c r="AR16">
        <f>'mk 001 10.3'!AR17</f>
        <v>0</v>
      </c>
      <c r="AS16">
        <f>'mk 001 10.3'!AS17</f>
        <v>0</v>
      </c>
      <c r="AT16" t="str">
        <f>'mk 001 10.3'!AT17</f>
        <v>เบญจพจน์ เพชรเหลี่ยม</v>
      </c>
      <c r="AU16" t="str">
        <f>'mk 001 10.3'!AU17</f>
        <v>2026-05-08-13.09.12.000000</v>
      </c>
      <c r="AV16" t="str">
        <f>'mk 001 10.3'!AV17</f>
        <v>ก.ก.</v>
      </c>
      <c r="AW16" t="str">
        <f>'mk 001 10.3'!AW17</f>
        <v>ก.ก.</v>
      </c>
      <c r="AX16" t="str">
        <f>'mk 001 10.3'!AX17</f>
        <v xml:space="preserve"> </v>
      </c>
      <c r="AY16">
        <f>'mk 001 10.3'!AY17</f>
        <v>0</v>
      </c>
      <c r="AZ16" t="str">
        <f>'mk 001 10.3'!AZ17</f>
        <v>N</v>
      </c>
      <c r="BA16" s="22">
        <f>'mk 001 10.3'!BA17</f>
        <v>9044989472405</v>
      </c>
      <c r="BB16">
        <f>'mk 001 10.3'!BB17</f>
        <v>0</v>
      </c>
      <c r="BC16">
        <f>'mk 001 10.3'!BC17</f>
        <v>0</v>
      </c>
      <c r="BD16">
        <f>'mk 001 10.3'!BD17</f>
        <v>1</v>
      </c>
      <c r="BE16">
        <f>'mk 001 10.3'!BE17</f>
        <v>0</v>
      </c>
      <c r="BF16" t="str">
        <f>'mk 001 10.3'!BF17</f>
        <v>;0000</v>
      </c>
      <c r="BG16">
        <f>'mk 001 10.3'!BG17</f>
        <v>1333314600</v>
      </c>
      <c r="BH16" t="str">
        <f>'mk 001 10.3'!BH17</f>
        <v>G</v>
      </c>
      <c r="BI16">
        <f>'mk 001 10.3'!BI17</f>
        <v>80</v>
      </c>
      <c r="BJ16">
        <f>'mk 001 10.3'!BJ17</f>
        <v>80</v>
      </c>
      <c r="BK16">
        <f>'mk 001 10.3'!BK17</f>
        <v>0</v>
      </c>
      <c r="BL16" t="str">
        <f>'mk 001 10.3'!BL17</f>
        <v>SYSBATCH</v>
      </c>
      <c r="BM16">
        <f>'mk 001 10.3'!BM17</f>
        <v>0</v>
      </c>
      <c r="BN16">
        <f>'mk 001 10.3'!BN17</f>
        <v>0</v>
      </c>
    </row>
    <row r="17" spans="1:66" x14ac:dyDescent="0.35">
      <c r="A17">
        <f>'mk 001 10.3'!A18</f>
        <v>0</v>
      </c>
      <c r="B17">
        <f>'mk 001 10.3'!B18</f>
        <v>0</v>
      </c>
      <c r="C17" s="1" t="str">
        <f>'mk 001 10.3'!C18</f>
        <v>14/5/2569</v>
      </c>
      <c r="D17" s="1" t="str">
        <f>'mk 001 10.3'!D18</f>
        <v>14/5/2569</v>
      </c>
      <c r="E17">
        <f>'mk 001 10.3'!E18</f>
        <v>0</v>
      </c>
      <c r="F17" t="str">
        <f>'mk 001 10.3'!F18</f>
        <v>489M</v>
      </c>
      <c r="G17" t="str">
        <f>'mk 001 10.3'!G18</f>
        <v>Modern Trade (Makro)</v>
      </c>
      <c r="H17">
        <f>'mk 001 10.3'!H18</f>
        <v>0</v>
      </c>
      <c r="I17" t="str">
        <f>'mk 001 10.3'!I18</f>
        <v>หน่วยงานกลาง</v>
      </c>
      <c r="J17" t="str">
        <f>'mk 001 10.3'!J18</f>
        <v>F213  DMCW-รชล-พระพุทธบาท</v>
      </c>
      <c r="K17" t="str">
        <f>'mk 001 10.3'!K18</f>
        <v>00000  หน่วยงานกลาง</v>
      </c>
      <c r="L17">
        <f>'mk 001 10.3'!L18</f>
        <v>923</v>
      </c>
      <c r="M17">
        <f>'mk 001 10.3'!M18</f>
        <v>0</v>
      </c>
      <c r="N17" t="str">
        <f>'mk 001 10.3'!N18</f>
        <v>1A53017200</v>
      </c>
      <c r="O17" t="str">
        <f>'mk 001 10.3'!O18</f>
        <v>บมจ. ซีพี แอ็กซ์ตร้า สาขาชัยนาท</v>
      </c>
      <c r="P17">
        <f>'mk 001 10.3'!P18</f>
        <v>2</v>
      </c>
      <c r="Q17" t="str">
        <f>'mk 001 10.3'!Q18</f>
        <v>MAKRO 0164 สาขาชัยนาท</v>
      </c>
      <c r="R17" s="1">
        <f>'mk 001 10.3'!R18</f>
        <v>244566</v>
      </c>
      <c r="S17" s="1" t="str">
        <f>'mk 001 10.3'!S18</f>
        <v>14/5/2569</v>
      </c>
      <c r="T17" t="str">
        <f>'mk 001 10.3'!T18</f>
        <v>H6954RMA0058184</v>
      </c>
      <c r="U17">
        <f>'mk 001 10.3'!U18</f>
        <v>23058584</v>
      </c>
      <c r="V17" t="str">
        <f>'mk 001 10.3'!V18</f>
        <v>ตับหมู (M)</v>
      </c>
      <c r="W17">
        <f>'mk 001 10.3'!W18</f>
        <v>20</v>
      </c>
      <c r="X17">
        <f>'mk 001 10.3'!X18</f>
        <v>20</v>
      </c>
      <c r="Y17">
        <f t="shared" si="0"/>
        <v>20</v>
      </c>
      <c r="Z17" s="13">
        <f>IF(COUNTIFS(แปลงข้อมูล!H:H,Q17,แปลงข้อมูล!I:I,U17,แปลงข้อมูล!J:J,V17)&gt;0,SUMIFS(แปลงข้อมูล!Q:Q,แปลงข้อมูล!I:I,U17,แปลงข้อมูล!H:H,Q17,แปลงข้อมูล!J:J,V17),'mk 001 10.3'!Z18)</f>
        <v>20</v>
      </c>
      <c r="AA17">
        <f>'mk 001 10.3'!AA18</f>
        <v>0</v>
      </c>
      <c r="AB17">
        <f>'mk 001 10.3'!AB18</f>
        <v>0</v>
      </c>
      <c r="AC17">
        <f>'mk 001 10.3'!AC18</f>
        <v>0</v>
      </c>
      <c r="AD17">
        <f>'mk 001 10.3'!AD18</f>
        <v>0</v>
      </c>
      <c r="AE17">
        <f>'mk 001 10.3'!AE18</f>
        <v>20</v>
      </c>
      <c r="AF17">
        <f>'mk 001 10.3'!AF18</f>
        <v>20</v>
      </c>
      <c r="AG17">
        <f>'mk 001 10.3'!AG18</f>
        <v>0</v>
      </c>
      <c r="AH17">
        <f>'mk 001 10.3'!AH18</f>
        <v>0</v>
      </c>
      <c r="AI17" t="str">
        <f>'mk 001 10.3'!AI18</f>
        <v>OPRCD489MOPRCD00000OPRCDF213OPRCD00000OPRCD923</v>
      </c>
      <c r="AJ17" t="str">
        <f>'mk 001 10.3'!AJ18</f>
        <v>ซื้อ / ขาย</v>
      </c>
      <c r="AK17" t="str">
        <f>'mk 001 10.3'!AK18</f>
        <v>By proudct</v>
      </c>
      <c r="AL17" t="str">
        <f>'mk 001 10.3'!AL18</f>
        <v>Bulk Normal</v>
      </c>
      <c r="AM17" t="str">
        <f>'mk 001 10.3'!AM18</f>
        <v>สุกร</v>
      </c>
      <c r="AN17" t="str">
        <f>'mk 001 10.3'!AN18</f>
        <v>MT2001 SUPER MK.-Makro</v>
      </c>
      <c r="AO17" t="str">
        <f>'mk 001 10.3'!AO18</f>
        <v>MT</v>
      </c>
      <c r="AP17">
        <f>'mk 001 10.3'!AP18</f>
        <v>20</v>
      </c>
      <c r="AQ17">
        <f>'mk 001 10.3'!AQ18</f>
        <v>1</v>
      </c>
      <c r="AR17">
        <f>'mk 001 10.3'!AR18</f>
        <v>0</v>
      </c>
      <c r="AS17">
        <f>'mk 001 10.3'!AS18</f>
        <v>0</v>
      </c>
      <c r="AT17" t="str">
        <f>'mk 001 10.3'!AT18</f>
        <v>เบญจพจน์ เพชรเหลี่ยม</v>
      </c>
      <c r="AU17" t="str">
        <f>'mk 001 10.3'!AU18</f>
        <v>2026-05-08-13.09.12.000000</v>
      </c>
      <c r="AV17" t="str">
        <f>'mk 001 10.3'!AV18</f>
        <v>ก.ก.</v>
      </c>
      <c r="AW17" t="str">
        <f>'mk 001 10.3'!AW18</f>
        <v>ก.ก.</v>
      </c>
      <c r="AX17" t="str">
        <f>'mk 001 10.3'!AX18</f>
        <v xml:space="preserve"> </v>
      </c>
      <c r="AY17">
        <f>'mk 001 10.3'!AY18</f>
        <v>0</v>
      </c>
      <c r="AZ17" t="str">
        <f>'mk 001 10.3'!AZ18</f>
        <v>N</v>
      </c>
      <c r="BA17" s="22">
        <f>'mk 001 10.3'!BA18</f>
        <v>9044989472405</v>
      </c>
      <c r="BB17">
        <f>'mk 001 10.3'!BB18</f>
        <v>0</v>
      </c>
      <c r="BC17">
        <f>'mk 001 10.3'!BC18</f>
        <v>0</v>
      </c>
      <c r="BD17">
        <f>'mk 001 10.3'!BD18</f>
        <v>1</v>
      </c>
      <c r="BE17">
        <f>'mk 001 10.3'!BE18</f>
        <v>0</v>
      </c>
      <c r="BF17" t="str">
        <f>'mk 001 10.3'!BF18</f>
        <v>;0000</v>
      </c>
      <c r="BG17">
        <f>'mk 001 10.3'!BG18</f>
        <v>1333314600</v>
      </c>
      <c r="BH17" t="str">
        <f>'mk 001 10.3'!BH18</f>
        <v>G</v>
      </c>
      <c r="BI17">
        <f>'mk 001 10.3'!BI18</f>
        <v>20</v>
      </c>
      <c r="BJ17">
        <f>'mk 001 10.3'!BJ18</f>
        <v>20</v>
      </c>
      <c r="BK17">
        <f>'mk 001 10.3'!BK18</f>
        <v>0</v>
      </c>
      <c r="BL17" t="str">
        <f>'mk 001 10.3'!BL18</f>
        <v>SYSBATCH</v>
      </c>
      <c r="BM17">
        <f>'mk 001 10.3'!BM18</f>
        <v>0</v>
      </c>
      <c r="BN17">
        <f>'mk 001 10.3'!BN18</f>
        <v>0</v>
      </c>
    </row>
    <row r="18" spans="1:66" x14ac:dyDescent="0.35">
      <c r="A18">
        <f>'mk 001 10.3'!A19</f>
        <v>0</v>
      </c>
      <c r="B18">
        <f>'mk 001 10.3'!B19</f>
        <v>0</v>
      </c>
      <c r="C18" s="1" t="str">
        <f>'mk 001 10.3'!C19</f>
        <v>14/5/2569</v>
      </c>
      <c r="D18" s="1" t="str">
        <f>'mk 001 10.3'!D19</f>
        <v>14/5/2569</v>
      </c>
      <c r="E18">
        <f>'mk 001 10.3'!E19</f>
        <v>0</v>
      </c>
      <c r="F18" t="str">
        <f>'mk 001 10.3'!F19</f>
        <v>489M</v>
      </c>
      <c r="G18" t="str">
        <f>'mk 001 10.3'!G19</f>
        <v>Modern Trade (Makro)</v>
      </c>
      <c r="H18">
        <f>'mk 001 10.3'!H19</f>
        <v>0</v>
      </c>
      <c r="I18" t="str">
        <f>'mk 001 10.3'!I19</f>
        <v>หน่วยงานกลาง</v>
      </c>
      <c r="J18" t="str">
        <f>'mk 001 10.3'!J19</f>
        <v>F213  DMCW-รชล-พระพุทธบาท</v>
      </c>
      <c r="K18" t="str">
        <f>'mk 001 10.3'!K19</f>
        <v>00000  หน่วยงานกลาง</v>
      </c>
      <c r="L18">
        <f>'mk 001 10.3'!L19</f>
        <v>923</v>
      </c>
      <c r="M18">
        <f>'mk 001 10.3'!M19</f>
        <v>0</v>
      </c>
      <c r="N18" t="str">
        <f>'mk 001 10.3'!N19</f>
        <v>1A53017200</v>
      </c>
      <c r="O18" t="str">
        <f>'mk 001 10.3'!O19</f>
        <v>บมจ. ซีพี แอ็กซ์ตร้า สาขาชัยนาท</v>
      </c>
      <c r="P18">
        <f>'mk 001 10.3'!P19</f>
        <v>2</v>
      </c>
      <c r="Q18" t="str">
        <f>'mk 001 10.3'!Q19</f>
        <v>MAKRO 0164 สาขาชัยนาท</v>
      </c>
      <c r="R18" s="1">
        <f>'mk 001 10.3'!R19</f>
        <v>244566</v>
      </c>
      <c r="S18" s="1" t="str">
        <f>'mk 001 10.3'!S19</f>
        <v>14/5/2569</v>
      </c>
      <c r="T18" t="str">
        <f>'mk 001 10.3'!T19</f>
        <v>H6954RMA0058184</v>
      </c>
      <c r="U18">
        <f>'mk 001 10.3'!U19</f>
        <v>23000206</v>
      </c>
      <c r="V18" t="str">
        <f>'mk 001 10.3'!V19</f>
        <v>ชิ้นมันคอ</v>
      </c>
      <c r="W18">
        <f>'mk 001 10.3'!W19</f>
        <v>5</v>
      </c>
      <c r="X18">
        <f>'mk 001 10.3'!X19</f>
        <v>5</v>
      </c>
      <c r="Y18">
        <f t="shared" si="0"/>
        <v>5</v>
      </c>
      <c r="Z18" s="13">
        <f>IF(COUNTIFS(แปลงข้อมูล!H:H,Q18,แปลงข้อมูล!I:I,U18,แปลงข้อมูล!J:J,V18)&gt;0,SUMIFS(แปลงข้อมูล!Q:Q,แปลงข้อมูล!I:I,U18,แปลงข้อมูล!H:H,Q18,แปลงข้อมูล!J:J,V18),'mk 001 10.3'!Z19)</f>
        <v>5</v>
      </c>
      <c r="AA18">
        <f>'mk 001 10.3'!AA19</f>
        <v>0</v>
      </c>
      <c r="AB18">
        <f>'mk 001 10.3'!AB19</f>
        <v>0</v>
      </c>
      <c r="AC18">
        <f>'mk 001 10.3'!AC19</f>
        <v>0</v>
      </c>
      <c r="AD18">
        <f>'mk 001 10.3'!AD19</f>
        <v>0</v>
      </c>
      <c r="AE18">
        <f>'mk 001 10.3'!AE19</f>
        <v>5</v>
      </c>
      <c r="AF18">
        <f>'mk 001 10.3'!AF19</f>
        <v>5</v>
      </c>
      <c r="AG18">
        <f>'mk 001 10.3'!AG19</f>
        <v>0</v>
      </c>
      <c r="AH18">
        <f>'mk 001 10.3'!AH19</f>
        <v>0</v>
      </c>
      <c r="AI18" t="str">
        <f>'mk 001 10.3'!AI19</f>
        <v>OPRCD489MOPRCD00000OPRCDF213OPRCD00000OPRCD923</v>
      </c>
      <c r="AJ18" t="str">
        <f>'mk 001 10.3'!AJ19</f>
        <v>ซื้อ / ขาย</v>
      </c>
      <c r="AK18" t="str">
        <f>'mk 001 10.3'!AK19</f>
        <v>By proudct</v>
      </c>
      <c r="AL18" t="str">
        <f>'mk 001 10.3'!AL19</f>
        <v>Bulk Normal</v>
      </c>
      <c r="AM18" t="str">
        <f>'mk 001 10.3'!AM19</f>
        <v>สุกร</v>
      </c>
      <c r="AN18" t="str">
        <f>'mk 001 10.3'!AN19</f>
        <v>MT2001 SUPER MK.-Makro</v>
      </c>
      <c r="AO18" t="str">
        <f>'mk 001 10.3'!AO19</f>
        <v>MT</v>
      </c>
      <c r="AP18">
        <f>'mk 001 10.3'!AP19</f>
        <v>20</v>
      </c>
      <c r="AQ18">
        <f>'mk 001 10.3'!AQ19</f>
        <v>1</v>
      </c>
      <c r="AR18">
        <f>'mk 001 10.3'!AR19</f>
        <v>0</v>
      </c>
      <c r="AS18">
        <f>'mk 001 10.3'!AS19</f>
        <v>0</v>
      </c>
      <c r="AT18" t="str">
        <f>'mk 001 10.3'!AT19</f>
        <v>เบญจพจน์ เพชรเหลี่ยม</v>
      </c>
      <c r="AU18" t="str">
        <f>'mk 001 10.3'!AU19</f>
        <v>2026-05-08-13.09.12.000000</v>
      </c>
      <c r="AV18" t="str">
        <f>'mk 001 10.3'!AV19</f>
        <v>ก.ก.</v>
      </c>
      <c r="AW18" t="str">
        <f>'mk 001 10.3'!AW19</f>
        <v>ก.ก.</v>
      </c>
      <c r="AX18" t="str">
        <f>'mk 001 10.3'!AX19</f>
        <v xml:space="preserve"> </v>
      </c>
      <c r="AY18">
        <f>'mk 001 10.3'!AY19</f>
        <v>0</v>
      </c>
      <c r="AZ18" t="str">
        <f>'mk 001 10.3'!AZ19</f>
        <v>N</v>
      </c>
      <c r="BA18" s="22">
        <f>'mk 001 10.3'!BA19</f>
        <v>9044989472405</v>
      </c>
      <c r="BB18">
        <f>'mk 001 10.3'!BB19</f>
        <v>0</v>
      </c>
      <c r="BC18">
        <f>'mk 001 10.3'!BC19</f>
        <v>0</v>
      </c>
      <c r="BD18">
        <f>'mk 001 10.3'!BD19</f>
        <v>1</v>
      </c>
      <c r="BE18">
        <f>'mk 001 10.3'!BE19</f>
        <v>0</v>
      </c>
      <c r="BF18" t="str">
        <f>'mk 001 10.3'!BF19</f>
        <v>;0000</v>
      </c>
      <c r="BG18">
        <f>'mk 001 10.3'!BG19</f>
        <v>1333314600</v>
      </c>
      <c r="BH18" t="str">
        <f>'mk 001 10.3'!BH19</f>
        <v>G</v>
      </c>
      <c r="BI18">
        <f>'mk 001 10.3'!BI19</f>
        <v>5</v>
      </c>
      <c r="BJ18">
        <f>'mk 001 10.3'!BJ19</f>
        <v>5</v>
      </c>
      <c r="BK18">
        <f>'mk 001 10.3'!BK19</f>
        <v>0</v>
      </c>
      <c r="BL18" t="str">
        <f>'mk 001 10.3'!BL19</f>
        <v>SYSBATCH</v>
      </c>
      <c r="BM18">
        <f>'mk 001 10.3'!BM19</f>
        <v>0</v>
      </c>
      <c r="BN18">
        <f>'mk 001 10.3'!BN19</f>
        <v>0</v>
      </c>
    </row>
    <row r="19" spans="1:66" x14ac:dyDescent="0.35">
      <c r="A19">
        <f>'mk 001 10.3'!A20</f>
        <v>0</v>
      </c>
      <c r="B19">
        <f>'mk 001 10.3'!B20</f>
        <v>0</v>
      </c>
      <c r="C19" s="1" t="str">
        <f>'mk 001 10.3'!C20</f>
        <v>14/5/2569</v>
      </c>
      <c r="D19" s="1" t="str">
        <f>'mk 001 10.3'!D20</f>
        <v>14/5/2569</v>
      </c>
      <c r="E19">
        <f>'mk 001 10.3'!E20</f>
        <v>0</v>
      </c>
      <c r="F19" t="str">
        <f>'mk 001 10.3'!F20</f>
        <v>489M</v>
      </c>
      <c r="G19" t="str">
        <f>'mk 001 10.3'!G20</f>
        <v>Modern Trade (Makro)</v>
      </c>
      <c r="H19">
        <f>'mk 001 10.3'!H20</f>
        <v>0</v>
      </c>
      <c r="I19" t="str">
        <f>'mk 001 10.3'!I20</f>
        <v>หน่วยงานกลาง</v>
      </c>
      <c r="J19" t="str">
        <f>'mk 001 10.3'!J20</f>
        <v>F213  DMCW-รชล-พระพุทธบาท</v>
      </c>
      <c r="K19" t="str">
        <f>'mk 001 10.3'!K20</f>
        <v>00000  หน่วยงานกลาง</v>
      </c>
      <c r="L19">
        <f>'mk 001 10.3'!L20</f>
        <v>923</v>
      </c>
      <c r="M19">
        <f>'mk 001 10.3'!M20</f>
        <v>0</v>
      </c>
      <c r="N19" t="str">
        <f>'mk 001 10.3'!N20</f>
        <v>1A53017200</v>
      </c>
      <c r="O19" t="str">
        <f>'mk 001 10.3'!O20</f>
        <v>บมจ. ซีพี แอ็กซ์ตร้า สาขาชัยนาท</v>
      </c>
      <c r="P19">
        <f>'mk 001 10.3'!P20</f>
        <v>2</v>
      </c>
      <c r="Q19" t="str">
        <f>'mk 001 10.3'!Q20</f>
        <v>MAKRO 0164 สาขาชัยนาท</v>
      </c>
      <c r="R19" s="1">
        <f>'mk 001 10.3'!R20</f>
        <v>244566</v>
      </c>
      <c r="S19" s="1" t="str">
        <f>'mk 001 10.3'!S20</f>
        <v>14/5/2569</v>
      </c>
      <c r="T19" t="str">
        <f>'mk 001 10.3'!T20</f>
        <v>H6954RMA0058184</v>
      </c>
      <c r="U19">
        <f>'mk 001 10.3'!U20</f>
        <v>23057824</v>
      </c>
      <c r="V19" t="str">
        <f>'mk 001 10.3'!V20</f>
        <v>สามชั้น(M)</v>
      </c>
      <c r="W19">
        <f>'mk 001 10.3'!W20</f>
        <v>80</v>
      </c>
      <c r="X19">
        <f>'mk 001 10.3'!X20</f>
        <v>80</v>
      </c>
      <c r="Y19">
        <f t="shared" si="0"/>
        <v>80</v>
      </c>
      <c r="Z19" s="13">
        <f>IF(COUNTIFS(แปลงข้อมูล!H:H,Q19,แปลงข้อมูล!I:I,U19,แปลงข้อมูล!J:J,V19)&gt;0,SUMIFS(แปลงข้อมูล!Q:Q,แปลงข้อมูล!I:I,U19,แปลงข้อมูล!H:H,Q19,แปลงข้อมูล!J:J,V19),'mk 001 10.3'!Z20)</f>
        <v>80</v>
      </c>
      <c r="AA19">
        <f>'mk 001 10.3'!AA20</f>
        <v>0</v>
      </c>
      <c r="AB19">
        <f>'mk 001 10.3'!AB20</f>
        <v>0</v>
      </c>
      <c r="AC19">
        <f>'mk 001 10.3'!AC20</f>
        <v>0</v>
      </c>
      <c r="AD19">
        <f>'mk 001 10.3'!AD20</f>
        <v>0</v>
      </c>
      <c r="AE19">
        <f>'mk 001 10.3'!AE20</f>
        <v>80</v>
      </c>
      <c r="AF19">
        <f>'mk 001 10.3'!AF20</f>
        <v>80</v>
      </c>
      <c r="AG19">
        <f>'mk 001 10.3'!AG20</f>
        <v>0</v>
      </c>
      <c r="AH19">
        <f>'mk 001 10.3'!AH20</f>
        <v>0</v>
      </c>
      <c r="AI19" t="str">
        <f>'mk 001 10.3'!AI20</f>
        <v>OPRCD489MOPRCD00000OPRCDF213OPRCD00000OPRCD923</v>
      </c>
      <c r="AJ19" t="str">
        <f>'mk 001 10.3'!AJ20</f>
        <v>ซื้อ / ขาย</v>
      </c>
      <c r="AK19" t="str">
        <f>'mk 001 10.3'!AK20</f>
        <v>Main proudct</v>
      </c>
      <c r="AL19" t="str">
        <f>'mk 001 10.3'!AL20</f>
        <v>Bulk Normal</v>
      </c>
      <c r="AM19" t="str">
        <f>'mk 001 10.3'!AM20</f>
        <v>สุกร</v>
      </c>
      <c r="AN19" t="str">
        <f>'mk 001 10.3'!AN20</f>
        <v>MT2001 SUPER MK.-Makro</v>
      </c>
      <c r="AO19" t="str">
        <f>'mk 001 10.3'!AO20</f>
        <v>MT</v>
      </c>
      <c r="AP19">
        <f>'mk 001 10.3'!AP20</f>
        <v>20</v>
      </c>
      <c r="AQ19">
        <f>'mk 001 10.3'!AQ20</f>
        <v>1</v>
      </c>
      <c r="AR19">
        <f>'mk 001 10.3'!AR20</f>
        <v>0</v>
      </c>
      <c r="AS19">
        <f>'mk 001 10.3'!AS20</f>
        <v>0</v>
      </c>
      <c r="AT19" t="str">
        <f>'mk 001 10.3'!AT20</f>
        <v>เบญจพจน์ เพชรเหลี่ยม</v>
      </c>
      <c r="AU19" t="str">
        <f>'mk 001 10.3'!AU20</f>
        <v>2026-05-08-13.09.12.000000</v>
      </c>
      <c r="AV19" t="str">
        <f>'mk 001 10.3'!AV20</f>
        <v>ก.ก.</v>
      </c>
      <c r="AW19" t="str">
        <f>'mk 001 10.3'!AW20</f>
        <v>ก.ก.</v>
      </c>
      <c r="AX19" t="str">
        <f>'mk 001 10.3'!AX20</f>
        <v xml:space="preserve"> </v>
      </c>
      <c r="AY19">
        <f>'mk 001 10.3'!AY20</f>
        <v>0</v>
      </c>
      <c r="AZ19" t="str">
        <f>'mk 001 10.3'!AZ20</f>
        <v>N</v>
      </c>
      <c r="BA19" s="22">
        <f>'mk 001 10.3'!BA20</f>
        <v>9044989472405</v>
      </c>
      <c r="BB19">
        <f>'mk 001 10.3'!BB20</f>
        <v>0</v>
      </c>
      <c r="BC19">
        <f>'mk 001 10.3'!BC20</f>
        <v>0</v>
      </c>
      <c r="BD19">
        <f>'mk 001 10.3'!BD20</f>
        <v>1</v>
      </c>
      <c r="BE19">
        <f>'mk 001 10.3'!BE20</f>
        <v>0</v>
      </c>
      <c r="BF19" t="str">
        <f>'mk 001 10.3'!BF20</f>
        <v>;0000</v>
      </c>
      <c r="BG19">
        <f>'mk 001 10.3'!BG20</f>
        <v>1333314600</v>
      </c>
      <c r="BH19" t="str">
        <f>'mk 001 10.3'!BH20</f>
        <v>G</v>
      </c>
      <c r="BI19">
        <f>'mk 001 10.3'!BI20</f>
        <v>80</v>
      </c>
      <c r="BJ19">
        <f>'mk 001 10.3'!BJ20</f>
        <v>80</v>
      </c>
      <c r="BK19">
        <f>'mk 001 10.3'!BK20</f>
        <v>0</v>
      </c>
      <c r="BL19" t="str">
        <f>'mk 001 10.3'!BL20</f>
        <v>SYSBATCH</v>
      </c>
      <c r="BM19">
        <f>'mk 001 10.3'!BM20</f>
        <v>0</v>
      </c>
      <c r="BN19">
        <f>'mk 001 10.3'!BN20</f>
        <v>0</v>
      </c>
    </row>
    <row r="20" spans="1:66" x14ac:dyDescent="0.35">
      <c r="A20">
        <f>'mk 001 10.3'!A21</f>
        <v>0</v>
      </c>
      <c r="B20">
        <f>'mk 001 10.3'!B21</f>
        <v>0</v>
      </c>
      <c r="C20" s="1" t="str">
        <f>'mk 001 10.3'!C21</f>
        <v>14/5/2569</v>
      </c>
      <c r="D20" s="1" t="str">
        <f>'mk 001 10.3'!D21</f>
        <v>14/5/2569</v>
      </c>
      <c r="E20">
        <f>'mk 001 10.3'!E21</f>
        <v>0</v>
      </c>
      <c r="F20" t="str">
        <f>'mk 001 10.3'!F21</f>
        <v>489M</v>
      </c>
      <c r="G20" t="str">
        <f>'mk 001 10.3'!G21</f>
        <v>Modern Trade (Makro)</v>
      </c>
      <c r="H20">
        <f>'mk 001 10.3'!H21</f>
        <v>0</v>
      </c>
      <c r="I20" t="str">
        <f>'mk 001 10.3'!I21</f>
        <v>หน่วยงานกลาง</v>
      </c>
      <c r="J20" t="str">
        <f>'mk 001 10.3'!J21</f>
        <v>F213  DMCW-รชล-พระพุทธบาท</v>
      </c>
      <c r="K20" t="str">
        <f>'mk 001 10.3'!K21</f>
        <v>00000  หน่วยงานกลาง</v>
      </c>
      <c r="L20">
        <f>'mk 001 10.3'!L21</f>
        <v>923</v>
      </c>
      <c r="M20">
        <f>'mk 001 10.3'!M21</f>
        <v>0</v>
      </c>
      <c r="N20" t="str">
        <f>'mk 001 10.3'!N21</f>
        <v>1A53017200</v>
      </c>
      <c r="O20" t="str">
        <f>'mk 001 10.3'!O21</f>
        <v>บมจ. ซีพี แอ็กซ์ตร้า สาขาชัยนาท</v>
      </c>
      <c r="P20">
        <f>'mk 001 10.3'!P21</f>
        <v>2</v>
      </c>
      <c r="Q20" t="str">
        <f>'mk 001 10.3'!Q21</f>
        <v>MAKRO 0164 สาขาชัยนาท</v>
      </c>
      <c r="R20" s="1">
        <f>'mk 001 10.3'!R21</f>
        <v>244566</v>
      </c>
      <c r="S20" s="1" t="str">
        <f>'mk 001 10.3'!S21</f>
        <v>14/5/2569</v>
      </c>
      <c r="T20" t="str">
        <f>'mk 001 10.3'!T21</f>
        <v>H6954RMA0058184</v>
      </c>
      <c r="U20">
        <f>'mk 001 10.3'!U21</f>
        <v>23058552</v>
      </c>
      <c r="V20" t="str">
        <f>'mk 001 10.3'!V21</f>
        <v>มันสันหลัง (M)</v>
      </c>
      <c r="W20">
        <f>'mk 001 10.3'!W21</f>
        <v>0</v>
      </c>
      <c r="X20">
        <f>'mk 001 10.3'!X21</f>
        <v>0</v>
      </c>
      <c r="Y20">
        <f t="shared" si="0"/>
        <v>0</v>
      </c>
      <c r="Z20" s="13">
        <f>IF(COUNTIFS(แปลงข้อมูล!H:H,Q20,แปลงข้อมูล!I:I,U20,แปลงข้อมูล!J:J,V20)&gt;0,SUMIFS(แปลงข้อมูล!Q:Q,แปลงข้อมูล!I:I,U20,แปลงข้อมูล!H:H,Q20,แปลงข้อมูล!J:J,V20),'mk 001 10.3'!Z21)</f>
        <v>0</v>
      </c>
      <c r="AA20">
        <f>'mk 001 10.3'!AA21</f>
        <v>0</v>
      </c>
      <c r="AB20">
        <f>'mk 001 10.3'!AB21</f>
        <v>0</v>
      </c>
      <c r="AC20">
        <f>'mk 001 10.3'!AC21</f>
        <v>0</v>
      </c>
      <c r="AD20">
        <f>'mk 001 10.3'!AD21</f>
        <v>0</v>
      </c>
      <c r="AE20">
        <f>'mk 001 10.3'!AE21</f>
        <v>0</v>
      </c>
      <c r="AF20">
        <f>'mk 001 10.3'!AF21</f>
        <v>0</v>
      </c>
      <c r="AG20">
        <f>'mk 001 10.3'!AG21</f>
        <v>0</v>
      </c>
      <c r="AH20">
        <f>'mk 001 10.3'!AH21</f>
        <v>0</v>
      </c>
      <c r="AI20" t="str">
        <f>'mk 001 10.3'!AI21</f>
        <v>OPRCD489MOPRCD00000OPRCDF213OPRCD00000OPRCD923</v>
      </c>
      <c r="AJ20" t="str">
        <f>'mk 001 10.3'!AJ21</f>
        <v>ซื้อ / ขาย</v>
      </c>
      <c r="AK20" t="str">
        <f>'mk 001 10.3'!AK21</f>
        <v>By proudct</v>
      </c>
      <c r="AL20" t="str">
        <f>'mk 001 10.3'!AL21</f>
        <v>Bulk Normal</v>
      </c>
      <c r="AM20" t="str">
        <f>'mk 001 10.3'!AM21</f>
        <v>สุกร</v>
      </c>
      <c r="AN20" t="str">
        <f>'mk 001 10.3'!AN21</f>
        <v>MT2001 SUPER MK.-Makro</v>
      </c>
      <c r="AO20" t="str">
        <f>'mk 001 10.3'!AO21</f>
        <v>MT</v>
      </c>
      <c r="AP20">
        <f>'mk 001 10.3'!AP21</f>
        <v>20</v>
      </c>
      <c r="AQ20">
        <f>'mk 001 10.3'!AQ21</f>
        <v>1</v>
      </c>
      <c r="AR20">
        <f>'mk 001 10.3'!AR21</f>
        <v>0</v>
      </c>
      <c r="AS20">
        <f>'mk 001 10.3'!AS21</f>
        <v>0</v>
      </c>
      <c r="AT20" t="str">
        <f>'mk 001 10.3'!AT21</f>
        <v>เบญจพจน์ เพชรเหลี่ยม</v>
      </c>
      <c r="AU20" t="str">
        <f>'mk 001 10.3'!AU21</f>
        <v>2026-05-08-13.09.12.000000</v>
      </c>
      <c r="AV20" t="str">
        <f>'mk 001 10.3'!AV21</f>
        <v>ก.ก.</v>
      </c>
      <c r="AW20" t="str">
        <f>'mk 001 10.3'!AW21</f>
        <v>ก.ก.</v>
      </c>
      <c r="AX20" t="str">
        <f>'mk 001 10.3'!AX21</f>
        <v xml:space="preserve"> </v>
      </c>
      <c r="AY20">
        <f>'mk 001 10.3'!AY21</f>
        <v>0</v>
      </c>
      <c r="AZ20" t="str">
        <f>'mk 001 10.3'!AZ21</f>
        <v>N</v>
      </c>
      <c r="BA20" s="22">
        <f>'mk 001 10.3'!BA21</f>
        <v>9044989472405</v>
      </c>
      <c r="BB20">
        <f>'mk 001 10.3'!BB21</f>
        <v>0</v>
      </c>
      <c r="BC20">
        <f>'mk 001 10.3'!BC21</f>
        <v>0</v>
      </c>
      <c r="BD20">
        <f>'mk 001 10.3'!BD21</f>
        <v>1</v>
      </c>
      <c r="BE20">
        <f>'mk 001 10.3'!BE21</f>
        <v>0</v>
      </c>
      <c r="BF20" t="str">
        <f>'mk 001 10.3'!BF21</f>
        <v>;0000</v>
      </c>
      <c r="BG20">
        <f>'mk 001 10.3'!BG21</f>
        <v>1333314600</v>
      </c>
      <c r="BH20" t="str">
        <f>'mk 001 10.3'!BH21</f>
        <v>G</v>
      </c>
      <c r="BI20">
        <f>'mk 001 10.3'!BI21</f>
        <v>0</v>
      </c>
      <c r="BJ20">
        <f>'mk 001 10.3'!BJ21</f>
        <v>0</v>
      </c>
      <c r="BK20">
        <f>'mk 001 10.3'!BK21</f>
        <v>0</v>
      </c>
      <c r="BL20" t="str">
        <f>'mk 001 10.3'!BL21</f>
        <v>SYSBATCH</v>
      </c>
      <c r="BM20">
        <f>'mk 001 10.3'!BM21</f>
        <v>0</v>
      </c>
      <c r="BN20">
        <f>'mk 001 10.3'!BN21</f>
        <v>0</v>
      </c>
    </row>
    <row r="21" spans="1:66" x14ac:dyDescent="0.35">
      <c r="A21">
        <f>'mk 001 10.3'!A22</f>
        <v>0</v>
      </c>
      <c r="B21">
        <f>'mk 001 10.3'!B22</f>
        <v>0</v>
      </c>
      <c r="C21" s="1" t="str">
        <f>'mk 001 10.3'!C22</f>
        <v>14/5/2569</v>
      </c>
      <c r="D21" s="1" t="str">
        <f>'mk 001 10.3'!D22</f>
        <v>14/5/2569</v>
      </c>
      <c r="E21">
        <f>'mk 001 10.3'!E22</f>
        <v>0</v>
      </c>
      <c r="F21" t="str">
        <f>'mk 001 10.3'!F22</f>
        <v>489M</v>
      </c>
      <c r="G21" t="str">
        <f>'mk 001 10.3'!G22</f>
        <v>Modern Trade (Makro)</v>
      </c>
      <c r="H21">
        <f>'mk 001 10.3'!H22</f>
        <v>0</v>
      </c>
      <c r="I21" t="str">
        <f>'mk 001 10.3'!I22</f>
        <v>หน่วยงานกลาง</v>
      </c>
      <c r="J21" t="str">
        <f>'mk 001 10.3'!J22</f>
        <v>F213  DMCW-รชล-พระพุทธบาท</v>
      </c>
      <c r="K21" t="str">
        <f>'mk 001 10.3'!K22</f>
        <v>00000  หน่วยงานกลาง</v>
      </c>
      <c r="L21">
        <f>'mk 001 10.3'!L22</f>
        <v>923</v>
      </c>
      <c r="M21">
        <f>'mk 001 10.3'!M22</f>
        <v>0</v>
      </c>
      <c r="N21" t="str">
        <f>'mk 001 10.3'!N22</f>
        <v>1A53017200</v>
      </c>
      <c r="O21" t="str">
        <f>'mk 001 10.3'!O22</f>
        <v>บมจ. ซีพี แอ็กซ์ตร้า สาขาชัยนาท</v>
      </c>
      <c r="P21">
        <f>'mk 001 10.3'!P22</f>
        <v>2</v>
      </c>
      <c r="Q21" t="str">
        <f>'mk 001 10.3'!Q22</f>
        <v>MAKRO 0164 สาขาชัยนาท</v>
      </c>
      <c r="R21" s="1">
        <f>'mk 001 10.3'!R22</f>
        <v>244566</v>
      </c>
      <c r="S21" s="1" t="str">
        <f>'mk 001 10.3'!S22</f>
        <v>14/5/2569</v>
      </c>
      <c r="T21" t="str">
        <f>'mk 001 10.3'!T22</f>
        <v>H6954RMA0058184</v>
      </c>
      <c r="U21">
        <f>'mk 001 10.3'!U22</f>
        <v>23066879</v>
      </c>
      <c r="V21" t="str">
        <f>'mk 001 10.3'!V22</f>
        <v>กระดูกอ่อน(M)</v>
      </c>
      <c r="W21">
        <f>'mk 001 10.3'!W22</f>
        <v>10</v>
      </c>
      <c r="X21">
        <f>'mk 001 10.3'!X22</f>
        <v>10</v>
      </c>
      <c r="Y21">
        <f t="shared" si="0"/>
        <v>10</v>
      </c>
      <c r="Z21" s="13">
        <f>IF(COUNTIFS(แปลงข้อมูล!H:H,Q21,แปลงข้อมูล!I:I,U21,แปลงข้อมูล!J:J,V21)&gt;0,SUMIFS(แปลงข้อมูล!Q:Q,แปลงข้อมูล!I:I,U21,แปลงข้อมูล!H:H,Q21,แปลงข้อมูล!J:J,V21),'mk 001 10.3'!Z22)</f>
        <v>10</v>
      </c>
      <c r="AA21">
        <f>'mk 001 10.3'!AA22</f>
        <v>0</v>
      </c>
      <c r="AB21">
        <f>'mk 001 10.3'!AB22</f>
        <v>0</v>
      </c>
      <c r="AC21">
        <f>'mk 001 10.3'!AC22</f>
        <v>0</v>
      </c>
      <c r="AD21">
        <f>'mk 001 10.3'!AD22</f>
        <v>0</v>
      </c>
      <c r="AE21">
        <f>'mk 001 10.3'!AE22</f>
        <v>10</v>
      </c>
      <c r="AF21">
        <f>'mk 001 10.3'!AF22</f>
        <v>10</v>
      </c>
      <c r="AG21">
        <f>'mk 001 10.3'!AG22</f>
        <v>0</v>
      </c>
      <c r="AH21">
        <f>'mk 001 10.3'!AH22</f>
        <v>0</v>
      </c>
      <c r="AI21" t="str">
        <f>'mk 001 10.3'!AI22</f>
        <v>OPRCD489MOPRCD00000OPRCDF213OPRCD00000OPRCD923</v>
      </c>
      <c r="AJ21" t="str">
        <f>'mk 001 10.3'!AJ22</f>
        <v>ซื้อ / ขาย</v>
      </c>
      <c r="AK21" t="str">
        <f>'mk 001 10.3'!AK22</f>
        <v>By proudct</v>
      </c>
      <c r="AL21" t="str">
        <f>'mk 001 10.3'!AL22</f>
        <v>Bulk Normal</v>
      </c>
      <c r="AM21" t="str">
        <f>'mk 001 10.3'!AM22</f>
        <v>สุกร</v>
      </c>
      <c r="AN21" t="str">
        <f>'mk 001 10.3'!AN22</f>
        <v>MT2001 SUPER MK.-Makro</v>
      </c>
      <c r="AO21" t="str">
        <f>'mk 001 10.3'!AO22</f>
        <v>MT</v>
      </c>
      <c r="AP21">
        <f>'mk 001 10.3'!AP22</f>
        <v>20</v>
      </c>
      <c r="AQ21">
        <f>'mk 001 10.3'!AQ22</f>
        <v>1</v>
      </c>
      <c r="AR21">
        <f>'mk 001 10.3'!AR22</f>
        <v>0</v>
      </c>
      <c r="AS21">
        <f>'mk 001 10.3'!AS22</f>
        <v>0</v>
      </c>
      <c r="AT21" t="str">
        <f>'mk 001 10.3'!AT22</f>
        <v>เบญจพจน์ เพชรเหลี่ยม</v>
      </c>
      <c r="AU21" t="str">
        <f>'mk 001 10.3'!AU22</f>
        <v>2026-05-08-13.09.12.000000</v>
      </c>
      <c r="AV21" t="str">
        <f>'mk 001 10.3'!AV22</f>
        <v>ก.ก.</v>
      </c>
      <c r="AW21" t="str">
        <f>'mk 001 10.3'!AW22</f>
        <v>ก.ก.</v>
      </c>
      <c r="AX21" t="str">
        <f>'mk 001 10.3'!AX22</f>
        <v xml:space="preserve"> </v>
      </c>
      <c r="AY21">
        <f>'mk 001 10.3'!AY22</f>
        <v>0</v>
      </c>
      <c r="AZ21" t="str">
        <f>'mk 001 10.3'!AZ22</f>
        <v>N</v>
      </c>
      <c r="BA21" s="22">
        <f>'mk 001 10.3'!BA22</f>
        <v>9044989472405</v>
      </c>
      <c r="BB21">
        <f>'mk 001 10.3'!BB22</f>
        <v>0</v>
      </c>
      <c r="BC21">
        <f>'mk 001 10.3'!BC22</f>
        <v>0</v>
      </c>
      <c r="BD21">
        <f>'mk 001 10.3'!BD22</f>
        <v>1</v>
      </c>
      <c r="BE21">
        <f>'mk 001 10.3'!BE22</f>
        <v>0</v>
      </c>
      <c r="BF21" t="str">
        <f>'mk 001 10.3'!BF22</f>
        <v>;0000</v>
      </c>
      <c r="BG21">
        <f>'mk 001 10.3'!BG22</f>
        <v>1333314600</v>
      </c>
      <c r="BH21" t="str">
        <f>'mk 001 10.3'!BH22</f>
        <v>G</v>
      </c>
      <c r="BI21">
        <f>'mk 001 10.3'!BI22</f>
        <v>10</v>
      </c>
      <c r="BJ21">
        <f>'mk 001 10.3'!BJ22</f>
        <v>10</v>
      </c>
      <c r="BK21">
        <f>'mk 001 10.3'!BK22</f>
        <v>0</v>
      </c>
      <c r="BL21" t="str">
        <f>'mk 001 10.3'!BL22</f>
        <v>SYSBATCH</v>
      </c>
      <c r="BM21">
        <f>'mk 001 10.3'!BM22</f>
        <v>0</v>
      </c>
      <c r="BN21">
        <f>'mk 001 10.3'!BN22</f>
        <v>0</v>
      </c>
    </row>
    <row r="22" spans="1:66" x14ac:dyDescent="0.35">
      <c r="A22">
        <f>'mk 001 10.3'!A23</f>
        <v>0</v>
      </c>
      <c r="B22">
        <f>'mk 001 10.3'!B23</f>
        <v>0</v>
      </c>
      <c r="C22" s="1" t="str">
        <f>'mk 001 10.3'!C23</f>
        <v>14/5/2569</v>
      </c>
      <c r="D22" s="1" t="str">
        <f>'mk 001 10.3'!D23</f>
        <v>14/5/2569</v>
      </c>
      <c r="E22">
        <f>'mk 001 10.3'!E23</f>
        <v>0</v>
      </c>
      <c r="F22" t="str">
        <f>'mk 001 10.3'!F23</f>
        <v>489M</v>
      </c>
      <c r="G22" t="str">
        <f>'mk 001 10.3'!G23</f>
        <v>Modern Trade (Makro)</v>
      </c>
      <c r="H22">
        <f>'mk 001 10.3'!H23</f>
        <v>0</v>
      </c>
      <c r="I22" t="str">
        <f>'mk 001 10.3'!I23</f>
        <v>หน่วยงานกลาง</v>
      </c>
      <c r="J22" t="str">
        <f>'mk 001 10.3'!J23</f>
        <v>F213  DMCW-รชล-พระพุทธบาท</v>
      </c>
      <c r="K22" t="str">
        <f>'mk 001 10.3'!K23</f>
        <v>00000  หน่วยงานกลาง</v>
      </c>
      <c r="L22">
        <f>'mk 001 10.3'!L23</f>
        <v>923</v>
      </c>
      <c r="M22">
        <f>'mk 001 10.3'!M23</f>
        <v>0</v>
      </c>
      <c r="N22" t="str">
        <f>'mk 001 10.3'!N23</f>
        <v>1A53017200</v>
      </c>
      <c r="O22" t="str">
        <f>'mk 001 10.3'!O23</f>
        <v>บมจ. ซีพี แอ็กซ์ตร้า สาขาชัยนาท</v>
      </c>
      <c r="P22">
        <f>'mk 001 10.3'!P23</f>
        <v>2</v>
      </c>
      <c r="Q22" t="str">
        <f>'mk 001 10.3'!Q23</f>
        <v>MAKRO 0164 สาขาชัยนาท</v>
      </c>
      <c r="R22" s="1">
        <f>'mk 001 10.3'!R23</f>
        <v>244566</v>
      </c>
      <c r="S22" s="1" t="str">
        <f>'mk 001 10.3'!S23</f>
        <v>14/5/2569</v>
      </c>
      <c r="T22" t="str">
        <f>'mk 001 10.3'!T23</f>
        <v>H6954RMA0058184</v>
      </c>
      <c r="U22">
        <f>'mk 001 10.3'!U23</f>
        <v>23088112</v>
      </c>
      <c r="V22" t="str">
        <f>'mk 001 10.3'!V23</f>
        <v>เครื่องในหมูรวมหั่นชิ้น (M)</v>
      </c>
      <c r="W22">
        <f>'mk 001 10.3'!W23</f>
        <v>5</v>
      </c>
      <c r="X22">
        <f>'mk 001 10.3'!X23</f>
        <v>5</v>
      </c>
      <c r="Y22">
        <f t="shared" si="0"/>
        <v>5</v>
      </c>
      <c r="Z22" s="13">
        <f>IF(COUNTIFS(แปลงข้อมูล!H:H,Q22,แปลงข้อมูล!I:I,U22,แปลงข้อมูล!J:J,V22)&gt;0,SUMIFS(แปลงข้อมูล!Q:Q,แปลงข้อมูล!I:I,U22,แปลงข้อมูล!H:H,Q22,แปลงข้อมูล!J:J,V22),'mk 001 10.3'!Z23)</f>
        <v>5</v>
      </c>
      <c r="AA22">
        <f>'mk 001 10.3'!AA23</f>
        <v>0</v>
      </c>
      <c r="AB22">
        <f>'mk 001 10.3'!AB23</f>
        <v>0</v>
      </c>
      <c r="AC22">
        <f>'mk 001 10.3'!AC23</f>
        <v>0</v>
      </c>
      <c r="AD22">
        <f>'mk 001 10.3'!AD23</f>
        <v>0</v>
      </c>
      <c r="AE22">
        <f>'mk 001 10.3'!AE23</f>
        <v>5</v>
      </c>
      <c r="AF22">
        <f>'mk 001 10.3'!AF23</f>
        <v>5</v>
      </c>
      <c r="AG22">
        <f>'mk 001 10.3'!AG23</f>
        <v>0</v>
      </c>
      <c r="AH22">
        <f>'mk 001 10.3'!AH23</f>
        <v>0</v>
      </c>
      <c r="AI22" t="str">
        <f>'mk 001 10.3'!AI23</f>
        <v>OPRCD489MOPRCD00000OPRCDF213OPRCD00000OPRCD923</v>
      </c>
      <c r="AJ22" t="str">
        <f>'mk 001 10.3'!AJ23</f>
        <v>ซื้อ / ขาย</v>
      </c>
      <c r="AK22" t="str">
        <f>'mk 001 10.3'!AK23</f>
        <v>By proudct</v>
      </c>
      <c r="AL22" t="str">
        <f>'mk 001 10.3'!AL23</f>
        <v>Bulk Normal</v>
      </c>
      <c r="AM22" t="str">
        <f>'mk 001 10.3'!AM23</f>
        <v>สุกร</v>
      </c>
      <c r="AN22" t="str">
        <f>'mk 001 10.3'!AN23</f>
        <v>MT2001 SUPER MK.-Makro</v>
      </c>
      <c r="AO22" t="str">
        <f>'mk 001 10.3'!AO23</f>
        <v>MT</v>
      </c>
      <c r="AP22">
        <f>'mk 001 10.3'!AP23</f>
        <v>20</v>
      </c>
      <c r="AQ22">
        <f>'mk 001 10.3'!AQ23</f>
        <v>1</v>
      </c>
      <c r="AR22">
        <f>'mk 001 10.3'!AR23</f>
        <v>0</v>
      </c>
      <c r="AS22">
        <f>'mk 001 10.3'!AS23</f>
        <v>0</v>
      </c>
      <c r="AT22" t="str">
        <f>'mk 001 10.3'!AT23</f>
        <v>เบญจพจน์ เพชรเหลี่ยม</v>
      </c>
      <c r="AU22" t="str">
        <f>'mk 001 10.3'!AU23</f>
        <v>2026-05-08-13.09.12.000000</v>
      </c>
      <c r="AV22" t="str">
        <f>'mk 001 10.3'!AV23</f>
        <v>ก.ก.</v>
      </c>
      <c r="AW22" t="str">
        <f>'mk 001 10.3'!AW23</f>
        <v>ก.ก.</v>
      </c>
      <c r="AX22" t="str">
        <f>'mk 001 10.3'!AX23</f>
        <v xml:space="preserve"> </v>
      </c>
      <c r="AY22">
        <f>'mk 001 10.3'!AY23</f>
        <v>0</v>
      </c>
      <c r="AZ22" t="str">
        <f>'mk 001 10.3'!AZ23</f>
        <v>N</v>
      </c>
      <c r="BA22" s="22">
        <f>'mk 001 10.3'!BA23</f>
        <v>9044989472405</v>
      </c>
      <c r="BB22">
        <f>'mk 001 10.3'!BB23</f>
        <v>0</v>
      </c>
      <c r="BC22">
        <f>'mk 001 10.3'!BC23</f>
        <v>0</v>
      </c>
      <c r="BD22">
        <f>'mk 001 10.3'!BD23</f>
        <v>1</v>
      </c>
      <c r="BE22">
        <f>'mk 001 10.3'!BE23</f>
        <v>0</v>
      </c>
      <c r="BF22" t="str">
        <f>'mk 001 10.3'!BF23</f>
        <v>;0000</v>
      </c>
      <c r="BG22">
        <f>'mk 001 10.3'!BG23</f>
        <v>1333314600</v>
      </c>
      <c r="BH22" t="str">
        <f>'mk 001 10.3'!BH23</f>
        <v>G</v>
      </c>
      <c r="BI22">
        <f>'mk 001 10.3'!BI23</f>
        <v>5</v>
      </c>
      <c r="BJ22">
        <f>'mk 001 10.3'!BJ23</f>
        <v>5</v>
      </c>
      <c r="BK22">
        <f>'mk 001 10.3'!BK23</f>
        <v>0</v>
      </c>
      <c r="BL22" t="str">
        <f>'mk 001 10.3'!BL23</f>
        <v>SYSBATCH</v>
      </c>
      <c r="BM22">
        <f>'mk 001 10.3'!BM23</f>
        <v>0</v>
      </c>
      <c r="BN22">
        <f>'mk 001 10.3'!BN23</f>
        <v>0</v>
      </c>
    </row>
    <row r="23" spans="1:66" x14ac:dyDescent="0.35">
      <c r="A23">
        <f>'mk 001 10.3'!A24</f>
        <v>0</v>
      </c>
      <c r="B23">
        <f>'mk 001 10.3'!B24</f>
        <v>0</v>
      </c>
      <c r="C23" s="1" t="str">
        <f>'mk 001 10.3'!C24</f>
        <v>14/5/2569</v>
      </c>
      <c r="D23" s="1" t="str">
        <f>'mk 001 10.3'!D24</f>
        <v>14/5/2569</v>
      </c>
      <c r="E23">
        <f>'mk 001 10.3'!E24</f>
        <v>0</v>
      </c>
      <c r="F23" t="str">
        <f>'mk 001 10.3'!F24</f>
        <v>489M</v>
      </c>
      <c r="G23" t="str">
        <f>'mk 001 10.3'!G24</f>
        <v>Modern Trade (Makro)</v>
      </c>
      <c r="H23">
        <f>'mk 001 10.3'!H24</f>
        <v>0</v>
      </c>
      <c r="I23" t="str">
        <f>'mk 001 10.3'!I24</f>
        <v>หน่วยงานกลาง</v>
      </c>
      <c r="J23" t="str">
        <f>'mk 001 10.3'!J24</f>
        <v>F213  DMCW-รชล-พระพุทธบาท</v>
      </c>
      <c r="K23" t="str">
        <f>'mk 001 10.3'!K24</f>
        <v>00000  หน่วยงานกลาง</v>
      </c>
      <c r="L23">
        <f>'mk 001 10.3'!L24</f>
        <v>923</v>
      </c>
      <c r="M23">
        <f>'mk 001 10.3'!M24</f>
        <v>0</v>
      </c>
      <c r="N23" t="str">
        <f>'mk 001 10.3'!N24</f>
        <v>1A53017200</v>
      </c>
      <c r="O23" t="str">
        <f>'mk 001 10.3'!O24</f>
        <v>บมจ. ซีพี แอ็กซ์ตร้า สาขาชัยนาท</v>
      </c>
      <c r="P23">
        <f>'mk 001 10.3'!P24</f>
        <v>2</v>
      </c>
      <c r="Q23" t="str">
        <f>'mk 001 10.3'!Q24</f>
        <v>MAKRO 0164 สาขาชัยนาท</v>
      </c>
      <c r="R23" s="1">
        <f>'mk 001 10.3'!R24</f>
        <v>244566</v>
      </c>
      <c r="S23" s="1" t="str">
        <f>'mk 001 10.3'!S24</f>
        <v>14/5/2569</v>
      </c>
      <c r="T23" t="str">
        <f>'mk 001 10.3'!T24</f>
        <v>H6954RMA0058184</v>
      </c>
      <c r="U23">
        <f>'mk 001 10.3'!U24</f>
        <v>23088348</v>
      </c>
      <c r="V23" t="str">
        <f>'mk 001 10.3'!V24</f>
        <v>ขาหมูเผาเลาะกระดูกหั่นชิ้นSpec-1(M)</v>
      </c>
      <c r="W23">
        <f>'mk 001 10.3'!W24</f>
        <v>60</v>
      </c>
      <c r="X23">
        <f>'mk 001 10.3'!X24</f>
        <v>60</v>
      </c>
      <c r="Y23">
        <f t="shared" si="0"/>
        <v>60</v>
      </c>
      <c r="Z23" s="13">
        <f>IF(COUNTIFS(แปลงข้อมูล!H:H,Q23,แปลงข้อมูล!I:I,U23,แปลงข้อมูล!J:J,V23)&gt;0,SUMIFS(แปลงข้อมูล!Q:Q,แปลงข้อมูล!I:I,U23,แปลงข้อมูล!H:H,Q23,แปลงข้อมูล!J:J,V23),'mk 001 10.3'!Z24)</f>
        <v>60</v>
      </c>
      <c r="AA23">
        <f>'mk 001 10.3'!AA24</f>
        <v>0</v>
      </c>
      <c r="AB23">
        <f>'mk 001 10.3'!AB24</f>
        <v>0</v>
      </c>
      <c r="AC23">
        <f>'mk 001 10.3'!AC24</f>
        <v>0</v>
      </c>
      <c r="AD23">
        <f>'mk 001 10.3'!AD24</f>
        <v>0</v>
      </c>
      <c r="AE23">
        <f>'mk 001 10.3'!AE24</f>
        <v>60</v>
      </c>
      <c r="AF23">
        <f>'mk 001 10.3'!AF24</f>
        <v>60</v>
      </c>
      <c r="AG23">
        <f>'mk 001 10.3'!AG24</f>
        <v>0</v>
      </c>
      <c r="AH23">
        <f>'mk 001 10.3'!AH24</f>
        <v>0</v>
      </c>
      <c r="AI23" t="str">
        <f>'mk 001 10.3'!AI24</f>
        <v>OPRCD489MOPRCD00000OPRCDF213OPRCD00000OPRCD923</v>
      </c>
      <c r="AJ23" t="str">
        <f>'mk 001 10.3'!AJ24</f>
        <v>ซื้อ / ขาย</v>
      </c>
      <c r="AK23" t="str">
        <f>'mk 001 10.3'!AK24</f>
        <v>By proudct</v>
      </c>
      <c r="AL23" t="str">
        <f>'mk 001 10.3'!AL24</f>
        <v>Bulk Normal</v>
      </c>
      <c r="AM23" t="str">
        <f>'mk 001 10.3'!AM24</f>
        <v>สุกร</v>
      </c>
      <c r="AN23" t="str">
        <f>'mk 001 10.3'!AN24</f>
        <v>MT2001 SUPER MK.-Makro</v>
      </c>
      <c r="AO23" t="str">
        <f>'mk 001 10.3'!AO24</f>
        <v>MT</v>
      </c>
      <c r="AP23">
        <f>'mk 001 10.3'!AP24</f>
        <v>20</v>
      </c>
      <c r="AQ23">
        <f>'mk 001 10.3'!AQ24</f>
        <v>1</v>
      </c>
      <c r="AR23">
        <f>'mk 001 10.3'!AR24</f>
        <v>0</v>
      </c>
      <c r="AS23">
        <f>'mk 001 10.3'!AS24</f>
        <v>0</v>
      </c>
      <c r="AT23" t="str">
        <f>'mk 001 10.3'!AT24</f>
        <v>เบญจพจน์ เพชรเหลี่ยม</v>
      </c>
      <c r="AU23" t="str">
        <f>'mk 001 10.3'!AU24</f>
        <v>2026-05-08-13.09.12.000000</v>
      </c>
      <c r="AV23" t="str">
        <f>'mk 001 10.3'!AV24</f>
        <v>ก.ก.</v>
      </c>
      <c r="AW23" t="str">
        <f>'mk 001 10.3'!AW24</f>
        <v>ก.ก.</v>
      </c>
      <c r="AX23" t="str">
        <f>'mk 001 10.3'!AX24</f>
        <v xml:space="preserve"> </v>
      </c>
      <c r="AY23">
        <f>'mk 001 10.3'!AY24</f>
        <v>0</v>
      </c>
      <c r="AZ23" t="str">
        <f>'mk 001 10.3'!AZ24</f>
        <v>N</v>
      </c>
      <c r="BA23" s="22">
        <f>'mk 001 10.3'!BA24</f>
        <v>9044989472405</v>
      </c>
      <c r="BB23">
        <f>'mk 001 10.3'!BB24</f>
        <v>0</v>
      </c>
      <c r="BC23">
        <f>'mk 001 10.3'!BC24</f>
        <v>0</v>
      </c>
      <c r="BD23">
        <f>'mk 001 10.3'!BD24</f>
        <v>1</v>
      </c>
      <c r="BE23">
        <f>'mk 001 10.3'!BE24</f>
        <v>0</v>
      </c>
      <c r="BF23" t="str">
        <f>'mk 001 10.3'!BF24</f>
        <v>;0000</v>
      </c>
      <c r="BG23">
        <f>'mk 001 10.3'!BG24</f>
        <v>1333314600</v>
      </c>
      <c r="BH23" t="str">
        <f>'mk 001 10.3'!BH24</f>
        <v>G</v>
      </c>
      <c r="BI23">
        <f>'mk 001 10.3'!BI24</f>
        <v>60</v>
      </c>
      <c r="BJ23">
        <f>'mk 001 10.3'!BJ24</f>
        <v>60</v>
      </c>
      <c r="BK23">
        <f>'mk 001 10.3'!BK24</f>
        <v>0</v>
      </c>
      <c r="BL23" t="str">
        <f>'mk 001 10.3'!BL24</f>
        <v>SYSBATCH</v>
      </c>
      <c r="BM23">
        <f>'mk 001 10.3'!BM24</f>
        <v>0</v>
      </c>
      <c r="BN23">
        <f>'mk 001 10.3'!BN24</f>
        <v>0</v>
      </c>
    </row>
    <row r="24" spans="1:66" x14ac:dyDescent="0.35">
      <c r="A24">
        <f>'mk 001 10.3'!A25</f>
        <v>0</v>
      </c>
      <c r="B24">
        <f>'mk 001 10.3'!B25</f>
        <v>0</v>
      </c>
      <c r="C24" s="1" t="str">
        <f>'mk 001 10.3'!C25</f>
        <v>14/5/2569</v>
      </c>
      <c r="D24" s="1" t="str">
        <f>'mk 001 10.3'!D25</f>
        <v>14/5/2569</v>
      </c>
      <c r="E24">
        <f>'mk 001 10.3'!E25</f>
        <v>0</v>
      </c>
      <c r="F24" t="str">
        <f>'mk 001 10.3'!F25</f>
        <v>489M</v>
      </c>
      <c r="G24" t="str">
        <f>'mk 001 10.3'!G25</f>
        <v>Modern Trade (Makro)</v>
      </c>
      <c r="H24">
        <f>'mk 001 10.3'!H25</f>
        <v>0</v>
      </c>
      <c r="I24" t="str">
        <f>'mk 001 10.3'!I25</f>
        <v>หน่วยงานกลาง</v>
      </c>
      <c r="J24" t="str">
        <f>'mk 001 10.3'!J25</f>
        <v>F213  DMCW-รชล-พระพุทธบาท</v>
      </c>
      <c r="K24" t="str">
        <f>'mk 001 10.3'!K25</f>
        <v>00000  หน่วยงานกลาง</v>
      </c>
      <c r="L24">
        <f>'mk 001 10.3'!L25</f>
        <v>923</v>
      </c>
      <c r="M24">
        <f>'mk 001 10.3'!M25</f>
        <v>0</v>
      </c>
      <c r="N24" t="str">
        <f>'mk 001 10.3'!N25</f>
        <v>1A53017200</v>
      </c>
      <c r="O24" t="str">
        <f>'mk 001 10.3'!O25</f>
        <v>บมจ. ซีพี แอ็กซ์ตร้า สาขาชัยนาท</v>
      </c>
      <c r="P24">
        <f>'mk 001 10.3'!P25</f>
        <v>2</v>
      </c>
      <c r="Q24" t="str">
        <f>'mk 001 10.3'!Q25</f>
        <v>MAKRO 0164 สาขาชัยนาท</v>
      </c>
      <c r="R24" s="1">
        <f>'mk 001 10.3'!R25</f>
        <v>244566</v>
      </c>
      <c r="S24" s="1" t="str">
        <f>'mk 001 10.3'!S25</f>
        <v>14/5/2569</v>
      </c>
      <c r="T24" t="str">
        <f>'mk 001 10.3'!T25</f>
        <v>H6954RMA0058184</v>
      </c>
      <c r="U24">
        <f>'mk 001 10.3'!U25</f>
        <v>23105751</v>
      </c>
      <c r="V24" t="str">
        <f>'mk 001 10.3'!V25</f>
        <v>เซพแพ็ค หัวไหล่หมู กก.ละ</v>
      </c>
      <c r="W24">
        <f>'mk 001 10.3'!W25</f>
        <v>5</v>
      </c>
      <c r="X24">
        <f>'mk 001 10.3'!X25</f>
        <v>5</v>
      </c>
      <c r="Y24">
        <f t="shared" si="0"/>
        <v>5</v>
      </c>
      <c r="Z24" s="13">
        <f>IF(COUNTIFS(แปลงข้อมูล!H:H,Q24,แปลงข้อมูล!I:I,U24,แปลงข้อมูล!J:J,V24)&gt;0,SUMIFS(แปลงข้อมูล!Q:Q,แปลงข้อมูล!I:I,U24,แปลงข้อมูล!H:H,Q24,แปลงข้อมูล!J:J,V24),'mk 001 10.3'!Z25)</f>
        <v>5</v>
      </c>
      <c r="AA24">
        <f>'mk 001 10.3'!AA25</f>
        <v>0</v>
      </c>
      <c r="AB24">
        <f>'mk 001 10.3'!AB25</f>
        <v>0</v>
      </c>
      <c r="AC24">
        <f>'mk 001 10.3'!AC25</f>
        <v>0</v>
      </c>
      <c r="AD24">
        <f>'mk 001 10.3'!AD25</f>
        <v>0</v>
      </c>
      <c r="AE24">
        <f>'mk 001 10.3'!AE25</f>
        <v>5</v>
      </c>
      <c r="AF24">
        <f>'mk 001 10.3'!AF25</f>
        <v>5</v>
      </c>
      <c r="AG24">
        <f>'mk 001 10.3'!AG25</f>
        <v>0</v>
      </c>
      <c r="AH24">
        <f>'mk 001 10.3'!AH25</f>
        <v>0</v>
      </c>
      <c r="AI24" t="str">
        <f>'mk 001 10.3'!AI25</f>
        <v>OPRCD489MOPRCD00000OPRCDF213OPRCD00000OPRCD923</v>
      </c>
      <c r="AJ24" t="str">
        <f>'mk 001 10.3'!AJ25</f>
        <v>ซื้อ / ขาย</v>
      </c>
      <c r="AK24" t="str">
        <f>'mk 001 10.3'!AK25</f>
        <v>Main proudct</v>
      </c>
      <c r="AL24" t="str">
        <f>'mk 001 10.3'!AL25</f>
        <v>Bulk Normal</v>
      </c>
      <c r="AM24" t="str">
        <f>'mk 001 10.3'!AM25</f>
        <v>สุกร</v>
      </c>
      <c r="AN24" t="str">
        <f>'mk 001 10.3'!AN25</f>
        <v>MT2001 SUPER MK.-Makro</v>
      </c>
      <c r="AO24" t="str">
        <f>'mk 001 10.3'!AO25</f>
        <v>MT</v>
      </c>
      <c r="AP24">
        <f>'mk 001 10.3'!AP25</f>
        <v>20</v>
      </c>
      <c r="AQ24">
        <f>'mk 001 10.3'!AQ25</f>
        <v>1</v>
      </c>
      <c r="AR24">
        <f>'mk 001 10.3'!AR25</f>
        <v>0</v>
      </c>
      <c r="AS24">
        <f>'mk 001 10.3'!AS25</f>
        <v>0</v>
      </c>
      <c r="AT24" t="str">
        <f>'mk 001 10.3'!AT25</f>
        <v>เบญจพจน์ เพชรเหลี่ยม</v>
      </c>
      <c r="AU24" t="str">
        <f>'mk 001 10.3'!AU25</f>
        <v>2026-05-08-13.09.12.000000</v>
      </c>
      <c r="AV24" t="str">
        <f>'mk 001 10.3'!AV25</f>
        <v>ก.ก.</v>
      </c>
      <c r="AW24" t="str">
        <f>'mk 001 10.3'!AW25</f>
        <v>ก.ก.</v>
      </c>
      <c r="AX24" t="str">
        <f>'mk 001 10.3'!AX25</f>
        <v xml:space="preserve"> </v>
      </c>
      <c r="AY24">
        <f>'mk 001 10.3'!AY25</f>
        <v>0</v>
      </c>
      <c r="AZ24" t="str">
        <f>'mk 001 10.3'!AZ25</f>
        <v>N</v>
      </c>
      <c r="BA24" s="22">
        <f>'mk 001 10.3'!BA25</f>
        <v>9044989472405</v>
      </c>
      <c r="BB24">
        <f>'mk 001 10.3'!BB25</f>
        <v>0</v>
      </c>
      <c r="BC24">
        <f>'mk 001 10.3'!BC25</f>
        <v>0</v>
      </c>
      <c r="BD24">
        <f>'mk 001 10.3'!BD25</f>
        <v>1</v>
      </c>
      <c r="BE24">
        <f>'mk 001 10.3'!BE25</f>
        <v>0</v>
      </c>
      <c r="BF24" t="str">
        <f>'mk 001 10.3'!BF25</f>
        <v>;0000</v>
      </c>
      <c r="BG24">
        <f>'mk 001 10.3'!BG25</f>
        <v>1333314600</v>
      </c>
      <c r="BH24" t="str">
        <f>'mk 001 10.3'!BH25</f>
        <v>G</v>
      </c>
      <c r="BI24">
        <f>'mk 001 10.3'!BI25</f>
        <v>5</v>
      </c>
      <c r="BJ24">
        <f>'mk 001 10.3'!BJ25</f>
        <v>5</v>
      </c>
      <c r="BK24">
        <f>'mk 001 10.3'!BK25</f>
        <v>0</v>
      </c>
      <c r="BL24" t="str">
        <f>'mk 001 10.3'!BL25</f>
        <v>SYSBATCH</v>
      </c>
      <c r="BM24">
        <f>'mk 001 10.3'!BM25</f>
        <v>0</v>
      </c>
      <c r="BN24">
        <f>'mk 001 10.3'!BN25</f>
        <v>0</v>
      </c>
    </row>
    <row r="25" spans="1:66" x14ac:dyDescent="0.35">
      <c r="A25">
        <f>'mk 001 10.3'!A26</f>
        <v>0</v>
      </c>
      <c r="B25">
        <f>'mk 001 10.3'!B26</f>
        <v>0</v>
      </c>
      <c r="C25" s="1" t="str">
        <f>'mk 001 10.3'!C26</f>
        <v>14/5/2569</v>
      </c>
      <c r="D25" s="1" t="str">
        <f>'mk 001 10.3'!D26</f>
        <v>14/5/2569</v>
      </c>
      <c r="E25">
        <f>'mk 001 10.3'!E26</f>
        <v>0</v>
      </c>
      <c r="F25" t="str">
        <f>'mk 001 10.3'!F26</f>
        <v>489M</v>
      </c>
      <c r="G25" t="str">
        <f>'mk 001 10.3'!G26</f>
        <v>Modern Trade (Makro)</v>
      </c>
      <c r="H25">
        <f>'mk 001 10.3'!H26</f>
        <v>0</v>
      </c>
      <c r="I25" t="str">
        <f>'mk 001 10.3'!I26</f>
        <v>หน่วยงานกลาง</v>
      </c>
      <c r="J25" t="str">
        <f>'mk 001 10.3'!J26</f>
        <v>F213  DMCW-รชล-พระพุทธบาท</v>
      </c>
      <c r="K25" t="str">
        <f>'mk 001 10.3'!K26</f>
        <v>00000  หน่วยงานกลาง</v>
      </c>
      <c r="L25">
        <f>'mk 001 10.3'!L26</f>
        <v>923</v>
      </c>
      <c r="M25">
        <f>'mk 001 10.3'!M26</f>
        <v>0</v>
      </c>
      <c r="N25" t="str">
        <f>'mk 001 10.3'!N26</f>
        <v>1A53017200</v>
      </c>
      <c r="O25" t="str">
        <f>'mk 001 10.3'!O26</f>
        <v>บมจ. ซีพี แอ็กซ์ตร้า สาขาชัยนาท</v>
      </c>
      <c r="P25">
        <f>'mk 001 10.3'!P26</f>
        <v>2</v>
      </c>
      <c r="Q25" t="str">
        <f>'mk 001 10.3'!Q26</f>
        <v>MAKRO 0164 สาขาชัยนาท</v>
      </c>
      <c r="R25" s="1">
        <f>'mk 001 10.3'!R26</f>
        <v>244566</v>
      </c>
      <c r="S25" s="1" t="str">
        <f>'mk 001 10.3'!S26</f>
        <v>14/5/2569</v>
      </c>
      <c r="T25" t="str">
        <f>'mk 001 10.3'!T26</f>
        <v>H6954RMA0058184</v>
      </c>
      <c r="U25">
        <f>'mk 001 10.3'!U26</f>
        <v>23104868</v>
      </c>
      <c r="V25" t="str">
        <f>'mk 001 10.3'!V26</f>
        <v>เนื้อหมูตัดชิ้น(M)</v>
      </c>
      <c r="W25">
        <f>'mk 001 10.3'!W26</f>
        <v>0</v>
      </c>
      <c r="X25">
        <f>'mk 001 10.3'!X26</f>
        <v>0</v>
      </c>
      <c r="Y25">
        <f t="shared" si="0"/>
        <v>0</v>
      </c>
      <c r="Z25" s="13">
        <f>IF(COUNTIFS(แปลงข้อมูล!H:H,Q25,แปลงข้อมูล!I:I,U25,แปลงข้อมูล!J:J,V25)&gt;0,SUMIFS(แปลงข้อมูล!Q:Q,แปลงข้อมูล!I:I,U25,แปลงข้อมูล!H:H,Q25,แปลงข้อมูล!J:J,V25),'mk 001 10.3'!Z26)</f>
        <v>0</v>
      </c>
      <c r="AA25">
        <f>'mk 001 10.3'!AA26</f>
        <v>0</v>
      </c>
      <c r="AB25">
        <f>'mk 001 10.3'!AB26</f>
        <v>0</v>
      </c>
      <c r="AC25">
        <f>'mk 001 10.3'!AC26</f>
        <v>0</v>
      </c>
      <c r="AD25">
        <f>'mk 001 10.3'!AD26</f>
        <v>0</v>
      </c>
      <c r="AE25">
        <f>'mk 001 10.3'!AE26</f>
        <v>0</v>
      </c>
      <c r="AF25">
        <f>'mk 001 10.3'!AF26</f>
        <v>0</v>
      </c>
      <c r="AG25">
        <f>'mk 001 10.3'!AG26</f>
        <v>0</v>
      </c>
      <c r="AH25">
        <f>'mk 001 10.3'!AH26</f>
        <v>0</v>
      </c>
      <c r="AI25" t="str">
        <f>'mk 001 10.3'!AI26</f>
        <v>OPRCD489MOPRCD00000OPRCDF213OPRCD00000OPRCD923</v>
      </c>
      <c r="AJ25" t="str">
        <f>'mk 001 10.3'!AJ26</f>
        <v>ซื้อ / ขาย</v>
      </c>
      <c r="AK25" t="str">
        <f>'mk 001 10.3'!AK26</f>
        <v>Main proudct</v>
      </c>
      <c r="AL25" t="str">
        <f>'mk 001 10.3'!AL26</f>
        <v>Bulk Normal</v>
      </c>
      <c r="AM25" t="str">
        <f>'mk 001 10.3'!AM26</f>
        <v>สุกร</v>
      </c>
      <c r="AN25" t="str">
        <f>'mk 001 10.3'!AN26</f>
        <v>MT2001 SUPER MK.-Makro</v>
      </c>
      <c r="AO25" t="str">
        <f>'mk 001 10.3'!AO26</f>
        <v>MT</v>
      </c>
      <c r="AP25">
        <f>'mk 001 10.3'!AP26</f>
        <v>20</v>
      </c>
      <c r="AQ25">
        <f>'mk 001 10.3'!AQ26</f>
        <v>1</v>
      </c>
      <c r="AR25">
        <f>'mk 001 10.3'!AR26</f>
        <v>0</v>
      </c>
      <c r="AS25">
        <f>'mk 001 10.3'!AS26</f>
        <v>0</v>
      </c>
      <c r="AT25" t="str">
        <f>'mk 001 10.3'!AT26</f>
        <v>เบญจพจน์ เพชรเหลี่ยม</v>
      </c>
      <c r="AU25" t="str">
        <f>'mk 001 10.3'!AU26</f>
        <v>2026-05-08-13.09.12.000000</v>
      </c>
      <c r="AV25" t="str">
        <f>'mk 001 10.3'!AV26</f>
        <v>ถุง</v>
      </c>
      <c r="AW25" t="str">
        <f>'mk 001 10.3'!AW26</f>
        <v>ก.ก.</v>
      </c>
      <c r="AX25" t="str">
        <f>'mk 001 10.3'!AX26</f>
        <v xml:space="preserve"> </v>
      </c>
      <c r="AY25">
        <f>'mk 001 10.3'!AY26</f>
        <v>0</v>
      </c>
      <c r="AZ25" t="str">
        <f>'mk 001 10.3'!AZ26</f>
        <v>N</v>
      </c>
      <c r="BA25" s="22">
        <f>'mk 001 10.3'!BA26</f>
        <v>9044989472405</v>
      </c>
      <c r="BB25">
        <f>'mk 001 10.3'!BB26</f>
        <v>0</v>
      </c>
      <c r="BC25">
        <f>'mk 001 10.3'!BC26</f>
        <v>0</v>
      </c>
      <c r="BD25">
        <f>'mk 001 10.3'!BD26</f>
        <v>1</v>
      </c>
      <c r="BE25">
        <f>'mk 001 10.3'!BE26</f>
        <v>0</v>
      </c>
      <c r="BF25" t="str">
        <f>'mk 001 10.3'!BF26</f>
        <v>;0000</v>
      </c>
      <c r="BG25">
        <f>'mk 001 10.3'!BG26</f>
        <v>1333314600</v>
      </c>
      <c r="BH25" t="str">
        <f>'mk 001 10.3'!BH26</f>
        <v>G</v>
      </c>
      <c r="BI25">
        <f>'mk 001 10.3'!BI26</f>
        <v>0</v>
      </c>
      <c r="BJ25">
        <f>'mk 001 10.3'!BJ26</f>
        <v>0</v>
      </c>
      <c r="BK25">
        <f>'mk 001 10.3'!BK26</f>
        <v>0</v>
      </c>
      <c r="BL25" t="str">
        <f>'mk 001 10.3'!BL26</f>
        <v>SYSBATCH</v>
      </c>
      <c r="BM25">
        <f>'mk 001 10.3'!BM26</f>
        <v>0</v>
      </c>
      <c r="BN25">
        <f>'mk 001 10.3'!BN26</f>
        <v>0</v>
      </c>
    </row>
    <row r="26" spans="1:66" x14ac:dyDescent="0.35">
      <c r="A26">
        <f>'mk 001 10.3'!A27</f>
        <v>0</v>
      </c>
      <c r="B26">
        <f>'mk 001 10.3'!B27</f>
        <v>0</v>
      </c>
      <c r="C26" s="1" t="str">
        <f>'mk 001 10.3'!C27</f>
        <v>14/5/2569</v>
      </c>
      <c r="D26" s="1" t="str">
        <f>'mk 001 10.3'!D27</f>
        <v>14/5/2569</v>
      </c>
      <c r="E26">
        <f>'mk 001 10.3'!E27</f>
        <v>0</v>
      </c>
      <c r="F26" t="str">
        <f>'mk 001 10.3'!F27</f>
        <v>489M</v>
      </c>
      <c r="G26" t="str">
        <f>'mk 001 10.3'!G27</f>
        <v>Modern Trade (Makro)</v>
      </c>
      <c r="H26">
        <f>'mk 001 10.3'!H27</f>
        <v>0</v>
      </c>
      <c r="I26" t="str">
        <f>'mk 001 10.3'!I27</f>
        <v>หน่วยงานกลาง</v>
      </c>
      <c r="J26" t="str">
        <f>'mk 001 10.3'!J27</f>
        <v>F213  DMCW-รชล-พระพุทธบาท</v>
      </c>
      <c r="K26" t="str">
        <f>'mk 001 10.3'!K27</f>
        <v>00000  หน่วยงานกลาง</v>
      </c>
      <c r="L26">
        <f>'mk 001 10.3'!L27</f>
        <v>923</v>
      </c>
      <c r="M26">
        <f>'mk 001 10.3'!M27</f>
        <v>0</v>
      </c>
      <c r="N26" t="str">
        <f>'mk 001 10.3'!N27</f>
        <v>1A53017200</v>
      </c>
      <c r="O26" t="str">
        <f>'mk 001 10.3'!O27</f>
        <v>บมจ. ซีพี แอ็กซ์ตร้า สาขาชัยนาท</v>
      </c>
      <c r="P26">
        <f>'mk 001 10.3'!P27</f>
        <v>2</v>
      </c>
      <c r="Q26" t="str">
        <f>'mk 001 10.3'!Q27</f>
        <v>MAKRO 0164 สาขาชัยนาท</v>
      </c>
      <c r="R26" s="1">
        <f>'mk 001 10.3'!R27</f>
        <v>244566</v>
      </c>
      <c r="S26" s="1" t="str">
        <f>'mk 001 10.3'!S27</f>
        <v>14/5/2569</v>
      </c>
      <c r="T26" t="str">
        <f>'mk 001 10.3'!T27</f>
        <v>H6954RMA0058184</v>
      </c>
      <c r="U26">
        <f>'mk 001 10.3'!U27</f>
        <v>23058587</v>
      </c>
      <c r="V26" t="str">
        <f>'mk 001 10.3'!V27</f>
        <v>หัวใจหมู (M)</v>
      </c>
      <c r="W26">
        <f>'mk 001 10.3'!W27</f>
        <v>0</v>
      </c>
      <c r="X26">
        <f>'mk 001 10.3'!X27</f>
        <v>0</v>
      </c>
      <c r="Y26">
        <f t="shared" si="0"/>
        <v>0</v>
      </c>
      <c r="Z26" s="13">
        <f>IF(COUNTIFS(แปลงข้อมูล!H:H,Q26,แปลงข้อมูล!I:I,U26,แปลงข้อมูล!J:J,V26)&gt;0,SUMIFS(แปลงข้อมูล!Q:Q,แปลงข้อมูล!I:I,U26,แปลงข้อมูล!H:H,Q26,แปลงข้อมูล!J:J,V26),'mk 001 10.3'!Z27)</f>
        <v>0</v>
      </c>
      <c r="AA26">
        <f>'mk 001 10.3'!AA27</f>
        <v>0</v>
      </c>
      <c r="AB26">
        <f>'mk 001 10.3'!AB27</f>
        <v>0</v>
      </c>
      <c r="AC26">
        <f>'mk 001 10.3'!AC27</f>
        <v>0</v>
      </c>
      <c r="AD26">
        <f>'mk 001 10.3'!AD27</f>
        <v>0</v>
      </c>
      <c r="AE26">
        <f>'mk 001 10.3'!AE27</f>
        <v>0</v>
      </c>
      <c r="AF26">
        <f>'mk 001 10.3'!AF27</f>
        <v>0</v>
      </c>
      <c r="AG26">
        <f>'mk 001 10.3'!AG27</f>
        <v>0</v>
      </c>
      <c r="AH26">
        <f>'mk 001 10.3'!AH27</f>
        <v>0</v>
      </c>
      <c r="AI26" t="str">
        <f>'mk 001 10.3'!AI27</f>
        <v>OPRCD489MOPRCD00000OPRCDF213OPRCD00000OPRCD923</v>
      </c>
      <c r="AJ26" t="str">
        <f>'mk 001 10.3'!AJ27</f>
        <v>ซื้อ / ขาย</v>
      </c>
      <c r="AK26" t="str">
        <f>'mk 001 10.3'!AK27</f>
        <v>By proudct</v>
      </c>
      <c r="AL26" t="str">
        <f>'mk 001 10.3'!AL27</f>
        <v>Bulk Normal</v>
      </c>
      <c r="AM26" t="str">
        <f>'mk 001 10.3'!AM27</f>
        <v>สุกร</v>
      </c>
      <c r="AN26" t="str">
        <f>'mk 001 10.3'!AN27</f>
        <v>MT2001 SUPER MK.-Makro</v>
      </c>
      <c r="AO26" t="str">
        <f>'mk 001 10.3'!AO27</f>
        <v>MT</v>
      </c>
      <c r="AP26">
        <f>'mk 001 10.3'!AP27</f>
        <v>20</v>
      </c>
      <c r="AQ26">
        <f>'mk 001 10.3'!AQ27</f>
        <v>1</v>
      </c>
      <c r="AR26">
        <f>'mk 001 10.3'!AR27</f>
        <v>0</v>
      </c>
      <c r="AS26">
        <f>'mk 001 10.3'!AS27</f>
        <v>0</v>
      </c>
      <c r="AT26" t="str">
        <f>'mk 001 10.3'!AT27</f>
        <v>เบญจพจน์ เพชรเหลี่ยม</v>
      </c>
      <c r="AU26" t="str">
        <f>'mk 001 10.3'!AU27</f>
        <v>2026-05-08-13.09.12.000000</v>
      </c>
      <c r="AV26" t="str">
        <f>'mk 001 10.3'!AV27</f>
        <v>ก.ก.</v>
      </c>
      <c r="AW26" t="str">
        <f>'mk 001 10.3'!AW27</f>
        <v>ก.ก.</v>
      </c>
      <c r="AX26" t="str">
        <f>'mk 001 10.3'!AX27</f>
        <v xml:space="preserve"> </v>
      </c>
      <c r="AY26">
        <f>'mk 001 10.3'!AY27</f>
        <v>0</v>
      </c>
      <c r="AZ26" t="str">
        <f>'mk 001 10.3'!AZ27</f>
        <v>N</v>
      </c>
      <c r="BA26" s="22">
        <f>'mk 001 10.3'!BA27</f>
        <v>9044989472405</v>
      </c>
      <c r="BB26">
        <f>'mk 001 10.3'!BB27</f>
        <v>0</v>
      </c>
      <c r="BC26">
        <f>'mk 001 10.3'!BC27</f>
        <v>0</v>
      </c>
      <c r="BD26">
        <f>'mk 001 10.3'!BD27</f>
        <v>1</v>
      </c>
      <c r="BE26">
        <f>'mk 001 10.3'!BE27</f>
        <v>0</v>
      </c>
      <c r="BF26" t="str">
        <f>'mk 001 10.3'!BF27</f>
        <v>;0000</v>
      </c>
      <c r="BG26">
        <f>'mk 001 10.3'!BG27</f>
        <v>1333314600</v>
      </c>
      <c r="BH26" t="str">
        <f>'mk 001 10.3'!BH27</f>
        <v>G</v>
      </c>
      <c r="BI26">
        <f>'mk 001 10.3'!BI27</f>
        <v>0</v>
      </c>
      <c r="BJ26">
        <f>'mk 001 10.3'!BJ27</f>
        <v>0</v>
      </c>
      <c r="BK26">
        <f>'mk 001 10.3'!BK27</f>
        <v>0</v>
      </c>
      <c r="BL26" t="str">
        <f>'mk 001 10.3'!BL27</f>
        <v>SYSBATCH</v>
      </c>
      <c r="BM26">
        <f>'mk 001 10.3'!BM27</f>
        <v>0</v>
      </c>
      <c r="BN26">
        <f>'mk 001 10.3'!BN27</f>
        <v>0</v>
      </c>
    </row>
    <row r="27" spans="1:66" x14ac:dyDescent="0.35">
      <c r="A27">
        <f>'mk 001 10.3'!A28</f>
        <v>0</v>
      </c>
      <c r="B27">
        <f>'mk 001 10.3'!B28</f>
        <v>0</v>
      </c>
      <c r="C27" s="1" t="str">
        <f>'mk 001 10.3'!C28</f>
        <v>14/5/2569</v>
      </c>
      <c r="D27" s="1" t="str">
        <f>'mk 001 10.3'!D28</f>
        <v>14/5/2569</v>
      </c>
      <c r="E27">
        <f>'mk 001 10.3'!E28</f>
        <v>0</v>
      </c>
      <c r="F27" t="str">
        <f>'mk 001 10.3'!F28</f>
        <v>489M</v>
      </c>
      <c r="G27" t="str">
        <f>'mk 001 10.3'!G28</f>
        <v>Modern Trade (Makro)</v>
      </c>
      <c r="H27">
        <f>'mk 001 10.3'!H28</f>
        <v>0</v>
      </c>
      <c r="I27" t="str">
        <f>'mk 001 10.3'!I28</f>
        <v>หน่วยงานกลาง</v>
      </c>
      <c r="J27" t="str">
        <f>'mk 001 10.3'!J28</f>
        <v>F213  DMCW-รชล-พระพุทธบาท</v>
      </c>
      <c r="K27" t="str">
        <f>'mk 001 10.3'!K28</f>
        <v>00000  หน่วยงานกลาง</v>
      </c>
      <c r="L27">
        <f>'mk 001 10.3'!L28</f>
        <v>923</v>
      </c>
      <c r="M27">
        <f>'mk 001 10.3'!M28</f>
        <v>0</v>
      </c>
      <c r="N27" t="str">
        <f>'mk 001 10.3'!N28</f>
        <v>1A53017200</v>
      </c>
      <c r="O27" t="str">
        <f>'mk 001 10.3'!O28</f>
        <v>บมจ. ซีพี แอ็กซ์ตร้า สาขาชัยนาท</v>
      </c>
      <c r="P27">
        <f>'mk 001 10.3'!P28</f>
        <v>2</v>
      </c>
      <c r="Q27" t="str">
        <f>'mk 001 10.3'!Q28</f>
        <v>MAKRO 0164 สาขาชัยนาท</v>
      </c>
      <c r="R27" s="1">
        <f>'mk 001 10.3'!R28</f>
        <v>244566</v>
      </c>
      <c r="S27" s="1" t="str">
        <f>'mk 001 10.3'!S28</f>
        <v>14/5/2569</v>
      </c>
      <c r="T27" t="str">
        <f>'mk 001 10.3'!T28</f>
        <v>H6954RMA0058184</v>
      </c>
      <c r="U27">
        <f>'mk 001 10.3'!U28</f>
        <v>23058586</v>
      </c>
      <c r="V27" t="str">
        <f>'mk 001 10.3'!V28</f>
        <v>ไต (M)</v>
      </c>
      <c r="W27">
        <f>'mk 001 10.3'!W28</f>
        <v>5</v>
      </c>
      <c r="X27">
        <f>'mk 001 10.3'!X28</f>
        <v>5</v>
      </c>
      <c r="Y27">
        <f t="shared" si="0"/>
        <v>5</v>
      </c>
      <c r="Z27" s="13">
        <f>IF(COUNTIFS(แปลงข้อมูล!H:H,Q27,แปลงข้อมูล!I:I,U27,แปลงข้อมูล!J:J,V27)&gt;0,SUMIFS(แปลงข้อมูล!Q:Q,แปลงข้อมูล!I:I,U27,แปลงข้อมูล!H:H,Q27,แปลงข้อมูล!J:J,V27),'mk 001 10.3'!Z28)</f>
        <v>5</v>
      </c>
      <c r="AA27">
        <f>'mk 001 10.3'!AA28</f>
        <v>0</v>
      </c>
      <c r="AB27">
        <f>'mk 001 10.3'!AB28</f>
        <v>0</v>
      </c>
      <c r="AC27">
        <f>'mk 001 10.3'!AC28</f>
        <v>0</v>
      </c>
      <c r="AD27">
        <f>'mk 001 10.3'!AD28</f>
        <v>0</v>
      </c>
      <c r="AE27">
        <f>'mk 001 10.3'!AE28</f>
        <v>5</v>
      </c>
      <c r="AF27">
        <f>'mk 001 10.3'!AF28</f>
        <v>5</v>
      </c>
      <c r="AG27">
        <f>'mk 001 10.3'!AG28</f>
        <v>0</v>
      </c>
      <c r="AH27">
        <f>'mk 001 10.3'!AH28</f>
        <v>0</v>
      </c>
      <c r="AI27" t="str">
        <f>'mk 001 10.3'!AI28</f>
        <v>OPRCD489MOPRCD00000OPRCDF213OPRCD00000OPRCD923</v>
      </c>
      <c r="AJ27" t="str">
        <f>'mk 001 10.3'!AJ28</f>
        <v>ซื้อ / ขาย</v>
      </c>
      <c r="AK27" t="str">
        <f>'mk 001 10.3'!AK28</f>
        <v>By proudct</v>
      </c>
      <c r="AL27" t="str">
        <f>'mk 001 10.3'!AL28</f>
        <v>Bulk Normal</v>
      </c>
      <c r="AM27" t="str">
        <f>'mk 001 10.3'!AM28</f>
        <v>สุกร</v>
      </c>
      <c r="AN27" t="str">
        <f>'mk 001 10.3'!AN28</f>
        <v>MT2001 SUPER MK.-Makro</v>
      </c>
      <c r="AO27" t="str">
        <f>'mk 001 10.3'!AO28</f>
        <v>MT</v>
      </c>
      <c r="AP27">
        <f>'mk 001 10.3'!AP28</f>
        <v>20</v>
      </c>
      <c r="AQ27">
        <f>'mk 001 10.3'!AQ28</f>
        <v>1</v>
      </c>
      <c r="AR27">
        <f>'mk 001 10.3'!AR28</f>
        <v>0</v>
      </c>
      <c r="AS27">
        <f>'mk 001 10.3'!AS28</f>
        <v>0</v>
      </c>
      <c r="AT27" t="str">
        <f>'mk 001 10.3'!AT28</f>
        <v>เบญจพจน์ เพชรเหลี่ยม</v>
      </c>
      <c r="AU27" t="str">
        <f>'mk 001 10.3'!AU28</f>
        <v>2026-05-08-13.09.12.000000</v>
      </c>
      <c r="AV27" t="str">
        <f>'mk 001 10.3'!AV28</f>
        <v>ก.ก.</v>
      </c>
      <c r="AW27" t="str">
        <f>'mk 001 10.3'!AW28</f>
        <v>ก.ก.</v>
      </c>
      <c r="AX27" t="str">
        <f>'mk 001 10.3'!AX28</f>
        <v xml:space="preserve"> </v>
      </c>
      <c r="AY27">
        <f>'mk 001 10.3'!AY28</f>
        <v>0</v>
      </c>
      <c r="AZ27" t="str">
        <f>'mk 001 10.3'!AZ28</f>
        <v>N</v>
      </c>
      <c r="BA27" s="22">
        <f>'mk 001 10.3'!BA28</f>
        <v>9044989472405</v>
      </c>
      <c r="BB27">
        <f>'mk 001 10.3'!BB28</f>
        <v>0</v>
      </c>
      <c r="BC27">
        <f>'mk 001 10.3'!BC28</f>
        <v>0</v>
      </c>
      <c r="BD27">
        <f>'mk 001 10.3'!BD28</f>
        <v>1</v>
      </c>
      <c r="BE27">
        <f>'mk 001 10.3'!BE28</f>
        <v>0</v>
      </c>
      <c r="BF27" t="str">
        <f>'mk 001 10.3'!BF28</f>
        <v>;0000</v>
      </c>
      <c r="BG27">
        <f>'mk 001 10.3'!BG28</f>
        <v>1333314600</v>
      </c>
      <c r="BH27" t="str">
        <f>'mk 001 10.3'!BH28</f>
        <v>G</v>
      </c>
      <c r="BI27">
        <f>'mk 001 10.3'!BI28</f>
        <v>5</v>
      </c>
      <c r="BJ27">
        <f>'mk 001 10.3'!BJ28</f>
        <v>5</v>
      </c>
      <c r="BK27">
        <f>'mk 001 10.3'!BK28</f>
        <v>0</v>
      </c>
      <c r="BL27" t="str">
        <f>'mk 001 10.3'!BL28</f>
        <v>SYSBATCH</v>
      </c>
      <c r="BM27">
        <f>'mk 001 10.3'!BM28</f>
        <v>0</v>
      </c>
      <c r="BN27">
        <f>'mk 001 10.3'!BN28</f>
        <v>0</v>
      </c>
    </row>
    <row r="28" spans="1:66" x14ac:dyDescent="0.35">
      <c r="A28">
        <f>'mk 001 10.3'!A29</f>
        <v>0</v>
      </c>
      <c r="B28">
        <f>'mk 001 10.3'!B29</f>
        <v>0</v>
      </c>
      <c r="C28" s="1" t="str">
        <f>'mk 001 10.3'!C29</f>
        <v>14/5/2569</v>
      </c>
      <c r="D28" s="1" t="str">
        <f>'mk 001 10.3'!D29</f>
        <v>14/5/2569</v>
      </c>
      <c r="E28">
        <f>'mk 001 10.3'!E29</f>
        <v>0</v>
      </c>
      <c r="F28" t="str">
        <f>'mk 001 10.3'!F29</f>
        <v>489M</v>
      </c>
      <c r="G28" t="str">
        <f>'mk 001 10.3'!G29</f>
        <v>Modern Trade (Makro)</v>
      </c>
      <c r="H28">
        <f>'mk 001 10.3'!H29</f>
        <v>0</v>
      </c>
      <c r="I28" t="str">
        <f>'mk 001 10.3'!I29</f>
        <v>หน่วยงานกลาง</v>
      </c>
      <c r="J28" t="str">
        <f>'mk 001 10.3'!J29</f>
        <v>F213  DMCW-รชล-พระพุทธบาท</v>
      </c>
      <c r="K28" t="str">
        <f>'mk 001 10.3'!K29</f>
        <v>00000  หน่วยงานกลาง</v>
      </c>
      <c r="L28">
        <f>'mk 001 10.3'!L29</f>
        <v>923</v>
      </c>
      <c r="M28">
        <f>'mk 001 10.3'!M29</f>
        <v>0</v>
      </c>
      <c r="N28" t="str">
        <f>'mk 001 10.3'!N29</f>
        <v>1A53017200</v>
      </c>
      <c r="O28" t="str">
        <f>'mk 001 10.3'!O29</f>
        <v>บมจ. ซีพี แอ็กซ์ตร้า สาขาชัยนาท</v>
      </c>
      <c r="P28">
        <f>'mk 001 10.3'!P29</f>
        <v>2</v>
      </c>
      <c r="Q28" t="str">
        <f>'mk 001 10.3'!Q29</f>
        <v>MAKRO 0164 สาขาชัยนาท</v>
      </c>
      <c r="R28" s="1">
        <f>'mk 001 10.3'!R29</f>
        <v>244566</v>
      </c>
      <c r="S28" s="1" t="str">
        <f>'mk 001 10.3'!S29</f>
        <v>14/5/2569</v>
      </c>
      <c r="T28" t="str">
        <f>'mk 001 10.3'!T29</f>
        <v>H6954RMA0058184</v>
      </c>
      <c r="U28">
        <f>'mk 001 10.3'!U29</f>
        <v>23057809</v>
      </c>
      <c r="V28" t="str">
        <f>'mk 001 10.3'!V29</f>
        <v>เนื้อไหล่(M)</v>
      </c>
      <c r="W28">
        <f>'mk 001 10.3'!W29</f>
        <v>30</v>
      </c>
      <c r="X28">
        <f>'mk 001 10.3'!X29</f>
        <v>30</v>
      </c>
      <c r="Y28">
        <f t="shared" si="0"/>
        <v>30</v>
      </c>
      <c r="Z28" s="13">
        <f>IF(COUNTIFS(แปลงข้อมูล!H:H,Q28,แปลงข้อมูล!I:I,U28,แปลงข้อมูล!J:J,V28)&gt;0,SUMIFS(แปลงข้อมูล!Q:Q,แปลงข้อมูล!I:I,U28,แปลงข้อมูล!H:H,Q28,แปลงข้อมูล!J:J,V28),'mk 001 10.3'!Z29)</f>
        <v>30</v>
      </c>
      <c r="AA28">
        <f>'mk 001 10.3'!AA29</f>
        <v>0</v>
      </c>
      <c r="AB28">
        <f>'mk 001 10.3'!AB29</f>
        <v>0</v>
      </c>
      <c r="AC28">
        <f>'mk 001 10.3'!AC29</f>
        <v>0</v>
      </c>
      <c r="AD28">
        <f>'mk 001 10.3'!AD29</f>
        <v>0</v>
      </c>
      <c r="AE28">
        <f>'mk 001 10.3'!AE29</f>
        <v>30</v>
      </c>
      <c r="AF28">
        <f>'mk 001 10.3'!AF29</f>
        <v>30</v>
      </c>
      <c r="AG28">
        <f>'mk 001 10.3'!AG29</f>
        <v>0</v>
      </c>
      <c r="AH28">
        <f>'mk 001 10.3'!AH29</f>
        <v>0</v>
      </c>
      <c r="AI28" t="str">
        <f>'mk 001 10.3'!AI29</f>
        <v>OPRCD489MOPRCD00000OPRCDF213OPRCD00000OPRCD923</v>
      </c>
      <c r="AJ28" t="str">
        <f>'mk 001 10.3'!AJ29</f>
        <v>ซื้อ / ขาย</v>
      </c>
      <c r="AK28" t="str">
        <f>'mk 001 10.3'!AK29</f>
        <v>Main proudct</v>
      </c>
      <c r="AL28" t="str">
        <f>'mk 001 10.3'!AL29</f>
        <v>Bulk Normal</v>
      </c>
      <c r="AM28" t="str">
        <f>'mk 001 10.3'!AM29</f>
        <v>สุกร</v>
      </c>
      <c r="AN28" t="str">
        <f>'mk 001 10.3'!AN29</f>
        <v>MT2001 SUPER MK.-Makro</v>
      </c>
      <c r="AO28" t="str">
        <f>'mk 001 10.3'!AO29</f>
        <v>MT</v>
      </c>
      <c r="AP28">
        <f>'mk 001 10.3'!AP29</f>
        <v>20</v>
      </c>
      <c r="AQ28">
        <f>'mk 001 10.3'!AQ29</f>
        <v>1</v>
      </c>
      <c r="AR28">
        <f>'mk 001 10.3'!AR29</f>
        <v>0</v>
      </c>
      <c r="AS28">
        <f>'mk 001 10.3'!AS29</f>
        <v>0</v>
      </c>
      <c r="AT28" t="str">
        <f>'mk 001 10.3'!AT29</f>
        <v>เบญจพจน์ เพชรเหลี่ยม</v>
      </c>
      <c r="AU28" t="str">
        <f>'mk 001 10.3'!AU29</f>
        <v>2026-05-08-13.09.12.000000</v>
      </c>
      <c r="AV28" t="str">
        <f>'mk 001 10.3'!AV29</f>
        <v>ก.ก.</v>
      </c>
      <c r="AW28" t="str">
        <f>'mk 001 10.3'!AW29</f>
        <v>ก.ก.</v>
      </c>
      <c r="AX28" t="str">
        <f>'mk 001 10.3'!AX29</f>
        <v xml:space="preserve"> </v>
      </c>
      <c r="AY28">
        <f>'mk 001 10.3'!AY29</f>
        <v>0</v>
      </c>
      <c r="AZ28" t="str">
        <f>'mk 001 10.3'!AZ29</f>
        <v>N</v>
      </c>
      <c r="BA28" s="22">
        <f>'mk 001 10.3'!BA29</f>
        <v>9044989472405</v>
      </c>
      <c r="BB28">
        <f>'mk 001 10.3'!BB29</f>
        <v>0</v>
      </c>
      <c r="BC28">
        <f>'mk 001 10.3'!BC29</f>
        <v>0</v>
      </c>
      <c r="BD28">
        <f>'mk 001 10.3'!BD29</f>
        <v>1</v>
      </c>
      <c r="BE28">
        <f>'mk 001 10.3'!BE29</f>
        <v>0</v>
      </c>
      <c r="BF28" t="str">
        <f>'mk 001 10.3'!BF29</f>
        <v>;0000</v>
      </c>
      <c r="BG28">
        <f>'mk 001 10.3'!BG29</f>
        <v>1333314600</v>
      </c>
      <c r="BH28" t="str">
        <f>'mk 001 10.3'!BH29</f>
        <v>G</v>
      </c>
      <c r="BI28">
        <f>'mk 001 10.3'!BI29</f>
        <v>30</v>
      </c>
      <c r="BJ28">
        <f>'mk 001 10.3'!BJ29</f>
        <v>30</v>
      </c>
      <c r="BK28">
        <f>'mk 001 10.3'!BK29</f>
        <v>0</v>
      </c>
      <c r="BL28" t="str">
        <f>'mk 001 10.3'!BL29</f>
        <v>SYSBATCH</v>
      </c>
      <c r="BM28">
        <f>'mk 001 10.3'!BM29</f>
        <v>0</v>
      </c>
      <c r="BN28">
        <f>'mk 001 10.3'!BN29</f>
        <v>0</v>
      </c>
    </row>
    <row r="29" spans="1:66" x14ac:dyDescent="0.35">
      <c r="A29">
        <f>'mk 001 10.3'!A30</f>
        <v>0</v>
      </c>
      <c r="B29">
        <f>'mk 001 10.3'!B30</f>
        <v>0</v>
      </c>
      <c r="C29" s="1" t="str">
        <f>'mk 001 10.3'!C30</f>
        <v>14/5/2569</v>
      </c>
      <c r="D29" s="1" t="str">
        <f>'mk 001 10.3'!D30</f>
        <v>14/5/2569</v>
      </c>
      <c r="E29">
        <f>'mk 001 10.3'!E30</f>
        <v>0</v>
      </c>
      <c r="F29" t="str">
        <f>'mk 001 10.3'!F30</f>
        <v>489M</v>
      </c>
      <c r="G29" t="str">
        <f>'mk 001 10.3'!G30</f>
        <v>Modern Trade (Makro)</v>
      </c>
      <c r="H29">
        <f>'mk 001 10.3'!H30</f>
        <v>0</v>
      </c>
      <c r="I29" t="str">
        <f>'mk 001 10.3'!I30</f>
        <v>หน่วยงานกลาง</v>
      </c>
      <c r="J29" t="str">
        <f>'mk 001 10.3'!J30</f>
        <v>F213  DMCW-รชล-พระพุทธบาท</v>
      </c>
      <c r="K29" t="str">
        <f>'mk 001 10.3'!K30</f>
        <v>00000  หน่วยงานกลาง</v>
      </c>
      <c r="L29">
        <f>'mk 001 10.3'!L30</f>
        <v>923</v>
      </c>
      <c r="M29">
        <f>'mk 001 10.3'!M30</f>
        <v>0</v>
      </c>
      <c r="N29" t="str">
        <f>'mk 001 10.3'!N30</f>
        <v>1A53017200</v>
      </c>
      <c r="O29" t="str">
        <f>'mk 001 10.3'!O30</f>
        <v>บมจ. ซีพี แอ็กซ์ตร้า สาขาชัยนาท</v>
      </c>
      <c r="P29">
        <f>'mk 001 10.3'!P30</f>
        <v>2</v>
      </c>
      <c r="Q29" t="str">
        <f>'mk 001 10.3'!Q30</f>
        <v>MAKRO 0164 สาขาชัยนาท</v>
      </c>
      <c r="R29" s="1">
        <f>'mk 001 10.3'!R30</f>
        <v>244566</v>
      </c>
      <c r="S29" s="1" t="str">
        <f>'mk 001 10.3'!S30</f>
        <v>14/5/2569</v>
      </c>
      <c r="T29" t="str">
        <f>'mk 001 10.3'!T30</f>
        <v>H6954RMA0058184</v>
      </c>
      <c r="U29">
        <f>'mk 001 10.3'!U30</f>
        <v>23062111</v>
      </c>
      <c r="V29" t="str">
        <f>'mk 001 10.3'!V30</f>
        <v>ปอด(M)</v>
      </c>
      <c r="W29">
        <f>'mk 001 10.3'!W30</f>
        <v>0</v>
      </c>
      <c r="X29">
        <f>'mk 001 10.3'!X30</f>
        <v>0</v>
      </c>
      <c r="Y29">
        <f t="shared" si="0"/>
        <v>0</v>
      </c>
      <c r="Z29" s="13">
        <f>IF(COUNTIFS(แปลงข้อมูล!H:H,Q29,แปลงข้อมูล!I:I,U29,แปลงข้อมูล!J:J,V29)&gt;0,SUMIFS(แปลงข้อมูล!Q:Q,แปลงข้อมูล!I:I,U29,แปลงข้อมูล!H:H,Q29,แปลงข้อมูล!J:J,V29),'mk 001 10.3'!Z30)</f>
        <v>0</v>
      </c>
      <c r="AA29">
        <f>'mk 001 10.3'!AA30</f>
        <v>0</v>
      </c>
      <c r="AB29">
        <f>'mk 001 10.3'!AB30</f>
        <v>0</v>
      </c>
      <c r="AC29">
        <f>'mk 001 10.3'!AC30</f>
        <v>0</v>
      </c>
      <c r="AD29">
        <f>'mk 001 10.3'!AD30</f>
        <v>0</v>
      </c>
      <c r="AE29">
        <f>'mk 001 10.3'!AE30</f>
        <v>0</v>
      </c>
      <c r="AF29">
        <f>'mk 001 10.3'!AF30</f>
        <v>0</v>
      </c>
      <c r="AG29">
        <f>'mk 001 10.3'!AG30</f>
        <v>0</v>
      </c>
      <c r="AH29">
        <f>'mk 001 10.3'!AH30</f>
        <v>0</v>
      </c>
      <c r="AI29" t="str">
        <f>'mk 001 10.3'!AI30</f>
        <v>OPRCD489MOPRCD00000OPRCDF213OPRCD00000OPRCD923</v>
      </c>
      <c r="AJ29" t="str">
        <f>'mk 001 10.3'!AJ30</f>
        <v>ซื้อ / ขาย</v>
      </c>
      <c r="AK29" t="str">
        <f>'mk 001 10.3'!AK30</f>
        <v>By proudct</v>
      </c>
      <c r="AL29" t="str">
        <f>'mk 001 10.3'!AL30</f>
        <v>Bulk Normal</v>
      </c>
      <c r="AM29" t="str">
        <f>'mk 001 10.3'!AM30</f>
        <v>สุกร</v>
      </c>
      <c r="AN29" t="str">
        <f>'mk 001 10.3'!AN30</f>
        <v>MT2001 SUPER MK.-Makro</v>
      </c>
      <c r="AO29" t="str">
        <f>'mk 001 10.3'!AO30</f>
        <v>MT</v>
      </c>
      <c r="AP29">
        <f>'mk 001 10.3'!AP30</f>
        <v>20</v>
      </c>
      <c r="AQ29">
        <f>'mk 001 10.3'!AQ30</f>
        <v>1</v>
      </c>
      <c r="AR29">
        <f>'mk 001 10.3'!AR30</f>
        <v>0</v>
      </c>
      <c r="AS29">
        <f>'mk 001 10.3'!AS30</f>
        <v>0</v>
      </c>
      <c r="AT29" t="str">
        <f>'mk 001 10.3'!AT30</f>
        <v>เบญจพจน์ เพชรเหลี่ยม</v>
      </c>
      <c r="AU29" t="str">
        <f>'mk 001 10.3'!AU30</f>
        <v>2026-05-08-13.09.12.000000</v>
      </c>
      <c r="AV29" t="str">
        <f>'mk 001 10.3'!AV30</f>
        <v>ก.ก.</v>
      </c>
      <c r="AW29" t="str">
        <f>'mk 001 10.3'!AW30</f>
        <v>ก.ก.</v>
      </c>
      <c r="AX29" t="str">
        <f>'mk 001 10.3'!AX30</f>
        <v xml:space="preserve"> </v>
      </c>
      <c r="AY29">
        <f>'mk 001 10.3'!AY30</f>
        <v>0</v>
      </c>
      <c r="AZ29" t="str">
        <f>'mk 001 10.3'!AZ30</f>
        <v>N</v>
      </c>
      <c r="BA29" s="22">
        <f>'mk 001 10.3'!BA30</f>
        <v>9044989472405</v>
      </c>
      <c r="BB29">
        <f>'mk 001 10.3'!BB30</f>
        <v>0</v>
      </c>
      <c r="BC29">
        <f>'mk 001 10.3'!BC30</f>
        <v>0</v>
      </c>
      <c r="BD29">
        <f>'mk 001 10.3'!BD30</f>
        <v>1</v>
      </c>
      <c r="BE29">
        <f>'mk 001 10.3'!BE30</f>
        <v>0</v>
      </c>
      <c r="BF29" t="str">
        <f>'mk 001 10.3'!BF30</f>
        <v>;0000</v>
      </c>
      <c r="BG29">
        <f>'mk 001 10.3'!BG30</f>
        <v>1333314600</v>
      </c>
      <c r="BH29" t="str">
        <f>'mk 001 10.3'!BH30</f>
        <v>G</v>
      </c>
      <c r="BI29">
        <f>'mk 001 10.3'!BI30</f>
        <v>0</v>
      </c>
      <c r="BJ29">
        <f>'mk 001 10.3'!BJ30</f>
        <v>0</v>
      </c>
      <c r="BK29">
        <f>'mk 001 10.3'!BK30</f>
        <v>0</v>
      </c>
      <c r="BL29" t="str">
        <f>'mk 001 10.3'!BL30</f>
        <v>SYSBATCH</v>
      </c>
      <c r="BM29">
        <f>'mk 001 10.3'!BM30</f>
        <v>0</v>
      </c>
      <c r="BN29">
        <f>'mk 001 10.3'!BN30</f>
        <v>0</v>
      </c>
    </row>
    <row r="30" spans="1:66" x14ac:dyDescent="0.35">
      <c r="A30">
        <f>'mk 001 10.3'!A31</f>
        <v>0</v>
      </c>
      <c r="B30">
        <f>'mk 001 10.3'!B31</f>
        <v>0</v>
      </c>
      <c r="C30" s="1" t="str">
        <f>'mk 001 10.3'!C31</f>
        <v>14/5/2569</v>
      </c>
      <c r="D30" s="1" t="str">
        <f>'mk 001 10.3'!D31</f>
        <v>14/5/2569</v>
      </c>
      <c r="E30">
        <f>'mk 001 10.3'!E31</f>
        <v>0</v>
      </c>
      <c r="F30" t="str">
        <f>'mk 001 10.3'!F31</f>
        <v>489M</v>
      </c>
      <c r="G30" t="str">
        <f>'mk 001 10.3'!G31</f>
        <v>Modern Trade (Makro)</v>
      </c>
      <c r="H30">
        <f>'mk 001 10.3'!H31</f>
        <v>0</v>
      </c>
      <c r="I30" t="str">
        <f>'mk 001 10.3'!I31</f>
        <v>หน่วยงานกลาง</v>
      </c>
      <c r="J30" t="str">
        <f>'mk 001 10.3'!J31</f>
        <v>F213  DMCW-รชล-พระพุทธบาท</v>
      </c>
      <c r="K30" t="str">
        <f>'mk 001 10.3'!K31</f>
        <v>00000  หน่วยงานกลาง</v>
      </c>
      <c r="L30">
        <f>'mk 001 10.3'!L31</f>
        <v>923</v>
      </c>
      <c r="M30">
        <f>'mk 001 10.3'!M31</f>
        <v>0</v>
      </c>
      <c r="N30" t="str">
        <f>'mk 001 10.3'!N31</f>
        <v>1A53017200</v>
      </c>
      <c r="O30" t="str">
        <f>'mk 001 10.3'!O31</f>
        <v>บมจ. ซีพี แอ็กซ์ตร้า สาขาชัยนาท</v>
      </c>
      <c r="P30">
        <f>'mk 001 10.3'!P31</f>
        <v>2</v>
      </c>
      <c r="Q30" t="str">
        <f>'mk 001 10.3'!Q31</f>
        <v>MAKRO 0164 สาขาชัยนาท</v>
      </c>
      <c r="R30" s="1">
        <f>'mk 001 10.3'!R31</f>
        <v>244566</v>
      </c>
      <c r="S30" s="1" t="str">
        <f>'mk 001 10.3'!S31</f>
        <v>14/5/2569</v>
      </c>
      <c r="T30" t="str">
        <f>'mk 001 10.3'!T31</f>
        <v>H6954RMA0058184</v>
      </c>
      <c r="U30">
        <f>'mk 001 10.3'!U31</f>
        <v>23067590</v>
      </c>
      <c r="V30" t="str">
        <f>'mk 001 10.3'!V31</f>
        <v>ขาหน้าเผา (M)</v>
      </c>
      <c r="W30">
        <f>'mk 001 10.3'!W31</f>
        <v>110</v>
      </c>
      <c r="X30">
        <f>'mk 001 10.3'!X31</f>
        <v>110</v>
      </c>
      <c r="Y30">
        <f t="shared" si="0"/>
        <v>110</v>
      </c>
      <c r="Z30" s="13">
        <f>IF(COUNTIFS(แปลงข้อมูล!H:H,Q30,แปลงข้อมูล!I:I,U30,แปลงข้อมูล!J:J,V30)&gt;0,SUMIFS(แปลงข้อมูล!Q:Q,แปลงข้อมูล!I:I,U30,แปลงข้อมูล!H:H,Q30,แปลงข้อมูล!J:J,V30),'mk 001 10.3'!Z31)</f>
        <v>110</v>
      </c>
      <c r="AA30">
        <f>'mk 001 10.3'!AA31</f>
        <v>0</v>
      </c>
      <c r="AB30">
        <f>'mk 001 10.3'!AB31</f>
        <v>0</v>
      </c>
      <c r="AC30">
        <f>'mk 001 10.3'!AC31</f>
        <v>0</v>
      </c>
      <c r="AD30">
        <f>'mk 001 10.3'!AD31</f>
        <v>0</v>
      </c>
      <c r="AE30">
        <f>'mk 001 10.3'!AE31</f>
        <v>110</v>
      </c>
      <c r="AF30">
        <f>'mk 001 10.3'!AF31</f>
        <v>110</v>
      </c>
      <c r="AG30">
        <f>'mk 001 10.3'!AG31</f>
        <v>0</v>
      </c>
      <c r="AH30">
        <f>'mk 001 10.3'!AH31</f>
        <v>0</v>
      </c>
      <c r="AI30" t="str">
        <f>'mk 001 10.3'!AI31</f>
        <v>OPRCD489MOPRCD00000OPRCDF213OPRCD00000OPRCD923</v>
      </c>
      <c r="AJ30" t="str">
        <f>'mk 001 10.3'!AJ31</f>
        <v>ซื้อ / ขาย</v>
      </c>
      <c r="AK30" t="str">
        <f>'mk 001 10.3'!AK31</f>
        <v>By proudct</v>
      </c>
      <c r="AL30" t="str">
        <f>'mk 001 10.3'!AL31</f>
        <v>Bulk Normal</v>
      </c>
      <c r="AM30" t="str">
        <f>'mk 001 10.3'!AM31</f>
        <v>สุกร</v>
      </c>
      <c r="AN30" t="str">
        <f>'mk 001 10.3'!AN31</f>
        <v>MT2001 SUPER MK.-Makro</v>
      </c>
      <c r="AO30" t="str">
        <f>'mk 001 10.3'!AO31</f>
        <v>MT</v>
      </c>
      <c r="AP30">
        <f>'mk 001 10.3'!AP31</f>
        <v>20</v>
      </c>
      <c r="AQ30">
        <f>'mk 001 10.3'!AQ31</f>
        <v>1</v>
      </c>
      <c r="AR30">
        <f>'mk 001 10.3'!AR31</f>
        <v>0</v>
      </c>
      <c r="AS30">
        <f>'mk 001 10.3'!AS31</f>
        <v>0</v>
      </c>
      <c r="AT30" t="str">
        <f>'mk 001 10.3'!AT31</f>
        <v>เบญจพจน์ เพชรเหลี่ยม</v>
      </c>
      <c r="AU30" t="str">
        <f>'mk 001 10.3'!AU31</f>
        <v>2026-05-08-13.09.12.000000</v>
      </c>
      <c r="AV30" t="str">
        <f>'mk 001 10.3'!AV31</f>
        <v>ก.ก.</v>
      </c>
      <c r="AW30" t="str">
        <f>'mk 001 10.3'!AW31</f>
        <v>ก.ก.</v>
      </c>
      <c r="AX30" t="str">
        <f>'mk 001 10.3'!AX31</f>
        <v xml:space="preserve"> </v>
      </c>
      <c r="AY30">
        <f>'mk 001 10.3'!AY31</f>
        <v>0</v>
      </c>
      <c r="AZ30" t="str">
        <f>'mk 001 10.3'!AZ31</f>
        <v>N</v>
      </c>
      <c r="BA30" s="22">
        <f>'mk 001 10.3'!BA31</f>
        <v>9044989472405</v>
      </c>
      <c r="BB30">
        <f>'mk 001 10.3'!BB31</f>
        <v>0</v>
      </c>
      <c r="BC30">
        <f>'mk 001 10.3'!BC31</f>
        <v>0</v>
      </c>
      <c r="BD30">
        <f>'mk 001 10.3'!BD31</f>
        <v>1</v>
      </c>
      <c r="BE30">
        <f>'mk 001 10.3'!BE31</f>
        <v>0</v>
      </c>
      <c r="BF30" t="str">
        <f>'mk 001 10.3'!BF31</f>
        <v>;0000</v>
      </c>
      <c r="BG30">
        <f>'mk 001 10.3'!BG31</f>
        <v>1333314600</v>
      </c>
      <c r="BH30" t="str">
        <f>'mk 001 10.3'!BH31</f>
        <v>G</v>
      </c>
      <c r="BI30">
        <f>'mk 001 10.3'!BI31</f>
        <v>110</v>
      </c>
      <c r="BJ30">
        <f>'mk 001 10.3'!BJ31</f>
        <v>110</v>
      </c>
      <c r="BK30">
        <f>'mk 001 10.3'!BK31</f>
        <v>0</v>
      </c>
      <c r="BL30" t="str">
        <f>'mk 001 10.3'!BL31</f>
        <v>SYSBATCH</v>
      </c>
      <c r="BM30">
        <f>'mk 001 10.3'!BM31</f>
        <v>0</v>
      </c>
      <c r="BN30">
        <f>'mk 001 10.3'!BN31</f>
        <v>0</v>
      </c>
    </row>
    <row r="31" spans="1:66" x14ac:dyDescent="0.35">
      <c r="A31">
        <f>'mk 001 10.3'!A32</f>
        <v>0</v>
      </c>
      <c r="B31">
        <f>'mk 001 10.3'!B32</f>
        <v>0</v>
      </c>
      <c r="C31" s="1" t="str">
        <f>'mk 001 10.3'!C32</f>
        <v>14/5/2569</v>
      </c>
      <c r="D31" s="1" t="str">
        <f>'mk 001 10.3'!D32</f>
        <v>14/5/2569</v>
      </c>
      <c r="E31">
        <f>'mk 001 10.3'!E32</f>
        <v>0</v>
      </c>
      <c r="F31" t="str">
        <f>'mk 001 10.3'!F32</f>
        <v>489M</v>
      </c>
      <c r="G31" t="str">
        <f>'mk 001 10.3'!G32</f>
        <v>Modern Trade (Makro)</v>
      </c>
      <c r="H31">
        <f>'mk 001 10.3'!H32</f>
        <v>0</v>
      </c>
      <c r="I31" t="str">
        <f>'mk 001 10.3'!I32</f>
        <v>หน่วยงานกลาง</v>
      </c>
      <c r="J31" t="str">
        <f>'mk 001 10.3'!J32</f>
        <v>F213  DMCW-รชล-พระพุทธบาท</v>
      </c>
      <c r="K31" t="str">
        <f>'mk 001 10.3'!K32</f>
        <v>00000  หน่วยงานกลาง</v>
      </c>
      <c r="L31">
        <f>'mk 001 10.3'!L32</f>
        <v>923</v>
      </c>
      <c r="M31">
        <f>'mk 001 10.3'!M32</f>
        <v>0</v>
      </c>
      <c r="N31" t="str">
        <f>'mk 001 10.3'!N32</f>
        <v>1A53017200</v>
      </c>
      <c r="O31" t="str">
        <f>'mk 001 10.3'!O32</f>
        <v>บมจ. ซีพี แอ็กซ์ตร้า สาขาชัยนาท</v>
      </c>
      <c r="P31">
        <f>'mk 001 10.3'!P32</f>
        <v>2</v>
      </c>
      <c r="Q31" t="str">
        <f>'mk 001 10.3'!Q32</f>
        <v>MAKRO 0164 สาขาชัยนาท</v>
      </c>
      <c r="R31" s="1">
        <f>'mk 001 10.3'!R32</f>
        <v>244566</v>
      </c>
      <c r="S31" s="1" t="str">
        <f>'mk 001 10.3'!S32</f>
        <v>14/5/2569</v>
      </c>
      <c r="T31" t="str">
        <f>'mk 001 10.3'!T32</f>
        <v>H6954RMA0058184</v>
      </c>
      <c r="U31">
        <f>'mk 001 10.3'!U32</f>
        <v>23062107</v>
      </c>
      <c r="V31" t="str">
        <f>'mk 001 10.3'!V32</f>
        <v>เลือดก้อน(M)</v>
      </c>
      <c r="W31">
        <f>'mk 001 10.3'!W32</f>
        <v>40</v>
      </c>
      <c r="X31">
        <f>'mk 001 10.3'!X32</f>
        <v>40</v>
      </c>
      <c r="Y31">
        <f t="shared" si="0"/>
        <v>40</v>
      </c>
      <c r="Z31" s="13">
        <f>IF(COUNTIFS(แปลงข้อมูล!H:H,Q31,แปลงข้อมูล!I:I,U31,แปลงข้อมูล!J:J,V31)&gt;0,SUMIFS(แปลงข้อมูล!Q:Q,แปลงข้อมูล!I:I,U31,แปลงข้อมูล!H:H,Q31,แปลงข้อมูล!J:J,V31),'mk 001 10.3'!Z32)</f>
        <v>40</v>
      </c>
      <c r="AA31">
        <f>'mk 001 10.3'!AA32</f>
        <v>0</v>
      </c>
      <c r="AB31">
        <f>'mk 001 10.3'!AB32</f>
        <v>0</v>
      </c>
      <c r="AC31">
        <f>'mk 001 10.3'!AC32</f>
        <v>0</v>
      </c>
      <c r="AD31">
        <f>'mk 001 10.3'!AD32</f>
        <v>0</v>
      </c>
      <c r="AE31">
        <f>'mk 001 10.3'!AE32</f>
        <v>40</v>
      </c>
      <c r="AF31">
        <f>'mk 001 10.3'!AF32</f>
        <v>40</v>
      </c>
      <c r="AG31">
        <f>'mk 001 10.3'!AG32</f>
        <v>0</v>
      </c>
      <c r="AH31">
        <f>'mk 001 10.3'!AH32</f>
        <v>0</v>
      </c>
      <c r="AI31" t="str">
        <f>'mk 001 10.3'!AI32</f>
        <v>OPRCD489MOPRCD00000OPRCDF213OPRCD00000OPRCD923</v>
      </c>
      <c r="AJ31" t="str">
        <f>'mk 001 10.3'!AJ32</f>
        <v>ซื้อ / ขาย</v>
      </c>
      <c r="AK31" t="str">
        <f>'mk 001 10.3'!AK32</f>
        <v>By proudct</v>
      </c>
      <c r="AL31" t="str">
        <f>'mk 001 10.3'!AL32</f>
        <v>Bulk Normal</v>
      </c>
      <c r="AM31" t="str">
        <f>'mk 001 10.3'!AM32</f>
        <v>สุกร</v>
      </c>
      <c r="AN31" t="str">
        <f>'mk 001 10.3'!AN32</f>
        <v>MT2001 SUPER MK.-Makro</v>
      </c>
      <c r="AO31" t="str">
        <f>'mk 001 10.3'!AO32</f>
        <v>MT</v>
      </c>
      <c r="AP31">
        <f>'mk 001 10.3'!AP32</f>
        <v>20</v>
      </c>
      <c r="AQ31">
        <f>'mk 001 10.3'!AQ32</f>
        <v>1</v>
      </c>
      <c r="AR31">
        <f>'mk 001 10.3'!AR32</f>
        <v>0</v>
      </c>
      <c r="AS31">
        <f>'mk 001 10.3'!AS32</f>
        <v>0</v>
      </c>
      <c r="AT31" t="str">
        <f>'mk 001 10.3'!AT32</f>
        <v>เบญจพจน์ เพชรเหลี่ยม</v>
      </c>
      <c r="AU31" t="str">
        <f>'mk 001 10.3'!AU32</f>
        <v>2026-05-08-13.09.12.000000</v>
      </c>
      <c r="AV31" t="str">
        <f>'mk 001 10.3'!AV32</f>
        <v>ก.ก.</v>
      </c>
      <c r="AW31" t="str">
        <f>'mk 001 10.3'!AW32</f>
        <v>ก.ก.</v>
      </c>
      <c r="AX31" t="str">
        <f>'mk 001 10.3'!AX32</f>
        <v xml:space="preserve"> </v>
      </c>
      <c r="AY31">
        <f>'mk 001 10.3'!AY32</f>
        <v>0</v>
      </c>
      <c r="AZ31" t="str">
        <f>'mk 001 10.3'!AZ32</f>
        <v>N</v>
      </c>
      <c r="BA31" s="22">
        <f>'mk 001 10.3'!BA32</f>
        <v>9044989472405</v>
      </c>
      <c r="BB31">
        <f>'mk 001 10.3'!BB32</f>
        <v>0</v>
      </c>
      <c r="BC31">
        <f>'mk 001 10.3'!BC32</f>
        <v>0</v>
      </c>
      <c r="BD31">
        <f>'mk 001 10.3'!BD32</f>
        <v>1</v>
      </c>
      <c r="BE31">
        <f>'mk 001 10.3'!BE32</f>
        <v>0</v>
      </c>
      <c r="BF31" t="str">
        <f>'mk 001 10.3'!BF32</f>
        <v>;0000</v>
      </c>
      <c r="BG31">
        <f>'mk 001 10.3'!BG32</f>
        <v>1333314600</v>
      </c>
      <c r="BH31" t="str">
        <f>'mk 001 10.3'!BH32</f>
        <v>G</v>
      </c>
      <c r="BI31">
        <f>'mk 001 10.3'!BI32</f>
        <v>40</v>
      </c>
      <c r="BJ31">
        <f>'mk 001 10.3'!BJ32</f>
        <v>40</v>
      </c>
      <c r="BK31">
        <f>'mk 001 10.3'!BK32</f>
        <v>0</v>
      </c>
      <c r="BL31" t="str">
        <f>'mk 001 10.3'!BL32</f>
        <v>SYSBATCH</v>
      </c>
      <c r="BM31">
        <f>'mk 001 10.3'!BM32</f>
        <v>0</v>
      </c>
      <c r="BN31">
        <f>'mk 001 10.3'!BN32</f>
        <v>0</v>
      </c>
    </row>
    <row r="32" spans="1:66" x14ac:dyDescent="0.35">
      <c r="A32">
        <f>'mk 001 10.3'!A33</f>
        <v>0</v>
      </c>
      <c r="B32">
        <f>'mk 001 10.3'!B33</f>
        <v>0</v>
      </c>
      <c r="C32" s="1" t="str">
        <f>'mk 001 10.3'!C33</f>
        <v>14/5/2569</v>
      </c>
      <c r="D32" s="1" t="str">
        <f>'mk 001 10.3'!D33</f>
        <v>14/5/2569</v>
      </c>
      <c r="E32">
        <f>'mk 001 10.3'!E33</f>
        <v>0</v>
      </c>
      <c r="F32" t="str">
        <f>'mk 001 10.3'!F33</f>
        <v>489M</v>
      </c>
      <c r="G32" t="str">
        <f>'mk 001 10.3'!G33</f>
        <v>Modern Trade (Makro)</v>
      </c>
      <c r="H32">
        <f>'mk 001 10.3'!H33</f>
        <v>0</v>
      </c>
      <c r="I32" t="str">
        <f>'mk 001 10.3'!I33</f>
        <v>หน่วยงานกลาง</v>
      </c>
      <c r="J32" t="str">
        <f>'mk 001 10.3'!J33</f>
        <v>F213  DMCW-รชล-พระพุทธบาท</v>
      </c>
      <c r="K32" t="str">
        <f>'mk 001 10.3'!K33</f>
        <v>00000  หน่วยงานกลาง</v>
      </c>
      <c r="L32">
        <f>'mk 001 10.3'!L33</f>
        <v>923</v>
      </c>
      <c r="M32">
        <f>'mk 001 10.3'!M33</f>
        <v>0</v>
      </c>
      <c r="N32" t="str">
        <f>'mk 001 10.3'!N33</f>
        <v>1A53017200</v>
      </c>
      <c r="O32" t="str">
        <f>'mk 001 10.3'!O33</f>
        <v>บมจ. ซีพี แอ็กซ์ตร้า สาขาชัยนาท</v>
      </c>
      <c r="P32">
        <f>'mk 001 10.3'!P33</f>
        <v>2</v>
      </c>
      <c r="Q32" t="str">
        <f>'mk 001 10.3'!Q33</f>
        <v>MAKRO 0164 สาขาชัยนาท</v>
      </c>
      <c r="R32" s="1">
        <f>'mk 001 10.3'!R33</f>
        <v>244566</v>
      </c>
      <c r="S32" s="1" t="str">
        <f>'mk 001 10.3'!S33</f>
        <v>14/5/2569</v>
      </c>
      <c r="T32" t="str">
        <f>'mk 001 10.3'!T33</f>
        <v>H6954RMA0058184</v>
      </c>
      <c r="U32">
        <f>'mk 001 10.3'!U33</f>
        <v>23058585</v>
      </c>
      <c r="V32" t="str">
        <f>'mk 001 10.3'!V33</f>
        <v>ขั้วตับ (M)</v>
      </c>
      <c r="W32">
        <f>'mk 001 10.3'!W33</f>
        <v>10</v>
      </c>
      <c r="X32">
        <f>'mk 001 10.3'!X33</f>
        <v>10</v>
      </c>
      <c r="Y32">
        <f t="shared" si="0"/>
        <v>10</v>
      </c>
      <c r="Z32" s="13">
        <f>IF(COUNTIFS(แปลงข้อมูล!H:H,Q32,แปลงข้อมูล!I:I,U32,แปลงข้อมูล!J:J,V32)&gt;0,SUMIFS(แปลงข้อมูล!Q:Q,แปลงข้อมูล!I:I,U32,แปลงข้อมูล!H:H,Q32,แปลงข้อมูล!J:J,V32),'mk 001 10.3'!Z33)</f>
        <v>10</v>
      </c>
      <c r="AA32">
        <f>'mk 001 10.3'!AA33</f>
        <v>0</v>
      </c>
      <c r="AB32">
        <f>'mk 001 10.3'!AB33</f>
        <v>0</v>
      </c>
      <c r="AC32">
        <f>'mk 001 10.3'!AC33</f>
        <v>0</v>
      </c>
      <c r="AD32">
        <f>'mk 001 10.3'!AD33</f>
        <v>0</v>
      </c>
      <c r="AE32">
        <f>'mk 001 10.3'!AE33</f>
        <v>10</v>
      </c>
      <c r="AF32">
        <f>'mk 001 10.3'!AF33</f>
        <v>10</v>
      </c>
      <c r="AG32">
        <f>'mk 001 10.3'!AG33</f>
        <v>0</v>
      </c>
      <c r="AH32">
        <f>'mk 001 10.3'!AH33</f>
        <v>0</v>
      </c>
      <c r="AI32" t="str">
        <f>'mk 001 10.3'!AI33</f>
        <v>OPRCD489MOPRCD00000OPRCDF213OPRCD00000OPRCD923</v>
      </c>
      <c r="AJ32" t="str">
        <f>'mk 001 10.3'!AJ33</f>
        <v>ซื้อ / ขาย</v>
      </c>
      <c r="AK32" t="str">
        <f>'mk 001 10.3'!AK33</f>
        <v>By proudct</v>
      </c>
      <c r="AL32" t="str">
        <f>'mk 001 10.3'!AL33</f>
        <v>Bulk Normal</v>
      </c>
      <c r="AM32" t="str">
        <f>'mk 001 10.3'!AM33</f>
        <v>สุกร</v>
      </c>
      <c r="AN32" t="str">
        <f>'mk 001 10.3'!AN33</f>
        <v>MT2001 SUPER MK.-Makro</v>
      </c>
      <c r="AO32" t="str">
        <f>'mk 001 10.3'!AO33</f>
        <v>MT</v>
      </c>
      <c r="AP32">
        <f>'mk 001 10.3'!AP33</f>
        <v>20</v>
      </c>
      <c r="AQ32">
        <f>'mk 001 10.3'!AQ33</f>
        <v>1</v>
      </c>
      <c r="AR32">
        <f>'mk 001 10.3'!AR33</f>
        <v>0</v>
      </c>
      <c r="AS32">
        <f>'mk 001 10.3'!AS33</f>
        <v>0</v>
      </c>
      <c r="AT32" t="str">
        <f>'mk 001 10.3'!AT33</f>
        <v>เบญจพจน์ เพชรเหลี่ยม</v>
      </c>
      <c r="AU32" t="str">
        <f>'mk 001 10.3'!AU33</f>
        <v>2026-05-08-13.09.12.000000</v>
      </c>
      <c r="AV32" t="str">
        <f>'mk 001 10.3'!AV33</f>
        <v>ก.ก.</v>
      </c>
      <c r="AW32" t="str">
        <f>'mk 001 10.3'!AW33</f>
        <v>ก.ก.</v>
      </c>
      <c r="AX32" t="str">
        <f>'mk 001 10.3'!AX33</f>
        <v xml:space="preserve"> </v>
      </c>
      <c r="AY32">
        <f>'mk 001 10.3'!AY33</f>
        <v>0</v>
      </c>
      <c r="AZ32" t="str">
        <f>'mk 001 10.3'!AZ33</f>
        <v>N</v>
      </c>
      <c r="BA32" s="22">
        <f>'mk 001 10.3'!BA33</f>
        <v>9044989472405</v>
      </c>
      <c r="BB32">
        <f>'mk 001 10.3'!BB33</f>
        <v>0</v>
      </c>
      <c r="BC32">
        <f>'mk 001 10.3'!BC33</f>
        <v>0</v>
      </c>
      <c r="BD32">
        <f>'mk 001 10.3'!BD33</f>
        <v>1</v>
      </c>
      <c r="BE32">
        <f>'mk 001 10.3'!BE33</f>
        <v>0</v>
      </c>
      <c r="BF32" t="str">
        <f>'mk 001 10.3'!BF33</f>
        <v>;0000</v>
      </c>
      <c r="BG32">
        <f>'mk 001 10.3'!BG33</f>
        <v>1333314600</v>
      </c>
      <c r="BH32" t="str">
        <f>'mk 001 10.3'!BH33</f>
        <v>G</v>
      </c>
      <c r="BI32">
        <f>'mk 001 10.3'!BI33</f>
        <v>10</v>
      </c>
      <c r="BJ32">
        <f>'mk 001 10.3'!BJ33</f>
        <v>10</v>
      </c>
      <c r="BK32">
        <f>'mk 001 10.3'!BK33</f>
        <v>0</v>
      </c>
      <c r="BL32" t="str">
        <f>'mk 001 10.3'!BL33</f>
        <v>SYSBATCH</v>
      </c>
      <c r="BM32">
        <f>'mk 001 10.3'!BM33</f>
        <v>0</v>
      </c>
      <c r="BN32">
        <f>'mk 001 10.3'!BN33</f>
        <v>0</v>
      </c>
    </row>
    <row r="33" spans="1:66" x14ac:dyDescent="0.35">
      <c r="A33">
        <f>'mk 001 10.3'!A34</f>
        <v>0</v>
      </c>
      <c r="B33">
        <f>'mk 001 10.3'!B34</f>
        <v>0</v>
      </c>
      <c r="C33" s="1" t="str">
        <f>'mk 001 10.3'!C34</f>
        <v>14/5/2569</v>
      </c>
      <c r="D33" s="1" t="str">
        <f>'mk 001 10.3'!D34</f>
        <v>14/5/2569</v>
      </c>
      <c r="E33">
        <f>'mk 001 10.3'!E34</f>
        <v>0</v>
      </c>
      <c r="F33" t="str">
        <f>'mk 001 10.3'!F34</f>
        <v>489M</v>
      </c>
      <c r="G33" t="str">
        <f>'mk 001 10.3'!G34</f>
        <v>Modern Trade (Makro)</v>
      </c>
      <c r="H33">
        <f>'mk 001 10.3'!H34</f>
        <v>0</v>
      </c>
      <c r="I33" t="str">
        <f>'mk 001 10.3'!I34</f>
        <v>หน่วยงานกลาง</v>
      </c>
      <c r="J33" t="str">
        <f>'mk 001 10.3'!J34</f>
        <v>F213  DMCW-รชล-พระพุทธบาท</v>
      </c>
      <c r="K33" t="str">
        <f>'mk 001 10.3'!K34</f>
        <v>00000  หน่วยงานกลาง</v>
      </c>
      <c r="L33">
        <f>'mk 001 10.3'!L34</f>
        <v>923</v>
      </c>
      <c r="M33">
        <f>'mk 001 10.3'!M34</f>
        <v>0</v>
      </c>
      <c r="N33" t="str">
        <f>'mk 001 10.3'!N34</f>
        <v>1A53017200</v>
      </c>
      <c r="O33" t="str">
        <f>'mk 001 10.3'!O34</f>
        <v>บมจ. ซีพี แอ็กซ์ตร้า สาขาชัยนาท</v>
      </c>
      <c r="P33">
        <f>'mk 001 10.3'!P34</f>
        <v>2</v>
      </c>
      <c r="Q33" t="str">
        <f>'mk 001 10.3'!Q34</f>
        <v>MAKRO 0164 สาขาชัยนาท</v>
      </c>
      <c r="R33" s="1">
        <f>'mk 001 10.3'!R34</f>
        <v>244566</v>
      </c>
      <c r="S33" s="1" t="str">
        <f>'mk 001 10.3'!S34</f>
        <v>14/5/2569</v>
      </c>
      <c r="T33" t="str">
        <f>'mk 001 10.3'!T34</f>
        <v>H6954RMA0058184</v>
      </c>
      <c r="U33">
        <f>'mk 001 10.3'!U34</f>
        <v>23058588</v>
      </c>
      <c r="V33" t="str">
        <f>'mk 001 10.3'!V34</f>
        <v>ม้าม (M)</v>
      </c>
      <c r="W33">
        <f>'mk 001 10.3'!W34</f>
        <v>5</v>
      </c>
      <c r="X33">
        <f>'mk 001 10.3'!X34</f>
        <v>5</v>
      </c>
      <c r="Y33">
        <f t="shared" si="0"/>
        <v>5</v>
      </c>
      <c r="Z33" s="13">
        <f>IF(COUNTIFS(แปลงข้อมูล!H:H,Q33,แปลงข้อมูล!I:I,U33,แปลงข้อมูล!J:J,V33)&gt;0,SUMIFS(แปลงข้อมูล!Q:Q,แปลงข้อมูล!I:I,U33,แปลงข้อมูล!H:H,Q33,แปลงข้อมูล!J:J,V33),'mk 001 10.3'!Z34)</f>
        <v>5</v>
      </c>
      <c r="AA33">
        <f>'mk 001 10.3'!AA34</f>
        <v>0</v>
      </c>
      <c r="AB33">
        <f>'mk 001 10.3'!AB34</f>
        <v>0</v>
      </c>
      <c r="AC33">
        <f>'mk 001 10.3'!AC34</f>
        <v>0</v>
      </c>
      <c r="AD33">
        <f>'mk 001 10.3'!AD34</f>
        <v>0</v>
      </c>
      <c r="AE33">
        <f>'mk 001 10.3'!AE34</f>
        <v>5</v>
      </c>
      <c r="AF33">
        <f>'mk 001 10.3'!AF34</f>
        <v>5</v>
      </c>
      <c r="AG33">
        <f>'mk 001 10.3'!AG34</f>
        <v>0</v>
      </c>
      <c r="AH33">
        <f>'mk 001 10.3'!AH34</f>
        <v>0</v>
      </c>
      <c r="AI33" t="str">
        <f>'mk 001 10.3'!AI34</f>
        <v>OPRCD489MOPRCD00000OPRCDF213OPRCD00000OPRCD923</v>
      </c>
      <c r="AJ33" t="str">
        <f>'mk 001 10.3'!AJ34</f>
        <v>ซื้อ / ขาย</v>
      </c>
      <c r="AK33" t="str">
        <f>'mk 001 10.3'!AK34</f>
        <v>By proudct</v>
      </c>
      <c r="AL33" t="str">
        <f>'mk 001 10.3'!AL34</f>
        <v>Bulk Normal</v>
      </c>
      <c r="AM33" t="str">
        <f>'mk 001 10.3'!AM34</f>
        <v>สุกร</v>
      </c>
      <c r="AN33" t="str">
        <f>'mk 001 10.3'!AN34</f>
        <v>MT2001 SUPER MK.-Makro</v>
      </c>
      <c r="AO33" t="str">
        <f>'mk 001 10.3'!AO34</f>
        <v>MT</v>
      </c>
      <c r="AP33">
        <f>'mk 001 10.3'!AP34</f>
        <v>20</v>
      </c>
      <c r="AQ33">
        <f>'mk 001 10.3'!AQ34</f>
        <v>1</v>
      </c>
      <c r="AR33">
        <f>'mk 001 10.3'!AR34</f>
        <v>0</v>
      </c>
      <c r="AS33">
        <f>'mk 001 10.3'!AS34</f>
        <v>0</v>
      </c>
      <c r="AT33" t="str">
        <f>'mk 001 10.3'!AT34</f>
        <v>เบญจพจน์ เพชรเหลี่ยม</v>
      </c>
      <c r="AU33" t="str">
        <f>'mk 001 10.3'!AU34</f>
        <v>2026-05-08-13.09.12.000000</v>
      </c>
      <c r="AV33" t="str">
        <f>'mk 001 10.3'!AV34</f>
        <v>ก.ก.</v>
      </c>
      <c r="AW33" t="str">
        <f>'mk 001 10.3'!AW34</f>
        <v>ก.ก.</v>
      </c>
      <c r="AX33" t="str">
        <f>'mk 001 10.3'!AX34</f>
        <v xml:space="preserve"> </v>
      </c>
      <c r="AY33">
        <f>'mk 001 10.3'!AY34</f>
        <v>0</v>
      </c>
      <c r="AZ33" t="str">
        <f>'mk 001 10.3'!AZ34</f>
        <v>N</v>
      </c>
      <c r="BA33" s="22">
        <f>'mk 001 10.3'!BA34</f>
        <v>9044989472405</v>
      </c>
      <c r="BB33">
        <f>'mk 001 10.3'!BB34</f>
        <v>0</v>
      </c>
      <c r="BC33">
        <f>'mk 001 10.3'!BC34</f>
        <v>0</v>
      </c>
      <c r="BD33">
        <f>'mk 001 10.3'!BD34</f>
        <v>1</v>
      </c>
      <c r="BE33">
        <f>'mk 001 10.3'!BE34</f>
        <v>0</v>
      </c>
      <c r="BF33" t="str">
        <f>'mk 001 10.3'!BF34</f>
        <v>;0000</v>
      </c>
      <c r="BG33">
        <f>'mk 001 10.3'!BG34</f>
        <v>1333314600</v>
      </c>
      <c r="BH33" t="str">
        <f>'mk 001 10.3'!BH34</f>
        <v>G</v>
      </c>
      <c r="BI33">
        <f>'mk 001 10.3'!BI34</f>
        <v>5</v>
      </c>
      <c r="BJ33">
        <f>'mk 001 10.3'!BJ34</f>
        <v>5</v>
      </c>
      <c r="BK33">
        <f>'mk 001 10.3'!BK34</f>
        <v>0</v>
      </c>
      <c r="BL33" t="str">
        <f>'mk 001 10.3'!BL34</f>
        <v>SYSBATCH</v>
      </c>
      <c r="BM33">
        <f>'mk 001 10.3'!BM34</f>
        <v>0</v>
      </c>
      <c r="BN33">
        <f>'mk 001 10.3'!BN34</f>
        <v>0</v>
      </c>
    </row>
    <row r="34" spans="1:66" x14ac:dyDescent="0.35">
      <c r="A34">
        <f>'mk 001 10.3'!A35</f>
        <v>0</v>
      </c>
      <c r="B34">
        <f>'mk 001 10.3'!B35</f>
        <v>0</v>
      </c>
      <c r="C34" s="1" t="str">
        <f>'mk 001 10.3'!C35</f>
        <v>14/5/2569</v>
      </c>
      <c r="D34" s="1" t="str">
        <f>'mk 001 10.3'!D35</f>
        <v>14/5/2569</v>
      </c>
      <c r="E34">
        <f>'mk 001 10.3'!E35</f>
        <v>0</v>
      </c>
      <c r="F34" t="str">
        <f>'mk 001 10.3'!F35</f>
        <v>489M</v>
      </c>
      <c r="G34" t="str">
        <f>'mk 001 10.3'!G35</f>
        <v>Modern Trade (Makro)</v>
      </c>
      <c r="H34">
        <f>'mk 001 10.3'!H35</f>
        <v>0</v>
      </c>
      <c r="I34" t="str">
        <f>'mk 001 10.3'!I35</f>
        <v>หน่วยงานกลาง</v>
      </c>
      <c r="J34" t="str">
        <f>'mk 001 10.3'!J35</f>
        <v>F213  DMCW-รชล-พระพุทธบาท</v>
      </c>
      <c r="K34" t="str">
        <f>'mk 001 10.3'!K35</f>
        <v>00000  หน่วยงานกลาง</v>
      </c>
      <c r="L34">
        <f>'mk 001 10.3'!L35</f>
        <v>923</v>
      </c>
      <c r="M34">
        <f>'mk 001 10.3'!M35</f>
        <v>0</v>
      </c>
      <c r="N34" t="str">
        <f>'mk 001 10.3'!N35</f>
        <v>1A53017200</v>
      </c>
      <c r="O34" t="str">
        <f>'mk 001 10.3'!O35</f>
        <v>บมจ. ซีพี แอ็กซ์ตร้า สาขาชัยนาท</v>
      </c>
      <c r="P34">
        <f>'mk 001 10.3'!P35</f>
        <v>2</v>
      </c>
      <c r="Q34" t="str">
        <f>'mk 001 10.3'!Q35</f>
        <v>MAKRO 0164 สาขาชัยนาท</v>
      </c>
      <c r="R34" s="1">
        <f>'mk 001 10.3'!R35</f>
        <v>244566</v>
      </c>
      <c r="S34" s="1" t="str">
        <f>'mk 001 10.3'!S35</f>
        <v>14/5/2569</v>
      </c>
      <c r="T34" t="str">
        <f>'mk 001 10.3'!T35</f>
        <v>H6954RMA0058184</v>
      </c>
      <c r="U34">
        <f>'mk 001 10.3'!U35</f>
        <v>23063759</v>
      </c>
      <c r="V34" t="str">
        <f>'mk 001 10.3'!V35</f>
        <v>ขาหลังเผา(M)</v>
      </c>
      <c r="W34">
        <f>'mk 001 10.3'!W35</f>
        <v>0</v>
      </c>
      <c r="X34">
        <f>'mk 001 10.3'!X35</f>
        <v>0</v>
      </c>
      <c r="Y34">
        <f t="shared" si="0"/>
        <v>0</v>
      </c>
      <c r="Z34" s="13">
        <f>IF(COUNTIFS(แปลงข้อมูล!H:H,Q34,แปลงข้อมูล!I:I,U34,แปลงข้อมูล!J:J,V34)&gt;0,SUMIFS(แปลงข้อมูล!Q:Q,แปลงข้อมูล!I:I,U34,แปลงข้อมูล!H:H,Q34,แปลงข้อมูล!J:J,V34),'mk 001 10.3'!Z35)</f>
        <v>0</v>
      </c>
      <c r="AA34">
        <f>'mk 001 10.3'!AA35</f>
        <v>0</v>
      </c>
      <c r="AB34">
        <f>'mk 001 10.3'!AB35</f>
        <v>0</v>
      </c>
      <c r="AC34">
        <f>'mk 001 10.3'!AC35</f>
        <v>0</v>
      </c>
      <c r="AD34">
        <f>'mk 001 10.3'!AD35</f>
        <v>0</v>
      </c>
      <c r="AE34">
        <f>'mk 001 10.3'!AE35</f>
        <v>0</v>
      </c>
      <c r="AF34">
        <f>'mk 001 10.3'!AF35</f>
        <v>0</v>
      </c>
      <c r="AG34">
        <f>'mk 001 10.3'!AG35</f>
        <v>0</v>
      </c>
      <c r="AH34">
        <f>'mk 001 10.3'!AH35</f>
        <v>0</v>
      </c>
      <c r="AI34" t="str">
        <f>'mk 001 10.3'!AI35</f>
        <v>OPRCD489MOPRCD00000OPRCDF213OPRCD00000OPRCD923</v>
      </c>
      <c r="AJ34" t="str">
        <f>'mk 001 10.3'!AJ35</f>
        <v>ซื้อ / ขาย</v>
      </c>
      <c r="AK34" t="str">
        <f>'mk 001 10.3'!AK35</f>
        <v>By proudct</v>
      </c>
      <c r="AL34" t="str">
        <f>'mk 001 10.3'!AL35</f>
        <v>Bulk Normal</v>
      </c>
      <c r="AM34" t="str">
        <f>'mk 001 10.3'!AM35</f>
        <v>สุกร</v>
      </c>
      <c r="AN34" t="str">
        <f>'mk 001 10.3'!AN35</f>
        <v>MT2001 SUPER MK.-Makro</v>
      </c>
      <c r="AO34" t="str">
        <f>'mk 001 10.3'!AO35</f>
        <v>MT</v>
      </c>
      <c r="AP34">
        <f>'mk 001 10.3'!AP35</f>
        <v>20</v>
      </c>
      <c r="AQ34">
        <f>'mk 001 10.3'!AQ35</f>
        <v>1</v>
      </c>
      <c r="AR34">
        <f>'mk 001 10.3'!AR35</f>
        <v>0</v>
      </c>
      <c r="AS34">
        <f>'mk 001 10.3'!AS35</f>
        <v>0</v>
      </c>
      <c r="AT34" t="str">
        <f>'mk 001 10.3'!AT35</f>
        <v>เบญจพจน์ เพชรเหลี่ยม</v>
      </c>
      <c r="AU34" t="str">
        <f>'mk 001 10.3'!AU35</f>
        <v>2026-05-08-13.09.12.000000</v>
      </c>
      <c r="AV34" t="str">
        <f>'mk 001 10.3'!AV35</f>
        <v>ก.ก.</v>
      </c>
      <c r="AW34" t="str">
        <f>'mk 001 10.3'!AW35</f>
        <v>ก.ก.</v>
      </c>
      <c r="AX34" t="str">
        <f>'mk 001 10.3'!AX35</f>
        <v xml:space="preserve"> </v>
      </c>
      <c r="AY34">
        <f>'mk 001 10.3'!AY35</f>
        <v>0</v>
      </c>
      <c r="AZ34" t="str">
        <f>'mk 001 10.3'!AZ35</f>
        <v>N</v>
      </c>
      <c r="BA34" s="22">
        <f>'mk 001 10.3'!BA35</f>
        <v>9044989472405</v>
      </c>
      <c r="BB34">
        <f>'mk 001 10.3'!BB35</f>
        <v>0</v>
      </c>
      <c r="BC34">
        <f>'mk 001 10.3'!BC35</f>
        <v>0</v>
      </c>
      <c r="BD34">
        <f>'mk 001 10.3'!BD35</f>
        <v>1</v>
      </c>
      <c r="BE34">
        <f>'mk 001 10.3'!BE35</f>
        <v>0</v>
      </c>
      <c r="BF34" t="str">
        <f>'mk 001 10.3'!BF35</f>
        <v>;0000</v>
      </c>
      <c r="BG34">
        <f>'mk 001 10.3'!BG35</f>
        <v>1333314600</v>
      </c>
      <c r="BH34" t="str">
        <f>'mk 001 10.3'!BH35</f>
        <v>G</v>
      </c>
      <c r="BI34">
        <f>'mk 001 10.3'!BI35</f>
        <v>0</v>
      </c>
      <c r="BJ34">
        <f>'mk 001 10.3'!BJ35</f>
        <v>0</v>
      </c>
      <c r="BK34">
        <f>'mk 001 10.3'!BK35</f>
        <v>0</v>
      </c>
      <c r="BL34" t="str">
        <f>'mk 001 10.3'!BL35</f>
        <v>SYSBATCH</v>
      </c>
      <c r="BM34">
        <f>'mk 001 10.3'!BM35</f>
        <v>0</v>
      </c>
      <c r="BN34">
        <f>'mk 001 10.3'!BN35</f>
        <v>0</v>
      </c>
    </row>
    <row r="35" spans="1:66" x14ac:dyDescent="0.35">
      <c r="A35">
        <f>'mk 001 10.3'!A36</f>
        <v>0</v>
      </c>
      <c r="B35">
        <f>'mk 001 10.3'!B36</f>
        <v>0</v>
      </c>
      <c r="C35" s="1" t="str">
        <f>'mk 001 10.3'!C36</f>
        <v>14/5/2569</v>
      </c>
      <c r="D35" s="1" t="str">
        <f>'mk 001 10.3'!D36</f>
        <v>14/5/2569</v>
      </c>
      <c r="E35">
        <f>'mk 001 10.3'!E36</f>
        <v>0</v>
      </c>
      <c r="F35" t="str">
        <f>'mk 001 10.3'!F36</f>
        <v>489M</v>
      </c>
      <c r="G35" t="str">
        <f>'mk 001 10.3'!G36</f>
        <v>Modern Trade (Makro)</v>
      </c>
      <c r="H35">
        <f>'mk 001 10.3'!H36</f>
        <v>0</v>
      </c>
      <c r="I35" t="str">
        <f>'mk 001 10.3'!I36</f>
        <v>หน่วยงานกลาง</v>
      </c>
      <c r="J35" t="str">
        <f>'mk 001 10.3'!J36</f>
        <v>F213  DMCW-รชล-พระพุทธบาท</v>
      </c>
      <c r="K35" t="str">
        <f>'mk 001 10.3'!K36</f>
        <v>00000  หน่วยงานกลาง</v>
      </c>
      <c r="L35">
        <f>'mk 001 10.3'!L36</f>
        <v>923</v>
      </c>
      <c r="M35">
        <f>'mk 001 10.3'!M36</f>
        <v>0</v>
      </c>
      <c r="N35" t="str">
        <f>'mk 001 10.3'!N36</f>
        <v>1A53017200</v>
      </c>
      <c r="O35" t="str">
        <f>'mk 001 10.3'!O36</f>
        <v>บมจ. ซีพี แอ็กซ์ตร้า สาขาชัยนาท</v>
      </c>
      <c r="P35">
        <f>'mk 001 10.3'!P36</f>
        <v>2</v>
      </c>
      <c r="Q35" t="str">
        <f>'mk 001 10.3'!Q36</f>
        <v>MAKRO 0164 สาขาชัยนาท</v>
      </c>
      <c r="R35" s="1">
        <f>'mk 001 10.3'!R36</f>
        <v>244566</v>
      </c>
      <c r="S35" s="1" t="str">
        <f>'mk 001 10.3'!S36</f>
        <v>14/5/2569</v>
      </c>
      <c r="T35" t="str">
        <f>'mk 001 10.3'!T36</f>
        <v>H6954RMA0058184</v>
      </c>
      <c r="U35">
        <f>'mk 001 10.3'!U36</f>
        <v>23087034</v>
      </c>
      <c r="V35" t="str">
        <f>'mk 001 10.3'!V36</f>
        <v>สะโพกหมูตัดเส้น(M)</v>
      </c>
      <c r="W35">
        <f>'mk 001 10.3'!W36</f>
        <v>10</v>
      </c>
      <c r="X35">
        <f>'mk 001 10.3'!X36</f>
        <v>10</v>
      </c>
      <c r="Y35">
        <f t="shared" si="0"/>
        <v>10</v>
      </c>
      <c r="Z35" s="13">
        <f>IF(COUNTIFS(แปลงข้อมูล!H:H,Q35,แปลงข้อมูล!I:I,U35,แปลงข้อมูล!J:J,V35)&gt;0,SUMIFS(แปลงข้อมูล!Q:Q,แปลงข้อมูล!I:I,U35,แปลงข้อมูล!H:H,Q35,แปลงข้อมูล!J:J,V35),'mk 001 10.3'!Z36)</f>
        <v>10</v>
      </c>
      <c r="AA35">
        <f>'mk 001 10.3'!AA36</f>
        <v>0</v>
      </c>
      <c r="AB35">
        <f>'mk 001 10.3'!AB36</f>
        <v>0</v>
      </c>
      <c r="AC35">
        <f>'mk 001 10.3'!AC36</f>
        <v>0</v>
      </c>
      <c r="AD35">
        <f>'mk 001 10.3'!AD36</f>
        <v>0</v>
      </c>
      <c r="AE35">
        <f>'mk 001 10.3'!AE36</f>
        <v>10</v>
      </c>
      <c r="AF35">
        <f>'mk 001 10.3'!AF36</f>
        <v>10</v>
      </c>
      <c r="AG35">
        <f>'mk 001 10.3'!AG36</f>
        <v>0</v>
      </c>
      <c r="AH35">
        <f>'mk 001 10.3'!AH36</f>
        <v>0</v>
      </c>
      <c r="AI35" t="str">
        <f>'mk 001 10.3'!AI36</f>
        <v>OPRCD489MOPRCD00000OPRCDF213OPRCD00000OPRCD923</v>
      </c>
      <c r="AJ35" t="str">
        <f>'mk 001 10.3'!AJ36</f>
        <v>ซื้อ / ขาย</v>
      </c>
      <c r="AK35" t="str">
        <f>'mk 001 10.3'!AK36</f>
        <v>Main proudct</v>
      </c>
      <c r="AL35" t="str">
        <f>'mk 001 10.3'!AL36</f>
        <v>Bulk Normal</v>
      </c>
      <c r="AM35" t="str">
        <f>'mk 001 10.3'!AM36</f>
        <v>สุกร</v>
      </c>
      <c r="AN35" t="str">
        <f>'mk 001 10.3'!AN36</f>
        <v>MT2001 SUPER MK.-Makro</v>
      </c>
      <c r="AO35" t="str">
        <f>'mk 001 10.3'!AO36</f>
        <v>MT</v>
      </c>
      <c r="AP35">
        <f>'mk 001 10.3'!AP36</f>
        <v>20</v>
      </c>
      <c r="AQ35">
        <f>'mk 001 10.3'!AQ36</f>
        <v>1</v>
      </c>
      <c r="AR35">
        <f>'mk 001 10.3'!AR36</f>
        <v>0</v>
      </c>
      <c r="AS35">
        <f>'mk 001 10.3'!AS36</f>
        <v>0</v>
      </c>
      <c r="AT35" t="str">
        <f>'mk 001 10.3'!AT36</f>
        <v>เบญจพจน์ เพชรเหลี่ยม</v>
      </c>
      <c r="AU35" t="str">
        <f>'mk 001 10.3'!AU36</f>
        <v>2026-05-08-13.09.12.000000</v>
      </c>
      <c r="AV35" t="str">
        <f>'mk 001 10.3'!AV36</f>
        <v>ก.ก.</v>
      </c>
      <c r="AW35" t="str">
        <f>'mk 001 10.3'!AW36</f>
        <v>ก.ก.</v>
      </c>
      <c r="AX35" t="str">
        <f>'mk 001 10.3'!AX36</f>
        <v xml:space="preserve"> </v>
      </c>
      <c r="AY35">
        <f>'mk 001 10.3'!AY36</f>
        <v>0</v>
      </c>
      <c r="AZ35" t="str">
        <f>'mk 001 10.3'!AZ36</f>
        <v>N</v>
      </c>
      <c r="BA35" s="22">
        <f>'mk 001 10.3'!BA36</f>
        <v>9044989472405</v>
      </c>
      <c r="BB35">
        <f>'mk 001 10.3'!BB36</f>
        <v>0</v>
      </c>
      <c r="BC35">
        <f>'mk 001 10.3'!BC36</f>
        <v>0</v>
      </c>
      <c r="BD35">
        <f>'mk 001 10.3'!BD36</f>
        <v>1</v>
      </c>
      <c r="BE35">
        <f>'mk 001 10.3'!BE36</f>
        <v>0</v>
      </c>
      <c r="BF35" t="str">
        <f>'mk 001 10.3'!BF36</f>
        <v>;0000</v>
      </c>
      <c r="BG35">
        <f>'mk 001 10.3'!BG36</f>
        <v>1333314600</v>
      </c>
      <c r="BH35" t="str">
        <f>'mk 001 10.3'!BH36</f>
        <v>G</v>
      </c>
      <c r="BI35">
        <f>'mk 001 10.3'!BI36</f>
        <v>10</v>
      </c>
      <c r="BJ35">
        <f>'mk 001 10.3'!BJ36</f>
        <v>10</v>
      </c>
      <c r="BK35">
        <f>'mk 001 10.3'!BK36</f>
        <v>0</v>
      </c>
      <c r="BL35" t="str">
        <f>'mk 001 10.3'!BL36</f>
        <v>SYSBATCH</v>
      </c>
      <c r="BM35">
        <f>'mk 001 10.3'!BM36</f>
        <v>0</v>
      </c>
      <c r="BN35">
        <f>'mk 001 10.3'!BN36</f>
        <v>0</v>
      </c>
    </row>
    <row r="36" spans="1:66" x14ac:dyDescent="0.35">
      <c r="A36">
        <f>'mk 001 10.3'!A37</f>
        <v>0</v>
      </c>
      <c r="B36">
        <f>'mk 001 10.3'!B37</f>
        <v>0</v>
      </c>
      <c r="C36" s="1" t="str">
        <f>'mk 001 10.3'!C37</f>
        <v>14/5/2569</v>
      </c>
      <c r="D36" s="1" t="str">
        <f>'mk 001 10.3'!D37</f>
        <v>14/5/2569</v>
      </c>
      <c r="E36">
        <f>'mk 001 10.3'!E37</f>
        <v>0</v>
      </c>
      <c r="F36" t="str">
        <f>'mk 001 10.3'!F37</f>
        <v>489M</v>
      </c>
      <c r="G36" t="str">
        <f>'mk 001 10.3'!G37</f>
        <v>Modern Trade (Makro)</v>
      </c>
      <c r="H36">
        <f>'mk 001 10.3'!H37</f>
        <v>0</v>
      </c>
      <c r="I36" t="str">
        <f>'mk 001 10.3'!I37</f>
        <v>หน่วยงานกลาง</v>
      </c>
      <c r="J36" t="str">
        <f>'mk 001 10.3'!J37</f>
        <v>F213  DMCW-รชล-พระพุทธบาท</v>
      </c>
      <c r="K36" t="str">
        <f>'mk 001 10.3'!K37</f>
        <v>00000  หน่วยงานกลาง</v>
      </c>
      <c r="L36">
        <f>'mk 001 10.3'!L37</f>
        <v>923</v>
      </c>
      <c r="M36">
        <f>'mk 001 10.3'!M37</f>
        <v>0</v>
      </c>
      <c r="N36" t="str">
        <f>'mk 001 10.3'!N37</f>
        <v>1A53017200</v>
      </c>
      <c r="O36" t="str">
        <f>'mk 001 10.3'!O37</f>
        <v>บมจ. ซีพี แอ็กซ์ตร้า สาขาชัยนาท</v>
      </c>
      <c r="P36">
        <f>'mk 001 10.3'!P37</f>
        <v>2</v>
      </c>
      <c r="Q36" t="str">
        <f>'mk 001 10.3'!Q37</f>
        <v>MAKRO 0164 สาขาชัยนาท</v>
      </c>
      <c r="R36" s="1">
        <f>'mk 001 10.3'!R37</f>
        <v>244566</v>
      </c>
      <c r="S36" s="1" t="str">
        <f>'mk 001 10.3'!S37</f>
        <v>14/5/2569</v>
      </c>
      <c r="T36" t="str">
        <f>'mk 001 10.3'!T37</f>
        <v>H6954RMA0058184</v>
      </c>
      <c r="U36">
        <f>'mk 001 10.3'!U37</f>
        <v>23086658</v>
      </c>
      <c r="V36" t="str">
        <f>'mk 001 10.3'!V37</f>
        <v>เนื้อไหล่ติดหนังสไลด์</v>
      </c>
      <c r="W36">
        <f>'mk 001 10.3'!W37</f>
        <v>20</v>
      </c>
      <c r="X36">
        <f>'mk 001 10.3'!X37</f>
        <v>20</v>
      </c>
      <c r="Y36">
        <f t="shared" si="0"/>
        <v>20</v>
      </c>
      <c r="Z36" s="13">
        <f>IF(COUNTIFS(แปลงข้อมูล!H:H,Q36,แปลงข้อมูล!I:I,U36,แปลงข้อมูล!J:J,V36)&gt;0,SUMIFS(แปลงข้อมูล!Q:Q,แปลงข้อมูล!I:I,U36,แปลงข้อมูล!H:H,Q36,แปลงข้อมูล!J:J,V36),'mk 001 10.3'!Z37)</f>
        <v>20</v>
      </c>
      <c r="AA36">
        <f>'mk 001 10.3'!AA37</f>
        <v>0</v>
      </c>
      <c r="AB36">
        <f>'mk 001 10.3'!AB37</f>
        <v>0</v>
      </c>
      <c r="AC36">
        <f>'mk 001 10.3'!AC37</f>
        <v>0</v>
      </c>
      <c r="AD36">
        <f>'mk 001 10.3'!AD37</f>
        <v>0</v>
      </c>
      <c r="AE36">
        <f>'mk 001 10.3'!AE37</f>
        <v>20</v>
      </c>
      <c r="AF36">
        <f>'mk 001 10.3'!AF37</f>
        <v>20</v>
      </c>
      <c r="AG36">
        <f>'mk 001 10.3'!AG37</f>
        <v>0</v>
      </c>
      <c r="AH36">
        <f>'mk 001 10.3'!AH37</f>
        <v>0</v>
      </c>
      <c r="AI36" t="str">
        <f>'mk 001 10.3'!AI37</f>
        <v>OPRCD489MOPRCD00000OPRCDF213OPRCD00000OPRCD923</v>
      </c>
      <c r="AJ36" t="str">
        <f>'mk 001 10.3'!AJ37</f>
        <v>ซื้อ / ขาย</v>
      </c>
      <c r="AK36" t="str">
        <f>'mk 001 10.3'!AK37</f>
        <v>Main proudct</v>
      </c>
      <c r="AL36" t="str">
        <f>'mk 001 10.3'!AL37</f>
        <v>Bulk Normal</v>
      </c>
      <c r="AM36" t="str">
        <f>'mk 001 10.3'!AM37</f>
        <v>สุกร</v>
      </c>
      <c r="AN36" t="str">
        <f>'mk 001 10.3'!AN37</f>
        <v>MT2001 SUPER MK.-Makro</v>
      </c>
      <c r="AO36" t="str">
        <f>'mk 001 10.3'!AO37</f>
        <v>MT</v>
      </c>
      <c r="AP36">
        <f>'mk 001 10.3'!AP37</f>
        <v>20</v>
      </c>
      <c r="AQ36">
        <f>'mk 001 10.3'!AQ37</f>
        <v>1</v>
      </c>
      <c r="AR36">
        <f>'mk 001 10.3'!AR37</f>
        <v>0</v>
      </c>
      <c r="AS36">
        <f>'mk 001 10.3'!AS37</f>
        <v>0</v>
      </c>
      <c r="AT36" t="str">
        <f>'mk 001 10.3'!AT37</f>
        <v>เบญจพจน์ เพชรเหลี่ยม</v>
      </c>
      <c r="AU36" t="str">
        <f>'mk 001 10.3'!AU37</f>
        <v>2026-05-08-13.09.12.000000</v>
      </c>
      <c r="AV36" t="str">
        <f>'mk 001 10.3'!AV37</f>
        <v>ก.ก.</v>
      </c>
      <c r="AW36" t="str">
        <f>'mk 001 10.3'!AW37</f>
        <v>ก.ก.</v>
      </c>
      <c r="AX36" t="str">
        <f>'mk 001 10.3'!AX37</f>
        <v xml:space="preserve"> </v>
      </c>
      <c r="AY36">
        <f>'mk 001 10.3'!AY37</f>
        <v>0</v>
      </c>
      <c r="AZ36" t="str">
        <f>'mk 001 10.3'!AZ37</f>
        <v>N</v>
      </c>
      <c r="BA36" s="22">
        <f>'mk 001 10.3'!BA37</f>
        <v>9044989472405</v>
      </c>
      <c r="BB36">
        <f>'mk 001 10.3'!BB37</f>
        <v>0</v>
      </c>
      <c r="BC36">
        <f>'mk 001 10.3'!BC37</f>
        <v>0</v>
      </c>
      <c r="BD36">
        <f>'mk 001 10.3'!BD37</f>
        <v>1</v>
      </c>
      <c r="BE36">
        <f>'mk 001 10.3'!BE37</f>
        <v>0</v>
      </c>
      <c r="BF36" t="str">
        <f>'mk 001 10.3'!BF37</f>
        <v>;0000</v>
      </c>
      <c r="BG36">
        <f>'mk 001 10.3'!BG37</f>
        <v>1333314600</v>
      </c>
      <c r="BH36" t="str">
        <f>'mk 001 10.3'!BH37</f>
        <v>G</v>
      </c>
      <c r="BI36">
        <f>'mk 001 10.3'!BI37</f>
        <v>20</v>
      </c>
      <c r="BJ36">
        <f>'mk 001 10.3'!BJ37</f>
        <v>20</v>
      </c>
      <c r="BK36">
        <f>'mk 001 10.3'!BK37</f>
        <v>0</v>
      </c>
      <c r="BL36" t="str">
        <f>'mk 001 10.3'!BL37</f>
        <v>SYSBATCH</v>
      </c>
      <c r="BM36">
        <f>'mk 001 10.3'!BM37</f>
        <v>0</v>
      </c>
      <c r="BN36">
        <f>'mk 001 10.3'!BN37</f>
        <v>0</v>
      </c>
    </row>
    <row r="37" spans="1:66" x14ac:dyDescent="0.35">
      <c r="A37">
        <f>'mk 001 10.3'!A38</f>
        <v>0</v>
      </c>
      <c r="B37">
        <f>'mk 001 10.3'!B38</f>
        <v>0</v>
      </c>
      <c r="C37" s="1" t="str">
        <f>'mk 001 10.3'!C38</f>
        <v>14/5/2569</v>
      </c>
      <c r="D37" s="1" t="str">
        <f>'mk 001 10.3'!D38</f>
        <v>14/5/2569</v>
      </c>
      <c r="E37">
        <f>'mk 001 10.3'!E38</f>
        <v>0</v>
      </c>
      <c r="F37" t="str">
        <f>'mk 001 10.3'!F38</f>
        <v>489M</v>
      </c>
      <c r="G37" t="str">
        <f>'mk 001 10.3'!G38</f>
        <v>Modern Trade (Makro)</v>
      </c>
      <c r="H37">
        <f>'mk 001 10.3'!H38</f>
        <v>0</v>
      </c>
      <c r="I37" t="str">
        <f>'mk 001 10.3'!I38</f>
        <v>หน่วยงานกลาง</v>
      </c>
      <c r="J37" t="str">
        <f>'mk 001 10.3'!J38</f>
        <v>F213  DMCW-รชล-พระพุทธบาท</v>
      </c>
      <c r="K37" t="str">
        <f>'mk 001 10.3'!K38</f>
        <v>00000  หน่วยงานกลาง</v>
      </c>
      <c r="L37">
        <f>'mk 001 10.3'!L38</f>
        <v>923</v>
      </c>
      <c r="M37">
        <f>'mk 001 10.3'!M38</f>
        <v>0</v>
      </c>
      <c r="N37" t="str">
        <f>'mk 001 10.3'!N38</f>
        <v>1A53017200</v>
      </c>
      <c r="O37" t="str">
        <f>'mk 001 10.3'!O38</f>
        <v>บมจ. ซีพี แอ็กซ์ตร้า สาขาชัยนาท</v>
      </c>
      <c r="P37">
        <f>'mk 001 10.3'!P38</f>
        <v>2</v>
      </c>
      <c r="Q37" t="str">
        <f>'mk 001 10.3'!Q38</f>
        <v>MAKRO 0164 สาขาชัยนาท</v>
      </c>
      <c r="R37" s="1">
        <f>'mk 001 10.3'!R38</f>
        <v>244566</v>
      </c>
      <c r="S37" s="1" t="str">
        <f>'mk 001 10.3'!S38</f>
        <v>14/5/2569</v>
      </c>
      <c r="T37" t="str">
        <f>'mk 001 10.3'!T38</f>
        <v>H6954RMA0058184</v>
      </c>
      <c r="U37">
        <f>'mk 001 10.3'!U38</f>
        <v>23062103</v>
      </c>
      <c r="V37" t="str">
        <f>'mk 001 10.3'!V38</f>
        <v>กระเพาะหมู(M)</v>
      </c>
      <c r="W37">
        <f>'mk 001 10.3'!W38</f>
        <v>0</v>
      </c>
      <c r="X37">
        <f>'mk 001 10.3'!X38</f>
        <v>0</v>
      </c>
      <c r="Y37">
        <f t="shared" si="0"/>
        <v>0</v>
      </c>
      <c r="Z37" s="13">
        <f>IF(COUNTIFS(แปลงข้อมูล!H:H,Q37,แปลงข้อมูล!I:I,U37,แปลงข้อมูล!J:J,V37)&gt;0,SUMIFS(แปลงข้อมูล!Q:Q,แปลงข้อมูล!I:I,U37,แปลงข้อมูล!H:H,Q37,แปลงข้อมูล!J:J,V37),'mk 001 10.3'!Z38)</f>
        <v>0</v>
      </c>
      <c r="AA37">
        <f>'mk 001 10.3'!AA38</f>
        <v>0</v>
      </c>
      <c r="AB37">
        <f>'mk 001 10.3'!AB38</f>
        <v>0</v>
      </c>
      <c r="AC37">
        <f>'mk 001 10.3'!AC38</f>
        <v>0</v>
      </c>
      <c r="AD37">
        <f>'mk 001 10.3'!AD38</f>
        <v>0</v>
      </c>
      <c r="AE37">
        <f>'mk 001 10.3'!AE38</f>
        <v>0</v>
      </c>
      <c r="AF37">
        <f>'mk 001 10.3'!AF38</f>
        <v>0</v>
      </c>
      <c r="AG37">
        <f>'mk 001 10.3'!AG38</f>
        <v>0</v>
      </c>
      <c r="AH37">
        <f>'mk 001 10.3'!AH38</f>
        <v>0</v>
      </c>
      <c r="AI37" t="str">
        <f>'mk 001 10.3'!AI38</f>
        <v>OPRCD489MOPRCD00000OPRCDF213OPRCD00000OPRCD923</v>
      </c>
      <c r="AJ37" t="str">
        <f>'mk 001 10.3'!AJ38</f>
        <v>ซื้อ / ขาย</v>
      </c>
      <c r="AK37" t="str">
        <f>'mk 001 10.3'!AK38</f>
        <v>By proudct</v>
      </c>
      <c r="AL37" t="str">
        <f>'mk 001 10.3'!AL38</f>
        <v>Bulk Normal</v>
      </c>
      <c r="AM37" t="str">
        <f>'mk 001 10.3'!AM38</f>
        <v>สุกร</v>
      </c>
      <c r="AN37" t="str">
        <f>'mk 001 10.3'!AN38</f>
        <v>MT2001 SUPER MK.-Makro</v>
      </c>
      <c r="AO37" t="str">
        <f>'mk 001 10.3'!AO38</f>
        <v>MT</v>
      </c>
      <c r="AP37">
        <f>'mk 001 10.3'!AP38</f>
        <v>20</v>
      </c>
      <c r="AQ37">
        <f>'mk 001 10.3'!AQ38</f>
        <v>1</v>
      </c>
      <c r="AR37">
        <f>'mk 001 10.3'!AR38</f>
        <v>0</v>
      </c>
      <c r="AS37">
        <f>'mk 001 10.3'!AS38</f>
        <v>0</v>
      </c>
      <c r="AT37" t="str">
        <f>'mk 001 10.3'!AT38</f>
        <v>เบญจพจน์ เพชรเหลี่ยม</v>
      </c>
      <c r="AU37" t="str">
        <f>'mk 001 10.3'!AU38</f>
        <v>2026-05-08-13.09.12.000000</v>
      </c>
      <c r="AV37" t="str">
        <f>'mk 001 10.3'!AV38</f>
        <v>ก.ก.</v>
      </c>
      <c r="AW37" t="str">
        <f>'mk 001 10.3'!AW38</f>
        <v>ก.ก.</v>
      </c>
      <c r="AX37" t="str">
        <f>'mk 001 10.3'!AX38</f>
        <v xml:space="preserve"> </v>
      </c>
      <c r="AY37">
        <f>'mk 001 10.3'!AY38</f>
        <v>0</v>
      </c>
      <c r="AZ37" t="str">
        <f>'mk 001 10.3'!AZ38</f>
        <v>N</v>
      </c>
      <c r="BA37" s="22">
        <f>'mk 001 10.3'!BA38</f>
        <v>9044989472405</v>
      </c>
      <c r="BB37">
        <f>'mk 001 10.3'!BB38</f>
        <v>0</v>
      </c>
      <c r="BC37">
        <f>'mk 001 10.3'!BC38</f>
        <v>0</v>
      </c>
      <c r="BD37">
        <f>'mk 001 10.3'!BD38</f>
        <v>1</v>
      </c>
      <c r="BE37">
        <f>'mk 001 10.3'!BE38</f>
        <v>0</v>
      </c>
      <c r="BF37" t="str">
        <f>'mk 001 10.3'!BF38</f>
        <v>;0000</v>
      </c>
      <c r="BG37">
        <f>'mk 001 10.3'!BG38</f>
        <v>1333314600</v>
      </c>
      <c r="BH37" t="str">
        <f>'mk 001 10.3'!BH38</f>
        <v>G</v>
      </c>
      <c r="BI37">
        <f>'mk 001 10.3'!BI38</f>
        <v>0</v>
      </c>
      <c r="BJ37">
        <f>'mk 001 10.3'!BJ38</f>
        <v>0</v>
      </c>
      <c r="BK37">
        <f>'mk 001 10.3'!BK38</f>
        <v>0</v>
      </c>
      <c r="BL37" t="str">
        <f>'mk 001 10.3'!BL38</f>
        <v>SYSBATCH</v>
      </c>
      <c r="BM37">
        <f>'mk 001 10.3'!BM38</f>
        <v>0</v>
      </c>
      <c r="BN37">
        <f>'mk 001 10.3'!BN38</f>
        <v>0</v>
      </c>
    </row>
    <row r="38" spans="1:66" x14ac:dyDescent="0.35">
      <c r="A38">
        <f>'mk 001 10.3'!A39</f>
        <v>0</v>
      </c>
      <c r="B38">
        <f>'mk 001 10.3'!B39</f>
        <v>0</v>
      </c>
      <c r="C38" s="1" t="str">
        <f>'mk 001 10.3'!C39</f>
        <v>14/5/2569</v>
      </c>
      <c r="D38" s="1" t="str">
        <f>'mk 001 10.3'!D39</f>
        <v>14/5/2569</v>
      </c>
      <c r="E38">
        <f>'mk 001 10.3'!E39</f>
        <v>0</v>
      </c>
      <c r="F38" t="str">
        <f>'mk 001 10.3'!F39</f>
        <v>489M</v>
      </c>
      <c r="G38" t="str">
        <f>'mk 001 10.3'!G39</f>
        <v>Modern Trade (Makro)</v>
      </c>
      <c r="H38">
        <f>'mk 001 10.3'!H39</f>
        <v>0</v>
      </c>
      <c r="I38" t="str">
        <f>'mk 001 10.3'!I39</f>
        <v>หน่วยงานกลาง</v>
      </c>
      <c r="J38" t="str">
        <f>'mk 001 10.3'!J39</f>
        <v>F213  DMCW-รชล-พระพุทธบาท</v>
      </c>
      <c r="K38" t="str">
        <f>'mk 001 10.3'!K39</f>
        <v>00000  หน่วยงานกลาง</v>
      </c>
      <c r="L38">
        <f>'mk 001 10.3'!L39</f>
        <v>923</v>
      </c>
      <c r="M38">
        <f>'mk 001 10.3'!M39</f>
        <v>0</v>
      </c>
      <c r="N38" t="str">
        <f>'mk 001 10.3'!N39</f>
        <v>1A53017200</v>
      </c>
      <c r="O38" t="str">
        <f>'mk 001 10.3'!O39</f>
        <v>บมจ. ซีพี แอ็กซ์ตร้า สาขาชัยนาท</v>
      </c>
      <c r="P38">
        <f>'mk 001 10.3'!P39</f>
        <v>2</v>
      </c>
      <c r="Q38" t="str">
        <f>'mk 001 10.3'!Q39</f>
        <v>MAKRO 0164 สาขาชัยนาท</v>
      </c>
      <c r="R38" s="1">
        <f>'mk 001 10.3'!R39</f>
        <v>244566</v>
      </c>
      <c r="S38" s="1" t="str">
        <f>'mk 001 10.3'!S39</f>
        <v>14/5/2569</v>
      </c>
      <c r="T38" t="str">
        <f>'mk 001 10.3'!T39</f>
        <v>H6954RMA0058184</v>
      </c>
      <c r="U38">
        <f>'mk 001 10.3'!U39</f>
        <v>23065140</v>
      </c>
      <c r="V38" t="str">
        <f>'mk 001 10.3'!V39</f>
        <v>สะโพกสไลด์</v>
      </c>
      <c r="W38">
        <f>'mk 001 10.3'!W39</f>
        <v>40</v>
      </c>
      <c r="X38">
        <f>'mk 001 10.3'!X39</f>
        <v>40</v>
      </c>
      <c r="Y38">
        <f t="shared" si="0"/>
        <v>40</v>
      </c>
      <c r="Z38" s="13">
        <f>IF(COUNTIFS(แปลงข้อมูล!H:H,Q38,แปลงข้อมูล!I:I,U38,แปลงข้อมูล!J:J,V38)&gt;0,SUMIFS(แปลงข้อมูล!Q:Q,แปลงข้อมูล!I:I,U38,แปลงข้อมูล!H:H,Q38,แปลงข้อมูล!J:J,V38),'mk 001 10.3'!Z39)</f>
        <v>40</v>
      </c>
      <c r="AA38">
        <f>'mk 001 10.3'!AA39</f>
        <v>0</v>
      </c>
      <c r="AB38">
        <f>'mk 001 10.3'!AB39</f>
        <v>0</v>
      </c>
      <c r="AC38">
        <f>'mk 001 10.3'!AC39</f>
        <v>0</v>
      </c>
      <c r="AD38">
        <f>'mk 001 10.3'!AD39</f>
        <v>0</v>
      </c>
      <c r="AE38">
        <f>'mk 001 10.3'!AE39</f>
        <v>40</v>
      </c>
      <c r="AF38">
        <f>'mk 001 10.3'!AF39</f>
        <v>40</v>
      </c>
      <c r="AG38">
        <f>'mk 001 10.3'!AG39</f>
        <v>0</v>
      </c>
      <c r="AH38">
        <f>'mk 001 10.3'!AH39</f>
        <v>0</v>
      </c>
      <c r="AI38" t="str">
        <f>'mk 001 10.3'!AI39</f>
        <v>OPRCD489MOPRCD00000OPRCDF213OPRCD00000OPRCD923</v>
      </c>
      <c r="AJ38" t="str">
        <f>'mk 001 10.3'!AJ39</f>
        <v>ซื้อ / ขาย</v>
      </c>
      <c r="AK38" t="str">
        <f>'mk 001 10.3'!AK39</f>
        <v>Main proudct</v>
      </c>
      <c r="AL38" t="str">
        <f>'mk 001 10.3'!AL39</f>
        <v>Bulk Normal</v>
      </c>
      <c r="AM38" t="str">
        <f>'mk 001 10.3'!AM39</f>
        <v>สุกร</v>
      </c>
      <c r="AN38" t="str">
        <f>'mk 001 10.3'!AN39</f>
        <v>MT2001 SUPER MK.-Makro</v>
      </c>
      <c r="AO38" t="str">
        <f>'mk 001 10.3'!AO39</f>
        <v>MT</v>
      </c>
      <c r="AP38">
        <f>'mk 001 10.3'!AP39</f>
        <v>20</v>
      </c>
      <c r="AQ38">
        <f>'mk 001 10.3'!AQ39</f>
        <v>1</v>
      </c>
      <c r="AR38">
        <f>'mk 001 10.3'!AR39</f>
        <v>0</v>
      </c>
      <c r="AS38">
        <f>'mk 001 10.3'!AS39</f>
        <v>0</v>
      </c>
      <c r="AT38" t="str">
        <f>'mk 001 10.3'!AT39</f>
        <v>เบญจพจน์ เพชรเหลี่ยม</v>
      </c>
      <c r="AU38" t="str">
        <f>'mk 001 10.3'!AU39</f>
        <v>2026-05-08-13.09.12.000000</v>
      </c>
      <c r="AV38" t="str">
        <f>'mk 001 10.3'!AV39</f>
        <v>ก.ก.</v>
      </c>
      <c r="AW38" t="str">
        <f>'mk 001 10.3'!AW39</f>
        <v>ก.ก.</v>
      </c>
      <c r="AX38" t="str">
        <f>'mk 001 10.3'!AX39</f>
        <v xml:space="preserve"> </v>
      </c>
      <c r="AY38">
        <f>'mk 001 10.3'!AY39</f>
        <v>0</v>
      </c>
      <c r="AZ38" t="str">
        <f>'mk 001 10.3'!AZ39</f>
        <v>N</v>
      </c>
      <c r="BA38" s="22">
        <f>'mk 001 10.3'!BA39</f>
        <v>9044989472405</v>
      </c>
      <c r="BB38">
        <f>'mk 001 10.3'!BB39</f>
        <v>0</v>
      </c>
      <c r="BC38">
        <f>'mk 001 10.3'!BC39</f>
        <v>0</v>
      </c>
      <c r="BD38">
        <f>'mk 001 10.3'!BD39</f>
        <v>1</v>
      </c>
      <c r="BE38">
        <f>'mk 001 10.3'!BE39</f>
        <v>0</v>
      </c>
      <c r="BF38" t="str">
        <f>'mk 001 10.3'!BF39</f>
        <v>;0000</v>
      </c>
      <c r="BG38">
        <f>'mk 001 10.3'!BG39</f>
        <v>1333314600</v>
      </c>
      <c r="BH38" t="str">
        <f>'mk 001 10.3'!BH39</f>
        <v>G</v>
      </c>
      <c r="BI38">
        <f>'mk 001 10.3'!BI39</f>
        <v>40</v>
      </c>
      <c r="BJ38">
        <f>'mk 001 10.3'!BJ39</f>
        <v>40</v>
      </c>
      <c r="BK38">
        <f>'mk 001 10.3'!BK39</f>
        <v>0</v>
      </c>
      <c r="BL38" t="str">
        <f>'mk 001 10.3'!BL39</f>
        <v>SYSBATCH</v>
      </c>
      <c r="BM38">
        <f>'mk 001 10.3'!BM39</f>
        <v>0</v>
      </c>
      <c r="BN38">
        <f>'mk 001 10.3'!BN39</f>
        <v>0</v>
      </c>
    </row>
    <row r="39" spans="1:66" x14ac:dyDescent="0.35">
      <c r="A39">
        <f>'mk 001 10.3'!A40</f>
        <v>0</v>
      </c>
      <c r="B39">
        <f>'mk 001 10.3'!B40</f>
        <v>0</v>
      </c>
      <c r="C39" s="1" t="str">
        <f>'mk 001 10.3'!C40</f>
        <v>14/5/2569</v>
      </c>
      <c r="D39" s="1" t="str">
        <f>'mk 001 10.3'!D40</f>
        <v>14/5/2569</v>
      </c>
      <c r="E39">
        <f>'mk 001 10.3'!E40</f>
        <v>0</v>
      </c>
      <c r="F39" t="str">
        <f>'mk 001 10.3'!F40</f>
        <v>489M</v>
      </c>
      <c r="G39" t="str">
        <f>'mk 001 10.3'!G40</f>
        <v>Modern Trade (Makro)</v>
      </c>
      <c r="H39">
        <f>'mk 001 10.3'!H40</f>
        <v>0</v>
      </c>
      <c r="I39" t="str">
        <f>'mk 001 10.3'!I40</f>
        <v>หน่วยงานกลาง</v>
      </c>
      <c r="J39" t="str">
        <f>'mk 001 10.3'!J40</f>
        <v>F213  DMCW-รชล-พระพุทธบาท</v>
      </c>
      <c r="K39" t="str">
        <f>'mk 001 10.3'!K40</f>
        <v>00000  หน่วยงานกลาง</v>
      </c>
      <c r="L39">
        <f>'mk 001 10.3'!L40</f>
        <v>923</v>
      </c>
      <c r="M39">
        <f>'mk 001 10.3'!M40</f>
        <v>0</v>
      </c>
      <c r="N39" t="str">
        <f>'mk 001 10.3'!N40</f>
        <v>1A53017200</v>
      </c>
      <c r="O39" t="str">
        <f>'mk 001 10.3'!O40</f>
        <v>บมจ. ซีพี แอ็กซ์ตร้า สาขาชัยนาท</v>
      </c>
      <c r="P39">
        <f>'mk 001 10.3'!P40</f>
        <v>2</v>
      </c>
      <c r="Q39" t="str">
        <f>'mk 001 10.3'!Q40</f>
        <v>MAKRO 0164 สาขาชัยนาท</v>
      </c>
      <c r="R39" s="1">
        <f>'mk 001 10.3'!R40</f>
        <v>244566</v>
      </c>
      <c r="S39" s="1" t="str">
        <f>'mk 001 10.3'!S40</f>
        <v>14/5/2569</v>
      </c>
      <c r="T39" t="str">
        <f>'mk 001 10.3'!T40</f>
        <v>H6954RMA0058184</v>
      </c>
      <c r="U39">
        <f>'mk 001 10.3'!U40</f>
        <v>23105702</v>
      </c>
      <c r="V39" t="str">
        <f>'mk 001 10.3'!V40</f>
        <v>หมูบดปนมัน 30%(M)</v>
      </c>
      <c r="W39">
        <f>'mk 001 10.3'!W40</f>
        <v>30</v>
      </c>
      <c r="X39">
        <f>'mk 001 10.3'!X40</f>
        <v>150</v>
      </c>
      <c r="Y39">
        <f t="shared" si="0"/>
        <v>30</v>
      </c>
      <c r="Z39" s="13">
        <f>IF(COUNTIFS(แปลงข้อมูล!H:H,Q39,แปลงข้อมูล!I:I,U39,แปลงข้อมูล!J:J,V39)&gt;0,SUMIFS(แปลงข้อมูล!Q:Q,แปลงข้อมูล!I:I,U39,แปลงข้อมูล!H:H,Q39,แปลงข้อมูล!J:J,V39),'mk 001 10.3'!Z40)</f>
        <v>150</v>
      </c>
      <c r="AA39">
        <f>'mk 001 10.3'!AA40</f>
        <v>0</v>
      </c>
      <c r="AB39">
        <f>'mk 001 10.3'!AB40</f>
        <v>0</v>
      </c>
      <c r="AC39">
        <f>'mk 001 10.3'!AC40</f>
        <v>0</v>
      </c>
      <c r="AD39">
        <f>'mk 001 10.3'!AD40</f>
        <v>0</v>
      </c>
      <c r="AE39">
        <f>'mk 001 10.3'!AE40</f>
        <v>30</v>
      </c>
      <c r="AF39">
        <f>'mk 001 10.3'!AF40</f>
        <v>150</v>
      </c>
      <c r="AG39">
        <f>'mk 001 10.3'!AG40</f>
        <v>0</v>
      </c>
      <c r="AH39">
        <f>'mk 001 10.3'!AH40</f>
        <v>0</v>
      </c>
      <c r="AI39" t="str">
        <f>'mk 001 10.3'!AI40</f>
        <v>OPRCD489MOPRCD00000OPRCDF213OPRCD00000OPRCD923</v>
      </c>
      <c r="AJ39" t="str">
        <f>'mk 001 10.3'!AJ40</f>
        <v>ซื้อ / ขาย</v>
      </c>
      <c r="AK39" t="str">
        <f>'mk 001 10.3'!AK40</f>
        <v>Main proudct</v>
      </c>
      <c r="AL39" t="str">
        <f>'mk 001 10.3'!AL40</f>
        <v>Bulk Normal</v>
      </c>
      <c r="AM39" t="str">
        <f>'mk 001 10.3'!AM40</f>
        <v>สุกร</v>
      </c>
      <c r="AN39" t="str">
        <f>'mk 001 10.3'!AN40</f>
        <v>MT2001 SUPER MK.-Makro</v>
      </c>
      <c r="AO39" t="str">
        <f>'mk 001 10.3'!AO40</f>
        <v>MT</v>
      </c>
      <c r="AP39">
        <f>'mk 001 10.3'!AP40</f>
        <v>20</v>
      </c>
      <c r="AQ39">
        <f>'mk 001 10.3'!AQ40</f>
        <v>1</v>
      </c>
      <c r="AR39">
        <f>'mk 001 10.3'!AR40</f>
        <v>0</v>
      </c>
      <c r="AS39">
        <f>'mk 001 10.3'!AS40</f>
        <v>0</v>
      </c>
      <c r="AT39" t="str">
        <f>'mk 001 10.3'!AT40</f>
        <v>เบญจพจน์ เพชรเหลี่ยม</v>
      </c>
      <c r="AU39" t="str">
        <f>'mk 001 10.3'!AU40</f>
        <v>2026-05-08-13.09.12.000000</v>
      </c>
      <c r="AV39" t="str">
        <f>'mk 001 10.3'!AV40</f>
        <v>ถุง</v>
      </c>
      <c r="AW39" t="str">
        <f>'mk 001 10.3'!AW40</f>
        <v>ก.ก.</v>
      </c>
      <c r="AX39" t="str">
        <f>'mk 001 10.3'!AX40</f>
        <v xml:space="preserve"> </v>
      </c>
      <c r="AY39">
        <f>'mk 001 10.3'!AY40</f>
        <v>0</v>
      </c>
      <c r="AZ39" t="str">
        <f>'mk 001 10.3'!AZ40</f>
        <v>N</v>
      </c>
      <c r="BA39" s="22">
        <f>'mk 001 10.3'!BA40</f>
        <v>9044989472405</v>
      </c>
      <c r="BB39">
        <f>'mk 001 10.3'!BB40</f>
        <v>0</v>
      </c>
      <c r="BC39">
        <f>'mk 001 10.3'!BC40</f>
        <v>0</v>
      </c>
      <c r="BD39">
        <f>'mk 001 10.3'!BD40</f>
        <v>1</v>
      </c>
      <c r="BE39">
        <f>'mk 001 10.3'!BE40</f>
        <v>0</v>
      </c>
      <c r="BF39" t="str">
        <f>'mk 001 10.3'!BF40</f>
        <v>;0000</v>
      </c>
      <c r="BG39">
        <f>'mk 001 10.3'!BG40</f>
        <v>1333314600</v>
      </c>
      <c r="BH39" t="str">
        <f>'mk 001 10.3'!BH40</f>
        <v>G</v>
      </c>
      <c r="BI39">
        <f>'mk 001 10.3'!BI40</f>
        <v>30</v>
      </c>
      <c r="BJ39">
        <f>'mk 001 10.3'!BJ40</f>
        <v>150</v>
      </c>
      <c r="BK39">
        <f>'mk 001 10.3'!BK40</f>
        <v>0</v>
      </c>
      <c r="BL39" t="str">
        <f>'mk 001 10.3'!BL40</f>
        <v>SYSBATCH</v>
      </c>
      <c r="BM39">
        <f>'mk 001 10.3'!BM40</f>
        <v>0</v>
      </c>
      <c r="BN39">
        <f>'mk 001 10.3'!BN40</f>
        <v>0</v>
      </c>
    </row>
    <row r="40" spans="1:66" x14ac:dyDescent="0.35">
      <c r="A40">
        <f>'mk 001 10.3'!A41</f>
        <v>0</v>
      </c>
      <c r="B40">
        <f>'mk 001 10.3'!B41</f>
        <v>0</v>
      </c>
      <c r="C40" s="1" t="str">
        <f>'mk 001 10.3'!C41</f>
        <v>14/5/2569</v>
      </c>
      <c r="D40" s="1" t="str">
        <f>'mk 001 10.3'!D41</f>
        <v>14/5/2569</v>
      </c>
      <c r="E40">
        <f>'mk 001 10.3'!E41</f>
        <v>0</v>
      </c>
      <c r="F40" t="str">
        <f>'mk 001 10.3'!F41</f>
        <v>489M</v>
      </c>
      <c r="G40" t="str">
        <f>'mk 001 10.3'!G41</f>
        <v>Modern Trade (Makro)</v>
      </c>
      <c r="H40">
        <f>'mk 001 10.3'!H41</f>
        <v>0</v>
      </c>
      <c r="I40" t="str">
        <f>'mk 001 10.3'!I41</f>
        <v>หน่วยงานกลาง</v>
      </c>
      <c r="J40" t="str">
        <f>'mk 001 10.3'!J41</f>
        <v>F213  DMCW-รชล-พระพุทธบาท</v>
      </c>
      <c r="K40" t="str">
        <f>'mk 001 10.3'!K41</f>
        <v>00000  หน่วยงานกลาง</v>
      </c>
      <c r="L40">
        <f>'mk 001 10.3'!L41</f>
        <v>923</v>
      </c>
      <c r="M40">
        <f>'mk 001 10.3'!M41</f>
        <v>0</v>
      </c>
      <c r="N40" t="str">
        <f>'mk 001 10.3'!N41</f>
        <v>1A53017200</v>
      </c>
      <c r="O40" t="str">
        <f>'mk 001 10.3'!O41</f>
        <v>บมจ. ซีพี แอ็กซ์ตร้า สาขาชัยนาท</v>
      </c>
      <c r="P40">
        <f>'mk 001 10.3'!P41</f>
        <v>2</v>
      </c>
      <c r="Q40" t="str">
        <f>'mk 001 10.3'!Q41</f>
        <v>MAKRO 0164 สาขาชัยนาท</v>
      </c>
      <c r="R40" s="1">
        <f>'mk 001 10.3'!R41</f>
        <v>244566</v>
      </c>
      <c r="S40" s="1" t="str">
        <f>'mk 001 10.3'!S41</f>
        <v>14/5/2569</v>
      </c>
      <c r="T40" t="str">
        <f>'mk 001 10.3'!T41</f>
        <v>H6954RMA0058184</v>
      </c>
      <c r="U40">
        <f>'mk 001 10.3'!U41</f>
        <v>23105754</v>
      </c>
      <c r="V40" t="str">
        <f>'mk 001 10.3'!V41</f>
        <v>เซพแพ็ค สามชั้นหมู กก.ละ</v>
      </c>
      <c r="W40">
        <f>'mk 001 10.3'!W41</f>
        <v>20</v>
      </c>
      <c r="X40">
        <f>'mk 001 10.3'!X41</f>
        <v>20</v>
      </c>
      <c r="Y40">
        <f t="shared" si="0"/>
        <v>20</v>
      </c>
      <c r="Z40" s="13">
        <f>IF(COUNTIFS(แปลงข้อมูล!H:H,Q40,แปลงข้อมูล!I:I,U40,แปลงข้อมูล!J:J,V40)&gt;0,SUMIFS(แปลงข้อมูล!Q:Q,แปลงข้อมูล!I:I,U40,แปลงข้อมูล!H:H,Q40,แปลงข้อมูล!J:J,V40),'mk 001 10.3'!Z41)</f>
        <v>20</v>
      </c>
      <c r="AA40">
        <f>'mk 001 10.3'!AA41</f>
        <v>0</v>
      </c>
      <c r="AB40">
        <f>'mk 001 10.3'!AB41</f>
        <v>0</v>
      </c>
      <c r="AC40">
        <f>'mk 001 10.3'!AC41</f>
        <v>0</v>
      </c>
      <c r="AD40">
        <f>'mk 001 10.3'!AD41</f>
        <v>0</v>
      </c>
      <c r="AE40">
        <f>'mk 001 10.3'!AE41</f>
        <v>20</v>
      </c>
      <c r="AF40">
        <f>'mk 001 10.3'!AF41</f>
        <v>20</v>
      </c>
      <c r="AG40">
        <f>'mk 001 10.3'!AG41</f>
        <v>0</v>
      </c>
      <c r="AH40">
        <f>'mk 001 10.3'!AH41</f>
        <v>0</v>
      </c>
      <c r="AI40" t="str">
        <f>'mk 001 10.3'!AI41</f>
        <v>OPRCD489MOPRCD00000OPRCDF213OPRCD00000OPRCD923</v>
      </c>
      <c r="AJ40" t="str">
        <f>'mk 001 10.3'!AJ41</f>
        <v>ซื้อ / ขาย</v>
      </c>
      <c r="AK40" t="str">
        <f>'mk 001 10.3'!AK41</f>
        <v>Main proudct</v>
      </c>
      <c r="AL40" t="str">
        <f>'mk 001 10.3'!AL41</f>
        <v>Bulk Normal</v>
      </c>
      <c r="AM40" t="str">
        <f>'mk 001 10.3'!AM41</f>
        <v>สุกร</v>
      </c>
      <c r="AN40" t="str">
        <f>'mk 001 10.3'!AN41</f>
        <v>MT2001 SUPER MK.-Makro</v>
      </c>
      <c r="AO40" t="str">
        <f>'mk 001 10.3'!AO41</f>
        <v>MT</v>
      </c>
      <c r="AP40">
        <f>'mk 001 10.3'!AP41</f>
        <v>20</v>
      </c>
      <c r="AQ40">
        <f>'mk 001 10.3'!AQ41</f>
        <v>1</v>
      </c>
      <c r="AR40">
        <f>'mk 001 10.3'!AR41</f>
        <v>0</v>
      </c>
      <c r="AS40">
        <f>'mk 001 10.3'!AS41</f>
        <v>0</v>
      </c>
      <c r="AT40" t="str">
        <f>'mk 001 10.3'!AT41</f>
        <v>เบญจพจน์ เพชรเหลี่ยม</v>
      </c>
      <c r="AU40" t="str">
        <f>'mk 001 10.3'!AU41</f>
        <v>2026-05-08-13.09.12.000000</v>
      </c>
      <c r="AV40" t="str">
        <f>'mk 001 10.3'!AV41</f>
        <v>ก.ก.</v>
      </c>
      <c r="AW40" t="str">
        <f>'mk 001 10.3'!AW41</f>
        <v>ก.ก.</v>
      </c>
      <c r="AX40" t="str">
        <f>'mk 001 10.3'!AX41</f>
        <v xml:space="preserve"> </v>
      </c>
      <c r="AY40">
        <f>'mk 001 10.3'!AY41</f>
        <v>0</v>
      </c>
      <c r="AZ40" t="str">
        <f>'mk 001 10.3'!AZ41</f>
        <v>N</v>
      </c>
      <c r="BA40" s="22">
        <f>'mk 001 10.3'!BA41</f>
        <v>9044989472405</v>
      </c>
      <c r="BB40">
        <f>'mk 001 10.3'!BB41</f>
        <v>0</v>
      </c>
      <c r="BC40">
        <f>'mk 001 10.3'!BC41</f>
        <v>0</v>
      </c>
      <c r="BD40">
        <f>'mk 001 10.3'!BD41</f>
        <v>1</v>
      </c>
      <c r="BE40">
        <f>'mk 001 10.3'!BE41</f>
        <v>0</v>
      </c>
      <c r="BF40" t="str">
        <f>'mk 001 10.3'!BF41</f>
        <v>;0000</v>
      </c>
      <c r="BG40">
        <f>'mk 001 10.3'!BG41</f>
        <v>1333314600</v>
      </c>
      <c r="BH40" t="str">
        <f>'mk 001 10.3'!BH41</f>
        <v>G</v>
      </c>
      <c r="BI40">
        <f>'mk 001 10.3'!BI41</f>
        <v>20</v>
      </c>
      <c r="BJ40">
        <f>'mk 001 10.3'!BJ41</f>
        <v>20</v>
      </c>
      <c r="BK40">
        <f>'mk 001 10.3'!BK41</f>
        <v>0</v>
      </c>
      <c r="BL40" t="str">
        <f>'mk 001 10.3'!BL41</f>
        <v>SYSBATCH</v>
      </c>
      <c r="BM40">
        <f>'mk 001 10.3'!BM41</f>
        <v>0</v>
      </c>
      <c r="BN40">
        <f>'mk 001 10.3'!BN41</f>
        <v>0</v>
      </c>
    </row>
    <row r="41" spans="1:66" x14ac:dyDescent="0.35">
      <c r="A41">
        <f>'mk 001 10.3'!A42</f>
        <v>0</v>
      </c>
      <c r="B41">
        <f>'mk 001 10.3'!B42</f>
        <v>0</v>
      </c>
      <c r="C41" s="1" t="str">
        <f>'mk 001 10.3'!C42</f>
        <v>14/5/2569</v>
      </c>
      <c r="D41" s="1" t="str">
        <f>'mk 001 10.3'!D42</f>
        <v>14/5/2569</v>
      </c>
      <c r="E41">
        <f>'mk 001 10.3'!E42</f>
        <v>0</v>
      </c>
      <c r="F41" t="str">
        <f>'mk 001 10.3'!F42</f>
        <v>489M</v>
      </c>
      <c r="G41" t="str">
        <f>'mk 001 10.3'!G42</f>
        <v>Modern Trade (Makro)</v>
      </c>
      <c r="H41">
        <f>'mk 001 10.3'!H42</f>
        <v>0</v>
      </c>
      <c r="I41" t="str">
        <f>'mk 001 10.3'!I42</f>
        <v>หน่วยงานกลาง</v>
      </c>
      <c r="J41" t="str">
        <f>'mk 001 10.3'!J42</f>
        <v>F213  DMCW-รชล-พระพุทธบาท</v>
      </c>
      <c r="K41" t="str">
        <f>'mk 001 10.3'!K42</f>
        <v>00000  หน่วยงานกลาง</v>
      </c>
      <c r="L41">
        <f>'mk 001 10.3'!L42</f>
        <v>923</v>
      </c>
      <c r="M41">
        <f>'mk 001 10.3'!M42</f>
        <v>0</v>
      </c>
      <c r="N41" t="str">
        <f>'mk 001 10.3'!N42</f>
        <v>1A53017200</v>
      </c>
      <c r="O41" t="str">
        <f>'mk 001 10.3'!O42</f>
        <v>บมจ. ซีพี แอ็กซ์ตร้า สาขาชัยนาท</v>
      </c>
      <c r="P41">
        <f>'mk 001 10.3'!P42</f>
        <v>2</v>
      </c>
      <c r="Q41" t="str">
        <f>'mk 001 10.3'!Q42</f>
        <v>MAKRO 0164 สาขาชัยนาท</v>
      </c>
      <c r="R41" s="1">
        <f>'mk 001 10.3'!R42</f>
        <v>244566</v>
      </c>
      <c r="S41" s="1" t="str">
        <f>'mk 001 10.3'!S42</f>
        <v>14/5/2569</v>
      </c>
      <c r="T41" t="str">
        <f>'mk 001 10.3'!T42</f>
        <v>H6954RMA0058184</v>
      </c>
      <c r="U41">
        <f>'mk 001 10.3'!U42</f>
        <v>23065142</v>
      </c>
      <c r="V41" t="str">
        <f>'mk 001 10.3'!V42</f>
        <v>สันคอสไลด์</v>
      </c>
      <c r="W41">
        <f>'mk 001 10.3'!W42</f>
        <v>20</v>
      </c>
      <c r="X41">
        <f>'mk 001 10.3'!X42</f>
        <v>20</v>
      </c>
      <c r="Y41">
        <f t="shared" si="0"/>
        <v>20</v>
      </c>
      <c r="Z41" s="13">
        <f>IF(COUNTIFS(แปลงข้อมูล!H:H,Q41,แปลงข้อมูล!I:I,U41,แปลงข้อมูล!J:J,V41)&gt;0,SUMIFS(แปลงข้อมูล!Q:Q,แปลงข้อมูล!I:I,U41,แปลงข้อมูล!H:H,Q41,แปลงข้อมูล!J:J,V41),'mk 001 10.3'!Z42)</f>
        <v>20</v>
      </c>
      <c r="AA41">
        <f>'mk 001 10.3'!AA42</f>
        <v>0</v>
      </c>
      <c r="AB41">
        <f>'mk 001 10.3'!AB42</f>
        <v>0</v>
      </c>
      <c r="AC41">
        <f>'mk 001 10.3'!AC42</f>
        <v>0</v>
      </c>
      <c r="AD41">
        <f>'mk 001 10.3'!AD42</f>
        <v>0</v>
      </c>
      <c r="AE41">
        <f>'mk 001 10.3'!AE42</f>
        <v>20</v>
      </c>
      <c r="AF41">
        <f>'mk 001 10.3'!AF42</f>
        <v>20</v>
      </c>
      <c r="AG41">
        <f>'mk 001 10.3'!AG42</f>
        <v>0</v>
      </c>
      <c r="AH41">
        <f>'mk 001 10.3'!AH42</f>
        <v>0</v>
      </c>
      <c r="AI41" t="str">
        <f>'mk 001 10.3'!AI42</f>
        <v>OPRCD489MOPRCD00000OPRCDF213OPRCD00000OPRCD923</v>
      </c>
      <c r="AJ41" t="str">
        <f>'mk 001 10.3'!AJ42</f>
        <v>ซื้อ / ขาย</v>
      </c>
      <c r="AK41" t="str">
        <f>'mk 001 10.3'!AK42</f>
        <v>Main proudct</v>
      </c>
      <c r="AL41" t="str">
        <f>'mk 001 10.3'!AL42</f>
        <v>Bulk Normal</v>
      </c>
      <c r="AM41" t="str">
        <f>'mk 001 10.3'!AM42</f>
        <v>สุกร</v>
      </c>
      <c r="AN41" t="str">
        <f>'mk 001 10.3'!AN42</f>
        <v>MT2001 SUPER MK.-Makro</v>
      </c>
      <c r="AO41" t="str">
        <f>'mk 001 10.3'!AO42</f>
        <v>MT</v>
      </c>
      <c r="AP41">
        <f>'mk 001 10.3'!AP42</f>
        <v>20</v>
      </c>
      <c r="AQ41">
        <f>'mk 001 10.3'!AQ42</f>
        <v>1</v>
      </c>
      <c r="AR41">
        <f>'mk 001 10.3'!AR42</f>
        <v>0</v>
      </c>
      <c r="AS41">
        <f>'mk 001 10.3'!AS42</f>
        <v>0</v>
      </c>
      <c r="AT41" t="str">
        <f>'mk 001 10.3'!AT42</f>
        <v>เบญจพจน์ เพชรเหลี่ยม</v>
      </c>
      <c r="AU41" t="str">
        <f>'mk 001 10.3'!AU42</f>
        <v>2026-05-08-13.09.12.000000</v>
      </c>
      <c r="AV41" t="str">
        <f>'mk 001 10.3'!AV42</f>
        <v>ก.ก.</v>
      </c>
      <c r="AW41" t="str">
        <f>'mk 001 10.3'!AW42</f>
        <v>ก.ก.</v>
      </c>
      <c r="AX41" t="str">
        <f>'mk 001 10.3'!AX42</f>
        <v xml:space="preserve"> </v>
      </c>
      <c r="AY41">
        <f>'mk 001 10.3'!AY42</f>
        <v>0</v>
      </c>
      <c r="AZ41" t="str">
        <f>'mk 001 10.3'!AZ42</f>
        <v>N</v>
      </c>
      <c r="BA41" s="22">
        <f>'mk 001 10.3'!BA42</f>
        <v>9044989472405</v>
      </c>
      <c r="BB41">
        <f>'mk 001 10.3'!BB42</f>
        <v>0</v>
      </c>
      <c r="BC41">
        <f>'mk 001 10.3'!BC42</f>
        <v>0</v>
      </c>
      <c r="BD41">
        <f>'mk 001 10.3'!BD42</f>
        <v>1</v>
      </c>
      <c r="BE41">
        <f>'mk 001 10.3'!BE42</f>
        <v>0</v>
      </c>
      <c r="BF41" t="str">
        <f>'mk 001 10.3'!BF42</f>
        <v>;0000</v>
      </c>
      <c r="BG41">
        <f>'mk 001 10.3'!BG42</f>
        <v>1333314600</v>
      </c>
      <c r="BH41" t="str">
        <f>'mk 001 10.3'!BH42</f>
        <v>G</v>
      </c>
      <c r="BI41">
        <f>'mk 001 10.3'!BI42</f>
        <v>20</v>
      </c>
      <c r="BJ41">
        <f>'mk 001 10.3'!BJ42</f>
        <v>20</v>
      </c>
      <c r="BK41">
        <f>'mk 001 10.3'!BK42</f>
        <v>0</v>
      </c>
      <c r="BL41" t="str">
        <f>'mk 001 10.3'!BL42</f>
        <v>SYSBATCH</v>
      </c>
      <c r="BM41">
        <f>'mk 001 10.3'!BM42</f>
        <v>0</v>
      </c>
      <c r="BN41">
        <f>'mk 001 10.3'!BN42</f>
        <v>0</v>
      </c>
    </row>
    <row r="42" spans="1:66" x14ac:dyDescent="0.35">
      <c r="A42">
        <f>'mk 001 10.3'!A43</f>
        <v>0</v>
      </c>
      <c r="B42">
        <f>'mk 001 10.3'!B43</f>
        <v>0</v>
      </c>
      <c r="C42" s="1" t="str">
        <f>'mk 001 10.3'!C43</f>
        <v>14/5/2569</v>
      </c>
      <c r="D42" s="1" t="str">
        <f>'mk 001 10.3'!D43</f>
        <v>14/5/2569</v>
      </c>
      <c r="E42">
        <f>'mk 001 10.3'!E43</f>
        <v>0</v>
      </c>
      <c r="F42" t="str">
        <f>'mk 001 10.3'!F43</f>
        <v>489M</v>
      </c>
      <c r="G42" t="str">
        <f>'mk 001 10.3'!G43</f>
        <v>Modern Trade (Makro)</v>
      </c>
      <c r="H42">
        <f>'mk 001 10.3'!H43</f>
        <v>0</v>
      </c>
      <c r="I42" t="str">
        <f>'mk 001 10.3'!I43</f>
        <v>หน่วยงานกลาง</v>
      </c>
      <c r="J42" t="str">
        <f>'mk 001 10.3'!J43</f>
        <v>F213  DMCW-รชล-พระพุทธบาท</v>
      </c>
      <c r="K42" t="str">
        <f>'mk 001 10.3'!K43</f>
        <v>00000  หน่วยงานกลาง</v>
      </c>
      <c r="L42">
        <f>'mk 001 10.3'!L43</f>
        <v>923</v>
      </c>
      <c r="M42">
        <f>'mk 001 10.3'!M43</f>
        <v>0</v>
      </c>
      <c r="N42" t="str">
        <f>'mk 001 10.3'!N43</f>
        <v>1A53017200</v>
      </c>
      <c r="O42" t="str">
        <f>'mk 001 10.3'!O43</f>
        <v>บมจ. ซีพี แอ็กซ์ตร้า สาขาชัยนาท</v>
      </c>
      <c r="P42">
        <f>'mk 001 10.3'!P43</f>
        <v>2</v>
      </c>
      <c r="Q42" t="str">
        <f>'mk 001 10.3'!Q43</f>
        <v>MAKRO 0164 สาขาชัยนาท</v>
      </c>
      <c r="R42" s="1">
        <f>'mk 001 10.3'!R43</f>
        <v>244566</v>
      </c>
      <c r="S42" s="1" t="str">
        <f>'mk 001 10.3'!S43</f>
        <v>14/5/2569</v>
      </c>
      <c r="T42" t="str">
        <f>'mk 001 10.3'!T43</f>
        <v>H6954RMA0058184</v>
      </c>
      <c r="U42">
        <f>'mk 001 10.3'!U43</f>
        <v>23065141</v>
      </c>
      <c r="V42" t="str">
        <f>'mk 001 10.3'!V43</f>
        <v>สันนอกสไลด์</v>
      </c>
      <c r="W42">
        <f>'mk 001 10.3'!W43</f>
        <v>15</v>
      </c>
      <c r="X42">
        <f>'mk 001 10.3'!X43</f>
        <v>15</v>
      </c>
      <c r="Y42">
        <f t="shared" si="0"/>
        <v>15</v>
      </c>
      <c r="Z42" s="13">
        <f>IF(COUNTIFS(แปลงข้อมูล!H:H,Q42,แปลงข้อมูล!I:I,U42,แปลงข้อมูล!J:J,V42)&gt;0,SUMIFS(แปลงข้อมูล!Q:Q,แปลงข้อมูล!I:I,U42,แปลงข้อมูล!H:H,Q42,แปลงข้อมูล!J:J,V42),'mk 001 10.3'!Z43)</f>
        <v>15</v>
      </c>
      <c r="AA42">
        <f>'mk 001 10.3'!AA43</f>
        <v>0</v>
      </c>
      <c r="AB42">
        <f>'mk 001 10.3'!AB43</f>
        <v>0</v>
      </c>
      <c r="AC42">
        <f>'mk 001 10.3'!AC43</f>
        <v>0</v>
      </c>
      <c r="AD42">
        <f>'mk 001 10.3'!AD43</f>
        <v>0</v>
      </c>
      <c r="AE42">
        <f>'mk 001 10.3'!AE43</f>
        <v>15</v>
      </c>
      <c r="AF42">
        <f>'mk 001 10.3'!AF43</f>
        <v>15</v>
      </c>
      <c r="AG42">
        <f>'mk 001 10.3'!AG43</f>
        <v>0</v>
      </c>
      <c r="AH42">
        <f>'mk 001 10.3'!AH43</f>
        <v>0</v>
      </c>
      <c r="AI42" t="str">
        <f>'mk 001 10.3'!AI43</f>
        <v>OPRCD489MOPRCD00000OPRCDF213OPRCD00000OPRCD923</v>
      </c>
      <c r="AJ42" t="str">
        <f>'mk 001 10.3'!AJ43</f>
        <v>ซื้อ / ขาย</v>
      </c>
      <c r="AK42" t="str">
        <f>'mk 001 10.3'!AK43</f>
        <v>Main proudct</v>
      </c>
      <c r="AL42" t="str">
        <f>'mk 001 10.3'!AL43</f>
        <v>Bulk Normal</v>
      </c>
      <c r="AM42" t="str">
        <f>'mk 001 10.3'!AM43</f>
        <v>สุกร</v>
      </c>
      <c r="AN42" t="str">
        <f>'mk 001 10.3'!AN43</f>
        <v>MT2001 SUPER MK.-Makro</v>
      </c>
      <c r="AO42" t="str">
        <f>'mk 001 10.3'!AO43</f>
        <v>MT</v>
      </c>
      <c r="AP42">
        <f>'mk 001 10.3'!AP43</f>
        <v>20</v>
      </c>
      <c r="AQ42">
        <f>'mk 001 10.3'!AQ43</f>
        <v>1</v>
      </c>
      <c r="AR42">
        <f>'mk 001 10.3'!AR43</f>
        <v>0</v>
      </c>
      <c r="AS42">
        <f>'mk 001 10.3'!AS43</f>
        <v>0</v>
      </c>
      <c r="AT42" t="str">
        <f>'mk 001 10.3'!AT43</f>
        <v>เบญจพจน์ เพชรเหลี่ยม</v>
      </c>
      <c r="AU42" t="str">
        <f>'mk 001 10.3'!AU43</f>
        <v>2026-05-08-13.09.12.000000</v>
      </c>
      <c r="AV42" t="str">
        <f>'mk 001 10.3'!AV43</f>
        <v>ก.ก.</v>
      </c>
      <c r="AW42" t="str">
        <f>'mk 001 10.3'!AW43</f>
        <v>ก.ก.</v>
      </c>
      <c r="AX42" t="str">
        <f>'mk 001 10.3'!AX43</f>
        <v xml:space="preserve"> </v>
      </c>
      <c r="AY42">
        <f>'mk 001 10.3'!AY43</f>
        <v>0</v>
      </c>
      <c r="AZ42" t="str">
        <f>'mk 001 10.3'!AZ43</f>
        <v>N</v>
      </c>
      <c r="BA42" s="22">
        <f>'mk 001 10.3'!BA43</f>
        <v>9044989472405</v>
      </c>
      <c r="BB42">
        <f>'mk 001 10.3'!BB43</f>
        <v>0</v>
      </c>
      <c r="BC42">
        <f>'mk 001 10.3'!BC43</f>
        <v>0</v>
      </c>
      <c r="BD42">
        <f>'mk 001 10.3'!BD43</f>
        <v>1</v>
      </c>
      <c r="BE42">
        <f>'mk 001 10.3'!BE43</f>
        <v>0</v>
      </c>
      <c r="BF42" t="str">
        <f>'mk 001 10.3'!BF43</f>
        <v>;0000</v>
      </c>
      <c r="BG42">
        <f>'mk 001 10.3'!BG43</f>
        <v>1333314600</v>
      </c>
      <c r="BH42" t="str">
        <f>'mk 001 10.3'!BH43</f>
        <v>G</v>
      </c>
      <c r="BI42">
        <f>'mk 001 10.3'!BI43</f>
        <v>15</v>
      </c>
      <c r="BJ42">
        <f>'mk 001 10.3'!BJ43</f>
        <v>15</v>
      </c>
      <c r="BK42">
        <f>'mk 001 10.3'!BK43</f>
        <v>0</v>
      </c>
      <c r="BL42" t="str">
        <f>'mk 001 10.3'!BL43</f>
        <v>SYSBATCH</v>
      </c>
      <c r="BM42">
        <f>'mk 001 10.3'!BM43</f>
        <v>0</v>
      </c>
      <c r="BN42">
        <f>'mk 001 10.3'!BN43</f>
        <v>0</v>
      </c>
    </row>
    <row r="43" spans="1:66" x14ac:dyDescent="0.35">
      <c r="A43">
        <f>'mk 001 10.3'!A44</f>
        <v>0</v>
      </c>
      <c r="B43">
        <f>'mk 001 10.3'!B44</f>
        <v>0</v>
      </c>
      <c r="C43" s="1" t="str">
        <f>'mk 001 10.3'!C44</f>
        <v>14/5/2569</v>
      </c>
      <c r="D43" s="1" t="str">
        <f>'mk 001 10.3'!D44</f>
        <v>14/5/2569</v>
      </c>
      <c r="E43">
        <f>'mk 001 10.3'!E44</f>
        <v>0</v>
      </c>
      <c r="F43" t="str">
        <f>'mk 001 10.3'!F44</f>
        <v>489M</v>
      </c>
      <c r="G43" t="str">
        <f>'mk 001 10.3'!G44</f>
        <v>Modern Trade (Makro)</v>
      </c>
      <c r="H43">
        <f>'mk 001 10.3'!H44</f>
        <v>0</v>
      </c>
      <c r="I43" t="str">
        <f>'mk 001 10.3'!I44</f>
        <v>หน่วยงานกลาง</v>
      </c>
      <c r="J43" t="str">
        <f>'mk 001 10.3'!J44</f>
        <v>F213  DMCW-รชล-พระพุทธบาท</v>
      </c>
      <c r="K43" t="str">
        <f>'mk 001 10.3'!K44</f>
        <v>00000  หน่วยงานกลาง</v>
      </c>
      <c r="L43">
        <f>'mk 001 10.3'!L44</f>
        <v>923</v>
      </c>
      <c r="M43">
        <f>'mk 001 10.3'!M44</f>
        <v>0</v>
      </c>
      <c r="N43" t="str">
        <f>'mk 001 10.3'!N44</f>
        <v>1A53017200</v>
      </c>
      <c r="O43" t="str">
        <f>'mk 001 10.3'!O44</f>
        <v>บมจ. ซีพี แอ็กซ์ตร้า สาขาชัยนาท</v>
      </c>
      <c r="P43">
        <f>'mk 001 10.3'!P44</f>
        <v>2</v>
      </c>
      <c r="Q43" t="str">
        <f>'mk 001 10.3'!Q44</f>
        <v>MAKRO 0164 สาขาชัยนาท</v>
      </c>
      <c r="R43" s="1">
        <f>'mk 001 10.3'!R44</f>
        <v>244566</v>
      </c>
      <c r="S43" s="1" t="str">
        <f>'mk 001 10.3'!S44</f>
        <v>14/5/2569</v>
      </c>
      <c r="T43" t="str">
        <f>'mk 001 10.3'!T44</f>
        <v>H6954RMA0058184</v>
      </c>
      <c r="U43">
        <f>'mk 001 10.3'!U44</f>
        <v>23098995</v>
      </c>
      <c r="V43" t="str">
        <f>'mk 001 10.3'!V44</f>
        <v>มันหั่นเต๋า กก ละ</v>
      </c>
      <c r="W43">
        <f>'mk 001 10.3'!W44</f>
        <v>20</v>
      </c>
      <c r="X43">
        <f>'mk 001 10.3'!X44</f>
        <v>20</v>
      </c>
      <c r="Y43">
        <f t="shared" si="0"/>
        <v>20</v>
      </c>
      <c r="Z43" s="13">
        <f>IF(COUNTIFS(แปลงข้อมูล!H:H,Q43,แปลงข้อมูล!I:I,U43,แปลงข้อมูล!J:J,V43)&gt;0,SUMIFS(แปลงข้อมูล!Q:Q,แปลงข้อมูล!I:I,U43,แปลงข้อมูล!H:H,Q43,แปลงข้อมูล!J:J,V43),'mk 001 10.3'!Z44)</f>
        <v>20</v>
      </c>
      <c r="AA43">
        <f>'mk 001 10.3'!AA44</f>
        <v>0</v>
      </c>
      <c r="AB43">
        <f>'mk 001 10.3'!AB44</f>
        <v>0</v>
      </c>
      <c r="AC43">
        <f>'mk 001 10.3'!AC44</f>
        <v>0</v>
      </c>
      <c r="AD43">
        <f>'mk 001 10.3'!AD44</f>
        <v>0</v>
      </c>
      <c r="AE43">
        <f>'mk 001 10.3'!AE44</f>
        <v>20</v>
      </c>
      <c r="AF43">
        <f>'mk 001 10.3'!AF44</f>
        <v>20</v>
      </c>
      <c r="AG43">
        <f>'mk 001 10.3'!AG44</f>
        <v>0</v>
      </c>
      <c r="AH43">
        <f>'mk 001 10.3'!AH44</f>
        <v>0</v>
      </c>
      <c r="AI43" t="str">
        <f>'mk 001 10.3'!AI44</f>
        <v>OPRCD489MOPRCD00000OPRCDF213OPRCD00000OPRCD923</v>
      </c>
      <c r="AJ43" t="str">
        <f>'mk 001 10.3'!AJ44</f>
        <v>ซื้อ / ขาย</v>
      </c>
      <c r="AK43" t="str">
        <f>'mk 001 10.3'!AK44</f>
        <v>By proudct</v>
      </c>
      <c r="AL43" t="str">
        <f>'mk 001 10.3'!AL44</f>
        <v>Bulk Normal</v>
      </c>
      <c r="AM43" t="str">
        <f>'mk 001 10.3'!AM44</f>
        <v>สุกร</v>
      </c>
      <c r="AN43" t="str">
        <f>'mk 001 10.3'!AN44</f>
        <v>MT2001 SUPER MK.-Makro</v>
      </c>
      <c r="AO43" t="str">
        <f>'mk 001 10.3'!AO44</f>
        <v>MT</v>
      </c>
      <c r="AP43">
        <f>'mk 001 10.3'!AP44</f>
        <v>20</v>
      </c>
      <c r="AQ43">
        <f>'mk 001 10.3'!AQ44</f>
        <v>1</v>
      </c>
      <c r="AR43">
        <f>'mk 001 10.3'!AR44</f>
        <v>0</v>
      </c>
      <c r="AS43">
        <f>'mk 001 10.3'!AS44</f>
        <v>0</v>
      </c>
      <c r="AT43" t="str">
        <f>'mk 001 10.3'!AT44</f>
        <v>เบญจพจน์ เพชรเหลี่ยม</v>
      </c>
      <c r="AU43" t="str">
        <f>'mk 001 10.3'!AU44</f>
        <v>2026-05-08-13.09.12.000000</v>
      </c>
      <c r="AV43" t="str">
        <f>'mk 001 10.3'!AV44</f>
        <v>ก.ก.</v>
      </c>
      <c r="AW43" t="str">
        <f>'mk 001 10.3'!AW44</f>
        <v>ก.ก.</v>
      </c>
      <c r="AX43" t="str">
        <f>'mk 001 10.3'!AX44</f>
        <v xml:space="preserve"> </v>
      </c>
      <c r="AY43">
        <f>'mk 001 10.3'!AY44</f>
        <v>0</v>
      </c>
      <c r="AZ43" t="str">
        <f>'mk 001 10.3'!AZ44</f>
        <v>N</v>
      </c>
      <c r="BA43" s="22">
        <f>'mk 001 10.3'!BA44</f>
        <v>9044989472405</v>
      </c>
      <c r="BB43">
        <f>'mk 001 10.3'!BB44</f>
        <v>0</v>
      </c>
      <c r="BC43">
        <f>'mk 001 10.3'!BC44</f>
        <v>0</v>
      </c>
      <c r="BD43">
        <f>'mk 001 10.3'!BD44</f>
        <v>1</v>
      </c>
      <c r="BE43">
        <f>'mk 001 10.3'!BE44</f>
        <v>0</v>
      </c>
      <c r="BF43" t="str">
        <f>'mk 001 10.3'!BF44</f>
        <v>;0000</v>
      </c>
      <c r="BG43">
        <f>'mk 001 10.3'!BG44</f>
        <v>1333314600</v>
      </c>
      <c r="BH43" t="str">
        <f>'mk 001 10.3'!BH44</f>
        <v>G</v>
      </c>
      <c r="BI43">
        <f>'mk 001 10.3'!BI44</f>
        <v>20</v>
      </c>
      <c r="BJ43">
        <f>'mk 001 10.3'!BJ44</f>
        <v>20</v>
      </c>
      <c r="BK43">
        <f>'mk 001 10.3'!BK44</f>
        <v>0</v>
      </c>
      <c r="BL43" t="str">
        <f>'mk 001 10.3'!BL44</f>
        <v>SYSBATCH</v>
      </c>
      <c r="BM43">
        <f>'mk 001 10.3'!BM44</f>
        <v>0</v>
      </c>
      <c r="BN43">
        <f>'mk 001 10.3'!BN44</f>
        <v>0</v>
      </c>
    </row>
    <row r="44" spans="1:66" x14ac:dyDescent="0.35">
      <c r="A44">
        <f>'mk 001 10.3'!A45</f>
        <v>0</v>
      </c>
      <c r="B44">
        <f>'mk 001 10.3'!B45</f>
        <v>0</v>
      </c>
      <c r="C44" s="1" t="str">
        <f>'mk 001 10.3'!C45</f>
        <v>14/5/2569</v>
      </c>
      <c r="D44" s="1" t="str">
        <f>'mk 001 10.3'!D45</f>
        <v>14/5/2569</v>
      </c>
      <c r="E44">
        <f>'mk 001 10.3'!E45</f>
        <v>0</v>
      </c>
      <c r="F44" t="str">
        <f>'mk 001 10.3'!F45</f>
        <v>489M</v>
      </c>
      <c r="G44" t="str">
        <f>'mk 001 10.3'!G45</f>
        <v>Modern Trade (Makro)</v>
      </c>
      <c r="H44">
        <f>'mk 001 10.3'!H45</f>
        <v>0</v>
      </c>
      <c r="I44" t="str">
        <f>'mk 001 10.3'!I45</f>
        <v>หน่วยงานกลาง</v>
      </c>
      <c r="J44" t="str">
        <f>'mk 001 10.3'!J45</f>
        <v>F213  DMCW-รชล-พระพุทธบาท</v>
      </c>
      <c r="K44" t="str">
        <f>'mk 001 10.3'!K45</f>
        <v>00000  หน่วยงานกลาง</v>
      </c>
      <c r="L44">
        <f>'mk 001 10.3'!L45</f>
        <v>923</v>
      </c>
      <c r="M44">
        <f>'mk 001 10.3'!M45</f>
        <v>0</v>
      </c>
      <c r="N44" t="str">
        <f>'mk 001 10.3'!N45</f>
        <v>1A53017200</v>
      </c>
      <c r="O44" t="str">
        <f>'mk 001 10.3'!O45</f>
        <v>บมจ. ซีพี แอ็กซ์ตร้า สาขาชัยนาท</v>
      </c>
      <c r="P44">
        <f>'mk 001 10.3'!P45</f>
        <v>2</v>
      </c>
      <c r="Q44" t="str">
        <f>'mk 001 10.3'!Q45</f>
        <v>MAKRO 0164 สาขาชัยนาท</v>
      </c>
      <c r="R44" s="1">
        <f>'mk 001 10.3'!R45</f>
        <v>244566</v>
      </c>
      <c r="S44" s="1" t="str">
        <f>'mk 001 10.3'!S45</f>
        <v>14/5/2569</v>
      </c>
      <c r="T44" t="str">
        <f>'mk 001 10.3'!T45</f>
        <v>H6954RMA0058184</v>
      </c>
      <c r="U44">
        <f>'mk 001 10.3'!U45</f>
        <v>23058589</v>
      </c>
      <c r="V44" t="str">
        <f>'mk 001 10.3'!V45</f>
        <v>ไส้อ่อน (M)</v>
      </c>
      <c r="W44">
        <f>'mk 001 10.3'!W45</f>
        <v>5</v>
      </c>
      <c r="X44">
        <f>'mk 001 10.3'!X45</f>
        <v>5</v>
      </c>
      <c r="Y44">
        <f t="shared" si="0"/>
        <v>5</v>
      </c>
      <c r="Z44" s="13">
        <f>IF(COUNTIFS(แปลงข้อมูล!H:H,Q44,แปลงข้อมูล!I:I,U44,แปลงข้อมูล!J:J,V44)&gt;0,SUMIFS(แปลงข้อมูล!Q:Q,แปลงข้อมูล!I:I,U44,แปลงข้อมูล!H:H,Q44,แปลงข้อมูล!J:J,V44),'mk 001 10.3'!Z45)</f>
        <v>5</v>
      </c>
      <c r="AA44">
        <f>'mk 001 10.3'!AA45</f>
        <v>0</v>
      </c>
      <c r="AB44">
        <f>'mk 001 10.3'!AB45</f>
        <v>0</v>
      </c>
      <c r="AC44">
        <f>'mk 001 10.3'!AC45</f>
        <v>0</v>
      </c>
      <c r="AD44">
        <f>'mk 001 10.3'!AD45</f>
        <v>0</v>
      </c>
      <c r="AE44">
        <f>'mk 001 10.3'!AE45</f>
        <v>5</v>
      </c>
      <c r="AF44">
        <f>'mk 001 10.3'!AF45</f>
        <v>5</v>
      </c>
      <c r="AG44">
        <f>'mk 001 10.3'!AG45</f>
        <v>0</v>
      </c>
      <c r="AH44">
        <f>'mk 001 10.3'!AH45</f>
        <v>0</v>
      </c>
      <c r="AI44" t="str">
        <f>'mk 001 10.3'!AI45</f>
        <v>OPRCD489MOPRCD00000OPRCDF213OPRCD00000OPRCD923</v>
      </c>
      <c r="AJ44" t="str">
        <f>'mk 001 10.3'!AJ45</f>
        <v>ซื้อ / ขาย</v>
      </c>
      <c r="AK44" t="str">
        <f>'mk 001 10.3'!AK45</f>
        <v>By proudct</v>
      </c>
      <c r="AL44" t="str">
        <f>'mk 001 10.3'!AL45</f>
        <v>Bulk Normal</v>
      </c>
      <c r="AM44" t="str">
        <f>'mk 001 10.3'!AM45</f>
        <v>สุกร</v>
      </c>
      <c r="AN44" t="str">
        <f>'mk 001 10.3'!AN45</f>
        <v>MT2001 SUPER MK.-Makro</v>
      </c>
      <c r="AO44" t="str">
        <f>'mk 001 10.3'!AO45</f>
        <v>MT</v>
      </c>
      <c r="AP44">
        <f>'mk 001 10.3'!AP45</f>
        <v>20</v>
      </c>
      <c r="AQ44">
        <f>'mk 001 10.3'!AQ45</f>
        <v>1</v>
      </c>
      <c r="AR44">
        <f>'mk 001 10.3'!AR45</f>
        <v>0</v>
      </c>
      <c r="AS44">
        <f>'mk 001 10.3'!AS45</f>
        <v>0</v>
      </c>
      <c r="AT44" t="str">
        <f>'mk 001 10.3'!AT45</f>
        <v>เบญจพจน์ เพชรเหลี่ยม</v>
      </c>
      <c r="AU44" t="str">
        <f>'mk 001 10.3'!AU45</f>
        <v>2026-05-08-13.09.12.000000</v>
      </c>
      <c r="AV44" t="str">
        <f>'mk 001 10.3'!AV45</f>
        <v>ก.ก.</v>
      </c>
      <c r="AW44" t="str">
        <f>'mk 001 10.3'!AW45</f>
        <v>ก.ก.</v>
      </c>
      <c r="AX44" t="str">
        <f>'mk 001 10.3'!AX45</f>
        <v xml:space="preserve"> </v>
      </c>
      <c r="AY44">
        <f>'mk 001 10.3'!AY45</f>
        <v>0</v>
      </c>
      <c r="AZ44" t="str">
        <f>'mk 001 10.3'!AZ45</f>
        <v>N</v>
      </c>
      <c r="BA44" s="22">
        <f>'mk 001 10.3'!BA45</f>
        <v>9044989472405</v>
      </c>
      <c r="BB44">
        <f>'mk 001 10.3'!BB45</f>
        <v>0</v>
      </c>
      <c r="BC44">
        <f>'mk 001 10.3'!BC45</f>
        <v>0</v>
      </c>
      <c r="BD44">
        <f>'mk 001 10.3'!BD45</f>
        <v>1</v>
      </c>
      <c r="BE44">
        <f>'mk 001 10.3'!BE45</f>
        <v>0</v>
      </c>
      <c r="BF44" t="str">
        <f>'mk 001 10.3'!BF45</f>
        <v>;0000</v>
      </c>
      <c r="BG44">
        <f>'mk 001 10.3'!BG45</f>
        <v>1333314600</v>
      </c>
      <c r="BH44" t="str">
        <f>'mk 001 10.3'!BH45</f>
        <v>G</v>
      </c>
      <c r="BI44">
        <f>'mk 001 10.3'!BI45</f>
        <v>5</v>
      </c>
      <c r="BJ44">
        <f>'mk 001 10.3'!BJ45</f>
        <v>5</v>
      </c>
      <c r="BK44">
        <f>'mk 001 10.3'!BK45</f>
        <v>0</v>
      </c>
      <c r="BL44" t="str">
        <f>'mk 001 10.3'!BL45</f>
        <v>SYSBATCH</v>
      </c>
      <c r="BM44">
        <f>'mk 001 10.3'!BM45</f>
        <v>0</v>
      </c>
      <c r="BN44">
        <f>'mk 001 10.3'!BN45</f>
        <v>0</v>
      </c>
    </row>
    <row r="45" spans="1:66" x14ac:dyDescent="0.35">
      <c r="A45">
        <f>'mk 001 10.3'!A46</f>
        <v>0</v>
      </c>
      <c r="B45">
        <f>'mk 001 10.3'!B46</f>
        <v>0</v>
      </c>
      <c r="C45" s="1" t="str">
        <f>'mk 001 10.3'!C46</f>
        <v>14/5/2569</v>
      </c>
      <c r="D45" s="1" t="str">
        <f>'mk 001 10.3'!D46</f>
        <v>14/5/2569</v>
      </c>
      <c r="E45">
        <f>'mk 001 10.3'!E46</f>
        <v>0</v>
      </c>
      <c r="F45" t="str">
        <f>'mk 001 10.3'!F46</f>
        <v>489M</v>
      </c>
      <c r="G45" t="str">
        <f>'mk 001 10.3'!G46</f>
        <v>Modern Trade (Makro)</v>
      </c>
      <c r="H45">
        <f>'mk 001 10.3'!H46</f>
        <v>0</v>
      </c>
      <c r="I45" t="str">
        <f>'mk 001 10.3'!I46</f>
        <v>หน่วยงานกลาง</v>
      </c>
      <c r="J45" t="str">
        <f>'mk 001 10.3'!J46</f>
        <v>F213  DMCW-รชล-พระพุทธบาท</v>
      </c>
      <c r="K45" t="str">
        <f>'mk 001 10.3'!K46</f>
        <v>00000  หน่วยงานกลาง</v>
      </c>
      <c r="L45">
        <f>'mk 001 10.3'!L46</f>
        <v>923</v>
      </c>
      <c r="M45">
        <f>'mk 001 10.3'!M46</f>
        <v>0</v>
      </c>
      <c r="N45" t="str">
        <f>'mk 001 10.3'!N46</f>
        <v>1A53017200</v>
      </c>
      <c r="O45" t="str">
        <f>'mk 001 10.3'!O46</f>
        <v>บมจ. ซีพี แอ็กซ์ตร้า สาขาชัยนาท</v>
      </c>
      <c r="P45">
        <f>'mk 001 10.3'!P46</f>
        <v>2</v>
      </c>
      <c r="Q45" t="str">
        <f>'mk 001 10.3'!Q46</f>
        <v>MAKRO 0164 สาขาชัยนาท</v>
      </c>
      <c r="R45" s="1">
        <f>'mk 001 10.3'!R46</f>
        <v>244566</v>
      </c>
      <c r="S45" s="1" t="str">
        <f>'mk 001 10.3'!S46</f>
        <v>14/5/2569</v>
      </c>
      <c r="T45" t="str">
        <f>'mk 001 10.3'!T46</f>
        <v>H6954RMA0058184</v>
      </c>
      <c r="U45">
        <f>'mk 001 10.3'!U46</f>
        <v>23058591</v>
      </c>
      <c r="V45" t="str">
        <f>'mk 001 10.3'!V46</f>
        <v>กระดูกข้อ(คาตั๊ง) (M)</v>
      </c>
      <c r="W45">
        <f>'mk 001 10.3'!W46</f>
        <v>20</v>
      </c>
      <c r="X45">
        <f>'mk 001 10.3'!X46</f>
        <v>20</v>
      </c>
      <c r="Y45">
        <f t="shared" si="0"/>
        <v>20</v>
      </c>
      <c r="Z45" s="13">
        <f>IF(COUNTIFS(แปลงข้อมูล!H:H,Q45,แปลงข้อมูล!I:I,U45,แปลงข้อมูล!J:J,V45)&gt;0,SUMIFS(แปลงข้อมูล!Q:Q,แปลงข้อมูล!I:I,U45,แปลงข้อมูล!H:H,Q45,แปลงข้อมูล!J:J,V45),'mk 001 10.3'!Z46)</f>
        <v>20</v>
      </c>
      <c r="AA45">
        <f>'mk 001 10.3'!AA46</f>
        <v>0</v>
      </c>
      <c r="AB45">
        <f>'mk 001 10.3'!AB46</f>
        <v>0</v>
      </c>
      <c r="AC45">
        <f>'mk 001 10.3'!AC46</f>
        <v>0</v>
      </c>
      <c r="AD45">
        <f>'mk 001 10.3'!AD46</f>
        <v>0</v>
      </c>
      <c r="AE45">
        <f>'mk 001 10.3'!AE46</f>
        <v>20</v>
      </c>
      <c r="AF45">
        <f>'mk 001 10.3'!AF46</f>
        <v>20</v>
      </c>
      <c r="AG45">
        <f>'mk 001 10.3'!AG46</f>
        <v>0</v>
      </c>
      <c r="AH45">
        <f>'mk 001 10.3'!AH46</f>
        <v>0</v>
      </c>
      <c r="AI45" t="str">
        <f>'mk 001 10.3'!AI46</f>
        <v>OPRCD489MOPRCD00000OPRCDF213OPRCD00000OPRCD923</v>
      </c>
      <c r="AJ45" t="str">
        <f>'mk 001 10.3'!AJ46</f>
        <v>ซื้อ / ขาย</v>
      </c>
      <c r="AK45" t="str">
        <f>'mk 001 10.3'!AK46</f>
        <v>By proudct</v>
      </c>
      <c r="AL45" t="str">
        <f>'mk 001 10.3'!AL46</f>
        <v>Bulk Normal</v>
      </c>
      <c r="AM45" t="str">
        <f>'mk 001 10.3'!AM46</f>
        <v>สุกร</v>
      </c>
      <c r="AN45" t="str">
        <f>'mk 001 10.3'!AN46</f>
        <v>MT2001 SUPER MK.-Makro</v>
      </c>
      <c r="AO45" t="str">
        <f>'mk 001 10.3'!AO46</f>
        <v>MT</v>
      </c>
      <c r="AP45">
        <f>'mk 001 10.3'!AP46</f>
        <v>20</v>
      </c>
      <c r="AQ45">
        <f>'mk 001 10.3'!AQ46</f>
        <v>1</v>
      </c>
      <c r="AR45">
        <f>'mk 001 10.3'!AR46</f>
        <v>0</v>
      </c>
      <c r="AS45">
        <f>'mk 001 10.3'!AS46</f>
        <v>0</v>
      </c>
      <c r="AT45" t="str">
        <f>'mk 001 10.3'!AT46</f>
        <v>เบญจพจน์ เพชรเหลี่ยม</v>
      </c>
      <c r="AU45" t="str">
        <f>'mk 001 10.3'!AU46</f>
        <v>2026-05-08-13.09.12.000000</v>
      </c>
      <c r="AV45" t="str">
        <f>'mk 001 10.3'!AV46</f>
        <v>ก.ก.</v>
      </c>
      <c r="AW45" t="str">
        <f>'mk 001 10.3'!AW46</f>
        <v>ก.ก.</v>
      </c>
      <c r="AX45" t="str">
        <f>'mk 001 10.3'!AX46</f>
        <v xml:space="preserve"> </v>
      </c>
      <c r="AY45">
        <f>'mk 001 10.3'!AY46</f>
        <v>0</v>
      </c>
      <c r="AZ45" t="str">
        <f>'mk 001 10.3'!AZ46</f>
        <v>N</v>
      </c>
      <c r="BA45" s="22">
        <f>'mk 001 10.3'!BA46</f>
        <v>9044989472405</v>
      </c>
      <c r="BB45">
        <f>'mk 001 10.3'!BB46</f>
        <v>0</v>
      </c>
      <c r="BC45">
        <f>'mk 001 10.3'!BC46</f>
        <v>0</v>
      </c>
      <c r="BD45">
        <f>'mk 001 10.3'!BD46</f>
        <v>1</v>
      </c>
      <c r="BE45">
        <f>'mk 001 10.3'!BE46</f>
        <v>0</v>
      </c>
      <c r="BF45" t="str">
        <f>'mk 001 10.3'!BF46</f>
        <v>;0000</v>
      </c>
      <c r="BG45">
        <f>'mk 001 10.3'!BG46</f>
        <v>1333314600</v>
      </c>
      <c r="BH45" t="str">
        <f>'mk 001 10.3'!BH46</f>
        <v>G</v>
      </c>
      <c r="BI45">
        <f>'mk 001 10.3'!BI46</f>
        <v>20</v>
      </c>
      <c r="BJ45">
        <f>'mk 001 10.3'!BJ46</f>
        <v>20</v>
      </c>
      <c r="BK45">
        <f>'mk 001 10.3'!BK46</f>
        <v>0</v>
      </c>
      <c r="BL45" t="str">
        <f>'mk 001 10.3'!BL46</f>
        <v>SYSBATCH</v>
      </c>
      <c r="BM45">
        <f>'mk 001 10.3'!BM46</f>
        <v>0</v>
      </c>
      <c r="BN45">
        <f>'mk 001 10.3'!BN46</f>
        <v>0</v>
      </c>
    </row>
    <row r="46" spans="1:66" x14ac:dyDescent="0.35">
      <c r="A46">
        <f>'mk 001 10.3'!A47</f>
        <v>0</v>
      </c>
      <c r="B46">
        <f>'mk 001 10.3'!B47</f>
        <v>0</v>
      </c>
      <c r="C46" s="1" t="str">
        <f>'mk 001 10.3'!C47</f>
        <v>14/5/2569</v>
      </c>
      <c r="D46" s="1" t="str">
        <f>'mk 001 10.3'!D47</f>
        <v>14/5/2569</v>
      </c>
      <c r="E46">
        <f>'mk 001 10.3'!E47</f>
        <v>0</v>
      </c>
      <c r="F46" t="str">
        <f>'mk 001 10.3'!F47</f>
        <v>489M</v>
      </c>
      <c r="G46" t="str">
        <f>'mk 001 10.3'!G47</f>
        <v>Modern Trade (Makro)</v>
      </c>
      <c r="H46">
        <f>'mk 001 10.3'!H47</f>
        <v>0</v>
      </c>
      <c r="I46" t="str">
        <f>'mk 001 10.3'!I47</f>
        <v>หน่วยงานกลาง</v>
      </c>
      <c r="J46" t="str">
        <f>'mk 001 10.3'!J47</f>
        <v>F213  DMCW-รชล-พระพุทธบาท</v>
      </c>
      <c r="K46" t="str">
        <f>'mk 001 10.3'!K47</f>
        <v>00000  หน่วยงานกลาง</v>
      </c>
      <c r="L46">
        <f>'mk 001 10.3'!L47</f>
        <v>923</v>
      </c>
      <c r="M46">
        <f>'mk 001 10.3'!M47</f>
        <v>0</v>
      </c>
      <c r="N46" t="str">
        <f>'mk 001 10.3'!N47</f>
        <v>1A53017200</v>
      </c>
      <c r="O46" t="str">
        <f>'mk 001 10.3'!O47</f>
        <v>บมจ. ซีพี แอ็กซ์ตร้า สาขาชัยนาท</v>
      </c>
      <c r="P46">
        <f>'mk 001 10.3'!P47</f>
        <v>2</v>
      </c>
      <c r="Q46" t="str">
        <f>'mk 001 10.3'!Q47</f>
        <v>MAKRO 0164 สาขาชัยนาท</v>
      </c>
      <c r="R46" s="1">
        <f>'mk 001 10.3'!R47</f>
        <v>244566</v>
      </c>
      <c r="S46" s="1" t="str">
        <f>'mk 001 10.3'!S47</f>
        <v>14/5/2569</v>
      </c>
      <c r="T46" t="str">
        <f>'mk 001 10.3'!T47</f>
        <v>H6954RMA0058184</v>
      </c>
      <c r="U46">
        <f>'mk 001 10.3'!U47</f>
        <v>23075089</v>
      </c>
      <c r="V46" t="str">
        <f>'mk 001 10.3'!V47</f>
        <v>มันตัดเส้น(M)</v>
      </c>
      <c r="W46">
        <f>'mk 001 10.3'!W47</f>
        <v>0</v>
      </c>
      <c r="X46">
        <f>'mk 001 10.3'!X47</f>
        <v>0</v>
      </c>
      <c r="Y46">
        <f t="shared" si="0"/>
        <v>0</v>
      </c>
      <c r="Z46" s="13">
        <f>IF(COUNTIFS(แปลงข้อมูล!H:H,Q46,แปลงข้อมูล!I:I,U46,แปลงข้อมูล!J:J,V46)&gt;0,SUMIFS(แปลงข้อมูล!Q:Q,แปลงข้อมูล!I:I,U46,แปลงข้อมูล!H:H,Q46,แปลงข้อมูล!J:J,V46),'mk 001 10.3'!Z47)</f>
        <v>0</v>
      </c>
      <c r="AA46">
        <f>'mk 001 10.3'!AA47</f>
        <v>0</v>
      </c>
      <c r="AB46">
        <f>'mk 001 10.3'!AB47</f>
        <v>0</v>
      </c>
      <c r="AC46">
        <f>'mk 001 10.3'!AC47</f>
        <v>0</v>
      </c>
      <c r="AD46">
        <f>'mk 001 10.3'!AD47</f>
        <v>0</v>
      </c>
      <c r="AE46">
        <f>'mk 001 10.3'!AE47</f>
        <v>0</v>
      </c>
      <c r="AF46">
        <f>'mk 001 10.3'!AF47</f>
        <v>0</v>
      </c>
      <c r="AG46">
        <f>'mk 001 10.3'!AG47</f>
        <v>0</v>
      </c>
      <c r="AH46">
        <f>'mk 001 10.3'!AH47</f>
        <v>0</v>
      </c>
      <c r="AI46" t="str">
        <f>'mk 001 10.3'!AI47</f>
        <v>OPRCD489MOPRCD00000OPRCDF213OPRCD00000OPRCD923</v>
      </c>
      <c r="AJ46" t="str">
        <f>'mk 001 10.3'!AJ47</f>
        <v>ซื้อ / ขาย</v>
      </c>
      <c r="AK46" t="str">
        <f>'mk 001 10.3'!AK47</f>
        <v>By proudct</v>
      </c>
      <c r="AL46" t="str">
        <f>'mk 001 10.3'!AL47</f>
        <v>Bulk Normal</v>
      </c>
      <c r="AM46" t="str">
        <f>'mk 001 10.3'!AM47</f>
        <v>สุกร</v>
      </c>
      <c r="AN46" t="str">
        <f>'mk 001 10.3'!AN47</f>
        <v>MT2001 SUPER MK.-Makro</v>
      </c>
      <c r="AO46" t="str">
        <f>'mk 001 10.3'!AO47</f>
        <v>MT</v>
      </c>
      <c r="AP46">
        <f>'mk 001 10.3'!AP47</f>
        <v>20</v>
      </c>
      <c r="AQ46">
        <f>'mk 001 10.3'!AQ47</f>
        <v>1</v>
      </c>
      <c r="AR46">
        <f>'mk 001 10.3'!AR47</f>
        <v>0</v>
      </c>
      <c r="AS46">
        <f>'mk 001 10.3'!AS47</f>
        <v>0</v>
      </c>
      <c r="AT46" t="str">
        <f>'mk 001 10.3'!AT47</f>
        <v>เบญจพจน์ เพชรเหลี่ยม</v>
      </c>
      <c r="AU46" t="str">
        <f>'mk 001 10.3'!AU47</f>
        <v>2026-05-08-13.09.12.000000</v>
      </c>
      <c r="AV46" t="str">
        <f>'mk 001 10.3'!AV47</f>
        <v>ก.ก.</v>
      </c>
      <c r="AW46" t="str">
        <f>'mk 001 10.3'!AW47</f>
        <v>ก.ก.</v>
      </c>
      <c r="AX46" t="str">
        <f>'mk 001 10.3'!AX47</f>
        <v xml:space="preserve"> </v>
      </c>
      <c r="AY46">
        <f>'mk 001 10.3'!AY47</f>
        <v>0</v>
      </c>
      <c r="AZ46" t="str">
        <f>'mk 001 10.3'!AZ47</f>
        <v>N</v>
      </c>
      <c r="BA46" s="22">
        <f>'mk 001 10.3'!BA47</f>
        <v>9044989472405</v>
      </c>
      <c r="BB46">
        <f>'mk 001 10.3'!BB47</f>
        <v>0</v>
      </c>
      <c r="BC46">
        <f>'mk 001 10.3'!BC47</f>
        <v>0</v>
      </c>
      <c r="BD46">
        <f>'mk 001 10.3'!BD47</f>
        <v>1</v>
      </c>
      <c r="BE46">
        <f>'mk 001 10.3'!BE47</f>
        <v>0</v>
      </c>
      <c r="BF46" t="str">
        <f>'mk 001 10.3'!BF47</f>
        <v>;0000</v>
      </c>
      <c r="BG46">
        <f>'mk 001 10.3'!BG47</f>
        <v>1333314600</v>
      </c>
      <c r="BH46" t="str">
        <f>'mk 001 10.3'!BH47</f>
        <v>G</v>
      </c>
      <c r="BI46">
        <f>'mk 001 10.3'!BI47</f>
        <v>0</v>
      </c>
      <c r="BJ46">
        <f>'mk 001 10.3'!BJ47</f>
        <v>0</v>
      </c>
      <c r="BK46">
        <f>'mk 001 10.3'!BK47</f>
        <v>0</v>
      </c>
      <c r="BL46" t="str">
        <f>'mk 001 10.3'!BL47</f>
        <v>SYSBATCH</v>
      </c>
      <c r="BM46">
        <f>'mk 001 10.3'!BM47</f>
        <v>0</v>
      </c>
      <c r="BN46">
        <f>'mk 001 10.3'!BN47</f>
        <v>0</v>
      </c>
    </row>
    <row r="47" spans="1:66" x14ac:dyDescent="0.35">
      <c r="A47">
        <f>'mk 001 10.3'!A48</f>
        <v>0</v>
      </c>
      <c r="B47">
        <f>'mk 001 10.3'!B48</f>
        <v>0</v>
      </c>
      <c r="C47" s="1" t="str">
        <f>'mk 001 10.3'!C48</f>
        <v>14/5/2569</v>
      </c>
      <c r="D47" s="1" t="str">
        <f>'mk 001 10.3'!D48</f>
        <v>14/5/2569</v>
      </c>
      <c r="E47">
        <f>'mk 001 10.3'!E48</f>
        <v>0</v>
      </c>
      <c r="F47" t="str">
        <f>'mk 001 10.3'!F48</f>
        <v>489M</v>
      </c>
      <c r="G47" t="str">
        <f>'mk 001 10.3'!G48</f>
        <v>Modern Trade (Makro)</v>
      </c>
      <c r="H47">
        <f>'mk 001 10.3'!H48</f>
        <v>0</v>
      </c>
      <c r="I47" t="str">
        <f>'mk 001 10.3'!I48</f>
        <v>หน่วยงานกลาง</v>
      </c>
      <c r="J47" t="str">
        <f>'mk 001 10.3'!J48</f>
        <v>F213  DMCW-รชล-พระพุทธบาท</v>
      </c>
      <c r="K47" t="str">
        <f>'mk 001 10.3'!K48</f>
        <v>00000  หน่วยงานกลาง</v>
      </c>
      <c r="L47">
        <f>'mk 001 10.3'!L48</f>
        <v>923</v>
      </c>
      <c r="M47">
        <f>'mk 001 10.3'!M48</f>
        <v>0</v>
      </c>
      <c r="N47" t="str">
        <f>'mk 001 10.3'!N48</f>
        <v>1A53017200</v>
      </c>
      <c r="O47" t="str">
        <f>'mk 001 10.3'!O48</f>
        <v>บมจ. ซีพี แอ็กซ์ตร้า สาขาชัยนาท</v>
      </c>
      <c r="P47">
        <f>'mk 001 10.3'!P48</f>
        <v>2</v>
      </c>
      <c r="Q47" t="str">
        <f>'mk 001 10.3'!Q48</f>
        <v>MAKRO 0164 สาขาชัยนาท</v>
      </c>
      <c r="R47" s="1">
        <f>'mk 001 10.3'!R48</f>
        <v>244566</v>
      </c>
      <c r="S47" s="1" t="str">
        <f>'mk 001 10.3'!S48</f>
        <v>14/5/2569</v>
      </c>
      <c r="T47" t="str">
        <f>'mk 001 10.3'!T48</f>
        <v>H6954RMA0058184</v>
      </c>
      <c r="U47">
        <f>'mk 001 10.3'!U48</f>
        <v>23058590</v>
      </c>
      <c r="V47" t="str">
        <f>'mk 001 10.3'!V48</f>
        <v>ไส้ใหญ่(ลวก) (M)</v>
      </c>
      <c r="W47">
        <f>'mk 001 10.3'!W48</f>
        <v>5</v>
      </c>
      <c r="X47">
        <f>'mk 001 10.3'!X48</f>
        <v>5</v>
      </c>
      <c r="Y47">
        <f t="shared" si="0"/>
        <v>5</v>
      </c>
      <c r="Z47" s="13">
        <f>IF(COUNTIFS(แปลงข้อมูล!H:H,Q47,แปลงข้อมูล!I:I,U47,แปลงข้อมูล!J:J,V47)&gt;0,SUMIFS(แปลงข้อมูล!Q:Q,แปลงข้อมูล!I:I,U47,แปลงข้อมูล!H:H,Q47,แปลงข้อมูล!J:J,V47),'mk 001 10.3'!Z48)</f>
        <v>5</v>
      </c>
      <c r="AA47">
        <f>'mk 001 10.3'!AA48</f>
        <v>0</v>
      </c>
      <c r="AB47">
        <f>'mk 001 10.3'!AB48</f>
        <v>0</v>
      </c>
      <c r="AC47">
        <f>'mk 001 10.3'!AC48</f>
        <v>0</v>
      </c>
      <c r="AD47">
        <f>'mk 001 10.3'!AD48</f>
        <v>0</v>
      </c>
      <c r="AE47">
        <f>'mk 001 10.3'!AE48</f>
        <v>5</v>
      </c>
      <c r="AF47">
        <f>'mk 001 10.3'!AF48</f>
        <v>5</v>
      </c>
      <c r="AG47">
        <f>'mk 001 10.3'!AG48</f>
        <v>0</v>
      </c>
      <c r="AH47">
        <f>'mk 001 10.3'!AH48</f>
        <v>0</v>
      </c>
      <c r="AI47" t="str">
        <f>'mk 001 10.3'!AI48</f>
        <v>OPRCD489MOPRCD00000OPRCDF213OPRCD00000OPRCD923</v>
      </c>
      <c r="AJ47" t="str">
        <f>'mk 001 10.3'!AJ48</f>
        <v>ซื้อ / ขาย</v>
      </c>
      <c r="AK47" t="str">
        <f>'mk 001 10.3'!AK48</f>
        <v>By proudct</v>
      </c>
      <c r="AL47" t="str">
        <f>'mk 001 10.3'!AL48</f>
        <v>Bulk Normal</v>
      </c>
      <c r="AM47" t="str">
        <f>'mk 001 10.3'!AM48</f>
        <v>สุกร</v>
      </c>
      <c r="AN47" t="str">
        <f>'mk 001 10.3'!AN48</f>
        <v>MT2001 SUPER MK.-Makro</v>
      </c>
      <c r="AO47" t="str">
        <f>'mk 001 10.3'!AO48</f>
        <v>MT</v>
      </c>
      <c r="AP47">
        <f>'mk 001 10.3'!AP48</f>
        <v>20</v>
      </c>
      <c r="AQ47">
        <f>'mk 001 10.3'!AQ48</f>
        <v>1</v>
      </c>
      <c r="AR47">
        <f>'mk 001 10.3'!AR48</f>
        <v>0</v>
      </c>
      <c r="AS47">
        <f>'mk 001 10.3'!AS48</f>
        <v>0</v>
      </c>
      <c r="AT47" t="str">
        <f>'mk 001 10.3'!AT48</f>
        <v>เบญจพจน์ เพชรเหลี่ยม</v>
      </c>
      <c r="AU47" t="str">
        <f>'mk 001 10.3'!AU48</f>
        <v>2026-05-08-13.09.12.000000</v>
      </c>
      <c r="AV47" t="str">
        <f>'mk 001 10.3'!AV48</f>
        <v>ก.ก.</v>
      </c>
      <c r="AW47" t="str">
        <f>'mk 001 10.3'!AW48</f>
        <v>ก.ก.</v>
      </c>
      <c r="AX47" t="str">
        <f>'mk 001 10.3'!AX48</f>
        <v xml:space="preserve"> </v>
      </c>
      <c r="AY47">
        <f>'mk 001 10.3'!AY48</f>
        <v>0</v>
      </c>
      <c r="AZ47" t="str">
        <f>'mk 001 10.3'!AZ48</f>
        <v>N</v>
      </c>
      <c r="BA47" s="22">
        <f>'mk 001 10.3'!BA48</f>
        <v>9044989472405</v>
      </c>
      <c r="BB47">
        <f>'mk 001 10.3'!BB48</f>
        <v>0</v>
      </c>
      <c r="BC47">
        <f>'mk 001 10.3'!BC48</f>
        <v>0</v>
      </c>
      <c r="BD47">
        <f>'mk 001 10.3'!BD48</f>
        <v>1</v>
      </c>
      <c r="BE47">
        <f>'mk 001 10.3'!BE48</f>
        <v>0</v>
      </c>
      <c r="BF47" t="str">
        <f>'mk 001 10.3'!BF48</f>
        <v>;0000</v>
      </c>
      <c r="BG47">
        <f>'mk 001 10.3'!BG48</f>
        <v>1333314600</v>
      </c>
      <c r="BH47" t="str">
        <f>'mk 001 10.3'!BH48</f>
        <v>G</v>
      </c>
      <c r="BI47">
        <f>'mk 001 10.3'!BI48</f>
        <v>5</v>
      </c>
      <c r="BJ47">
        <f>'mk 001 10.3'!BJ48</f>
        <v>5</v>
      </c>
      <c r="BK47">
        <f>'mk 001 10.3'!BK48</f>
        <v>0</v>
      </c>
      <c r="BL47" t="str">
        <f>'mk 001 10.3'!BL48</f>
        <v>SYSBATCH</v>
      </c>
      <c r="BM47">
        <f>'mk 001 10.3'!BM48</f>
        <v>0</v>
      </c>
      <c r="BN47">
        <f>'mk 001 10.3'!BN48</f>
        <v>0</v>
      </c>
    </row>
    <row r="48" spans="1:66" x14ac:dyDescent="0.35">
      <c r="A48">
        <f>'mk 001 10.3'!A49</f>
        <v>0</v>
      </c>
      <c r="B48">
        <f>'mk 001 10.3'!B49</f>
        <v>0</v>
      </c>
      <c r="C48" s="1" t="str">
        <f>'mk 001 10.3'!C49</f>
        <v>14/5/2569</v>
      </c>
      <c r="D48" s="1" t="str">
        <f>'mk 001 10.3'!D49</f>
        <v>14/5/2569</v>
      </c>
      <c r="E48">
        <f>'mk 001 10.3'!E49</f>
        <v>0</v>
      </c>
      <c r="F48" t="str">
        <f>'mk 001 10.3'!F49</f>
        <v>489M</v>
      </c>
      <c r="G48" t="str">
        <f>'mk 001 10.3'!G49</f>
        <v>Modern Trade (Makro)</v>
      </c>
      <c r="H48">
        <f>'mk 001 10.3'!H49</f>
        <v>0</v>
      </c>
      <c r="I48" t="str">
        <f>'mk 001 10.3'!I49</f>
        <v>หน่วยงานกลาง</v>
      </c>
      <c r="J48" t="str">
        <f>'mk 001 10.3'!J49</f>
        <v>F213  DMCW-รชล-พระพุทธบาท</v>
      </c>
      <c r="K48" t="str">
        <f>'mk 001 10.3'!K49</f>
        <v>00000  หน่วยงานกลาง</v>
      </c>
      <c r="L48">
        <f>'mk 001 10.3'!L49</f>
        <v>923</v>
      </c>
      <c r="M48">
        <f>'mk 001 10.3'!M49</f>
        <v>0</v>
      </c>
      <c r="N48" t="str">
        <f>'mk 001 10.3'!N49</f>
        <v>1A53017200</v>
      </c>
      <c r="O48" t="str">
        <f>'mk 001 10.3'!O49</f>
        <v>บมจ. ซีพี แอ็กซ์ตร้า สาขาชัยนาท</v>
      </c>
      <c r="P48">
        <f>'mk 001 10.3'!P49</f>
        <v>2</v>
      </c>
      <c r="Q48" t="str">
        <f>'mk 001 10.3'!Q49</f>
        <v>MAKRO 0164 สาขาชัยนาท</v>
      </c>
      <c r="R48" s="1">
        <f>'mk 001 10.3'!R49</f>
        <v>244566</v>
      </c>
      <c r="S48" s="1" t="str">
        <f>'mk 001 10.3'!S49</f>
        <v>14/5/2569</v>
      </c>
      <c r="T48" t="str">
        <f>'mk 001 10.3'!T49</f>
        <v>H6954RMA0058184</v>
      </c>
      <c r="U48">
        <f>'mk 001 10.3'!U49</f>
        <v>23057818</v>
      </c>
      <c r="V48" t="str">
        <f>'mk 001 10.3'!V49</f>
        <v>สันใน(M)</v>
      </c>
      <c r="W48">
        <f>'mk 001 10.3'!W49</f>
        <v>0</v>
      </c>
      <c r="X48">
        <f>'mk 001 10.3'!X49</f>
        <v>0</v>
      </c>
      <c r="Y48">
        <f t="shared" si="0"/>
        <v>0</v>
      </c>
      <c r="Z48" s="13">
        <f>IF(COUNTIFS(แปลงข้อมูล!H:H,Q48,แปลงข้อมูล!I:I,U48,แปลงข้อมูล!J:J,V48)&gt;0,SUMIFS(แปลงข้อมูล!Q:Q,แปลงข้อมูล!I:I,U48,แปลงข้อมูล!H:H,Q48,แปลงข้อมูล!J:J,V48),'mk 001 10.3'!Z49)</f>
        <v>0</v>
      </c>
      <c r="AA48">
        <f>'mk 001 10.3'!AA49</f>
        <v>0</v>
      </c>
      <c r="AB48">
        <f>'mk 001 10.3'!AB49</f>
        <v>0</v>
      </c>
      <c r="AC48">
        <f>'mk 001 10.3'!AC49</f>
        <v>0</v>
      </c>
      <c r="AD48">
        <f>'mk 001 10.3'!AD49</f>
        <v>0</v>
      </c>
      <c r="AE48">
        <f>'mk 001 10.3'!AE49</f>
        <v>0</v>
      </c>
      <c r="AF48">
        <f>'mk 001 10.3'!AF49</f>
        <v>0</v>
      </c>
      <c r="AG48">
        <f>'mk 001 10.3'!AG49</f>
        <v>0</v>
      </c>
      <c r="AH48">
        <f>'mk 001 10.3'!AH49</f>
        <v>0</v>
      </c>
      <c r="AI48" t="str">
        <f>'mk 001 10.3'!AI49</f>
        <v>OPRCD489MOPRCD00000OPRCDF213OPRCD00000OPRCD923</v>
      </c>
      <c r="AJ48" t="str">
        <f>'mk 001 10.3'!AJ49</f>
        <v>ซื้อ / ขาย</v>
      </c>
      <c r="AK48" t="str">
        <f>'mk 001 10.3'!AK49</f>
        <v>Main proudct</v>
      </c>
      <c r="AL48" t="str">
        <f>'mk 001 10.3'!AL49</f>
        <v>Bulk Normal</v>
      </c>
      <c r="AM48" t="str">
        <f>'mk 001 10.3'!AM49</f>
        <v>สุกร</v>
      </c>
      <c r="AN48" t="str">
        <f>'mk 001 10.3'!AN49</f>
        <v>MT2001 SUPER MK.-Makro</v>
      </c>
      <c r="AO48" t="str">
        <f>'mk 001 10.3'!AO49</f>
        <v>MT</v>
      </c>
      <c r="AP48">
        <f>'mk 001 10.3'!AP49</f>
        <v>20</v>
      </c>
      <c r="AQ48">
        <f>'mk 001 10.3'!AQ49</f>
        <v>1</v>
      </c>
      <c r="AR48">
        <f>'mk 001 10.3'!AR49</f>
        <v>0</v>
      </c>
      <c r="AS48">
        <f>'mk 001 10.3'!AS49</f>
        <v>0</v>
      </c>
      <c r="AT48" t="str">
        <f>'mk 001 10.3'!AT49</f>
        <v>เบญจพจน์ เพชรเหลี่ยม</v>
      </c>
      <c r="AU48" t="str">
        <f>'mk 001 10.3'!AU49</f>
        <v>2026-05-08-13.09.12.000000</v>
      </c>
      <c r="AV48" t="str">
        <f>'mk 001 10.3'!AV49</f>
        <v>ก.ก.</v>
      </c>
      <c r="AW48" t="str">
        <f>'mk 001 10.3'!AW49</f>
        <v>ก.ก.</v>
      </c>
      <c r="AX48" t="str">
        <f>'mk 001 10.3'!AX49</f>
        <v xml:space="preserve"> </v>
      </c>
      <c r="AY48">
        <f>'mk 001 10.3'!AY49</f>
        <v>0</v>
      </c>
      <c r="AZ48" t="str">
        <f>'mk 001 10.3'!AZ49</f>
        <v>N</v>
      </c>
      <c r="BA48" s="22">
        <f>'mk 001 10.3'!BA49</f>
        <v>9044989472405</v>
      </c>
      <c r="BB48">
        <f>'mk 001 10.3'!BB49</f>
        <v>0</v>
      </c>
      <c r="BC48">
        <f>'mk 001 10.3'!BC49</f>
        <v>0</v>
      </c>
      <c r="BD48">
        <f>'mk 001 10.3'!BD49</f>
        <v>1</v>
      </c>
      <c r="BE48">
        <f>'mk 001 10.3'!BE49</f>
        <v>0</v>
      </c>
      <c r="BF48" t="str">
        <f>'mk 001 10.3'!BF49</f>
        <v>;0000</v>
      </c>
      <c r="BG48">
        <f>'mk 001 10.3'!BG49</f>
        <v>1333314600</v>
      </c>
      <c r="BH48" t="str">
        <f>'mk 001 10.3'!BH49</f>
        <v>G</v>
      </c>
      <c r="BI48">
        <f>'mk 001 10.3'!BI49</f>
        <v>0</v>
      </c>
      <c r="BJ48">
        <f>'mk 001 10.3'!BJ49</f>
        <v>0</v>
      </c>
      <c r="BK48">
        <f>'mk 001 10.3'!BK49</f>
        <v>0</v>
      </c>
      <c r="BL48" t="str">
        <f>'mk 001 10.3'!BL49</f>
        <v>SYSBATCH</v>
      </c>
      <c r="BM48">
        <f>'mk 001 10.3'!BM49</f>
        <v>0</v>
      </c>
      <c r="BN48">
        <f>'mk 001 10.3'!BN49</f>
        <v>0</v>
      </c>
    </row>
    <row r="49" spans="1:66" x14ac:dyDescent="0.35">
      <c r="A49">
        <f>'mk 001 10.3'!A50</f>
        <v>0</v>
      </c>
      <c r="B49">
        <f>'mk 001 10.3'!B50</f>
        <v>0</v>
      </c>
      <c r="C49" s="1" t="str">
        <f>'mk 001 10.3'!C50</f>
        <v>14/5/2569</v>
      </c>
      <c r="D49" s="1" t="str">
        <f>'mk 001 10.3'!D50</f>
        <v>14/5/2569</v>
      </c>
      <c r="E49">
        <f>'mk 001 10.3'!E50</f>
        <v>0</v>
      </c>
      <c r="F49" t="str">
        <f>'mk 001 10.3'!F50</f>
        <v>489M</v>
      </c>
      <c r="G49" t="str">
        <f>'mk 001 10.3'!G50</f>
        <v>Modern Trade (Makro)</v>
      </c>
      <c r="H49">
        <f>'mk 001 10.3'!H50</f>
        <v>0</v>
      </c>
      <c r="I49" t="str">
        <f>'mk 001 10.3'!I50</f>
        <v>หน่วยงานกลาง</v>
      </c>
      <c r="J49" t="str">
        <f>'mk 001 10.3'!J50</f>
        <v>F213  DMCW-รชล-พระพุทธบาท</v>
      </c>
      <c r="K49" t="str">
        <f>'mk 001 10.3'!K50</f>
        <v>00000  หน่วยงานกลาง</v>
      </c>
      <c r="L49">
        <f>'mk 001 10.3'!L50</f>
        <v>923</v>
      </c>
      <c r="M49">
        <f>'mk 001 10.3'!M50</f>
        <v>0</v>
      </c>
      <c r="N49" t="str">
        <f>'mk 001 10.3'!N50</f>
        <v>1A53017200</v>
      </c>
      <c r="O49" t="str">
        <f>'mk 001 10.3'!O50</f>
        <v>บมจ. ซีพี แอ็กซ์ตร้า สาขาชัยนาท</v>
      </c>
      <c r="P49">
        <f>'mk 001 10.3'!P50</f>
        <v>2</v>
      </c>
      <c r="Q49" t="str">
        <f>'mk 001 10.3'!Q50</f>
        <v>MAKRO 0164 สาขาชัยนาท</v>
      </c>
      <c r="R49" s="1">
        <f>'mk 001 10.3'!R50</f>
        <v>244566</v>
      </c>
      <c r="S49" s="1" t="str">
        <f>'mk 001 10.3'!S50</f>
        <v>14/5/2569</v>
      </c>
      <c r="T49" t="str">
        <f>'mk 001 10.3'!T50</f>
        <v>H6954RMA0058184</v>
      </c>
      <c r="U49">
        <f>'mk 001 10.3'!U50</f>
        <v>23057815</v>
      </c>
      <c r="V49" t="str">
        <f>'mk 001 10.3'!V50</f>
        <v>สันนอก(M)</v>
      </c>
      <c r="W49">
        <f>'mk 001 10.3'!W50</f>
        <v>100</v>
      </c>
      <c r="X49">
        <f>'mk 001 10.3'!X50</f>
        <v>100</v>
      </c>
      <c r="Y49">
        <f t="shared" si="0"/>
        <v>100</v>
      </c>
      <c r="Z49" s="13">
        <f>IF(COUNTIFS(แปลงข้อมูล!H:H,Q49,แปลงข้อมูล!I:I,U49,แปลงข้อมูล!J:J,V49)&gt;0,SUMIFS(แปลงข้อมูล!Q:Q,แปลงข้อมูล!I:I,U49,แปลงข้อมูล!H:H,Q49,แปลงข้อมูล!J:J,V49),'mk 001 10.3'!Z50)</f>
        <v>100</v>
      </c>
      <c r="AA49">
        <f>'mk 001 10.3'!AA50</f>
        <v>0</v>
      </c>
      <c r="AB49">
        <f>'mk 001 10.3'!AB50</f>
        <v>0</v>
      </c>
      <c r="AC49">
        <f>'mk 001 10.3'!AC50</f>
        <v>0</v>
      </c>
      <c r="AD49">
        <f>'mk 001 10.3'!AD50</f>
        <v>0</v>
      </c>
      <c r="AE49">
        <f>'mk 001 10.3'!AE50</f>
        <v>100</v>
      </c>
      <c r="AF49">
        <f>'mk 001 10.3'!AF50</f>
        <v>100</v>
      </c>
      <c r="AG49">
        <f>'mk 001 10.3'!AG50</f>
        <v>0</v>
      </c>
      <c r="AH49">
        <f>'mk 001 10.3'!AH50</f>
        <v>0</v>
      </c>
      <c r="AI49" t="str">
        <f>'mk 001 10.3'!AI50</f>
        <v>OPRCD489MOPRCD00000OPRCDF213OPRCD00000OPRCD923</v>
      </c>
      <c r="AJ49" t="str">
        <f>'mk 001 10.3'!AJ50</f>
        <v>ซื้อ / ขาย</v>
      </c>
      <c r="AK49" t="str">
        <f>'mk 001 10.3'!AK50</f>
        <v>Main proudct</v>
      </c>
      <c r="AL49" t="str">
        <f>'mk 001 10.3'!AL50</f>
        <v>Bulk Normal</v>
      </c>
      <c r="AM49" t="str">
        <f>'mk 001 10.3'!AM50</f>
        <v>สุกร</v>
      </c>
      <c r="AN49" t="str">
        <f>'mk 001 10.3'!AN50</f>
        <v>MT2001 SUPER MK.-Makro</v>
      </c>
      <c r="AO49" t="str">
        <f>'mk 001 10.3'!AO50</f>
        <v>MT</v>
      </c>
      <c r="AP49">
        <f>'mk 001 10.3'!AP50</f>
        <v>20</v>
      </c>
      <c r="AQ49">
        <f>'mk 001 10.3'!AQ50</f>
        <v>1</v>
      </c>
      <c r="AR49">
        <f>'mk 001 10.3'!AR50</f>
        <v>0</v>
      </c>
      <c r="AS49">
        <f>'mk 001 10.3'!AS50</f>
        <v>0</v>
      </c>
      <c r="AT49" t="str">
        <f>'mk 001 10.3'!AT50</f>
        <v>เบญจพจน์ เพชรเหลี่ยม</v>
      </c>
      <c r="AU49" t="str">
        <f>'mk 001 10.3'!AU50</f>
        <v>2026-05-08-13.09.12.000000</v>
      </c>
      <c r="AV49" t="str">
        <f>'mk 001 10.3'!AV50</f>
        <v>ก.ก.</v>
      </c>
      <c r="AW49" t="str">
        <f>'mk 001 10.3'!AW50</f>
        <v>ก.ก.</v>
      </c>
      <c r="AX49" t="str">
        <f>'mk 001 10.3'!AX50</f>
        <v xml:space="preserve"> </v>
      </c>
      <c r="AY49">
        <f>'mk 001 10.3'!AY50</f>
        <v>0</v>
      </c>
      <c r="AZ49" t="str">
        <f>'mk 001 10.3'!AZ50</f>
        <v>N</v>
      </c>
      <c r="BA49" s="22">
        <f>'mk 001 10.3'!BA50</f>
        <v>9044989472405</v>
      </c>
      <c r="BB49">
        <f>'mk 001 10.3'!BB50</f>
        <v>0</v>
      </c>
      <c r="BC49">
        <f>'mk 001 10.3'!BC50</f>
        <v>0</v>
      </c>
      <c r="BD49">
        <f>'mk 001 10.3'!BD50</f>
        <v>1</v>
      </c>
      <c r="BE49">
        <f>'mk 001 10.3'!BE50</f>
        <v>0</v>
      </c>
      <c r="BF49" t="str">
        <f>'mk 001 10.3'!BF50</f>
        <v>;0000</v>
      </c>
      <c r="BG49">
        <f>'mk 001 10.3'!BG50</f>
        <v>1333314600</v>
      </c>
      <c r="BH49" t="str">
        <f>'mk 001 10.3'!BH50</f>
        <v>G</v>
      </c>
      <c r="BI49">
        <f>'mk 001 10.3'!BI50</f>
        <v>100</v>
      </c>
      <c r="BJ49">
        <f>'mk 001 10.3'!BJ50</f>
        <v>100</v>
      </c>
      <c r="BK49">
        <f>'mk 001 10.3'!BK50</f>
        <v>0</v>
      </c>
      <c r="BL49" t="str">
        <f>'mk 001 10.3'!BL50</f>
        <v>SYSBATCH</v>
      </c>
      <c r="BM49">
        <f>'mk 001 10.3'!BM50</f>
        <v>0</v>
      </c>
      <c r="BN49">
        <f>'mk 001 10.3'!BN50</f>
        <v>0</v>
      </c>
    </row>
    <row r="50" spans="1:66" x14ac:dyDescent="0.35">
      <c r="A50">
        <f>'mk 001 10.3'!A51</f>
        <v>0</v>
      </c>
      <c r="B50">
        <f>'mk 001 10.3'!B51</f>
        <v>0</v>
      </c>
      <c r="C50" s="1" t="str">
        <f>'mk 001 10.3'!C51</f>
        <v>14/5/2569</v>
      </c>
      <c r="D50" s="1" t="str">
        <f>'mk 001 10.3'!D51</f>
        <v>14/5/2569</v>
      </c>
      <c r="E50">
        <f>'mk 001 10.3'!E51</f>
        <v>0</v>
      </c>
      <c r="F50" t="str">
        <f>'mk 001 10.3'!F51</f>
        <v>489M</v>
      </c>
      <c r="G50" t="str">
        <f>'mk 001 10.3'!G51</f>
        <v>Modern Trade (Makro)</v>
      </c>
      <c r="H50">
        <f>'mk 001 10.3'!H51</f>
        <v>0</v>
      </c>
      <c r="I50" t="str">
        <f>'mk 001 10.3'!I51</f>
        <v>หน่วยงานกลาง</v>
      </c>
      <c r="J50" t="str">
        <f>'mk 001 10.3'!J51</f>
        <v>F213  DMCW-รชล-พระพุทธบาท</v>
      </c>
      <c r="K50" t="str">
        <f>'mk 001 10.3'!K51</f>
        <v>00000  หน่วยงานกลาง</v>
      </c>
      <c r="L50">
        <f>'mk 001 10.3'!L51</f>
        <v>923</v>
      </c>
      <c r="M50">
        <f>'mk 001 10.3'!M51</f>
        <v>0</v>
      </c>
      <c r="N50" t="str">
        <f>'mk 001 10.3'!N51</f>
        <v>1A53017200</v>
      </c>
      <c r="O50" t="str">
        <f>'mk 001 10.3'!O51</f>
        <v>บมจ. ซีพี แอ็กซ์ตร้า สาขาชัยนาท</v>
      </c>
      <c r="P50">
        <f>'mk 001 10.3'!P51</f>
        <v>2</v>
      </c>
      <c r="Q50" t="str">
        <f>'mk 001 10.3'!Q51</f>
        <v>MAKRO 0164 สาขาชัยนาท</v>
      </c>
      <c r="R50" s="1">
        <f>'mk 001 10.3'!R51</f>
        <v>244566</v>
      </c>
      <c r="S50" s="1" t="str">
        <f>'mk 001 10.3'!S51</f>
        <v>14/5/2569</v>
      </c>
      <c r="T50" t="str">
        <f>'mk 001 10.3'!T51</f>
        <v>H6954RMA0058184</v>
      </c>
      <c r="U50">
        <f>'mk 001 10.3'!U51</f>
        <v>23058553</v>
      </c>
      <c r="V50" t="str">
        <f>'mk 001 10.3'!V51</f>
        <v>หนังสันหลัง (M)</v>
      </c>
      <c r="W50">
        <f>'mk 001 10.3'!W51</f>
        <v>110</v>
      </c>
      <c r="X50">
        <f>'mk 001 10.3'!X51</f>
        <v>110</v>
      </c>
      <c r="Y50">
        <f t="shared" si="0"/>
        <v>110</v>
      </c>
      <c r="Z50" s="13">
        <f>IF(COUNTIFS(แปลงข้อมูล!H:H,Q50,แปลงข้อมูล!I:I,U50,แปลงข้อมูล!J:J,V50)&gt;0,SUMIFS(แปลงข้อมูล!Q:Q,แปลงข้อมูล!I:I,U50,แปลงข้อมูล!H:H,Q50,แปลงข้อมูล!J:J,V50),'mk 001 10.3'!Z51)</f>
        <v>110</v>
      </c>
      <c r="AA50">
        <f>'mk 001 10.3'!AA51</f>
        <v>0</v>
      </c>
      <c r="AB50">
        <f>'mk 001 10.3'!AB51</f>
        <v>0</v>
      </c>
      <c r="AC50">
        <f>'mk 001 10.3'!AC51</f>
        <v>0</v>
      </c>
      <c r="AD50">
        <f>'mk 001 10.3'!AD51</f>
        <v>0</v>
      </c>
      <c r="AE50">
        <f>'mk 001 10.3'!AE51</f>
        <v>110</v>
      </c>
      <c r="AF50">
        <f>'mk 001 10.3'!AF51</f>
        <v>110</v>
      </c>
      <c r="AG50">
        <f>'mk 001 10.3'!AG51</f>
        <v>0</v>
      </c>
      <c r="AH50">
        <f>'mk 001 10.3'!AH51</f>
        <v>0</v>
      </c>
      <c r="AI50" t="str">
        <f>'mk 001 10.3'!AI51</f>
        <v>OPRCD489MOPRCD00000OPRCDF213OPRCD00000OPRCD923</v>
      </c>
      <c r="AJ50" t="str">
        <f>'mk 001 10.3'!AJ51</f>
        <v>ซื้อ / ขาย</v>
      </c>
      <c r="AK50" t="str">
        <f>'mk 001 10.3'!AK51</f>
        <v>By proudct</v>
      </c>
      <c r="AL50" t="str">
        <f>'mk 001 10.3'!AL51</f>
        <v>Bulk Normal</v>
      </c>
      <c r="AM50" t="str">
        <f>'mk 001 10.3'!AM51</f>
        <v>สุกร</v>
      </c>
      <c r="AN50" t="str">
        <f>'mk 001 10.3'!AN51</f>
        <v>MT2001 SUPER MK.-Makro</v>
      </c>
      <c r="AO50" t="str">
        <f>'mk 001 10.3'!AO51</f>
        <v>MT</v>
      </c>
      <c r="AP50">
        <f>'mk 001 10.3'!AP51</f>
        <v>20</v>
      </c>
      <c r="AQ50">
        <f>'mk 001 10.3'!AQ51</f>
        <v>1</v>
      </c>
      <c r="AR50">
        <f>'mk 001 10.3'!AR51</f>
        <v>0</v>
      </c>
      <c r="AS50">
        <f>'mk 001 10.3'!AS51</f>
        <v>0</v>
      </c>
      <c r="AT50" t="str">
        <f>'mk 001 10.3'!AT51</f>
        <v>เบญจพจน์ เพชรเหลี่ยม</v>
      </c>
      <c r="AU50" t="str">
        <f>'mk 001 10.3'!AU51</f>
        <v>2026-05-08-13.09.12.000000</v>
      </c>
      <c r="AV50" t="str">
        <f>'mk 001 10.3'!AV51</f>
        <v>ก.ก.</v>
      </c>
      <c r="AW50" t="str">
        <f>'mk 001 10.3'!AW51</f>
        <v>ก.ก.</v>
      </c>
      <c r="AX50" t="str">
        <f>'mk 001 10.3'!AX51</f>
        <v xml:space="preserve"> </v>
      </c>
      <c r="AY50">
        <f>'mk 001 10.3'!AY51</f>
        <v>0</v>
      </c>
      <c r="AZ50" t="str">
        <f>'mk 001 10.3'!AZ51</f>
        <v>N</v>
      </c>
      <c r="BA50" s="22">
        <f>'mk 001 10.3'!BA51</f>
        <v>9044989472405</v>
      </c>
      <c r="BB50">
        <f>'mk 001 10.3'!BB51</f>
        <v>0</v>
      </c>
      <c r="BC50">
        <f>'mk 001 10.3'!BC51</f>
        <v>0</v>
      </c>
      <c r="BD50">
        <f>'mk 001 10.3'!BD51</f>
        <v>1</v>
      </c>
      <c r="BE50">
        <f>'mk 001 10.3'!BE51</f>
        <v>0</v>
      </c>
      <c r="BF50" t="str">
        <f>'mk 001 10.3'!BF51</f>
        <v>;0000</v>
      </c>
      <c r="BG50">
        <f>'mk 001 10.3'!BG51</f>
        <v>1333314600</v>
      </c>
      <c r="BH50" t="str">
        <f>'mk 001 10.3'!BH51</f>
        <v>G</v>
      </c>
      <c r="BI50">
        <f>'mk 001 10.3'!BI51</f>
        <v>110</v>
      </c>
      <c r="BJ50">
        <f>'mk 001 10.3'!BJ51</f>
        <v>110</v>
      </c>
      <c r="BK50">
        <f>'mk 001 10.3'!BK51</f>
        <v>0</v>
      </c>
      <c r="BL50" t="str">
        <f>'mk 001 10.3'!BL51</f>
        <v>SYSBATCH</v>
      </c>
      <c r="BM50">
        <f>'mk 001 10.3'!BM51</f>
        <v>0</v>
      </c>
      <c r="BN50">
        <f>'mk 001 10.3'!BN51</f>
        <v>0</v>
      </c>
    </row>
    <row r="51" spans="1:66" x14ac:dyDescent="0.35">
      <c r="A51">
        <f>'mk 001 10.3'!A52</f>
        <v>0</v>
      </c>
      <c r="B51">
        <f>'mk 001 10.3'!B52</f>
        <v>0</v>
      </c>
      <c r="C51" s="1" t="str">
        <f>'mk 001 10.3'!C52</f>
        <v>14/5/2569</v>
      </c>
      <c r="D51" s="1" t="str">
        <f>'mk 001 10.3'!D52</f>
        <v>14/5/2569</v>
      </c>
      <c r="E51">
        <f>'mk 001 10.3'!E52</f>
        <v>0</v>
      </c>
      <c r="F51" t="str">
        <f>'mk 001 10.3'!F52</f>
        <v>489M</v>
      </c>
      <c r="G51" t="str">
        <f>'mk 001 10.3'!G52</f>
        <v>Modern Trade (Makro)</v>
      </c>
      <c r="H51">
        <f>'mk 001 10.3'!H52</f>
        <v>0</v>
      </c>
      <c r="I51" t="str">
        <f>'mk 001 10.3'!I52</f>
        <v>หน่วยงานกลาง</v>
      </c>
      <c r="J51" t="str">
        <f>'mk 001 10.3'!J52</f>
        <v>F213  DMCW-รชล-พระพุทธบาท</v>
      </c>
      <c r="K51" t="str">
        <f>'mk 001 10.3'!K52</f>
        <v>00000  หน่วยงานกลาง</v>
      </c>
      <c r="L51">
        <f>'mk 001 10.3'!L52</f>
        <v>923</v>
      </c>
      <c r="M51">
        <f>'mk 001 10.3'!M52</f>
        <v>0</v>
      </c>
      <c r="N51" t="str">
        <f>'mk 001 10.3'!N52</f>
        <v>1A53017200</v>
      </c>
      <c r="O51" t="str">
        <f>'mk 001 10.3'!O52</f>
        <v>บมจ. ซีพี แอ็กซ์ตร้า สาขาชัยนาท</v>
      </c>
      <c r="P51">
        <f>'mk 001 10.3'!P52</f>
        <v>2</v>
      </c>
      <c r="Q51" t="str">
        <f>'mk 001 10.3'!Q52</f>
        <v>MAKRO 0164 สาขาชัยนาท</v>
      </c>
      <c r="R51" s="1">
        <f>'mk 001 10.3'!R52</f>
        <v>244566</v>
      </c>
      <c r="S51" s="1" t="str">
        <f>'mk 001 10.3'!S52</f>
        <v>14/5/2569</v>
      </c>
      <c r="T51" t="str">
        <f>'mk 001 10.3'!T52</f>
        <v>H6954RMA0058184</v>
      </c>
      <c r="U51">
        <f>'mk 001 10.3'!U52</f>
        <v>23062097</v>
      </c>
      <c r="V51" t="str">
        <f>'mk 001 10.3'!V52</f>
        <v>ลิ้นหมู(M)</v>
      </c>
      <c r="W51">
        <f>'mk 001 10.3'!W52</f>
        <v>5</v>
      </c>
      <c r="X51">
        <f>'mk 001 10.3'!X52</f>
        <v>5</v>
      </c>
      <c r="Y51">
        <f t="shared" si="0"/>
        <v>5</v>
      </c>
      <c r="Z51" s="13">
        <f>IF(COUNTIFS(แปลงข้อมูล!H:H,Q51,แปลงข้อมูล!I:I,U51,แปลงข้อมูล!J:J,V51)&gt;0,SUMIFS(แปลงข้อมูล!Q:Q,แปลงข้อมูล!I:I,U51,แปลงข้อมูล!H:H,Q51,แปลงข้อมูล!J:J,V51),'mk 001 10.3'!Z52)</f>
        <v>5</v>
      </c>
      <c r="AA51">
        <f>'mk 001 10.3'!AA52</f>
        <v>0</v>
      </c>
      <c r="AB51">
        <f>'mk 001 10.3'!AB52</f>
        <v>0</v>
      </c>
      <c r="AC51">
        <f>'mk 001 10.3'!AC52</f>
        <v>0</v>
      </c>
      <c r="AD51">
        <f>'mk 001 10.3'!AD52</f>
        <v>0</v>
      </c>
      <c r="AE51">
        <f>'mk 001 10.3'!AE52</f>
        <v>5</v>
      </c>
      <c r="AF51">
        <f>'mk 001 10.3'!AF52</f>
        <v>5</v>
      </c>
      <c r="AG51">
        <f>'mk 001 10.3'!AG52</f>
        <v>0</v>
      </c>
      <c r="AH51">
        <f>'mk 001 10.3'!AH52</f>
        <v>0</v>
      </c>
      <c r="AI51" t="str">
        <f>'mk 001 10.3'!AI52</f>
        <v>OPRCD489MOPRCD00000OPRCDF213OPRCD00000OPRCD923</v>
      </c>
      <c r="AJ51" t="str">
        <f>'mk 001 10.3'!AJ52</f>
        <v>ซื้อ / ขาย</v>
      </c>
      <c r="AK51" t="str">
        <f>'mk 001 10.3'!AK52</f>
        <v>By proudct</v>
      </c>
      <c r="AL51" t="str">
        <f>'mk 001 10.3'!AL52</f>
        <v>Bulk Normal</v>
      </c>
      <c r="AM51" t="str">
        <f>'mk 001 10.3'!AM52</f>
        <v>สุกร</v>
      </c>
      <c r="AN51" t="str">
        <f>'mk 001 10.3'!AN52</f>
        <v>MT2001 SUPER MK.-Makro</v>
      </c>
      <c r="AO51" t="str">
        <f>'mk 001 10.3'!AO52</f>
        <v>MT</v>
      </c>
      <c r="AP51">
        <f>'mk 001 10.3'!AP52</f>
        <v>20</v>
      </c>
      <c r="AQ51">
        <f>'mk 001 10.3'!AQ52</f>
        <v>1</v>
      </c>
      <c r="AR51">
        <f>'mk 001 10.3'!AR52</f>
        <v>0</v>
      </c>
      <c r="AS51">
        <f>'mk 001 10.3'!AS52</f>
        <v>0</v>
      </c>
      <c r="AT51" t="str">
        <f>'mk 001 10.3'!AT52</f>
        <v>เบญจพจน์ เพชรเหลี่ยม</v>
      </c>
      <c r="AU51" t="str">
        <f>'mk 001 10.3'!AU52</f>
        <v>2026-05-08-13.09.12.000000</v>
      </c>
      <c r="AV51" t="str">
        <f>'mk 001 10.3'!AV52</f>
        <v>ก.ก.</v>
      </c>
      <c r="AW51" t="str">
        <f>'mk 001 10.3'!AW52</f>
        <v>ก.ก.</v>
      </c>
      <c r="AX51" t="str">
        <f>'mk 001 10.3'!AX52</f>
        <v xml:space="preserve"> </v>
      </c>
      <c r="AY51">
        <f>'mk 001 10.3'!AY52</f>
        <v>0</v>
      </c>
      <c r="AZ51" t="str">
        <f>'mk 001 10.3'!AZ52</f>
        <v>N</v>
      </c>
      <c r="BA51" s="22">
        <f>'mk 001 10.3'!BA52</f>
        <v>9044989472405</v>
      </c>
      <c r="BB51">
        <f>'mk 001 10.3'!BB52</f>
        <v>0</v>
      </c>
      <c r="BC51">
        <f>'mk 001 10.3'!BC52</f>
        <v>0</v>
      </c>
      <c r="BD51">
        <f>'mk 001 10.3'!BD52</f>
        <v>1</v>
      </c>
      <c r="BE51">
        <f>'mk 001 10.3'!BE52</f>
        <v>0</v>
      </c>
      <c r="BF51" t="str">
        <f>'mk 001 10.3'!BF52</f>
        <v>;0000</v>
      </c>
      <c r="BG51">
        <f>'mk 001 10.3'!BG52</f>
        <v>1333314600</v>
      </c>
      <c r="BH51" t="str">
        <f>'mk 001 10.3'!BH52</f>
        <v>G</v>
      </c>
      <c r="BI51">
        <f>'mk 001 10.3'!BI52</f>
        <v>5</v>
      </c>
      <c r="BJ51">
        <f>'mk 001 10.3'!BJ52</f>
        <v>5</v>
      </c>
      <c r="BK51">
        <f>'mk 001 10.3'!BK52</f>
        <v>0</v>
      </c>
      <c r="BL51" t="str">
        <f>'mk 001 10.3'!BL52</f>
        <v>SYSBATCH</v>
      </c>
      <c r="BM51">
        <f>'mk 001 10.3'!BM52</f>
        <v>0</v>
      </c>
      <c r="BN51">
        <f>'mk 001 10.3'!BN52</f>
        <v>0</v>
      </c>
    </row>
    <row r="52" spans="1:66" x14ac:dyDescent="0.35">
      <c r="A52">
        <f>'mk 001 10.3'!A53</f>
        <v>0</v>
      </c>
      <c r="B52">
        <f>'mk 001 10.3'!B53</f>
        <v>0</v>
      </c>
      <c r="C52" s="1" t="str">
        <f>'mk 001 10.3'!C53</f>
        <v>14/5/2569</v>
      </c>
      <c r="D52" s="1" t="str">
        <f>'mk 001 10.3'!D53</f>
        <v>14/5/2569</v>
      </c>
      <c r="E52">
        <f>'mk 001 10.3'!E53</f>
        <v>0</v>
      </c>
      <c r="F52" t="str">
        <f>'mk 001 10.3'!F53</f>
        <v>489M</v>
      </c>
      <c r="G52" t="str">
        <f>'mk 001 10.3'!G53</f>
        <v>Modern Trade (Makro)</v>
      </c>
      <c r="H52">
        <f>'mk 001 10.3'!H53</f>
        <v>0</v>
      </c>
      <c r="I52" t="str">
        <f>'mk 001 10.3'!I53</f>
        <v>หน่วยงานกลาง</v>
      </c>
      <c r="J52" t="str">
        <f>'mk 001 10.3'!J53</f>
        <v>F213  DMCW-รชล-พระพุทธบาท</v>
      </c>
      <c r="K52" t="str">
        <f>'mk 001 10.3'!K53</f>
        <v>00000  หน่วยงานกลาง</v>
      </c>
      <c r="L52">
        <f>'mk 001 10.3'!L53</f>
        <v>923</v>
      </c>
      <c r="M52">
        <f>'mk 001 10.3'!M53</f>
        <v>0</v>
      </c>
      <c r="N52" t="str">
        <f>'mk 001 10.3'!N53</f>
        <v>1A53008400</v>
      </c>
      <c r="O52" t="str">
        <f>'mk 001 10.3'!O53</f>
        <v>บมจ. ซีพี แอ็กซ์ตร้า สาขานครอินทร์</v>
      </c>
      <c r="P52">
        <f>'mk 001 10.3'!P53</f>
        <v>2</v>
      </c>
      <c r="Q52" t="str">
        <f>'mk 001 10.3'!Q53</f>
        <v>MAKRO 0083 นครอินทร์</v>
      </c>
      <c r="R52" s="1">
        <f>'mk 001 10.3'!R53</f>
        <v>244658</v>
      </c>
      <c r="S52" s="1" t="str">
        <f>'mk 001 10.3'!S53</f>
        <v>14/5/2569</v>
      </c>
      <c r="T52" t="str">
        <f>'mk 001 10.3'!T53</f>
        <v>H6954RMA0059103</v>
      </c>
      <c r="U52">
        <f>'mk 001 10.3'!U53</f>
        <v>23097791</v>
      </c>
      <c r="V52" t="str">
        <f>'mk 001 10.3'!V53</f>
        <v>สันในหมู 1 กก. (M)</v>
      </c>
      <c r="W52">
        <f>'mk 001 10.3'!W53</f>
        <v>2</v>
      </c>
      <c r="X52">
        <f>'mk 001 10.3'!X53</f>
        <v>2</v>
      </c>
      <c r="Y52">
        <f t="shared" si="0"/>
        <v>2</v>
      </c>
      <c r="Z52" s="13">
        <f>IF(COUNTIFS(แปลงข้อมูล!H:H,Q52,แปลงข้อมูล!I:I,U52,แปลงข้อมูล!J:J,V52)&gt;0,SUMIFS(แปลงข้อมูล!Q:Q,แปลงข้อมูล!I:I,U52,แปลงข้อมูล!H:H,Q52,แปลงข้อมูล!J:J,V52),'mk 001 10.3'!Z53)</f>
        <v>2</v>
      </c>
      <c r="AA52">
        <f>'mk 001 10.3'!AA53</f>
        <v>0</v>
      </c>
      <c r="AB52">
        <f>'mk 001 10.3'!AB53</f>
        <v>0</v>
      </c>
      <c r="AC52">
        <f>'mk 001 10.3'!AC53</f>
        <v>0</v>
      </c>
      <c r="AD52">
        <f>'mk 001 10.3'!AD53</f>
        <v>0</v>
      </c>
      <c r="AE52">
        <f>'mk 001 10.3'!AE53</f>
        <v>2</v>
      </c>
      <c r="AF52">
        <f>'mk 001 10.3'!AF53</f>
        <v>2</v>
      </c>
      <c r="AG52">
        <f>'mk 001 10.3'!AG53</f>
        <v>0</v>
      </c>
      <c r="AH52">
        <f>'mk 001 10.3'!AH53</f>
        <v>0</v>
      </c>
      <c r="AI52" t="str">
        <f>'mk 001 10.3'!AI53</f>
        <v>OPRCD489MOPRCD00000OPRCDF213OPRCD00000OPRCD923</v>
      </c>
      <c r="AJ52" t="str">
        <f>'mk 001 10.3'!AJ53</f>
        <v>ซื้อ / ขาย</v>
      </c>
      <c r="AK52" t="str">
        <f>'mk 001 10.3'!AK53</f>
        <v>Main proudct</v>
      </c>
      <c r="AL52" t="str">
        <f>'mk 001 10.3'!AL53</f>
        <v>Bulk Normal</v>
      </c>
      <c r="AM52" t="str">
        <f>'mk 001 10.3'!AM53</f>
        <v>สุกร</v>
      </c>
      <c r="AN52" t="str">
        <f>'mk 001 10.3'!AN53</f>
        <v>OT002 CC-Makro</v>
      </c>
      <c r="AO52" t="str">
        <f>'mk 001 10.3'!AO53</f>
        <v>MT</v>
      </c>
      <c r="AP52">
        <f>'mk 001 10.3'!AP53</f>
        <v>2</v>
      </c>
      <c r="AQ52">
        <f>'mk 001 10.3'!AQ53</f>
        <v>0</v>
      </c>
      <c r="AR52">
        <f>'mk 001 10.3'!AR53</f>
        <v>0</v>
      </c>
      <c r="AS52">
        <f>'mk 001 10.3'!AS53</f>
        <v>0</v>
      </c>
      <c r="AT52" t="str">
        <f>'mk 001 10.3'!AT53</f>
        <v>System Batch</v>
      </c>
      <c r="AU52" t="str">
        <f>'mk 001 10.3'!AU53</f>
        <v>2026-05-11-12.40.50.000000</v>
      </c>
      <c r="AV52" t="str">
        <f>'mk 001 10.3'!AV53</f>
        <v>แพ็ค</v>
      </c>
      <c r="AW52" t="str">
        <f>'mk 001 10.3'!AW53</f>
        <v>ก.ก.</v>
      </c>
      <c r="AX52" t="str">
        <f>'mk 001 10.3'!AX53</f>
        <v xml:space="preserve"> </v>
      </c>
      <c r="AY52">
        <f>'mk 001 10.3'!AY53</f>
        <v>0</v>
      </c>
      <c r="AZ52" t="str">
        <f>'mk 001 10.3'!AZ53</f>
        <v>N</v>
      </c>
      <c r="BA52" s="22">
        <f>'mk 001 10.3'!BA53</f>
        <v>9045089536563</v>
      </c>
      <c r="BB52">
        <f>'mk 001 10.3'!BB53</f>
        <v>0</v>
      </c>
      <c r="BC52">
        <f>'mk 001 10.3'!BC53</f>
        <v>0</v>
      </c>
      <c r="BD52">
        <f>'mk 001 10.3'!BD53</f>
        <v>1</v>
      </c>
      <c r="BE52">
        <f>'mk 001 10.3'!BE53</f>
        <v>0</v>
      </c>
      <c r="BF52">
        <f>'mk 001 10.3'!BF53</f>
        <v>0</v>
      </c>
      <c r="BG52">
        <f>'mk 001 10.3'!BG53</f>
        <v>1333314600</v>
      </c>
      <c r="BH52" t="str">
        <f>'mk 001 10.3'!BH53</f>
        <v>G</v>
      </c>
      <c r="BI52">
        <f>'mk 001 10.3'!BI53</f>
        <v>2</v>
      </c>
      <c r="BJ52">
        <f>'mk 001 10.3'!BJ53</f>
        <v>2</v>
      </c>
      <c r="BK52">
        <f>'mk 001 10.3'!BK53</f>
        <v>1300</v>
      </c>
      <c r="BL52" t="str">
        <f>'mk 001 10.3'!BL53</f>
        <v>SYSBATCH</v>
      </c>
      <c r="BM52">
        <f>'mk 001 10.3'!BM53</f>
        <v>0</v>
      </c>
      <c r="BN52">
        <f>'mk 001 10.3'!BN53</f>
        <v>0</v>
      </c>
    </row>
    <row r="53" spans="1:66" x14ac:dyDescent="0.35">
      <c r="A53">
        <f>'mk 001 10.3'!A54</f>
        <v>0</v>
      </c>
      <c r="B53">
        <f>'mk 001 10.3'!B54</f>
        <v>0</v>
      </c>
      <c r="C53" s="1" t="str">
        <f>'mk 001 10.3'!C54</f>
        <v>14/5/2569</v>
      </c>
      <c r="D53" s="1" t="str">
        <f>'mk 001 10.3'!D54</f>
        <v>14/5/2569</v>
      </c>
      <c r="E53">
        <f>'mk 001 10.3'!E54</f>
        <v>0</v>
      </c>
      <c r="F53" t="str">
        <f>'mk 001 10.3'!F54</f>
        <v>489M</v>
      </c>
      <c r="G53" t="str">
        <f>'mk 001 10.3'!G54</f>
        <v>Modern Trade (Makro)</v>
      </c>
      <c r="H53">
        <f>'mk 001 10.3'!H54</f>
        <v>0</v>
      </c>
      <c r="I53" t="str">
        <f>'mk 001 10.3'!I54</f>
        <v>หน่วยงานกลาง</v>
      </c>
      <c r="J53" t="str">
        <f>'mk 001 10.3'!J54</f>
        <v>F213  DMCW-รชล-พระพุทธบาท</v>
      </c>
      <c r="K53" t="str">
        <f>'mk 001 10.3'!K54</f>
        <v>00000  หน่วยงานกลาง</v>
      </c>
      <c r="L53">
        <f>'mk 001 10.3'!L54</f>
        <v>923</v>
      </c>
      <c r="M53">
        <f>'mk 001 10.3'!M54</f>
        <v>0</v>
      </c>
      <c r="N53" t="str">
        <f>'mk 001 10.3'!N54</f>
        <v>1A53008400</v>
      </c>
      <c r="O53" t="str">
        <f>'mk 001 10.3'!O54</f>
        <v>บมจ. ซีพี แอ็กซ์ตร้า สาขานครอินทร์</v>
      </c>
      <c r="P53">
        <f>'mk 001 10.3'!P54</f>
        <v>2</v>
      </c>
      <c r="Q53" t="str">
        <f>'mk 001 10.3'!Q54</f>
        <v>MAKRO 0083 นครอินทร์</v>
      </c>
      <c r="R53" s="1">
        <f>'mk 001 10.3'!R54</f>
        <v>244658</v>
      </c>
      <c r="S53" s="1" t="str">
        <f>'mk 001 10.3'!S54</f>
        <v>14/5/2569</v>
      </c>
      <c r="T53" t="str">
        <f>'mk 001 10.3'!T54</f>
        <v>H6954RMA0059103</v>
      </c>
      <c r="U53">
        <f>'mk 001 10.3'!U54</f>
        <v>23097783</v>
      </c>
      <c r="V53" t="str">
        <f>'mk 001 10.3'!V54</f>
        <v>เนื้อไหล่หมูบด 1 กก. (M)</v>
      </c>
      <c r="W53">
        <f>'mk 001 10.3'!W54</f>
        <v>50</v>
      </c>
      <c r="X53">
        <f>'mk 001 10.3'!X54</f>
        <v>50</v>
      </c>
      <c r="Y53">
        <f t="shared" si="0"/>
        <v>50</v>
      </c>
      <c r="Z53" s="13">
        <f>IF(COUNTIFS(แปลงข้อมูล!H:H,Q53,แปลงข้อมูล!I:I,U53,แปลงข้อมูล!J:J,V53)&gt;0,SUMIFS(แปลงข้อมูล!Q:Q,แปลงข้อมูล!I:I,U53,แปลงข้อมูล!H:H,Q53,แปลงข้อมูล!J:J,V53),'mk 001 10.3'!Z54)</f>
        <v>50</v>
      </c>
      <c r="AA53">
        <f>'mk 001 10.3'!AA54</f>
        <v>0</v>
      </c>
      <c r="AB53">
        <f>'mk 001 10.3'!AB54</f>
        <v>0</v>
      </c>
      <c r="AC53">
        <f>'mk 001 10.3'!AC54</f>
        <v>0</v>
      </c>
      <c r="AD53">
        <f>'mk 001 10.3'!AD54</f>
        <v>0</v>
      </c>
      <c r="AE53">
        <f>'mk 001 10.3'!AE54</f>
        <v>50</v>
      </c>
      <c r="AF53">
        <f>'mk 001 10.3'!AF54</f>
        <v>50</v>
      </c>
      <c r="AG53">
        <f>'mk 001 10.3'!AG54</f>
        <v>0</v>
      </c>
      <c r="AH53">
        <f>'mk 001 10.3'!AH54</f>
        <v>0</v>
      </c>
      <c r="AI53" t="str">
        <f>'mk 001 10.3'!AI54</f>
        <v>OPRCD489MOPRCD00000OPRCDF213OPRCD00000OPRCD923</v>
      </c>
      <c r="AJ53" t="str">
        <f>'mk 001 10.3'!AJ54</f>
        <v>ซื้อ / ขาย</v>
      </c>
      <c r="AK53" t="str">
        <f>'mk 001 10.3'!AK54</f>
        <v>Main proudct</v>
      </c>
      <c r="AL53" t="str">
        <f>'mk 001 10.3'!AL54</f>
        <v>Bulk Normal</v>
      </c>
      <c r="AM53" t="str">
        <f>'mk 001 10.3'!AM54</f>
        <v>สุกร</v>
      </c>
      <c r="AN53" t="str">
        <f>'mk 001 10.3'!AN54</f>
        <v>OT002 CC-Makro</v>
      </c>
      <c r="AO53" t="str">
        <f>'mk 001 10.3'!AO54</f>
        <v>MT</v>
      </c>
      <c r="AP53">
        <f>'mk 001 10.3'!AP54</f>
        <v>2</v>
      </c>
      <c r="AQ53">
        <f>'mk 001 10.3'!AQ54</f>
        <v>0</v>
      </c>
      <c r="AR53">
        <f>'mk 001 10.3'!AR54</f>
        <v>0</v>
      </c>
      <c r="AS53">
        <f>'mk 001 10.3'!AS54</f>
        <v>0</v>
      </c>
      <c r="AT53" t="str">
        <f>'mk 001 10.3'!AT54</f>
        <v>System Batch</v>
      </c>
      <c r="AU53" t="str">
        <f>'mk 001 10.3'!AU54</f>
        <v>2026-05-11-12.40.50.000000</v>
      </c>
      <c r="AV53" t="str">
        <f>'mk 001 10.3'!AV54</f>
        <v>แพ็ค</v>
      </c>
      <c r="AW53" t="str">
        <f>'mk 001 10.3'!AW54</f>
        <v>ก.ก.</v>
      </c>
      <c r="AX53" t="str">
        <f>'mk 001 10.3'!AX54</f>
        <v xml:space="preserve"> </v>
      </c>
      <c r="AY53">
        <f>'mk 001 10.3'!AY54</f>
        <v>0</v>
      </c>
      <c r="AZ53" t="str">
        <f>'mk 001 10.3'!AZ54</f>
        <v>N</v>
      </c>
      <c r="BA53" s="22">
        <f>'mk 001 10.3'!BA54</f>
        <v>9045089536563</v>
      </c>
      <c r="BB53">
        <f>'mk 001 10.3'!BB54</f>
        <v>0</v>
      </c>
      <c r="BC53">
        <f>'mk 001 10.3'!BC54</f>
        <v>0</v>
      </c>
      <c r="BD53">
        <f>'mk 001 10.3'!BD54</f>
        <v>1</v>
      </c>
      <c r="BE53">
        <f>'mk 001 10.3'!BE54</f>
        <v>0</v>
      </c>
      <c r="BF53">
        <f>'mk 001 10.3'!BF54</f>
        <v>0</v>
      </c>
      <c r="BG53">
        <f>'mk 001 10.3'!BG54</f>
        <v>1333314600</v>
      </c>
      <c r="BH53" t="str">
        <f>'mk 001 10.3'!BH54</f>
        <v>G</v>
      </c>
      <c r="BI53">
        <f>'mk 001 10.3'!BI54</f>
        <v>50</v>
      </c>
      <c r="BJ53">
        <f>'mk 001 10.3'!BJ54</f>
        <v>50</v>
      </c>
      <c r="BK53">
        <f>'mk 001 10.3'!BK54</f>
        <v>1300</v>
      </c>
      <c r="BL53" t="str">
        <f>'mk 001 10.3'!BL54</f>
        <v>SYSBATCH</v>
      </c>
      <c r="BM53">
        <f>'mk 001 10.3'!BM54</f>
        <v>0</v>
      </c>
      <c r="BN53">
        <f>'mk 001 10.3'!BN54</f>
        <v>0</v>
      </c>
    </row>
    <row r="54" spans="1:66" x14ac:dyDescent="0.35">
      <c r="A54">
        <f>'mk 001 10.3'!A55</f>
        <v>0</v>
      </c>
      <c r="B54">
        <f>'mk 001 10.3'!B55</f>
        <v>0</v>
      </c>
      <c r="C54" s="1" t="str">
        <f>'mk 001 10.3'!C55</f>
        <v>14/5/2569</v>
      </c>
      <c r="D54" s="1" t="str">
        <f>'mk 001 10.3'!D55</f>
        <v>14/5/2569</v>
      </c>
      <c r="E54">
        <f>'mk 001 10.3'!E55</f>
        <v>0</v>
      </c>
      <c r="F54" t="str">
        <f>'mk 001 10.3'!F55</f>
        <v>489M</v>
      </c>
      <c r="G54" t="str">
        <f>'mk 001 10.3'!G55</f>
        <v>Modern Trade (Makro)</v>
      </c>
      <c r="H54">
        <f>'mk 001 10.3'!H55</f>
        <v>0</v>
      </c>
      <c r="I54" t="str">
        <f>'mk 001 10.3'!I55</f>
        <v>หน่วยงานกลาง</v>
      </c>
      <c r="J54" t="str">
        <f>'mk 001 10.3'!J55</f>
        <v>F213  DMCW-รชล-พระพุทธบาท</v>
      </c>
      <c r="K54" t="str">
        <f>'mk 001 10.3'!K55</f>
        <v>00000  หน่วยงานกลาง</v>
      </c>
      <c r="L54">
        <f>'mk 001 10.3'!L55</f>
        <v>923</v>
      </c>
      <c r="M54">
        <f>'mk 001 10.3'!M55</f>
        <v>0</v>
      </c>
      <c r="N54" t="str">
        <f>'mk 001 10.3'!N55</f>
        <v>1A53008400</v>
      </c>
      <c r="O54" t="str">
        <f>'mk 001 10.3'!O55</f>
        <v>บมจ. ซีพี แอ็กซ์ตร้า สาขานครอินทร์</v>
      </c>
      <c r="P54">
        <f>'mk 001 10.3'!P55</f>
        <v>2</v>
      </c>
      <c r="Q54" t="str">
        <f>'mk 001 10.3'!Q55</f>
        <v>MAKRO 0083 นครอินทร์</v>
      </c>
      <c r="R54" s="1">
        <f>'mk 001 10.3'!R55</f>
        <v>244658</v>
      </c>
      <c r="S54" s="1" t="str">
        <f>'mk 001 10.3'!S55</f>
        <v>14/5/2569</v>
      </c>
      <c r="T54" t="str">
        <f>'mk 001 10.3'!T55</f>
        <v>H6954RMA0059103</v>
      </c>
      <c r="U54">
        <f>'mk 001 10.3'!U55</f>
        <v>23109359</v>
      </c>
      <c r="V54" t="str">
        <f>'mk 001 10.3'!V55</f>
        <v>หมูชีวาบด (ตรา ยูฟาร์ม) 400 กรัม</v>
      </c>
      <c r="W54">
        <f>'mk 001 10.3'!W55</f>
        <v>12</v>
      </c>
      <c r="X54">
        <f>'mk 001 10.3'!X55</f>
        <v>4.8</v>
      </c>
      <c r="Y54">
        <f t="shared" si="0"/>
        <v>12</v>
      </c>
      <c r="Z54" s="13">
        <f>IF(COUNTIFS(แปลงข้อมูล!H:H,Q54,แปลงข้อมูล!I:I,U54,แปลงข้อมูล!J:J,V54)&gt;0,SUMIFS(แปลงข้อมูล!Q:Q,แปลงข้อมูล!I:I,U54,แปลงข้อมูล!H:H,Q54,แปลงข้อมูล!J:J,V54),'mk 001 10.3'!Z55)</f>
        <v>4.8</v>
      </c>
      <c r="AA54">
        <f>'mk 001 10.3'!AA55</f>
        <v>0</v>
      </c>
      <c r="AB54">
        <f>'mk 001 10.3'!AB55</f>
        <v>0</v>
      </c>
      <c r="AC54">
        <f>'mk 001 10.3'!AC55</f>
        <v>0</v>
      </c>
      <c r="AD54">
        <f>'mk 001 10.3'!AD55</f>
        <v>0</v>
      </c>
      <c r="AE54">
        <f>'mk 001 10.3'!AE55</f>
        <v>12</v>
      </c>
      <c r="AF54">
        <f>'mk 001 10.3'!AF55</f>
        <v>4.8</v>
      </c>
      <c r="AG54">
        <f>'mk 001 10.3'!AG55</f>
        <v>0</v>
      </c>
      <c r="AH54">
        <f>'mk 001 10.3'!AH55</f>
        <v>0</v>
      </c>
      <c r="AI54" t="str">
        <f>'mk 001 10.3'!AI55</f>
        <v>OPRCD489MOPRCD00000OPRCDF213OPRCD00000OPRCD923</v>
      </c>
      <c r="AJ54" t="str">
        <f>'mk 001 10.3'!AJ55</f>
        <v>ซื้อ / ขาย</v>
      </c>
      <c r="AK54" t="str">
        <f>'mk 001 10.3'!AK55</f>
        <v>Main proudct</v>
      </c>
      <c r="AL54" t="str">
        <f>'mk 001 10.3'!AL55</f>
        <v>Seal Pack</v>
      </c>
      <c r="AM54" t="str">
        <f>'mk 001 10.3'!AM55</f>
        <v>สุกร</v>
      </c>
      <c r="AN54" t="str">
        <f>'mk 001 10.3'!AN55</f>
        <v>OT002 CC-Makro</v>
      </c>
      <c r="AO54" t="str">
        <f>'mk 001 10.3'!AO55</f>
        <v>MT</v>
      </c>
      <c r="AP54">
        <f>'mk 001 10.3'!AP55</f>
        <v>2</v>
      </c>
      <c r="AQ54">
        <f>'mk 001 10.3'!AQ55</f>
        <v>0</v>
      </c>
      <c r="AR54">
        <f>'mk 001 10.3'!AR55</f>
        <v>0</v>
      </c>
      <c r="AS54">
        <f>'mk 001 10.3'!AS55</f>
        <v>0</v>
      </c>
      <c r="AT54" t="str">
        <f>'mk 001 10.3'!AT55</f>
        <v>System Batch</v>
      </c>
      <c r="AU54" t="str">
        <f>'mk 001 10.3'!AU55</f>
        <v>2026-05-11-12.40.50.000000</v>
      </c>
      <c r="AV54" t="str">
        <f>'mk 001 10.3'!AV55</f>
        <v>แพ็ค</v>
      </c>
      <c r="AW54" t="str">
        <f>'mk 001 10.3'!AW55</f>
        <v>ก.ก.</v>
      </c>
      <c r="AX54" t="str">
        <f>'mk 001 10.3'!AX55</f>
        <v xml:space="preserve"> </v>
      </c>
      <c r="AY54">
        <f>'mk 001 10.3'!AY55</f>
        <v>0</v>
      </c>
      <c r="AZ54" t="str">
        <f>'mk 001 10.3'!AZ55</f>
        <v>N</v>
      </c>
      <c r="BA54" s="22">
        <f>'mk 001 10.3'!BA55</f>
        <v>9045089536563</v>
      </c>
      <c r="BB54">
        <f>'mk 001 10.3'!BB55</f>
        <v>0</v>
      </c>
      <c r="BC54">
        <f>'mk 001 10.3'!BC55</f>
        <v>0</v>
      </c>
      <c r="BD54">
        <f>'mk 001 10.3'!BD55</f>
        <v>1</v>
      </c>
      <c r="BE54">
        <f>'mk 001 10.3'!BE55</f>
        <v>0</v>
      </c>
      <c r="BF54">
        <f>'mk 001 10.3'!BF55</f>
        <v>0</v>
      </c>
      <c r="BG54">
        <f>'mk 001 10.3'!BG55</f>
        <v>1333314600</v>
      </c>
      <c r="BH54" t="str">
        <f>'mk 001 10.3'!BH55</f>
        <v>G</v>
      </c>
      <c r="BI54">
        <f>'mk 001 10.3'!BI55</f>
        <v>12</v>
      </c>
      <c r="BJ54">
        <f>'mk 001 10.3'!BJ55</f>
        <v>4.8</v>
      </c>
      <c r="BK54">
        <f>'mk 001 10.3'!BK55</f>
        <v>1300</v>
      </c>
      <c r="BL54" t="str">
        <f>'mk 001 10.3'!BL55</f>
        <v>SYSBATCH</v>
      </c>
      <c r="BM54">
        <f>'mk 001 10.3'!BM55</f>
        <v>0</v>
      </c>
      <c r="BN54">
        <f>'mk 001 10.3'!BN55</f>
        <v>0</v>
      </c>
    </row>
    <row r="55" spans="1:66" x14ac:dyDescent="0.35">
      <c r="A55">
        <f>'mk 001 10.3'!A56</f>
        <v>0</v>
      </c>
      <c r="B55">
        <f>'mk 001 10.3'!B56</f>
        <v>0</v>
      </c>
      <c r="C55" s="1" t="str">
        <f>'mk 001 10.3'!C56</f>
        <v>14/5/2569</v>
      </c>
      <c r="D55" s="1" t="str">
        <f>'mk 001 10.3'!D56</f>
        <v>14/5/2569</v>
      </c>
      <c r="E55">
        <f>'mk 001 10.3'!E56</f>
        <v>0</v>
      </c>
      <c r="F55" t="str">
        <f>'mk 001 10.3'!F56</f>
        <v>489M</v>
      </c>
      <c r="G55" t="str">
        <f>'mk 001 10.3'!G56</f>
        <v>Modern Trade (Makro)</v>
      </c>
      <c r="H55">
        <f>'mk 001 10.3'!H56</f>
        <v>0</v>
      </c>
      <c r="I55" t="str">
        <f>'mk 001 10.3'!I56</f>
        <v>หน่วยงานกลาง</v>
      </c>
      <c r="J55" t="str">
        <f>'mk 001 10.3'!J56</f>
        <v>F213  DMCW-รชล-พระพุทธบาท</v>
      </c>
      <c r="K55" t="str">
        <f>'mk 001 10.3'!K56</f>
        <v>00000  หน่วยงานกลาง</v>
      </c>
      <c r="L55">
        <f>'mk 001 10.3'!L56</f>
        <v>923</v>
      </c>
      <c r="M55">
        <f>'mk 001 10.3'!M56</f>
        <v>0</v>
      </c>
      <c r="N55" t="str">
        <f>'mk 001 10.3'!N56</f>
        <v>1A53008400</v>
      </c>
      <c r="O55" t="str">
        <f>'mk 001 10.3'!O56</f>
        <v>บมจ. ซีพี แอ็กซ์ตร้า สาขานครอินทร์</v>
      </c>
      <c r="P55">
        <f>'mk 001 10.3'!P56</f>
        <v>2</v>
      </c>
      <c r="Q55" t="str">
        <f>'mk 001 10.3'!Q56</f>
        <v>MAKRO 0083 นครอินทร์</v>
      </c>
      <c r="R55" s="1">
        <f>'mk 001 10.3'!R56</f>
        <v>244658</v>
      </c>
      <c r="S55" s="1" t="str">
        <f>'mk 001 10.3'!S56</f>
        <v>14/5/2569</v>
      </c>
      <c r="T55" t="str">
        <f>'mk 001 10.3'!T56</f>
        <v>H6954RMA0059103</v>
      </c>
      <c r="U55">
        <f>'mk 001 10.3'!U56</f>
        <v>23109357</v>
      </c>
      <c r="V55" t="str">
        <f>'mk 001 10.3'!V56</f>
        <v>สะโพกหมูชีวา (ตรา ยูฟาร์ม) 400 กรัม</v>
      </c>
      <c r="W55">
        <f>'mk 001 10.3'!W56</f>
        <v>2</v>
      </c>
      <c r="X55">
        <f>'mk 001 10.3'!X56</f>
        <v>0.8</v>
      </c>
      <c r="Y55">
        <f t="shared" si="0"/>
        <v>2</v>
      </c>
      <c r="Z55" s="13">
        <f>IF(COUNTIFS(แปลงข้อมูล!H:H,Q55,แปลงข้อมูล!I:I,U55,แปลงข้อมูล!J:J,V55)&gt;0,SUMIFS(แปลงข้อมูล!Q:Q,แปลงข้อมูล!I:I,U55,แปลงข้อมูล!H:H,Q55,แปลงข้อมูล!J:J,V55),'mk 001 10.3'!Z56)</f>
        <v>0.8</v>
      </c>
      <c r="AA55">
        <f>'mk 001 10.3'!AA56</f>
        <v>0</v>
      </c>
      <c r="AB55">
        <f>'mk 001 10.3'!AB56</f>
        <v>0</v>
      </c>
      <c r="AC55">
        <f>'mk 001 10.3'!AC56</f>
        <v>0</v>
      </c>
      <c r="AD55">
        <f>'mk 001 10.3'!AD56</f>
        <v>0</v>
      </c>
      <c r="AE55">
        <f>'mk 001 10.3'!AE56</f>
        <v>2</v>
      </c>
      <c r="AF55">
        <f>'mk 001 10.3'!AF56</f>
        <v>0.8</v>
      </c>
      <c r="AG55">
        <f>'mk 001 10.3'!AG56</f>
        <v>0</v>
      </c>
      <c r="AH55">
        <f>'mk 001 10.3'!AH56</f>
        <v>0</v>
      </c>
      <c r="AI55" t="str">
        <f>'mk 001 10.3'!AI56</f>
        <v>OPRCD489MOPRCD00000OPRCDF213OPRCD00000OPRCD923</v>
      </c>
      <c r="AJ55" t="str">
        <f>'mk 001 10.3'!AJ56</f>
        <v>ซื้อ / ขาย</v>
      </c>
      <c r="AK55" t="str">
        <f>'mk 001 10.3'!AK56</f>
        <v>Main proudct</v>
      </c>
      <c r="AL55" t="str">
        <f>'mk 001 10.3'!AL56</f>
        <v>Seal Pack</v>
      </c>
      <c r="AM55" t="str">
        <f>'mk 001 10.3'!AM56</f>
        <v>สุกร</v>
      </c>
      <c r="AN55" t="str">
        <f>'mk 001 10.3'!AN56</f>
        <v>OT002 CC-Makro</v>
      </c>
      <c r="AO55" t="str">
        <f>'mk 001 10.3'!AO56</f>
        <v>MT</v>
      </c>
      <c r="AP55">
        <f>'mk 001 10.3'!AP56</f>
        <v>2</v>
      </c>
      <c r="AQ55">
        <f>'mk 001 10.3'!AQ56</f>
        <v>0</v>
      </c>
      <c r="AR55">
        <f>'mk 001 10.3'!AR56</f>
        <v>0</v>
      </c>
      <c r="AS55">
        <f>'mk 001 10.3'!AS56</f>
        <v>0</v>
      </c>
      <c r="AT55" t="str">
        <f>'mk 001 10.3'!AT56</f>
        <v>System Batch</v>
      </c>
      <c r="AU55" t="str">
        <f>'mk 001 10.3'!AU56</f>
        <v>2026-05-11-12.40.50.000000</v>
      </c>
      <c r="AV55" t="str">
        <f>'mk 001 10.3'!AV56</f>
        <v>แพ็ค</v>
      </c>
      <c r="AW55" t="str">
        <f>'mk 001 10.3'!AW56</f>
        <v>ก.ก.</v>
      </c>
      <c r="AX55" t="str">
        <f>'mk 001 10.3'!AX56</f>
        <v xml:space="preserve"> </v>
      </c>
      <c r="AY55">
        <f>'mk 001 10.3'!AY56</f>
        <v>0</v>
      </c>
      <c r="AZ55" t="str">
        <f>'mk 001 10.3'!AZ56</f>
        <v>N</v>
      </c>
      <c r="BA55" s="22">
        <f>'mk 001 10.3'!BA56</f>
        <v>9045089536563</v>
      </c>
      <c r="BB55">
        <f>'mk 001 10.3'!BB56</f>
        <v>0</v>
      </c>
      <c r="BC55">
        <f>'mk 001 10.3'!BC56</f>
        <v>0</v>
      </c>
      <c r="BD55">
        <f>'mk 001 10.3'!BD56</f>
        <v>1</v>
      </c>
      <c r="BE55">
        <f>'mk 001 10.3'!BE56</f>
        <v>0</v>
      </c>
      <c r="BF55">
        <f>'mk 001 10.3'!BF56</f>
        <v>0</v>
      </c>
      <c r="BG55">
        <f>'mk 001 10.3'!BG56</f>
        <v>1333314600</v>
      </c>
      <c r="BH55" t="str">
        <f>'mk 001 10.3'!BH56</f>
        <v>G</v>
      </c>
      <c r="BI55">
        <f>'mk 001 10.3'!BI56</f>
        <v>2</v>
      </c>
      <c r="BJ55">
        <f>'mk 001 10.3'!BJ56</f>
        <v>0.8</v>
      </c>
      <c r="BK55">
        <f>'mk 001 10.3'!BK56</f>
        <v>1300</v>
      </c>
      <c r="BL55" t="str">
        <f>'mk 001 10.3'!BL56</f>
        <v>SYSBATCH</v>
      </c>
      <c r="BM55">
        <f>'mk 001 10.3'!BM56</f>
        <v>0</v>
      </c>
      <c r="BN55">
        <f>'mk 001 10.3'!BN56</f>
        <v>0</v>
      </c>
    </row>
    <row r="56" spans="1:66" x14ac:dyDescent="0.35">
      <c r="A56">
        <f>'mk 001 10.3'!A57</f>
        <v>0</v>
      </c>
      <c r="B56">
        <f>'mk 001 10.3'!B57</f>
        <v>0</v>
      </c>
      <c r="C56" s="1" t="str">
        <f>'mk 001 10.3'!C57</f>
        <v>14/5/2569</v>
      </c>
      <c r="D56" s="1" t="str">
        <f>'mk 001 10.3'!D57</f>
        <v>14/5/2569</v>
      </c>
      <c r="E56">
        <f>'mk 001 10.3'!E57</f>
        <v>0</v>
      </c>
      <c r="F56" t="str">
        <f>'mk 001 10.3'!F57</f>
        <v>489M</v>
      </c>
      <c r="G56" t="str">
        <f>'mk 001 10.3'!G57</f>
        <v>Modern Trade (Makro)</v>
      </c>
      <c r="H56">
        <f>'mk 001 10.3'!H57</f>
        <v>0</v>
      </c>
      <c r="I56" t="str">
        <f>'mk 001 10.3'!I57</f>
        <v>หน่วยงานกลาง</v>
      </c>
      <c r="J56" t="str">
        <f>'mk 001 10.3'!J57</f>
        <v>F213  DMCW-รชล-พระพุทธบาท</v>
      </c>
      <c r="K56" t="str">
        <f>'mk 001 10.3'!K57</f>
        <v>00000  หน่วยงานกลาง</v>
      </c>
      <c r="L56">
        <f>'mk 001 10.3'!L57</f>
        <v>923</v>
      </c>
      <c r="M56">
        <f>'mk 001 10.3'!M57</f>
        <v>0</v>
      </c>
      <c r="N56" t="str">
        <f>'mk 001 10.3'!N57</f>
        <v>1A53008400</v>
      </c>
      <c r="O56" t="str">
        <f>'mk 001 10.3'!O57</f>
        <v>บมจ. ซีพี แอ็กซ์ตร้า สาขานครอินทร์</v>
      </c>
      <c r="P56">
        <f>'mk 001 10.3'!P57</f>
        <v>2</v>
      </c>
      <c r="Q56" t="str">
        <f>'mk 001 10.3'!Q57</f>
        <v>MAKRO 0083 นครอินทร์</v>
      </c>
      <c r="R56" s="1">
        <f>'mk 001 10.3'!R57</f>
        <v>244658</v>
      </c>
      <c r="S56" s="1" t="str">
        <f>'mk 001 10.3'!S57</f>
        <v>14/5/2569</v>
      </c>
      <c r="T56" t="str">
        <f>'mk 001 10.3'!T57</f>
        <v>H6954RMA0059103</v>
      </c>
      <c r="U56">
        <f>'mk 001 10.3'!U57</f>
        <v>23109351</v>
      </c>
      <c r="V56" t="str">
        <f>'mk 001 10.3'!V57</f>
        <v>สามชั้นหมูชีวาสไลซ์(ตรา ยูฟาร์ม)250 กรัม</v>
      </c>
      <c r="W56">
        <f>'mk 001 10.3'!W57</f>
        <v>4</v>
      </c>
      <c r="X56">
        <f>'mk 001 10.3'!X57</f>
        <v>1</v>
      </c>
      <c r="Y56">
        <f t="shared" si="0"/>
        <v>4</v>
      </c>
      <c r="Z56" s="13">
        <f>IF(COUNTIFS(แปลงข้อมูล!H:H,Q56,แปลงข้อมูล!I:I,U56,แปลงข้อมูล!J:J,V56)&gt;0,SUMIFS(แปลงข้อมูล!Q:Q,แปลงข้อมูล!I:I,U56,แปลงข้อมูล!H:H,Q56,แปลงข้อมูล!J:J,V56),'mk 001 10.3'!Z57)</f>
        <v>1</v>
      </c>
      <c r="AA56">
        <f>'mk 001 10.3'!AA57</f>
        <v>0</v>
      </c>
      <c r="AB56">
        <f>'mk 001 10.3'!AB57</f>
        <v>0</v>
      </c>
      <c r="AC56">
        <f>'mk 001 10.3'!AC57</f>
        <v>0</v>
      </c>
      <c r="AD56">
        <f>'mk 001 10.3'!AD57</f>
        <v>0</v>
      </c>
      <c r="AE56">
        <f>'mk 001 10.3'!AE57</f>
        <v>4</v>
      </c>
      <c r="AF56">
        <f>'mk 001 10.3'!AF57</f>
        <v>1</v>
      </c>
      <c r="AG56">
        <f>'mk 001 10.3'!AG57</f>
        <v>0</v>
      </c>
      <c r="AH56">
        <f>'mk 001 10.3'!AH57</f>
        <v>0</v>
      </c>
      <c r="AI56" t="str">
        <f>'mk 001 10.3'!AI57</f>
        <v>OPRCD489MOPRCD00000OPRCDF213OPRCD00000OPRCD923</v>
      </c>
      <c r="AJ56" t="str">
        <f>'mk 001 10.3'!AJ57</f>
        <v>ซื้อ / ขาย</v>
      </c>
      <c r="AK56" t="str">
        <f>'mk 001 10.3'!AK57</f>
        <v>Main proudct</v>
      </c>
      <c r="AL56" t="str">
        <f>'mk 001 10.3'!AL57</f>
        <v>Seal Pack</v>
      </c>
      <c r="AM56" t="str">
        <f>'mk 001 10.3'!AM57</f>
        <v>สุกร</v>
      </c>
      <c r="AN56" t="str">
        <f>'mk 001 10.3'!AN57</f>
        <v>OT002 CC-Makro</v>
      </c>
      <c r="AO56" t="str">
        <f>'mk 001 10.3'!AO57</f>
        <v>MT</v>
      </c>
      <c r="AP56">
        <f>'mk 001 10.3'!AP57</f>
        <v>2</v>
      </c>
      <c r="AQ56">
        <f>'mk 001 10.3'!AQ57</f>
        <v>0</v>
      </c>
      <c r="AR56">
        <f>'mk 001 10.3'!AR57</f>
        <v>0</v>
      </c>
      <c r="AS56">
        <f>'mk 001 10.3'!AS57</f>
        <v>0</v>
      </c>
      <c r="AT56" t="str">
        <f>'mk 001 10.3'!AT57</f>
        <v>System Batch</v>
      </c>
      <c r="AU56" t="str">
        <f>'mk 001 10.3'!AU57</f>
        <v>2026-05-11-12.40.50.000000</v>
      </c>
      <c r="AV56" t="str">
        <f>'mk 001 10.3'!AV57</f>
        <v>แพ็ค</v>
      </c>
      <c r="AW56" t="str">
        <f>'mk 001 10.3'!AW57</f>
        <v>ก.ก.</v>
      </c>
      <c r="AX56" t="str">
        <f>'mk 001 10.3'!AX57</f>
        <v xml:space="preserve"> </v>
      </c>
      <c r="AY56">
        <f>'mk 001 10.3'!AY57</f>
        <v>0</v>
      </c>
      <c r="AZ56" t="str">
        <f>'mk 001 10.3'!AZ57</f>
        <v>N</v>
      </c>
      <c r="BA56" s="22">
        <f>'mk 001 10.3'!BA57</f>
        <v>9045089536563</v>
      </c>
      <c r="BB56">
        <f>'mk 001 10.3'!BB57</f>
        <v>0</v>
      </c>
      <c r="BC56">
        <f>'mk 001 10.3'!BC57</f>
        <v>0</v>
      </c>
      <c r="BD56">
        <f>'mk 001 10.3'!BD57</f>
        <v>1</v>
      </c>
      <c r="BE56">
        <f>'mk 001 10.3'!BE57</f>
        <v>0</v>
      </c>
      <c r="BF56">
        <f>'mk 001 10.3'!BF57</f>
        <v>0</v>
      </c>
      <c r="BG56">
        <f>'mk 001 10.3'!BG57</f>
        <v>1333314600</v>
      </c>
      <c r="BH56" t="str">
        <f>'mk 001 10.3'!BH57</f>
        <v>G</v>
      </c>
      <c r="BI56">
        <f>'mk 001 10.3'!BI57</f>
        <v>4</v>
      </c>
      <c r="BJ56">
        <f>'mk 001 10.3'!BJ57</f>
        <v>1</v>
      </c>
      <c r="BK56">
        <f>'mk 001 10.3'!BK57</f>
        <v>1300</v>
      </c>
      <c r="BL56" t="str">
        <f>'mk 001 10.3'!BL57</f>
        <v>SYSBATCH</v>
      </c>
      <c r="BM56">
        <f>'mk 001 10.3'!BM57</f>
        <v>0</v>
      </c>
      <c r="BN56">
        <f>'mk 001 10.3'!BN57</f>
        <v>0</v>
      </c>
    </row>
    <row r="57" spans="1:66" x14ac:dyDescent="0.35">
      <c r="A57">
        <f>'mk 001 10.3'!A58</f>
        <v>0</v>
      </c>
      <c r="B57">
        <f>'mk 001 10.3'!B58</f>
        <v>0</v>
      </c>
      <c r="C57" s="1" t="str">
        <f>'mk 001 10.3'!C58</f>
        <v>14/5/2569</v>
      </c>
      <c r="D57" s="1" t="str">
        <f>'mk 001 10.3'!D58</f>
        <v>14/5/2569</v>
      </c>
      <c r="E57">
        <f>'mk 001 10.3'!E58</f>
        <v>0</v>
      </c>
      <c r="F57" t="str">
        <f>'mk 001 10.3'!F58</f>
        <v>489M</v>
      </c>
      <c r="G57" t="str">
        <f>'mk 001 10.3'!G58</f>
        <v>Modern Trade (Makro)</v>
      </c>
      <c r="H57">
        <f>'mk 001 10.3'!H58</f>
        <v>0</v>
      </c>
      <c r="I57" t="str">
        <f>'mk 001 10.3'!I58</f>
        <v>หน่วยงานกลาง</v>
      </c>
      <c r="J57" t="str">
        <f>'mk 001 10.3'!J58</f>
        <v>F213  DMCW-รชล-พระพุทธบาท</v>
      </c>
      <c r="K57" t="str">
        <f>'mk 001 10.3'!K58</f>
        <v>00000  หน่วยงานกลาง</v>
      </c>
      <c r="L57">
        <f>'mk 001 10.3'!L58</f>
        <v>923</v>
      </c>
      <c r="M57">
        <f>'mk 001 10.3'!M58</f>
        <v>0</v>
      </c>
      <c r="N57" t="str">
        <f>'mk 001 10.3'!N58</f>
        <v>1A53008400</v>
      </c>
      <c r="O57" t="str">
        <f>'mk 001 10.3'!O58</f>
        <v>บมจ. ซีพี แอ็กซ์ตร้า สาขานครอินทร์</v>
      </c>
      <c r="P57">
        <f>'mk 001 10.3'!P58</f>
        <v>2</v>
      </c>
      <c r="Q57" t="str">
        <f>'mk 001 10.3'!Q58</f>
        <v>MAKRO 0083 นครอินทร์</v>
      </c>
      <c r="R57" s="1">
        <f>'mk 001 10.3'!R58</f>
        <v>244658</v>
      </c>
      <c r="S57" s="1" t="str">
        <f>'mk 001 10.3'!S58</f>
        <v>14/5/2569</v>
      </c>
      <c r="T57" t="str">
        <f>'mk 001 10.3'!T58</f>
        <v>H6954RMA0059103</v>
      </c>
      <c r="U57">
        <f>'mk 001 10.3'!U58</f>
        <v>23097788</v>
      </c>
      <c r="V57" t="str">
        <f>'mk 001 10.3'!V58</f>
        <v>ตับหมู 1 กก. (M)</v>
      </c>
      <c r="W57">
        <f>'mk 001 10.3'!W58</f>
        <v>2</v>
      </c>
      <c r="X57">
        <f>'mk 001 10.3'!X58</f>
        <v>2</v>
      </c>
      <c r="Y57">
        <f t="shared" si="0"/>
        <v>2</v>
      </c>
      <c r="Z57" s="13">
        <f>IF(COUNTIFS(แปลงข้อมูล!H:H,Q57,แปลงข้อมูล!I:I,U57,แปลงข้อมูล!J:J,V57)&gt;0,SUMIFS(แปลงข้อมูล!Q:Q,แปลงข้อมูล!I:I,U57,แปลงข้อมูล!H:H,Q57,แปลงข้อมูล!J:J,V57),'mk 001 10.3'!Z58)</f>
        <v>2</v>
      </c>
      <c r="AA57">
        <f>'mk 001 10.3'!AA58</f>
        <v>0</v>
      </c>
      <c r="AB57">
        <f>'mk 001 10.3'!AB58</f>
        <v>0</v>
      </c>
      <c r="AC57">
        <f>'mk 001 10.3'!AC58</f>
        <v>0</v>
      </c>
      <c r="AD57">
        <f>'mk 001 10.3'!AD58</f>
        <v>0</v>
      </c>
      <c r="AE57">
        <f>'mk 001 10.3'!AE58</f>
        <v>2</v>
      </c>
      <c r="AF57">
        <f>'mk 001 10.3'!AF58</f>
        <v>2</v>
      </c>
      <c r="AG57">
        <f>'mk 001 10.3'!AG58</f>
        <v>0</v>
      </c>
      <c r="AH57">
        <f>'mk 001 10.3'!AH58</f>
        <v>0</v>
      </c>
      <c r="AI57" t="str">
        <f>'mk 001 10.3'!AI58</f>
        <v>OPRCD489MOPRCD00000OPRCDF213OPRCD00000OPRCD923</v>
      </c>
      <c r="AJ57" t="str">
        <f>'mk 001 10.3'!AJ58</f>
        <v>ซื้อ / ขาย</v>
      </c>
      <c r="AK57" t="str">
        <f>'mk 001 10.3'!AK58</f>
        <v>By proudct</v>
      </c>
      <c r="AL57" t="str">
        <f>'mk 001 10.3'!AL58</f>
        <v>Bulk Normal</v>
      </c>
      <c r="AM57" t="str">
        <f>'mk 001 10.3'!AM58</f>
        <v>สุกร</v>
      </c>
      <c r="AN57" t="str">
        <f>'mk 001 10.3'!AN58</f>
        <v>OT002 CC-Makro</v>
      </c>
      <c r="AO57" t="str">
        <f>'mk 001 10.3'!AO58</f>
        <v>MT</v>
      </c>
      <c r="AP57">
        <f>'mk 001 10.3'!AP58</f>
        <v>2</v>
      </c>
      <c r="AQ57">
        <f>'mk 001 10.3'!AQ58</f>
        <v>0</v>
      </c>
      <c r="AR57">
        <f>'mk 001 10.3'!AR58</f>
        <v>0</v>
      </c>
      <c r="AS57">
        <f>'mk 001 10.3'!AS58</f>
        <v>0</v>
      </c>
      <c r="AT57" t="str">
        <f>'mk 001 10.3'!AT58</f>
        <v>System Batch</v>
      </c>
      <c r="AU57" t="str">
        <f>'mk 001 10.3'!AU58</f>
        <v>2026-05-11-12.40.50.000000</v>
      </c>
      <c r="AV57" t="str">
        <f>'mk 001 10.3'!AV58</f>
        <v>แพ็ค</v>
      </c>
      <c r="AW57" t="str">
        <f>'mk 001 10.3'!AW58</f>
        <v>ก.ก.</v>
      </c>
      <c r="AX57" t="str">
        <f>'mk 001 10.3'!AX58</f>
        <v xml:space="preserve"> </v>
      </c>
      <c r="AY57">
        <f>'mk 001 10.3'!AY58</f>
        <v>0</v>
      </c>
      <c r="AZ57" t="str">
        <f>'mk 001 10.3'!AZ58</f>
        <v>N</v>
      </c>
      <c r="BA57" s="22">
        <f>'mk 001 10.3'!BA58</f>
        <v>9045089536563</v>
      </c>
      <c r="BB57">
        <f>'mk 001 10.3'!BB58</f>
        <v>0</v>
      </c>
      <c r="BC57">
        <f>'mk 001 10.3'!BC58</f>
        <v>0</v>
      </c>
      <c r="BD57">
        <f>'mk 001 10.3'!BD58</f>
        <v>1</v>
      </c>
      <c r="BE57">
        <f>'mk 001 10.3'!BE58</f>
        <v>0</v>
      </c>
      <c r="BF57">
        <f>'mk 001 10.3'!BF58</f>
        <v>0</v>
      </c>
      <c r="BG57">
        <f>'mk 001 10.3'!BG58</f>
        <v>1333314600</v>
      </c>
      <c r="BH57" t="str">
        <f>'mk 001 10.3'!BH58</f>
        <v>G</v>
      </c>
      <c r="BI57">
        <f>'mk 001 10.3'!BI58</f>
        <v>2</v>
      </c>
      <c r="BJ57">
        <f>'mk 001 10.3'!BJ58</f>
        <v>2</v>
      </c>
      <c r="BK57">
        <f>'mk 001 10.3'!BK58</f>
        <v>1300</v>
      </c>
      <c r="BL57" t="str">
        <f>'mk 001 10.3'!BL58</f>
        <v>SYSBATCH</v>
      </c>
      <c r="BM57">
        <f>'mk 001 10.3'!BM58</f>
        <v>0</v>
      </c>
      <c r="BN57">
        <f>'mk 001 10.3'!BN58</f>
        <v>0</v>
      </c>
    </row>
    <row r="58" spans="1:66" x14ac:dyDescent="0.35">
      <c r="A58">
        <f>'mk 001 10.3'!A59</f>
        <v>0</v>
      </c>
      <c r="B58">
        <f>'mk 001 10.3'!B59</f>
        <v>0</v>
      </c>
      <c r="C58" s="1" t="str">
        <f>'mk 001 10.3'!C59</f>
        <v>14/5/2569</v>
      </c>
      <c r="D58" s="1" t="str">
        <f>'mk 001 10.3'!D59</f>
        <v>14/5/2569</v>
      </c>
      <c r="E58">
        <f>'mk 001 10.3'!E59</f>
        <v>0</v>
      </c>
      <c r="F58" t="str">
        <f>'mk 001 10.3'!F59</f>
        <v>489M</v>
      </c>
      <c r="G58" t="str">
        <f>'mk 001 10.3'!G59</f>
        <v>Modern Trade (Makro)</v>
      </c>
      <c r="H58">
        <f>'mk 001 10.3'!H59</f>
        <v>0</v>
      </c>
      <c r="I58" t="str">
        <f>'mk 001 10.3'!I59</f>
        <v>หน่วยงานกลาง</v>
      </c>
      <c r="J58" t="str">
        <f>'mk 001 10.3'!J59</f>
        <v>F213  DMCW-รชล-พระพุทธบาท</v>
      </c>
      <c r="K58" t="str">
        <f>'mk 001 10.3'!K59</f>
        <v>00000  หน่วยงานกลาง</v>
      </c>
      <c r="L58">
        <f>'mk 001 10.3'!L59</f>
        <v>923</v>
      </c>
      <c r="M58">
        <f>'mk 001 10.3'!M59</f>
        <v>0</v>
      </c>
      <c r="N58" t="str">
        <f>'mk 001 10.3'!N59</f>
        <v>1A53008400</v>
      </c>
      <c r="O58" t="str">
        <f>'mk 001 10.3'!O59</f>
        <v>บมจ. ซีพี แอ็กซ์ตร้า สาขานครอินทร์</v>
      </c>
      <c r="P58">
        <f>'mk 001 10.3'!P59</f>
        <v>2</v>
      </c>
      <c r="Q58" t="str">
        <f>'mk 001 10.3'!Q59</f>
        <v>MAKRO 0083 นครอินทร์</v>
      </c>
      <c r="R58" s="1">
        <f>'mk 001 10.3'!R59</f>
        <v>244658</v>
      </c>
      <c r="S58" s="1" t="str">
        <f>'mk 001 10.3'!S59</f>
        <v>14/5/2569</v>
      </c>
      <c r="T58" t="str">
        <f>'mk 001 10.3'!T59</f>
        <v>H6954RMA0059103</v>
      </c>
      <c r="U58">
        <f>'mk 001 10.3'!U59</f>
        <v>23109358</v>
      </c>
      <c r="V58" t="str">
        <f>'mk 001 10.3'!V59</f>
        <v>สามชั้นหมูชีวา (ตรา ยูฟาร์ม) 400 กรัม</v>
      </c>
      <c r="W58">
        <f>'mk 001 10.3'!W59</f>
        <v>4</v>
      </c>
      <c r="X58">
        <f>'mk 001 10.3'!X59</f>
        <v>1.6</v>
      </c>
      <c r="Y58">
        <f t="shared" si="0"/>
        <v>4</v>
      </c>
      <c r="Z58" s="13">
        <f>IF(COUNTIFS(แปลงข้อมูล!H:H,Q58,แปลงข้อมูล!I:I,U58,แปลงข้อมูล!J:J,V58)&gt;0,SUMIFS(แปลงข้อมูล!Q:Q,แปลงข้อมูล!I:I,U58,แปลงข้อมูล!H:H,Q58,แปลงข้อมูล!J:J,V58),'mk 001 10.3'!Z59)</f>
        <v>1.6</v>
      </c>
      <c r="AA58">
        <f>'mk 001 10.3'!AA59</f>
        <v>0</v>
      </c>
      <c r="AB58">
        <f>'mk 001 10.3'!AB59</f>
        <v>0</v>
      </c>
      <c r="AC58">
        <f>'mk 001 10.3'!AC59</f>
        <v>0</v>
      </c>
      <c r="AD58">
        <f>'mk 001 10.3'!AD59</f>
        <v>0</v>
      </c>
      <c r="AE58">
        <f>'mk 001 10.3'!AE59</f>
        <v>4</v>
      </c>
      <c r="AF58">
        <f>'mk 001 10.3'!AF59</f>
        <v>1.6</v>
      </c>
      <c r="AG58">
        <f>'mk 001 10.3'!AG59</f>
        <v>0</v>
      </c>
      <c r="AH58">
        <f>'mk 001 10.3'!AH59</f>
        <v>0</v>
      </c>
      <c r="AI58" t="str">
        <f>'mk 001 10.3'!AI59</f>
        <v>OPRCD489MOPRCD00000OPRCDF213OPRCD00000OPRCD923</v>
      </c>
      <c r="AJ58" t="str">
        <f>'mk 001 10.3'!AJ59</f>
        <v>ซื้อ / ขาย</v>
      </c>
      <c r="AK58" t="str">
        <f>'mk 001 10.3'!AK59</f>
        <v>Main proudct</v>
      </c>
      <c r="AL58" t="str">
        <f>'mk 001 10.3'!AL59</f>
        <v>Seal Pack</v>
      </c>
      <c r="AM58" t="str">
        <f>'mk 001 10.3'!AM59</f>
        <v>สุกร</v>
      </c>
      <c r="AN58" t="str">
        <f>'mk 001 10.3'!AN59</f>
        <v>OT002 CC-Makro</v>
      </c>
      <c r="AO58" t="str">
        <f>'mk 001 10.3'!AO59</f>
        <v>MT</v>
      </c>
      <c r="AP58">
        <f>'mk 001 10.3'!AP59</f>
        <v>2</v>
      </c>
      <c r="AQ58">
        <f>'mk 001 10.3'!AQ59</f>
        <v>0</v>
      </c>
      <c r="AR58">
        <f>'mk 001 10.3'!AR59</f>
        <v>0</v>
      </c>
      <c r="AS58">
        <f>'mk 001 10.3'!AS59</f>
        <v>0</v>
      </c>
      <c r="AT58" t="str">
        <f>'mk 001 10.3'!AT59</f>
        <v>System Batch</v>
      </c>
      <c r="AU58" t="str">
        <f>'mk 001 10.3'!AU59</f>
        <v>2026-05-11-12.40.50.000000</v>
      </c>
      <c r="AV58" t="str">
        <f>'mk 001 10.3'!AV59</f>
        <v>แพ็ค</v>
      </c>
      <c r="AW58" t="str">
        <f>'mk 001 10.3'!AW59</f>
        <v>ก.ก.</v>
      </c>
      <c r="AX58" t="str">
        <f>'mk 001 10.3'!AX59</f>
        <v xml:space="preserve"> </v>
      </c>
      <c r="AY58">
        <f>'mk 001 10.3'!AY59</f>
        <v>0</v>
      </c>
      <c r="AZ58" t="str">
        <f>'mk 001 10.3'!AZ59</f>
        <v>N</v>
      </c>
      <c r="BA58" s="22">
        <f>'mk 001 10.3'!BA59</f>
        <v>9045089536563</v>
      </c>
      <c r="BB58">
        <f>'mk 001 10.3'!BB59</f>
        <v>0</v>
      </c>
      <c r="BC58">
        <f>'mk 001 10.3'!BC59</f>
        <v>0</v>
      </c>
      <c r="BD58">
        <f>'mk 001 10.3'!BD59</f>
        <v>1</v>
      </c>
      <c r="BE58">
        <f>'mk 001 10.3'!BE59</f>
        <v>0</v>
      </c>
      <c r="BF58">
        <f>'mk 001 10.3'!BF59</f>
        <v>0</v>
      </c>
      <c r="BG58">
        <f>'mk 001 10.3'!BG59</f>
        <v>1333314600</v>
      </c>
      <c r="BH58" t="str">
        <f>'mk 001 10.3'!BH59</f>
        <v>G</v>
      </c>
      <c r="BI58">
        <f>'mk 001 10.3'!BI59</f>
        <v>4</v>
      </c>
      <c r="BJ58">
        <f>'mk 001 10.3'!BJ59</f>
        <v>1.6</v>
      </c>
      <c r="BK58">
        <f>'mk 001 10.3'!BK59</f>
        <v>1300</v>
      </c>
      <c r="BL58" t="str">
        <f>'mk 001 10.3'!BL59</f>
        <v>SYSBATCH</v>
      </c>
      <c r="BM58">
        <f>'mk 001 10.3'!BM59</f>
        <v>0</v>
      </c>
      <c r="BN58">
        <f>'mk 001 10.3'!BN59</f>
        <v>0</v>
      </c>
    </row>
    <row r="59" spans="1:66" x14ac:dyDescent="0.35">
      <c r="A59">
        <f>'mk 001 10.3'!A60</f>
        <v>0</v>
      </c>
      <c r="B59">
        <f>'mk 001 10.3'!B60</f>
        <v>0</v>
      </c>
      <c r="C59" s="1" t="str">
        <f>'mk 001 10.3'!C60</f>
        <v>14/5/2569</v>
      </c>
      <c r="D59" s="1" t="str">
        <f>'mk 001 10.3'!D60</f>
        <v>14/5/2569</v>
      </c>
      <c r="E59">
        <f>'mk 001 10.3'!E60</f>
        <v>0</v>
      </c>
      <c r="F59" t="str">
        <f>'mk 001 10.3'!F60</f>
        <v>489M</v>
      </c>
      <c r="G59" t="str">
        <f>'mk 001 10.3'!G60</f>
        <v>Modern Trade (Makro)</v>
      </c>
      <c r="H59">
        <f>'mk 001 10.3'!H60</f>
        <v>0</v>
      </c>
      <c r="I59" t="str">
        <f>'mk 001 10.3'!I60</f>
        <v>หน่วยงานกลาง</v>
      </c>
      <c r="J59" t="str">
        <f>'mk 001 10.3'!J60</f>
        <v>F213  DMCW-รชล-พระพุทธบาท</v>
      </c>
      <c r="K59" t="str">
        <f>'mk 001 10.3'!K60</f>
        <v>00000  หน่วยงานกลาง</v>
      </c>
      <c r="L59">
        <f>'mk 001 10.3'!L60</f>
        <v>923</v>
      </c>
      <c r="M59">
        <f>'mk 001 10.3'!M60</f>
        <v>0</v>
      </c>
      <c r="N59" t="str">
        <f>'mk 001 10.3'!N60</f>
        <v>1A53008400</v>
      </c>
      <c r="O59" t="str">
        <f>'mk 001 10.3'!O60</f>
        <v>บมจ. ซีพี แอ็กซ์ตร้า สาขานครอินทร์</v>
      </c>
      <c r="P59">
        <f>'mk 001 10.3'!P60</f>
        <v>2</v>
      </c>
      <c r="Q59" t="str">
        <f>'mk 001 10.3'!Q60</f>
        <v>MAKRO 0083 นครอินทร์</v>
      </c>
      <c r="R59" s="1">
        <f>'mk 001 10.3'!R60</f>
        <v>244658</v>
      </c>
      <c r="S59" s="1" t="str">
        <f>'mk 001 10.3'!S60</f>
        <v>14/5/2569</v>
      </c>
      <c r="T59" t="str">
        <f>'mk 001 10.3'!T60</f>
        <v>H6954RMA0059103</v>
      </c>
      <c r="U59">
        <f>'mk 001 10.3'!U60</f>
        <v>23109532</v>
      </c>
      <c r="V59" t="str">
        <f>'mk 001 10.3'!V60</f>
        <v>ตับหมูชีวา 400 กรัม</v>
      </c>
      <c r="W59">
        <f>'mk 001 10.3'!W60</f>
        <v>4</v>
      </c>
      <c r="X59">
        <f>'mk 001 10.3'!X60</f>
        <v>1.6</v>
      </c>
      <c r="Y59">
        <f t="shared" si="0"/>
        <v>4</v>
      </c>
      <c r="Z59" s="13">
        <f>IF(COUNTIFS(แปลงข้อมูล!H:H,Q59,แปลงข้อมูล!I:I,U59,แปลงข้อมูล!J:J,V59)&gt;0,SUMIFS(แปลงข้อมูล!Q:Q,แปลงข้อมูล!I:I,U59,แปลงข้อมูล!H:H,Q59,แปลงข้อมูล!J:J,V59),'mk 001 10.3'!Z60)</f>
        <v>1.6</v>
      </c>
      <c r="AA59">
        <f>'mk 001 10.3'!AA60</f>
        <v>0</v>
      </c>
      <c r="AB59">
        <f>'mk 001 10.3'!AB60</f>
        <v>0</v>
      </c>
      <c r="AC59">
        <f>'mk 001 10.3'!AC60</f>
        <v>0</v>
      </c>
      <c r="AD59">
        <f>'mk 001 10.3'!AD60</f>
        <v>0</v>
      </c>
      <c r="AE59">
        <f>'mk 001 10.3'!AE60</f>
        <v>4</v>
      </c>
      <c r="AF59">
        <f>'mk 001 10.3'!AF60</f>
        <v>1.6</v>
      </c>
      <c r="AG59">
        <f>'mk 001 10.3'!AG60</f>
        <v>0</v>
      </c>
      <c r="AH59">
        <f>'mk 001 10.3'!AH60</f>
        <v>0</v>
      </c>
      <c r="AI59" t="str">
        <f>'mk 001 10.3'!AI60</f>
        <v>OPRCD489MOPRCD00000OPRCDF213OPRCD00000OPRCD923</v>
      </c>
      <c r="AJ59" t="str">
        <f>'mk 001 10.3'!AJ60</f>
        <v>ซื้อ / ขาย</v>
      </c>
      <c r="AK59" t="str">
        <f>'mk 001 10.3'!AK60</f>
        <v>By proudct</v>
      </c>
      <c r="AL59" t="str">
        <f>'mk 001 10.3'!AL60</f>
        <v>Seal Pack</v>
      </c>
      <c r="AM59" t="str">
        <f>'mk 001 10.3'!AM60</f>
        <v>สุกร</v>
      </c>
      <c r="AN59" t="str">
        <f>'mk 001 10.3'!AN60</f>
        <v>OT002 CC-Makro</v>
      </c>
      <c r="AO59" t="str">
        <f>'mk 001 10.3'!AO60</f>
        <v>MT</v>
      </c>
      <c r="AP59">
        <f>'mk 001 10.3'!AP60</f>
        <v>2</v>
      </c>
      <c r="AQ59">
        <f>'mk 001 10.3'!AQ60</f>
        <v>0</v>
      </c>
      <c r="AR59">
        <f>'mk 001 10.3'!AR60</f>
        <v>0</v>
      </c>
      <c r="AS59">
        <f>'mk 001 10.3'!AS60</f>
        <v>0</v>
      </c>
      <c r="AT59" t="str">
        <f>'mk 001 10.3'!AT60</f>
        <v>System Batch</v>
      </c>
      <c r="AU59" t="str">
        <f>'mk 001 10.3'!AU60</f>
        <v>2026-05-11-12.40.50.000000</v>
      </c>
      <c r="AV59" t="str">
        <f>'mk 001 10.3'!AV60</f>
        <v>แพ็ค</v>
      </c>
      <c r="AW59" t="str">
        <f>'mk 001 10.3'!AW60</f>
        <v>ก.ก.</v>
      </c>
      <c r="AX59" t="str">
        <f>'mk 001 10.3'!AX60</f>
        <v xml:space="preserve"> </v>
      </c>
      <c r="AY59">
        <f>'mk 001 10.3'!AY60</f>
        <v>0</v>
      </c>
      <c r="AZ59" t="str">
        <f>'mk 001 10.3'!AZ60</f>
        <v>N</v>
      </c>
      <c r="BA59" s="22">
        <f>'mk 001 10.3'!BA60</f>
        <v>9045089536563</v>
      </c>
      <c r="BB59">
        <f>'mk 001 10.3'!BB60</f>
        <v>0</v>
      </c>
      <c r="BC59">
        <f>'mk 001 10.3'!BC60</f>
        <v>0</v>
      </c>
      <c r="BD59">
        <f>'mk 001 10.3'!BD60</f>
        <v>1</v>
      </c>
      <c r="BE59">
        <f>'mk 001 10.3'!BE60</f>
        <v>0</v>
      </c>
      <c r="BF59">
        <f>'mk 001 10.3'!BF60</f>
        <v>0</v>
      </c>
      <c r="BG59">
        <f>'mk 001 10.3'!BG60</f>
        <v>1333314600</v>
      </c>
      <c r="BH59" t="str">
        <f>'mk 001 10.3'!BH60</f>
        <v>G</v>
      </c>
      <c r="BI59">
        <f>'mk 001 10.3'!BI60</f>
        <v>4</v>
      </c>
      <c r="BJ59">
        <f>'mk 001 10.3'!BJ60</f>
        <v>1.6</v>
      </c>
      <c r="BK59">
        <f>'mk 001 10.3'!BK60</f>
        <v>1300</v>
      </c>
      <c r="BL59" t="str">
        <f>'mk 001 10.3'!BL60</f>
        <v>SYSBATCH</v>
      </c>
      <c r="BM59">
        <f>'mk 001 10.3'!BM60</f>
        <v>0</v>
      </c>
      <c r="BN59">
        <f>'mk 001 10.3'!BN60</f>
        <v>0</v>
      </c>
    </row>
    <row r="60" spans="1:66" x14ac:dyDescent="0.35">
      <c r="A60">
        <f>'mk 001 10.3'!A61</f>
        <v>0</v>
      </c>
      <c r="B60">
        <f>'mk 001 10.3'!B61</f>
        <v>0</v>
      </c>
      <c r="C60" s="1" t="str">
        <f>'mk 001 10.3'!C61</f>
        <v>14/5/2569</v>
      </c>
      <c r="D60" s="1" t="str">
        <f>'mk 001 10.3'!D61</f>
        <v>14/5/2569</v>
      </c>
      <c r="E60">
        <f>'mk 001 10.3'!E61</f>
        <v>0</v>
      </c>
      <c r="F60" t="str">
        <f>'mk 001 10.3'!F61</f>
        <v>489M</v>
      </c>
      <c r="G60" t="str">
        <f>'mk 001 10.3'!G61</f>
        <v>Modern Trade (Makro)</v>
      </c>
      <c r="H60">
        <f>'mk 001 10.3'!H61</f>
        <v>0</v>
      </c>
      <c r="I60" t="str">
        <f>'mk 001 10.3'!I61</f>
        <v>หน่วยงานกลาง</v>
      </c>
      <c r="J60" t="str">
        <f>'mk 001 10.3'!J61</f>
        <v>F213  DMCW-รชล-พระพุทธบาท</v>
      </c>
      <c r="K60" t="str">
        <f>'mk 001 10.3'!K61</f>
        <v>00000  หน่วยงานกลาง</v>
      </c>
      <c r="L60">
        <f>'mk 001 10.3'!L61</f>
        <v>923</v>
      </c>
      <c r="M60">
        <f>'mk 001 10.3'!M61</f>
        <v>0</v>
      </c>
      <c r="N60" t="str">
        <f>'mk 001 10.3'!N61</f>
        <v>1A53008400</v>
      </c>
      <c r="O60" t="str">
        <f>'mk 001 10.3'!O61</f>
        <v>บมจ. ซีพี แอ็กซ์ตร้า สาขานครอินทร์</v>
      </c>
      <c r="P60">
        <f>'mk 001 10.3'!P61</f>
        <v>2</v>
      </c>
      <c r="Q60" t="str">
        <f>'mk 001 10.3'!Q61</f>
        <v>MAKRO 0083 นครอินทร์</v>
      </c>
      <c r="R60" s="1">
        <f>'mk 001 10.3'!R61</f>
        <v>244658</v>
      </c>
      <c r="S60" s="1" t="str">
        <f>'mk 001 10.3'!S61</f>
        <v>14/5/2569</v>
      </c>
      <c r="T60" t="str">
        <f>'mk 001 10.3'!T61</f>
        <v>H6954RMA0059103</v>
      </c>
      <c r="U60">
        <f>'mk 001 10.3'!U61</f>
        <v>23097793</v>
      </c>
      <c r="V60" t="str">
        <f>'mk 001 10.3'!V61</f>
        <v>สันคอหมูสไลซ์ 1 กก. (M)</v>
      </c>
      <c r="W60">
        <f>'mk 001 10.3'!W61</f>
        <v>24</v>
      </c>
      <c r="X60">
        <f>'mk 001 10.3'!X61</f>
        <v>24</v>
      </c>
      <c r="Y60">
        <f t="shared" si="0"/>
        <v>24</v>
      </c>
      <c r="Z60" s="13">
        <f>IF(COUNTIFS(แปลงข้อมูล!H:H,Q60,แปลงข้อมูล!I:I,U60,แปลงข้อมูล!J:J,V60)&gt;0,SUMIFS(แปลงข้อมูล!Q:Q,แปลงข้อมูล!I:I,U60,แปลงข้อมูล!H:H,Q60,แปลงข้อมูล!J:J,V60),'mk 001 10.3'!Z61)</f>
        <v>24</v>
      </c>
      <c r="AA60">
        <f>'mk 001 10.3'!AA61</f>
        <v>0</v>
      </c>
      <c r="AB60">
        <f>'mk 001 10.3'!AB61</f>
        <v>0</v>
      </c>
      <c r="AC60">
        <f>'mk 001 10.3'!AC61</f>
        <v>0</v>
      </c>
      <c r="AD60">
        <f>'mk 001 10.3'!AD61</f>
        <v>0</v>
      </c>
      <c r="AE60">
        <f>'mk 001 10.3'!AE61</f>
        <v>24</v>
      </c>
      <c r="AF60">
        <f>'mk 001 10.3'!AF61</f>
        <v>24</v>
      </c>
      <c r="AG60">
        <f>'mk 001 10.3'!AG61</f>
        <v>0</v>
      </c>
      <c r="AH60">
        <f>'mk 001 10.3'!AH61</f>
        <v>0</v>
      </c>
      <c r="AI60" t="str">
        <f>'mk 001 10.3'!AI61</f>
        <v>OPRCD489MOPRCD00000OPRCDF213OPRCD00000OPRCD923</v>
      </c>
      <c r="AJ60" t="str">
        <f>'mk 001 10.3'!AJ61</f>
        <v>ซื้อ / ขาย</v>
      </c>
      <c r="AK60" t="str">
        <f>'mk 001 10.3'!AK61</f>
        <v>Main proudct</v>
      </c>
      <c r="AL60" t="str">
        <f>'mk 001 10.3'!AL61</f>
        <v>Bulk Normal</v>
      </c>
      <c r="AM60" t="str">
        <f>'mk 001 10.3'!AM61</f>
        <v>สุกร</v>
      </c>
      <c r="AN60" t="str">
        <f>'mk 001 10.3'!AN61</f>
        <v>OT002 CC-Makro</v>
      </c>
      <c r="AO60" t="str">
        <f>'mk 001 10.3'!AO61</f>
        <v>MT</v>
      </c>
      <c r="AP60">
        <f>'mk 001 10.3'!AP61</f>
        <v>2</v>
      </c>
      <c r="AQ60">
        <f>'mk 001 10.3'!AQ61</f>
        <v>0</v>
      </c>
      <c r="AR60">
        <f>'mk 001 10.3'!AR61</f>
        <v>0</v>
      </c>
      <c r="AS60">
        <f>'mk 001 10.3'!AS61</f>
        <v>0</v>
      </c>
      <c r="AT60" t="str">
        <f>'mk 001 10.3'!AT61</f>
        <v>System Batch</v>
      </c>
      <c r="AU60" t="str">
        <f>'mk 001 10.3'!AU61</f>
        <v>2026-05-11-12.40.50.000000</v>
      </c>
      <c r="AV60" t="str">
        <f>'mk 001 10.3'!AV61</f>
        <v>แพ็ค</v>
      </c>
      <c r="AW60" t="str">
        <f>'mk 001 10.3'!AW61</f>
        <v>ก.ก.</v>
      </c>
      <c r="AX60" t="str">
        <f>'mk 001 10.3'!AX61</f>
        <v xml:space="preserve"> </v>
      </c>
      <c r="AY60">
        <f>'mk 001 10.3'!AY61</f>
        <v>0</v>
      </c>
      <c r="AZ60" t="str">
        <f>'mk 001 10.3'!AZ61</f>
        <v>N</v>
      </c>
      <c r="BA60" s="22">
        <f>'mk 001 10.3'!BA61</f>
        <v>9045089536563</v>
      </c>
      <c r="BB60">
        <f>'mk 001 10.3'!BB61</f>
        <v>0</v>
      </c>
      <c r="BC60">
        <f>'mk 001 10.3'!BC61</f>
        <v>0</v>
      </c>
      <c r="BD60">
        <f>'mk 001 10.3'!BD61</f>
        <v>1</v>
      </c>
      <c r="BE60">
        <f>'mk 001 10.3'!BE61</f>
        <v>0</v>
      </c>
      <c r="BF60">
        <f>'mk 001 10.3'!BF61</f>
        <v>0</v>
      </c>
      <c r="BG60">
        <f>'mk 001 10.3'!BG61</f>
        <v>1333314600</v>
      </c>
      <c r="BH60" t="str">
        <f>'mk 001 10.3'!BH61</f>
        <v>G</v>
      </c>
      <c r="BI60">
        <f>'mk 001 10.3'!BI61</f>
        <v>24</v>
      </c>
      <c r="BJ60">
        <f>'mk 001 10.3'!BJ61</f>
        <v>24</v>
      </c>
      <c r="BK60">
        <f>'mk 001 10.3'!BK61</f>
        <v>1300</v>
      </c>
      <c r="BL60" t="str">
        <f>'mk 001 10.3'!BL61</f>
        <v>SYSBATCH</v>
      </c>
      <c r="BM60">
        <f>'mk 001 10.3'!BM61</f>
        <v>0</v>
      </c>
      <c r="BN60">
        <f>'mk 001 10.3'!BN61</f>
        <v>0</v>
      </c>
    </row>
    <row r="61" spans="1:66" x14ac:dyDescent="0.35">
      <c r="A61">
        <f>'mk 001 10.3'!A62</f>
        <v>0</v>
      </c>
      <c r="B61">
        <f>'mk 001 10.3'!B62</f>
        <v>0</v>
      </c>
      <c r="C61" s="1" t="str">
        <f>'mk 001 10.3'!C62</f>
        <v>14/5/2569</v>
      </c>
      <c r="D61" s="1" t="str">
        <f>'mk 001 10.3'!D62</f>
        <v>14/5/2569</v>
      </c>
      <c r="E61">
        <f>'mk 001 10.3'!E62</f>
        <v>0</v>
      </c>
      <c r="F61" t="str">
        <f>'mk 001 10.3'!F62</f>
        <v>489M</v>
      </c>
      <c r="G61" t="str">
        <f>'mk 001 10.3'!G62</f>
        <v>Modern Trade (Makro)</v>
      </c>
      <c r="H61">
        <f>'mk 001 10.3'!H62</f>
        <v>0</v>
      </c>
      <c r="I61" t="str">
        <f>'mk 001 10.3'!I62</f>
        <v>หน่วยงานกลาง</v>
      </c>
      <c r="J61" t="str">
        <f>'mk 001 10.3'!J62</f>
        <v>F213  DMCW-รชล-พระพุทธบาท</v>
      </c>
      <c r="K61" t="str">
        <f>'mk 001 10.3'!K62</f>
        <v>00000  หน่วยงานกลาง</v>
      </c>
      <c r="L61">
        <f>'mk 001 10.3'!L62</f>
        <v>923</v>
      </c>
      <c r="M61">
        <f>'mk 001 10.3'!M62</f>
        <v>0</v>
      </c>
      <c r="N61" t="str">
        <f>'mk 001 10.3'!N62</f>
        <v>1A53008400</v>
      </c>
      <c r="O61" t="str">
        <f>'mk 001 10.3'!O62</f>
        <v>บมจ. ซีพี แอ็กซ์ตร้า สาขานครอินทร์</v>
      </c>
      <c r="P61">
        <f>'mk 001 10.3'!P62</f>
        <v>2</v>
      </c>
      <c r="Q61" t="str">
        <f>'mk 001 10.3'!Q62</f>
        <v>MAKRO 0083 นครอินทร์</v>
      </c>
      <c r="R61" s="1">
        <f>'mk 001 10.3'!R62</f>
        <v>244658</v>
      </c>
      <c r="S61" s="1" t="str">
        <f>'mk 001 10.3'!S62</f>
        <v>14/5/2569</v>
      </c>
      <c r="T61" t="str">
        <f>'mk 001 10.3'!T62</f>
        <v>H6954RMA0059103</v>
      </c>
      <c r="U61">
        <f>'mk 001 10.3'!U62</f>
        <v>23109352</v>
      </c>
      <c r="V61" t="str">
        <f>'mk 001 10.3'!V62</f>
        <v>สันนอกหมูชีวาสไลซ์(ตรา ยูฟาร์ม) 250 กรัม</v>
      </c>
      <c r="W61">
        <f>'mk 001 10.3'!W62</f>
        <v>12</v>
      </c>
      <c r="X61">
        <f>'mk 001 10.3'!X62</f>
        <v>3</v>
      </c>
      <c r="Y61">
        <f t="shared" si="0"/>
        <v>12</v>
      </c>
      <c r="Z61" s="13">
        <f>IF(COUNTIFS(แปลงข้อมูล!H:H,Q61,แปลงข้อมูล!I:I,U61,แปลงข้อมูล!J:J,V61)&gt;0,SUMIFS(แปลงข้อมูล!Q:Q,แปลงข้อมูล!I:I,U61,แปลงข้อมูล!H:H,Q61,แปลงข้อมูล!J:J,V61),'mk 001 10.3'!Z62)</f>
        <v>3</v>
      </c>
      <c r="AA61">
        <f>'mk 001 10.3'!AA62</f>
        <v>0</v>
      </c>
      <c r="AB61">
        <f>'mk 001 10.3'!AB62</f>
        <v>0</v>
      </c>
      <c r="AC61">
        <f>'mk 001 10.3'!AC62</f>
        <v>0</v>
      </c>
      <c r="AD61">
        <f>'mk 001 10.3'!AD62</f>
        <v>0</v>
      </c>
      <c r="AE61">
        <f>'mk 001 10.3'!AE62</f>
        <v>12</v>
      </c>
      <c r="AF61">
        <f>'mk 001 10.3'!AF62</f>
        <v>3</v>
      </c>
      <c r="AG61">
        <f>'mk 001 10.3'!AG62</f>
        <v>0</v>
      </c>
      <c r="AH61">
        <f>'mk 001 10.3'!AH62</f>
        <v>0</v>
      </c>
      <c r="AI61" t="str">
        <f>'mk 001 10.3'!AI62</f>
        <v>OPRCD489MOPRCD00000OPRCDF213OPRCD00000OPRCD923</v>
      </c>
      <c r="AJ61" t="str">
        <f>'mk 001 10.3'!AJ62</f>
        <v>ซื้อ / ขาย</v>
      </c>
      <c r="AK61" t="str">
        <f>'mk 001 10.3'!AK62</f>
        <v>Main proudct</v>
      </c>
      <c r="AL61" t="str">
        <f>'mk 001 10.3'!AL62</f>
        <v>Seal Pack</v>
      </c>
      <c r="AM61" t="str">
        <f>'mk 001 10.3'!AM62</f>
        <v>สุกร</v>
      </c>
      <c r="AN61" t="str">
        <f>'mk 001 10.3'!AN62</f>
        <v>OT002 CC-Makro</v>
      </c>
      <c r="AO61" t="str">
        <f>'mk 001 10.3'!AO62</f>
        <v>MT</v>
      </c>
      <c r="AP61">
        <f>'mk 001 10.3'!AP62</f>
        <v>2</v>
      </c>
      <c r="AQ61">
        <f>'mk 001 10.3'!AQ62</f>
        <v>0</v>
      </c>
      <c r="AR61">
        <f>'mk 001 10.3'!AR62</f>
        <v>0</v>
      </c>
      <c r="AS61">
        <f>'mk 001 10.3'!AS62</f>
        <v>0</v>
      </c>
      <c r="AT61" t="str">
        <f>'mk 001 10.3'!AT62</f>
        <v>System Batch</v>
      </c>
      <c r="AU61" t="str">
        <f>'mk 001 10.3'!AU62</f>
        <v>2026-05-11-12.40.50.000000</v>
      </c>
      <c r="AV61" t="str">
        <f>'mk 001 10.3'!AV62</f>
        <v>แพ็ค</v>
      </c>
      <c r="AW61" t="str">
        <f>'mk 001 10.3'!AW62</f>
        <v>ก.ก.</v>
      </c>
      <c r="AX61" t="str">
        <f>'mk 001 10.3'!AX62</f>
        <v xml:space="preserve"> </v>
      </c>
      <c r="AY61">
        <f>'mk 001 10.3'!AY62</f>
        <v>0</v>
      </c>
      <c r="AZ61" t="str">
        <f>'mk 001 10.3'!AZ62</f>
        <v>N</v>
      </c>
      <c r="BA61" s="22">
        <f>'mk 001 10.3'!BA62</f>
        <v>9045089536563</v>
      </c>
      <c r="BB61">
        <f>'mk 001 10.3'!BB62</f>
        <v>0</v>
      </c>
      <c r="BC61">
        <f>'mk 001 10.3'!BC62</f>
        <v>0</v>
      </c>
      <c r="BD61">
        <f>'mk 001 10.3'!BD62</f>
        <v>1</v>
      </c>
      <c r="BE61">
        <f>'mk 001 10.3'!BE62</f>
        <v>0</v>
      </c>
      <c r="BF61">
        <f>'mk 001 10.3'!BF62</f>
        <v>0</v>
      </c>
      <c r="BG61">
        <f>'mk 001 10.3'!BG62</f>
        <v>1333314600</v>
      </c>
      <c r="BH61" t="str">
        <f>'mk 001 10.3'!BH62</f>
        <v>G</v>
      </c>
      <c r="BI61">
        <f>'mk 001 10.3'!BI62</f>
        <v>12</v>
      </c>
      <c r="BJ61">
        <f>'mk 001 10.3'!BJ62</f>
        <v>3</v>
      </c>
      <c r="BK61">
        <f>'mk 001 10.3'!BK62</f>
        <v>1300</v>
      </c>
      <c r="BL61" t="str">
        <f>'mk 001 10.3'!BL62</f>
        <v>SYSBATCH</v>
      </c>
      <c r="BM61">
        <f>'mk 001 10.3'!BM62</f>
        <v>0</v>
      </c>
      <c r="BN61">
        <f>'mk 001 10.3'!BN62</f>
        <v>0</v>
      </c>
    </row>
    <row r="62" spans="1:66" x14ac:dyDescent="0.35">
      <c r="A62">
        <f>'mk 001 10.3'!A63</f>
        <v>0</v>
      </c>
      <c r="B62">
        <f>'mk 001 10.3'!B63</f>
        <v>0</v>
      </c>
      <c r="C62" s="1" t="str">
        <f>'mk 001 10.3'!C63</f>
        <v>14/5/2569</v>
      </c>
      <c r="D62" s="1" t="str">
        <f>'mk 001 10.3'!D63</f>
        <v>14/5/2569</v>
      </c>
      <c r="E62">
        <f>'mk 001 10.3'!E63</f>
        <v>0</v>
      </c>
      <c r="F62" t="str">
        <f>'mk 001 10.3'!F63</f>
        <v>489M</v>
      </c>
      <c r="G62" t="str">
        <f>'mk 001 10.3'!G63</f>
        <v>Modern Trade (Makro)</v>
      </c>
      <c r="H62">
        <f>'mk 001 10.3'!H63</f>
        <v>0</v>
      </c>
      <c r="I62" t="str">
        <f>'mk 001 10.3'!I63</f>
        <v>หน่วยงานกลาง</v>
      </c>
      <c r="J62" t="str">
        <f>'mk 001 10.3'!J63</f>
        <v>F213  DMCW-รชล-พระพุทธบาท</v>
      </c>
      <c r="K62" t="str">
        <f>'mk 001 10.3'!K63</f>
        <v>00000  หน่วยงานกลาง</v>
      </c>
      <c r="L62">
        <f>'mk 001 10.3'!L63</f>
        <v>923</v>
      </c>
      <c r="M62">
        <f>'mk 001 10.3'!M63</f>
        <v>0</v>
      </c>
      <c r="N62" t="str">
        <f>'mk 001 10.3'!N63</f>
        <v>1A53008400</v>
      </c>
      <c r="O62" t="str">
        <f>'mk 001 10.3'!O63</f>
        <v>บมจ. ซีพี แอ็กซ์ตร้า สาขานครอินทร์</v>
      </c>
      <c r="P62">
        <f>'mk 001 10.3'!P63</f>
        <v>2</v>
      </c>
      <c r="Q62" t="str">
        <f>'mk 001 10.3'!Q63</f>
        <v>MAKRO 0083 นครอินทร์</v>
      </c>
      <c r="R62" s="1">
        <f>'mk 001 10.3'!R63</f>
        <v>244658</v>
      </c>
      <c r="S62" s="1" t="str">
        <f>'mk 001 10.3'!S63</f>
        <v>14/5/2569</v>
      </c>
      <c r="T62" t="str">
        <f>'mk 001 10.3'!T63</f>
        <v>H6954RMA0059103</v>
      </c>
      <c r="U62">
        <f>'mk 001 10.3'!U63</f>
        <v>23109353</v>
      </c>
      <c r="V62" t="str">
        <f>'mk 001 10.3'!V63</f>
        <v>สันคอหมูชีวาสไลซ์(ตรา ยูฟาร์ม) 250 กรัม</v>
      </c>
      <c r="W62">
        <f>'mk 001 10.3'!W63</f>
        <v>12</v>
      </c>
      <c r="X62">
        <f>'mk 001 10.3'!X63</f>
        <v>3</v>
      </c>
      <c r="Y62">
        <f t="shared" si="0"/>
        <v>12</v>
      </c>
      <c r="Z62" s="13">
        <f>IF(COUNTIFS(แปลงข้อมูล!H:H,Q62,แปลงข้อมูล!I:I,U62,แปลงข้อมูล!J:J,V62)&gt;0,SUMIFS(แปลงข้อมูล!Q:Q,แปลงข้อมูล!I:I,U62,แปลงข้อมูล!H:H,Q62,แปลงข้อมูล!J:J,V62),'mk 001 10.3'!Z63)</f>
        <v>3</v>
      </c>
      <c r="AA62">
        <f>'mk 001 10.3'!AA63</f>
        <v>0</v>
      </c>
      <c r="AB62">
        <f>'mk 001 10.3'!AB63</f>
        <v>0</v>
      </c>
      <c r="AC62">
        <f>'mk 001 10.3'!AC63</f>
        <v>0</v>
      </c>
      <c r="AD62">
        <f>'mk 001 10.3'!AD63</f>
        <v>0</v>
      </c>
      <c r="AE62">
        <f>'mk 001 10.3'!AE63</f>
        <v>12</v>
      </c>
      <c r="AF62">
        <f>'mk 001 10.3'!AF63</f>
        <v>3</v>
      </c>
      <c r="AG62">
        <f>'mk 001 10.3'!AG63</f>
        <v>0</v>
      </c>
      <c r="AH62">
        <f>'mk 001 10.3'!AH63</f>
        <v>0</v>
      </c>
      <c r="AI62" t="str">
        <f>'mk 001 10.3'!AI63</f>
        <v>OPRCD489MOPRCD00000OPRCDF213OPRCD00000OPRCD923</v>
      </c>
      <c r="AJ62" t="str">
        <f>'mk 001 10.3'!AJ63</f>
        <v>ซื้อ / ขาย</v>
      </c>
      <c r="AK62" t="str">
        <f>'mk 001 10.3'!AK63</f>
        <v>Main proudct</v>
      </c>
      <c r="AL62" t="str">
        <f>'mk 001 10.3'!AL63</f>
        <v>Seal Pack</v>
      </c>
      <c r="AM62" t="str">
        <f>'mk 001 10.3'!AM63</f>
        <v>สุกร</v>
      </c>
      <c r="AN62" t="str">
        <f>'mk 001 10.3'!AN63</f>
        <v>OT002 CC-Makro</v>
      </c>
      <c r="AO62" t="str">
        <f>'mk 001 10.3'!AO63</f>
        <v>MT</v>
      </c>
      <c r="AP62">
        <f>'mk 001 10.3'!AP63</f>
        <v>2</v>
      </c>
      <c r="AQ62">
        <f>'mk 001 10.3'!AQ63</f>
        <v>0</v>
      </c>
      <c r="AR62">
        <f>'mk 001 10.3'!AR63</f>
        <v>0</v>
      </c>
      <c r="AS62">
        <f>'mk 001 10.3'!AS63</f>
        <v>0</v>
      </c>
      <c r="AT62" t="str">
        <f>'mk 001 10.3'!AT63</f>
        <v>System Batch</v>
      </c>
      <c r="AU62" t="str">
        <f>'mk 001 10.3'!AU63</f>
        <v>2026-05-11-12.40.50.000000</v>
      </c>
      <c r="AV62" t="str">
        <f>'mk 001 10.3'!AV63</f>
        <v>แพ็ค</v>
      </c>
      <c r="AW62" t="str">
        <f>'mk 001 10.3'!AW63</f>
        <v>ก.ก.</v>
      </c>
      <c r="AX62" t="str">
        <f>'mk 001 10.3'!AX63</f>
        <v xml:space="preserve"> </v>
      </c>
      <c r="AY62">
        <f>'mk 001 10.3'!AY63</f>
        <v>0</v>
      </c>
      <c r="AZ62" t="str">
        <f>'mk 001 10.3'!AZ63</f>
        <v>N</v>
      </c>
      <c r="BA62" s="22">
        <f>'mk 001 10.3'!BA63</f>
        <v>9045089536563</v>
      </c>
      <c r="BB62">
        <f>'mk 001 10.3'!BB63</f>
        <v>0</v>
      </c>
      <c r="BC62">
        <f>'mk 001 10.3'!BC63</f>
        <v>0</v>
      </c>
      <c r="BD62">
        <f>'mk 001 10.3'!BD63</f>
        <v>1</v>
      </c>
      <c r="BE62">
        <f>'mk 001 10.3'!BE63</f>
        <v>0</v>
      </c>
      <c r="BF62">
        <f>'mk 001 10.3'!BF63</f>
        <v>0</v>
      </c>
      <c r="BG62">
        <f>'mk 001 10.3'!BG63</f>
        <v>1333314600</v>
      </c>
      <c r="BH62" t="str">
        <f>'mk 001 10.3'!BH63</f>
        <v>G</v>
      </c>
      <c r="BI62">
        <f>'mk 001 10.3'!BI63</f>
        <v>12</v>
      </c>
      <c r="BJ62">
        <f>'mk 001 10.3'!BJ63</f>
        <v>3</v>
      </c>
      <c r="BK62">
        <f>'mk 001 10.3'!BK63</f>
        <v>1300</v>
      </c>
      <c r="BL62" t="str">
        <f>'mk 001 10.3'!BL63</f>
        <v>SYSBATCH</v>
      </c>
      <c r="BM62">
        <f>'mk 001 10.3'!BM63</f>
        <v>0</v>
      </c>
      <c r="BN62">
        <f>'mk 001 10.3'!BN63</f>
        <v>0</v>
      </c>
    </row>
    <row r="63" spans="1:66" x14ac:dyDescent="0.35">
      <c r="A63">
        <f>'mk 001 10.3'!A64</f>
        <v>0</v>
      </c>
      <c r="B63">
        <f>'mk 001 10.3'!B64</f>
        <v>0</v>
      </c>
      <c r="C63" s="1" t="str">
        <f>'mk 001 10.3'!C64</f>
        <v>14/5/2569</v>
      </c>
      <c r="D63" s="1" t="str">
        <f>'mk 001 10.3'!D64</f>
        <v>14/5/2569</v>
      </c>
      <c r="E63">
        <f>'mk 001 10.3'!E64</f>
        <v>0</v>
      </c>
      <c r="F63" t="str">
        <f>'mk 001 10.3'!F64</f>
        <v>489M</v>
      </c>
      <c r="G63" t="str">
        <f>'mk 001 10.3'!G64</f>
        <v>Modern Trade (Makro)</v>
      </c>
      <c r="H63">
        <f>'mk 001 10.3'!H64</f>
        <v>0</v>
      </c>
      <c r="I63" t="str">
        <f>'mk 001 10.3'!I64</f>
        <v>หน่วยงานกลาง</v>
      </c>
      <c r="J63" t="str">
        <f>'mk 001 10.3'!J64</f>
        <v>F213  DMCW-รชล-พระพุทธบาท</v>
      </c>
      <c r="K63" t="str">
        <f>'mk 001 10.3'!K64</f>
        <v>00000  หน่วยงานกลาง</v>
      </c>
      <c r="L63">
        <f>'mk 001 10.3'!L64</f>
        <v>923</v>
      </c>
      <c r="M63">
        <f>'mk 001 10.3'!M64</f>
        <v>0</v>
      </c>
      <c r="N63" t="str">
        <f>'mk 001 10.3'!N64</f>
        <v>1A53008400</v>
      </c>
      <c r="O63" t="str">
        <f>'mk 001 10.3'!O64</f>
        <v>บมจ. ซีพี แอ็กซ์ตร้า สาขานครอินทร์</v>
      </c>
      <c r="P63">
        <f>'mk 001 10.3'!P64</f>
        <v>2</v>
      </c>
      <c r="Q63" t="str">
        <f>'mk 001 10.3'!Q64</f>
        <v>MAKRO 0083 นครอินทร์</v>
      </c>
      <c r="R63" s="1">
        <f>'mk 001 10.3'!R64</f>
        <v>244658</v>
      </c>
      <c r="S63" s="1" t="str">
        <f>'mk 001 10.3'!S64</f>
        <v>14/5/2569</v>
      </c>
      <c r="T63" t="str">
        <f>'mk 001 10.3'!T64</f>
        <v>H6954RMA0059103</v>
      </c>
      <c r="U63">
        <f>'mk 001 10.3'!U64</f>
        <v>23097790</v>
      </c>
      <c r="V63" t="str">
        <f>'mk 001 10.3'!V64</f>
        <v>สะโพกหมูสไลซ์ 1 กก. (M)</v>
      </c>
      <c r="W63">
        <f>'mk 001 10.3'!W64</f>
        <v>20</v>
      </c>
      <c r="X63">
        <f>'mk 001 10.3'!X64</f>
        <v>20</v>
      </c>
      <c r="Y63">
        <f t="shared" si="0"/>
        <v>20</v>
      </c>
      <c r="Z63" s="13">
        <f>IF(COUNTIFS(แปลงข้อมูล!H:H,Q63,แปลงข้อมูล!I:I,U63,แปลงข้อมูล!J:J,V63)&gt;0,SUMIFS(แปลงข้อมูล!Q:Q,แปลงข้อมูล!I:I,U63,แปลงข้อมูล!H:H,Q63,แปลงข้อมูล!J:J,V63),'mk 001 10.3'!Z64)</f>
        <v>20</v>
      </c>
      <c r="AA63">
        <f>'mk 001 10.3'!AA64</f>
        <v>0</v>
      </c>
      <c r="AB63">
        <f>'mk 001 10.3'!AB64</f>
        <v>0</v>
      </c>
      <c r="AC63">
        <f>'mk 001 10.3'!AC64</f>
        <v>0</v>
      </c>
      <c r="AD63">
        <f>'mk 001 10.3'!AD64</f>
        <v>0</v>
      </c>
      <c r="AE63">
        <f>'mk 001 10.3'!AE64</f>
        <v>20</v>
      </c>
      <c r="AF63">
        <f>'mk 001 10.3'!AF64</f>
        <v>20</v>
      </c>
      <c r="AG63">
        <f>'mk 001 10.3'!AG64</f>
        <v>0</v>
      </c>
      <c r="AH63">
        <f>'mk 001 10.3'!AH64</f>
        <v>0</v>
      </c>
      <c r="AI63" t="str">
        <f>'mk 001 10.3'!AI64</f>
        <v>OPRCD489MOPRCD00000OPRCDF213OPRCD00000OPRCD923</v>
      </c>
      <c r="AJ63" t="str">
        <f>'mk 001 10.3'!AJ64</f>
        <v>ซื้อ / ขาย</v>
      </c>
      <c r="AK63" t="str">
        <f>'mk 001 10.3'!AK64</f>
        <v>Main proudct</v>
      </c>
      <c r="AL63" t="str">
        <f>'mk 001 10.3'!AL64</f>
        <v>Bulk Normal</v>
      </c>
      <c r="AM63" t="str">
        <f>'mk 001 10.3'!AM64</f>
        <v>สุกร</v>
      </c>
      <c r="AN63" t="str">
        <f>'mk 001 10.3'!AN64</f>
        <v>OT002 CC-Makro</v>
      </c>
      <c r="AO63" t="str">
        <f>'mk 001 10.3'!AO64</f>
        <v>MT</v>
      </c>
      <c r="AP63">
        <f>'mk 001 10.3'!AP64</f>
        <v>2</v>
      </c>
      <c r="AQ63">
        <f>'mk 001 10.3'!AQ64</f>
        <v>0</v>
      </c>
      <c r="AR63">
        <f>'mk 001 10.3'!AR64</f>
        <v>0</v>
      </c>
      <c r="AS63">
        <f>'mk 001 10.3'!AS64</f>
        <v>0</v>
      </c>
      <c r="AT63" t="str">
        <f>'mk 001 10.3'!AT64</f>
        <v>System Batch</v>
      </c>
      <c r="AU63" t="str">
        <f>'mk 001 10.3'!AU64</f>
        <v>2026-05-11-12.40.50.000000</v>
      </c>
      <c r="AV63" t="str">
        <f>'mk 001 10.3'!AV64</f>
        <v>แพ็ค</v>
      </c>
      <c r="AW63" t="str">
        <f>'mk 001 10.3'!AW64</f>
        <v>ก.ก.</v>
      </c>
      <c r="AX63" t="str">
        <f>'mk 001 10.3'!AX64</f>
        <v xml:space="preserve"> </v>
      </c>
      <c r="AY63">
        <f>'mk 001 10.3'!AY64</f>
        <v>0</v>
      </c>
      <c r="AZ63" t="str">
        <f>'mk 001 10.3'!AZ64</f>
        <v>N</v>
      </c>
      <c r="BA63" s="22">
        <f>'mk 001 10.3'!BA64</f>
        <v>9045089536563</v>
      </c>
      <c r="BB63">
        <f>'mk 001 10.3'!BB64</f>
        <v>0</v>
      </c>
      <c r="BC63">
        <f>'mk 001 10.3'!BC64</f>
        <v>0</v>
      </c>
      <c r="BD63">
        <f>'mk 001 10.3'!BD64</f>
        <v>1</v>
      </c>
      <c r="BE63">
        <f>'mk 001 10.3'!BE64</f>
        <v>0</v>
      </c>
      <c r="BF63">
        <f>'mk 001 10.3'!BF64</f>
        <v>0</v>
      </c>
      <c r="BG63">
        <f>'mk 001 10.3'!BG64</f>
        <v>1333314600</v>
      </c>
      <c r="BH63" t="str">
        <f>'mk 001 10.3'!BH64</f>
        <v>G</v>
      </c>
      <c r="BI63">
        <f>'mk 001 10.3'!BI64</f>
        <v>20</v>
      </c>
      <c r="BJ63">
        <f>'mk 001 10.3'!BJ64</f>
        <v>20</v>
      </c>
      <c r="BK63">
        <f>'mk 001 10.3'!BK64</f>
        <v>1300</v>
      </c>
      <c r="BL63" t="str">
        <f>'mk 001 10.3'!BL64</f>
        <v>SYSBATCH</v>
      </c>
      <c r="BM63">
        <f>'mk 001 10.3'!BM64</f>
        <v>0</v>
      </c>
      <c r="BN63">
        <f>'mk 001 10.3'!BN64</f>
        <v>0</v>
      </c>
    </row>
    <row r="64" spans="1:66" x14ac:dyDescent="0.35">
      <c r="A64">
        <f>'mk 001 10.3'!A65</f>
        <v>0</v>
      </c>
      <c r="B64">
        <f>'mk 001 10.3'!B65</f>
        <v>0</v>
      </c>
      <c r="C64" s="1" t="str">
        <f>'mk 001 10.3'!C65</f>
        <v>14/5/2569</v>
      </c>
      <c r="D64" s="1" t="str">
        <f>'mk 001 10.3'!D65</f>
        <v>14/5/2569</v>
      </c>
      <c r="E64">
        <f>'mk 001 10.3'!E65</f>
        <v>0</v>
      </c>
      <c r="F64" t="str">
        <f>'mk 001 10.3'!F65</f>
        <v>489M</v>
      </c>
      <c r="G64" t="str">
        <f>'mk 001 10.3'!G65</f>
        <v>Modern Trade (Makro)</v>
      </c>
      <c r="H64">
        <f>'mk 001 10.3'!H65</f>
        <v>0</v>
      </c>
      <c r="I64" t="str">
        <f>'mk 001 10.3'!I65</f>
        <v>หน่วยงานกลาง</v>
      </c>
      <c r="J64" t="str">
        <f>'mk 001 10.3'!J65</f>
        <v>F213  DMCW-รชล-พระพุทธบาท</v>
      </c>
      <c r="K64" t="str">
        <f>'mk 001 10.3'!K65</f>
        <v>00000  หน่วยงานกลาง</v>
      </c>
      <c r="L64">
        <f>'mk 001 10.3'!L65</f>
        <v>923</v>
      </c>
      <c r="M64">
        <f>'mk 001 10.3'!M65</f>
        <v>0</v>
      </c>
      <c r="N64" t="str">
        <f>'mk 001 10.3'!N65</f>
        <v>1A53008400</v>
      </c>
      <c r="O64" t="str">
        <f>'mk 001 10.3'!O65</f>
        <v>บมจ. ซีพี แอ็กซ์ตร้า สาขานครอินทร์</v>
      </c>
      <c r="P64">
        <f>'mk 001 10.3'!P65</f>
        <v>2</v>
      </c>
      <c r="Q64" t="str">
        <f>'mk 001 10.3'!Q65</f>
        <v>MAKRO 0083 นครอินทร์</v>
      </c>
      <c r="R64" s="1">
        <f>'mk 001 10.3'!R65</f>
        <v>244658</v>
      </c>
      <c r="S64" s="1" t="str">
        <f>'mk 001 10.3'!S65</f>
        <v>14/5/2569</v>
      </c>
      <c r="T64" t="str">
        <f>'mk 001 10.3'!T65</f>
        <v>H6954RMA0059103</v>
      </c>
      <c r="U64">
        <f>'mk 001 10.3'!U65</f>
        <v>23097787</v>
      </c>
      <c r="V64" t="str">
        <f>'mk 001 10.3'!V65</f>
        <v>ตับหมูสไลซ์ 1 กก. (M)</v>
      </c>
      <c r="W64">
        <f>'mk 001 10.3'!W65</f>
        <v>2</v>
      </c>
      <c r="X64">
        <f>'mk 001 10.3'!X65</f>
        <v>2</v>
      </c>
      <c r="Y64">
        <f t="shared" si="0"/>
        <v>2</v>
      </c>
      <c r="Z64" s="13">
        <f>IF(COUNTIFS(แปลงข้อมูล!H:H,Q64,แปลงข้อมูล!I:I,U64,แปลงข้อมูล!J:J,V64)&gt;0,SUMIFS(แปลงข้อมูล!Q:Q,แปลงข้อมูล!I:I,U64,แปลงข้อมูล!H:H,Q64,แปลงข้อมูล!J:J,V64),'mk 001 10.3'!Z65)</f>
        <v>2</v>
      </c>
      <c r="AA64">
        <f>'mk 001 10.3'!AA65</f>
        <v>0</v>
      </c>
      <c r="AB64">
        <f>'mk 001 10.3'!AB65</f>
        <v>0</v>
      </c>
      <c r="AC64">
        <f>'mk 001 10.3'!AC65</f>
        <v>0</v>
      </c>
      <c r="AD64">
        <f>'mk 001 10.3'!AD65</f>
        <v>0</v>
      </c>
      <c r="AE64">
        <f>'mk 001 10.3'!AE65</f>
        <v>2</v>
      </c>
      <c r="AF64">
        <f>'mk 001 10.3'!AF65</f>
        <v>2</v>
      </c>
      <c r="AG64">
        <f>'mk 001 10.3'!AG65</f>
        <v>0</v>
      </c>
      <c r="AH64">
        <f>'mk 001 10.3'!AH65</f>
        <v>0</v>
      </c>
      <c r="AI64" t="str">
        <f>'mk 001 10.3'!AI65</f>
        <v>OPRCD489MOPRCD00000OPRCDF213OPRCD00000OPRCD923</v>
      </c>
      <c r="AJ64" t="str">
        <f>'mk 001 10.3'!AJ65</f>
        <v>ซื้อ / ขาย</v>
      </c>
      <c r="AK64" t="str">
        <f>'mk 001 10.3'!AK65</f>
        <v>By proudct</v>
      </c>
      <c r="AL64" t="str">
        <f>'mk 001 10.3'!AL65</f>
        <v>Bulk Normal</v>
      </c>
      <c r="AM64" t="str">
        <f>'mk 001 10.3'!AM65</f>
        <v>สุกร</v>
      </c>
      <c r="AN64" t="str">
        <f>'mk 001 10.3'!AN65</f>
        <v>OT002 CC-Makro</v>
      </c>
      <c r="AO64" t="str">
        <f>'mk 001 10.3'!AO65</f>
        <v>MT</v>
      </c>
      <c r="AP64">
        <f>'mk 001 10.3'!AP65</f>
        <v>2</v>
      </c>
      <c r="AQ64">
        <f>'mk 001 10.3'!AQ65</f>
        <v>0</v>
      </c>
      <c r="AR64">
        <f>'mk 001 10.3'!AR65</f>
        <v>0</v>
      </c>
      <c r="AS64">
        <f>'mk 001 10.3'!AS65</f>
        <v>0</v>
      </c>
      <c r="AT64" t="str">
        <f>'mk 001 10.3'!AT65</f>
        <v>System Batch</v>
      </c>
      <c r="AU64" t="str">
        <f>'mk 001 10.3'!AU65</f>
        <v>2026-05-11-12.40.50.000000</v>
      </c>
      <c r="AV64" t="str">
        <f>'mk 001 10.3'!AV65</f>
        <v>แพ็ค</v>
      </c>
      <c r="AW64" t="str">
        <f>'mk 001 10.3'!AW65</f>
        <v>ก.ก.</v>
      </c>
      <c r="AX64" t="str">
        <f>'mk 001 10.3'!AX65</f>
        <v xml:space="preserve"> </v>
      </c>
      <c r="AY64">
        <f>'mk 001 10.3'!AY65</f>
        <v>0</v>
      </c>
      <c r="AZ64" t="str">
        <f>'mk 001 10.3'!AZ65</f>
        <v>N</v>
      </c>
      <c r="BA64" s="22">
        <f>'mk 001 10.3'!BA65</f>
        <v>9045089536563</v>
      </c>
      <c r="BB64">
        <f>'mk 001 10.3'!BB65</f>
        <v>0</v>
      </c>
      <c r="BC64">
        <f>'mk 001 10.3'!BC65</f>
        <v>0</v>
      </c>
      <c r="BD64">
        <f>'mk 001 10.3'!BD65</f>
        <v>1</v>
      </c>
      <c r="BE64">
        <f>'mk 001 10.3'!BE65</f>
        <v>0</v>
      </c>
      <c r="BF64">
        <f>'mk 001 10.3'!BF65</f>
        <v>0</v>
      </c>
      <c r="BG64">
        <f>'mk 001 10.3'!BG65</f>
        <v>1333314600</v>
      </c>
      <c r="BH64" t="str">
        <f>'mk 001 10.3'!BH65</f>
        <v>G</v>
      </c>
      <c r="BI64">
        <f>'mk 001 10.3'!BI65</f>
        <v>2</v>
      </c>
      <c r="BJ64">
        <f>'mk 001 10.3'!BJ65</f>
        <v>2</v>
      </c>
      <c r="BK64">
        <f>'mk 001 10.3'!BK65</f>
        <v>1300</v>
      </c>
      <c r="BL64" t="str">
        <f>'mk 001 10.3'!BL65</f>
        <v>SYSBATCH</v>
      </c>
      <c r="BM64">
        <f>'mk 001 10.3'!BM65</f>
        <v>0</v>
      </c>
      <c r="BN64">
        <f>'mk 001 10.3'!BN65</f>
        <v>0</v>
      </c>
    </row>
    <row r="65" spans="1:66" x14ac:dyDescent="0.35">
      <c r="A65">
        <f>'mk 001 10.3'!A66</f>
        <v>0</v>
      </c>
      <c r="B65">
        <f>'mk 001 10.3'!B66</f>
        <v>0</v>
      </c>
      <c r="C65" s="1" t="str">
        <f>'mk 001 10.3'!C66</f>
        <v>14/5/2569</v>
      </c>
      <c r="D65" s="1" t="str">
        <f>'mk 001 10.3'!D66</f>
        <v>14/5/2569</v>
      </c>
      <c r="E65">
        <f>'mk 001 10.3'!E66</f>
        <v>0</v>
      </c>
      <c r="F65" t="str">
        <f>'mk 001 10.3'!F66</f>
        <v>489M</v>
      </c>
      <c r="G65" t="str">
        <f>'mk 001 10.3'!G66</f>
        <v>Modern Trade (Makro)</v>
      </c>
      <c r="H65">
        <f>'mk 001 10.3'!H66</f>
        <v>0</v>
      </c>
      <c r="I65" t="str">
        <f>'mk 001 10.3'!I66</f>
        <v>หน่วยงานกลาง</v>
      </c>
      <c r="J65" t="str">
        <f>'mk 001 10.3'!J66</f>
        <v>F213  DMCW-รชล-พระพุทธบาท</v>
      </c>
      <c r="K65" t="str">
        <f>'mk 001 10.3'!K66</f>
        <v>00000  หน่วยงานกลาง</v>
      </c>
      <c r="L65">
        <f>'mk 001 10.3'!L66</f>
        <v>923</v>
      </c>
      <c r="M65">
        <f>'mk 001 10.3'!M66</f>
        <v>0</v>
      </c>
      <c r="N65" t="str">
        <f>'mk 001 10.3'!N66</f>
        <v>1A53008400</v>
      </c>
      <c r="O65" t="str">
        <f>'mk 001 10.3'!O66</f>
        <v>บมจ. ซีพี แอ็กซ์ตร้า สาขานครอินทร์</v>
      </c>
      <c r="P65">
        <f>'mk 001 10.3'!P66</f>
        <v>2</v>
      </c>
      <c r="Q65" t="str">
        <f>'mk 001 10.3'!Q66</f>
        <v>MAKRO 0083 นครอินทร์</v>
      </c>
      <c r="R65" s="1">
        <f>'mk 001 10.3'!R66</f>
        <v>244658</v>
      </c>
      <c r="S65" s="1" t="str">
        <f>'mk 001 10.3'!S66</f>
        <v>14/5/2569</v>
      </c>
      <c r="T65" t="str">
        <f>'mk 001 10.3'!T66</f>
        <v>H6954RMA0059103</v>
      </c>
      <c r="U65">
        <f>'mk 001 10.3'!U66</f>
        <v>23097797</v>
      </c>
      <c r="V65" t="str">
        <f>'mk 001 10.3'!V66</f>
        <v>สามชั้นหมูสไลซ์ 1 กก. (M)</v>
      </c>
      <c r="W65">
        <f>'mk 001 10.3'!W66</f>
        <v>20</v>
      </c>
      <c r="X65">
        <f>'mk 001 10.3'!X66</f>
        <v>20</v>
      </c>
      <c r="Y65">
        <f t="shared" si="0"/>
        <v>20</v>
      </c>
      <c r="Z65" s="13">
        <f>IF(COUNTIFS(แปลงข้อมูล!H:H,Q65,แปลงข้อมูล!I:I,U65,แปลงข้อมูล!J:J,V65)&gt;0,SUMIFS(แปลงข้อมูล!Q:Q,แปลงข้อมูล!I:I,U65,แปลงข้อมูล!H:H,Q65,แปลงข้อมูล!J:J,V65),'mk 001 10.3'!Z66)</f>
        <v>20</v>
      </c>
      <c r="AA65">
        <f>'mk 001 10.3'!AA66</f>
        <v>0</v>
      </c>
      <c r="AB65">
        <f>'mk 001 10.3'!AB66</f>
        <v>0</v>
      </c>
      <c r="AC65">
        <f>'mk 001 10.3'!AC66</f>
        <v>0</v>
      </c>
      <c r="AD65">
        <f>'mk 001 10.3'!AD66</f>
        <v>0</v>
      </c>
      <c r="AE65">
        <f>'mk 001 10.3'!AE66</f>
        <v>20</v>
      </c>
      <c r="AF65">
        <f>'mk 001 10.3'!AF66</f>
        <v>20</v>
      </c>
      <c r="AG65">
        <f>'mk 001 10.3'!AG66</f>
        <v>0</v>
      </c>
      <c r="AH65">
        <f>'mk 001 10.3'!AH66</f>
        <v>0</v>
      </c>
      <c r="AI65" t="str">
        <f>'mk 001 10.3'!AI66</f>
        <v>OPRCD489MOPRCD00000OPRCDF213OPRCD00000OPRCD923</v>
      </c>
      <c r="AJ65" t="str">
        <f>'mk 001 10.3'!AJ66</f>
        <v>ซื้อ / ขาย</v>
      </c>
      <c r="AK65" t="str">
        <f>'mk 001 10.3'!AK66</f>
        <v>Main proudct</v>
      </c>
      <c r="AL65" t="str">
        <f>'mk 001 10.3'!AL66</f>
        <v>Bulk Normal</v>
      </c>
      <c r="AM65" t="str">
        <f>'mk 001 10.3'!AM66</f>
        <v>สุกร</v>
      </c>
      <c r="AN65" t="str">
        <f>'mk 001 10.3'!AN66</f>
        <v>OT002 CC-Makro</v>
      </c>
      <c r="AO65" t="str">
        <f>'mk 001 10.3'!AO66</f>
        <v>MT</v>
      </c>
      <c r="AP65">
        <f>'mk 001 10.3'!AP66</f>
        <v>2</v>
      </c>
      <c r="AQ65">
        <f>'mk 001 10.3'!AQ66</f>
        <v>0</v>
      </c>
      <c r="AR65">
        <f>'mk 001 10.3'!AR66</f>
        <v>0</v>
      </c>
      <c r="AS65">
        <f>'mk 001 10.3'!AS66</f>
        <v>0</v>
      </c>
      <c r="AT65" t="str">
        <f>'mk 001 10.3'!AT66</f>
        <v>System Batch</v>
      </c>
      <c r="AU65" t="str">
        <f>'mk 001 10.3'!AU66</f>
        <v>2026-05-11-12.40.50.000000</v>
      </c>
      <c r="AV65" t="str">
        <f>'mk 001 10.3'!AV66</f>
        <v>แพ็ค</v>
      </c>
      <c r="AW65" t="str">
        <f>'mk 001 10.3'!AW66</f>
        <v>ก.ก.</v>
      </c>
      <c r="AX65" t="str">
        <f>'mk 001 10.3'!AX66</f>
        <v xml:space="preserve"> </v>
      </c>
      <c r="AY65">
        <f>'mk 001 10.3'!AY66</f>
        <v>0</v>
      </c>
      <c r="AZ65" t="str">
        <f>'mk 001 10.3'!AZ66</f>
        <v>N</v>
      </c>
      <c r="BA65" s="22">
        <f>'mk 001 10.3'!BA66</f>
        <v>9045089536563</v>
      </c>
      <c r="BB65">
        <f>'mk 001 10.3'!BB66</f>
        <v>0</v>
      </c>
      <c r="BC65">
        <f>'mk 001 10.3'!BC66</f>
        <v>0</v>
      </c>
      <c r="BD65">
        <f>'mk 001 10.3'!BD66</f>
        <v>1</v>
      </c>
      <c r="BE65">
        <f>'mk 001 10.3'!BE66</f>
        <v>0</v>
      </c>
      <c r="BF65">
        <f>'mk 001 10.3'!BF66</f>
        <v>0</v>
      </c>
      <c r="BG65">
        <f>'mk 001 10.3'!BG66</f>
        <v>1333314600</v>
      </c>
      <c r="BH65" t="str">
        <f>'mk 001 10.3'!BH66</f>
        <v>G</v>
      </c>
      <c r="BI65">
        <f>'mk 001 10.3'!BI66</f>
        <v>20</v>
      </c>
      <c r="BJ65">
        <f>'mk 001 10.3'!BJ66</f>
        <v>20</v>
      </c>
      <c r="BK65">
        <f>'mk 001 10.3'!BK66</f>
        <v>1300</v>
      </c>
      <c r="BL65" t="str">
        <f>'mk 001 10.3'!BL66</f>
        <v>SYSBATCH</v>
      </c>
      <c r="BM65">
        <f>'mk 001 10.3'!BM66</f>
        <v>0</v>
      </c>
      <c r="BN65">
        <f>'mk 001 10.3'!BN66</f>
        <v>0</v>
      </c>
    </row>
    <row r="66" spans="1:66" x14ac:dyDescent="0.35">
      <c r="A66">
        <f>'mk 001 10.3'!A67</f>
        <v>0</v>
      </c>
      <c r="B66">
        <f>'mk 001 10.3'!B67</f>
        <v>0</v>
      </c>
      <c r="C66" s="1" t="str">
        <f>'mk 001 10.3'!C67</f>
        <v>14/5/2569</v>
      </c>
      <c r="D66" s="1" t="str">
        <f>'mk 001 10.3'!D67</f>
        <v>14/5/2569</v>
      </c>
      <c r="E66">
        <f>'mk 001 10.3'!E67</f>
        <v>0</v>
      </c>
      <c r="F66" t="str">
        <f>'mk 001 10.3'!F67</f>
        <v>489M</v>
      </c>
      <c r="G66" t="str">
        <f>'mk 001 10.3'!G67</f>
        <v>Modern Trade (Makro)</v>
      </c>
      <c r="H66">
        <f>'mk 001 10.3'!H67</f>
        <v>0</v>
      </c>
      <c r="I66" t="str">
        <f>'mk 001 10.3'!I67</f>
        <v>หน่วยงานกลาง</v>
      </c>
      <c r="J66" t="str">
        <f>'mk 001 10.3'!J67</f>
        <v>F213  DMCW-รชล-พระพุทธบาท</v>
      </c>
      <c r="K66" t="str">
        <f>'mk 001 10.3'!K67</f>
        <v>00000  หน่วยงานกลาง</v>
      </c>
      <c r="L66">
        <f>'mk 001 10.3'!L67</f>
        <v>923</v>
      </c>
      <c r="M66">
        <f>'mk 001 10.3'!M67</f>
        <v>0</v>
      </c>
      <c r="N66" t="str">
        <f>'mk 001 10.3'!N67</f>
        <v>1A53010800</v>
      </c>
      <c r="O66" t="str">
        <f>'mk 001 10.3'!O67</f>
        <v>บมจ. ซีพี แอ็กซ์ตร้า สาขาสิงห์บุรี</v>
      </c>
      <c r="P66">
        <f>'mk 001 10.3'!P67</f>
        <v>2</v>
      </c>
      <c r="Q66" t="str">
        <f>'mk 001 10.3'!Q67</f>
        <v>MAKRO 0114 สิงห์บุรี</v>
      </c>
      <c r="R66" s="1">
        <f>'mk 001 10.3'!R67</f>
        <v>244658</v>
      </c>
      <c r="S66" s="1" t="str">
        <f>'mk 001 10.3'!S67</f>
        <v>14/5/2569</v>
      </c>
      <c r="T66" t="str">
        <f>'mk 001 10.3'!T67</f>
        <v>H6954RMA0059110</v>
      </c>
      <c r="U66">
        <f>'mk 001 10.3'!U67</f>
        <v>23110588</v>
      </c>
      <c r="V66" t="str">
        <f>'mk 001 10.3'!V67</f>
        <v>สะโพกหมูหั่นแดดเดียว แพ็ค 1 กก.</v>
      </c>
      <c r="W66">
        <f>'mk 001 10.3'!W67</f>
        <v>4</v>
      </c>
      <c r="X66">
        <f>'mk 001 10.3'!X67</f>
        <v>4</v>
      </c>
      <c r="Y66">
        <f t="shared" si="0"/>
        <v>4</v>
      </c>
      <c r="Z66" s="13">
        <f>IF(COUNTIFS(แปลงข้อมูล!H:H,Q66,แปลงข้อมูล!I:I,U66,แปลงข้อมูล!J:J,V66)&gt;0,SUMIFS(แปลงข้อมูล!Q:Q,แปลงข้อมูล!I:I,U66,แปลงข้อมูล!H:H,Q66,แปลงข้อมูล!J:J,V66),'mk 001 10.3'!Z67)</f>
        <v>4</v>
      </c>
      <c r="AA66">
        <f>'mk 001 10.3'!AA67</f>
        <v>0</v>
      </c>
      <c r="AB66">
        <f>'mk 001 10.3'!AB67</f>
        <v>0</v>
      </c>
      <c r="AC66">
        <f>'mk 001 10.3'!AC67</f>
        <v>0</v>
      </c>
      <c r="AD66">
        <f>'mk 001 10.3'!AD67</f>
        <v>0</v>
      </c>
      <c r="AE66">
        <f>'mk 001 10.3'!AE67</f>
        <v>4</v>
      </c>
      <c r="AF66">
        <f>'mk 001 10.3'!AF67</f>
        <v>4</v>
      </c>
      <c r="AG66">
        <f>'mk 001 10.3'!AG67</f>
        <v>0</v>
      </c>
      <c r="AH66">
        <f>'mk 001 10.3'!AH67</f>
        <v>0</v>
      </c>
      <c r="AI66" t="str">
        <f>'mk 001 10.3'!AI67</f>
        <v>OPRCD489MOPRCD00000OPRCDF213OPRCD00000OPRCD923</v>
      </c>
      <c r="AJ66" t="str">
        <f>'mk 001 10.3'!AJ67</f>
        <v>ซื้อ / ขาย</v>
      </c>
      <c r="AK66" t="str">
        <f>'mk 001 10.3'!AK67</f>
        <v>Main proudct</v>
      </c>
      <c r="AL66" t="str">
        <f>'mk 001 10.3'!AL67</f>
        <v>Seal Pack</v>
      </c>
      <c r="AM66" t="str">
        <f>'mk 001 10.3'!AM67</f>
        <v>สุกร</v>
      </c>
      <c r="AN66" t="str">
        <f>'mk 001 10.3'!AN67</f>
        <v>OT002 CC-Makro</v>
      </c>
      <c r="AO66" t="str">
        <f>'mk 001 10.3'!AO67</f>
        <v>MT</v>
      </c>
      <c r="AP66">
        <f>'mk 001 10.3'!AP67</f>
        <v>2</v>
      </c>
      <c r="AQ66">
        <f>'mk 001 10.3'!AQ67</f>
        <v>0</v>
      </c>
      <c r="AR66">
        <f>'mk 001 10.3'!AR67</f>
        <v>0</v>
      </c>
      <c r="AS66">
        <f>'mk 001 10.3'!AS67</f>
        <v>0</v>
      </c>
      <c r="AT66" t="str">
        <f>'mk 001 10.3'!AT67</f>
        <v>System Batch</v>
      </c>
      <c r="AU66" t="str">
        <f>'mk 001 10.3'!AU67</f>
        <v>2026-05-11-12.40.50.000000</v>
      </c>
      <c r="AV66" t="str">
        <f>'mk 001 10.3'!AV67</f>
        <v>แพ็ค</v>
      </c>
      <c r="AW66" t="str">
        <f>'mk 001 10.3'!AW67</f>
        <v>ก.ก.</v>
      </c>
      <c r="AX66" t="str">
        <f>'mk 001 10.3'!AX67</f>
        <v xml:space="preserve"> </v>
      </c>
      <c r="AY66">
        <f>'mk 001 10.3'!AY67</f>
        <v>0</v>
      </c>
      <c r="AZ66" t="str">
        <f>'mk 001 10.3'!AZ67</f>
        <v>N</v>
      </c>
      <c r="BA66" s="22">
        <f>'mk 001 10.3'!BA67</f>
        <v>9045089536574</v>
      </c>
      <c r="BB66">
        <f>'mk 001 10.3'!BB67</f>
        <v>0</v>
      </c>
      <c r="BC66">
        <f>'mk 001 10.3'!BC67</f>
        <v>0</v>
      </c>
      <c r="BD66">
        <f>'mk 001 10.3'!BD67</f>
        <v>1</v>
      </c>
      <c r="BE66">
        <f>'mk 001 10.3'!BE67</f>
        <v>0</v>
      </c>
      <c r="BF66">
        <f>'mk 001 10.3'!BF67</f>
        <v>0</v>
      </c>
      <c r="BG66">
        <f>'mk 001 10.3'!BG67</f>
        <v>1333314600</v>
      </c>
      <c r="BH66" t="str">
        <f>'mk 001 10.3'!BH67</f>
        <v>G</v>
      </c>
      <c r="BI66">
        <f>'mk 001 10.3'!BI67</f>
        <v>4</v>
      </c>
      <c r="BJ66">
        <f>'mk 001 10.3'!BJ67</f>
        <v>4</v>
      </c>
      <c r="BK66">
        <f>'mk 001 10.3'!BK67</f>
        <v>1300</v>
      </c>
      <c r="BL66" t="str">
        <f>'mk 001 10.3'!BL67</f>
        <v>SYSBATCH</v>
      </c>
      <c r="BM66">
        <f>'mk 001 10.3'!BM67</f>
        <v>0</v>
      </c>
      <c r="BN66">
        <f>'mk 001 10.3'!BN67</f>
        <v>0</v>
      </c>
    </row>
    <row r="67" spans="1:66" x14ac:dyDescent="0.35">
      <c r="A67">
        <f>'mk 001 10.3'!A68</f>
        <v>0</v>
      </c>
      <c r="B67">
        <f>'mk 001 10.3'!B68</f>
        <v>0</v>
      </c>
      <c r="C67" s="1" t="str">
        <f>'mk 001 10.3'!C68</f>
        <v>14/5/2569</v>
      </c>
      <c r="D67" s="1" t="str">
        <f>'mk 001 10.3'!D68</f>
        <v>14/5/2569</v>
      </c>
      <c r="E67">
        <f>'mk 001 10.3'!E68</f>
        <v>0</v>
      </c>
      <c r="F67" t="str">
        <f>'mk 001 10.3'!F68</f>
        <v>489M</v>
      </c>
      <c r="G67" t="str">
        <f>'mk 001 10.3'!G68</f>
        <v>Modern Trade (Makro)</v>
      </c>
      <c r="H67">
        <f>'mk 001 10.3'!H68</f>
        <v>0</v>
      </c>
      <c r="I67" t="str">
        <f>'mk 001 10.3'!I68</f>
        <v>หน่วยงานกลาง</v>
      </c>
      <c r="J67" t="str">
        <f>'mk 001 10.3'!J68</f>
        <v>F213  DMCW-รชล-พระพุทธบาท</v>
      </c>
      <c r="K67" t="str">
        <f>'mk 001 10.3'!K68</f>
        <v>00000  หน่วยงานกลาง</v>
      </c>
      <c r="L67">
        <f>'mk 001 10.3'!L68</f>
        <v>923</v>
      </c>
      <c r="M67">
        <f>'mk 001 10.3'!M68</f>
        <v>0</v>
      </c>
      <c r="N67" t="str">
        <f>'mk 001 10.3'!N68</f>
        <v>1A53010800</v>
      </c>
      <c r="O67" t="str">
        <f>'mk 001 10.3'!O68</f>
        <v>บมจ. ซีพี แอ็กซ์ตร้า สาขาสิงห์บุรี</v>
      </c>
      <c r="P67">
        <f>'mk 001 10.3'!P68</f>
        <v>2</v>
      </c>
      <c r="Q67" t="str">
        <f>'mk 001 10.3'!Q68</f>
        <v>MAKRO 0114 สิงห์บุรี</v>
      </c>
      <c r="R67" s="1">
        <f>'mk 001 10.3'!R68</f>
        <v>244658</v>
      </c>
      <c r="S67" s="1" t="str">
        <f>'mk 001 10.3'!S68</f>
        <v>14/5/2569</v>
      </c>
      <c r="T67" t="str">
        <f>'mk 001 10.3'!T68</f>
        <v>H6954RMA0059110</v>
      </c>
      <c r="U67">
        <f>'mk 001 10.3'!U68</f>
        <v>23110595</v>
      </c>
      <c r="V67" t="str">
        <f>'mk 001 10.3'!V68</f>
        <v>สามชั้นหมูสดสไลซ์ แพ็คถาด 1 กก.</v>
      </c>
      <c r="W67">
        <f>'mk 001 10.3'!W68</f>
        <v>4</v>
      </c>
      <c r="X67">
        <f>'mk 001 10.3'!X68</f>
        <v>4</v>
      </c>
      <c r="Y67">
        <f t="shared" ref="Y67:Y130" si="1">IFERROR(W67*Z67/X67,0)</f>
        <v>4</v>
      </c>
      <c r="Z67" s="13">
        <f>IF(COUNTIFS(แปลงข้อมูล!H:H,Q67,แปลงข้อมูล!I:I,U67,แปลงข้อมูล!J:J,V67)&gt;0,SUMIFS(แปลงข้อมูล!Q:Q,แปลงข้อมูล!I:I,U67,แปลงข้อมูล!H:H,Q67,แปลงข้อมูล!J:J,V67),'mk 001 10.3'!Z68)</f>
        <v>4</v>
      </c>
      <c r="AA67">
        <f>'mk 001 10.3'!AA68</f>
        <v>0</v>
      </c>
      <c r="AB67">
        <f>'mk 001 10.3'!AB68</f>
        <v>0</v>
      </c>
      <c r="AC67">
        <f>'mk 001 10.3'!AC68</f>
        <v>0</v>
      </c>
      <c r="AD67">
        <f>'mk 001 10.3'!AD68</f>
        <v>0</v>
      </c>
      <c r="AE67">
        <f>'mk 001 10.3'!AE68</f>
        <v>4</v>
      </c>
      <c r="AF67">
        <f>'mk 001 10.3'!AF68</f>
        <v>4</v>
      </c>
      <c r="AG67">
        <f>'mk 001 10.3'!AG68</f>
        <v>0</v>
      </c>
      <c r="AH67">
        <f>'mk 001 10.3'!AH68</f>
        <v>0</v>
      </c>
      <c r="AI67" t="str">
        <f>'mk 001 10.3'!AI68</f>
        <v>OPRCD489MOPRCD00000OPRCDF213OPRCD00000OPRCD923</v>
      </c>
      <c r="AJ67" t="str">
        <f>'mk 001 10.3'!AJ68</f>
        <v>ซื้อ / ขาย</v>
      </c>
      <c r="AK67" t="str">
        <f>'mk 001 10.3'!AK68</f>
        <v>Main proudct</v>
      </c>
      <c r="AL67" t="str">
        <f>'mk 001 10.3'!AL68</f>
        <v>Seal Pack</v>
      </c>
      <c r="AM67" t="str">
        <f>'mk 001 10.3'!AM68</f>
        <v>สุกร</v>
      </c>
      <c r="AN67" t="str">
        <f>'mk 001 10.3'!AN68</f>
        <v>OT002 CC-Makro</v>
      </c>
      <c r="AO67" t="str">
        <f>'mk 001 10.3'!AO68</f>
        <v>MT</v>
      </c>
      <c r="AP67">
        <f>'mk 001 10.3'!AP68</f>
        <v>2</v>
      </c>
      <c r="AQ67">
        <f>'mk 001 10.3'!AQ68</f>
        <v>0</v>
      </c>
      <c r="AR67">
        <f>'mk 001 10.3'!AR68</f>
        <v>0</v>
      </c>
      <c r="AS67">
        <f>'mk 001 10.3'!AS68</f>
        <v>0</v>
      </c>
      <c r="AT67" t="str">
        <f>'mk 001 10.3'!AT68</f>
        <v>System Batch</v>
      </c>
      <c r="AU67" t="str">
        <f>'mk 001 10.3'!AU68</f>
        <v>2026-05-11-12.40.50.000000</v>
      </c>
      <c r="AV67" t="str">
        <f>'mk 001 10.3'!AV68</f>
        <v>แพ็ค</v>
      </c>
      <c r="AW67" t="str">
        <f>'mk 001 10.3'!AW68</f>
        <v>ก.ก.</v>
      </c>
      <c r="AX67" t="str">
        <f>'mk 001 10.3'!AX68</f>
        <v xml:space="preserve"> </v>
      </c>
      <c r="AY67">
        <f>'mk 001 10.3'!AY68</f>
        <v>0</v>
      </c>
      <c r="AZ67" t="str">
        <f>'mk 001 10.3'!AZ68</f>
        <v>N</v>
      </c>
      <c r="BA67" s="22">
        <f>'mk 001 10.3'!BA68</f>
        <v>9045089536574</v>
      </c>
      <c r="BB67">
        <f>'mk 001 10.3'!BB68</f>
        <v>0</v>
      </c>
      <c r="BC67">
        <f>'mk 001 10.3'!BC68</f>
        <v>0</v>
      </c>
      <c r="BD67">
        <f>'mk 001 10.3'!BD68</f>
        <v>1</v>
      </c>
      <c r="BE67">
        <f>'mk 001 10.3'!BE68</f>
        <v>0</v>
      </c>
      <c r="BF67">
        <f>'mk 001 10.3'!BF68</f>
        <v>0</v>
      </c>
      <c r="BG67">
        <f>'mk 001 10.3'!BG68</f>
        <v>1333314600</v>
      </c>
      <c r="BH67" t="str">
        <f>'mk 001 10.3'!BH68</f>
        <v>G</v>
      </c>
      <c r="BI67">
        <f>'mk 001 10.3'!BI68</f>
        <v>4</v>
      </c>
      <c r="BJ67">
        <f>'mk 001 10.3'!BJ68</f>
        <v>4</v>
      </c>
      <c r="BK67">
        <f>'mk 001 10.3'!BK68</f>
        <v>1300</v>
      </c>
      <c r="BL67" t="str">
        <f>'mk 001 10.3'!BL68</f>
        <v>SYSBATCH</v>
      </c>
      <c r="BM67">
        <f>'mk 001 10.3'!BM68</f>
        <v>0</v>
      </c>
      <c r="BN67">
        <f>'mk 001 10.3'!BN68</f>
        <v>0</v>
      </c>
    </row>
    <row r="68" spans="1:66" x14ac:dyDescent="0.35">
      <c r="A68">
        <f>'mk 001 10.3'!A69</f>
        <v>0</v>
      </c>
      <c r="B68">
        <f>'mk 001 10.3'!B69</f>
        <v>0</v>
      </c>
      <c r="C68" s="1" t="str">
        <f>'mk 001 10.3'!C69</f>
        <v>14/5/2569</v>
      </c>
      <c r="D68" s="1" t="str">
        <f>'mk 001 10.3'!D69</f>
        <v>14/5/2569</v>
      </c>
      <c r="E68">
        <f>'mk 001 10.3'!E69</f>
        <v>0</v>
      </c>
      <c r="F68" t="str">
        <f>'mk 001 10.3'!F69</f>
        <v>489M</v>
      </c>
      <c r="G68" t="str">
        <f>'mk 001 10.3'!G69</f>
        <v>Modern Trade (Makro)</v>
      </c>
      <c r="H68">
        <f>'mk 001 10.3'!H69</f>
        <v>0</v>
      </c>
      <c r="I68" t="str">
        <f>'mk 001 10.3'!I69</f>
        <v>หน่วยงานกลาง</v>
      </c>
      <c r="J68" t="str">
        <f>'mk 001 10.3'!J69</f>
        <v>F213  DMCW-รชล-พระพุทธบาท</v>
      </c>
      <c r="K68" t="str">
        <f>'mk 001 10.3'!K69</f>
        <v>00000  หน่วยงานกลาง</v>
      </c>
      <c r="L68">
        <f>'mk 001 10.3'!L69</f>
        <v>923</v>
      </c>
      <c r="M68">
        <f>'mk 001 10.3'!M69</f>
        <v>0</v>
      </c>
      <c r="N68" t="str">
        <f>'mk 001 10.3'!N69</f>
        <v>1A53010800</v>
      </c>
      <c r="O68" t="str">
        <f>'mk 001 10.3'!O69</f>
        <v>บมจ. ซีพี แอ็กซ์ตร้า สาขาสิงห์บุรี</v>
      </c>
      <c r="P68">
        <f>'mk 001 10.3'!P69</f>
        <v>2</v>
      </c>
      <c r="Q68" t="str">
        <f>'mk 001 10.3'!Q69</f>
        <v>MAKRO 0114 สิงห์บุรี</v>
      </c>
      <c r="R68" s="1">
        <f>'mk 001 10.3'!R69</f>
        <v>244658</v>
      </c>
      <c r="S68" s="1" t="str">
        <f>'mk 001 10.3'!S69</f>
        <v>14/5/2569</v>
      </c>
      <c r="T68" t="str">
        <f>'mk 001 10.3'!T69</f>
        <v>H6954RMA0059110</v>
      </c>
      <c r="U68">
        <f>'mk 001 10.3'!U69</f>
        <v>23098986</v>
      </c>
      <c r="V68" t="str">
        <f>'mk 001 10.3'!V69</f>
        <v>เนื้อหมูหั่นแกง แพ็ค 1 กก.</v>
      </c>
      <c r="W68">
        <f>'mk 001 10.3'!W69</f>
        <v>3</v>
      </c>
      <c r="X68">
        <f>'mk 001 10.3'!X69</f>
        <v>3</v>
      </c>
      <c r="Y68">
        <f t="shared" si="1"/>
        <v>3</v>
      </c>
      <c r="Z68" s="13">
        <f>IF(COUNTIFS(แปลงข้อมูล!H:H,Q68,แปลงข้อมูล!I:I,U68,แปลงข้อมูล!J:J,V68)&gt;0,SUMIFS(แปลงข้อมูล!Q:Q,แปลงข้อมูล!I:I,U68,แปลงข้อมูล!H:H,Q68,แปลงข้อมูล!J:J,V68),'mk 001 10.3'!Z69)</f>
        <v>3</v>
      </c>
      <c r="AA68">
        <f>'mk 001 10.3'!AA69</f>
        <v>0</v>
      </c>
      <c r="AB68">
        <f>'mk 001 10.3'!AB69</f>
        <v>0</v>
      </c>
      <c r="AC68">
        <f>'mk 001 10.3'!AC69</f>
        <v>0</v>
      </c>
      <c r="AD68">
        <f>'mk 001 10.3'!AD69</f>
        <v>0</v>
      </c>
      <c r="AE68">
        <f>'mk 001 10.3'!AE69</f>
        <v>3</v>
      </c>
      <c r="AF68">
        <f>'mk 001 10.3'!AF69</f>
        <v>3</v>
      </c>
      <c r="AG68">
        <f>'mk 001 10.3'!AG69</f>
        <v>0</v>
      </c>
      <c r="AH68">
        <f>'mk 001 10.3'!AH69</f>
        <v>0</v>
      </c>
      <c r="AI68" t="str">
        <f>'mk 001 10.3'!AI69</f>
        <v>OPRCD489MOPRCD00000OPRCDF213OPRCD00000OPRCD923</v>
      </c>
      <c r="AJ68" t="str">
        <f>'mk 001 10.3'!AJ69</f>
        <v>ซื้อ / ขาย</v>
      </c>
      <c r="AK68" t="str">
        <f>'mk 001 10.3'!AK69</f>
        <v>Main proudct</v>
      </c>
      <c r="AL68" t="str">
        <f>'mk 001 10.3'!AL69</f>
        <v>Bulk Normal</v>
      </c>
      <c r="AM68" t="str">
        <f>'mk 001 10.3'!AM69</f>
        <v>สุกร</v>
      </c>
      <c r="AN68" t="str">
        <f>'mk 001 10.3'!AN69</f>
        <v>OT002 CC-Makro</v>
      </c>
      <c r="AO68" t="str">
        <f>'mk 001 10.3'!AO69</f>
        <v>MT</v>
      </c>
      <c r="AP68">
        <f>'mk 001 10.3'!AP69</f>
        <v>2</v>
      </c>
      <c r="AQ68">
        <f>'mk 001 10.3'!AQ69</f>
        <v>0</v>
      </c>
      <c r="AR68">
        <f>'mk 001 10.3'!AR69</f>
        <v>0</v>
      </c>
      <c r="AS68">
        <f>'mk 001 10.3'!AS69</f>
        <v>0</v>
      </c>
      <c r="AT68" t="str">
        <f>'mk 001 10.3'!AT69</f>
        <v>System Batch</v>
      </c>
      <c r="AU68" t="str">
        <f>'mk 001 10.3'!AU69</f>
        <v>2026-05-11-12.40.50.000000</v>
      </c>
      <c r="AV68" t="str">
        <f>'mk 001 10.3'!AV69</f>
        <v>แพ็ค</v>
      </c>
      <c r="AW68" t="str">
        <f>'mk 001 10.3'!AW69</f>
        <v>ก.ก.</v>
      </c>
      <c r="AX68" t="str">
        <f>'mk 001 10.3'!AX69</f>
        <v xml:space="preserve"> </v>
      </c>
      <c r="AY68">
        <f>'mk 001 10.3'!AY69</f>
        <v>0</v>
      </c>
      <c r="AZ68" t="str">
        <f>'mk 001 10.3'!AZ69</f>
        <v>N</v>
      </c>
      <c r="BA68" s="22">
        <f>'mk 001 10.3'!BA69</f>
        <v>9045089536574</v>
      </c>
      <c r="BB68">
        <f>'mk 001 10.3'!BB69</f>
        <v>0</v>
      </c>
      <c r="BC68">
        <f>'mk 001 10.3'!BC69</f>
        <v>0</v>
      </c>
      <c r="BD68">
        <f>'mk 001 10.3'!BD69</f>
        <v>1</v>
      </c>
      <c r="BE68">
        <f>'mk 001 10.3'!BE69</f>
        <v>0</v>
      </c>
      <c r="BF68">
        <f>'mk 001 10.3'!BF69</f>
        <v>0</v>
      </c>
      <c r="BG68">
        <f>'mk 001 10.3'!BG69</f>
        <v>1333314600</v>
      </c>
      <c r="BH68" t="str">
        <f>'mk 001 10.3'!BH69</f>
        <v>G</v>
      </c>
      <c r="BI68">
        <f>'mk 001 10.3'!BI69</f>
        <v>3</v>
      </c>
      <c r="BJ68">
        <f>'mk 001 10.3'!BJ69</f>
        <v>3</v>
      </c>
      <c r="BK68">
        <f>'mk 001 10.3'!BK69</f>
        <v>1300</v>
      </c>
      <c r="BL68" t="str">
        <f>'mk 001 10.3'!BL69</f>
        <v>SYSBATCH</v>
      </c>
      <c r="BM68">
        <f>'mk 001 10.3'!BM69</f>
        <v>0</v>
      </c>
      <c r="BN68">
        <f>'mk 001 10.3'!BN69</f>
        <v>0</v>
      </c>
    </row>
    <row r="69" spans="1:66" x14ac:dyDescent="0.35">
      <c r="A69">
        <f>'mk 001 10.3'!A70</f>
        <v>0</v>
      </c>
      <c r="B69">
        <f>'mk 001 10.3'!B70</f>
        <v>0</v>
      </c>
      <c r="C69" s="1" t="str">
        <f>'mk 001 10.3'!C70</f>
        <v>14/5/2569</v>
      </c>
      <c r="D69" s="1" t="str">
        <f>'mk 001 10.3'!D70</f>
        <v>14/5/2569</v>
      </c>
      <c r="E69">
        <f>'mk 001 10.3'!E70</f>
        <v>0</v>
      </c>
      <c r="F69" t="str">
        <f>'mk 001 10.3'!F70</f>
        <v>489M</v>
      </c>
      <c r="G69" t="str">
        <f>'mk 001 10.3'!G70</f>
        <v>Modern Trade (Makro)</v>
      </c>
      <c r="H69">
        <f>'mk 001 10.3'!H70</f>
        <v>0</v>
      </c>
      <c r="I69" t="str">
        <f>'mk 001 10.3'!I70</f>
        <v>หน่วยงานกลาง</v>
      </c>
      <c r="J69" t="str">
        <f>'mk 001 10.3'!J70</f>
        <v>F213  DMCW-รชล-พระพุทธบาท</v>
      </c>
      <c r="K69" t="str">
        <f>'mk 001 10.3'!K70</f>
        <v>00000  หน่วยงานกลาง</v>
      </c>
      <c r="L69">
        <f>'mk 001 10.3'!L70</f>
        <v>923</v>
      </c>
      <c r="M69">
        <f>'mk 001 10.3'!M70</f>
        <v>0</v>
      </c>
      <c r="N69" t="str">
        <f>'mk 001 10.3'!N70</f>
        <v>1A53010800</v>
      </c>
      <c r="O69" t="str">
        <f>'mk 001 10.3'!O70</f>
        <v>บมจ. ซีพี แอ็กซ์ตร้า สาขาสิงห์บุรี</v>
      </c>
      <c r="P69">
        <f>'mk 001 10.3'!P70</f>
        <v>2</v>
      </c>
      <c r="Q69" s="13" t="str">
        <f>'mk 001 10.3'!Q70</f>
        <v>MAKRO 0114 สิงห์บุรี</v>
      </c>
      <c r="R69" s="20">
        <f>'mk 001 10.3'!R70</f>
        <v>244658</v>
      </c>
      <c r="S69" s="20" t="str">
        <f>'mk 001 10.3'!S70</f>
        <v>14/5/2569</v>
      </c>
      <c r="T69" s="13" t="str">
        <f>'mk 001 10.3'!T70</f>
        <v>H6954RMA0059110</v>
      </c>
      <c r="U69" s="13">
        <f>'mk 001 10.3'!U70</f>
        <v>23110619</v>
      </c>
      <c r="V69" s="13" t="str">
        <f>'mk 001 10.3'!V70</f>
        <v>มันหมูหั่นเต๋า แพ็คถาด 500 กรัม</v>
      </c>
      <c r="W69">
        <f>'mk 001 10.3'!W70</f>
        <v>4</v>
      </c>
      <c r="X69">
        <f>'mk 001 10.3'!X70</f>
        <v>2</v>
      </c>
      <c r="Y69">
        <f t="shared" si="1"/>
        <v>4</v>
      </c>
      <c r="Z69" s="13">
        <f>IF(COUNTIFS(แปลงข้อมูล!H:H,Q69,แปลงข้อมูล!I:I,U69,แปลงข้อมูล!J:J,V69)&gt;0,SUMIFS(แปลงข้อมูล!Q:Q,แปลงข้อมูล!I:I,U69,แปลงข้อมูล!H:H,Q69,แปลงข้อมูล!J:J,V69),'mk 001 10.3'!Z70)</f>
        <v>2</v>
      </c>
      <c r="AA69">
        <f>'mk 001 10.3'!AA70</f>
        <v>0</v>
      </c>
      <c r="AB69">
        <f>'mk 001 10.3'!AB70</f>
        <v>0</v>
      </c>
      <c r="AC69">
        <f>'mk 001 10.3'!AC70</f>
        <v>0</v>
      </c>
      <c r="AD69">
        <f>'mk 001 10.3'!AD70</f>
        <v>0</v>
      </c>
      <c r="AE69">
        <f>'mk 001 10.3'!AE70</f>
        <v>4</v>
      </c>
      <c r="AF69">
        <f>'mk 001 10.3'!AF70</f>
        <v>2</v>
      </c>
      <c r="AG69">
        <f>'mk 001 10.3'!AG70</f>
        <v>0</v>
      </c>
      <c r="AH69">
        <f>'mk 001 10.3'!AH70</f>
        <v>0</v>
      </c>
      <c r="AI69" t="str">
        <f>'mk 001 10.3'!AI70</f>
        <v>OPRCD489MOPRCD00000OPRCDF213OPRCD00000OPRCD923</v>
      </c>
      <c r="AJ69" t="str">
        <f>'mk 001 10.3'!AJ70</f>
        <v>ซื้อ / ขาย</v>
      </c>
      <c r="AK69" t="str">
        <f>'mk 001 10.3'!AK70</f>
        <v>By proudct</v>
      </c>
      <c r="AL69" t="str">
        <f>'mk 001 10.3'!AL70</f>
        <v>Seal Pack</v>
      </c>
      <c r="AM69" t="str">
        <f>'mk 001 10.3'!AM70</f>
        <v>สุกร</v>
      </c>
      <c r="AN69" t="str">
        <f>'mk 001 10.3'!AN70</f>
        <v>OT002 CC-Makro</v>
      </c>
      <c r="AO69" t="str">
        <f>'mk 001 10.3'!AO70</f>
        <v>MT</v>
      </c>
      <c r="AP69">
        <f>'mk 001 10.3'!AP70</f>
        <v>2</v>
      </c>
      <c r="AQ69">
        <f>'mk 001 10.3'!AQ70</f>
        <v>0</v>
      </c>
      <c r="AR69">
        <f>'mk 001 10.3'!AR70</f>
        <v>0</v>
      </c>
      <c r="AS69">
        <f>'mk 001 10.3'!AS70</f>
        <v>0</v>
      </c>
      <c r="AT69" t="str">
        <f>'mk 001 10.3'!AT70</f>
        <v>System Batch</v>
      </c>
      <c r="AU69" t="str">
        <f>'mk 001 10.3'!AU70</f>
        <v>2026-05-11-12.40.50.000000</v>
      </c>
      <c r="AV69" t="str">
        <f>'mk 001 10.3'!AV70</f>
        <v>แพ็ค</v>
      </c>
      <c r="AW69" t="str">
        <f>'mk 001 10.3'!AW70</f>
        <v>ก.ก.</v>
      </c>
      <c r="AX69" t="str">
        <f>'mk 001 10.3'!AX70</f>
        <v xml:space="preserve"> </v>
      </c>
      <c r="AY69">
        <f>'mk 001 10.3'!AY70</f>
        <v>0</v>
      </c>
      <c r="AZ69" t="str">
        <f>'mk 001 10.3'!AZ70</f>
        <v>N</v>
      </c>
      <c r="BA69" s="22">
        <f>'mk 001 10.3'!BA70</f>
        <v>9045089536574</v>
      </c>
      <c r="BB69">
        <f>'mk 001 10.3'!BB70</f>
        <v>0</v>
      </c>
      <c r="BC69">
        <f>'mk 001 10.3'!BC70</f>
        <v>0</v>
      </c>
      <c r="BD69">
        <f>'mk 001 10.3'!BD70</f>
        <v>1</v>
      </c>
      <c r="BE69">
        <f>'mk 001 10.3'!BE70</f>
        <v>0</v>
      </c>
      <c r="BF69">
        <f>'mk 001 10.3'!BF70</f>
        <v>0</v>
      </c>
      <c r="BG69">
        <f>'mk 001 10.3'!BG70</f>
        <v>1333314600</v>
      </c>
      <c r="BH69" t="str">
        <f>'mk 001 10.3'!BH70</f>
        <v>G</v>
      </c>
      <c r="BI69">
        <f>'mk 001 10.3'!BI70</f>
        <v>4</v>
      </c>
      <c r="BJ69">
        <f>'mk 001 10.3'!BJ70</f>
        <v>2</v>
      </c>
      <c r="BK69">
        <f>'mk 001 10.3'!BK70</f>
        <v>1300</v>
      </c>
      <c r="BL69" t="str">
        <f>'mk 001 10.3'!BL70</f>
        <v>SYSBATCH</v>
      </c>
      <c r="BM69">
        <f>'mk 001 10.3'!BM70</f>
        <v>0</v>
      </c>
      <c r="BN69">
        <f>'mk 001 10.3'!BN70</f>
        <v>0</v>
      </c>
    </row>
    <row r="70" spans="1:66" x14ac:dyDescent="0.35">
      <c r="A70">
        <f>'mk 001 10.3'!A71</f>
        <v>0</v>
      </c>
      <c r="B70">
        <f>'mk 001 10.3'!B71</f>
        <v>0</v>
      </c>
      <c r="C70" s="1" t="str">
        <f>'mk 001 10.3'!C71</f>
        <v>14/5/2569</v>
      </c>
      <c r="D70" s="1" t="str">
        <f>'mk 001 10.3'!D71</f>
        <v>14/5/2569</v>
      </c>
      <c r="E70">
        <f>'mk 001 10.3'!E71</f>
        <v>0</v>
      </c>
      <c r="F70" t="str">
        <f>'mk 001 10.3'!F71</f>
        <v>489M</v>
      </c>
      <c r="G70" t="str">
        <f>'mk 001 10.3'!G71</f>
        <v>Modern Trade (Makro)</v>
      </c>
      <c r="H70">
        <f>'mk 001 10.3'!H71</f>
        <v>0</v>
      </c>
      <c r="I70" t="str">
        <f>'mk 001 10.3'!I71</f>
        <v>หน่วยงานกลาง</v>
      </c>
      <c r="J70" t="str">
        <f>'mk 001 10.3'!J71</f>
        <v>F213  DMCW-รชล-พระพุทธบาท</v>
      </c>
      <c r="K70" t="str">
        <f>'mk 001 10.3'!K71</f>
        <v>00000  หน่วยงานกลาง</v>
      </c>
      <c r="L70">
        <f>'mk 001 10.3'!L71</f>
        <v>923</v>
      </c>
      <c r="M70">
        <f>'mk 001 10.3'!M71</f>
        <v>0</v>
      </c>
      <c r="N70" t="str">
        <f>'mk 001 10.3'!N71</f>
        <v>1A53010800</v>
      </c>
      <c r="O70" t="str">
        <f>'mk 001 10.3'!O71</f>
        <v>บมจ. ซีพี แอ็กซ์ตร้า สาขาสิงห์บุรี</v>
      </c>
      <c r="P70">
        <f>'mk 001 10.3'!P71</f>
        <v>2</v>
      </c>
      <c r="Q70" t="str">
        <f>'mk 001 10.3'!Q71</f>
        <v>MAKRO 0114 สิงห์บุรี</v>
      </c>
      <c r="R70" s="1">
        <f>'mk 001 10.3'!R71</f>
        <v>244658</v>
      </c>
      <c r="S70" s="1" t="str">
        <f>'mk 001 10.3'!S71</f>
        <v>14/5/2569</v>
      </c>
      <c r="T70" t="str">
        <f>'mk 001 10.3'!T71</f>
        <v>H6954RMA0059110</v>
      </c>
      <c r="U70">
        <f>'mk 001 10.3'!U71</f>
        <v>23110600</v>
      </c>
      <c r="V70" t="str">
        <f>'mk 001 10.3'!V71</f>
        <v>สันคอหมูสดสไลซ์ แพ็คถาด 1 กก.</v>
      </c>
      <c r="W70">
        <f>'mk 001 10.3'!W71</f>
        <v>4</v>
      </c>
      <c r="X70">
        <f>'mk 001 10.3'!X71</f>
        <v>4</v>
      </c>
      <c r="Y70">
        <f t="shared" si="1"/>
        <v>4</v>
      </c>
      <c r="Z70" s="13">
        <f>IF(COUNTIFS(แปลงข้อมูล!H:H,Q70,แปลงข้อมูล!I:I,U70,แปลงข้อมูล!J:J,V70)&gt;0,SUMIFS(แปลงข้อมูล!Q:Q,แปลงข้อมูล!I:I,U70,แปลงข้อมูล!H:H,Q70,แปลงข้อมูล!J:J,V70),'mk 001 10.3'!Z71)</f>
        <v>4</v>
      </c>
      <c r="AA70">
        <f>'mk 001 10.3'!AA71</f>
        <v>0</v>
      </c>
      <c r="AB70">
        <f>'mk 001 10.3'!AB71</f>
        <v>0</v>
      </c>
      <c r="AC70">
        <f>'mk 001 10.3'!AC71</f>
        <v>0</v>
      </c>
      <c r="AD70">
        <f>'mk 001 10.3'!AD71</f>
        <v>0</v>
      </c>
      <c r="AE70">
        <f>'mk 001 10.3'!AE71</f>
        <v>4</v>
      </c>
      <c r="AF70">
        <f>'mk 001 10.3'!AF71</f>
        <v>4</v>
      </c>
      <c r="AG70">
        <f>'mk 001 10.3'!AG71</f>
        <v>0</v>
      </c>
      <c r="AH70">
        <f>'mk 001 10.3'!AH71</f>
        <v>0</v>
      </c>
      <c r="AI70" t="str">
        <f>'mk 001 10.3'!AI71</f>
        <v>OPRCD489MOPRCD00000OPRCDF213OPRCD00000OPRCD923</v>
      </c>
      <c r="AJ70" t="str">
        <f>'mk 001 10.3'!AJ71</f>
        <v>ซื้อ / ขาย</v>
      </c>
      <c r="AK70" t="str">
        <f>'mk 001 10.3'!AK71</f>
        <v>Main proudct</v>
      </c>
      <c r="AL70" t="str">
        <f>'mk 001 10.3'!AL71</f>
        <v>Seal Pack</v>
      </c>
      <c r="AM70" t="str">
        <f>'mk 001 10.3'!AM71</f>
        <v>สุกร</v>
      </c>
      <c r="AN70" t="str">
        <f>'mk 001 10.3'!AN71</f>
        <v>OT002 CC-Makro</v>
      </c>
      <c r="AO70" t="str">
        <f>'mk 001 10.3'!AO71</f>
        <v>MT</v>
      </c>
      <c r="AP70">
        <f>'mk 001 10.3'!AP71</f>
        <v>2</v>
      </c>
      <c r="AQ70">
        <f>'mk 001 10.3'!AQ71</f>
        <v>0</v>
      </c>
      <c r="AR70">
        <f>'mk 001 10.3'!AR71</f>
        <v>0</v>
      </c>
      <c r="AS70">
        <f>'mk 001 10.3'!AS71</f>
        <v>0</v>
      </c>
      <c r="AT70" t="str">
        <f>'mk 001 10.3'!AT71</f>
        <v>System Batch</v>
      </c>
      <c r="AU70" t="str">
        <f>'mk 001 10.3'!AU71</f>
        <v>2026-05-11-12.40.50.000000</v>
      </c>
      <c r="AV70" t="str">
        <f>'mk 001 10.3'!AV71</f>
        <v>แพ็ค</v>
      </c>
      <c r="AW70" t="str">
        <f>'mk 001 10.3'!AW71</f>
        <v>ก.ก.</v>
      </c>
      <c r="AX70" t="str">
        <f>'mk 001 10.3'!AX71</f>
        <v xml:space="preserve"> </v>
      </c>
      <c r="AY70">
        <f>'mk 001 10.3'!AY71</f>
        <v>0</v>
      </c>
      <c r="AZ70" t="str">
        <f>'mk 001 10.3'!AZ71</f>
        <v>N</v>
      </c>
      <c r="BA70" s="22">
        <f>'mk 001 10.3'!BA71</f>
        <v>9045089536574</v>
      </c>
      <c r="BB70">
        <f>'mk 001 10.3'!BB71</f>
        <v>0</v>
      </c>
      <c r="BC70">
        <f>'mk 001 10.3'!BC71</f>
        <v>0</v>
      </c>
      <c r="BD70">
        <f>'mk 001 10.3'!BD71</f>
        <v>1</v>
      </c>
      <c r="BE70">
        <f>'mk 001 10.3'!BE71</f>
        <v>0</v>
      </c>
      <c r="BF70">
        <f>'mk 001 10.3'!BF71</f>
        <v>0</v>
      </c>
      <c r="BG70">
        <f>'mk 001 10.3'!BG71</f>
        <v>1333314600</v>
      </c>
      <c r="BH70" t="str">
        <f>'mk 001 10.3'!BH71</f>
        <v>G</v>
      </c>
      <c r="BI70">
        <f>'mk 001 10.3'!BI71</f>
        <v>4</v>
      </c>
      <c r="BJ70">
        <f>'mk 001 10.3'!BJ71</f>
        <v>4</v>
      </c>
      <c r="BK70">
        <f>'mk 001 10.3'!BK71</f>
        <v>1300</v>
      </c>
      <c r="BL70" t="str">
        <f>'mk 001 10.3'!BL71</f>
        <v>SYSBATCH</v>
      </c>
      <c r="BM70">
        <f>'mk 001 10.3'!BM71</f>
        <v>0</v>
      </c>
      <c r="BN70">
        <f>'mk 001 10.3'!BN71</f>
        <v>0</v>
      </c>
    </row>
    <row r="71" spans="1:66" x14ac:dyDescent="0.35">
      <c r="A71">
        <f>'mk 001 10.3'!A72</f>
        <v>0</v>
      </c>
      <c r="B71">
        <f>'mk 001 10.3'!B72</f>
        <v>0</v>
      </c>
      <c r="C71" s="1" t="str">
        <f>'mk 001 10.3'!C72</f>
        <v>14/5/2569</v>
      </c>
      <c r="D71" s="1" t="str">
        <f>'mk 001 10.3'!D72</f>
        <v>14/5/2569</v>
      </c>
      <c r="E71">
        <f>'mk 001 10.3'!E72</f>
        <v>0</v>
      </c>
      <c r="F71" t="str">
        <f>'mk 001 10.3'!F72</f>
        <v>489M</v>
      </c>
      <c r="G71" t="str">
        <f>'mk 001 10.3'!G72</f>
        <v>Modern Trade (Makro)</v>
      </c>
      <c r="H71">
        <f>'mk 001 10.3'!H72</f>
        <v>0</v>
      </c>
      <c r="I71" t="str">
        <f>'mk 001 10.3'!I72</f>
        <v>หน่วยงานกลาง</v>
      </c>
      <c r="J71" t="str">
        <f>'mk 001 10.3'!J72</f>
        <v>F213  DMCW-รชล-พระพุทธบาท</v>
      </c>
      <c r="K71" t="str">
        <f>'mk 001 10.3'!K72</f>
        <v>00000  หน่วยงานกลาง</v>
      </c>
      <c r="L71">
        <f>'mk 001 10.3'!L72</f>
        <v>923</v>
      </c>
      <c r="M71">
        <f>'mk 001 10.3'!M72</f>
        <v>0</v>
      </c>
      <c r="N71" t="str">
        <f>'mk 001 10.3'!N72</f>
        <v>1A53010800</v>
      </c>
      <c r="O71" t="str">
        <f>'mk 001 10.3'!O72</f>
        <v>บมจ. ซีพี แอ็กซ์ตร้า สาขาสิงห์บุรี</v>
      </c>
      <c r="P71">
        <f>'mk 001 10.3'!P72</f>
        <v>2</v>
      </c>
      <c r="Q71" t="str">
        <f>'mk 001 10.3'!Q72</f>
        <v>MAKRO 0114 สิงห์บุรี</v>
      </c>
      <c r="R71" s="1">
        <f>'mk 001 10.3'!R72</f>
        <v>244658</v>
      </c>
      <c r="S71" s="1" t="str">
        <f>'mk 001 10.3'!S72</f>
        <v>14/5/2569</v>
      </c>
      <c r="T71" t="str">
        <f>'mk 001 10.3'!T72</f>
        <v>H6954RMA0059110</v>
      </c>
      <c r="U71">
        <f>'mk 001 10.3'!U72</f>
        <v>23110596</v>
      </c>
      <c r="V71" t="str">
        <f>'mk 001 10.3'!V72</f>
        <v>สามชั้นหมูหั่นแกง แพ็คถาด 1 กก.</v>
      </c>
      <c r="W71">
        <f>'mk 001 10.3'!W72</f>
        <v>4</v>
      </c>
      <c r="X71">
        <f>'mk 001 10.3'!X72</f>
        <v>4</v>
      </c>
      <c r="Y71">
        <f t="shared" si="1"/>
        <v>4</v>
      </c>
      <c r="Z71" s="13">
        <f>IF(COUNTIFS(แปลงข้อมูล!H:H,Q71,แปลงข้อมูล!I:I,U71,แปลงข้อมูล!J:J,V71)&gt;0,SUMIFS(แปลงข้อมูล!Q:Q,แปลงข้อมูล!I:I,U71,แปลงข้อมูล!H:H,Q71,แปลงข้อมูล!J:J,V71),'mk 001 10.3'!Z72)</f>
        <v>4</v>
      </c>
      <c r="AA71">
        <f>'mk 001 10.3'!AA72</f>
        <v>0</v>
      </c>
      <c r="AB71">
        <f>'mk 001 10.3'!AB72</f>
        <v>0</v>
      </c>
      <c r="AC71">
        <f>'mk 001 10.3'!AC72</f>
        <v>0</v>
      </c>
      <c r="AD71">
        <f>'mk 001 10.3'!AD72</f>
        <v>0</v>
      </c>
      <c r="AE71">
        <f>'mk 001 10.3'!AE72</f>
        <v>4</v>
      </c>
      <c r="AF71">
        <f>'mk 001 10.3'!AF72</f>
        <v>4</v>
      </c>
      <c r="AG71">
        <f>'mk 001 10.3'!AG72</f>
        <v>0</v>
      </c>
      <c r="AH71">
        <f>'mk 001 10.3'!AH72</f>
        <v>0</v>
      </c>
      <c r="AI71" t="str">
        <f>'mk 001 10.3'!AI72</f>
        <v>OPRCD489MOPRCD00000OPRCDF213OPRCD00000OPRCD923</v>
      </c>
      <c r="AJ71" t="str">
        <f>'mk 001 10.3'!AJ72</f>
        <v>ซื้อ / ขาย</v>
      </c>
      <c r="AK71" t="str">
        <f>'mk 001 10.3'!AK72</f>
        <v>Main proudct</v>
      </c>
      <c r="AL71" t="str">
        <f>'mk 001 10.3'!AL72</f>
        <v>Seal Pack</v>
      </c>
      <c r="AM71" t="str">
        <f>'mk 001 10.3'!AM72</f>
        <v>สุกร</v>
      </c>
      <c r="AN71" t="str">
        <f>'mk 001 10.3'!AN72</f>
        <v>OT002 CC-Makro</v>
      </c>
      <c r="AO71" t="str">
        <f>'mk 001 10.3'!AO72</f>
        <v>MT</v>
      </c>
      <c r="AP71">
        <f>'mk 001 10.3'!AP72</f>
        <v>2</v>
      </c>
      <c r="AQ71">
        <f>'mk 001 10.3'!AQ72</f>
        <v>0</v>
      </c>
      <c r="AR71">
        <f>'mk 001 10.3'!AR72</f>
        <v>0</v>
      </c>
      <c r="AS71">
        <f>'mk 001 10.3'!AS72</f>
        <v>0</v>
      </c>
      <c r="AT71" t="str">
        <f>'mk 001 10.3'!AT72</f>
        <v>System Batch</v>
      </c>
      <c r="AU71" t="str">
        <f>'mk 001 10.3'!AU72</f>
        <v>2026-05-11-12.40.50.000000</v>
      </c>
      <c r="AV71" t="str">
        <f>'mk 001 10.3'!AV72</f>
        <v>แพ็ค</v>
      </c>
      <c r="AW71" t="str">
        <f>'mk 001 10.3'!AW72</f>
        <v>ก.ก.</v>
      </c>
      <c r="AX71" t="str">
        <f>'mk 001 10.3'!AX72</f>
        <v xml:space="preserve"> </v>
      </c>
      <c r="AY71">
        <f>'mk 001 10.3'!AY72</f>
        <v>0</v>
      </c>
      <c r="AZ71" t="str">
        <f>'mk 001 10.3'!AZ72</f>
        <v>N</v>
      </c>
      <c r="BA71" s="22">
        <f>'mk 001 10.3'!BA72</f>
        <v>9045089536574</v>
      </c>
      <c r="BB71">
        <f>'mk 001 10.3'!BB72</f>
        <v>0</v>
      </c>
      <c r="BC71">
        <f>'mk 001 10.3'!BC72</f>
        <v>0</v>
      </c>
      <c r="BD71">
        <f>'mk 001 10.3'!BD72</f>
        <v>1</v>
      </c>
      <c r="BE71">
        <f>'mk 001 10.3'!BE72</f>
        <v>0</v>
      </c>
      <c r="BF71">
        <f>'mk 001 10.3'!BF72</f>
        <v>0</v>
      </c>
      <c r="BG71">
        <f>'mk 001 10.3'!BG72</f>
        <v>1333314600</v>
      </c>
      <c r="BH71" t="str">
        <f>'mk 001 10.3'!BH72</f>
        <v>G</v>
      </c>
      <c r="BI71">
        <f>'mk 001 10.3'!BI72</f>
        <v>4</v>
      </c>
      <c r="BJ71">
        <f>'mk 001 10.3'!BJ72</f>
        <v>4</v>
      </c>
      <c r="BK71">
        <f>'mk 001 10.3'!BK72</f>
        <v>1300</v>
      </c>
      <c r="BL71" t="str">
        <f>'mk 001 10.3'!BL72</f>
        <v>SYSBATCH</v>
      </c>
      <c r="BM71">
        <f>'mk 001 10.3'!BM72</f>
        <v>0</v>
      </c>
      <c r="BN71">
        <f>'mk 001 10.3'!BN72</f>
        <v>0</v>
      </c>
    </row>
    <row r="72" spans="1:66" x14ac:dyDescent="0.35">
      <c r="A72">
        <f>'mk 001 10.3'!A73</f>
        <v>0</v>
      </c>
      <c r="B72">
        <f>'mk 001 10.3'!B73</f>
        <v>0</v>
      </c>
      <c r="C72" s="1" t="str">
        <f>'mk 001 10.3'!C73</f>
        <v>14/5/2569</v>
      </c>
      <c r="D72" s="1" t="str">
        <f>'mk 001 10.3'!D73</f>
        <v>14/5/2569</v>
      </c>
      <c r="E72">
        <f>'mk 001 10.3'!E73</f>
        <v>0</v>
      </c>
      <c r="F72" t="str">
        <f>'mk 001 10.3'!F73</f>
        <v>489M</v>
      </c>
      <c r="G72" t="str">
        <f>'mk 001 10.3'!G73</f>
        <v>Modern Trade (Makro)</v>
      </c>
      <c r="H72">
        <f>'mk 001 10.3'!H73</f>
        <v>0</v>
      </c>
      <c r="I72" t="str">
        <f>'mk 001 10.3'!I73</f>
        <v>หน่วยงานกลาง</v>
      </c>
      <c r="J72" t="str">
        <f>'mk 001 10.3'!J73</f>
        <v>F213  DMCW-รชล-พระพุทธบาท</v>
      </c>
      <c r="K72" t="str">
        <f>'mk 001 10.3'!K73</f>
        <v>00000  หน่วยงานกลาง</v>
      </c>
      <c r="L72">
        <f>'mk 001 10.3'!L73</f>
        <v>923</v>
      </c>
      <c r="M72">
        <f>'mk 001 10.3'!M73</f>
        <v>0</v>
      </c>
      <c r="N72" t="str">
        <f>'mk 001 10.3'!N73</f>
        <v>1A53010800</v>
      </c>
      <c r="O72" t="str">
        <f>'mk 001 10.3'!O73</f>
        <v>บมจ. ซีพี แอ็กซ์ตร้า สาขาสิงห์บุรี</v>
      </c>
      <c r="P72">
        <f>'mk 001 10.3'!P73</f>
        <v>2</v>
      </c>
      <c r="Q72" s="13" t="str">
        <f>'mk 001 10.3'!Q73</f>
        <v>MAKRO 0114 สิงห์บุรี</v>
      </c>
      <c r="R72" s="20">
        <f>'mk 001 10.3'!R73</f>
        <v>244658</v>
      </c>
      <c r="S72" s="20" t="str">
        <f>'mk 001 10.3'!S73</f>
        <v>14/5/2569</v>
      </c>
      <c r="T72" s="13" t="str">
        <f>'mk 001 10.3'!T73</f>
        <v>H6954RMA0059110</v>
      </c>
      <c r="U72" s="13">
        <f>'mk 001 10.3'!U73</f>
        <v>23111028</v>
      </c>
      <c r="V72" s="13" t="str">
        <f>'mk 001 10.3'!V73</f>
        <v>หมูบด ผสมมัน 30% แพ็คถาด 500 กรัม</v>
      </c>
      <c r="W72">
        <f>'mk 001 10.3'!W73</f>
        <v>4</v>
      </c>
      <c r="X72">
        <f>'mk 001 10.3'!X73</f>
        <v>2</v>
      </c>
      <c r="Y72">
        <f t="shared" si="1"/>
        <v>4</v>
      </c>
      <c r="Z72" s="13">
        <f>IF(COUNTIFS(แปลงข้อมูล!H:H,Q72,แปลงข้อมูล!I:I,U72,แปลงข้อมูล!J:J,V72)&gt;0,SUMIFS(แปลงข้อมูล!Q:Q,แปลงข้อมูล!I:I,U72,แปลงข้อมูล!H:H,Q72,แปลงข้อมูล!J:J,V72),'mk 001 10.3'!Z73)</f>
        <v>2</v>
      </c>
      <c r="AA72">
        <f>'mk 001 10.3'!AA73</f>
        <v>0</v>
      </c>
      <c r="AB72">
        <f>'mk 001 10.3'!AB73</f>
        <v>0</v>
      </c>
      <c r="AC72">
        <f>'mk 001 10.3'!AC73</f>
        <v>0</v>
      </c>
      <c r="AD72">
        <f>'mk 001 10.3'!AD73</f>
        <v>0</v>
      </c>
      <c r="AE72">
        <f>'mk 001 10.3'!AE73</f>
        <v>4</v>
      </c>
      <c r="AF72">
        <f>'mk 001 10.3'!AF73</f>
        <v>2</v>
      </c>
      <c r="AG72">
        <f>'mk 001 10.3'!AG73</f>
        <v>0</v>
      </c>
      <c r="AH72">
        <f>'mk 001 10.3'!AH73</f>
        <v>0</v>
      </c>
      <c r="AI72" t="str">
        <f>'mk 001 10.3'!AI73</f>
        <v>OPRCD489MOPRCD00000OPRCDF213OPRCD00000OPRCD923</v>
      </c>
      <c r="AJ72" t="str">
        <f>'mk 001 10.3'!AJ73</f>
        <v>ซื้อ / ขาย</v>
      </c>
      <c r="AK72" t="str">
        <f>'mk 001 10.3'!AK73</f>
        <v>Main proudct</v>
      </c>
      <c r="AL72" t="str">
        <f>'mk 001 10.3'!AL73</f>
        <v>Seal Pack</v>
      </c>
      <c r="AM72" t="str">
        <f>'mk 001 10.3'!AM73</f>
        <v>สุกร</v>
      </c>
      <c r="AN72" t="str">
        <f>'mk 001 10.3'!AN73</f>
        <v>OT002 CC-Makro</v>
      </c>
      <c r="AO72" t="str">
        <f>'mk 001 10.3'!AO73</f>
        <v>MT</v>
      </c>
      <c r="AP72">
        <f>'mk 001 10.3'!AP73</f>
        <v>2</v>
      </c>
      <c r="AQ72">
        <f>'mk 001 10.3'!AQ73</f>
        <v>0</v>
      </c>
      <c r="AR72">
        <f>'mk 001 10.3'!AR73</f>
        <v>0</v>
      </c>
      <c r="AS72">
        <f>'mk 001 10.3'!AS73</f>
        <v>0</v>
      </c>
      <c r="AT72" t="str">
        <f>'mk 001 10.3'!AT73</f>
        <v>System Batch</v>
      </c>
      <c r="AU72" t="str">
        <f>'mk 001 10.3'!AU73</f>
        <v>2026-05-11-12.40.50.000000</v>
      </c>
      <c r="AV72" t="str">
        <f>'mk 001 10.3'!AV73</f>
        <v>แพ็ค</v>
      </c>
      <c r="AW72" t="str">
        <f>'mk 001 10.3'!AW73</f>
        <v>ก.ก.</v>
      </c>
      <c r="AX72" t="str">
        <f>'mk 001 10.3'!AX73</f>
        <v xml:space="preserve"> </v>
      </c>
      <c r="AY72">
        <f>'mk 001 10.3'!AY73</f>
        <v>0</v>
      </c>
      <c r="AZ72" t="str">
        <f>'mk 001 10.3'!AZ73</f>
        <v>N</v>
      </c>
      <c r="BA72" s="22">
        <f>'mk 001 10.3'!BA73</f>
        <v>9045089536574</v>
      </c>
      <c r="BB72">
        <f>'mk 001 10.3'!BB73</f>
        <v>0</v>
      </c>
      <c r="BC72">
        <f>'mk 001 10.3'!BC73</f>
        <v>0</v>
      </c>
      <c r="BD72">
        <f>'mk 001 10.3'!BD73</f>
        <v>1</v>
      </c>
      <c r="BE72">
        <f>'mk 001 10.3'!BE73</f>
        <v>0</v>
      </c>
      <c r="BF72">
        <f>'mk 001 10.3'!BF73</f>
        <v>0</v>
      </c>
      <c r="BG72">
        <f>'mk 001 10.3'!BG73</f>
        <v>1333314600</v>
      </c>
      <c r="BH72" t="str">
        <f>'mk 001 10.3'!BH73</f>
        <v>G</v>
      </c>
      <c r="BI72">
        <f>'mk 001 10.3'!BI73</f>
        <v>4</v>
      </c>
      <c r="BJ72">
        <f>'mk 001 10.3'!BJ73</f>
        <v>2</v>
      </c>
      <c r="BK72">
        <f>'mk 001 10.3'!BK73</f>
        <v>1300</v>
      </c>
      <c r="BL72" t="str">
        <f>'mk 001 10.3'!BL73</f>
        <v>SYSBATCH</v>
      </c>
      <c r="BM72">
        <f>'mk 001 10.3'!BM73</f>
        <v>0</v>
      </c>
      <c r="BN72">
        <f>'mk 001 10.3'!BN73</f>
        <v>0</v>
      </c>
    </row>
    <row r="73" spans="1:66" x14ac:dyDescent="0.35">
      <c r="A73">
        <f>'mk 001 10.3'!A74</f>
        <v>0</v>
      </c>
      <c r="B73">
        <f>'mk 001 10.3'!B74</f>
        <v>0</v>
      </c>
      <c r="C73" s="1" t="str">
        <f>'mk 001 10.3'!C74</f>
        <v>14/5/2569</v>
      </c>
      <c r="D73" s="1" t="str">
        <f>'mk 001 10.3'!D74</f>
        <v>14/5/2569</v>
      </c>
      <c r="E73">
        <f>'mk 001 10.3'!E74</f>
        <v>0</v>
      </c>
      <c r="F73" t="str">
        <f>'mk 001 10.3'!F74</f>
        <v>489M</v>
      </c>
      <c r="G73" t="str">
        <f>'mk 001 10.3'!G74</f>
        <v>Modern Trade (Makro)</v>
      </c>
      <c r="H73">
        <f>'mk 001 10.3'!H74</f>
        <v>0</v>
      </c>
      <c r="I73" t="str">
        <f>'mk 001 10.3'!I74</f>
        <v>หน่วยงานกลาง</v>
      </c>
      <c r="J73" t="str">
        <f>'mk 001 10.3'!J74</f>
        <v>F213  DMCW-รชล-พระพุทธบาท</v>
      </c>
      <c r="K73" t="str">
        <f>'mk 001 10.3'!K74</f>
        <v>00000  หน่วยงานกลาง</v>
      </c>
      <c r="L73">
        <f>'mk 001 10.3'!L74</f>
        <v>923</v>
      </c>
      <c r="M73">
        <f>'mk 001 10.3'!M74</f>
        <v>0</v>
      </c>
      <c r="N73" t="str">
        <f>'mk 001 10.3'!N74</f>
        <v>1A53010800</v>
      </c>
      <c r="O73" t="str">
        <f>'mk 001 10.3'!O74</f>
        <v>บมจ. ซีพี แอ็กซ์ตร้า สาขาสิงห์บุรี</v>
      </c>
      <c r="P73">
        <f>'mk 001 10.3'!P74</f>
        <v>2</v>
      </c>
      <c r="Q73" t="str">
        <f>'mk 001 10.3'!Q74</f>
        <v>MAKRO 0114 สิงห์บุรี</v>
      </c>
      <c r="R73" s="1">
        <f>'mk 001 10.3'!R74</f>
        <v>244658</v>
      </c>
      <c r="S73" s="1" t="str">
        <f>'mk 001 10.3'!S74</f>
        <v>14/5/2569</v>
      </c>
      <c r="T73" t="str">
        <f>'mk 001 10.3'!T74</f>
        <v>H6954RMA0059110</v>
      </c>
      <c r="U73">
        <f>'mk 001 10.3'!U74</f>
        <v>23097784</v>
      </c>
      <c r="V73" t="str">
        <f>'mk 001 10.3'!V74</f>
        <v>เนื้อไหล่หมูตัดชิ้น 1 กก. (M)</v>
      </c>
      <c r="W73">
        <f>'mk 001 10.3'!W74</f>
        <v>3</v>
      </c>
      <c r="X73">
        <f>'mk 001 10.3'!X74</f>
        <v>3</v>
      </c>
      <c r="Y73">
        <f t="shared" si="1"/>
        <v>3</v>
      </c>
      <c r="Z73" s="13">
        <f>IF(COUNTIFS(แปลงข้อมูล!H:H,Q73,แปลงข้อมูล!I:I,U73,แปลงข้อมูล!J:J,V73)&gt;0,SUMIFS(แปลงข้อมูล!Q:Q,แปลงข้อมูล!I:I,U73,แปลงข้อมูล!H:H,Q73,แปลงข้อมูล!J:J,V73),'mk 001 10.3'!Z74)</f>
        <v>3</v>
      </c>
      <c r="AA73">
        <f>'mk 001 10.3'!AA74</f>
        <v>0</v>
      </c>
      <c r="AB73">
        <f>'mk 001 10.3'!AB74</f>
        <v>0</v>
      </c>
      <c r="AC73">
        <f>'mk 001 10.3'!AC74</f>
        <v>0</v>
      </c>
      <c r="AD73">
        <f>'mk 001 10.3'!AD74</f>
        <v>0</v>
      </c>
      <c r="AE73">
        <f>'mk 001 10.3'!AE74</f>
        <v>3</v>
      </c>
      <c r="AF73">
        <f>'mk 001 10.3'!AF74</f>
        <v>3</v>
      </c>
      <c r="AG73">
        <f>'mk 001 10.3'!AG74</f>
        <v>0</v>
      </c>
      <c r="AH73">
        <f>'mk 001 10.3'!AH74</f>
        <v>0</v>
      </c>
      <c r="AI73" t="str">
        <f>'mk 001 10.3'!AI74</f>
        <v>OPRCD489MOPRCD00000OPRCDF213OPRCD00000OPRCD923</v>
      </c>
      <c r="AJ73" t="str">
        <f>'mk 001 10.3'!AJ74</f>
        <v>ซื้อ / ขาย</v>
      </c>
      <c r="AK73" t="str">
        <f>'mk 001 10.3'!AK74</f>
        <v>Main proudct</v>
      </c>
      <c r="AL73" t="str">
        <f>'mk 001 10.3'!AL74</f>
        <v>Bulk Normal</v>
      </c>
      <c r="AM73" t="str">
        <f>'mk 001 10.3'!AM74</f>
        <v>สุกร</v>
      </c>
      <c r="AN73" t="str">
        <f>'mk 001 10.3'!AN74</f>
        <v>OT002 CC-Makro</v>
      </c>
      <c r="AO73" t="str">
        <f>'mk 001 10.3'!AO74</f>
        <v>MT</v>
      </c>
      <c r="AP73">
        <f>'mk 001 10.3'!AP74</f>
        <v>2</v>
      </c>
      <c r="AQ73">
        <f>'mk 001 10.3'!AQ74</f>
        <v>0</v>
      </c>
      <c r="AR73">
        <f>'mk 001 10.3'!AR74</f>
        <v>0</v>
      </c>
      <c r="AS73">
        <f>'mk 001 10.3'!AS74</f>
        <v>0</v>
      </c>
      <c r="AT73" t="str">
        <f>'mk 001 10.3'!AT74</f>
        <v>System Batch</v>
      </c>
      <c r="AU73" t="str">
        <f>'mk 001 10.3'!AU74</f>
        <v>2026-05-11-12.40.50.000000</v>
      </c>
      <c r="AV73" t="str">
        <f>'mk 001 10.3'!AV74</f>
        <v>แพ็ค</v>
      </c>
      <c r="AW73" t="str">
        <f>'mk 001 10.3'!AW74</f>
        <v>ก.ก.</v>
      </c>
      <c r="AX73" t="str">
        <f>'mk 001 10.3'!AX74</f>
        <v xml:space="preserve"> </v>
      </c>
      <c r="AY73">
        <f>'mk 001 10.3'!AY74</f>
        <v>0</v>
      </c>
      <c r="AZ73" t="str">
        <f>'mk 001 10.3'!AZ74</f>
        <v>N</v>
      </c>
      <c r="BA73" s="22">
        <f>'mk 001 10.3'!BA74</f>
        <v>9045089536574</v>
      </c>
      <c r="BB73">
        <f>'mk 001 10.3'!BB74</f>
        <v>0</v>
      </c>
      <c r="BC73">
        <f>'mk 001 10.3'!BC74</f>
        <v>0</v>
      </c>
      <c r="BD73">
        <f>'mk 001 10.3'!BD74</f>
        <v>1</v>
      </c>
      <c r="BE73">
        <f>'mk 001 10.3'!BE74</f>
        <v>0</v>
      </c>
      <c r="BF73">
        <f>'mk 001 10.3'!BF74</f>
        <v>0</v>
      </c>
      <c r="BG73">
        <f>'mk 001 10.3'!BG74</f>
        <v>1333314600</v>
      </c>
      <c r="BH73" t="str">
        <f>'mk 001 10.3'!BH74</f>
        <v>G</v>
      </c>
      <c r="BI73">
        <f>'mk 001 10.3'!BI74</f>
        <v>3</v>
      </c>
      <c r="BJ73">
        <f>'mk 001 10.3'!BJ74</f>
        <v>3</v>
      </c>
      <c r="BK73">
        <f>'mk 001 10.3'!BK74</f>
        <v>1300</v>
      </c>
      <c r="BL73" t="str">
        <f>'mk 001 10.3'!BL74</f>
        <v>SYSBATCH</v>
      </c>
      <c r="BM73">
        <f>'mk 001 10.3'!BM74</f>
        <v>0</v>
      </c>
      <c r="BN73">
        <f>'mk 001 10.3'!BN74</f>
        <v>0</v>
      </c>
    </row>
    <row r="74" spans="1:66" x14ac:dyDescent="0.35">
      <c r="A74">
        <f>'mk 001 10.3'!A75</f>
        <v>0</v>
      </c>
      <c r="B74">
        <f>'mk 001 10.3'!B75</f>
        <v>0</v>
      </c>
      <c r="C74" s="1" t="str">
        <f>'mk 001 10.3'!C75</f>
        <v>14/5/2569</v>
      </c>
      <c r="D74" s="1" t="str">
        <f>'mk 001 10.3'!D75</f>
        <v>14/5/2569</v>
      </c>
      <c r="E74">
        <f>'mk 001 10.3'!E75</f>
        <v>0</v>
      </c>
      <c r="F74" t="str">
        <f>'mk 001 10.3'!F75</f>
        <v>489M</v>
      </c>
      <c r="G74" t="str">
        <f>'mk 001 10.3'!G75</f>
        <v>Modern Trade (Makro)</v>
      </c>
      <c r="H74">
        <f>'mk 001 10.3'!H75</f>
        <v>0</v>
      </c>
      <c r="I74" t="str">
        <f>'mk 001 10.3'!I75</f>
        <v>หน่วยงานกลาง</v>
      </c>
      <c r="J74" t="str">
        <f>'mk 001 10.3'!J75</f>
        <v>F213  DMCW-รชล-พระพุทธบาท</v>
      </c>
      <c r="K74" t="str">
        <f>'mk 001 10.3'!K75</f>
        <v>00000  หน่วยงานกลาง</v>
      </c>
      <c r="L74">
        <f>'mk 001 10.3'!L75</f>
        <v>923</v>
      </c>
      <c r="M74">
        <f>'mk 001 10.3'!M75</f>
        <v>0</v>
      </c>
      <c r="N74" t="str">
        <f>'mk 001 10.3'!N75</f>
        <v>1A53010800</v>
      </c>
      <c r="O74" t="str">
        <f>'mk 001 10.3'!O75</f>
        <v>บมจ. ซีพี แอ็กซ์ตร้า สาขาสิงห์บุรี</v>
      </c>
      <c r="P74">
        <f>'mk 001 10.3'!P75</f>
        <v>2</v>
      </c>
      <c r="Q74" t="str">
        <f>'mk 001 10.3'!Q75</f>
        <v>MAKRO 0114 สิงห์บุรี</v>
      </c>
      <c r="R74" s="1">
        <f>'mk 001 10.3'!R75</f>
        <v>244658</v>
      </c>
      <c r="S74" s="1" t="str">
        <f>'mk 001 10.3'!S75</f>
        <v>14/5/2569</v>
      </c>
      <c r="T74" t="str">
        <f>'mk 001 10.3'!T75</f>
        <v>H6954RMA0059110</v>
      </c>
      <c r="U74">
        <f>'mk 001 10.3'!U75</f>
        <v>23097789</v>
      </c>
      <c r="V74" t="str">
        <f>'mk 001 10.3'!V75</f>
        <v>สะโพกหมูตัดชิ้น 1 กก. (M)</v>
      </c>
      <c r="W74">
        <f>'mk 001 10.3'!W75</f>
        <v>3</v>
      </c>
      <c r="X74">
        <f>'mk 001 10.3'!X75</f>
        <v>3</v>
      </c>
      <c r="Y74">
        <f t="shared" si="1"/>
        <v>3</v>
      </c>
      <c r="Z74" s="13">
        <f>IF(COUNTIFS(แปลงข้อมูล!H:H,Q74,แปลงข้อมูล!I:I,U74,แปลงข้อมูล!J:J,V74)&gt;0,SUMIFS(แปลงข้อมูล!Q:Q,แปลงข้อมูล!I:I,U74,แปลงข้อมูล!H:H,Q74,แปลงข้อมูล!J:J,V74),'mk 001 10.3'!Z75)</f>
        <v>3</v>
      </c>
      <c r="AA74">
        <f>'mk 001 10.3'!AA75</f>
        <v>0</v>
      </c>
      <c r="AB74">
        <f>'mk 001 10.3'!AB75</f>
        <v>0</v>
      </c>
      <c r="AC74">
        <f>'mk 001 10.3'!AC75</f>
        <v>0</v>
      </c>
      <c r="AD74">
        <f>'mk 001 10.3'!AD75</f>
        <v>0</v>
      </c>
      <c r="AE74">
        <f>'mk 001 10.3'!AE75</f>
        <v>3</v>
      </c>
      <c r="AF74">
        <f>'mk 001 10.3'!AF75</f>
        <v>3</v>
      </c>
      <c r="AG74">
        <f>'mk 001 10.3'!AG75</f>
        <v>0</v>
      </c>
      <c r="AH74">
        <f>'mk 001 10.3'!AH75</f>
        <v>0</v>
      </c>
      <c r="AI74" t="str">
        <f>'mk 001 10.3'!AI75</f>
        <v>OPRCD489MOPRCD00000OPRCDF213OPRCD00000OPRCD923</v>
      </c>
      <c r="AJ74" t="str">
        <f>'mk 001 10.3'!AJ75</f>
        <v>ซื้อ / ขาย</v>
      </c>
      <c r="AK74" t="str">
        <f>'mk 001 10.3'!AK75</f>
        <v>Main proudct</v>
      </c>
      <c r="AL74" t="str">
        <f>'mk 001 10.3'!AL75</f>
        <v>Bulk Normal</v>
      </c>
      <c r="AM74" t="str">
        <f>'mk 001 10.3'!AM75</f>
        <v>สุกร</v>
      </c>
      <c r="AN74" t="str">
        <f>'mk 001 10.3'!AN75</f>
        <v>OT002 CC-Makro</v>
      </c>
      <c r="AO74" t="str">
        <f>'mk 001 10.3'!AO75</f>
        <v>MT</v>
      </c>
      <c r="AP74">
        <f>'mk 001 10.3'!AP75</f>
        <v>2</v>
      </c>
      <c r="AQ74">
        <f>'mk 001 10.3'!AQ75</f>
        <v>0</v>
      </c>
      <c r="AR74">
        <f>'mk 001 10.3'!AR75</f>
        <v>0</v>
      </c>
      <c r="AS74">
        <f>'mk 001 10.3'!AS75</f>
        <v>0</v>
      </c>
      <c r="AT74" t="str">
        <f>'mk 001 10.3'!AT75</f>
        <v>System Batch</v>
      </c>
      <c r="AU74" t="str">
        <f>'mk 001 10.3'!AU75</f>
        <v>2026-05-11-12.40.50.000000</v>
      </c>
      <c r="AV74" t="str">
        <f>'mk 001 10.3'!AV75</f>
        <v>แพ็ค</v>
      </c>
      <c r="AW74" t="str">
        <f>'mk 001 10.3'!AW75</f>
        <v>ก.ก.</v>
      </c>
      <c r="AX74" t="str">
        <f>'mk 001 10.3'!AX75</f>
        <v xml:space="preserve"> </v>
      </c>
      <c r="AY74">
        <f>'mk 001 10.3'!AY75</f>
        <v>0</v>
      </c>
      <c r="AZ74" t="str">
        <f>'mk 001 10.3'!AZ75</f>
        <v>N</v>
      </c>
      <c r="BA74" s="22">
        <f>'mk 001 10.3'!BA75</f>
        <v>9045089536574</v>
      </c>
      <c r="BB74">
        <f>'mk 001 10.3'!BB75</f>
        <v>0</v>
      </c>
      <c r="BC74">
        <f>'mk 001 10.3'!BC75</f>
        <v>0</v>
      </c>
      <c r="BD74">
        <f>'mk 001 10.3'!BD75</f>
        <v>1</v>
      </c>
      <c r="BE74">
        <f>'mk 001 10.3'!BE75</f>
        <v>0</v>
      </c>
      <c r="BF74">
        <f>'mk 001 10.3'!BF75</f>
        <v>0</v>
      </c>
      <c r="BG74">
        <f>'mk 001 10.3'!BG75</f>
        <v>1333314600</v>
      </c>
      <c r="BH74" t="str">
        <f>'mk 001 10.3'!BH75</f>
        <v>G</v>
      </c>
      <c r="BI74">
        <f>'mk 001 10.3'!BI75</f>
        <v>3</v>
      </c>
      <c r="BJ74">
        <f>'mk 001 10.3'!BJ75</f>
        <v>3</v>
      </c>
      <c r="BK74">
        <f>'mk 001 10.3'!BK75</f>
        <v>1300</v>
      </c>
      <c r="BL74" t="str">
        <f>'mk 001 10.3'!BL75</f>
        <v>SYSBATCH</v>
      </c>
      <c r="BM74">
        <f>'mk 001 10.3'!BM75</f>
        <v>0</v>
      </c>
      <c r="BN74">
        <f>'mk 001 10.3'!BN75</f>
        <v>0</v>
      </c>
    </row>
    <row r="75" spans="1:66" x14ac:dyDescent="0.35">
      <c r="A75">
        <f>'mk 001 10.3'!A76</f>
        <v>0</v>
      </c>
      <c r="B75">
        <f>'mk 001 10.3'!B76</f>
        <v>0</v>
      </c>
      <c r="C75" s="1" t="str">
        <f>'mk 001 10.3'!C76</f>
        <v>14/5/2569</v>
      </c>
      <c r="D75" s="1" t="str">
        <f>'mk 001 10.3'!D76</f>
        <v>14/5/2569</v>
      </c>
      <c r="E75">
        <f>'mk 001 10.3'!E76</f>
        <v>0</v>
      </c>
      <c r="F75" t="str">
        <f>'mk 001 10.3'!F76</f>
        <v>489M</v>
      </c>
      <c r="G75" t="str">
        <f>'mk 001 10.3'!G76</f>
        <v>Modern Trade (Makro)</v>
      </c>
      <c r="H75">
        <f>'mk 001 10.3'!H76</f>
        <v>0</v>
      </c>
      <c r="I75" t="str">
        <f>'mk 001 10.3'!I76</f>
        <v>หน่วยงานกลาง</v>
      </c>
      <c r="J75" t="str">
        <f>'mk 001 10.3'!J76</f>
        <v>F213  DMCW-รชล-พระพุทธบาท</v>
      </c>
      <c r="K75" t="str">
        <f>'mk 001 10.3'!K76</f>
        <v>00000  หน่วยงานกลาง</v>
      </c>
      <c r="L75">
        <f>'mk 001 10.3'!L76</f>
        <v>923</v>
      </c>
      <c r="M75">
        <f>'mk 001 10.3'!M76</f>
        <v>0</v>
      </c>
      <c r="N75" t="str">
        <f>'mk 001 10.3'!N76</f>
        <v>1A53010800</v>
      </c>
      <c r="O75" t="str">
        <f>'mk 001 10.3'!O76</f>
        <v>บมจ. ซีพี แอ็กซ์ตร้า สาขาสิงห์บุรี</v>
      </c>
      <c r="P75">
        <f>'mk 001 10.3'!P76</f>
        <v>2</v>
      </c>
      <c r="Q75" t="str">
        <f>'mk 001 10.3'!Q76</f>
        <v>MAKRO 0114 สิงห์บุรี</v>
      </c>
      <c r="R75" s="1">
        <f>'mk 001 10.3'!R76</f>
        <v>244658</v>
      </c>
      <c r="S75" s="1" t="str">
        <f>'mk 001 10.3'!S76</f>
        <v>14/5/2569</v>
      </c>
      <c r="T75" t="str">
        <f>'mk 001 10.3'!T76</f>
        <v>H6954RMA0059110</v>
      </c>
      <c r="U75">
        <f>'mk 001 10.3'!U76</f>
        <v>23110593</v>
      </c>
      <c r="V75" t="str">
        <f>'mk 001 10.3'!V76</f>
        <v>สันนอกหมูสดสไลซ์ แพ็คถาด 1 กก.</v>
      </c>
      <c r="W75">
        <f>'mk 001 10.3'!W76</f>
        <v>4</v>
      </c>
      <c r="X75">
        <f>'mk 001 10.3'!X76</f>
        <v>4</v>
      </c>
      <c r="Y75">
        <f t="shared" si="1"/>
        <v>4</v>
      </c>
      <c r="Z75" s="13">
        <f>IF(COUNTIFS(แปลงข้อมูล!H:H,Q75,แปลงข้อมูล!I:I,U75,แปลงข้อมูล!J:J,V75)&gt;0,SUMIFS(แปลงข้อมูล!Q:Q,แปลงข้อมูล!I:I,U75,แปลงข้อมูล!H:H,Q75,แปลงข้อมูล!J:J,V75),'mk 001 10.3'!Z76)</f>
        <v>4</v>
      </c>
      <c r="AA75">
        <f>'mk 001 10.3'!AA76</f>
        <v>0</v>
      </c>
      <c r="AB75">
        <f>'mk 001 10.3'!AB76</f>
        <v>0</v>
      </c>
      <c r="AC75">
        <f>'mk 001 10.3'!AC76</f>
        <v>0</v>
      </c>
      <c r="AD75">
        <f>'mk 001 10.3'!AD76</f>
        <v>0</v>
      </c>
      <c r="AE75">
        <f>'mk 001 10.3'!AE76</f>
        <v>4</v>
      </c>
      <c r="AF75">
        <f>'mk 001 10.3'!AF76</f>
        <v>4</v>
      </c>
      <c r="AG75">
        <f>'mk 001 10.3'!AG76</f>
        <v>0</v>
      </c>
      <c r="AH75">
        <f>'mk 001 10.3'!AH76</f>
        <v>0</v>
      </c>
      <c r="AI75" t="str">
        <f>'mk 001 10.3'!AI76</f>
        <v>OPRCD489MOPRCD00000OPRCDF213OPRCD00000OPRCD923</v>
      </c>
      <c r="AJ75" t="str">
        <f>'mk 001 10.3'!AJ76</f>
        <v>ซื้อ / ขาย</v>
      </c>
      <c r="AK75" t="str">
        <f>'mk 001 10.3'!AK76</f>
        <v>Main proudct</v>
      </c>
      <c r="AL75" t="str">
        <f>'mk 001 10.3'!AL76</f>
        <v>Seal Pack</v>
      </c>
      <c r="AM75" t="str">
        <f>'mk 001 10.3'!AM76</f>
        <v>สุกร</v>
      </c>
      <c r="AN75" t="str">
        <f>'mk 001 10.3'!AN76</f>
        <v>OT002 CC-Makro</v>
      </c>
      <c r="AO75" t="str">
        <f>'mk 001 10.3'!AO76</f>
        <v>MT</v>
      </c>
      <c r="AP75">
        <f>'mk 001 10.3'!AP76</f>
        <v>2</v>
      </c>
      <c r="AQ75">
        <f>'mk 001 10.3'!AQ76</f>
        <v>0</v>
      </c>
      <c r="AR75">
        <f>'mk 001 10.3'!AR76</f>
        <v>0</v>
      </c>
      <c r="AS75">
        <f>'mk 001 10.3'!AS76</f>
        <v>0</v>
      </c>
      <c r="AT75" t="str">
        <f>'mk 001 10.3'!AT76</f>
        <v>System Batch</v>
      </c>
      <c r="AU75" t="str">
        <f>'mk 001 10.3'!AU76</f>
        <v>2026-05-11-12.40.50.000000</v>
      </c>
      <c r="AV75" t="str">
        <f>'mk 001 10.3'!AV76</f>
        <v>แพ็ค</v>
      </c>
      <c r="AW75" t="str">
        <f>'mk 001 10.3'!AW76</f>
        <v>ก.ก.</v>
      </c>
      <c r="AX75" t="str">
        <f>'mk 001 10.3'!AX76</f>
        <v xml:space="preserve"> </v>
      </c>
      <c r="AY75">
        <f>'mk 001 10.3'!AY76</f>
        <v>0</v>
      </c>
      <c r="AZ75" t="str">
        <f>'mk 001 10.3'!AZ76</f>
        <v>N</v>
      </c>
      <c r="BA75" s="22">
        <f>'mk 001 10.3'!BA76</f>
        <v>9045089536574</v>
      </c>
      <c r="BB75">
        <f>'mk 001 10.3'!BB76</f>
        <v>0</v>
      </c>
      <c r="BC75">
        <f>'mk 001 10.3'!BC76</f>
        <v>0</v>
      </c>
      <c r="BD75">
        <f>'mk 001 10.3'!BD76</f>
        <v>1</v>
      </c>
      <c r="BE75">
        <f>'mk 001 10.3'!BE76</f>
        <v>0</v>
      </c>
      <c r="BF75">
        <f>'mk 001 10.3'!BF76</f>
        <v>0</v>
      </c>
      <c r="BG75">
        <f>'mk 001 10.3'!BG76</f>
        <v>1333314600</v>
      </c>
      <c r="BH75" t="str">
        <f>'mk 001 10.3'!BH76</f>
        <v>G</v>
      </c>
      <c r="BI75">
        <f>'mk 001 10.3'!BI76</f>
        <v>4</v>
      </c>
      <c r="BJ75">
        <f>'mk 001 10.3'!BJ76</f>
        <v>4</v>
      </c>
      <c r="BK75">
        <f>'mk 001 10.3'!BK76</f>
        <v>1300</v>
      </c>
      <c r="BL75" t="str">
        <f>'mk 001 10.3'!BL76</f>
        <v>SYSBATCH</v>
      </c>
      <c r="BM75">
        <f>'mk 001 10.3'!BM76</f>
        <v>0</v>
      </c>
      <c r="BN75">
        <f>'mk 001 10.3'!BN76</f>
        <v>0</v>
      </c>
    </row>
    <row r="76" spans="1:66" x14ac:dyDescent="0.35">
      <c r="A76">
        <f>'mk 001 10.3'!A77</f>
        <v>0</v>
      </c>
      <c r="B76">
        <f>'mk 001 10.3'!B77</f>
        <v>0</v>
      </c>
      <c r="C76" s="1" t="str">
        <f>'mk 001 10.3'!C77</f>
        <v>14/5/2569</v>
      </c>
      <c r="D76" s="1" t="str">
        <f>'mk 001 10.3'!D77</f>
        <v>14/5/2569</v>
      </c>
      <c r="E76">
        <f>'mk 001 10.3'!E77</f>
        <v>0</v>
      </c>
      <c r="F76" t="str">
        <f>'mk 001 10.3'!F77</f>
        <v>489M</v>
      </c>
      <c r="G76" t="str">
        <f>'mk 001 10.3'!G77</f>
        <v>Modern Trade (Makro)</v>
      </c>
      <c r="H76">
        <f>'mk 001 10.3'!H77</f>
        <v>0</v>
      </c>
      <c r="I76" t="str">
        <f>'mk 001 10.3'!I77</f>
        <v>หน่วยงานกลาง</v>
      </c>
      <c r="J76" t="str">
        <f>'mk 001 10.3'!J77</f>
        <v>F213  DMCW-รชล-พระพุทธบาท</v>
      </c>
      <c r="K76" t="str">
        <f>'mk 001 10.3'!K77</f>
        <v>00000  หน่วยงานกลาง</v>
      </c>
      <c r="L76">
        <f>'mk 001 10.3'!L77</f>
        <v>923</v>
      </c>
      <c r="M76">
        <f>'mk 001 10.3'!M77</f>
        <v>0</v>
      </c>
      <c r="N76" t="str">
        <f>'mk 001 10.3'!N77</f>
        <v>1A53010800</v>
      </c>
      <c r="O76" t="str">
        <f>'mk 001 10.3'!O77</f>
        <v>บมจ. ซีพี แอ็กซ์ตร้า สาขาสิงห์บุรี</v>
      </c>
      <c r="P76">
        <f>'mk 001 10.3'!P77</f>
        <v>2</v>
      </c>
      <c r="Q76" t="str">
        <f>'mk 001 10.3'!Q77</f>
        <v>MAKRO 0114 สิงห์บุรี</v>
      </c>
      <c r="R76" s="1">
        <f>'mk 001 10.3'!R77</f>
        <v>244658</v>
      </c>
      <c r="S76" s="1" t="str">
        <f>'mk 001 10.3'!S77</f>
        <v>14/5/2569</v>
      </c>
      <c r="T76" t="str">
        <f>'mk 001 10.3'!T77</f>
        <v>H6954RMA0059110</v>
      </c>
      <c r="U76">
        <f>'mk 001 10.3'!U77</f>
        <v>23110584</v>
      </c>
      <c r="V76" t="str">
        <f>'mk 001 10.3'!V77</f>
        <v>หมูบด ผสมมัน 30% แพ็คถาด 1 กก.</v>
      </c>
      <c r="W76">
        <f>'mk 001 10.3'!W77</f>
        <v>4</v>
      </c>
      <c r="X76">
        <f>'mk 001 10.3'!X77</f>
        <v>4</v>
      </c>
      <c r="Y76">
        <f t="shared" si="1"/>
        <v>4</v>
      </c>
      <c r="Z76" s="13">
        <f>IF(COUNTIFS(แปลงข้อมูล!H:H,Q76,แปลงข้อมูล!I:I,U76,แปลงข้อมูล!J:J,V76)&gt;0,SUMIFS(แปลงข้อมูล!Q:Q,แปลงข้อมูล!I:I,U76,แปลงข้อมูล!H:H,Q76,แปลงข้อมูล!J:J,V76),'mk 001 10.3'!Z77)</f>
        <v>4</v>
      </c>
      <c r="AA76">
        <f>'mk 001 10.3'!AA77</f>
        <v>0</v>
      </c>
      <c r="AB76">
        <f>'mk 001 10.3'!AB77</f>
        <v>0</v>
      </c>
      <c r="AC76">
        <f>'mk 001 10.3'!AC77</f>
        <v>0</v>
      </c>
      <c r="AD76">
        <f>'mk 001 10.3'!AD77</f>
        <v>0</v>
      </c>
      <c r="AE76">
        <f>'mk 001 10.3'!AE77</f>
        <v>4</v>
      </c>
      <c r="AF76">
        <f>'mk 001 10.3'!AF77</f>
        <v>4</v>
      </c>
      <c r="AG76">
        <f>'mk 001 10.3'!AG77</f>
        <v>0</v>
      </c>
      <c r="AH76">
        <f>'mk 001 10.3'!AH77</f>
        <v>0</v>
      </c>
      <c r="AI76" t="str">
        <f>'mk 001 10.3'!AI77</f>
        <v>OPRCD489MOPRCD00000OPRCDF213OPRCD00000OPRCD923</v>
      </c>
      <c r="AJ76" t="str">
        <f>'mk 001 10.3'!AJ77</f>
        <v>ซื้อ / ขาย</v>
      </c>
      <c r="AK76" t="str">
        <f>'mk 001 10.3'!AK77</f>
        <v>Main proudct</v>
      </c>
      <c r="AL76" t="str">
        <f>'mk 001 10.3'!AL77</f>
        <v>Seal Pack</v>
      </c>
      <c r="AM76" t="str">
        <f>'mk 001 10.3'!AM77</f>
        <v>สุกร</v>
      </c>
      <c r="AN76" t="str">
        <f>'mk 001 10.3'!AN77</f>
        <v>OT002 CC-Makro</v>
      </c>
      <c r="AO76" t="str">
        <f>'mk 001 10.3'!AO77</f>
        <v>MT</v>
      </c>
      <c r="AP76">
        <f>'mk 001 10.3'!AP77</f>
        <v>2</v>
      </c>
      <c r="AQ76">
        <f>'mk 001 10.3'!AQ77</f>
        <v>0</v>
      </c>
      <c r="AR76">
        <f>'mk 001 10.3'!AR77</f>
        <v>0</v>
      </c>
      <c r="AS76">
        <f>'mk 001 10.3'!AS77</f>
        <v>0</v>
      </c>
      <c r="AT76" t="str">
        <f>'mk 001 10.3'!AT77</f>
        <v>System Batch</v>
      </c>
      <c r="AU76" t="str">
        <f>'mk 001 10.3'!AU77</f>
        <v>2026-05-11-12.40.50.000000</v>
      </c>
      <c r="AV76" t="str">
        <f>'mk 001 10.3'!AV77</f>
        <v>แพ็ค</v>
      </c>
      <c r="AW76" t="str">
        <f>'mk 001 10.3'!AW77</f>
        <v>ก.ก.</v>
      </c>
      <c r="AX76" t="str">
        <f>'mk 001 10.3'!AX77</f>
        <v xml:space="preserve"> </v>
      </c>
      <c r="AY76">
        <f>'mk 001 10.3'!AY77</f>
        <v>0</v>
      </c>
      <c r="AZ76" t="str">
        <f>'mk 001 10.3'!AZ77</f>
        <v>N</v>
      </c>
      <c r="BA76" s="22">
        <f>'mk 001 10.3'!BA77</f>
        <v>9045089536574</v>
      </c>
      <c r="BB76">
        <f>'mk 001 10.3'!BB77</f>
        <v>0</v>
      </c>
      <c r="BC76">
        <f>'mk 001 10.3'!BC77</f>
        <v>0</v>
      </c>
      <c r="BD76">
        <f>'mk 001 10.3'!BD77</f>
        <v>1</v>
      </c>
      <c r="BE76">
        <f>'mk 001 10.3'!BE77</f>
        <v>0</v>
      </c>
      <c r="BF76">
        <f>'mk 001 10.3'!BF77</f>
        <v>0</v>
      </c>
      <c r="BG76">
        <f>'mk 001 10.3'!BG77</f>
        <v>1333314600</v>
      </c>
      <c r="BH76" t="str">
        <f>'mk 001 10.3'!BH77</f>
        <v>G</v>
      </c>
      <c r="BI76">
        <f>'mk 001 10.3'!BI77</f>
        <v>4</v>
      </c>
      <c r="BJ76">
        <f>'mk 001 10.3'!BJ77</f>
        <v>4</v>
      </c>
      <c r="BK76">
        <f>'mk 001 10.3'!BK77</f>
        <v>1300</v>
      </c>
      <c r="BL76" t="str">
        <f>'mk 001 10.3'!BL77</f>
        <v>SYSBATCH</v>
      </c>
      <c r="BM76">
        <f>'mk 001 10.3'!BM77</f>
        <v>0</v>
      </c>
      <c r="BN76">
        <f>'mk 001 10.3'!BN77</f>
        <v>0</v>
      </c>
    </row>
    <row r="77" spans="1:66" x14ac:dyDescent="0.35">
      <c r="A77">
        <f>'mk 001 10.3'!A78</f>
        <v>0</v>
      </c>
      <c r="B77">
        <f>'mk 001 10.3'!B78</f>
        <v>0</v>
      </c>
      <c r="C77" s="1" t="str">
        <f>'mk 001 10.3'!C78</f>
        <v>14/5/2569</v>
      </c>
      <c r="D77" s="1" t="str">
        <f>'mk 001 10.3'!D78</f>
        <v>14/5/2569</v>
      </c>
      <c r="E77">
        <f>'mk 001 10.3'!E78</f>
        <v>0</v>
      </c>
      <c r="F77" t="str">
        <f>'mk 001 10.3'!F78</f>
        <v>489M</v>
      </c>
      <c r="G77" t="str">
        <f>'mk 001 10.3'!G78</f>
        <v>Modern Trade (Makro)</v>
      </c>
      <c r="H77">
        <f>'mk 001 10.3'!H78</f>
        <v>0</v>
      </c>
      <c r="I77" t="str">
        <f>'mk 001 10.3'!I78</f>
        <v>หน่วยงานกลาง</v>
      </c>
      <c r="J77" t="str">
        <f>'mk 001 10.3'!J78</f>
        <v>F213  DMCW-รชล-พระพุทธบาท</v>
      </c>
      <c r="K77" t="str">
        <f>'mk 001 10.3'!K78</f>
        <v>00000  หน่วยงานกลาง</v>
      </c>
      <c r="L77">
        <f>'mk 001 10.3'!L78</f>
        <v>923</v>
      </c>
      <c r="M77">
        <f>'mk 001 10.3'!M78</f>
        <v>0</v>
      </c>
      <c r="N77" t="str">
        <f>'mk 001 10.3'!N78</f>
        <v>1A53010800</v>
      </c>
      <c r="O77" t="str">
        <f>'mk 001 10.3'!O78</f>
        <v>บมจ. ซีพี แอ็กซ์ตร้า สาขาสิงห์บุรี</v>
      </c>
      <c r="P77">
        <f>'mk 001 10.3'!P78</f>
        <v>2</v>
      </c>
      <c r="Q77" t="str">
        <f>'mk 001 10.3'!Q78</f>
        <v>MAKRO 0114 สิงห์บุรี</v>
      </c>
      <c r="R77" s="1">
        <f>'mk 001 10.3'!R78</f>
        <v>244658</v>
      </c>
      <c r="S77" s="1" t="str">
        <f>'mk 001 10.3'!S78</f>
        <v>14/5/2569</v>
      </c>
      <c r="T77" t="str">
        <f>'mk 001 10.3'!T78</f>
        <v>H6954RMA0059110</v>
      </c>
      <c r="U77">
        <f>'mk 001 10.3'!U78</f>
        <v>23111035</v>
      </c>
      <c r="V77" t="str">
        <f>'mk 001 10.3'!V78</f>
        <v>สันนอกหมูสดสไลซ์ แพ็คถาด 500 กรัม</v>
      </c>
      <c r="W77">
        <f>'mk 001 10.3'!W78</f>
        <v>8</v>
      </c>
      <c r="X77">
        <f>'mk 001 10.3'!X78</f>
        <v>4</v>
      </c>
      <c r="Y77">
        <f t="shared" si="1"/>
        <v>8</v>
      </c>
      <c r="Z77" s="13">
        <f>IF(COUNTIFS(แปลงข้อมูล!H:H,Q77,แปลงข้อมูล!I:I,U77,แปลงข้อมูล!J:J,V77)&gt;0,SUMIFS(แปลงข้อมูล!Q:Q,แปลงข้อมูล!I:I,U77,แปลงข้อมูล!H:H,Q77,แปลงข้อมูล!J:J,V77),'mk 001 10.3'!Z78)</f>
        <v>4</v>
      </c>
      <c r="AA77">
        <f>'mk 001 10.3'!AA78</f>
        <v>0</v>
      </c>
      <c r="AB77">
        <f>'mk 001 10.3'!AB78</f>
        <v>0</v>
      </c>
      <c r="AC77">
        <f>'mk 001 10.3'!AC78</f>
        <v>0</v>
      </c>
      <c r="AD77">
        <f>'mk 001 10.3'!AD78</f>
        <v>0</v>
      </c>
      <c r="AE77">
        <f>'mk 001 10.3'!AE78</f>
        <v>8</v>
      </c>
      <c r="AF77">
        <f>'mk 001 10.3'!AF78</f>
        <v>4</v>
      </c>
      <c r="AG77">
        <f>'mk 001 10.3'!AG78</f>
        <v>0</v>
      </c>
      <c r="AH77">
        <f>'mk 001 10.3'!AH78</f>
        <v>0</v>
      </c>
      <c r="AI77" t="str">
        <f>'mk 001 10.3'!AI78</f>
        <v>OPRCD489MOPRCD00000OPRCDF213OPRCD00000OPRCD923</v>
      </c>
      <c r="AJ77" t="str">
        <f>'mk 001 10.3'!AJ78</f>
        <v>ซื้อ / ขาย</v>
      </c>
      <c r="AK77" t="str">
        <f>'mk 001 10.3'!AK78</f>
        <v>Main proudct</v>
      </c>
      <c r="AL77" t="str">
        <f>'mk 001 10.3'!AL78</f>
        <v>Seal Pack</v>
      </c>
      <c r="AM77" t="str">
        <f>'mk 001 10.3'!AM78</f>
        <v>สุกร</v>
      </c>
      <c r="AN77" t="str">
        <f>'mk 001 10.3'!AN78</f>
        <v>OT002 CC-Makro</v>
      </c>
      <c r="AO77" t="str">
        <f>'mk 001 10.3'!AO78</f>
        <v>MT</v>
      </c>
      <c r="AP77">
        <f>'mk 001 10.3'!AP78</f>
        <v>2</v>
      </c>
      <c r="AQ77">
        <f>'mk 001 10.3'!AQ78</f>
        <v>0</v>
      </c>
      <c r="AR77">
        <f>'mk 001 10.3'!AR78</f>
        <v>0</v>
      </c>
      <c r="AS77">
        <f>'mk 001 10.3'!AS78</f>
        <v>0</v>
      </c>
      <c r="AT77" t="str">
        <f>'mk 001 10.3'!AT78</f>
        <v>System Batch</v>
      </c>
      <c r="AU77" t="str">
        <f>'mk 001 10.3'!AU78</f>
        <v>2026-05-11-12.40.50.000000</v>
      </c>
      <c r="AV77" t="str">
        <f>'mk 001 10.3'!AV78</f>
        <v>แพ็ค</v>
      </c>
      <c r="AW77" t="str">
        <f>'mk 001 10.3'!AW78</f>
        <v>ก.ก.</v>
      </c>
      <c r="AX77" t="str">
        <f>'mk 001 10.3'!AX78</f>
        <v xml:space="preserve"> </v>
      </c>
      <c r="AY77">
        <f>'mk 001 10.3'!AY78</f>
        <v>0</v>
      </c>
      <c r="AZ77" t="str">
        <f>'mk 001 10.3'!AZ78</f>
        <v>N</v>
      </c>
      <c r="BA77" s="22">
        <f>'mk 001 10.3'!BA78</f>
        <v>9045089536574</v>
      </c>
      <c r="BB77">
        <f>'mk 001 10.3'!BB78</f>
        <v>0</v>
      </c>
      <c r="BC77">
        <f>'mk 001 10.3'!BC78</f>
        <v>0</v>
      </c>
      <c r="BD77">
        <f>'mk 001 10.3'!BD78</f>
        <v>1</v>
      </c>
      <c r="BE77">
        <f>'mk 001 10.3'!BE78</f>
        <v>0</v>
      </c>
      <c r="BF77">
        <f>'mk 001 10.3'!BF78</f>
        <v>0</v>
      </c>
      <c r="BG77">
        <f>'mk 001 10.3'!BG78</f>
        <v>1333314600</v>
      </c>
      <c r="BH77" t="str">
        <f>'mk 001 10.3'!BH78</f>
        <v>G</v>
      </c>
      <c r="BI77">
        <f>'mk 001 10.3'!BI78</f>
        <v>8</v>
      </c>
      <c r="BJ77">
        <f>'mk 001 10.3'!BJ78</f>
        <v>4</v>
      </c>
      <c r="BK77">
        <f>'mk 001 10.3'!BK78</f>
        <v>1300</v>
      </c>
      <c r="BL77" t="str">
        <f>'mk 001 10.3'!BL78</f>
        <v>SYSBATCH</v>
      </c>
      <c r="BM77">
        <f>'mk 001 10.3'!BM78</f>
        <v>0</v>
      </c>
      <c r="BN77">
        <f>'mk 001 10.3'!BN78</f>
        <v>0</v>
      </c>
    </row>
    <row r="78" spans="1:66" x14ac:dyDescent="0.35">
      <c r="A78">
        <f>'mk 001 10.3'!A79</f>
        <v>0</v>
      </c>
      <c r="B78">
        <f>'mk 001 10.3'!B79</f>
        <v>0</v>
      </c>
      <c r="C78" s="1" t="str">
        <f>'mk 001 10.3'!C79</f>
        <v>14/5/2569</v>
      </c>
      <c r="D78" s="1" t="str">
        <f>'mk 001 10.3'!D79</f>
        <v>14/5/2569</v>
      </c>
      <c r="E78">
        <f>'mk 001 10.3'!E79</f>
        <v>0</v>
      </c>
      <c r="F78" t="str">
        <f>'mk 001 10.3'!F79</f>
        <v>489M</v>
      </c>
      <c r="G78" t="str">
        <f>'mk 001 10.3'!G79</f>
        <v>Modern Trade (Makro)</v>
      </c>
      <c r="H78">
        <f>'mk 001 10.3'!H79</f>
        <v>0</v>
      </c>
      <c r="I78" t="str">
        <f>'mk 001 10.3'!I79</f>
        <v>หน่วยงานกลาง</v>
      </c>
      <c r="J78" t="str">
        <f>'mk 001 10.3'!J79</f>
        <v>F213  DMCW-รชล-พระพุทธบาท</v>
      </c>
      <c r="K78" t="str">
        <f>'mk 001 10.3'!K79</f>
        <v>00000  หน่วยงานกลาง</v>
      </c>
      <c r="L78">
        <f>'mk 001 10.3'!L79</f>
        <v>923</v>
      </c>
      <c r="M78">
        <f>'mk 001 10.3'!M79</f>
        <v>0</v>
      </c>
      <c r="N78" t="str">
        <f>'mk 001 10.3'!N79</f>
        <v>1A53010800</v>
      </c>
      <c r="O78" t="str">
        <f>'mk 001 10.3'!O79</f>
        <v>บมจ. ซีพี แอ็กซ์ตร้า สาขาสิงห์บุรี</v>
      </c>
      <c r="P78">
        <f>'mk 001 10.3'!P79</f>
        <v>2</v>
      </c>
      <c r="Q78" t="str">
        <f>'mk 001 10.3'!Q79</f>
        <v>MAKRO 0114 สิงห์บุรี</v>
      </c>
      <c r="R78" s="1">
        <f>'mk 001 10.3'!R79</f>
        <v>244658</v>
      </c>
      <c r="S78" s="1" t="str">
        <f>'mk 001 10.3'!S79</f>
        <v>14/5/2569</v>
      </c>
      <c r="T78" t="str">
        <f>'mk 001 10.3'!T79</f>
        <v>H6954RMA0059110</v>
      </c>
      <c r="U78">
        <f>'mk 001 10.3'!U79</f>
        <v>23110597</v>
      </c>
      <c r="V78" t="str">
        <f>'mk 001 10.3'!V79</f>
        <v>สามชั้นหั่นพะโล้ แพ็คถาด 1 กก.</v>
      </c>
      <c r="W78">
        <f>'mk 001 10.3'!W79</f>
        <v>4</v>
      </c>
      <c r="X78">
        <f>'mk 001 10.3'!X79</f>
        <v>4</v>
      </c>
      <c r="Y78">
        <f t="shared" si="1"/>
        <v>4</v>
      </c>
      <c r="Z78" s="13">
        <f>IF(COUNTIFS(แปลงข้อมูล!H:H,Q78,แปลงข้อมูล!I:I,U78,แปลงข้อมูล!J:J,V78)&gt;0,SUMIFS(แปลงข้อมูล!Q:Q,แปลงข้อมูล!I:I,U78,แปลงข้อมูล!H:H,Q78,แปลงข้อมูล!J:J,V78),'mk 001 10.3'!Z79)</f>
        <v>4</v>
      </c>
      <c r="AA78">
        <f>'mk 001 10.3'!AA79</f>
        <v>0</v>
      </c>
      <c r="AB78">
        <f>'mk 001 10.3'!AB79</f>
        <v>0</v>
      </c>
      <c r="AC78">
        <f>'mk 001 10.3'!AC79</f>
        <v>0</v>
      </c>
      <c r="AD78">
        <f>'mk 001 10.3'!AD79</f>
        <v>0</v>
      </c>
      <c r="AE78">
        <f>'mk 001 10.3'!AE79</f>
        <v>4</v>
      </c>
      <c r="AF78">
        <f>'mk 001 10.3'!AF79</f>
        <v>4</v>
      </c>
      <c r="AG78">
        <f>'mk 001 10.3'!AG79</f>
        <v>0</v>
      </c>
      <c r="AH78">
        <f>'mk 001 10.3'!AH79</f>
        <v>0</v>
      </c>
      <c r="AI78" t="str">
        <f>'mk 001 10.3'!AI79</f>
        <v>OPRCD489MOPRCD00000OPRCDF213OPRCD00000OPRCD923</v>
      </c>
      <c r="AJ78" t="str">
        <f>'mk 001 10.3'!AJ79</f>
        <v>ซื้อ / ขาย</v>
      </c>
      <c r="AK78" t="str">
        <f>'mk 001 10.3'!AK79</f>
        <v>Main proudct</v>
      </c>
      <c r="AL78" t="str">
        <f>'mk 001 10.3'!AL79</f>
        <v>Seal Pack</v>
      </c>
      <c r="AM78" t="str">
        <f>'mk 001 10.3'!AM79</f>
        <v>สุกร</v>
      </c>
      <c r="AN78" t="str">
        <f>'mk 001 10.3'!AN79</f>
        <v>OT002 CC-Makro</v>
      </c>
      <c r="AO78" t="str">
        <f>'mk 001 10.3'!AO79</f>
        <v>MT</v>
      </c>
      <c r="AP78">
        <f>'mk 001 10.3'!AP79</f>
        <v>2</v>
      </c>
      <c r="AQ78">
        <f>'mk 001 10.3'!AQ79</f>
        <v>0</v>
      </c>
      <c r="AR78">
        <f>'mk 001 10.3'!AR79</f>
        <v>0</v>
      </c>
      <c r="AS78">
        <f>'mk 001 10.3'!AS79</f>
        <v>0</v>
      </c>
      <c r="AT78" t="str">
        <f>'mk 001 10.3'!AT79</f>
        <v>System Batch</v>
      </c>
      <c r="AU78" t="str">
        <f>'mk 001 10.3'!AU79</f>
        <v>2026-05-11-12.40.50.000000</v>
      </c>
      <c r="AV78" t="str">
        <f>'mk 001 10.3'!AV79</f>
        <v>แพ็ค</v>
      </c>
      <c r="AW78" t="str">
        <f>'mk 001 10.3'!AW79</f>
        <v>ก.ก.</v>
      </c>
      <c r="AX78" t="str">
        <f>'mk 001 10.3'!AX79</f>
        <v xml:space="preserve"> </v>
      </c>
      <c r="AY78">
        <f>'mk 001 10.3'!AY79</f>
        <v>0</v>
      </c>
      <c r="AZ78" t="str">
        <f>'mk 001 10.3'!AZ79</f>
        <v>N</v>
      </c>
      <c r="BA78" s="22">
        <f>'mk 001 10.3'!BA79</f>
        <v>9045089536574</v>
      </c>
      <c r="BB78">
        <f>'mk 001 10.3'!BB79</f>
        <v>0</v>
      </c>
      <c r="BC78">
        <f>'mk 001 10.3'!BC79</f>
        <v>0</v>
      </c>
      <c r="BD78">
        <f>'mk 001 10.3'!BD79</f>
        <v>1</v>
      </c>
      <c r="BE78">
        <f>'mk 001 10.3'!BE79</f>
        <v>0</v>
      </c>
      <c r="BF78">
        <f>'mk 001 10.3'!BF79</f>
        <v>0</v>
      </c>
      <c r="BG78">
        <f>'mk 001 10.3'!BG79</f>
        <v>1333314600</v>
      </c>
      <c r="BH78" t="str">
        <f>'mk 001 10.3'!BH79</f>
        <v>G</v>
      </c>
      <c r="BI78">
        <f>'mk 001 10.3'!BI79</f>
        <v>4</v>
      </c>
      <c r="BJ78">
        <f>'mk 001 10.3'!BJ79</f>
        <v>4</v>
      </c>
      <c r="BK78">
        <f>'mk 001 10.3'!BK79</f>
        <v>1300</v>
      </c>
      <c r="BL78" t="str">
        <f>'mk 001 10.3'!BL79</f>
        <v>SYSBATCH</v>
      </c>
      <c r="BM78">
        <f>'mk 001 10.3'!BM79</f>
        <v>0</v>
      </c>
      <c r="BN78">
        <f>'mk 001 10.3'!BN79</f>
        <v>0</v>
      </c>
    </row>
    <row r="79" spans="1:66" x14ac:dyDescent="0.35">
      <c r="A79">
        <f>'mk 001 10.3'!A80</f>
        <v>0</v>
      </c>
      <c r="B79">
        <f>'mk 001 10.3'!B80</f>
        <v>0</v>
      </c>
      <c r="C79" s="1" t="str">
        <f>'mk 001 10.3'!C80</f>
        <v>14/5/2569</v>
      </c>
      <c r="D79" s="1" t="str">
        <f>'mk 001 10.3'!D80</f>
        <v>14/5/2569</v>
      </c>
      <c r="E79">
        <f>'mk 001 10.3'!E80</f>
        <v>0</v>
      </c>
      <c r="F79" t="str">
        <f>'mk 001 10.3'!F80</f>
        <v>489M</v>
      </c>
      <c r="G79" t="str">
        <f>'mk 001 10.3'!G80</f>
        <v>Modern Trade (Makro)</v>
      </c>
      <c r="H79">
        <f>'mk 001 10.3'!H80</f>
        <v>0</v>
      </c>
      <c r="I79" t="str">
        <f>'mk 001 10.3'!I80</f>
        <v>หน่วยงานกลาง</v>
      </c>
      <c r="J79" t="str">
        <f>'mk 001 10.3'!J80</f>
        <v>F213  DMCW-รชล-พระพุทธบาท</v>
      </c>
      <c r="K79" t="str">
        <f>'mk 001 10.3'!K80</f>
        <v>00000  หน่วยงานกลาง</v>
      </c>
      <c r="L79">
        <f>'mk 001 10.3'!L80</f>
        <v>923</v>
      </c>
      <c r="M79">
        <f>'mk 001 10.3'!M80</f>
        <v>0</v>
      </c>
      <c r="N79" t="str">
        <f>'mk 001 10.3'!N80</f>
        <v>1A53010800</v>
      </c>
      <c r="O79" t="str">
        <f>'mk 001 10.3'!O80</f>
        <v>บมจ. ซีพี แอ็กซ์ตร้า สาขาสิงห์บุรี</v>
      </c>
      <c r="P79">
        <f>'mk 001 10.3'!P80</f>
        <v>2</v>
      </c>
      <c r="Q79" t="str">
        <f>'mk 001 10.3'!Q80</f>
        <v>MAKRO 0114 สิงห์บุรี</v>
      </c>
      <c r="R79" s="1">
        <f>'mk 001 10.3'!R80</f>
        <v>244658</v>
      </c>
      <c r="S79" s="1" t="str">
        <f>'mk 001 10.3'!S80</f>
        <v>14/5/2569</v>
      </c>
      <c r="T79" t="str">
        <f>'mk 001 10.3'!T80</f>
        <v>H6954RMA0059110</v>
      </c>
      <c r="U79">
        <f>'mk 001 10.3'!U80</f>
        <v>23111038</v>
      </c>
      <c r="V79" t="str">
        <f>'mk 001 10.3'!V80</f>
        <v>สามชั้นหมูหั่นแกง แพ็คถาด 500 กรัม</v>
      </c>
      <c r="W79">
        <f>'mk 001 10.3'!W80</f>
        <v>4</v>
      </c>
      <c r="X79">
        <f>'mk 001 10.3'!X80</f>
        <v>2</v>
      </c>
      <c r="Y79">
        <f t="shared" si="1"/>
        <v>4</v>
      </c>
      <c r="Z79" s="13">
        <f>IF(COUNTIFS(แปลงข้อมูล!H:H,Q79,แปลงข้อมูล!I:I,U79,แปลงข้อมูล!J:J,V79)&gt;0,SUMIFS(แปลงข้อมูล!Q:Q,แปลงข้อมูล!I:I,U79,แปลงข้อมูล!H:H,Q79,แปลงข้อมูล!J:J,V79),'mk 001 10.3'!Z80)</f>
        <v>2</v>
      </c>
      <c r="AA79">
        <f>'mk 001 10.3'!AA80</f>
        <v>0</v>
      </c>
      <c r="AB79">
        <f>'mk 001 10.3'!AB80</f>
        <v>0</v>
      </c>
      <c r="AC79">
        <f>'mk 001 10.3'!AC80</f>
        <v>0</v>
      </c>
      <c r="AD79">
        <f>'mk 001 10.3'!AD80</f>
        <v>0</v>
      </c>
      <c r="AE79">
        <f>'mk 001 10.3'!AE80</f>
        <v>4</v>
      </c>
      <c r="AF79">
        <f>'mk 001 10.3'!AF80</f>
        <v>2</v>
      </c>
      <c r="AG79">
        <f>'mk 001 10.3'!AG80</f>
        <v>0</v>
      </c>
      <c r="AH79">
        <f>'mk 001 10.3'!AH80</f>
        <v>0</v>
      </c>
      <c r="AI79" t="str">
        <f>'mk 001 10.3'!AI80</f>
        <v>OPRCD489MOPRCD00000OPRCDF213OPRCD00000OPRCD923</v>
      </c>
      <c r="AJ79" t="str">
        <f>'mk 001 10.3'!AJ80</f>
        <v>ซื้อ / ขาย</v>
      </c>
      <c r="AK79" t="str">
        <f>'mk 001 10.3'!AK80</f>
        <v>Main proudct</v>
      </c>
      <c r="AL79" t="str">
        <f>'mk 001 10.3'!AL80</f>
        <v>Seal Pack</v>
      </c>
      <c r="AM79" t="str">
        <f>'mk 001 10.3'!AM80</f>
        <v>สุกร</v>
      </c>
      <c r="AN79" t="str">
        <f>'mk 001 10.3'!AN80</f>
        <v>OT002 CC-Makro</v>
      </c>
      <c r="AO79" t="str">
        <f>'mk 001 10.3'!AO80</f>
        <v>MT</v>
      </c>
      <c r="AP79">
        <f>'mk 001 10.3'!AP80</f>
        <v>2</v>
      </c>
      <c r="AQ79">
        <f>'mk 001 10.3'!AQ80</f>
        <v>0</v>
      </c>
      <c r="AR79">
        <f>'mk 001 10.3'!AR80</f>
        <v>0</v>
      </c>
      <c r="AS79">
        <f>'mk 001 10.3'!AS80</f>
        <v>0</v>
      </c>
      <c r="AT79" t="str">
        <f>'mk 001 10.3'!AT80</f>
        <v>System Batch</v>
      </c>
      <c r="AU79" t="str">
        <f>'mk 001 10.3'!AU80</f>
        <v>2026-05-11-12.40.50.000000</v>
      </c>
      <c r="AV79" t="str">
        <f>'mk 001 10.3'!AV80</f>
        <v>แพ็ค</v>
      </c>
      <c r="AW79" t="str">
        <f>'mk 001 10.3'!AW80</f>
        <v>ก.ก.</v>
      </c>
      <c r="AX79" t="str">
        <f>'mk 001 10.3'!AX80</f>
        <v xml:space="preserve"> </v>
      </c>
      <c r="AY79">
        <f>'mk 001 10.3'!AY80</f>
        <v>0</v>
      </c>
      <c r="AZ79" t="str">
        <f>'mk 001 10.3'!AZ80</f>
        <v>N</v>
      </c>
      <c r="BA79" s="22">
        <f>'mk 001 10.3'!BA80</f>
        <v>9045089536574</v>
      </c>
      <c r="BB79">
        <f>'mk 001 10.3'!BB80</f>
        <v>0</v>
      </c>
      <c r="BC79">
        <f>'mk 001 10.3'!BC80</f>
        <v>0</v>
      </c>
      <c r="BD79">
        <f>'mk 001 10.3'!BD80</f>
        <v>1</v>
      </c>
      <c r="BE79">
        <f>'mk 001 10.3'!BE80</f>
        <v>0</v>
      </c>
      <c r="BF79">
        <f>'mk 001 10.3'!BF80</f>
        <v>0</v>
      </c>
      <c r="BG79">
        <f>'mk 001 10.3'!BG80</f>
        <v>1333314600</v>
      </c>
      <c r="BH79" t="str">
        <f>'mk 001 10.3'!BH80</f>
        <v>G</v>
      </c>
      <c r="BI79">
        <f>'mk 001 10.3'!BI80</f>
        <v>4</v>
      </c>
      <c r="BJ79">
        <f>'mk 001 10.3'!BJ80</f>
        <v>2</v>
      </c>
      <c r="BK79">
        <f>'mk 001 10.3'!BK80</f>
        <v>1300</v>
      </c>
      <c r="BL79" t="str">
        <f>'mk 001 10.3'!BL80</f>
        <v>SYSBATCH</v>
      </c>
      <c r="BM79">
        <f>'mk 001 10.3'!BM80</f>
        <v>0</v>
      </c>
      <c r="BN79">
        <f>'mk 001 10.3'!BN80</f>
        <v>0</v>
      </c>
    </row>
    <row r="80" spans="1:66" x14ac:dyDescent="0.35">
      <c r="A80">
        <f>'mk 001 10.3'!A81</f>
        <v>0</v>
      </c>
      <c r="B80">
        <f>'mk 001 10.3'!B81</f>
        <v>0</v>
      </c>
      <c r="C80" s="1" t="str">
        <f>'mk 001 10.3'!C81</f>
        <v>14/5/2569</v>
      </c>
      <c r="D80" s="1" t="str">
        <f>'mk 001 10.3'!D81</f>
        <v>14/5/2569</v>
      </c>
      <c r="E80">
        <f>'mk 001 10.3'!E81</f>
        <v>0</v>
      </c>
      <c r="F80" t="str">
        <f>'mk 001 10.3'!F81</f>
        <v>489M</v>
      </c>
      <c r="G80" t="str">
        <f>'mk 001 10.3'!G81</f>
        <v>Modern Trade (Makro)</v>
      </c>
      <c r="H80">
        <f>'mk 001 10.3'!H81</f>
        <v>0</v>
      </c>
      <c r="I80" t="str">
        <f>'mk 001 10.3'!I81</f>
        <v>หน่วยงานกลาง</v>
      </c>
      <c r="J80" t="str">
        <f>'mk 001 10.3'!J81</f>
        <v>F213  DMCW-รชล-พระพุทธบาท</v>
      </c>
      <c r="K80" t="str">
        <f>'mk 001 10.3'!K81</f>
        <v>00000  หน่วยงานกลาง</v>
      </c>
      <c r="L80">
        <f>'mk 001 10.3'!L81</f>
        <v>923</v>
      </c>
      <c r="M80">
        <f>'mk 001 10.3'!M81</f>
        <v>0</v>
      </c>
      <c r="N80" t="str">
        <f>'mk 001 10.3'!N81</f>
        <v>1A53010800</v>
      </c>
      <c r="O80" t="str">
        <f>'mk 001 10.3'!O81</f>
        <v>บมจ. ซีพี แอ็กซ์ตร้า สาขาสิงห์บุรี</v>
      </c>
      <c r="P80">
        <f>'mk 001 10.3'!P81</f>
        <v>2</v>
      </c>
      <c r="Q80" t="str">
        <f>'mk 001 10.3'!Q81</f>
        <v>MAKRO 0114 สิงห์บุรี</v>
      </c>
      <c r="R80" s="1">
        <f>'mk 001 10.3'!R81</f>
        <v>244658</v>
      </c>
      <c r="S80" s="1" t="str">
        <f>'mk 001 10.3'!S81</f>
        <v>14/5/2569</v>
      </c>
      <c r="T80" t="str">
        <f>'mk 001 10.3'!T81</f>
        <v>H6954RMA0059110</v>
      </c>
      <c r="U80">
        <f>'mk 001 10.3'!U81</f>
        <v>23097797</v>
      </c>
      <c r="V80" t="str">
        <f>'mk 001 10.3'!V81</f>
        <v>สามชั้นหมูสไลซ์ 1 กก. (M)</v>
      </c>
      <c r="W80">
        <f>'mk 001 10.3'!W81</f>
        <v>5</v>
      </c>
      <c r="X80">
        <f>'mk 001 10.3'!X81</f>
        <v>5</v>
      </c>
      <c r="Y80">
        <f t="shared" si="1"/>
        <v>5</v>
      </c>
      <c r="Z80" s="13">
        <f>IF(COUNTIFS(แปลงข้อมูล!H:H,Q80,แปลงข้อมูล!I:I,U80,แปลงข้อมูล!J:J,V80)&gt;0,SUMIFS(แปลงข้อมูล!Q:Q,แปลงข้อมูล!I:I,U80,แปลงข้อมูล!H:H,Q80,แปลงข้อมูล!J:J,V80),'mk 001 10.3'!Z81)</f>
        <v>5</v>
      </c>
      <c r="AA80">
        <f>'mk 001 10.3'!AA81</f>
        <v>0</v>
      </c>
      <c r="AB80">
        <f>'mk 001 10.3'!AB81</f>
        <v>0</v>
      </c>
      <c r="AC80">
        <f>'mk 001 10.3'!AC81</f>
        <v>0</v>
      </c>
      <c r="AD80">
        <f>'mk 001 10.3'!AD81</f>
        <v>0</v>
      </c>
      <c r="AE80">
        <f>'mk 001 10.3'!AE81</f>
        <v>5</v>
      </c>
      <c r="AF80">
        <f>'mk 001 10.3'!AF81</f>
        <v>5</v>
      </c>
      <c r="AG80">
        <f>'mk 001 10.3'!AG81</f>
        <v>0</v>
      </c>
      <c r="AH80">
        <f>'mk 001 10.3'!AH81</f>
        <v>0</v>
      </c>
      <c r="AI80" t="str">
        <f>'mk 001 10.3'!AI81</f>
        <v>OPRCD489MOPRCD00000OPRCDF213OPRCD00000OPRCD923</v>
      </c>
      <c r="AJ80" t="str">
        <f>'mk 001 10.3'!AJ81</f>
        <v>ซื้อ / ขาย</v>
      </c>
      <c r="AK80" t="str">
        <f>'mk 001 10.3'!AK81</f>
        <v>Main proudct</v>
      </c>
      <c r="AL80" t="str">
        <f>'mk 001 10.3'!AL81</f>
        <v>Bulk Normal</v>
      </c>
      <c r="AM80" t="str">
        <f>'mk 001 10.3'!AM81</f>
        <v>สุกร</v>
      </c>
      <c r="AN80" t="str">
        <f>'mk 001 10.3'!AN81</f>
        <v>OT002 CC-Makro</v>
      </c>
      <c r="AO80" t="str">
        <f>'mk 001 10.3'!AO81</f>
        <v>MT</v>
      </c>
      <c r="AP80">
        <f>'mk 001 10.3'!AP81</f>
        <v>2</v>
      </c>
      <c r="AQ80">
        <f>'mk 001 10.3'!AQ81</f>
        <v>0</v>
      </c>
      <c r="AR80">
        <f>'mk 001 10.3'!AR81</f>
        <v>0</v>
      </c>
      <c r="AS80">
        <f>'mk 001 10.3'!AS81</f>
        <v>0</v>
      </c>
      <c r="AT80" t="str">
        <f>'mk 001 10.3'!AT81</f>
        <v>System Batch</v>
      </c>
      <c r="AU80" t="str">
        <f>'mk 001 10.3'!AU81</f>
        <v>2026-05-11-12.40.50.000000</v>
      </c>
      <c r="AV80" t="str">
        <f>'mk 001 10.3'!AV81</f>
        <v>แพ็ค</v>
      </c>
      <c r="AW80" t="str">
        <f>'mk 001 10.3'!AW81</f>
        <v>ก.ก.</v>
      </c>
      <c r="AX80" t="str">
        <f>'mk 001 10.3'!AX81</f>
        <v xml:space="preserve"> </v>
      </c>
      <c r="AY80">
        <f>'mk 001 10.3'!AY81</f>
        <v>0</v>
      </c>
      <c r="AZ80" t="str">
        <f>'mk 001 10.3'!AZ81</f>
        <v>N</v>
      </c>
      <c r="BA80" s="22">
        <f>'mk 001 10.3'!BA81</f>
        <v>9045089536574</v>
      </c>
      <c r="BB80">
        <f>'mk 001 10.3'!BB81</f>
        <v>0</v>
      </c>
      <c r="BC80">
        <f>'mk 001 10.3'!BC81</f>
        <v>0</v>
      </c>
      <c r="BD80">
        <f>'mk 001 10.3'!BD81</f>
        <v>1</v>
      </c>
      <c r="BE80">
        <f>'mk 001 10.3'!BE81</f>
        <v>0</v>
      </c>
      <c r="BF80">
        <f>'mk 001 10.3'!BF81</f>
        <v>0</v>
      </c>
      <c r="BG80">
        <f>'mk 001 10.3'!BG81</f>
        <v>1333314600</v>
      </c>
      <c r="BH80" t="str">
        <f>'mk 001 10.3'!BH81</f>
        <v>G</v>
      </c>
      <c r="BI80">
        <f>'mk 001 10.3'!BI81</f>
        <v>5</v>
      </c>
      <c r="BJ80">
        <f>'mk 001 10.3'!BJ81</f>
        <v>5</v>
      </c>
      <c r="BK80">
        <f>'mk 001 10.3'!BK81</f>
        <v>1300</v>
      </c>
      <c r="BL80" t="str">
        <f>'mk 001 10.3'!BL81</f>
        <v>SYSBATCH</v>
      </c>
      <c r="BM80">
        <f>'mk 001 10.3'!BM81</f>
        <v>0</v>
      </c>
      <c r="BN80">
        <f>'mk 001 10.3'!BN81</f>
        <v>0</v>
      </c>
    </row>
    <row r="81" spans="1:66" x14ac:dyDescent="0.35">
      <c r="A81">
        <f>'mk 001 10.3'!A82</f>
        <v>0</v>
      </c>
      <c r="B81">
        <f>'mk 001 10.3'!B82</f>
        <v>0</v>
      </c>
      <c r="C81" s="1" t="str">
        <f>'mk 001 10.3'!C82</f>
        <v>14/5/2569</v>
      </c>
      <c r="D81" s="1" t="str">
        <f>'mk 001 10.3'!D82</f>
        <v>14/5/2569</v>
      </c>
      <c r="E81">
        <f>'mk 001 10.3'!E82</f>
        <v>0</v>
      </c>
      <c r="F81" t="str">
        <f>'mk 001 10.3'!F82</f>
        <v>489M</v>
      </c>
      <c r="G81" t="str">
        <f>'mk 001 10.3'!G82</f>
        <v>Modern Trade (Makro)</v>
      </c>
      <c r="H81">
        <f>'mk 001 10.3'!H82</f>
        <v>0</v>
      </c>
      <c r="I81" t="str">
        <f>'mk 001 10.3'!I82</f>
        <v>หน่วยงานกลาง</v>
      </c>
      <c r="J81" t="str">
        <f>'mk 001 10.3'!J82</f>
        <v>F213  DMCW-รชล-พระพุทธบาท</v>
      </c>
      <c r="K81" t="str">
        <f>'mk 001 10.3'!K82</f>
        <v>00000  หน่วยงานกลาง</v>
      </c>
      <c r="L81">
        <f>'mk 001 10.3'!L82</f>
        <v>923</v>
      </c>
      <c r="M81">
        <f>'mk 001 10.3'!M82</f>
        <v>0</v>
      </c>
      <c r="N81" t="str">
        <f>'mk 001 10.3'!N82</f>
        <v>1A53010800</v>
      </c>
      <c r="O81" t="str">
        <f>'mk 001 10.3'!O82</f>
        <v>บมจ. ซีพี แอ็กซ์ตร้า สาขาสิงห์บุรี</v>
      </c>
      <c r="P81">
        <f>'mk 001 10.3'!P82</f>
        <v>2</v>
      </c>
      <c r="Q81" t="str">
        <f>'mk 001 10.3'!Q82</f>
        <v>MAKRO 0114 สิงห์บุรี</v>
      </c>
      <c r="R81" s="1">
        <f>'mk 001 10.3'!R82</f>
        <v>244658</v>
      </c>
      <c r="S81" s="1" t="str">
        <f>'mk 001 10.3'!S82</f>
        <v>14/5/2569</v>
      </c>
      <c r="T81" t="str">
        <f>'mk 001 10.3'!T82</f>
        <v>H6954RMA0059110</v>
      </c>
      <c r="U81">
        <f>'mk 001 10.3'!U82</f>
        <v>23111030</v>
      </c>
      <c r="V81" t="str">
        <f>'mk 001 10.3'!V82</f>
        <v>สะโพกหมูหั่นแดดเดียวแพ็คถาด 500 กรัม</v>
      </c>
      <c r="W81">
        <f>'mk 001 10.3'!W82</f>
        <v>4</v>
      </c>
      <c r="X81">
        <f>'mk 001 10.3'!X82</f>
        <v>2</v>
      </c>
      <c r="Y81">
        <f t="shared" si="1"/>
        <v>4</v>
      </c>
      <c r="Z81" s="13">
        <f>IF(COUNTIFS(แปลงข้อมูล!H:H,Q81,แปลงข้อมูล!I:I,U81,แปลงข้อมูล!J:J,V81)&gt;0,SUMIFS(แปลงข้อมูล!Q:Q,แปลงข้อมูล!I:I,U81,แปลงข้อมูล!H:H,Q81,แปลงข้อมูล!J:J,V81),'mk 001 10.3'!Z82)</f>
        <v>2</v>
      </c>
      <c r="AA81">
        <f>'mk 001 10.3'!AA82</f>
        <v>0</v>
      </c>
      <c r="AB81">
        <f>'mk 001 10.3'!AB82</f>
        <v>0</v>
      </c>
      <c r="AC81">
        <f>'mk 001 10.3'!AC82</f>
        <v>0</v>
      </c>
      <c r="AD81">
        <f>'mk 001 10.3'!AD82</f>
        <v>0</v>
      </c>
      <c r="AE81">
        <f>'mk 001 10.3'!AE82</f>
        <v>4</v>
      </c>
      <c r="AF81">
        <f>'mk 001 10.3'!AF82</f>
        <v>2</v>
      </c>
      <c r="AG81">
        <f>'mk 001 10.3'!AG82</f>
        <v>0</v>
      </c>
      <c r="AH81">
        <f>'mk 001 10.3'!AH82</f>
        <v>0</v>
      </c>
      <c r="AI81" t="str">
        <f>'mk 001 10.3'!AI82</f>
        <v>OPRCD489MOPRCD00000OPRCDF213OPRCD00000OPRCD923</v>
      </c>
      <c r="AJ81" t="str">
        <f>'mk 001 10.3'!AJ82</f>
        <v>ซื้อ / ขาย</v>
      </c>
      <c r="AK81" t="str">
        <f>'mk 001 10.3'!AK82</f>
        <v>Main proudct</v>
      </c>
      <c r="AL81" t="str">
        <f>'mk 001 10.3'!AL82</f>
        <v>Seal Pack</v>
      </c>
      <c r="AM81" t="str">
        <f>'mk 001 10.3'!AM82</f>
        <v>สุกร</v>
      </c>
      <c r="AN81" t="str">
        <f>'mk 001 10.3'!AN82</f>
        <v>OT002 CC-Makro</v>
      </c>
      <c r="AO81" t="str">
        <f>'mk 001 10.3'!AO82</f>
        <v>MT</v>
      </c>
      <c r="AP81">
        <f>'mk 001 10.3'!AP82</f>
        <v>2</v>
      </c>
      <c r="AQ81">
        <f>'mk 001 10.3'!AQ82</f>
        <v>0</v>
      </c>
      <c r="AR81">
        <f>'mk 001 10.3'!AR82</f>
        <v>0</v>
      </c>
      <c r="AS81">
        <f>'mk 001 10.3'!AS82</f>
        <v>0</v>
      </c>
      <c r="AT81" t="str">
        <f>'mk 001 10.3'!AT82</f>
        <v>System Batch</v>
      </c>
      <c r="AU81" t="str">
        <f>'mk 001 10.3'!AU82</f>
        <v>2026-05-11-12.40.50.000000</v>
      </c>
      <c r="AV81" t="str">
        <f>'mk 001 10.3'!AV82</f>
        <v>แพ็ค</v>
      </c>
      <c r="AW81" t="str">
        <f>'mk 001 10.3'!AW82</f>
        <v>ก.ก.</v>
      </c>
      <c r="AX81" t="str">
        <f>'mk 001 10.3'!AX82</f>
        <v xml:space="preserve"> </v>
      </c>
      <c r="AY81">
        <f>'mk 001 10.3'!AY82</f>
        <v>0</v>
      </c>
      <c r="AZ81" t="str">
        <f>'mk 001 10.3'!AZ82</f>
        <v>N</v>
      </c>
      <c r="BA81" s="22">
        <f>'mk 001 10.3'!BA82</f>
        <v>9045089536574</v>
      </c>
      <c r="BB81">
        <f>'mk 001 10.3'!BB82</f>
        <v>0</v>
      </c>
      <c r="BC81">
        <f>'mk 001 10.3'!BC82</f>
        <v>0</v>
      </c>
      <c r="BD81">
        <f>'mk 001 10.3'!BD82</f>
        <v>1</v>
      </c>
      <c r="BE81">
        <f>'mk 001 10.3'!BE82</f>
        <v>0</v>
      </c>
      <c r="BF81">
        <f>'mk 001 10.3'!BF82</f>
        <v>0</v>
      </c>
      <c r="BG81">
        <f>'mk 001 10.3'!BG82</f>
        <v>1333314600</v>
      </c>
      <c r="BH81" t="str">
        <f>'mk 001 10.3'!BH82</f>
        <v>G</v>
      </c>
      <c r="BI81">
        <f>'mk 001 10.3'!BI82</f>
        <v>4</v>
      </c>
      <c r="BJ81">
        <f>'mk 001 10.3'!BJ82</f>
        <v>2</v>
      </c>
      <c r="BK81">
        <f>'mk 001 10.3'!BK82</f>
        <v>1300</v>
      </c>
      <c r="BL81" t="str">
        <f>'mk 001 10.3'!BL82</f>
        <v>SYSBATCH</v>
      </c>
      <c r="BM81">
        <f>'mk 001 10.3'!BM82</f>
        <v>0</v>
      </c>
      <c r="BN81">
        <f>'mk 001 10.3'!BN82</f>
        <v>0</v>
      </c>
    </row>
    <row r="82" spans="1:66" x14ac:dyDescent="0.35">
      <c r="A82">
        <f>'mk 001 10.3'!A83</f>
        <v>0</v>
      </c>
      <c r="B82">
        <f>'mk 001 10.3'!B83</f>
        <v>0</v>
      </c>
      <c r="C82" s="1" t="str">
        <f>'mk 001 10.3'!C83</f>
        <v>14/5/2569</v>
      </c>
      <c r="D82" s="1" t="str">
        <f>'mk 001 10.3'!D83</f>
        <v>14/5/2569</v>
      </c>
      <c r="E82">
        <f>'mk 001 10.3'!E83</f>
        <v>0</v>
      </c>
      <c r="F82" t="str">
        <f>'mk 001 10.3'!F83</f>
        <v>489M</v>
      </c>
      <c r="G82" t="str">
        <f>'mk 001 10.3'!G83</f>
        <v>Modern Trade (Makro)</v>
      </c>
      <c r="H82">
        <f>'mk 001 10.3'!H83</f>
        <v>0</v>
      </c>
      <c r="I82" t="str">
        <f>'mk 001 10.3'!I83</f>
        <v>หน่วยงานกลาง</v>
      </c>
      <c r="J82" t="str">
        <f>'mk 001 10.3'!J83</f>
        <v>F213  DMCW-รชล-พระพุทธบาท</v>
      </c>
      <c r="K82" t="str">
        <f>'mk 001 10.3'!K83</f>
        <v>00000  หน่วยงานกลาง</v>
      </c>
      <c r="L82">
        <f>'mk 001 10.3'!L83</f>
        <v>923</v>
      </c>
      <c r="M82">
        <f>'mk 001 10.3'!M83</f>
        <v>0</v>
      </c>
      <c r="N82" t="str">
        <f>'mk 001 10.3'!N83</f>
        <v>1A53010800</v>
      </c>
      <c r="O82" t="str">
        <f>'mk 001 10.3'!O83</f>
        <v>บมจ. ซีพี แอ็กซ์ตร้า สาขาสิงห์บุรี</v>
      </c>
      <c r="P82">
        <f>'mk 001 10.3'!P83</f>
        <v>2</v>
      </c>
      <c r="Q82" t="str">
        <f>'mk 001 10.3'!Q83</f>
        <v>MAKRO 0114 สิงห์บุรี</v>
      </c>
      <c r="R82" s="1">
        <f>'mk 001 10.3'!R83</f>
        <v>244658</v>
      </c>
      <c r="S82" s="1" t="str">
        <f>'mk 001 10.3'!S83</f>
        <v>14/5/2569</v>
      </c>
      <c r="T82" t="str">
        <f>'mk 001 10.3'!T83</f>
        <v>H6954RMA0059110</v>
      </c>
      <c r="U82">
        <f>'mk 001 10.3'!U83</f>
        <v>23111031</v>
      </c>
      <c r="V82" t="str">
        <f>'mk 001 10.3'!V83</f>
        <v>สามชั้นหั่นพะโล้ แพ็คถาด 500 กรัม</v>
      </c>
      <c r="W82">
        <f>'mk 001 10.3'!W83</f>
        <v>4</v>
      </c>
      <c r="X82">
        <f>'mk 001 10.3'!X83</f>
        <v>2</v>
      </c>
      <c r="Y82">
        <f t="shared" si="1"/>
        <v>4</v>
      </c>
      <c r="Z82" s="13">
        <f>IF(COUNTIFS(แปลงข้อมูล!H:H,Q82,แปลงข้อมูล!I:I,U82,แปลงข้อมูล!J:J,V82)&gt;0,SUMIFS(แปลงข้อมูล!Q:Q,แปลงข้อมูล!I:I,U82,แปลงข้อมูล!H:H,Q82,แปลงข้อมูล!J:J,V82),'mk 001 10.3'!Z83)</f>
        <v>2</v>
      </c>
      <c r="AA82">
        <f>'mk 001 10.3'!AA83</f>
        <v>0</v>
      </c>
      <c r="AB82">
        <f>'mk 001 10.3'!AB83</f>
        <v>0</v>
      </c>
      <c r="AC82">
        <f>'mk 001 10.3'!AC83</f>
        <v>0</v>
      </c>
      <c r="AD82">
        <f>'mk 001 10.3'!AD83</f>
        <v>0</v>
      </c>
      <c r="AE82">
        <f>'mk 001 10.3'!AE83</f>
        <v>4</v>
      </c>
      <c r="AF82">
        <f>'mk 001 10.3'!AF83</f>
        <v>2</v>
      </c>
      <c r="AG82">
        <f>'mk 001 10.3'!AG83</f>
        <v>0</v>
      </c>
      <c r="AH82">
        <f>'mk 001 10.3'!AH83</f>
        <v>0</v>
      </c>
      <c r="AI82" t="str">
        <f>'mk 001 10.3'!AI83</f>
        <v>OPRCD489MOPRCD00000OPRCDF213OPRCD00000OPRCD923</v>
      </c>
      <c r="AJ82" t="str">
        <f>'mk 001 10.3'!AJ83</f>
        <v>ซื้อ / ขาย</v>
      </c>
      <c r="AK82" t="str">
        <f>'mk 001 10.3'!AK83</f>
        <v>Main proudct</v>
      </c>
      <c r="AL82" t="str">
        <f>'mk 001 10.3'!AL83</f>
        <v>Seal Pack</v>
      </c>
      <c r="AM82" t="str">
        <f>'mk 001 10.3'!AM83</f>
        <v>สุกร</v>
      </c>
      <c r="AN82" t="str">
        <f>'mk 001 10.3'!AN83</f>
        <v>OT002 CC-Makro</v>
      </c>
      <c r="AO82" t="str">
        <f>'mk 001 10.3'!AO83</f>
        <v>MT</v>
      </c>
      <c r="AP82">
        <f>'mk 001 10.3'!AP83</f>
        <v>2</v>
      </c>
      <c r="AQ82">
        <f>'mk 001 10.3'!AQ83</f>
        <v>0</v>
      </c>
      <c r="AR82">
        <f>'mk 001 10.3'!AR83</f>
        <v>0</v>
      </c>
      <c r="AS82">
        <f>'mk 001 10.3'!AS83</f>
        <v>0</v>
      </c>
      <c r="AT82" t="str">
        <f>'mk 001 10.3'!AT83</f>
        <v>System Batch</v>
      </c>
      <c r="AU82" t="str">
        <f>'mk 001 10.3'!AU83</f>
        <v>2026-05-11-12.40.50.000000</v>
      </c>
      <c r="AV82" t="str">
        <f>'mk 001 10.3'!AV83</f>
        <v>แพ็ค</v>
      </c>
      <c r="AW82" t="str">
        <f>'mk 001 10.3'!AW83</f>
        <v>ก.ก.</v>
      </c>
      <c r="AX82" t="str">
        <f>'mk 001 10.3'!AX83</f>
        <v xml:space="preserve"> </v>
      </c>
      <c r="AY82">
        <f>'mk 001 10.3'!AY83</f>
        <v>0</v>
      </c>
      <c r="AZ82" t="str">
        <f>'mk 001 10.3'!AZ83</f>
        <v>N</v>
      </c>
      <c r="BA82" s="22">
        <f>'mk 001 10.3'!BA83</f>
        <v>9045089536574</v>
      </c>
      <c r="BB82">
        <f>'mk 001 10.3'!BB83</f>
        <v>0</v>
      </c>
      <c r="BC82">
        <f>'mk 001 10.3'!BC83</f>
        <v>0</v>
      </c>
      <c r="BD82">
        <f>'mk 001 10.3'!BD83</f>
        <v>1</v>
      </c>
      <c r="BE82">
        <f>'mk 001 10.3'!BE83</f>
        <v>0</v>
      </c>
      <c r="BF82">
        <f>'mk 001 10.3'!BF83</f>
        <v>0</v>
      </c>
      <c r="BG82">
        <f>'mk 001 10.3'!BG83</f>
        <v>1333314600</v>
      </c>
      <c r="BH82" t="str">
        <f>'mk 001 10.3'!BH83</f>
        <v>G</v>
      </c>
      <c r="BI82">
        <f>'mk 001 10.3'!BI83</f>
        <v>4</v>
      </c>
      <c r="BJ82">
        <f>'mk 001 10.3'!BJ83</f>
        <v>2</v>
      </c>
      <c r="BK82">
        <f>'mk 001 10.3'!BK83</f>
        <v>1300</v>
      </c>
      <c r="BL82" t="str">
        <f>'mk 001 10.3'!BL83</f>
        <v>SYSBATCH</v>
      </c>
      <c r="BM82">
        <f>'mk 001 10.3'!BM83</f>
        <v>0</v>
      </c>
      <c r="BN82">
        <f>'mk 001 10.3'!BN83</f>
        <v>0</v>
      </c>
    </row>
    <row r="83" spans="1:66" x14ac:dyDescent="0.35">
      <c r="A83">
        <f>'mk 001 10.3'!A84</f>
        <v>0</v>
      </c>
      <c r="B83">
        <f>'mk 001 10.3'!B84</f>
        <v>0</v>
      </c>
      <c r="C83" s="1" t="str">
        <f>'mk 001 10.3'!C84</f>
        <v>14/5/2569</v>
      </c>
      <c r="D83" s="1" t="str">
        <f>'mk 001 10.3'!D84</f>
        <v>14/5/2569</v>
      </c>
      <c r="E83">
        <f>'mk 001 10.3'!E84</f>
        <v>0</v>
      </c>
      <c r="F83" t="str">
        <f>'mk 001 10.3'!F84</f>
        <v>489M</v>
      </c>
      <c r="G83" t="str">
        <f>'mk 001 10.3'!G84</f>
        <v>Modern Trade (Makro)</v>
      </c>
      <c r="H83">
        <f>'mk 001 10.3'!H84</f>
        <v>0</v>
      </c>
      <c r="I83" t="str">
        <f>'mk 001 10.3'!I84</f>
        <v>หน่วยงานกลาง</v>
      </c>
      <c r="J83" t="str">
        <f>'mk 001 10.3'!J84</f>
        <v>F213  DMCW-รชล-พระพุทธบาท</v>
      </c>
      <c r="K83" t="str">
        <f>'mk 001 10.3'!K84</f>
        <v>00000  หน่วยงานกลาง</v>
      </c>
      <c r="L83">
        <f>'mk 001 10.3'!L84</f>
        <v>923</v>
      </c>
      <c r="M83">
        <f>'mk 001 10.3'!M84</f>
        <v>0</v>
      </c>
      <c r="N83" t="str">
        <f>'mk 001 10.3'!N84</f>
        <v>1A53010800</v>
      </c>
      <c r="O83" t="str">
        <f>'mk 001 10.3'!O84</f>
        <v>บมจ. ซีพี แอ็กซ์ตร้า สาขาสิงห์บุรี</v>
      </c>
      <c r="P83">
        <f>'mk 001 10.3'!P84</f>
        <v>2</v>
      </c>
      <c r="Q83" t="str">
        <f>'mk 001 10.3'!Q84</f>
        <v>MAKRO 0114 สิงห์บุรี</v>
      </c>
      <c r="R83" s="1">
        <f>'mk 001 10.3'!R84</f>
        <v>244658</v>
      </c>
      <c r="S83" s="1" t="str">
        <f>'mk 001 10.3'!S84</f>
        <v>14/5/2569</v>
      </c>
      <c r="T83" t="str">
        <f>'mk 001 10.3'!T84</f>
        <v>H6954RMA0059110</v>
      </c>
      <c r="U83">
        <f>'mk 001 10.3'!U84</f>
        <v>23110624</v>
      </c>
      <c r="V83" t="str">
        <f>'mk 001 10.3'!V84</f>
        <v>เครื่องในหมูรวม แพ็คถาด 500 กรัม</v>
      </c>
      <c r="W83">
        <f>'mk 001 10.3'!W84</f>
        <v>4</v>
      </c>
      <c r="X83">
        <f>'mk 001 10.3'!X84</f>
        <v>2</v>
      </c>
      <c r="Y83">
        <f t="shared" si="1"/>
        <v>4</v>
      </c>
      <c r="Z83" s="13">
        <f>IF(COUNTIFS(แปลงข้อมูล!H:H,Q83,แปลงข้อมูล!I:I,U83,แปลงข้อมูล!J:J,V83)&gt;0,SUMIFS(แปลงข้อมูล!Q:Q,แปลงข้อมูล!I:I,U83,แปลงข้อมูล!H:H,Q83,แปลงข้อมูล!J:J,V83),'mk 001 10.3'!Z84)</f>
        <v>2</v>
      </c>
      <c r="AA83">
        <f>'mk 001 10.3'!AA84</f>
        <v>0</v>
      </c>
      <c r="AB83">
        <f>'mk 001 10.3'!AB84</f>
        <v>0</v>
      </c>
      <c r="AC83">
        <f>'mk 001 10.3'!AC84</f>
        <v>0</v>
      </c>
      <c r="AD83">
        <f>'mk 001 10.3'!AD84</f>
        <v>0</v>
      </c>
      <c r="AE83">
        <f>'mk 001 10.3'!AE84</f>
        <v>4</v>
      </c>
      <c r="AF83">
        <f>'mk 001 10.3'!AF84</f>
        <v>2</v>
      </c>
      <c r="AG83">
        <f>'mk 001 10.3'!AG84</f>
        <v>0</v>
      </c>
      <c r="AH83">
        <f>'mk 001 10.3'!AH84</f>
        <v>0</v>
      </c>
      <c r="AI83" t="str">
        <f>'mk 001 10.3'!AI84</f>
        <v>OPRCD489MOPRCD00000OPRCDF213OPRCD00000OPRCD923</v>
      </c>
      <c r="AJ83" t="str">
        <f>'mk 001 10.3'!AJ84</f>
        <v>ซื้อ / ขาย</v>
      </c>
      <c r="AK83" t="str">
        <f>'mk 001 10.3'!AK84</f>
        <v>By proudct</v>
      </c>
      <c r="AL83" t="str">
        <f>'mk 001 10.3'!AL84</f>
        <v>Seal Pack</v>
      </c>
      <c r="AM83" t="str">
        <f>'mk 001 10.3'!AM84</f>
        <v>สุกร</v>
      </c>
      <c r="AN83" t="str">
        <f>'mk 001 10.3'!AN84</f>
        <v>OT002 CC-Makro</v>
      </c>
      <c r="AO83" t="str">
        <f>'mk 001 10.3'!AO84</f>
        <v>MT</v>
      </c>
      <c r="AP83">
        <f>'mk 001 10.3'!AP84</f>
        <v>2</v>
      </c>
      <c r="AQ83">
        <f>'mk 001 10.3'!AQ84</f>
        <v>0</v>
      </c>
      <c r="AR83">
        <f>'mk 001 10.3'!AR84</f>
        <v>0</v>
      </c>
      <c r="AS83">
        <f>'mk 001 10.3'!AS84</f>
        <v>0</v>
      </c>
      <c r="AT83" t="str">
        <f>'mk 001 10.3'!AT84</f>
        <v>System Batch</v>
      </c>
      <c r="AU83" t="str">
        <f>'mk 001 10.3'!AU84</f>
        <v>2026-05-11-12.40.50.000000</v>
      </c>
      <c r="AV83" t="str">
        <f>'mk 001 10.3'!AV84</f>
        <v>แพ็ค</v>
      </c>
      <c r="AW83" t="str">
        <f>'mk 001 10.3'!AW84</f>
        <v>ก.ก.</v>
      </c>
      <c r="AX83" t="str">
        <f>'mk 001 10.3'!AX84</f>
        <v xml:space="preserve"> </v>
      </c>
      <c r="AY83">
        <f>'mk 001 10.3'!AY84</f>
        <v>0</v>
      </c>
      <c r="AZ83" t="str">
        <f>'mk 001 10.3'!AZ84</f>
        <v>N</v>
      </c>
      <c r="BA83" s="22">
        <f>'mk 001 10.3'!BA84</f>
        <v>9045089536574</v>
      </c>
      <c r="BB83">
        <f>'mk 001 10.3'!BB84</f>
        <v>0</v>
      </c>
      <c r="BC83">
        <f>'mk 001 10.3'!BC84</f>
        <v>0</v>
      </c>
      <c r="BD83">
        <f>'mk 001 10.3'!BD84</f>
        <v>1</v>
      </c>
      <c r="BE83">
        <f>'mk 001 10.3'!BE84</f>
        <v>0</v>
      </c>
      <c r="BF83">
        <f>'mk 001 10.3'!BF84</f>
        <v>0</v>
      </c>
      <c r="BG83">
        <f>'mk 001 10.3'!BG84</f>
        <v>1333314600</v>
      </c>
      <c r="BH83" t="str">
        <f>'mk 001 10.3'!BH84</f>
        <v>G</v>
      </c>
      <c r="BI83">
        <f>'mk 001 10.3'!BI84</f>
        <v>4</v>
      </c>
      <c r="BJ83">
        <f>'mk 001 10.3'!BJ84</f>
        <v>2</v>
      </c>
      <c r="BK83">
        <f>'mk 001 10.3'!BK84</f>
        <v>1300</v>
      </c>
      <c r="BL83" t="str">
        <f>'mk 001 10.3'!BL84</f>
        <v>SYSBATCH</v>
      </c>
      <c r="BM83">
        <f>'mk 001 10.3'!BM84</f>
        <v>0</v>
      </c>
      <c r="BN83">
        <f>'mk 001 10.3'!BN84</f>
        <v>0</v>
      </c>
    </row>
    <row r="84" spans="1:66" x14ac:dyDescent="0.35">
      <c r="A84">
        <f>'mk 001 10.3'!A85</f>
        <v>0</v>
      </c>
      <c r="B84">
        <f>'mk 001 10.3'!B85</f>
        <v>0</v>
      </c>
      <c r="C84" s="1" t="str">
        <f>'mk 001 10.3'!C85</f>
        <v>14/5/2569</v>
      </c>
      <c r="D84" s="1" t="str">
        <f>'mk 001 10.3'!D85</f>
        <v>14/5/2569</v>
      </c>
      <c r="E84">
        <f>'mk 001 10.3'!E85</f>
        <v>0</v>
      </c>
      <c r="F84" t="str">
        <f>'mk 001 10.3'!F85</f>
        <v>489M</v>
      </c>
      <c r="G84" t="str">
        <f>'mk 001 10.3'!G85</f>
        <v>Modern Trade (Makro)</v>
      </c>
      <c r="H84">
        <f>'mk 001 10.3'!H85</f>
        <v>0</v>
      </c>
      <c r="I84" t="str">
        <f>'mk 001 10.3'!I85</f>
        <v>หน่วยงานกลาง</v>
      </c>
      <c r="J84" t="str">
        <f>'mk 001 10.3'!J85</f>
        <v>F213  DMCW-รชล-พระพุทธบาท</v>
      </c>
      <c r="K84" t="str">
        <f>'mk 001 10.3'!K85</f>
        <v>00000  หน่วยงานกลาง</v>
      </c>
      <c r="L84">
        <f>'mk 001 10.3'!L85</f>
        <v>923</v>
      </c>
      <c r="M84">
        <f>'mk 001 10.3'!M85</f>
        <v>0</v>
      </c>
      <c r="N84" t="str">
        <f>'mk 001 10.3'!N85</f>
        <v>1A53010800</v>
      </c>
      <c r="O84" t="str">
        <f>'mk 001 10.3'!O85</f>
        <v>บมจ. ซีพี แอ็กซ์ตร้า สาขาสิงห์บุรี</v>
      </c>
      <c r="P84">
        <f>'mk 001 10.3'!P85</f>
        <v>2</v>
      </c>
      <c r="Q84" t="str">
        <f>'mk 001 10.3'!Q85</f>
        <v>MAKRO 0114 สิงห์บุรี</v>
      </c>
      <c r="R84" s="1">
        <f>'mk 001 10.3'!R85</f>
        <v>244658</v>
      </c>
      <c r="S84" s="1" t="str">
        <f>'mk 001 10.3'!S85</f>
        <v>14/5/2569</v>
      </c>
      <c r="T84" t="str">
        <f>'mk 001 10.3'!T85</f>
        <v>H6954RMA0059110</v>
      </c>
      <c r="U84">
        <f>'mk 001 10.3'!U85</f>
        <v>23111037</v>
      </c>
      <c r="V84" t="str">
        <f>'mk 001 10.3'!V85</f>
        <v>หมูบด ผสมมัน 10% แพ็คถาด 500 กรัม</v>
      </c>
      <c r="W84">
        <f>'mk 001 10.3'!W85</f>
        <v>8</v>
      </c>
      <c r="X84">
        <f>'mk 001 10.3'!X85</f>
        <v>4</v>
      </c>
      <c r="Y84">
        <f t="shared" si="1"/>
        <v>8</v>
      </c>
      <c r="Z84" s="13">
        <f>IF(COUNTIFS(แปลงข้อมูล!H:H,Q84,แปลงข้อมูล!I:I,U84,แปลงข้อมูล!J:J,V84)&gt;0,SUMIFS(แปลงข้อมูล!Q:Q,แปลงข้อมูล!I:I,U84,แปลงข้อมูล!H:H,Q84,แปลงข้อมูล!J:J,V84),'mk 001 10.3'!Z85)</f>
        <v>4</v>
      </c>
      <c r="AA84">
        <f>'mk 001 10.3'!AA85</f>
        <v>0</v>
      </c>
      <c r="AB84">
        <f>'mk 001 10.3'!AB85</f>
        <v>0</v>
      </c>
      <c r="AC84">
        <f>'mk 001 10.3'!AC85</f>
        <v>0</v>
      </c>
      <c r="AD84">
        <f>'mk 001 10.3'!AD85</f>
        <v>0</v>
      </c>
      <c r="AE84">
        <f>'mk 001 10.3'!AE85</f>
        <v>8</v>
      </c>
      <c r="AF84">
        <f>'mk 001 10.3'!AF85</f>
        <v>4</v>
      </c>
      <c r="AG84">
        <f>'mk 001 10.3'!AG85</f>
        <v>0</v>
      </c>
      <c r="AH84">
        <f>'mk 001 10.3'!AH85</f>
        <v>0</v>
      </c>
      <c r="AI84" t="str">
        <f>'mk 001 10.3'!AI85</f>
        <v>OPRCD489MOPRCD00000OPRCDF213OPRCD00000OPRCD923</v>
      </c>
      <c r="AJ84" t="str">
        <f>'mk 001 10.3'!AJ85</f>
        <v>ซื้อ / ขาย</v>
      </c>
      <c r="AK84" t="str">
        <f>'mk 001 10.3'!AK85</f>
        <v>Main proudct</v>
      </c>
      <c r="AL84" t="str">
        <f>'mk 001 10.3'!AL85</f>
        <v>Seal Pack</v>
      </c>
      <c r="AM84" t="str">
        <f>'mk 001 10.3'!AM85</f>
        <v>สุกร</v>
      </c>
      <c r="AN84" t="str">
        <f>'mk 001 10.3'!AN85</f>
        <v>OT002 CC-Makro</v>
      </c>
      <c r="AO84" t="str">
        <f>'mk 001 10.3'!AO85</f>
        <v>MT</v>
      </c>
      <c r="AP84">
        <f>'mk 001 10.3'!AP85</f>
        <v>2</v>
      </c>
      <c r="AQ84">
        <f>'mk 001 10.3'!AQ85</f>
        <v>0</v>
      </c>
      <c r="AR84">
        <f>'mk 001 10.3'!AR85</f>
        <v>0</v>
      </c>
      <c r="AS84">
        <f>'mk 001 10.3'!AS85</f>
        <v>0</v>
      </c>
      <c r="AT84" t="str">
        <f>'mk 001 10.3'!AT85</f>
        <v>System Batch</v>
      </c>
      <c r="AU84" t="str">
        <f>'mk 001 10.3'!AU85</f>
        <v>2026-05-11-12.40.50.000000</v>
      </c>
      <c r="AV84" t="str">
        <f>'mk 001 10.3'!AV85</f>
        <v>แพ็ค</v>
      </c>
      <c r="AW84" t="str">
        <f>'mk 001 10.3'!AW85</f>
        <v>ก.ก.</v>
      </c>
      <c r="AX84" t="str">
        <f>'mk 001 10.3'!AX85</f>
        <v xml:space="preserve"> </v>
      </c>
      <c r="AY84">
        <f>'mk 001 10.3'!AY85</f>
        <v>0</v>
      </c>
      <c r="AZ84" t="str">
        <f>'mk 001 10.3'!AZ85</f>
        <v>N</v>
      </c>
      <c r="BA84" s="22">
        <f>'mk 001 10.3'!BA85</f>
        <v>9045089536574</v>
      </c>
      <c r="BB84">
        <f>'mk 001 10.3'!BB85</f>
        <v>0</v>
      </c>
      <c r="BC84">
        <f>'mk 001 10.3'!BC85</f>
        <v>0</v>
      </c>
      <c r="BD84">
        <f>'mk 001 10.3'!BD85</f>
        <v>1</v>
      </c>
      <c r="BE84">
        <f>'mk 001 10.3'!BE85</f>
        <v>0</v>
      </c>
      <c r="BF84">
        <f>'mk 001 10.3'!BF85</f>
        <v>0</v>
      </c>
      <c r="BG84">
        <f>'mk 001 10.3'!BG85</f>
        <v>1333314600</v>
      </c>
      <c r="BH84" t="str">
        <f>'mk 001 10.3'!BH85</f>
        <v>G</v>
      </c>
      <c r="BI84">
        <f>'mk 001 10.3'!BI85</f>
        <v>8</v>
      </c>
      <c r="BJ84">
        <f>'mk 001 10.3'!BJ85</f>
        <v>4</v>
      </c>
      <c r="BK84">
        <f>'mk 001 10.3'!BK85</f>
        <v>1300</v>
      </c>
      <c r="BL84" t="str">
        <f>'mk 001 10.3'!BL85</f>
        <v>SYSBATCH</v>
      </c>
      <c r="BM84">
        <f>'mk 001 10.3'!BM85</f>
        <v>0</v>
      </c>
      <c r="BN84">
        <f>'mk 001 10.3'!BN85</f>
        <v>0</v>
      </c>
    </row>
    <row r="85" spans="1:66" x14ac:dyDescent="0.35">
      <c r="A85">
        <f>'mk 001 10.3'!A86</f>
        <v>0</v>
      </c>
      <c r="B85">
        <f>'mk 001 10.3'!B86</f>
        <v>0</v>
      </c>
      <c r="C85" s="1" t="str">
        <f>'mk 001 10.3'!C86</f>
        <v>14/5/2569</v>
      </c>
      <c r="D85" s="1" t="str">
        <f>'mk 001 10.3'!D86</f>
        <v>14/5/2569</v>
      </c>
      <c r="E85">
        <f>'mk 001 10.3'!E86</f>
        <v>0</v>
      </c>
      <c r="F85" t="str">
        <f>'mk 001 10.3'!F86</f>
        <v>489M</v>
      </c>
      <c r="G85" t="str">
        <f>'mk 001 10.3'!G86</f>
        <v>Modern Trade (Makro)</v>
      </c>
      <c r="H85">
        <f>'mk 001 10.3'!H86</f>
        <v>0</v>
      </c>
      <c r="I85" t="str">
        <f>'mk 001 10.3'!I86</f>
        <v>หน่วยงานกลาง</v>
      </c>
      <c r="J85" t="str">
        <f>'mk 001 10.3'!J86</f>
        <v>F213  DMCW-รชล-พระพุทธบาท</v>
      </c>
      <c r="K85" t="str">
        <f>'mk 001 10.3'!K86</f>
        <v>00000  หน่วยงานกลาง</v>
      </c>
      <c r="L85">
        <f>'mk 001 10.3'!L86</f>
        <v>923</v>
      </c>
      <c r="M85">
        <f>'mk 001 10.3'!M86</f>
        <v>0</v>
      </c>
      <c r="N85" t="str">
        <f>'mk 001 10.3'!N86</f>
        <v>1A53010800</v>
      </c>
      <c r="O85" t="str">
        <f>'mk 001 10.3'!O86</f>
        <v>บมจ. ซีพี แอ็กซ์ตร้า สาขาสิงห์บุรี</v>
      </c>
      <c r="P85">
        <f>'mk 001 10.3'!P86</f>
        <v>2</v>
      </c>
      <c r="Q85" t="str">
        <f>'mk 001 10.3'!Q86</f>
        <v>MAKRO 0114 สิงห์บุรี</v>
      </c>
      <c r="R85" s="1">
        <f>'mk 001 10.3'!R86</f>
        <v>244658</v>
      </c>
      <c r="S85" s="1" t="str">
        <f>'mk 001 10.3'!S86</f>
        <v>14/5/2569</v>
      </c>
      <c r="T85" t="str">
        <f>'mk 001 10.3'!T86</f>
        <v>H6954RMA0059110</v>
      </c>
      <c r="U85">
        <f>'mk 001 10.3'!U86</f>
        <v>23111036</v>
      </c>
      <c r="V85" t="str">
        <f>'mk 001 10.3'!V86</f>
        <v>สะโพกหมูสไลซ์ แพ็คถาด 500 กรัม</v>
      </c>
      <c r="W85">
        <f>'mk 001 10.3'!W86</f>
        <v>8</v>
      </c>
      <c r="X85">
        <f>'mk 001 10.3'!X86</f>
        <v>4</v>
      </c>
      <c r="Y85">
        <f t="shared" si="1"/>
        <v>8</v>
      </c>
      <c r="Z85" s="13">
        <f>IF(COUNTIFS(แปลงข้อมูล!H:H,Q85,แปลงข้อมูล!I:I,U85,แปลงข้อมูล!J:J,V85)&gt;0,SUMIFS(แปลงข้อมูล!Q:Q,แปลงข้อมูล!I:I,U85,แปลงข้อมูล!H:H,Q85,แปลงข้อมูล!J:J,V85),'mk 001 10.3'!Z86)</f>
        <v>4</v>
      </c>
      <c r="AA85">
        <f>'mk 001 10.3'!AA86</f>
        <v>0</v>
      </c>
      <c r="AB85">
        <f>'mk 001 10.3'!AB86</f>
        <v>0</v>
      </c>
      <c r="AC85">
        <f>'mk 001 10.3'!AC86</f>
        <v>0</v>
      </c>
      <c r="AD85">
        <f>'mk 001 10.3'!AD86</f>
        <v>0</v>
      </c>
      <c r="AE85">
        <f>'mk 001 10.3'!AE86</f>
        <v>8</v>
      </c>
      <c r="AF85">
        <f>'mk 001 10.3'!AF86</f>
        <v>4</v>
      </c>
      <c r="AG85">
        <f>'mk 001 10.3'!AG86</f>
        <v>0</v>
      </c>
      <c r="AH85">
        <f>'mk 001 10.3'!AH86</f>
        <v>0</v>
      </c>
      <c r="AI85" t="str">
        <f>'mk 001 10.3'!AI86</f>
        <v>OPRCD489MOPRCD00000OPRCDF213OPRCD00000OPRCD923</v>
      </c>
      <c r="AJ85" t="str">
        <f>'mk 001 10.3'!AJ86</f>
        <v>ซื้อ / ขาย</v>
      </c>
      <c r="AK85" t="str">
        <f>'mk 001 10.3'!AK86</f>
        <v>Main proudct</v>
      </c>
      <c r="AL85" t="str">
        <f>'mk 001 10.3'!AL86</f>
        <v>Seal Pack</v>
      </c>
      <c r="AM85" t="str">
        <f>'mk 001 10.3'!AM86</f>
        <v>สุกร</v>
      </c>
      <c r="AN85" t="str">
        <f>'mk 001 10.3'!AN86</f>
        <v>OT002 CC-Makro</v>
      </c>
      <c r="AO85" t="str">
        <f>'mk 001 10.3'!AO86</f>
        <v>MT</v>
      </c>
      <c r="AP85">
        <f>'mk 001 10.3'!AP86</f>
        <v>2</v>
      </c>
      <c r="AQ85">
        <f>'mk 001 10.3'!AQ86</f>
        <v>0</v>
      </c>
      <c r="AR85">
        <f>'mk 001 10.3'!AR86</f>
        <v>0</v>
      </c>
      <c r="AS85">
        <f>'mk 001 10.3'!AS86</f>
        <v>0</v>
      </c>
      <c r="AT85" t="str">
        <f>'mk 001 10.3'!AT86</f>
        <v>System Batch</v>
      </c>
      <c r="AU85" t="str">
        <f>'mk 001 10.3'!AU86</f>
        <v>2026-05-11-12.40.50.000000</v>
      </c>
      <c r="AV85" t="str">
        <f>'mk 001 10.3'!AV86</f>
        <v>แพ็ค</v>
      </c>
      <c r="AW85" t="str">
        <f>'mk 001 10.3'!AW86</f>
        <v>ก.ก.</v>
      </c>
      <c r="AX85" t="str">
        <f>'mk 001 10.3'!AX86</f>
        <v xml:space="preserve"> </v>
      </c>
      <c r="AY85">
        <f>'mk 001 10.3'!AY86</f>
        <v>0</v>
      </c>
      <c r="AZ85" t="str">
        <f>'mk 001 10.3'!AZ86</f>
        <v>N</v>
      </c>
      <c r="BA85" s="22">
        <f>'mk 001 10.3'!BA86</f>
        <v>9045089536574</v>
      </c>
      <c r="BB85">
        <f>'mk 001 10.3'!BB86</f>
        <v>0</v>
      </c>
      <c r="BC85">
        <f>'mk 001 10.3'!BC86</f>
        <v>0</v>
      </c>
      <c r="BD85">
        <f>'mk 001 10.3'!BD86</f>
        <v>1</v>
      </c>
      <c r="BE85">
        <f>'mk 001 10.3'!BE86</f>
        <v>0</v>
      </c>
      <c r="BF85">
        <f>'mk 001 10.3'!BF86</f>
        <v>0</v>
      </c>
      <c r="BG85">
        <f>'mk 001 10.3'!BG86</f>
        <v>1333314600</v>
      </c>
      <c r="BH85" t="str">
        <f>'mk 001 10.3'!BH86</f>
        <v>G</v>
      </c>
      <c r="BI85">
        <f>'mk 001 10.3'!BI86</f>
        <v>8</v>
      </c>
      <c r="BJ85">
        <f>'mk 001 10.3'!BJ86</f>
        <v>4</v>
      </c>
      <c r="BK85">
        <f>'mk 001 10.3'!BK86</f>
        <v>1300</v>
      </c>
      <c r="BL85" t="str">
        <f>'mk 001 10.3'!BL86</f>
        <v>SYSBATCH</v>
      </c>
      <c r="BM85">
        <f>'mk 001 10.3'!BM86</f>
        <v>0</v>
      </c>
      <c r="BN85">
        <f>'mk 001 10.3'!BN86</f>
        <v>0</v>
      </c>
    </row>
    <row r="86" spans="1:66" x14ac:dyDescent="0.35">
      <c r="A86">
        <f>'mk 001 10.3'!A87</f>
        <v>0</v>
      </c>
      <c r="B86">
        <f>'mk 001 10.3'!B87</f>
        <v>0</v>
      </c>
      <c r="C86" s="1" t="str">
        <f>'mk 001 10.3'!C87</f>
        <v>14/5/2569</v>
      </c>
      <c r="D86" s="1" t="str">
        <f>'mk 001 10.3'!D87</f>
        <v>14/5/2569</v>
      </c>
      <c r="E86">
        <f>'mk 001 10.3'!E87</f>
        <v>0</v>
      </c>
      <c r="F86" t="str">
        <f>'mk 001 10.3'!F87</f>
        <v>489M</v>
      </c>
      <c r="G86" t="str">
        <f>'mk 001 10.3'!G87</f>
        <v>Modern Trade (Makro)</v>
      </c>
      <c r="H86">
        <f>'mk 001 10.3'!H87</f>
        <v>0</v>
      </c>
      <c r="I86" t="str">
        <f>'mk 001 10.3'!I87</f>
        <v>หน่วยงานกลาง</v>
      </c>
      <c r="J86" t="str">
        <f>'mk 001 10.3'!J87</f>
        <v>F213  DMCW-รชล-พระพุทธบาท</v>
      </c>
      <c r="K86" t="str">
        <f>'mk 001 10.3'!K87</f>
        <v>00000  หน่วยงานกลาง</v>
      </c>
      <c r="L86">
        <f>'mk 001 10.3'!L87</f>
        <v>923</v>
      </c>
      <c r="M86">
        <f>'mk 001 10.3'!M87</f>
        <v>0</v>
      </c>
      <c r="N86" t="str">
        <f>'mk 001 10.3'!N87</f>
        <v>1A53010800</v>
      </c>
      <c r="O86" t="str">
        <f>'mk 001 10.3'!O87</f>
        <v>บมจ. ซีพี แอ็กซ์ตร้า สาขาสิงห์บุรี</v>
      </c>
      <c r="P86">
        <f>'mk 001 10.3'!P87</f>
        <v>2</v>
      </c>
      <c r="Q86" t="str">
        <f>'mk 001 10.3'!Q87</f>
        <v>MAKRO 0114 สิงห์บุรี</v>
      </c>
      <c r="R86" s="1">
        <f>'mk 001 10.3'!R87</f>
        <v>244658</v>
      </c>
      <c r="S86" s="1" t="str">
        <f>'mk 001 10.3'!S87</f>
        <v>14/5/2569</v>
      </c>
      <c r="T86" t="str">
        <f>'mk 001 10.3'!T87</f>
        <v>H6954RMA0059110</v>
      </c>
      <c r="U86">
        <f>'mk 001 10.3'!U87</f>
        <v>23111029</v>
      </c>
      <c r="V86" t="str">
        <f>'mk 001 10.3'!V87</f>
        <v>เนื้อหมูหั่นแกง แพ็คถาด 500 กรัม</v>
      </c>
      <c r="W86">
        <f>'mk 001 10.3'!W87</f>
        <v>4</v>
      </c>
      <c r="X86">
        <f>'mk 001 10.3'!X87</f>
        <v>2</v>
      </c>
      <c r="Y86">
        <f t="shared" si="1"/>
        <v>4</v>
      </c>
      <c r="Z86" s="13">
        <f>IF(COUNTIFS(แปลงข้อมูล!H:H,Q86,แปลงข้อมูล!I:I,U86,แปลงข้อมูล!J:J,V86)&gt;0,SUMIFS(แปลงข้อมูล!Q:Q,แปลงข้อมูล!I:I,U86,แปลงข้อมูล!H:H,Q86,แปลงข้อมูล!J:J,V86),'mk 001 10.3'!Z87)</f>
        <v>2</v>
      </c>
      <c r="AA86">
        <f>'mk 001 10.3'!AA87</f>
        <v>0</v>
      </c>
      <c r="AB86">
        <f>'mk 001 10.3'!AB87</f>
        <v>0</v>
      </c>
      <c r="AC86">
        <f>'mk 001 10.3'!AC87</f>
        <v>0</v>
      </c>
      <c r="AD86">
        <f>'mk 001 10.3'!AD87</f>
        <v>0</v>
      </c>
      <c r="AE86">
        <f>'mk 001 10.3'!AE87</f>
        <v>4</v>
      </c>
      <c r="AF86">
        <f>'mk 001 10.3'!AF87</f>
        <v>2</v>
      </c>
      <c r="AG86">
        <f>'mk 001 10.3'!AG87</f>
        <v>0</v>
      </c>
      <c r="AH86">
        <f>'mk 001 10.3'!AH87</f>
        <v>0</v>
      </c>
      <c r="AI86" t="str">
        <f>'mk 001 10.3'!AI87</f>
        <v>OPRCD489MOPRCD00000OPRCDF213OPRCD00000OPRCD923</v>
      </c>
      <c r="AJ86" t="str">
        <f>'mk 001 10.3'!AJ87</f>
        <v>ซื้อ / ขาย</v>
      </c>
      <c r="AK86" t="str">
        <f>'mk 001 10.3'!AK87</f>
        <v>Main proudct</v>
      </c>
      <c r="AL86" t="str">
        <f>'mk 001 10.3'!AL87</f>
        <v>Seal Pack</v>
      </c>
      <c r="AM86" t="str">
        <f>'mk 001 10.3'!AM87</f>
        <v>สุกร</v>
      </c>
      <c r="AN86" t="str">
        <f>'mk 001 10.3'!AN87</f>
        <v>OT002 CC-Makro</v>
      </c>
      <c r="AO86" t="str">
        <f>'mk 001 10.3'!AO87</f>
        <v>MT</v>
      </c>
      <c r="AP86">
        <f>'mk 001 10.3'!AP87</f>
        <v>2</v>
      </c>
      <c r="AQ86">
        <f>'mk 001 10.3'!AQ87</f>
        <v>0</v>
      </c>
      <c r="AR86">
        <f>'mk 001 10.3'!AR87</f>
        <v>0</v>
      </c>
      <c r="AS86">
        <f>'mk 001 10.3'!AS87</f>
        <v>0</v>
      </c>
      <c r="AT86" t="str">
        <f>'mk 001 10.3'!AT87</f>
        <v>System Batch</v>
      </c>
      <c r="AU86" t="str">
        <f>'mk 001 10.3'!AU87</f>
        <v>2026-05-11-12.40.50.000000</v>
      </c>
      <c r="AV86" t="str">
        <f>'mk 001 10.3'!AV87</f>
        <v>แพ็ค</v>
      </c>
      <c r="AW86" t="str">
        <f>'mk 001 10.3'!AW87</f>
        <v>ก.ก.</v>
      </c>
      <c r="AX86" t="str">
        <f>'mk 001 10.3'!AX87</f>
        <v xml:space="preserve"> </v>
      </c>
      <c r="AY86">
        <f>'mk 001 10.3'!AY87</f>
        <v>0</v>
      </c>
      <c r="AZ86" t="str">
        <f>'mk 001 10.3'!AZ87</f>
        <v>N</v>
      </c>
      <c r="BA86" s="22">
        <f>'mk 001 10.3'!BA87</f>
        <v>9045089536574</v>
      </c>
      <c r="BB86">
        <f>'mk 001 10.3'!BB87</f>
        <v>0</v>
      </c>
      <c r="BC86">
        <f>'mk 001 10.3'!BC87</f>
        <v>0</v>
      </c>
      <c r="BD86">
        <f>'mk 001 10.3'!BD87</f>
        <v>1</v>
      </c>
      <c r="BE86">
        <f>'mk 001 10.3'!BE87</f>
        <v>0</v>
      </c>
      <c r="BF86">
        <f>'mk 001 10.3'!BF87</f>
        <v>0</v>
      </c>
      <c r="BG86">
        <f>'mk 001 10.3'!BG87</f>
        <v>1333314600</v>
      </c>
      <c r="BH86" t="str">
        <f>'mk 001 10.3'!BH87</f>
        <v>G</v>
      </c>
      <c r="BI86">
        <f>'mk 001 10.3'!BI87</f>
        <v>4</v>
      </c>
      <c r="BJ86">
        <f>'mk 001 10.3'!BJ87</f>
        <v>2</v>
      </c>
      <c r="BK86">
        <f>'mk 001 10.3'!BK87</f>
        <v>1300</v>
      </c>
      <c r="BL86" t="str">
        <f>'mk 001 10.3'!BL87</f>
        <v>SYSBATCH</v>
      </c>
      <c r="BM86">
        <f>'mk 001 10.3'!BM87</f>
        <v>0</v>
      </c>
      <c r="BN86">
        <f>'mk 001 10.3'!BN87</f>
        <v>0</v>
      </c>
    </row>
    <row r="87" spans="1:66" x14ac:dyDescent="0.35">
      <c r="A87">
        <f>'mk 001 10.3'!A88</f>
        <v>0</v>
      </c>
      <c r="B87">
        <f>'mk 001 10.3'!B88</f>
        <v>0</v>
      </c>
      <c r="C87" s="1" t="str">
        <f>'mk 001 10.3'!C88</f>
        <v>14/5/2569</v>
      </c>
      <c r="D87" s="1" t="str">
        <f>'mk 001 10.3'!D88</f>
        <v>14/5/2569</v>
      </c>
      <c r="E87">
        <f>'mk 001 10.3'!E88</f>
        <v>0</v>
      </c>
      <c r="F87" t="str">
        <f>'mk 001 10.3'!F88</f>
        <v>489M</v>
      </c>
      <c r="G87" t="str">
        <f>'mk 001 10.3'!G88</f>
        <v>Modern Trade (Makro)</v>
      </c>
      <c r="H87">
        <f>'mk 001 10.3'!H88</f>
        <v>0</v>
      </c>
      <c r="I87" t="str">
        <f>'mk 001 10.3'!I88</f>
        <v>หน่วยงานกลาง</v>
      </c>
      <c r="J87" t="str">
        <f>'mk 001 10.3'!J88</f>
        <v>F213  DMCW-รชล-พระพุทธบาท</v>
      </c>
      <c r="K87" t="str">
        <f>'mk 001 10.3'!K88</f>
        <v>00000  หน่วยงานกลาง</v>
      </c>
      <c r="L87">
        <f>'mk 001 10.3'!L88</f>
        <v>923</v>
      </c>
      <c r="M87">
        <f>'mk 001 10.3'!M88</f>
        <v>0</v>
      </c>
      <c r="N87" t="str">
        <f>'mk 001 10.3'!N88</f>
        <v>1A53010800</v>
      </c>
      <c r="O87" t="str">
        <f>'mk 001 10.3'!O88</f>
        <v>บมจ. ซีพี แอ็กซ์ตร้า สาขาสิงห์บุรี</v>
      </c>
      <c r="P87">
        <f>'mk 001 10.3'!P88</f>
        <v>2</v>
      </c>
      <c r="Q87" t="str">
        <f>'mk 001 10.3'!Q88</f>
        <v>MAKRO 0114 สิงห์บุรี</v>
      </c>
      <c r="R87" s="1">
        <f>'mk 001 10.3'!R88</f>
        <v>244658</v>
      </c>
      <c r="S87" s="1" t="str">
        <f>'mk 001 10.3'!S88</f>
        <v>14/5/2569</v>
      </c>
      <c r="T87" t="str">
        <f>'mk 001 10.3'!T88</f>
        <v>H6954RMA0059110</v>
      </c>
      <c r="U87">
        <f>'mk 001 10.3'!U88</f>
        <v>23097783</v>
      </c>
      <c r="V87" t="str">
        <f>'mk 001 10.3'!V88</f>
        <v>เนื้อไหล่หมูบด 1 กก. (M)</v>
      </c>
      <c r="W87">
        <f>'mk 001 10.3'!W88</f>
        <v>5</v>
      </c>
      <c r="X87">
        <f>'mk 001 10.3'!X88</f>
        <v>5</v>
      </c>
      <c r="Y87">
        <f t="shared" si="1"/>
        <v>5</v>
      </c>
      <c r="Z87" s="13">
        <f>IF(COUNTIFS(แปลงข้อมูล!H:H,Q87,แปลงข้อมูล!I:I,U87,แปลงข้อมูล!J:J,V87)&gt;0,SUMIFS(แปลงข้อมูล!Q:Q,แปลงข้อมูล!I:I,U87,แปลงข้อมูล!H:H,Q87,แปลงข้อมูล!J:J,V87),'mk 001 10.3'!Z88)</f>
        <v>5</v>
      </c>
      <c r="AA87">
        <f>'mk 001 10.3'!AA88</f>
        <v>0</v>
      </c>
      <c r="AB87">
        <f>'mk 001 10.3'!AB88</f>
        <v>0</v>
      </c>
      <c r="AC87">
        <f>'mk 001 10.3'!AC88</f>
        <v>0</v>
      </c>
      <c r="AD87">
        <f>'mk 001 10.3'!AD88</f>
        <v>0</v>
      </c>
      <c r="AE87">
        <f>'mk 001 10.3'!AE88</f>
        <v>5</v>
      </c>
      <c r="AF87">
        <f>'mk 001 10.3'!AF88</f>
        <v>5</v>
      </c>
      <c r="AG87">
        <f>'mk 001 10.3'!AG88</f>
        <v>0</v>
      </c>
      <c r="AH87">
        <f>'mk 001 10.3'!AH88</f>
        <v>0</v>
      </c>
      <c r="AI87" t="str">
        <f>'mk 001 10.3'!AI88</f>
        <v>OPRCD489MOPRCD00000OPRCDF213OPRCD00000OPRCD923</v>
      </c>
      <c r="AJ87" t="str">
        <f>'mk 001 10.3'!AJ88</f>
        <v>ซื้อ / ขาย</v>
      </c>
      <c r="AK87" t="str">
        <f>'mk 001 10.3'!AK88</f>
        <v>Main proudct</v>
      </c>
      <c r="AL87" t="str">
        <f>'mk 001 10.3'!AL88</f>
        <v>Bulk Normal</v>
      </c>
      <c r="AM87" t="str">
        <f>'mk 001 10.3'!AM88</f>
        <v>สุกร</v>
      </c>
      <c r="AN87" t="str">
        <f>'mk 001 10.3'!AN88</f>
        <v>OT002 CC-Makro</v>
      </c>
      <c r="AO87" t="str">
        <f>'mk 001 10.3'!AO88</f>
        <v>MT</v>
      </c>
      <c r="AP87">
        <f>'mk 001 10.3'!AP88</f>
        <v>2</v>
      </c>
      <c r="AQ87">
        <f>'mk 001 10.3'!AQ88</f>
        <v>0</v>
      </c>
      <c r="AR87">
        <f>'mk 001 10.3'!AR88</f>
        <v>0</v>
      </c>
      <c r="AS87">
        <f>'mk 001 10.3'!AS88</f>
        <v>0</v>
      </c>
      <c r="AT87" t="str">
        <f>'mk 001 10.3'!AT88</f>
        <v>System Batch</v>
      </c>
      <c r="AU87" t="str">
        <f>'mk 001 10.3'!AU88</f>
        <v>2026-05-11-12.40.50.000000</v>
      </c>
      <c r="AV87" t="str">
        <f>'mk 001 10.3'!AV88</f>
        <v>แพ็ค</v>
      </c>
      <c r="AW87" t="str">
        <f>'mk 001 10.3'!AW88</f>
        <v>ก.ก.</v>
      </c>
      <c r="AX87" t="str">
        <f>'mk 001 10.3'!AX88</f>
        <v xml:space="preserve"> </v>
      </c>
      <c r="AY87">
        <f>'mk 001 10.3'!AY88</f>
        <v>0</v>
      </c>
      <c r="AZ87" t="str">
        <f>'mk 001 10.3'!AZ88</f>
        <v>N</v>
      </c>
      <c r="BA87" s="22">
        <f>'mk 001 10.3'!BA88</f>
        <v>9045089536574</v>
      </c>
      <c r="BB87">
        <f>'mk 001 10.3'!BB88</f>
        <v>0</v>
      </c>
      <c r="BC87">
        <f>'mk 001 10.3'!BC88</f>
        <v>0</v>
      </c>
      <c r="BD87">
        <f>'mk 001 10.3'!BD88</f>
        <v>1</v>
      </c>
      <c r="BE87">
        <f>'mk 001 10.3'!BE88</f>
        <v>0</v>
      </c>
      <c r="BF87">
        <f>'mk 001 10.3'!BF88</f>
        <v>0</v>
      </c>
      <c r="BG87">
        <f>'mk 001 10.3'!BG88</f>
        <v>1333314600</v>
      </c>
      <c r="BH87" t="str">
        <f>'mk 001 10.3'!BH88</f>
        <v>G</v>
      </c>
      <c r="BI87">
        <f>'mk 001 10.3'!BI88</f>
        <v>5</v>
      </c>
      <c r="BJ87">
        <f>'mk 001 10.3'!BJ88</f>
        <v>5</v>
      </c>
      <c r="BK87">
        <f>'mk 001 10.3'!BK88</f>
        <v>1300</v>
      </c>
      <c r="BL87" t="str">
        <f>'mk 001 10.3'!BL88</f>
        <v>SYSBATCH</v>
      </c>
      <c r="BM87">
        <f>'mk 001 10.3'!BM88</f>
        <v>0</v>
      </c>
      <c r="BN87">
        <f>'mk 001 10.3'!BN88</f>
        <v>0</v>
      </c>
    </row>
    <row r="88" spans="1:66" x14ac:dyDescent="0.35">
      <c r="A88">
        <f>'mk 001 10.3'!A89</f>
        <v>0</v>
      </c>
      <c r="B88">
        <f>'mk 001 10.3'!B89</f>
        <v>0</v>
      </c>
      <c r="C88" s="1" t="str">
        <f>'mk 001 10.3'!C89</f>
        <v>14/5/2569</v>
      </c>
      <c r="D88" s="1" t="str">
        <f>'mk 001 10.3'!D89</f>
        <v>14/5/2569</v>
      </c>
      <c r="E88">
        <f>'mk 001 10.3'!E89</f>
        <v>0</v>
      </c>
      <c r="F88" t="str">
        <f>'mk 001 10.3'!F89</f>
        <v>489M</v>
      </c>
      <c r="G88" t="str">
        <f>'mk 001 10.3'!G89</f>
        <v>Modern Trade (Makro)</v>
      </c>
      <c r="H88">
        <f>'mk 001 10.3'!H89</f>
        <v>0</v>
      </c>
      <c r="I88" t="str">
        <f>'mk 001 10.3'!I89</f>
        <v>หน่วยงานกลาง</v>
      </c>
      <c r="J88" t="str">
        <f>'mk 001 10.3'!J89</f>
        <v>F213  DMCW-รชล-พระพุทธบาท</v>
      </c>
      <c r="K88" t="str">
        <f>'mk 001 10.3'!K89</f>
        <v>00000  หน่วยงานกลาง</v>
      </c>
      <c r="L88">
        <f>'mk 001 10.3'!L89</f>
        <v>923</v>
      </c>
      <c r="M88">
        <f>'mk 001 10.3'!M89</f>
        <v>0</v>
      </c>
      <c r="N88" t="str">
        <f>'mk 001 10.3'!N89</f>
        <v>1A53010800</v>
      </c>
      <c r="O88" t="str">
        <f>'mk 001 10.3'!O89</f>
        <v>บมจ. ซีพี แอ็กซ์ตร้า สาขาสิงห์บุรี</v>
      </c>
      <c r="P88">
        <f>'mk 001 10.3'!P89</f>
        <v>2</v>
      </c>
      <c r="Q88" t="str">
        <f>'mk 001 10.3'!Q89</f>
        <v>MAKRO 0114 สิงห์บุรี</v>
      </c>
      <c r="R88" s="1">
        <f>'mk 001 10.3'!R89</f>
        <v>244658</v>
      </c>
      <c r="S88" s="1" t="str">
        <f>'mk 001 10.3'!S89</f>
        <v>14/5/2569</v>
      </c>
      <c r="T88" t="str">
        <f>'mk 001 10.3'!T89</f>
        <v>H6954RMA0059110</v>
      </c>
      <c r="U88">
        <f>'mk 001 10.3'!U89</f>
        <v>23110587</v>
      </c>
      <c r="V88" t="str">
        <f>'mk 001 10.3'!V89</f>
        <v>สะโพกหมูสไลซ์ แพ็คถาด 1 กก.</v>
      </c>
      <c r="W88">
        <f>'mk 001 10.3'!W89</f>
        <v>4</v>
      </c>
      <c r="X88">
        <f>'mk 001 10.3'!X89</f>
        <v>4</v>
      </c>
      <c r="Y88">
        <f t="shared" si="1"/>
        <v>4</v>
      </c>
      <c r="Z88" s="13">
        <f>IF(COUNTIFS(แปลงข้อมูล!H:H,Q88,แปลงข้อมูล!I:I,U88,แปลงข้อมูล!J:J,V88)&gt;0,SUMIFS(แปลงข้อมูล!Q:Q,แปลงข้อมูล!I:I,U88,แปลงข้อมูล!H:H,Q88,แปลงข้อมูล!J:J,V88),'mk 001 10.3'!Z89)</f>
        <v>4</v>
      </c>
      <c r="AA88">
        <f>'mk 001 10.3'!AA89</f>
        <v>0</v>
      </c>
      <c r="AB88">
        <f>'mk 001 10.3'!AB89</f>
        <v>0</v>
      </c>
      <c r="AC88">
        <f>'mk 001 10.3'!AC89</f>
        <v>0</v>
      </c>
      <c r="AD88">
        <f>'mk 001 10.3'!AD89</f>
        <v>0</v>
      </c>
      <c r="AE88">
        <f>'mk 001 10.3'!AE89</f>
        <v>4</v>
      </c>
      <c r="AF88">
        <f>'mk 001 10.3'!AF89</f>
        <v>4</v>
      </c>
      <c r="AG88">
        <f>'mk 001 10.3'!AG89</f>
        <v>0</v>
      </c>
      <c r="AH88">
        <f>'mk 001 10.3'!AH89</f>
        <v>0</v>
      </c>
      <c r="AI88" t="str">
        <f>'mk 001 10.3'!AI89</f>
        <v>OPRCD489MOPRCD00000OPRCDF213OPRCD00000OPRCD923</v>
      </c>
      <c r="AJ88" t="str">
        <f>'mk 001 10.3'!AJ89</f>
        <v>ซื้อ / ขาย</v>
      </c>
      <c r="AK88" t="str">
        <f>'mk 001 10.3'!AK89</f>
        <v>Main proudct</v>
      </c>
      <c r="AL88" t="str">
        <f>'mk 001 10.3'!AL89</f>
        <v>Seal Pack</v>
      </c>
      <c r="AM88" t="str">
        <f>'mk 001 10.3'!AM89</f>
        <v>สุกร</v>
      </c>
      <c r="AN88" t="str">
        <f>'mk 001 10.3'!AN89</f>
        <v>OT002 CC-Makro</v>
      </c>
      <c r="AO88" t="str">
        <f>'mk 001 10.3'!AO89</f>
        <v>MT</v>
      </c>
      <c r="AP88">
        <f>'mk 001 10.3'!AP89</f>
        <v>2</v>
      </c>
      <c r="AQ88">
        <f>'mk 001 10.3'!AQ89</f>
        <v>0</v>
      </c>
      <c r="AR88">
        <f>'mk 001 10.3'!AR89</f>
        <v>0</v>
      </c>
      <c r="AS88">
        <f>'mk 001 10.3'!AS89</f>
        <v>0</v>
      </c>
      <c r="AT88" t="str">
        <f>'mk 001 10.3'!AT89</f>
        <v>System Batch</v>
      </c>
      <c r="AU88" t="str">
        <f>'mk 001 10.3'!AU89</f>
        <v>2026-05-11-12.40.50.000000</v>
      </c>
      <c r="AV88" t="str">
        <f>'mk 001 10.3'!AV89</f>
        <v>แพ็ค</v>
      </c>
      <c r="AW88" t="str">
        <f>'mk 001 10.3'!AW89</f>
        <v>ก.ก.</v>
      </c>
      <c r="AX88" t="str">
        <f>'mk 001 10.3'!AX89</f>
        <v xml:space="preserve"> </v>
      </c>
      <c r="AY88">
        <f>'mk 001 10.3'!AY89</f>
        <v>0</v>
      </c>
      <c r="AZ88" t="str">
        <f>'mk 001 10.3'!AZ89</f>
        <v>N</v>
      </c>
      <c r="BA88" s="22">
        <f>'mk 001 10.3'!BA89</f>
        <v>9045089536574</v>
      </c>
      <c r="BB88">
        <f>'mk 001 10.3'!BB89</f>
        <v>0</v>
      </c>
      <c r="BC88">
        <f>'mk 001 10.3'!BC89</f>
        <v>0</v>
      </c>
      <c r="BD88">
        <f>'mk 001 10.3'!BD89</f>
        <v>1</v>
      </c>
      <c r="BE88">
        <f>'mk 001 10.3'!BE89</f>
        <v>0</v>
      </c>
      <c r="BF88">
        <f>'mk 001 10.3'!BF89</f>
        <v>0</v>
      </c>
      <c r="BG88">
        <f>'mk 001 10.3'!BG89</f>
        <v>1333314600</v>
      </c>
      <c r="BH88" t="str">
        <f>'mk 001 10.3'!BH89</f>
        <v>G</v>
      </c>
      <c r="BI88">
        <f>'mk 001 10.3'!BI89</f>
        <v>4</v>
      </c>
      <c r="BJ88">
        <f>'mk 001 10.3'!BJ89</f>
        <v>4</v>
      </c>
      <c r="BK88">
        <f>'mk 001 10.3'!BK89</f>
        <v>1300</v>
      </c>
      <c r="BL88" t="str">
        <f>'mk 001 10.3'!BL89</f>
        <v>SYSBATCH</v>
      </c>
      <c r="BM88">
        <f>'mk 001 10.3'!BM89</f>
        <v>0</v>
      </c>
      <c r="BN88">
        <f>'mk 001 10.3'!BN89</f>
        <v>0</v>
      </c>
    </row>
    <row r="89" spans="1:66" x14ac:dyDescent="0.35">
      <c r="A89">
        <f>'mk 001 10.3'!A90</f>
        <v>0</v>
      </c>
      <c r="B89">
        <f>'mk 001 10.3'!B90</f>
        <v>0</v>
      </c>
      <c r="C89" s="1" t="str">
        <f>'mk 001 10.3'!C90</f>
        <v>14/5/2569</v>
      </c>
      <c r="D89" s="1" t="str">
        <f>'mk 001 10.3'!D90</f>
        <v>14/5/2569</v>
      </c>
      <c r="E89">
        <f>'mk 001 10.3'!E90</f>
        <v>0</v>
      </c>
      <c r="F89" t="str">
        <f>'mk 001 10.3'!F90</f>
        <v>489M</v>
      </c>
      <c r="G89" t="str">
        <f>'mk 001 10.3'!G90</f>
        <v>Modern Trade (Makro)</v>
      </c>
      <c r="H89">
        <f>'mk 001 10.3'!H90</f>
        <v>0</v>
      </c>
      <c r="I89" t="str">
        <f>'mk 001 10.3'!I90</f>
        <v>หน่วยงานกลาง</v>
      </c>
      <c r="J89" t="str">
        <f>'mk 001 10.3'!J90</f>
        <v>F213  DMCW-รชล-พระพุทธบาท</v>
      </c>
      <c r="K89" t="str">
        <f>'mk 001 10.3'!K90</f>
        <v>00000  หน่วยงานกลาง</v>
      </c>
      <c r="L89">
        <f>'mk 001 10.3'!L90</f>
        <v>923</v>
      </c>
      <c r="M89">
        <f>'mk 001 10.3'!M90</f>
        <v>0</v>
      </c>
      <c r="N89" t="str">
        <f>'mk 001 10.3'!N90</f>
        <v>1A53010800</v>
      </c>
      <c r="O89" t="str">
        <f>'mk 001 10.3'!O90</f>
        <v>บมจ. ซีพี แอ็กซ์ตร้า สาขาสิงห์บุรี</v>
      </c>
      <c r="P89">
        <f>'mk 001 10.3'!P90</f>
        <v>2</v>
      </c>
      <c r="Q89" t="str">
        <f>'mk 001 10.3'!Q90</f>
        <v>MAKRO 0114 สิงห์บุรี</v>
      </c>
      <c r="R89" s="1">
        <f>'mk 001 10.3'!R90</f>
        <v>244658</v>
      </c>
      <c r="S89" s="1" t="str">
        <f>'mk 001 10.3'!S90</f>
        <v>14/5/2569</v>
      </c>
      <c r="T89" t="str">
        <f>'mk 001 10.3'!T90</f>
        <v>H6954RMA0059110</v>
      </c>
      <c r="U89">
        <f>'mk 001 10.3'!U90</f>
        <v>23097796</v>
      </c>
      <c r="V89" t="str">
        <f>'mk 001 10.3'!V90</f>
        <v>สามชั้นหมูตัดเส้น 1 กก. (M)</v>
      </c>
      <c r="W89">
        <f>'mk 001 10.3'!W90</f>
        <v>5</v>
      </c>
      <c r="X89">
        <f>'mk 001 10.3'!X90</f>
        <v>5</v>
      </c>
      <c r="Y89">
        <f t="shared" si="1"/>
        <v>5</v>
      </c>
      <c r="Z89" s="13">
        <f>IF(COUNTIFS(แปลงข้อมูล!H:H,Q89,แปลงข้อมูล!I:I,U89,แปลงข้อมูล!J:J,V89)&gt;0,SUMIFS(แปลงข้อมูล!Q:Q,แปลงข้อมูล!I:I,U89,แปลงข้อมูล!H:H,Q89,แปลงข้อมูล!J:J,V89),'mk 001 10.3'!Z90)</f>
        <v>5</v>
      </c>
      <c r="AA89">
        <f>'mk 001 10.3'!AA90</f>
        <v>0</v>
      </c>
      <c r="AB89">
        <f>'mk 001 10.3'!AB90</f>
        <v>0</v>
      </c>
      <c r="AC89">
        <f>'mk 001 10.3'!AC90</f>
        <v>0</v>
      </c>
      <c r="AD89">
        <f>'mk 001 10.3'!AD90</f>
        <v>0</v>
      </c>
      <c r="AE89">
        <f>'mk 001 10.3'!AE90</f>
        <v>5</v>
      </c>
      <c r="AF89">
        <f>'mk 001 10.3'!AF90</f>
        <v>5</v>
      </c>
      <c r="AG89">
        <f>'mk 001 10.3'!AG90</f>
        <v>0</v>
      </c>
      <c r="AH89">
        <f>'mk 001 10.3'!AH90</f>
        <v>0</v>
      </c>
      <c r="AI89" t="str">
        <f>'mk 001 10.3'!AI90</f>
        <v>OPRCD489MOPRCD00000OPRCDF213OPRCD00000OPRCD923</v>
      </c>
      <c r="AJ89" t="str">
        <f>'mk 001 10.3'!AJ90</f>
        <v>ซื้อ / ขาย</v>
      </c>
      <c r="AK89" t="str">
        <f>'mk 001 10.3'!AK90</f>
        <v>Main proudct</v>
      </c>
      <c r="AL89" t="str">
        <f>'mk 001 10.3'!AL90</f>
        <v>Bulk Normal</v>
      </c>
      <c r="AM89" t="str">
        <f>'mk 001 10.3'!AM90</f>
        <v>สุกร</v>
      </c>
      <c r="AN89" t="str">
        <f>'mk 001 10.3'!AN90</f>
        <v>OT002 CC-Makro</v>
      </c>
      <c r="AO89" t="str">
        <f>'mk 001 10.3'!AO90</f>
        <v>MT</v>
      </c>
      <c r="AP89">
        <f>'mk 001 10.3'!AP90</f>
        <v>2</v>
      </c>
      <c r="AQ89">
        <f>'mk 001 10.3'!AQ90</f>
        <v>0</v>
      </c>
      <c r="AR89">
        <f>'mk 001 10.3'!AR90</f>
        <v>0</v>
      </c>
      <c r="AS89">
        <f>'mk 001 10.3'!AS90</f>
        <v>0</v>
      </c>
      <c r="AT89" t="str">
        <f>'mk 001 10.3'!AT90</f>
        <v>System Batch</v>
      </c>
      <c r="AU89" t="str">
        <f>'mk 001 10.3'!AU90</f>
        <v>2026-05-11-12.40.50.000000</v>
      </c>
      <c r="AV89" t="str">
        <f>'mk 001 10.3'!AV90</f>
        <v>แพ็ค</v>
      </c>
      <c r="AW89" t="str">
        <f>'mk 001 10.3'!AW90</f>
        <v>ก.ก.</v>
      </c>
      <c r="AX89" t="str">
        <f>'mk 001 10.3'!AX90</f>
        <v xml:space="preserve"> </v>
      </c>
      <c r="AY89">
        <f>'mk 001 10.3'!AY90</f>
        <v>0</v>
      </c>
      <c r="AZ89" t="str">
        <f>'mk 001 10.3'!AZ90</f>
        <v>N</v>
      </c>
      <c r="BA89" s="22">
        <f>'mk 001 10.3'!BA90</f>
        <v>9045089536574</v>
      </c>
      <c r="BB89">
        <f>'mk 001 10.3'!BB90</f>
        <v>0</v>
      </c>
      <c r="BC89">
        <f>'mk 001 10.3'!BC90</f>
        <v>0</v>
      </c>
      <c r="BD89">
        <f>'mk 001 10.3'!BD90</f>
        <v>1</v>
      </c>
      <c r="BE89">
        <f>'mk 001 10.3'!BE90</f>
        <v>0</v>
      </c>
      <c r="BF89">
        <f>'mk 001 10.3'!BF90</f>
        <v>0</v>
      </c>
      <c r="BG89">
        <f>'mk 001 10.3'!BG90</f>
        <v>1333314600</v>
      </c>
      <c r="BH89" t="str">
        <f>'mk 001 10.3'!BH90</f>
        <v>G</v>
      </c>
      <c r="BI89">
        <f>'mk 001 10.3'!BI90</f>
        <v>5</v>
      </c>
      <c r="BJ89">
        <f>'mk 001 10.3'!BJ90</f>
        <v>5</v>
      </c>
      <c r="BK89">
        <f>'mk 001 10.3'!BK90</f>
        <v>1300</v>
      </c>
      <c r="BL89" t="str">
        <f>'mk 001 10.3'!BL90</f>
        <v>SYSBATCH</v>
      </c>
      <c r="BM89">
        <f>'mk 001 10.3'!BM90</f>
        <v>0</v>
      </c>
      <c r="BN89">
        <f>'mk 001 10.3'!BN90</f>
        <v>0</v>
      </c>
    </row>
    <row r="90" spans="1:66" x14ac:dyDescent="0.35">
      <c r="A90">
        <f>'mk 001 10.3'!A91</f>
        <v>0</v>
      </c>
      <c r="B90">
        <f>'mk 001 10.3'!B91</f>
        <v>0</v>
      </c>
      <c r="C90" s="1" t="str">
        <f>'mk 001 10.3'!C91</f>
        <v>14/5/2569</v>
      </c>
      <c r="D90" s="1" t="str">
        <f>'mk 001 10.3'!D91</f>
        <v>14/5/2569</v>
      </c>
      <c r="E90">
        <f>'mk 001 10.3'!E91</f>
        <v>0</v>
      </c>
      <c r="F90" t="str">
        <f>'mk 001 10.3'!F91</f>
        <v>489M</v>
      </c>
      <c r="G90" t="str">
        <f>'mk 001 10.3'!G91</f>
        <v>Modern Trade (Makro)</v>
      </c>
      <c r="H90">
        <f>'mk 001 10.3'!H91</f>
        <v>0</v>
      </c>
      <c r="I90" t="str">
        <f>'mk 001 10.3'!I91</f>
        <v>หน่วยงานกลาง</v>
      </c>
      <c r="J90" t="str">
        <f>'mk 001 10.3'!J91</f>
        <v>F213  DMCW-รชล-พระพุทธบาท</v>
      </c>
      <c r="K90" t="str">
        <f>'mk 001 10.3'!K91</f>
        <v>00000  หน่วยงานกลาง</v>
      </c>
      <c r="L90">
        <f>'mk 001 10.3'!L91</f>
        <v>923</v>
      </c>
      <c r="M90">
        <f>'mk 001 10.3'!M91</f>
        <v>0</v>
      </c>
      <c r="N90" t="str">
        <f>'mk 001 10.3'!N91</f>
        <v>1A53010800</v>
      </c>
      <c r="O90" t="str">
        <f>'mk 001 10.3'!O91</f>
        <v>บมจ. ซีพี แอ็กซ์ตร้า สาขาสิงห์บุรี</v>
      </c>
      <c r="P90">
        <f>'mk 001 10.3'!P91</f>
        <v>2</v>
      </c>
      <c r="Q90" t="str">
        <f>'mk 001 10.3'!Q91</f>
        <v>MAKRO 0114 สิงห์บุรี</v>
      </c>
      <c r="R90" s="1">
        <f>'mk 001 10.3'!R91</f>
        <v>244658</v>
      </c>
      <c r="S90" s="1" t="str">
        <f>'mk 001 10.3'!S91</f>
        <v>14/5/2569</v>
      </c>
      <c r="T90" t="str">
        <f>'mk 001 10.3'!T91</f>
        <v>H6954RMA0059110</v>
      </c>
      <c r="U90">
        <f>'mk 001 10.3'!U91</f>
        <v>23111033</v>
      </c>
      <c r="V90" t="str">
        <f>'mk 001 10.3'!V91</f>
        <v>สามชั้นหมูสดสไลซ์แพ็คถาด 500 กรัม</v>
      </c>
      <c r="W90">
        <f>'mk 001 10.3'!W91</f>
        <v>12</v>
      </c>
      <c r="X90">
        <f>'mk 001 10.3'!X91</f>
        <v>6</v>
      </c>
      <c r="Y90">
        <f t="shared" si="1"/>
        <v>12</v>
      </c>
      <c r="Z90" s="13">
        <f>IF(COUNTIFS(แปลงข้อมูล!H:H,Q90,แปลงข้อมูล!I:I,U90,แปลงข้อมูล!J:J,V90)&gt;0,SUMIFS(แปลงข้อมูล!Q:Q,แปลงข้อมูล!I:I,U90,แปลงข้อมูล!H:H,Q90,แปลงข้อมูล!J:J,V90),'mk 001 10.3'!Z91)</f>
        <v>6</v>
      </c>
      <c r="AA90">
        <f>'mk 001 10.3'!AA91</f>
        <v>0</v>
      </c>
      <c r="AB90">
        <f>'mk 001 10.3'!AB91</f>
        <v>0</v>
      </c>
      <c r="AC90">
        <f>'mk 001 10.3'!AC91</f>
        <v>0</v>
      </c>
      <c r="AD90">
        <f>'mk 001 10.3'!AD91</f>
        <v>0</v>
      </c>
      <c r="AE90">
        <f>'mk 001 10.3'!AE91</f>
        <v>12</v>
      </c>
      <c r="AF90">
        <f>'mk 001 10.3'!AF91</f>
        <v>6</v>
      </c>
      <c r="AG90">
        <f>'mk 001 10.3'!AG91</f>
        <v>0</v>
      </c>
      <c r="AH90">
        <f>'mk 001 10.3'!AH91</f>
        <v>0</v>
      </c>
      <c r="AI90" t="str">
        <f>'mk 001 10.3'!AI91</f>
        <v>OPRCD489MOPRCD00000OPRCDF213OPRCD00000OPRCD923</v>
      </c>
      <c r="AJ90" t="str">
        <f>'mk 001 10.3'!AJ91</f>
        <v>ซื้อ / ขาย</v>
      </c>
      <c r="AK90" t="str">
        <f>'mk 001 10.3'!AK91</f>
        <v>Main proudct</v>
      </c>
      <c r="AL90" t="str">
        <f>'mk 001 10.3'!AL91</f>
        <v>Seal Pack</v>
      </c>
      <c r="AM90" t="str">
        <f>'mk 001 10.3'!AM91</f>
        <v>สุกร</v>
      </c>
      <c r="AN90" t="str">
        <f>'mk 001 10.3'!AN91</f>
        <v>OT002 CC-Makro</v>
      </c>
      <c r="AO90" t="str">
        <f>'mk 001 10.3'!AO91</f>
        <v>MT</v>
      </c>
      <c r="AP90">
        <f>'mk 001 10.3'!AP91</f>
        <v>2</v>
      </c>
      <c r="AQ90">
        <f>'mk 001 10.3'!AQ91</f>
        <v>0</v>
      </c>
      <c r="AR90">
        <f>'mk 001 10.3'!AR91</f>
        <v>0</v>
      </c>
      <c r="AS90">
        <f>'mk 001 10.3'!AS91</f>
        <v>0</v>
      </c>
      <c r="AT90" t="str">
        <f>'mk 001 10.3'!AT91</f>
        <v>System Batch</v>
      </c>
      <c r="AU90" t="str">
        <f>'mk 001 10.3'!AU91</f>
        <v>2026-05-11-12.40.50.000000</v>
      </c>
      <c r="AV90" t="str">
        <f>'mk 001 10.3'!AV91</f>
        <v>แพ็ค</v>
      </c>
      <c r="AW90" t="str">
        <f>'mk 001 10.3'!AW91</f>
        <v>ก.ก.</v>
      </c>
      <c r="AX90" t="str">
        <f>'mk 001 10.3'!AX91</f>
        <v xml:space="preserve"> </v>
      </c>
      <c r="AY90">
        <f>'mk 001 10.3'!AY91</f>
        <v>0</v>
      </c>
      <c r="AZ90" t="str">
        <f>'mk 001 10.3'!AZ91</f>
        <v>N</v>
      </c>
      <c r="BA90" s="22">
        <f>'mk 001 10.3'!BA91</f>
        <v>9045089536574</v>
      </c>
      <c r="BB90">
        <f>'mk 001 10.3'!BB91</f>
        <v>0</v>
      </c>
      <c r="BC90">
        <f>'mk 001 10.3'!BC91</f>
        <v>0</v>
      </c>
      <c r="BD90">
        <f>'mk 001 10.3'!BD91</f>
        <v>1</v>
      </c>
      <c r="BE90">
        <f>'mk 001 10.3'!BE91</f>
        <v>0</v>
      </c>
      <c r="BF90">
        <f>'mk 001 10.3'!BF91</f>
        <v>0</v>
      </c>
      <c r="BG90">
        <f>'mk 001 10.3'!BG91</f>
        <v>1333314600</v>
      </c>
      <c r="BH90" t="str">
        <f>'mk 001 10.3'!BH91</f>
        <v>G</v>
      </c>
      <c r="BI90">
        <f>'mk 001 10.3'!BI91</f>
        <v>12</v>
      </c>
      <c r="BJ90">
        <f>'mk 001 10.3'!BJ91</f>
        <v>6</v>
      </c>
      <c r="BK90">
        <f>'mk 001 10.3'!BK91</f>
        <v>1300</v>
      </c>
      <c r="BL90" t="str">
        <f>'mk 001 10.3'!BL91</f>
        <v>SYSBATCH</v>
      </c>
      <c r="BM90">
        <f>'mk 001 10.3'!BM91</f>
        <v>0</v>
      </c>
      <c r="BN90">
        <f>'mk 001 10.3'!BN91</f>
        <v>0</v>
      </c>
    </row>
    <row r="91" spans="1:66" x14ac:dyDescent="0.35">
      <c r="A91">
        <f>'mk 001 10.3'!A92</f>
        <v>0</v>
      </c>
      <c r="B91">
        <f>'mk 001 10.3'!B92</f>
        <v>0</v>
      </c>
      <c r="C91" s="1" t="str">
        <f>'mk 001 10.3'!C92</f>
        <v>14/5/2569</v>
      </c>
      <c r="D91" s="1" t="str">
        <f>'mk 001 10.3'!D92</f>
        <v>14/5/2569</v>
      </c>
      <c r="E91">
        <f>'mk 001 10.3'!E92</f>
        <v>0</v>
      </c>
      <c r="F91" t="str">
        <f>'mk 001 10.3'!F92</f>
        <v>489M</v>
      </c>
      <c r="G91" t="str">
        <f>'mk 001 10.3'!G92</f>
        <v>Modern Trade (Makro)</v>
      </c>
      <c r="H91">
        <f>'mk 001 10.3'!H92</f>
        <v>0</v>
      </c>
      <c r="I91" t="str">
        <f>'mk 001 10.3'!I92</f>
        <v>หน่วยงานกลาง</v>
      </c>
      <c r="J91" t="str">
        <f>'mk 001 10.3'!J92</f>
        <v>F213  DMCW-รชล-พระพุทธบาท</v>
      </c>
      <c r="K91" t="str">
        <f>'mk 001 10.3'!K92</f>
        <v>00000  หน่วยงานกลาง</v>
      </c>
      <c r="L91">
        <f>'mk 001 10.3'!L92</f>
        <v>923</v>
      </c>
      <c r="M91">
        <f>'mk 001 10.3'!M92</f>
        <v>0</v>
      </c>
      <c r="N91" t="str">
        <f>'mk 001 10.3'!N92</f>
        <v>1A53010800</v>
      </c>
      <c r="O91" t="str">
        <f>'mk 001 10.3'!O92</f>
        <v>บมจ. ซีพี แอ็กซ์ตร้า สาขาสิงห์บุรี</v>
      </c>
      <c r="P91">
        <f>'mk 001 10.3'!P92</f>
        <v>2</v>
      </c>
      <c r="Q91" t="str">
        <f>'mk 001 10.3'!Q92</f>
        <v>MAKRO 0114 สิงห์บุรี</v>
      </c>
      <c r="R91" s="1">
        <f>'mk 001 10.3'!R92</f>
        <v>244658</v>
      </c>
      <c r="S91" s="1" t="str">
        <f>'mk 001 10.3'!S92</f>
        <v>14/5/2569</v>
      </c>
      <c r="T91" t="str">
        <f>'mk 001 10.3'!T92</f>
        <v>H6954RMA0059110</v>
      </c>
      <c r="U91">
        <f>'mk 001 10.3'!U92</f>
        <v>23110590</v>
      </c>
      <c r="V91" t="str">
        <f>'mk 001 10.3'!V92</f>
        <v>หมูบด ผสมมัน 10% แพ็คถาด 1 กก.</v>
      </c>
      <c r="W91">
        <f>'mk 001 10.3'!W92</f>
        <v>4</v>
      </c>
      <c r="X91">
        <f>'mk 001 10.3'!X92</f>
        <v>4</v>
      </c>
      <c r="Y91">
        <f t="shared" si="1"/>
        <v>4</v>
      </c>
      <c r="Z91" s="13">
        <f>IF(COUNTIFS(แปลงข้อมูล!H:H,Q91,แปลงข้อมูล!I:I,U91,แปลงข้อมูล!J:J,V91)&gt;0,SUMIFS(แปลงข้อมูล!Q:Q,แปลงข้อมูล!I:I,U91,แปลงข้อมูล!H:H,Q91,แปลงข้อมูล!J:J,V91),'mk 001 10.3'!Z92)</f>
        <v>4</v>
      </c>
      <c r="AA91">
        <f>'mk 001 10.3'!AA92</f>
        <v>0</v>
      </c>
      <c r="AB91">
        <f>'mk 001 10.3'!AB92</f>
        <v>0</v>
      </c>
      <c r="AC91">
        <f>'mk 001 10.3'!AC92</f>
        <v>0</v>
      </c>
      <c r="AD91">
        <f>'mk 001 10.3'!AD92</f>
        <v>0</v>
      </c>
      <c r="AE91">
        <f>'mk 001 10.3'!AE92</f>
        <v>4</v>
      </c>
      <c r="AF91">
        <f>'mk 001 10.3'!AF92</f>
        <v>4</v>
      </c>
      <c r="AG91">
        <f>'mk 001 10.3'!AG92</f>
        <v>0</v>
      </c>
      <c r="AH91">
        <f>'mk 001 10.3'!AH92</f>
        <v>0</v>
      </c>
      <c r="AI91" t="str">
        <f>'mk 001 10.3'!AI92</f>
        <v>OPRCD489MOPRCD00000OPRCDF213OPRCD00000OPRCD923</v>
      </c>
      <c r="AJ91" t="str">
        <f>'mk 001 10.3'!AJ92</f>
        <v>ซื้อ / ขาย</v>
      </c>
      <c r="AK91" t="str">
        <f>'mk 001 10.3'!AK92</f>
        <v>Main proudct</v>
      </c>
      <c r="AL91" t="str">
        <f>'mk 001 10.3'!AL92</f>
        <v>Seal Pack</v>
      </c>
      <c r="AM91" t="str">
        <f>'mk 001 10.3'!AM92</f>
        <v>สุกร</v>
      </c>
      <c r="AN91" t="str">
        <f>'mk 001 10.3'!AN92</f>
        <v>OT002 CC-Makro</v>
      </c>
      <c r="AO91" t="str">
        <f>'mk 001 10.3'!AO92</f>
        <v>MT</v>
      </c>
      <c r="AP91">
        <f>'mk 001 10.3'!AP92</f>
        <v>2</v>
      </c>
      <c r="AQ91">
        <f>'mk 001 10.3'!AQ92</f>
        <v>0</v>
      </c>
      <c r="AR91">
        <f>'mk 001 10.3'!AR92</f>
        <v>0</v>
      </c>
      <c r="AS91">
        <f>'mk 001 10.3'!AS92</f>
        <v>0</v>
      </c>
      <c r="AT91" t="str">
        <f>'mk 001 10.3'!AT92</f>
        <v>System Batch</v>
      </c>
      <c r="AU91" t="str">
        <f>'mk 001 10.3'!AU92</f>
        <v>2026-05-11-12.40.50.000000</v>
      </c>
      <c r="AV91" t="str">
        <f>'mk 001 10.3'!AV92</f>
        <v>แพ็ค</v>
      </c>
      <c r="AW91" t="str">
        <f>'mk 001 10.3'!AW92</f>
        <v>ก.ก.</v>
      </c>
      <c r="AX91" t="str">
        <f>'mk 001 10.3'!AX92</f>
        <v xml:space="preserve"> </v>
      </c>
      <c r="AY91">
        <f>'mk 001 10.3'!AY92</f>
        <v>0</v>
      </c>
      <c r="AZ91" t="str">
        <f>'mk 001 10.3'!AZ92</f>
        <v>N</v>
      </c>
      <c r="BA91" s="22">
        <f>'mk 001 10.3'!BA92</f>
        <v>9045089536574</v>
      </c>
      <c r="BB91">
        <f>'mk 001 10.3'!BB92</f>
        <v>0</v>
      </c>
      <c r="BC91">
        <f>'mk 001 10.3'!BC92</f>
        <v>0</v>
      </c>
      <c r="BD91">
        <f>'mk 001 10.3'!BD92</f>
        <v>1</v>
      </c>
      <c r="BE91">
        <f>'mk 001 10.3'!BE92</f>
        <v>0</v>
      </c>
      <c r="BF91">
        <f>'mk 001 10.3'!BF92</f>
        <v>0</v>
      </c>
      <c r="BG91">
        <f>'mk 001 10.3'!BG92</f>
        <v>1333314600</v>
      </c>
      <c r="BH91" t="str">
        <f>'mk 001 10.3'!BH92</f>
        <v>G</v>
      </c>
      <c r="BI91">
        <f>'mk 001 10.3'!BI92</f>
        <v>4</v>
      </c>
      <c r="BJ91">
        <f>'mk 001 10.3'!BJ92</f>
        <v>4</v>
      </c>
      <c r="BK91">
        <f>'mk 001 10.3'!BK92</f>
        <v>1300</v>
      </c>
      <c r="BL91" t="str">
        <f>'mk 001 10.3'!BL92</f>
        <v>SYSBATCH</v>
      </c>
      <c r="BM91">
        <f>'mk 001 10.3'!BM92</f>
        <v>0</v>
      </c>
      <c r="BN91">
        <f>'mk 001 10.3'!BN92</f>
        <v>0</v>
      </c>
    </row>
    <row r="92" spans="1:66" x14ac:dyDescent="0.35">
      <c r="A92">
        <f>'mk 001 10.3'!A93</f>
        <v>0</v>
      </c>
      <c r="B92">
        <f>'mk 001 10.3'!B93</f>
        <v>0</v>
      </c>
      <c r="C92" s="1" t="str">
        <f>'mk 001 10.3'!C93</f>
        <v>14/5/2569</v>
      </c>
      <c r="D92" s="1" t="str">
        <f>'mk 001 10.3'!D93</f>
        <v>14/5/2569</v>
      </c>
      <c r="E92">
        <f>'mk 001 10.3'!E93</f>
        <v>0</v>
      </c>
      <c r="F92" t="str">
        <f>'mk 001 10.3'!F93</f>
        <v>489M</v>
      </c>
      <c r="G92" t="str">
        <f>'mk 001 10.3'!G93</f>
        <v>Modern Trade (Makro)</v>
      </c>
      <c r="H92">
        <f>'mk 001 10.3'!H93</f>
        <v>0</v>
      </c>
      <c r="I92" t="str">
        <f>'mk 001 10.3'!I93</f>
        <v>หน่วยงานกลาง</v>
      </c>
      <c r="J92" t="str">
        <f>'mk 001 10.3'!J93</f>
        <v>F213  DMCW-รชล-พระพุทธบาท</v>
      </c>
      <c r="K92" t="str">
        <f>'mk 001 10.3'!K93</f>
        <v>00000  หน่วยงานกลาง</v>
      </c>
      <c r="L92">
        <f>'mk 001 10.3'!L93</f>
        <v>923</v>
      </c>
      <c r="M92">
        <f>'mk 001 10.3'!M93</f>
        <v>0</v>
      </c>
      <c r="N92" t="str">
        <f>'mk 001 10.3'!N93</f>
        <v>1A53010800</v>
      </c>
      <c r="O92" t="str">
        <f>'mk 001 10.3'!O93</f>
        <v>บมจ. ซีพี แอ็กซ์ตร้า สาขาสิงห์บุรี</v>
      </c>
      <c r="P92">
        <f>'mk 001 10.3'!P93</f>
        <v>2</v>
      </c>
      <c r="Q92" t="str">
        <f>'mk 001 10.3'!Q93</f>
        <v>MAKRO 0114 สิงห์บุรี</v>
      </c>
      <c r="R92" s="1">
        <f>'mk 001 10.3'!R93</f>
        <v>244658</v>
      </c>
      <c r="S92" s="1" t="str">
        <f>'mk 001 10.3'!S93</f>
        <v>14/5/2569</v>
      </c>
      <c r="T92" t="str">
        <f>'mk 001 10.3'!T93</f>
        <v>H6954RMA0059110</v>
      </c>
      <c r="U92">
        <f>'mk 001 10.3'!U93</f>
        <v>23110631</v>
      </c>
      <c r="V92" t="str">
        <f>'mk 001 10.3'!V93</f>
        <v>ชุดหมูสไลซ์รวม 1500 กรัม</v>
      </c>
      <c r="W92">
        <f>'mk 001 10.3'!W93</f>
        <v>4</v>
      </c>
      <c r="X92">
        <f>'mk 001 10.3'!X93</f>
        <v>6</v>
      </c>
      <c r="Y92">
        <f t="shared" si="1"/>
        <v>4</v>
      </c>
      <c r="Z92" s="13">
        <f>IF(COUNTIFS(แปลงข้อมูล!H:H,Q92,แปลงข้อมูล!I:I,U92,แปลงข้อมูล!J:J,V92)&gt;0,SUMIFS(แปลงข้อมูล!Q:Q,แปลงข้อมูล!I:I,U92,แปลงข้อมูล!H:H,Q92,แปลงข้อมูล!J:J,V92),'mk 001 10.3'!Z93)</f>
        <v>6</v>
      </c>
      <c r="AA92">
        <f>'mk 001 10.3'!AA93</f>
        <v>0</v>
      </c>
      <c r="AB92">
        <f>'mk 001 10.3'!AB93</f>
        <v>0</v>
      </c>
      <c r="AC92">
        <f>'mk 001 10.3'!AC93</f>
        <v>0</v>
      </c>
      <c r="AD92">
        <f>'mk 001 10.3'!AD93</f>
        <v>0</v>
      </c>
      <c r="AE92">
        <f>'mk 001 10.3'!AE93</f>
        <v>4</v>
      </c>
      <c r="AF92">
        <f>'mk 001 10.3'!AF93</f>
        <v>6</v>
      </c>
      <c r="AG92">
        <f>'mk 001 10.3'!AG93</f>
        <v>0</v>
      </c>
      <c r="AH92">
        <f>'mk 001 10.3'!AH93</f>
        <v>0</v>
      </c>
      <c r="AI92" t="str">
        <f>'mk 001 10.3'!AI93</f>
        <v>OPRCD489MOPRCD00000OPRCDF213OPRCD00000OPRCD923</v>
      </c>
      <c r="AJ92" t="str">
        <f>'mk 001 10.3'!AJ93</f>
        <v>ซื้อ / ขาย</v>
      </c>
      <c r="AK92" t="str">
        <f>'mk 001 10.3'!AK93</f>
        <v>Main proudct</v>
      </c>
      <c r="AL92" t="str">
        <f>'mk 001 10.3'!AL93</f>
        <v>Seal Pack</v>
      </c>
      <c r="AM92" t="str">
        <f>'mk 001 10.3'!AM93</f>
        <v>สุกร</v>
      </c>
      <c r="AN92" t="str">
        <f>'mk 001 10.3'!AN93</f>
        <v>OT002 CC-Makro</v>
      </c>
      <c r="AO92" t="str">
        <f>'mk 001 10.3'!AO93</f>
        <v>MT</v>
      </c>
      <c r="AP92">
        <f>'mk 001 10.3'!AP93</f>
        <v>2</v>
      </c>
      <c r="AQ92">
        <f>'mk 001 10.3'!AQ93</f>
        <v>0</v>
      </c>
      <c r="AR92">
        <f>'mk 001 10.3'!AR93</f>
        <v>0</v>
      </c>
      <c r="AS92">
        <f>'mk 001 10.3'!AS93</f>
        <v>0</v>
      </c>
      <c r="AT92" t="str">
        <f>'mk 001 10.3'!AT93</f>
        <v>System Batch</v>
      </c>
      <c r="AU92" t="str">
        <f>'mk 001 10.3'!AU93</f>
        <v>2026-05-11-12.40.50.000000</v>
      </c>
      <c r="AV92" t="str">
        <f>'mk 001 10.3'!AV93</f>
        <v>แพ็ค</v>
      </c>
      <c r="AW92" t="str">
        <f>'mk 001 10.3'!AW93</f>
        <v>ก.ก.</v>
      </c>
      <c r="AX92" t="str">
        <f>'mk 001 10.3'!AX93</f>
        <v xml:space="preserve"> </v>
      </c>
      <c r="AY92">
        <f>'mk 001 10.3'!AY93</f>
        <v>0</v>
      </c>
      <c r="AZ92" t="str">
        <f>'mk 001 10.3'!AZ93</f>
        <v>N</v>
      </c>
      <c r="BA92" s="22">
        <f>'mk 001 10.3'!BA93</f>
        <v>9045089536574</v>
      </c>
      <c r="BB92">
        <f>'mk 001 10.3'!BB93</f>
        <v>0</v>
      </c>
      <c r="BC92">
        <f>'mk 001 10.3'!BC93</f>
        <v>0</v>
      </c>
      <c r="BD92">
        <f>'mk 001 10.3'!BD93</f>
        <v>1</v>
      </c>
      <c r="BE92">
        <f>'mk 001 10.3'!BE93</f>
        <v>0</v>
      </c>
      <c r="BF92">
        <f>'mk 001 10.3'!BF93</f>
        <v>0</v>
      </c>
      <c r="BG92">
        <f>'mk 001 10.3'!BG93</f>
        <v>1333314600</v>
      </c>
      <c r="BH92" t="str">
        <f>'mk 001 10.3'!BH93</f>
        <v>G</v>
      </c>
      <c r="BI92">
        <f>'mk 001 10.3'!BI93</f>
        <v>4</v>
      </c>
      <c r="BJ92">
        <f>'mk 001 10.3'!BJ93</f>
        <v>6</v>
      </c>
      <c r="BK92">
        <f>'mk 001 10.3'!BK93</f>
        <v>1300</v>
      </c>
      <c r="BL92" t="str">
        <f>'mk 001 10.3'!BL93</f>
        <v>SYSBATCH</v>
      </c>
      <c r="BM92">
        <f>'mk 001 10.3'!BM93</f>
        <v>0</v>
      </c>
      <c r="BN92">
        <f>'mk 001 10.3'!BN93</f>
        <v>0</v>
      </c>
    </row>
    <row r="93" spans="1:66" x14ac:dyDescent="0.35">
      <c r="A93">
        <f>'mk 001 10.3'!A94</f>
        <v>0</v>
      </c>
      <c r="B93">
        <f>'mk 001 10.3'!B94</f>
        <v>0</v>
      </c>
      <c r="C93" s="1" t="str">
        <f>'mk 001 10.3'!C94</f>
        <v>14/5/2569</v>
      </c>
      <c r="D93" s="1" t="str">
        <f>'mk 001 10.3'!D94</f>
        <v>14/5/2569</v>
      </c>
      <c r="E93">
        <f>'mk 001 10.3'!E94</f>
        <v>0</v>
      </c>
      <c r="F93" t="str">
        <f>'mk 001 10.3'!F94</f>
        <v>489M</v>
      </c>
      <c r="G93" t="str">
        <f>'mk 001 10.3'!G94</f>
        <v>Modern Trade (Makro)</v>
      </c>
      <c r="H93">
        <f>'mk 001 10.3'!H94</f>
        <v>0</v>
      </c>
      <c r="I93" t="str">
        <f>'mk 001 10.3'!I94</f>
        <v>หน่วยงานกลาง</v>
      </c>
      <c r="J93" t="str">
        <f>'mk 001 10.3'!J94</f>
        <v>F213  DMCW-รชล-พระพุทธบาท</v>
      </c>
      <c r="K93" t="str">
        <f>'mk 001 10.3'!K94</f>
        <v>00000  หน่วยงานกลาง</v>
      </c>
      <c r="L93">
        <f>'mk 001 10.3'!L94</f>
        <v>923</v>
      </c>
      <c r="M93">
        <f>'mk 001 10.3'!M94</f>
        <v>0</v>
      </c>
      <c r="N93" t="str">
        <f>'mk 001 10.3'!N94</f>
        <v>1A53010800</v>
      </c>
      <c r="O93" t="str">
        <f>'mk 001 10.3'!O94</f>
        <v>บมจ. ซีพี แอ็กซ์ตร้า สาขาสิงห์บุรี</v>
      </c>
      <c r="P93">
        <f>'mk 001 10.3'!P94</f>
        <v>2</v>
      </c>
      <c r="Q93" t="str">
        <f>'mk 001 10.3'!Q94</f>
        <v>MAKRO 0114 สิงห์บุรี</v>
      </c>
      <c r="R93" s="1">
        <f>'mk 001 10.3'!R94</f>
        <v>244658</v>
      </c>
      <c r="S93" s="1" t="str">
        <f>'mk 001 10.3'!S94</f>
        <v>14/5/2569</v>
      </c>
      <c r="T93" t="str">
        <f>'mk 001 10.3'!T94</f>
        <v>H6954RMA0059110</v>
      </c>
      <c r="U93">
        <f>'mk 001 10.3'!U94</f>
        <v>23097792</v>
      </c>
      <c r="V93" t="str">
        <f>'mk 001 10.3'!V94</f>
        <v>สันคอหมูตัดชิ้น 1 กก. (M)</v>
      </c>
      <c r="W93">
        <f>'mk 001 10.3'!W94</f>
        <v>3</v>
      </c>
      <c r="X93">
        <f>'mk 001 10.3'!X94</f>
        <v>3</v>
      </c>
      <c r="Y93">
        <f t="shared" si="1"/>
        <v>3</v>
      </c>
      <c r="Z93" s="13">
        <f>IF(COUNTIFS(แปลงข้อมูล!H:H,Q93,แปลงข้อมูล!I:I,U93,แปลงข้อมูล!J:J,V93)&gt;0,SUMIFS(แปลงข้อมูล!Q:Q,แปลงข้อมูล!I:I,U93,แปลงข้อมูล!H:H,Q93,แปลงข้อมูล!J:J,V93),'mk 001 10.3'!Z94)</f>
        <v>3</v>
      </c>
      <c r="AA93">
        <f>'mk 001 10.3'!AA94</f>
        <v>0</v>
      </c>
      <c r="AB93">
        <f>'mk 001 10.3'!AB94</f>
        <v>0</v>
      </c>
      <c r="AC93">
        <f>'mk 001 10.3'!AC94</f>
        <v>0</v>
      </c>
      <c r="AD93">
        <f>'mk 001 10.3'!AD94</f>
        <v>0</v>
      </c>
      <c r="AE93">
        <f>'mk 001 10.3'!AE94</f>
        <v>3</v>
      </c>
      <c r="AF93">
        <f>'mk 001 10.3'!AF94</f>
        <v>3</v>
      </c>
      <c r="AG93">
        <f>'mk 001 10.3'!AG94</f>
        <v>0</v>
      </c>
      <c r="AH93">
        <f>'mk 001 10.3'!AH94</f>
        <v>0</v>
      </c>
      <c r="AI93" t="str">
        <f>'mk 001 10.3'!AI94</f>
        <v>OPRCD489MOPRCD00000OPRCDF213OPRCD00000OPRCD923</v>
      </c>
      <c r="AJ93" t="str">
        <f>'mk 001 10.3'!AJ94</f>
        <v>ซื้อ / ขาย</v>
      </c>
      <c r="AK93" t="str">
        <f>'mk 001 10.3'!AK94</f>
        <v>Main proudct</v>
      </c>
      <c r="AL93" t="str">
        <f>'mk 001 10.3'!AL94</f>
        <v>Bulk Normal</v>
      </c>
      <c r="AM93" t="str">
        <f>'mk 001 10.3'!AM94</f>
        <v>สุกร</v>
      </c>
      <c r="AN93" t="str">
        <f>'mk 001 10.3'!AN94</f>
        <v>OT002 CC-Makro</v>
      </c>
      <c r="AO93" t="str">
        <f>'mk 001 10.3'!AO94</f>
        <v>MT</v>
      </c>
      <c r="AP93">
        <f>'mk 001 10.3'!AP94</f>
        <v>2</v>
      </c>
      <c r="AQ93">
        <f>'mk 001 10.3'!AQ94</f>
        <v>0</v>
      </c>
      <c r="AR93">
        <f>'mk 001 10.3'!AR94</f>
        <v>0</v>
      </c>
      <c r="AS93">
        <f>'mk 001 10.3'!AS94</f>
        <v>0</v>
      </c>
      <c r="AT93" t="str">
        <f>'mk 001 10.3'!AT94</f>
        <v>System Batch</v>
      </c>
      <c r="AU93" t="str">
        <f>'mk 001 10.3'!AU94</f>
        <v>2026-05-11-12.40.50.000000</v>
      </c>
      <c r="AV93" t="str">
        <f>'mk 001 10.3'!AV94</f>
        <v>แพ็ค</v>
      </c>
      <c r="AW93" t="str">
        <f>'mk 001 10.3'!AW94</f>
        <v>ก.ก.</v>
      </c>
      <c r="AX93" t="str">
        <f>'mk 001 10.3'!AX94</f>
        <v xml:space="preserve"> </v>
      </c>
      <c r="AY93">
        <f>'mk 001 10.3'!AY94</f>
        <v>0</v>
      </c>
      <c r="AZ93" t="str">
        <f>'mk 001 10.3'!AZ94</f>
        <v>N</v>
      </c>
      <c r="BA93" s="22">
        <f>'mk 001 10.3'!BA94</f>
        <v>9045089536574</v>
      </c>
      <c r="BB93">
        <f>'mk 001 10.3'!BB94</f>
        <v>0</v>
      </c>
      <c r="BC93">
        <f>'mk 001 10.3'!BC94</f>
        <v>0</v>
      </c>
      <c r="BD93">
        <f>'mk 001 10.3'!BD94</f>
        <v>1</v>
      </c>
      <c r="BE93">
        <f>'mk 001 10.3'!BE94</f>
        <v>0</v>
      </c>
      <c r="BF93">
        <f>'mk 001 10.3'!BF94</f>
        <v>0</v>
      </c>
      <c r="BG93">
        <f>'mk 001 10.3'!BG94</f>
        <v>1333314600</v>
      </c>
      <c r="BH93" t="str">
        <f>'mk 001 10.3'!BH94</f>
        <v>G</v>
      </c>
      <c r="BI93">
        <f>'mk 001 10.3'!BI94</f>
        <v>3</v>
      </c>
      <c r="BJ93">
        <f>'mk 001 10.3'!BJ94</f>
        <v>3</v>
      </c>
      <c r="BK93">
        <f>'mk 001 10.3'!BK94</f>
        <v>1300</v>
      </c>
      <c r="BL93" t="str">
        <f>'mk 001 10.3'!BL94</f>
        <v>SYSBATCH</v>
      </c>
      <c r="BM93">
        <f>'mk 001 10.3'!BM94</f>
        <v>0</v>
      </c>
      <c r="BN93">
        <f>'mk 001 10.3'!BN94</f>
        <v>0</v>
      </c>
    </row>
    <row r="94" spans="1:66" x14ac:dyDescent="0.35">
      <c r="A94">
        <f>'mk 001 10.3'!A95</f>
        <v>0</v>
      </c>
      <c r="B94">
        <f>'mk 001 10.3'!B95</f>
        <v>0</v>
      </c>
      <c r="C94" s="1" t="str">
        <f>'mk 001 10.3'!C95</f>
        <v>14/5/2569</v>
      </c>
      <c r="D94" s="1" t="str">
        <f>'mk 001 10.3'!D95</f>
        <v>14/5/2569</v>
      </c>
      <c r="E94">
        <f>'mk 001 10.3'!E95</f>
        <v>0</v>
      </c>
      <c r="F94" t="str">
        <f>'mk 001 10.3'!F95</f>
        <v>489M</v>
      </c>
      <c r="G94" t="str">
        <f>'mk 001 10.3'!G95</f>
        <v>Modern Trade (Makro)</v>
      </c>
      <c r="H94">
        <f>'mk 001 10.3'!H95</f>
        <v>0</v>
      </c>
      <c r="I94" t="str">
        <f>'mk 001 10.3'!I95</f>
        <v>หน่วยงานกลาง</v>
      </c>
      <c r="J94" t="str">
        <f>'mk 001 10.3'!J95</f>
        <v>F213  DMCW-รชล-พระพุทธบาท</v>
      </c>
      <c r="K94" t="str">
        <f>'mk 001 10.3'!K95</f>
        <v>00000  หน่วยงานกลาง</v>
      </c>
      <c r="L94">
        <f>'mk 001 10.3'!L95</f>
        <v>923</v>
      </c>
      <c r="M94">
        <f>'mk 001 10.3'!M95</f>
        <v>0</v>
      </c>
      <c r="N94" t="str">
        <f>'mk 001 10.3'!N95</f>
        <v>1A53010800</v>
      </c>
      <c r="O94" t="str">
        <f>'mk 001 10.3'!O95</f>
        <v>บมจ. ซีพี แอ็กซ์ตร้า สาขาสิงห์บุรี</v>
      </c>
      <c r="P94">
        <f>'mk 001 10.3'!P95</f>
        <v>2</v>
      </c>
      <c r="Q94" t="str">
        <f>'mk 001 10.3'!Q95</f>
        <v>MAKRO 0114 สิงห์บุรี</v>
      </c>
      <c r="R94" s="1">
        <f>'mk 001 10.3'!R95</f>
        <v>244658</v>
      </c>
      <c r="S94" s="1" t="str">
        <f>'mk 001 10.3'!S95</f>
        <v>14/5/2569</v>
      </c>
      <c r="T94" t="str">
        <f>'mk 001 10.3'!T95</f>
        <v>H6954RMA0059110</v>
      </c>
      <c r="U94">
        <f>'mk 001 10.3'!U95</f>
        <v>23111034</v>
      </c>
      <c r="V94" t="str">
        <f>'mk 001 10.3'!V95</f>
        <v>สันคอหมูสดสไลซ์ แพ็คถาด 500 กรัม</v>
      </c>
      <c r="W94">
        <f>'mk 001 10.3'!W95</f>
        <v>8</v>
      </c>
      <c r="X94">
        <f>'mk 001 10.3'!X95</f>
        <v>4</v>
      </c>
      <c r="Y94">
        <f t="shared" si="1"/>
        <v>8</v>
      </c>
      <c r="Z94" s="13">
        <f>IF(COUNTIFS(แปลงข้อมูล!H:H,Q94,แปลงข้อมูล!I:I,U94,แปลงข้อมูล!J:J,V94)&gt;0,SUMIFS(แปลงข้อมูล!Q:Q,แปลงข้อมูล!I:I,U94,แปลงข้อมูล!H:H,Q94,แปลงข้อมูล!J:J,V94),'mk 001 10.3'!Z95)</f>
        <v>4</v>
      </c>
      <c r="AA94">
        <f>'mk 001 10.3'!AA95</f>
        <v>0</v>
      </c>
      <c r="AB94">
        <f>'mk 001 10.3'!AB95</f>
        <v>0</v>
      </c>
      <c r="AC94">
        <f>'mk 001 10.3'!AC95</f>
        <v>0</v>
      </c>
      <c r="AD94">
        <f>'mk 001 10.3'!AD95</f>
        <v>0</v>
      </c>
      <c r="AE94">
        <f>'mk 001 10.3'!AE95</f>
        <v>8</v>
      </c>
      <c r="AF94">
        <f>'mk 001 10.3'!AF95</f>
        <v>4</v>
      </c>
      <c r="AG94">
        <f>'mk 001 10.3'!AG95</f>
        <v>0</v>
      </c>
      <c r="AH94">
        <f>'mk 001 10.3'!AH95</f>
        <v>0</v>
      </c>
      <c r="AI94" t="str">
        <f>'mk 001 10.3'!AI95</f>
        <v>OPRCD489MOPRCD00000OPRCDF213OPRCD00000OPRCD923</v>
      </c>
      <c r="AJ94" t="str">
        <f>'mk 001 10.3'!AJ95</f>
        <v>ซื้อ / ขาย</v>
      </c>
      <c r="AK94" t="str">
        <f>'mk 001 10.3'!AK95</f>
        <v>Main proudct</v>
      </c>
      <c r="AL94" t="str">
        <f>'mk 001 10.3'!AL95</f>
        <v>Seal Pack</v>
      </c>
      <c r="AM94" t="str">
        <f>'mk 001 10.3'!AM95</f>
        <v>สุกร</v>
      </c>
      <c r="AN94" t="str">
        <f>'mk 001 10.3'!AN95</f>
        <v>OT002 CC-Makro</v>
      </c>
      <c r="AO94" t="str">
        <f>'mk 001 10.3'!AO95</f>
        <v>MT</v>
      </c>
      <c r="AP94">
        <f>'mk 001 10.3'!AP95</f>
        <v>2</v>
      </c>
      <c r="AQ94">
        <f>'mk 001 10.3'!AQ95</f>
        <v>0</v>
      </c>
      <c r="AR94">
        <f>'mk 001 10.3'!AR95</f>
        <v>0</v>
      </c>
      <c r="AS94">
        <f>'mk 001 10.3'!AS95</f>
        <v>0</v>
      </c>
      <c r="AT94" t="str">
        <f>'mk 001 10.3'!AT95</f>
        <v>System Batch</v>
      </c>
      <c r="AU94" t="str">
        <f>'mk 001 10.3'!AU95</f>
        <v>2026-05-11-12.40.50.000000</v>
      </c>
      <c r="AV94" t="str">
        <f>'mk 001 10.3'!AV95</f>
        <v>แพ็ค</v>
      </c>
      <c r="AW94" t="str">
        <f>'mk 001 10.3'!AW95</f>
        <v>ก.ก.</v>
      </c>
      <c r="AX94" t="str">
        <f>'mk 001 10.3'!AX95</f>
        <v xml:space="preserve"> </v>
      </c>
      <c r="AY94">
        <f>'mk 001 10.3'!AY95</f>
        <v>0</v>
      </c>
      <c r="AZ94" t="str">
        <f>'mk 001 10.3'!AZ95</f>
        <v>N</v>
      </c>
      <c r="BA94" s="22">
        <f>'mk 001 10.3'!BA95</f>
        <v>9045089536574</v>
      </c>
      <c r="BB94">
        <f>'mk 001 10.3'!BB95</f>
        <v>0</v>
      </c>
      <c r="BC94">
        <f>'mk 001 10.3'!BC95</f>
        <v>0</v>
      </c>
      <c r="BD94">
        <f>'mk 001 10.3'!BD95</f>
        <v>1</v>
      </c>
      <c r="BE94">
        <f>'mk 001 10.3'!BE95</f>
        <v>0</v>
      </c>
      <c r="BF94">
        <f>'mk 001 10.3'!BF95</f>
        <v>0</v>
      </c>
      <c r="BG94">
        <f>'mk 001 10.3'!BG95</f>
        <v>1333314600</v>
      </c>
      <c r="BH94" t="str">
        <f>'mk 001 10.3'!BH95</f>
        <v>G</v>
      </c>
      <c r="BI94">
        <f>'mk 001 10.3'!BI95</f>
        <v>8</v>
      </c>
      <c r="BJ94">
        <f>'mk 001 10.3'!BJ95</f>
        <v>4</v>
      </c>
      <c r="BK94">
        <f>'mk 001 10.3'!BK95</f>
        <v>1300</v>
      </c>
      <c r="BL94" t="str">
        <f>'mk 001 10.3'!BL95</f>
        <v>SYSBATCH</v>
      </c>
      <c r="BM94">
        <f>'mk 001 10.3'!BM95</f>
        <v>0</v>
      </c>
      <c r="BN94">
        <f>'mk 001 10.3'!BN95</f>
        <v>0</v>
      </c>
    </row>
    <row r="95" spans="1:66" x14ac:dyDescent="0.35">
      <c r="A95">
        <f>'mk 001 10.3'!A96</f>
        <v>0</v>
      </c>
      <c r="B95">
        <f>'mk 001 10.3'!B96</f>
        <v>0</v>
      </c>
      <c r="C95" s="1" t="str">
        <f>'mk 001 10.3'!C96</f>
        <v>14/5/2569</v>
      </c>
      <c r="D95" s="1" t="str">
        <f>'mk 001 10.3'!D96</f>
        <v>14/5/2569</v>
      </c>
      <c r="E95">
        <f>'mk 001 10.3'!E96</f>
        <v>0</v>
      </c>
      <c r="F95" t="str">
        <f>'mk 001 10.3'!F96</f>
        <v>489M</v>
      </c>
      <c r="G95" t="str">
        <f>'mk 001 10.3'!G96</f>
        <v>Modern Trade (Makro)</v>
      </c>
      <c r="H95">
        <f>'mk 001 10.3'!H96</f>
        <v>0</v>
      </c>
      <c r="I95" t="str">
        <f>'mk 001 10.3'!I96</f>
        <v>หน่วยงานกลาง</v>
      </c>
      <c r="J95" t="str">
        <f>'mk 001 10.3'!J96</f>
        <v>F213  DMCW-รชล-พระพุทธบาท</v>
      </c>
      <c r="K95" t="str">
        <f>'mk 001 10.3'!K96</f>
        <v>00000  หน่วยงานกลาง</v>
      </c>
      <c r="L95">
        <f>'mk 001 10.3'!L96</f>
        <v>923</v>
      </c>
      <c r="M95">
        <f>'mk 001 10.3'!M96</f>
        <v>0</v>
      </c>
      <c r="N95" t="str">
        <f>'mk 001 10.3'!N96</f>
        <v>1A53010800</v>
      </c>
      <c r="O95" t="str">
        <f>'mk 001 10.3'!O96</f>
        <v>บมจ. ซีพี แอ็กซ์ตร้า สาขาสิงห์บุรี</v>
      </c>
      <c r="P95">
        <f>'mk 001 10.3'!P96</f>
        <v>2</v>
      </c>
      <c r="Q95" t="str">
        <f>'mk 001 10.3'!Q96</f>
        <v>MAKRO 0114 สิงห์บุรี</v>
      </c>
      <c r="R95" s="1">
        <f>'mk 001 10.3'!R96</f>
        <v>244658</v>
      </c>
      <c r="S95" s="1" t="str">
        <f>'mk 001 10.3'!S96</f>
        <v>14/5/2569</v>
      </c>
      <c r="T95" t="str">
        <f>'mk 001 10.3'!T96</f>
        <v>H6954RMA0059110</v>
      </c>
      <c r="U95">
        <f>'mk 001 10.3'!U96</f>
        <v>23110589</v>
      </c>
      <c r="V95" t="str">
        <f>'mk 001 10.3'!V96</f>
        <v>เนื้อหมูหั่นแกง แพ็คถาด 1 กก.</v>
      </c>
      <c r="W95">
        <f>'mk 001 10.3'!W96</f>
        <v>4</v>
      </c>
      <c r="X95">
        <f>'mk 001 10.3'!X96</f>
        <v>4</v>
      </c>
      <c r="Y95">
        <f t="shared" si="1"/>
        <v>4</v>
      </c>
      <c r="Z95" s="13">
        <f>IF(COUNTIFS(แปลงข้อมูล!H:H,Q95,แปลงข้อมูล!I:I,U95,แปลงข้อมูล!J:J,V95)&gt;0,SUMIFS(แปลงข้อมูล!Q:Q,แปลงข้อมูล!I:I,U95,แปลงข้อมูล!H:H,Q95,แปลงข้อมูล!J:J,V95),'mk 001 10.3'!Z96)</f>
        <v>4</v>
      </c>
      <c r="AA95">
        <f>'mk 001 10.3'!AA96</f>
        <v>0</v>
      </c>
      <c r="AB95">
        <f>'mk 001 10.3'!AB96</f>
        <v>0</v>
      </c>
      <c r="AC95">
        <f>'mk 001 10.3'!AC96</f>
        <v>0</v>
      </c>
      <c r="AD95">
        <f>'mk 001 10.3'!AD96</f>
        <v>0</v>
      </c>
      <c r="AE95">
        <f>'mk 001 10.3'!AE96</f>
        <v>4</v>
      </c>
      <c r="AF95">
        <f>'mk 001 10.3'!AF96</f>
        <v>4</v>
      </c>
      <c r="AG95">
        <f>'mk 001 10.3'!AG96</f>
        <v>0</v>
      </c>
      <c r="AH95">
        <f>'mk 001 10.3'!AH96</f>
        <v>0</v>
      </c>
      <c r="AI95" t="str">
        <f>'mk 001 10.3'!AI96</f>
        <v>OPRCD489MOPRCD00000OPRCDF213OPRCD00000OPRCD923</v>
      </c>
      <c r="AJ95" t="str">
        <f>'mk 001 10.3'!AJ96</f>
        <v>ซื้อ / ขาย</v>
      </c>
      <c r="AK95" t="str">
        <f>'mk 001 10.3'!AK96</f>
        <v>Main proudct</v>
      </c>
      <c r="AL95" t="str">
        <f>'mk 001 10.3'!AL96</f>
        <v>Seal Pack</v>
      </c>
      <c r="AM95" t="str">
        <f>'mk 001 10.3'!AM96</f>
        <v>สุกร</v>
      </c>
      <c r="AN95" t="str">
        <f>'mk 001 10.3'!AN96</f>
        <v>OT002 CC-Makro</v>
      </c>
      <c r="AO95" t="str">
        <f>'mk 001 10.3'!AO96</f>
        <v>MT</v>
      </c>
      <c r="AP95">
        <f>'mk 001 10.3'!AP96</f>
        <v>2</v>
      </c>
      <c r="AQ95">
        <f>'mk 001 10.3'!AQ96</f>
        <v>0</v>
      </c>
      <c r="AR95">
        <f>'mk 001 10.3'!AR96</f>
        <v>0</v>
      </c>
      <c r="AS95">
        <f>'mk 001 10.3'!AS96</f>
        <v>0</v>
      </c>
      <c r="AT95" t="str">
        <f>'mk 001 10.3'!AT96</f>
        <v>System Batch</v>
      </c>
      <c r="AU95" t="str">
        <f>'mk 001 10.3'!AU96</f>
        <v>2026-05-11-12.40.50.000000</v>
      </c>
      <c r="AV95" t="str">
        <f>'mk 001 10.3'!AV96</f>
        <v>แพ็ค</v>
      </c>
      <c r="AW95" t="str">
        <f>'mk 001 10.3'!AW96</f>
        <v>ก.ก.</v>
      </c>
      <c r="AX95" t="str">
        <f>'mk 001 10.3'!AX96</f>
        <v xml:space="preserve"> </v>
      </c>
      <c r="AY95">
        <f>'mk 001 10.3'!AY96</f>
        <v>0</v>
      </c>
      <c r="AZ95" t="str">
        <f>'mk 001 10.3'!AZ96</f>
        <v>N</v>
      </c>
      <c r="BA95" s="22">
        <f>'mk 001 10.3'!BA96</f>
        <v>9045089536574</v>
      </c>
      <c r="BB95">
        <f>'mk 001 10.3'!BB96</f>
        <v>0</v>
      </c>
      <c r="BC95">
        <f>'mk 001 10.3'!BC96</f>
        <v>0</v>
      </c>
      <c r="BD95">
        <f>'mk 001 10.3'!BD96</f>
        <v>1</v>
      </c>
      <c r="BE95">
        <f>'mk 001 10.3'!BE96</f>
        <v>0</v>
      </c>
      <c r="BF95">
        <f>'mk 001 10.3'!BF96</f>
        <v>0</v>
      </c>
      <c r="BG95">
        <f>'mk 001 10.3'!BG96</f>
        <v>1333314600</v>
      </c>
      <c r="BH95" t="str">
        <f>'mk 001 10.3'!BH96</f>
        <v>G</v>
      </c>
      <c r="BI95">
        <f>'mk 001 10.3'!BI96</f>
        <v>4</v>
      </c>
      <c r="BJ95">
        <f>'mk 001 10.3'!BJ96</f>
        <v>4</v>
      </c>
      <c r="BK95">
        <f>'mk 001 10.3'!BK96</f>
        <v>1300</v>
      </c>
      <c r="BL95" t="str">
        <f>'mk 001 10.3'!BL96</f>
        <v>SYSBATCH</v>
      </c>
      <c r="BM95">
        <f>'mk 001 10.3'!BM96</f>
        <v>0</v>
      </c>
      <c r="BN95">
        <f>'mk 001 10.3'!BN96</f>
        <v>0</v>
      </c>
    </row>
    <row r="96" spans="1:66" x14ac:dyDescent="0.35">
      <c r="A96">
        <f>'mk 001 10.3'!A97</f>
        <v>0</v>
      </c>
      <c r="B96">
        <f>'mk 001 10.3'!B97</f>
        <v>0</v>
      </c>
      <c r="C96" s="1" t="str">
        <f>'mk 001 10.3'!C97</f>
        <v>14/5/2569</v>
      </c>
      <c r="D96" s="1" t="str">
        <f>'mk 001 10.3'!D97</f>
        <v>14/5/2569</v>
      </c>
      <c r="E96">
        <f>'mk 001 10.3'!E97</f>
        <v>0</v>
      </c>
      <c r="F96" t="str">
        <f>'mk 001 10.3'!F97</f>
        <v>489M</v>
      </c>
      <c r="G96" t="str">
        <f>'mk 001 10.3'!G97</f>
        <v>Modern Trade (Makro)</v>
      </c>
      <c r="H96">
        <f>'mk 001 10.3'!H97</f>
        <v>0</v>
      </c>
      <c r="I96" t="str">
        <f>'mk 001 10.3'!I97</f>
        <v>หน่วยงานกลาง</v>
      </c>
      <c r="J96" t="str">
        <f>'mk 001 10.3'!J97</f>
        <v>F213  DMCW-รชล-พระพุทธบาท</v>
      </c>
      <c r="K96" t="str">
        <f>'mk 001 10.3'!K97</f>
        <v>00000  หน่วยงานกลาง</v>
      </c>
      <c r="L96">
        <f>'mk 001 10.3'!L97</f>
        <v>923</v>
      </c>
      <c r="M96">
        <f>'mk 001 10.3'!M97</f>
        <v>0</v>
      </c>
      <c r="N96" t="str">
        <f>'mk 001 10.3'!N97</f>
        <v>1A53010800</v>
      </c>
      <c r="O96" t="str">
        <f>'mk 001 10.3'!O97</f>
        <v>บมจ. ซีพี แอ็กซ์ตร้า สาขาสิงห์บุรี</v>
      </c>
      <c r="P96">
        <f>'mk 001 10.3'!P97</f>
        <v>2</v>
      </c>
      <c r="Q96" t="str">
        <f>'mk 001 10.3'!Q97</f>
        <v>MAKRO 0114 สิงห์บุรี</v>
      </c>
      <c r="R96" s="1">
        <f>'mk 001 10.3'!R97</f>
        <v>244658</v>
      </c>
      <c r="S96" s="1" t="str">
        <f>'mk 001 10.3'!S97</f>
        <v>14/5/2569</v>
      </c>
      <c r="T96" t="str">
        <f>'mk 001 10.3'!T97</f>
        <v>H6954RMA0059110</v>
      </c>
      <c r="U96">
        <f>'mk 001 10.3'!U97</f>
        <v>23110623</v>
      </c>
      <c r="V96" t="str">
        <f>'mk 001 10.3'!V97</f>
        <v>หน้ากากหมูหั่นชิ้น แพ็คถาด 500 กรัม</v>
      </c>
      <c r="W96">
        <f>'mk 001 10.3'!W97</f>
        <v>4</v>
      </c>
      <c r="X96">
        <f>'mk 001 10.3'!X97</f>
        <v>2</v>
      </c>
      <c r="Y96">
        <f t="shared" si="1"/>
        <v>4</v>
      </c>
      <c r="Z96" s="13">
        <f>IF(COUNTIFS(แปลงข้อมูล!H:H,Q96,แปลงข้อมูล!I:I,U96,แปลงข้อมูล!J:J,V96)&gt;0,SUMIFS(แปลงข้อมูล!Q:Q,แปลงข้อมูล!I:I,U96,แปลงข้อมูล!H:H,Q96,แปลงข้อมูล!J:J,V96),'mk 001 10.3'!Z97)</f>
        <v>2</v>
      </c>
      <c r="AA96">
        <f>'mk 001 10.3'!AA97</f>
        <v>0</v>
      </c>
      <c r="AB96">
        <f>'mk 001 10.3'!AB97</f>
        <v>0</v>
      </c>
      <c r="AC96">
        <f>'mk 001 10.3'!AC97</f>
        <v>0</v>
      </c>
      <c r="AD96">
        <f>'mk 001 10.3'!AD97</f>
        <v>0</v>
      </c>
      <c r="AE96">
        <f>'mk 001 10.3'!AE97</f>
        <v>4</v>
      </c>
      <c r="AF96">
        <f>'mk 001 10.3'!AF97</f>
        <v>2</v>
      </c>
      <c r="AG96">
        <f>'mk 001 10.3'!AG97</f>
        <v>0</v>
      </c>
      <c r="AH96">
        <f>'mk 001 10.3'!AH97</f>
        <v>0</v>
      </c>
      <c r="AI96" t="str">
        <f>'mk 001 10.3'!AI97</f>
        <v>OPRCD489MOPRCD00000OPRCDF213OPRCD00000OPRCD923</v>
      </c>
      <c r="AJ96" t="str">
        <f>'mk 001 10.3'!AJ97</f>
        <v>ซื้อ / ขาย</v>
      </c>
      <c r="AK96" t="str">
        <f>'mk 001 10.3'!AK97</f>
        <v>By proudct</v>
      </c>
      <c r="AL96" t="str">
        <f>'mk 001 10.3'!AL97</f>
        <v>Seal Pack</v>
      </c>
      <c r="AM96" t="str">
        <f>'mk 001 10.3'!AM97</f>
        <v>สุกร</v>
      </c>
      <c r="AN96" t="str">
        <f>'mk 001 10.3'!AN97</f>
        <v>OT002 CC-Makro</v>
      </c>
      <c r="AO96" t="str">
        <f>'mk 001 10.3'!AO97</f>
        <v>MT</v>
      </c>
      <c r="AP96">
        <f>'mk 001 10.3'!AP97</f>
        <v>2</v>
      </c>
      <c r="AQ96">
        <f>'mk 001 10.3'!AQ97</f>
        <v>0</v>
      </c>
      <c r="AR96">
        <f>'mk 001 10.3'!AR97</f>
        <v>0</v>
      </c>
      <c r="AS96">
        <f>'mk 001 10.3'!AS97</f>
        <v>0</v>
      </c>
      <c r="AT96" t="str">
        <f>'mk 001 10.3'!AT97</f>
        <v>System Batch</v>
      </c>
      <c r="AU96" t="str">
        <f>'mk 001 10.3'!AU97</f>
        <v>2026-05-11-12.40.50.000000</v>
      </c>
      <c r="AV96" t="str">
        <f>'mk 001 10.3'!AV97</f>
        <v>แพ็ค</v>
      </c>
      <c r="AW96" t="str">
        <f>'mk 001 10.3'!AW97</f>
        <v>ก.ก.</v>
      </c>
      <c r="AX96" t="str">
        <f>'mk 001 10.3'!AX97</f>
        <v xml:space="preserve"> </v>
      </c>
      <c r="AY96">
        <f>'mk 001 10.3'!AY97</f>
        <v>0</v>
      </c>
      <c r="AZ96" t="str">
        <f>'mk 001 10.3'!AZ97</f>
        <v>N</v>
      </c>
      <c r="BA96" s="22">
        <f>'mk 001 10.3'!BA97</f>
        <v>9045089536574</v>
      </c>
      <c r="BB96">
        <f>'mk 001 10.3'!BB97</f>
        <v>0</v>
      </c>
      <c r="BC96">
        <f>'mk 001 10.3'!BC97</f>
        <v>0</v>
      </c>
      <c r="BD96">
        <f>'mk 001 10.3'!BD97</f>
        <v>1</v>
      </c>
      <c r="BE96">
        <f>'mk 001 10.3'!BE97</f>
        <v>0</v>
      </c>
      <c r="BF96">
        <f>'mk 001 10.3'!BF97</f>
        <v>0</v>
      </c>
      <c r="BG96">
        <f>'mk 001 10.3'!BG97</f>
        <v>1333314600</v>
      </c>
      <c r="BH96" t="str">
        <f>'mk 001 10.3'!BH97</f>
        <v>G</v>
      </c>
      <c r="BI96">
        <f>'mk 001 10.3'!BI97</f>
        <v>4</v>
      </c>
      <c r="BJ96">
        <f>'mk 001 10.3'!BJ97</f>
        <v>2</v>
      </c>
      <c r="BK96">
        <f>'mk 001 10.3'!BK97</f>
        <v>1300</v>
      </c>
      <c r="BL96" t="str">
        <f>'mk 001 10.3'!BL97</f>
        <v>SYSBATCH</v>
      </c>
      <c r="BM96">
        <f>'mk 001 10.3'!BM97</f>
        <v>0</v>
      </c>
      <c r="BN96">
        <f>'mk 001 10.3'!BN97</f>
        <v>0</v>
      </c>
    </row>
    <row r="97" spans="1:66" x14ac:dyDescent="0.35">
      <c r="A97">
        <f>'mk 001 10.3'!A98</f>
        <v>0</v>
      </c>
      <c r="B97">
        <f>'mk 001 10.3'!B98</f>
        <v>0</v>
      </c>
      <c r="C97" s="1" t="str">
        <f>'mk 001 10.3'!C98</f>
        <v>14/5/2569</v>
      </c>
      <c r="D97" s="1" t="str">
        <f>'mk 001 10.3'!D98</f>
        <v>14/5/2569</v>
      </c>
      <c r="E97">
        <f>'mk 001 10.3'!E98</f>
        <v>0</v>
      </c>
      <c r="F97" t="str">
        <f>'mk 001 10.3'!F98</f>
        <v>489M</v>
      </c>
      <c r="G97" t="str">
        <f>'mk 001 10.3'!G98</f>
        <v>Modern Trade (Makro)</v>
      </c>
      <c r="H97">
        <f>'mk 001 10.3'!H98</f>
        <v>0</v>
      </c>
      <c r="I97" t="str">
        <f>'mk 001 10.3'!I98</f>
        <v>หน่วยงานกลาง</v>
      </c>
      <c r="J97" t="str">
        <f>'mk 001 10.3'!J98</f>
        <v>F213  DMCW-รชล-พระพุทธบาท</v>
      </c>
      <c r="K97" t="str">
        <f>'mk 001 10.3'!K98</f>
        <v>00000  หน่วยงานกลาง</v>
      </c>
      <c r="L97">
        <f>'mk 001 10.3'!L98</f>
        <v>923</v>
      </c>
      <c r="M97">
        <f>'mk 001 10.3'!M98</f>
        <v>0</v>
      </c>
      <c r="N97" t="str">
        <f>'mk 001 10.3'!N98</f>
        <v>1A53003900</v>
      </c>
      <c r="O97" t="str">
        <f>'mk 001 10.3'!O98</f>
        <v>บมจ. ซีพี แอ็กซ์ตร้า สาขาสระบุรี</v>
      </c>
      <c r="P97">
        <f>'mk 001 10.3'!P98</f>
        <v>2</v>
      </c>
      <c r="Q97" t="str">
        <f>'mk 001 10.3'!Q98</f>
        <v>MAKRO 0038 สระบุรี</v>
      </c>
      <c r="R97" s="1">
        <f>'mk 001 10.3'!R98</f>
        <v>244658</v>
      </c>
      <c r="S97" s="1" t="str">
        <f>'mk 001 10.3'!S98</f>
        <v>14/5/2569</v>
      </c>
      <c r="T97" t="str">
        <f>'mk 001 10.3'!T98</f>
        <v>H6954RMA0059184</v>
      </c>
      <c r="U97">
        <f>'mk 001 10.3'!U98</f>
        <v>23065141</v>
      </c>
      <c r="V97" t="str">
        <f>'mk 001 10.3'!V98</f>
        <v>สันนอกสไลด์</v>
      </c>
      <c r="W97">
        <f>'mk 001 10.3'!W98</f>
        <v>30</v>
      </c>
      <c r="X97">
        <f>'mk 001 10.3'!X98</f>
        <v>30</v>
      </c>
      <c r="Y97">
        <f t="shared" si="1"/>
        <v>30</v>
      </c>
      <c r="Z97" s="13">
        <f>IF(COUNTIFS(แปลงข้อมูล!H:H,Q97,แปลงข้อมูล!I:I,U97,แปลงข้อมูล!J:J,V97)&gt;0,SUMIFS(แปลงข้อมูล!Q:Q,แปลงข้อมูล!I:I,U97,แปลงข้อมูล!H:H,Q97,แปลงข้อมูล!J:J,V97),'mk 001 10.3'!Z98)</f>
        <v>30</v>
      </c>
      <c r="AA97">
        <f>'mk 001 10.3'!AA98</f>
        <v>0</v>
      </c>
      <c r="AB97">
        <f>'mk 001 10.3'!AB98</f>
        <v>0</v>
      </c>
      <c r="AC97">
        <f>'mk 001 10.3'!AC98</f>
        <v>0</v>
      </c>
      <c r="AD97">
        <f>'mk 001 10.3'!AD98</f>
        <v>0</v>
      </c>
      <c r="AE97">
        <f>'mk 001 10.3'!AE98</f>
        <v>30</v>
      </c>
      <c r="AF97">
        <f>'mk 001 10.3'!AF98</f>
        <v>30</v>
      </c>
      <c r="AG97">
        <f>'mk 001 10.3'!AG98</f>
        <v>0</v>
      </c>
      <c r="AH97">
        <f>'mk 001 10.3'!AH98</f>
        <v>0</v>
      </c>
      <c r="AI97" t="str">
        <f>'mk 001 10.3'!AI98</f>
        <v>OPRCD489MOPRCD00000OPRCDF213OPRCD00000OPRCD923</v>
      </c>
      <c r="AJ97" t="str">
        <f>'mk 001 10.3'!AJ98</f>
        <v>ซื้อ / ขาย</v>
      </c>
      <c r="AK97" t="str">
        <f>'mk 001 10.3'!AK98</f>
        <v>Main proudct</v>
      </c>
      <c r="AL97" t="str">
        <f>'mk 001 10.3'!AL98</f>
        <v>Bulk Normal</v>
      </c>
      <c r="AM97" t="str">
        <f>'mk 001 10.3'!AM98</f>
        <v>สุกร</v>
      </c>
      <c r="AN97" t="str">
        <f>'mk 001 10.3'!AN98</f>
        <v>OT002 CC-Makro</v>
      </c>
      <c r="AO97" t="str">
        <f>'mk 001 10.3'!AO98</f>
        <v>MT</v>
      </c>
      <c r="AP97">
        <f>'mk 001 10.3'!AP98</f>
        <v>2</v>
      </c>
      <c r="AQ97">
        <f>'mk 001 10.3'!AQ98</f>
        <v>0</v>
      </c>
      <c r="AR97">
        <f>'mk 001 10.3'!AR98</f>
        <v>0</v>
      </c>
      <c r="AS97">
        <f>'mk 001 10.3'!AS98</f>
        <v>0</v>
      </c>
      <c r="AT97" t="str">
        <f>'mk 001 10.3'!AT98</f>
        <v>เบญจพจน์ เพชรเหลี่ยม</v>
      </c>
      <c r="AU97" t="str">
        <f>'mk 001 10.3'!AU98</f>
        <v>2026-05-11-13.33.46.000000</v>
      </c>
      <c r="AV97" t="str">
        <f>'mk 001 10.3'!AV98</f>
        <v>ก.ก.</v>
      </c>
      <c r="AW97" t="str">
        <f>'mk 001 10.3'!AW98</f>
        <v>ก.ก.</v>
      </c>
      <c r="AX97" t="str">
        <f>'mk 001 10.3'!AX98</f>
        <v xml:space="preserve"> </v>
      </c>
      <c r="AY97">
        <f>'mk 001 10.3'!AY98</f>
        <v>0</v>
      </c>
      <c r="AZ97" t="str">
        <f>'mk 001 10.3'!AZ98</f>
        <v>N</v>
      </c>
      <c r="BA97" s="22">
        <f>'mk 001 10.3'!BA98</f>
        <v>9044989536402</v>
      </c>
      <c r="BB97">
        <f>'mk 001 10.3'!BB98</f>
        <v>0</v>
      </c>
      <c r="BC97">
        <f>'mk 001 10.3'!BC98</f>
        <v>0</v>
      </c>
      <c r="BD97">
        <f>'mk 001 10.3'!BD98</f>
        <v>1</v>
      </c>
      <c r="BE97">
        <f>'mk 001 10.3'!BE98</f>
        <v>0</v>
      </c>
      <c r="BF97" t="str">
        <f>'mk 001 10.3'!BF98</f>
        <v>;0000</v>
      </c>
      <c r="BG97">
        <f>'mk 001 10.3'!BG98</f>
        <v>1333314600</v>
      </c>
      <c r="BH97" t="str">
        <f>'mk 001 10.3'!BH98</f>
        <v>G</v>
      </c>
      <c r="BI97">
        <f>'mk 001 10.3'!BI98</f>
        <v>30</v>
      </c>
      <c r="BJ97">
        <f>'mk 001 10.3'!BJ98</f>
        <v>30</v>
      </c>
      <c r="BK97">
        <f>'mk 001 10.3'!BK98</f>
        <v>1300</v>
      </c>
      <c r="BL97" t="str">
        <f>'mk 001 10.3'!BL98</f>
        <v>SYSBATCH</v>
      </c>
      <c r="BM97">
        <f>'mk 001 10.3'!BM98</f>
        <v>0</v>
      </c>
      <c r="BN97">
        <f>'mk 001 10.3'!BN98</f>
        <v>0</v>
      </c>
    </row>
    <row r="98" spans="1:66" x14ac:dyDescent="0.35">
      <c r="A98">
        <f>'mk 001 10.3'!A99</f>
        <v>0</v>
      </c>
      <c r="B98">
        <f>'mk 001 10.3'!B99</f>
        <v>0</v>
      </c>
      <c r="C98" s="1" t="str">
        <f>'mk 001 10.3'!C99</f>
        <v>14/5/2569</v>
      </c>
      <c r="D98" s="1" t="str">
        <f>'mk 001 10.3'!D99</f>
        <v>14/5/2569</v>
      </c>
      <c r="E98">
        <f>'mk 001 10.3'!E99</f>
        <v>0</v>
      </c>
      <c r="F98" t="str">
        <f>'mk 001 10.3'!F99</f>
        <v>489M</v>
      </c>
      <c r="G98" t="str">
        <f>'mk 001 10.3'!G99</f>
        <v>Modern Trade (Makro)</v>
      </c>
      <c r="H98">
        <f>'mk 001 10.3'!H99</f>
        <v>0</v>
      </c>
      <c r="I98" t="str">
        <f>'mk 001 10.3'!I99</f>
        <v>หน่วยงานกลาง</v>
      </c>
      <c r="J98" t="str">
        <f>'mk 001 10.3'!J99</f>
        <v>F213  DMCW-รชล-พระพุทธบาท</v>
      </c>
      <c r="K98" t="str">
        <f>'mk 001 10.3'!K99</f>
        <v>00000  หน่วยงานกลาง</v>
      </c>
      <c r="L98">
        <f>'mk 001 10.3'!L99</f>
        <v>923</v>
      </c>
      <c r="M98">
        <f>'mk 001 10.3'!M99</f>
        <v>0</v>
      </c>
      <c r="N98" t="str">
        <f>'mk 001 10.3'!N99</f>
        <v>1A53003900</v>
      </c>
      <c r="O98" t="str">
        <f>'mk 001 10.3'!O99</f>
        <v>บมจ. ซีพี แอ็กซ์ตร้า สาขาสระบุรี</v>
      </c>
      <c r="P98">
        <f>'mk 001 10.3'!P99</f>
        <v>2</v>
      </c>
      <c r="Q98" t="str">
        <f>'mk 001 10.3'!Q99</f>
        <v>MAKRO 0038 สระบุรี</v>
      </c>
      <c r="R98" s="1">
        <f>'mk 001 10.3'!R99</f>
        <v>244658</v>
      </c>
      <c r="S98" s="1" t="str">
        <f>'mk 001 10.3'!S99</f>
        <v>14/5/2569</v>
      </c>
      <c r="T98" t="str">
        <f>'mk 001 10.3'!T99</f>
        <v>H6954RMA0059184</v>
      </c>
      <c r="U98">
        <f>'mk 001 10.3'!U99</f>
        <v>23065143</v>
      </c>
      <c r="V98" t="str">
        <f>'mk 001 10.3'!V99</f>
        <v>สามชั้นสไลด์</v>
      </c>
      <c r="W98">
        <f>'mk 001 10.3'!W99</f>
        <v>180</v>
      </c>
      <c r="X98">
        <f>'mk 001 10.3'!X99</f>
        <v>180</v>
      </c>
      <c r="Y98">
        <f t="shared" si="1"/>
        <v>180</v>
      </c>
      <c r="Z98" s="13">
        <f>IF(COUNTIFS(แปลงข้อมูล!H:H,Q98,แปลงข้อมูล!I:I,U98,แปลงข้อมูล!J:J,V98)&gt;0,SUMIFS(แปลงข้อมูล!Q:Q,แปลงข้อมูล!I:I,U98,แปลงข้อมูล!H:H,Q98,แปลงข้อมูล!J:J,V98),'mk 001 10.3'!Z99)</f>
        <v>180</v>
      </c>
      <c r="AA98">
        <f>'mk 001 10.3'!AA99</f>
        <v>0</v>
      </c>
      <c r="AB98">
        <f>'mk 001 10.3'!AB99</f>
        <v>0</v>
      </c>
      <c r="AC98">
        <f>'mk 001 10.3'!AC99</f>
        <v>0</v>
      </c>
      <c r="AD98">
        <f>'mk 001 10.3'!AD99</f>
        <v>0</v>
      </c>
      <c r="AE98">
        <f>'mk 001 10.3'!AE99</f>
        <v>180</v>
      </c>
      <c r="AF98">
        <f>'mk 001 10.3'!AF99</f>
        <v>180</v>
      </c>
      <c r="AG98">
        <f>'mk 001 10.3'!AG99</f>
        <v>0</v>
      </c>
      <c r="AH98">
        <f>'mk 001 10.3'!AH99</f>
        <v>0</v>
      </c>
      <c r="AI98" t="str">
        <f>'mk 001 10.3'!AI99</f>
        <v>OPRCD489MOPRCD00000OPRCDF213OPRCD00000OPRCD923</v>
      </c>
      <c r="AJ98" t="str">
        <f>'mk 001 10.3'!AJ99</f>
        <v>ซื้อ / ขาย</v>
      </c>
      <c r="AK98" t="str">
        <f>'mk 001 10.3'!AK99</f>
        <v>Main proudct</v>
      </c>
      <c r="AL98" t="str">
        <f>'mk 001 10.3'!AL99</f>
        <v>Bulk Normal</v>
      </c>
      <c r="AM98" t="str">
        <f>'mk 001 10.3'!AM99</f>
        <v>สุกร</v>
      </c>
      <c r="AN98" t="str">
        <f>'mk 001 10.3'!AN99</f>
        <v>OT002 CC-Makro</v>
      </c>
      <c r="AO98" t="str">
        <f>'mk 001 10.3'!AO99</f>
        <v>MT</v>
      </c>
      <c r="AP98">
        <f>'mk 001 10.3'!AP99</f>
        <v>2</v>
      </c>
      <c r="AQ98">
        <f>'mk 001 10.3'!AQ99</f>
        <v>0</v>
      </c>
      <c r="AR98">
        <f>'mk 001 10.3'!AR99</f>
        <v>0</v>
      </c>
      <c r="AS98">
        <f>'mk 001 10.3'!AS99</f>
        <v>0</v>
      </c>
      <c r="AT98" t="str">
        <f>'mk 001 10.3'!AT99</f>
        <v>เบญจพจน์ เพชรเหลี่ยม</v>
      </c>
      <c r="AU98" t="str">
        <f>'mk 001 10.3'!AU99</f>
        <v>2026-05-11-13.33.46.000000</v>
      </c>
      <c r="AV98" t="str">
        <f>'mk 001 10.3'!AV99</f>
        <v>ก.ก.</v>
      </c>
      <c r="AW98" t="str">
        <f>'mk 001 10.3'!AW99</f>
        <v>ก.ก.</v>
      </c>
      <c r="AX98" t="str">
        <f>'mk 001 10.3'!AX99</f>
        <v xml:space="preserve"> </v>
      </c>
      <c r="AY98">
        <f>'mk 001 10.3'!AY99</f>
        <v>0</v>
      </c>
      <c r="AZ98" t="str">
        <f>'mk 001 10.3'!AZ99</f>
        <v>N</v>
      </c>
      <c r="BA98" s="22">
        <f>'mk 001 10.3'!BA99</f>
        <v>9044989536402</v>
      </c>
      <c r="BB98">
        <f>'mk 001 10.3'!BB99</f>
        <v>0</v>
      </c>
      <c r="BC98">
        <f>'mk 001 10.3'!BC99</f>
        <v>0</v>
      </c>
      <c r="BD98">
        <f>'mk 001 10.3'!BD99</f>
        <v>1</v>
      </c>
      <c r="BE98">
        <f>'mk 001 10.3'!BE99</f>
        <v>0</v>
      </c>
      <c r="BF98" t="str">
        <f>'mk 001 10.3'!BF99</f>
        <v>;0000</v>
      </c>
      <c r="BG98">
        <f>'mk 001 10.3'!BG99</f>
        <v>1333314600</v>
      </c>
      <c r="BH98" t="str">
        <f>'mk 001 10.3'!BH99</f>
        <v>G</v>
      </c>
      <c r="BI98">
        <f>'mk 001 10.3'!BI99</f>
        <v>180</v>
      </c>
      <c r="BJ98">
        <f>'mk 001 10.3'!BJ99</f>
        <v>180</v>
      </c>
      <c r="BK98">
        <f>'mk 001 10.3'!BK99</f>
        <v>1300</v>
      </c>
      <c r="BL98" t="str">
        <f>'mk 001 10.3'!BL99</f>
        <v>SYSBATCH</v>
      </c>
      <c r="BM98">
        <f>'mk 001 10.3'!BM99</f>
        <v>0</v>
      </c>
      <c r="BN98">
        <f>'mk 001 10.3'!BN99</f>
        <v>0</v>
      </c>
    </row>
    <row r="99" spans="1:66" x14ac:dyDescent="0.35">
      <c r="A99">
        <f>'mk 001 10.3'!A100</f>
        <v>0</v>
      </c>
      <c r="B99">
        <f>'mk 001 10.3'!B100</f>
        <v>0</v>
      </c>
      <c r="C99" s="1" t="str">
        <f>'mk 001 10.3'!C100</f>
        <v>14/5/2569</v>
      </c>
      <c r="D99" s="1" t="str">
        <f>'mk 001 10.3'!D100</f>
        <v>14/5/2569</v>
      </c>
      <c r="E99">
        <f>'mk 001 10.3'!E100</f>
        <v>0</v>
      </c>
      <c r="F99" t="str">
        <f>'mk 001 10.3'!F100</f>
        <v>489M</v>
      </c>
      <c r="G99" t="str">
        <f>'mk 001 10.3'!G100</f>
        <v>Modern Trade (Makro)</v>
      </c>
      <c r="H99">
        <f>'mk 001 10.3'!H100</f>
        <v>0</v>
      </c>
      <c r="I99" t="str">
        <f>'mk 001 10.3'!I100</f>
        <v>หน่วยงานกลาง</v>
      </c>
      <c r="J99" t="str">
        <f>'mk 001 10.3'!J100</f>
        <v>F213  DMCW-รชล-พระพุทธบาท</v>
      </c>
      <c r="K99" t="str">
        <f>'mk 001 10.3'!K100</f>
        <v>00000  หน่วยงานกลาง</v>
      </c>
      <c r="L99">
        <f>'mk 001 10.3'!L100</f>
        <v>923</v>
      </c>
      <c r="M99">
        <f>'mk 001 10.3'!M100</f>
        <v>0</v>
      </c>
      <c r="N99" t="str">
        <f>'mk 001 10.3'!N100</f>
        <v>1A53003900</v>
      </c>
      <c r="O99" t="str">
        <f>'mk 001 10.3'!O100</f>
        <v>บมจ. ซีพี แอ็กซ์ตร้า สาขาสระบุรี</v>
      </c>
      <c r="P99">
        <f>'mk 001 10.3'!P100</f>
        <v>2</v>
      </c>
      <c r="Q99" t="str">
        <f>'mk 001 10.3'!Q100</f>
        <v>MAKRO 0038 สระบุรี</v>
      </c>
      <c r="R99" s="1">
        <f>'mk 001 10.3'!R100</f>
        <v>244658</v>
      </c>
      <c r="S99" s="1" t="str">
        <f>'mk 001 10.3'!S100</f>
        <v>14/5/2569</v>
      </c>
      <c r="T99" t="str">
        <f>'mk 001 10.3'!T100</f>
        <v>H6954RMA0059184</v>
      </c>
      <c r="U99">
        <f>'mk 001 10.3'!U100</f>
        <v>23068390</v>
      </c>
      <c r="V99" t="str">
        <f>'mk 001 10.3'!V100</f>
        <v>กระดูกซุปติดเนื้อพิเศษ(M)</v>
      </c>
      <c r="W99">
        <f>'mk 001 10.3'!W100</f>
        <v>40</v>
      </c>
      <c r="X99">
        <f>'mk 001 10.3'!X100</f>
        <v>40</v>
      </c>
      <c r="Y99">
        <f t="shared" si="1"/>
        <v>40</v>
      </c>
      <c r="Z99" s="13">
        <f>IF(COUNTIFS(แปลงข้อมูล!H:H,Q99,แปลงข้อมูล!I:I,U99,แปลงข้อมูล!J:J,V99)&gt;0,SUMIFS(แปลงข้อมูล!Q:Q,แปลงข้อมูล!I:I,U99,แปลงข้อมูล!H:H,Q99,แปลงข้อมูล!J:J,V99),'mk 001 10.3'!Z100)</f>
        <v>40</v>
      </c>
      <c r="AA99">
        <f>'mk 001 10.3'!AA100</f>
        <v>0</v>
      </c>
      <c r="AB99">
        <f>'mk 001 10.3'!AB100</f>
        <v>0</v>
      </c>
      <c r="AC99">
        <f>'mk 001 10.3'!AC100</f>
        <v>0</v>
      </c>
      <c r="AD99">
        <f>'mk 001 10.3'!AD100</f>
        <v>0</v>
      </c>
      <c r="AE99">
        <f>'mk 001 10.3'!AE100</f>
        <v>40</v>
      </c>
      <c r="AF99">
        <f>'mk 001 10.3'!AF100</f>
        <v>40</v>
      </c>
      <c r="AG99">
        <f>'mk 001 10.3'!AG100</f>
        <v>0</v>
      </c>
      <c r="AH99">
        <f>'mk 001 10.3'!AH100</f>
        <v>0</v>
      </c>
      <c r="AI99" t="str">
        <f>'mk 001 10.3'!AI100</f>
        <v>OPRCD489MOPRCD00000OPRCDF213OPRCD00000OPRCD923</v>
      </c>
      <c r="AJ99" t="str">
        <f>'mk 001 10.3'!AJ100</f>
        <v>ซื้อ / ขาย</v>
      </c>
      <c r="AK99" t="str">
        <f>'mk 001 10.3'!AK100</f>
        <v>By proudct</v>
      </c>
      <c r="AL99" t="str">
        <f>'mk 001 10.3'!AL100</f>
        <v>Bulk Normal</v>
      </c>
      <c r="AM99" t="str">
        <f>'mk 001 10.3'!AM100</f>
        <v>สุกร</v>
      </c>
      <c r="AN99" t="str">
        <f>'mk 001 10.3'!AN100</f>
        <v>OT002 CC-Makro</v>
      </c>
      <c r="AO99" t="str">
        <f>'mk 001 10.3'!AO100</f>
        <v>MT</v>
      </c>
      <c r="AP99">
        <f>'mk 001 10.3'!AP100</f>
        <v>2</v>
      </c>
      <c r="AQ99">
        <f>'mk 001 10.3'!AQ100</f>
        <v>0</v>
      </c>
      <c r="AR99">
        <f>'mk 001 10.3'!AR100</f>
        <v>0</v>
      </c>
      <c r="AS99">
        <f>'mk 001 10.3'!AS100</f>
        <v>0</v>
      </c>
      <c r="AT99" t="str">
        <f>'mk 001 10.3'!AT100</f>
        <v>เบญจพจน์ เพชรเหลี่ยม</v>
      </c>
      <c r="AU99" t="str">
        <f>'mk 001 10.3'!AU100</f>
        <v>2026-05-11-13.33.46.000000</v>
      </c>
      <c r="AV99" t="str">
        <f>'mk 001 10.3'!AV100</f>
        <v>ก.ก.</v>
      </c>
      <c r="AW99" t="str">
        <f>'mk 001 10.3'!AW100</f>
        <v>ก.ก.</v>
      </c>
      <c r="AX99" t="str">
        <f>'mk 001 10.3'!AX100</f>
        <v xml:space="preserve"> </v>
      </c>
      <c r="AY99">
        <f>'mk 001 10.3'!AY100</f>
        <v>0</v>
      </c>
      <c r="AZ99" t="str">
        <f>'mk 001 10.3'!AZ100</f>
        <v>N</v>
      </c>
      <c r="BA99" s="22">
        <f>'mk 001 10.3'!BA100</f>
        <v>9044989536402</v>
      </c>
      <c r="BB99">
        <f>'mk 001 10.3'!BB100</f>
        <v>0</v>
      </c>
      <c r="BC99">
        <f>'mk 001 10.3'!BC100</f>
        <v>0</v>
      </c>
      <c r="BD99">
        <f>'mk 001 10.3'!BD100</f>
        <v>1</v>
      </c>
      <c r="BE99">
        <f>'mk 001 10.3'!BE100</f>
        <v>0</v>
      </c>
      <c r="BF99" t="str">
        <f>'mk 001 10.3'!BF100</f>
        <v>;0000</v>
      </c>
      <c r="BG99">
        <f>'mk 001 10.3'!BG100</f>
        <v>1333314600</v>
      </c>
      <c r="BH99" t="str">
        <f>'mk 001 10.3'!BH100</f>
        <v>G</v>
      </c>
      <c r="BI99">
        <f>'mk 001 10.3'!BI100</f>
        <v>40</v>
      </c>
      <c r="BJ99">
        <f>'mk 001 10.3'!BJ100</f>
        <v>40</v>
      </c>
      <c r="BK99">
        <f>'mk 001 10.3'!BK100</f>
        <v>1300</v>
      </c>
      <c r="BL99" t="str">
        <f>'mk 001 10.3'!BL100</f>
        <v>SYSBATCH</v>
      </c>
      <c r="BM99">
        <f>'mk 001 10.3'!BM100</f>
        <v>0</v>
      </c>
      <c r="BN99">
        <f>'mk 001 10.3'!BN100</f>
        <v>0</v>
      </c>
    </row>
    <row r="100" spans="1:66" x14ac:dyDescent="0.35">
      <c r="A100">
        <f>'mk 001 10.3'!A101</f>
        <v>0</v>
      </c>
      <c r="B100">
        <f>'mk 001 10.3'!B101</f>
        <v>0</v>
      </c>
      <c r="C100" s="1" t="str">
        <f>'mk 001 10.3'!C101</f>
        <v>14/5/2569</v>
      </c>
      <c r="D100" s="1" t="str">
        <f>'mk 001 10.3'!D101</f>
        <v>14/5/2569</v>
      </c>
      <c r="E100">
        <f>'mk 001 10.3'!E101</f>
        <v>0</v>
      </c>
      <c r="F100" t="str">
        <f>'mk 001 10.3'!F101</f>
        <v>489M</v>
      </c>
      <c r="G100" t="str">
        <f>'mk 001 10.3'!G101</f>
        <v>Modern Trade (Makro)</v>
      </c>
      <c r="H100">
        <f>'mk 001 10.3'!H101</f>
        <v>0</v>
      </c>
      <c r="I100" t="str">
        <f>'mk 001 10.3'!I101</f>
        <v>หน่วยงานกลาง</v>
      </c>
      <c r="J100" t="str">
        <f>'mk 001 10.3'!J101</f>
        <v>F213  DMCW-รชล-พระพุทธบาท</v>
      </c>
      <c r="K100" t="str">
        <f>'mk 001 10.3'!K101</f>
        <v>00000  หน่วยงานกลาง</v>
      </c>
      <c r="L100">
        <f>'mk 001 10.3'!L101</f>
        <v>923</v>
      </c>
      <c r="M100">
        <f>'mk 001 10.3'!M101</f>
        <v>0</v>
      </c>
      <c r="N100" t="str">
        <f>'mk 001 10.3'!N101</f>
        <v>1A53003900</v>
      </c>
      <c r="O100" t="str">
        <f>'mk 001 10.3'!O101</f>
        <v>บมจ. ซีพี แอ็กซ์ตร้า สาขาสระบุรี</v>
      </c>
      <c r="P100">
        <f>'mk 001 10.3'!P101</f>
        <v>2</v>
      </c>
      <c r="Q100" t="str">
        <f>'mk 001 10.3'!Q101</f>
        <v>MAKRO 0038 สระบุรี</v>
      </c>
      <c r="R100" s="1">
        <f>'mk 001 10.3'!R101</f>
        <v>244658</v>
      </c>
      <c r="S100" s="1" t="str">
        <f>'mk 001 10.3'!S101</f>
        <v>14/5/2569</v>
      </c>
      <c r="T100" t="str">
        <f>'mk 001 10.3'!T101</f>
        <v>H6954RMA0059184</v>
      </c>
      <c r="U100">
        <f>'mk 001 10.3'!U101</f>
        <v>23065142</v>
      </c>
      <c r="V100" t="str">
        <f>'mk 001 10.3'!V101</f>
        <v>สันคอสไลด์</v>
      </c>
      <c r="W100">
        <f>'mk 001 10.3'!W101</f>
        <v>20</v>
      </c>
      <c r="X100">
        <f>'mk 001 10.3'!X101</f>
        <v>20</v>
      </c>
      <c r="Y100">
        <f t="shared" si="1"/>
        <v>20</v>
      </c>
      <c r="Z100" s="13">
        <f>IF(COUNTIFS(แปลงข้อมูล!H:H,Q100,แปลงข้อมูล!I:I,U100,แปลงข้อมูล!J:J,V100)&gt;0,SUMIFS(แปลงข้อมูล!Q:Q,แปลงข้อมูล!I:I,U100,แปลงข้อมูล!H:H,Q100,แปลงข้อมูล!J:J,V100),'mk 001 10.3'!Z101)</f>
        <v>20</v>
      </c>
      <c r="AA100">
        <f>'mk 001 10.3'!AA101</f>
        <v>0</v>
      </c>
      <c r="AB100">
        <f>'mk 001 10.3'!AB101</f>
        <v>0</v>
      </c>
      <c r="AC100">
        <f>'mk 001 10.3'!AC101</f>
        <v>0</v>
      </c>
      <c r="AD100">
        <f>'mk 001 10.3'!AD101</f>
        <v>0</v>
      </c>
      <c r="AE100">
        <f>'mk 001 10.3'!AE101</f>
        <v>20</v>
      </c>
      <c r="AF100">
        <f>'mk 001 10.3'!AF101</f>
        <v>20</v>
      </c>
      <c r="AG100">
        <f>'mk 001 10.3'!AG101</f>
        <v>0</v>
      </c>
      <c r="AH100">
        <f>'mk 001 10.3'!AH101</f>
        <v>0</v>
      </c>
      <c r="AI100" t="str">
        <f>'mk 001 10.3'!AI101</f>
        <v>OPRCD489MOPRCD00000OPRCDF213OPRCD00000OPRCD923</v>
      </c>
      <c r="AJ100" t="str">
        <f>'mk 001 10.3'!AJ101</f>
        <v>ซื้อ / ขาย</v>
      </c>
      <c r="AK100" t="str">
        <f>'mk 001 10.3'!AK101</f>
        <v>Main proudct</v>
      </c>
      <c r="AL100" t="str">
        <f>'mk 001 10.3'!AL101</f>
        <v>Bulk Normal</v>
      </c>
      <c r="AM100" t="str">
        <f>'mk 001 10.3'!AM101</f>
        <v>สุกร</v>
      </c>
      <c r="AN100" t="str">
        <f>'mk 001 10.3'!AN101</f>
        <v>OT002 CC-Makro</v>
      </c>
      <c r="AO100" t="str">
        <f>'mk 001 10.3'!AO101</f>
        <v>MT</v>
      </c>
      <c r="AP100">
        <f>'mk 001 10.3'!AP101</f>
        <v>2</v>
      </c>
      <c r="AQ100">
        <f>'mk 001 10.3'!AQ101</f>
        <v>0</v>
      </c>
      <c r="AR100">
        <f>'mk 001 10.3'!AR101</f>
        <v>0</v>
      </c>
      <c r="AS100">
        <f>'mk 001 10.3'!AS101</f>
        <v>0</v>
      </c>
      <c r="AT100" t="str">
        <f>'mk 001 10.3'!AT101</f>
        <v>เบญจพจน์ เพชรเหลี่ยม</v>
      </c>
      <c r="AU100" t="str">
        <f>'mk 001 10.3'!AU101</f>
        <v>2026-05-11-13.33.46.000000</v>
      </c>
      <c r="AV100" t="str">
        <f>'mk 001 10.3'!AV101</f>
        <v>ก.ก.</v>
      </c>
      <c r="AW100" t="str">
        <f>'mk 001 10.3'!AW101</f>
        <v>ก.ก.</v>
      </c>
      <c r="AX100" t="str">
        <f>'mk 001 10.3'!AX101</f>
        <v xml:space="preserve"> </v>
      </c>
      <c r="AY100">
        <f>'mk 001 10.3'!AY101</f>
        <v>0</v>
      </c>
      <c r="AZ100" t="str">
        <f>'mk 001 10.3'!AZ101</f>
        <v>N</v>
      </c>
      <c r="BA100" s="22">
        <f>'mk 001 10.3'!BA101</f>
        <v>9044989536402</v>
      </c>
      <c r="BB100">
        <f>'mk 001 10.3'!BB101</f>
        <v>0</v>
      </c>
      <c r="BC100">
        <f>'mk 001 10.3'!BC101</f>
        <v>0</v>
      </c>
      <c r="BD100">
        <f>'mk 001 10.3'!BD101</f>
        <v>1</v>
      </c>
      <c r="BE100">
        <f>'mk 001 10.3'!BE101</f>
        <v>0</v>
      </c>
      <c r="BF100" t="str">
        <f>'mk 001 10.3'!BF101</f>
        <v>;0000</v>
      </c>
      <c r="BG100">
        <f>'mk 001 10.3'!BG101</f>
        <v>1333314600</v>
      </c>
      <c r="BH100" t="str">
        <f>'mk 001 10.3'!BH101</f>
        <v>G</v>
      </c>
      <c r="BI100">
        <f>'mk 001 10.3'!BI101</f>
        <v>20</v>
      </c>
      <c r="BJ100">
        <f>'mk 001 10.3'!BJ101</f>
        <v>20</v>
      </c>
      <c r="BK100">
        <f>'mk 001 10.3'!BK101</f>
        <v>1300</v>
      </c>
      <c r="BL100" t="str">
        <f>'mk 001 10.3'!BL101</f>
        <v>SYSBATCH</v>
      </c>
      <c r="BM100">
        <f>'mk 001 10.3'!BM101</f>
        <v>0</v>
      </c>
      <c r="BN100">
        <f>'mk 001 10.3'!BN101</f>
        <v>0</v>
      </c>
    </row>
    <row r="101" spans="1:66" x14ac:dyDescent="0.35">
      <c r="A101">
        <f>'mk 001 10.3'!A102</f>
        <v>0</v>
      </c>
      <c r="B101">
        <f>'mk 001 10.3'!B102</f>
        <v>0</v>
      </c>
      <c r="C101" s="1" t="str">
        <f>'mk 001 10.3'!C102</f>
        <v>14/5/2569</v>
      </c>
      <c r="D101" s="1" t="str">
        <f>'mk 001 10.3'!D102</f>
        <v>14/5/2569</v>
      </c>
      <c r="E101">
        <f>'mk 001 10.3'!E102</f>
        <v>0</v>
      </c>
      <c r="F101" t="str">
        <f>'mk 001 10.3'!F102</f>
        <v>489M</v>
      </c>
      <c r="G101" t="str">
        <f>'mk 001 10.3'!G102</f>
        <v>Modern Trade (Makro)</v>
      </c>
      <c r="H101">
        <f>'mk 001 10.3'!H102</f>
        <v>0</v>
      </c>
      <c r="I101" t="str">
        <f>'mk 001 10.3'!I102</f>
        <v>หน่วยงานกลาง</v>
      </c>
      <c r="J101" t="str">
        <f>'mk 001 10.3'!J102</f>
        <v>F213  DMCW-รชล-พระพุทธบาท</v>
      </c>
      <c r="K101" t="str">
        <f>'mk 001 10.3'!K102</f>
        <v>00000  หน่วยงานกลาง</v>
      </c>
      <c r="L101">
        <f>'mk 001 10.3'!L102</f>
        <v>923</v>
      </c>
      <c r="M101">
        <f>'mk 001 10.3'!M102</f>
        <v>0</v>
      </c>
      <c r="N101" t="str">
        <f>'mk 001 10.3'!N102</f>
        <v>1A53003900</v>
      </c>
      <c r="O101" t="str">
        <f>'mk 001 10.3'!O102</f>
        <v>บมจ. ซีพี แอ็กซ์ตร้า สาขาสระบุรี</v>
      </c>
      <c r="P101">
        <f>'mk 001 10.3'!P102</f>
        <v>2</v>
      </c>
      <c r="Q101" t="str">
        <f>'mk 001 10.3'!Q102</f>
        <v>MAKRO 0038 สระบุรี</v>
      </c>
      <c r="R101" s="1">
        <f>'mk 001 10.3'!R102</f>
        <v>244658</v>
      </c>
      <c r="S101" s="1" t="str">
        <f>'mk 001 10.3'!S102</f>
        <v>14/5/2569</v>
      </c>
      <c r="T101" t="str">
        <f>'mk 001 10.3'!T102</f>
        <v>H6954RMA0059184</v>
      </c>
      <c r="U101">
        <f>'mk 001 10.3'!U102</f>
        <v>23057821</v>
      </c>
      <c r="V101" t="str">
        <f>'mk 001 10.3'!V102</f>
        <v>สันคอ(M)</v>
      </c>
      <c r="W101">
        <f>'mk 001 10.3'!W102</f>
        <v>0</v>
      </c>
      <c r="X101">
        <f>'mk 001 10.3'!X102</f>
        <v>0</v>
      </c>
      <c r="Y101">
        <f t="shared" si="1"/>
        <v>0</v>
      </c>
      <c r="Z101" s="13">
        <f>IF(COUNTIFS(แปลงข้อมูล!H:H,Q101,แปลงข้อมูล!I:I,U101,แปลงข้อมูล!J:J,V101)&gt;0,SUMIFS(แปลงข้อมูล!Q:Q,แปลงข้อมูล!I:I,U101,แปลงข้อมูล!H:H,Q101,แปลงข้อมูล!J:J,V101),'mk 001 10.3'!Z102)</f>
        <v>0</v>
      </c>
      <c r="AA101">
        <f>'mk 001 10.3'!AA102</f>
        <v>0</v>
      </c>
      <c r="AB101">
        <f>'mk 001 10.3'!AB102</f>
        <v>0</v>
      </c>
      <c r="AC101">
        <f>'mk 001 10.3'!AC102</f>
        <v>0</v>
      </c>
      <c r="AD101">
        <f>'mk 001 10.3'!AD102</f>
        <v>0</v>
      </c>
      <c r="AE101">
        <f>'mk 001 10.3'!AE102</f>
        <v>0</v>
      </c>
      <c r="AF101">
        <f>'mk 001 10.3'!AF102</f>
        <v>0</v>
      </c>
      <c r="AG101">
        <f>'mk 001 10.3'!AG102</f>
        <v>0</v>
      </c>
      <c r="AH101">
        <f>'mk 001 10.3'!AH102</f>
        <v>0</v>
      </c>
      <c r="AI101" t="str">
        <f>'mk 001 10.3'!AI102</f>
        <v>OPRCD489MOPRCD00000OPRCDF213OPRCD00000OPRCD923</v>
      </c>
      <c r="AJ101" t="str">
        <f>'mk 001 10.3'!AJ102</f>
        <v>ซื้อ / ขาย</v>
      </c>
      <c r="AK101" t="str">
        <f>'mk 001 10.3'!AK102</f>
        <v>Main proudct</v>
      </c>
      <c r="AL101" t="str">
        <f>'mk 001 10.3'!AL102</f>
        <v>Bulk Normal</v>
      </c>
      <c r="AM101" t="str">
        <f>'mk 001 10.3'!AM102</f>
        <v>สุกร</v>
      </c>
      <c r="AN101" t="str">
        <f>'mk 001 10.3'!AN102</f>
        <v>OT002 CC-Makro</v>
      </c>
      <c r="AO101" t="str">
        <f>'mk 001 10.3'!AO102</f>
        <v>MT</v>
      </c>
      <c r="AP101">
        <f>'mk 001 10.3'!AP102</f>
        <v>2</v>
      </c>
      <c r="AQ101">
        <f>'mk 001 10.3'!AQ102</f>
        <v>0</v>
      </c>
      <c r="AR101">
        <f>'mk 001 10.3'!AR102</f>
        <v>0</v>
      </c>
      <c r="AS101">
        <f>'mk 001 10.3'!AS102</f>
        <v>0</v>
      </c>
      <c r="AT101" t="str">
        <f>'mk 001 10.3'!AT102</f>
        <v>เบญจพจน์ เพชรเหลี่ยม</v>
      </c>
      <c r="AU101" t="str">
        <f>'mk 001 10.3'!AU102</f>
        <v>2026-05-11-13.33.46.000000</v>
      </c>
      <c r="AV101" t="str">
        <f>'mk 001 10.3'!AV102</f>
        <v>ก.ก.</v>
      </c>
      <c r="AW101" t="str">
        <f>'mk 001 10.3'!AW102</f>
        <v>ก.ก.</v>
      </c>
      <c r="AX101" t="str">
        <f>'mk 001 10.3'!AX102</f>
        <v xml:space="preserve"> </v>
      </c>
      <c r="AY101">
        <f>'mk 001 10.3'!AY102</f>
        <v>0</v>
      </c>
      <c r="AZ101" t="str">
        <f>'mk 001 10.3'!AZ102</f>
        <v>N</v>
      </c>
      <c r="BA101" s="22">
        <f>'mk 001 10.3'!BA102</f>
        <v>9044989536402</v>
      </c>
      <c r="BB101">
        <f>'mk 001 10.3'!BB102</f>
        <v>0</v>
      </c>
      <c r="BC101">
        <f>'mk 001 10.3'!BC102</f>
        <v>0</v>
      </c>
      <c r="BD101">
        <f>'mk 001 10.3'!BD102</f>
        <v>1</v>
      </c>
      <c r="BE101">
        <f>'mk 001 10.3'!BE102</f>
        <v>0</v>
      </c>
      <c r="BF101" t="str">
        <f>'mk 001 10.3'!BF102</f>
        <v>;0000</v>
      </c>
      <c r="BG101">
        <f>'mk 001 10.3'!BG102</f>
        <v>1333314600</v>
      </c>
      <c r="BH101" t="str">
        <f>'mk 001 10.3'!BH102</f>
        <v>G</v>
      </c>
      <c r="BI101">
        <f>'mk 001 10.3'!BI102</f>
        <v>0</v>
      </c>
      <c r="BJ101">
        <f>'mk 001 10.3'!BJ102</f>
        <v>0</v>
      </c>
      <c r="BK101">
        <f>'mk 001 10.3'!BK102</f>
        <v>1300</v>
      </c>
      <c r="BL101" t="str">
        <f>'mk 001 10.3'!BL102</f>
        <v>SYSBATCH</v>
      </c>
      <c r="BM101">
        <f>'mk 001 10.3'!BM102</f>
        <v>0</v>
      </c>
      <c r="BN101">
        <f>'mk 001 10.3'!BN102</f>
        <v>0</v>
      </c>
    </row>
    <row r="102" spans="1:66" x14ac:dyDescent="0.35">
      <c r="A102">
        <f>'mk 001 10.3'!A103</f>
        <v>0</v>
      </c>
      <c r="B102">
        <f>'mk 001 10.3'!B103</f>
        <v>0</v>
      </c>
      <c r="C102" s="1" t="str">
        <f>'mk 001 10.3'!C103</f>
        <v>14/5/2569</v>
      </c>
      <c r="D102" s="1" t="str">
        <f>'mk 001 10.3'!D103</f>
        <v>14/5/2569</v>
      </c>
      <c r="E102">
        <f>'mk 001 10.3'!E103</f>
        <v>0</v>
      </c>
      <c r="F102" t="str">
        <f>'mk 001 10.3'!F103</f>
        <v>489M</v>
      </c>
      <c r="G102" t="str">
        <f>'mk 001 10.3'!G103</f>
        <v>Modern Trade (Makro)</v>
      </c>
      <c r="H102">
        <f>'mk 001 10.3'!H103</f>
        <v>0</v>
      </c>
      <c r="I102" t="str">
        <f>'mk 001 10.3'!I103</f>
        <v>หน่วยงานกลาง</v>
      </c>
      <c r="J102" t="str">
        <f>'mk 001 10.3'!J103</f>
        <v>F213  DMCW-รชล-พระพุทธบาท</v>
      </c>
      <c r="K102" t="str">
        <f>'mk 001 10.3'!K103</f>
        <v>00000  หน่วยงานกลาง</v>
      </c>
      <c r="L102">
        <f>'mk 001 10.3'!L103</f>
        <v>923</v>
      </c>
      <c r="M102">
        <f>'mk 001 10.3'!M103</f>
        <v>0</v>
      </c>
      <c r="N102" t="str">
        <f>'mk 001 10.3'!N103</f>
        <v>1A53003900</v>
      </c>
      <c r="O102" t="str">
        <f>'mk 001 10.3'!O103</f>
        <v>บมจ. ซีพี แอ็กซ์ตร้า สาขาสระบุรี</v>
      </c>
      <c r="P102">
        <f>'mk 001 10.3'!P103</f>
        <v>2</v>
      </c>
      <c r="Q102" t="str">
        <f>'mk 001 10.3'!Q103</f>
        <v>MAKRO 0038 สระบุรี</v>
      </c>
      <c r="R102" s="1">
        <f>'mk 001 10.3'!R103</f>
        <v>244658</v>
      </c>
      <c r="S102" s="1" t="str">
        <f>'mk 001 10.3'!S103</f>
        <v>14/5/2569</v>
      </c>
      <c r="T102" t="str">
        <f>'mk 001 10.3'!T103</f>
        <v>H6954RMA0059184</v>
      </c>
      <c r="U102">
        <f>'mk 001 10.3'!U103</f>
        <v>23108462</v>
      </c>
      <c r="V102" t="str">
        <f>'mk 001 10.3'!V103</f>
        <v>หมูบดปนมัน 30% แพ็ค กก.(M)</v>
      </c>
      <c r="W102">
        <f>'mk 001 10.3'!W103</f>
        <v>100</v>
      </c>
      <c r="X102">
        <f>'mk 001 10.3'!X103</f>
        <v>100</v>
      </c>
      <c r="Y102">
        <f t="shared" si="1"/>
        <v>100</v>
      </c>
      <c r="Z102" s="13">
        <f>IF(COUNTIFS(แปลงข้อมูล!H:H,Q102,แปลงข้อมูล!I:I,U102,แปลงข้อมูล!J:J,V102)&gt;0,SUMIFS(แปลงข้อมูล!Q:Q,แปลงข้อมูล!I:I,U102,แปลงข้อมูล!H:H,Q102,แปลงข้อมูล!J:J,V102),'mk 001 10.3'!Z103)</f>
        <v>100</v>
      </c>
      <c r="AA102">
        <f>'mk 001 10.3'!AA103</f>
        <v>0</v>
      </c>
      <c r="AB102">
        <f>'mk 001 10.3'!AB103</f>
        <v>0</v>
      </c>
      <c r="AC102">
        <f>'mk 001 10.3'!AC103</f>
        <v>0</v>
      </c>
      <c r="AD102">
        <f>'mk 001 10.3'!AD103</f>
        <v>0</v>
      </c>
      <c r="AE102">
        <f>'mk 001 10.3'!AE103</f>
        <v>100</v>
      </c>
      <c r="AF102">
        <f>'mk 001 10.3'!AF103</f>
        <v>100</v>
      </c>
      <c r="AG102">
        <f>'mk 001 10.3'!AG103</f>
        <v>0</v>
      </c>
      <c r="AH102">
        <f>'mk 001 10.3'!AH103</f>
        <v>0</v>
      </c>
      <c r="AI102" t="str">
        <f>'mk 001 10.3'!AI103</f>
        <v>OPRCD489MOPRCD00000OPRCDF213OPRCD00000OPRCD923</v>
      </c>
      <c r="AJ102" t="str">
        <f>'mk 001 10.3'!AJ103</f>
        <v>ซื้อ / ขาย</v>
      </c>
      <c r="AK102" t="str">
        <f>'mk 001 10.3'!AK103</f>
        <v>Main proudct</v>
      </c>
      <c r="AL102" t="str">
        <f>'mk 001 10.3'!AL103</f>
        <v>Bulk Normal</v>
      </c>
      <c r="AM102" t="str">
        <f>'mk 001 10.3'!AM103</f>
        <v>สุกร</v>
      </c>
      <c r="AN102" t="str">
        <f>'mk 001 10.3'!AN103</f>
        <v>OT002 CC-Makro</v>
      </c>
      <c r="AO102" t="str">
        <f>'mk 001 10.3'!AO103</f>
        <v>MT</v>
      </c>
      <c r="AP102">
        <f>'mk 001 10.3'!AP103</f>
        <v>2</v>
      </c>
      <c r="AQ102">
        <f>'mk 001 10.3'!AQ103</f>
        <v>0</v>
      </c>
      <c r="AR102">
        <f>'mk 001 10.3'!AR103</f>
        <v>0</v>
      </c>
      <c r="AS102">
        <f>'mk 001 10.3'!AS103</f>
        <v>0</v>
      </c>
      <c r="AT102" t="str">
        <f>'mk 001 10.3'!AT103</f>
        <v>เบญจพจน์ เพชรเหลี่ยม</v>
      </c>
      <c r="AU102" t="str">
        <f>'mk 001 10.3'!AU103</f>
        <v>2026-05-11-13.33.46.000000</v>
      </c>
      <c r="AV102" t="str">
        <f>'mk 001 10.3'!AV103</f>
        <v>ถุง</v>
      </c>
      <c r="AW102" t="str">
        <f>'mk 001 10.3'!AW103</f>
        <v>ก.ก.</v>
      </c>
      <c r="AX102" t="str">
        <f>'mk 001 10.3'!AX103</f>
        <v xml:space="preserve"> </v>
      </c>
      <c r="AY102">
        <f>'mk 001 10.3'!AY103</f>
        <v>0</v>
      </c>
      <c r="AZ102" t="str">
        <f>'mk 001 10.3'!AZ103</f>
        <v>N</v>
      </c>
      <c r="BA102" s="22">
        <f>'mk 001 10.3'!BA103</f>
        <v>9044989536402</v>
      </c>
      <c r="BB102">
        <f>'mk 001 10.3'!BB103</f>
        <v>0</v>
      </c>
      <c r="BC102">
        <f>'mk 001 10.3'!BC103</f>
        <v>0</v>
      </c>
      <c r="BD102">
        <f>'mk 001 10.3'!BD103</f>
        <v>1</v>
      </c>
      <c r="BE102">
        <f>'mk 001 10.3'!BE103</f>
        <v>0</v>
      </c>
      <c r="BF102" t="str">
        <f>'mk 001 10.3'!BF103</f>
        <v>;0000</v>
      </c>
      <c r="BG102">
        <f>'mk 001 10.3'!BG103</f>
        <v>1333314600</v>
      </c>
      <c r="BH102" t="str">
        <f>'mk 001 10.3'!BH103</f>
        <v>G</v>
      </c>
      <c r="BI102">
        <f>'mk 001 10.3'!BI103</f>
        <v>100</v>
      </c>
      <c r="BJ102">
        <f>'mk 001 10.3'!BJ103</f>
        <v>100</v>
      </c>
      <c r="BK102">
        <f>'mk 001 10.3'!BK103</f>
        <v>1300</v>
      </c>
      <c r="BL102" t="str">
        <f>'mk 001 10.3'!BL103</f>
        <v>SYSBATCH</v>
      </c>
      <c r="BM102">
        <f>'mk 001 10.3'!BM103</f>
        <v>0</v>
      </c>
      <c r="BN102">
        <f>'mk 001 10.3'!BN103</f>
        <v>0</v>
      </c>
    </row>
    <row r="103" spans="1:66" x14ac:dyDescent="0.35">
      <c r="A103">
        <f>'mk 001 10.3'!A104</f>
        <v>0</v>
      </c>
      <c r="B103">
        <f>'mk 001 10.3'!B104</f>
        <v>0</v>
      </c>
      <c r="C103" s="1" t="str">
        <f>'mk 001 10.3'!C104</f>
        <v>14/5/2569</v>
      </c>
      <c r="D103" s="1" t="str">
        <f>'mk 001 10.3'!D104</f>
        <v>14/5/2569</v>
      </c>
      <c r="E103">
        <f>'mk 001 10.3'!E104</f>
        <v>0</v>
      </c>
      <c r="F103" t="str">
        <f>'mk 001 10.3'!F104</f>
        <v>489M</v>
      </c>
      <c r="G103" t="str">
        <f>'mk 001 10.3'!G104</f>
        <v>Modern Trade (Makro)</v>
      </c>
      <c r="H103">
        <f>'mk 001 10.3'!H104</f>
        <v>0</v>
      </c>
      <c r="I103" t="str">
        <f>'mk 001 10.3'!I104</f>
        <v>หน่วยงานกลาง</v>
      </c>
      <c r="J103" t="str">
        <f>'mk 001 10.3'!J104</f>
        <v>F213  DMCW-รชล-พระพุทธบาท</v>
      </c>
      <c r="K103" t="str">
        <f>'mk 001 10.3'!K104</f>
        <v>00000  หน่วยงานกลาง</v>
      </c>
      <c r="L103">
        <f>'mk 001 10.3'!L104</f>
        <v>923</v>
      </c>
      <c r="M103">
        <f>'mk 001 10.3'!M104</f>
        <v>0</v>
      </c>
      <c r="N103" t="str">
        <f>'mk 001 10.3'!N104</f>
        <v>1A53003900</v>
      </c>
      <c r="O103" t="str">
        <f>'mk 001 10.3'!O104</f>
        <v>บมจ. ซีพี แอ็กซ์ตร้า สาขาสระบุรี</v>
      </c>
      <c r="P103">
        <f>'mk 001 10.3'!P104</f>
        <v>2</v>
      </c>
      <c r="Q103" t="str">
        <f>'mk 001 10.3'!Q104</f>
        <v>MAKRO 0038 สระบุรี</v>
      </c>
      <c r="R103" s="1">
        <f>'mk 001 10.3'!R104</f>
        <v>244658</v>
      </c>
      <c r="S103" s="1" t="str">
        <f>'mk 001 10.3'!S104</f>
        <v>14/5/2569</v>
      </c>
      <c r="T103" t="str">
        <f>'mk 001 10.3'!T104</f>
        <v>H6954RMA0059184</v>
      </c>
      <c r="U103">
        <f>'mk 001 10.3'!U104</f>
        <v>23062095</v>
      </c>
      <c r="V103" t="str">
        <f>'mk 001 10.3'!V104</f>
        <v>หน้ากากหมูเผา(M)</v>
      </c>
      <c r="W103">
        <f>'mk 001 10.3'!W104</f>
        <v>20</v>
      </c>
      <c r="X103">
        <f>'mk 001 10.3'!X104</f>
        <v>20</v>
      </c>
      <c r="Y103">
        <f t="shared" si="1"/>
        <v>20</v>
      </c>
      <c r="Z103" s="13">
        <f>IF(COUNTIFS(แปลงข้อมูล!H:H,Q103,แปลงข้อมูล!I:I,U103,แปลงข้อมูล!J:J,V103)&gt;0,SUMIFS(แปลงข้อมูล!Q:Q,แปลงข้อมูล!I:I,U103,แปลงข้อมูล!H:H,Q103,แปลงข้อมูล!J:J,V103),'mk 001 10.3'!Z104)</f>
        <v>20</v>
      </c>
      <c r="AA103">
        <f>'mk 001 10.3'!AA104</f>
        <v>0</v>
      </c>
      <c r="AB103">
        <f>'mk 001 10.3'!AB104</f>
        <v>0</v>
      </c>
      <c r="AC103">
        <f>'mk 001 10.3'!AC104</f>
        <v>0</v>
      </c>
      <c r="AD103">
        <f>'mk 001 10.3'!AD104</f>
        <v>0</v>
      </c>
      <c r="AE103">
        <f>'mk 001 10.3'!AE104</f>
        <v>20</v>
      </c>
      <c r="AF103">
        <f>'mk 001 10.3'!AF104</f>
        <v>20</v>
      </c>
      <c r="AG103">
        <f>'mk 001 10.3'!AG104</f>
        <v>0</v>
      </c>
      <c r="AH103">
        <f>'mk 001 10.3'!AH104</f>
        <v>0</v>
      </c>
      <c r="AI103" t="str">
        <f>'mk 001 10.3'!AI104</f>
        <v>OPRCD489MOPRCD00000OPRCDF213OPRCD00000OPRCD923</v>
      </c>
      <c r="AJ103" t="str">
        <f>'mk 001 10.3'!AJ104</f>
        <v>ซื้อ / ขาย</v>
      </c>
      <c r="AK103" t="str">
        <f>'mk 001 10.3'!AK104</f>
        <v>By proudct</v>
      </c>
      <c r="AL103" t="str">
        <f>'mk 001 10.3'!AL104</f>
        <v>Bulk Normal</v>
      </c>
      <c r="AM103" t="str">
        <f>'mk 001 10.3'!AM104</f>
        <v>สุกร</v>
      </c>
      <c r="AN103" t="str">
        <f>'mk 001 10.3'!AN104</f>
        <v>OT002 CC-Makro</v>
      </c>
      <c r="AO103" t="str">
        <f>'mk 001 10.3'!AO104</f>
        <v>MT</v>
      </c>
      <c r="AP103">
        <f>'mk 001 10.3'!AP104</f>
        <v>2</v>
      </c>
      <c r="AQ103">
        <f>'mk 001 10.3'!AQ104</f>
        <v>0</v>
      </c>
      <c r="AR103">
        <f>'mk 001 10.3'!AR104</f>
        <v>0</v>
      </c>
      <c r="AS103">
        <f>'mk 001 10.3'!AS104</f>
        <v>0</v>
      </c>
      <c r="AT103" t="str">
        <f>'mk 001 10.3'!AT104</f>
        <v>เบญจพจน์ เพชรเหลี่ยม</v>
      </c>
      <c r="AU103" t="str">
        <f>'mk 001 10.3'!AU104</f>
        <v>2026-05-11-13.33.46.000000</v>
      </c>
      <c r="AV103" t="str">
        <f>'mk 001 10.3'!AV104</f>
        <v>ก.ก.</v>
      </c>
      <c r="AW103" t="str">
        <f>'mk 001 10.3'!AW104</f>
        <v>ก.ก.</v>
      </c>
      <c r="AX103" t="str">
        <f>'mk 001 10.3'!AX104</f>
        <v xml:space="preserve"> </v>
      </c>
      <c r="AY103">
        <f>'mk 001 10.3'!AY104</f>
        <v>0</v>
      </c>
      <c r="AZ103" t="str">
        <f>'mk 001 10.3'!AZ104</f>
        <v>N</v>
      </c>
      <c r="BA103" s="22">
        <f>'mk 001 10.3'!BA104</f>
        <v>9044989536402</v>
      </c>
      <c r="BB103">
        <f>'mk 001 10.3'!BB104</f>
        <v>0</v>
      </c>
      <c r="BC103">
        <f>'mk 001 10.3'!BC104</f>
        <v>0</v>
      </c>
      <c r="BD103">
        <f>'mk 001 10.3'!BD104</f>
        <v>1</v>
      </c>
      <c r="BE103">
        <f>'mk 001 10.3'!BE104</f>
        <v>0</v>
      </c>
      <c r="BF103" t="str">
        <f>'mk 001 10.3'!BF104</f>
        <v>;0000</v>
      </c>
      <c r="BG103">
        <f>'mk 001 10.3'!BG104</f>
        <v>1333314600</v>
      </c>
      <c r="BH103" t="str">
        <f>'mk 001 10.3'!BH104</f>
        <v>G</v>
      </c>
      <c r="BI103">
        <f>'mk 001 10.3'!BI104</f>
        <v>20</v>
      </c>
      <c r="BJ103">
        <f>'mk 001 10.3'!BJ104</f>
        <v>20</v>
      </c>
      <c r="BK103">
        <f>'mk 001 10.3'!BK104</f>
        <v>1300</v>
      </c>
      <c r="BL103" t="str">
        <f>'mk 001 10.3'!BL104</f>
        <v>SYSBATCH</v>
      </c>
      <c r="BM103">
        <f>'mk 001 10.3'!BM104</f>
        <v>0</v>
      </c>
      <c r="BN103">
        <f>'mk 001 10.3'!BN104</f>
        <v>0</v>
      </c>
    </row>
    <row r="104" spans="1:66" x14ac:dyDescent="0.35">
      <c r="A104">
        <f>'mk 001 10.3'!A105</f>
        <v>0</v>
      </c>
      <c r="B104">
        <f>'mk 001 10.3'!B105</f>
        <v>0</v>
      </c>
      <c r="C104" s="1" t="str">
        <f>'mk 001 10.3'!C105</f>
        <v>14/5/2569</v>
      </c>
      <c r="D104" s="1" t="str">
        <f>'mk 001 10.3'!D105</f>
        <v>14/5/2569</v>
      </c>
      <c r="E104">
        <f>'mk 001 10.3'!E105</f>
        <v>0</v>
      </c>
      <c r="F104" t="str">
        <f>'mk 001 10.3'!F105</f>
        <v>489M</v>
      </c>
      <c r="G104" t="str">
        <f>'mk 001 10.3'!G105</f>
        <v>Modern Trade (Makro)</v>
      </c>
      <c r="H104">
        <f>'mk 001 10.3'!H105</f>
        <v>0</v>
      </c>
      <c r="I104" t="str">
        <f>'mk 001 10.3'!I105</f>
        <v>หน่วยงานกลาง</v>
      </c>
      <c r="J104" t="str">
        <f>'mk 001 10.3'!J105</f>
        <v>F213  DMCW-รชล-พระพุทธบาท</v>
      </c>
      <c r="K104" t="str">
        <f>'mk 001 10.3'!K105</f>
        <v>00000  หน่วยงานกลาง</v>
      </c>
      <c r="L104">
        <f>'mk 001 10.3'!L105</f>
        <v>923</v>
      </c>
      <c r="M104">
        <f>'mk 001 10.3'!M105</f>
        <v>0</v>
      </c>
      <c r="N104" t="str">
        <f>'mk 001 10.3'!N105</f>
        <v>1A53003900</v>
      </c>
      <c r="O104" t="str">
        <f>'mk 001 10.3'!O105</f>
        <v>บมจ. ซีพี แอ็กซ์ตร้า สาขาสระบุรี</v>
      </c>
      <c r="P104">
        <f>'mk 001 10.3'!P105</f>
        <v>2</v>
      </c>
      <c r="Q104" t="str">
        <f>'mk 001 10.3'!Q105</f>
        <v>MAKRO 0038 สระบุรี</v>
      </c>
      <c r="R104" s="1">
        <f>'mk 001 10.3'!R105</f>
        <v>244658</v>
      </c>
      <c r="S104" s="1" t="str">
        <f>'mk 001 10.3'!S105</f>
        <v>14/5/2569</v>
      </c>
      <c r="T104" t="str">
        <f>'mk 001 10.3'!T105</f>
        <v>H6954RMA0059184</v>
      </c>
      <c r="U104">
        <f>'mk 001 10.3'!U105</f>
        <v>23057812</v>
      </c>
      <c r="V104" t="str">
        <f>'mk 001 10.3'!V105</f>
        <v>สะโพก(M)</v>
      </c>
      <c r="W104">
        <f>'mk 001 10.3'!W105</f>
        <v>0</v>
      </c>
      <c r="X104">
        <f>'mk 001 10.3'!X105</f>
        <v>0</v>
      </c>
      <c r="Y104">
        <f t="shared" si="1"/>
        <v>0</v>
      </c>
      <c r="Z104" s="13">
        <f>IF(COUNTIFS(แปลงข้อมูล!H:H,Q104,แปลงข้อมูล!I:I,U104,แปลงข้อมูล!J:J,V104)&gt;0,SUMIFS(แปลงข้อมูล!Q:Q,แปลงข้อมูล!I:I,U104,แปลงข้อมูล!H:H,Q104,แปลงข้อมูล!J:J,V104),'mk 001 10.3'!Z105)</f>
        <v>0</v>
      </c>
      <c r="AA104">
        <f>'mk 001 10.3'!AA105</f>
        <v>0</v>
      </c>
      <c r="AB104">
        <f>'mk 001 10.3'!AB105</f>
        <v>0</v>
      </c>
      <c r="AC104">
        <f>'mk 001 10.3'!AC105</f>
        <v>0</v>
      </c>
      <c r="AD104">
        <f>'mk 001 10.3'!AD105</f>
        <v>0</v>
      </c>
      <c r="AE104">
        <f>'mk 001 10.3'!AE105</f>
        <v>0</v>
      </c>
      <c r="AF104">
        <f>'mk 001 10.3'!AF105</f>
        <v>0</v>
      </c>
      <c r="AG104">
        <f>'mk 001 10.3'!AG105</f>
        <v>0</v>
      </c>
      <c r="AH104">
        <f>'mk 001 10.3'!AH105</f>
        <v>0</v>
      </c>
      <c r="AI104" t="str">
        <f>'mk 001 10.3'!AI105</f>
        <v>OPRCD489MOPRCD00000OPRCDF213OPRCD00000OPRCD923</v>
      </c>
      <c r="AJ104" t="str">
        <f>'mk 001 10.3'!AJ105</f>
        <v>ซื้อ / ขาย</v>
      </c>
      <c r="AK104" t="str">
        <f>'mk 001 10.3'!AK105</f>
        <v>Main proudct</v>
      </c>
      <c r="AL104" t="str">
        <f>'mk 001 10.3'!AL105</f>
        <v>Bulk Normal</v>
      </c>
      <c r="AM104" t="str">
        <f>'mk 001 10.3'!AM105</f>
        <v>สุกร</v>
      </c>
      <c r="AN104" t="str">
        <f>'mk 001 10.3'!AN105</f>
        <v>OT002 CC-Makro</v>
      </c>
      <c r="AO104" t="str">
        <f>'mk 001 10.3'!AO105</f>
        <v>MT</v>
      </c>
      <c r="AP104">
        <f>'mk 001 10.3'!AP105</f>
        <v>2</v>
      </c>
      <c r="AQ104">
        <f>'mk 001 10.3'!AQ105</f>
        <v>0</v>
      </c>
      <c r="AR104">
        <f>'mk 001 10.3'!AR105</f>
        <v>0</v>
      </c>
      <c r="AS104">
        <f>'mk 001 10.3'!AS105</f>
        <v>0</v>
      </c>
      <c r="AT104" t="str">
        <f>'mk 001 10.3'!AT105</f>
        <v>เบญจพจน์ เพชรเหลี่ยม</v>
      </c>
      <c r="AU104" t="str">
        <f>'mk 001 10.3'!AU105</f>
        <v>2026-05-11-13.33.46.000000</v>
      </c>
      <c r="AV104" t="str">
        <f>'mk 001 10.3'!AV105</f>
        <v>ก.ก.</v>
      </c>
      <c r="AW104" t="str">
        <f>'mk 001 10.3'!AW105</f>
        <v>ก.ก.</v>
      </c>
      <c r="AX104" t="str">
        <f>'mk 001 10.3'!AX105</f>
        <v xml:space="preserve"> </v>
      </c>
      <c r="AY104">
        <f>'mk 001 10.3'!AY105</f>
        <v>0</v>
      </c>
      <c r="AZ104" t="str">
        <f>'mk 001 10.3'!AZ105</f>
        <v>N</v>
      </c>
      <c r="BA104" s="22">
        <f>'mk 001 10.3'!BA105</f>
        <v>9044989536402</v>
      </c>
      <c r="BB104">
        <f>'mk 001 10.3'!BB105</f>
        <v>0</v>
      </c>
      <c r="BC104">
        <f>'mk 001 10.3'!BC105</f>
        <v>0</v>
      </c>
      <c r="BD104">
        <f>'mk 001 10.3'!BD105</f>
        <v>1</v>
      </c>
      <c r="BE104">
        <f>'mk 001 10.3'!BE105</f>
        <v>0</v>
      </c>
      <c r="BF104" t="str">
        <f>'mk 001 10.3'!BF105</f>
        <v>;0000</v>
      </c>
      <c r="BG104">
        <f>'mk 001 10.3'!BG105</f>
        <v>1333314600</v>
      </c>
      <c r="BH104" t="str">
        <f>'mk 001 10.3'!BH105</f>
        <v>G</v>
      </c>
      <c r="BI104">
        <f>'mk 001 10.3'!BI105</f>
        <v>0</v>
      </c>
      <c r="BJ104">
        <f>'mk 001 10.3'!BJ105</f>
        <v>0</v>
      </c>
      <c r="BK104">
        <f>'mk 001 10.3'!BK105</f>
        <v>1300</v>
      </c>
      <c r="BL104" t="str">
        <f>'mk 001 10.3'!BL105</f>
        <v>SYSBATCH</v>
      </c>
      <c r="BM104">
        <f>'mk 001 10.3'!BM105</f>
        <v>0</v>
      </c>
      <c r="BN104">
        <f>'mk 001 10.3'!BN105</f>
        <v>0</v>
      </c>
    </row>
    <row r="105" spans="1:66" x14ac:dyDescent="0.35">
      <c r="A105">
        <f>'mk 001 10.3'!A106</f>
        <v>0</v>
      </c>
      <c r="B105">
        <f>'mk 001 10.3'!B106</f>
        <v>0</v>
      </c>
      <c r="C105" s="1" t="str">
        <f>'mk 001 10.3'!C106</f>
        <v>14/5/2569</v>
      </c>
      <c r="D105" s="1" t="str">
        <f>'mk 001 10.3'!D106</f>
        <v>14/5/2569</v>
      </c>
      <c r="E105">
        <f>'mk 001 10.3'!E106</f>
        <v>0</v>
      </c>
      <c r="F105" t="str">
        <f>'mk 001 10.3'!F106</f>
        <v>489M</v>
      </c>
      <c r="G105" t="str">
        <f>'mk 001 10.3'!G106</f>
        <v>Modern Trade (Makro)</v>
      </c>
      <c r="H105">
        <f>'mk 001 10.3'!H106</f>
        <v>0</v>
      </c>
      <c r="I105" t="str">
        <f>'mk 001 10.3'!I106</f>
        <v>หน่วยงานกลาง</v>
      </c>
      <c r="J105" t="str">
        <f>'mk 001 10.3'!J106</f>
        <v>F213  DMCW-รชล-พระพุทธบาท</v>
      </c>
      <c r="K105" t="str">
        <f>'mk 001 10.3'!K106</f>
        <v>00000  หน่วยงานกลาง</v>
      </c>
      <c r="L105">
        <f>'mk 001 10.3'!L106</f>
        <v>923</v>
      </c>
      <c r="M105">
        <f>'mk 001 10.3'!M106</f>
        <v>0</v>
      </c>
      <c r="N105" t="str">
        <f>'mk 001 10.3'!N106</f>
        <v>1A53003900</v>
      </c>
      <c r="O105" t="str">
        <f>'mk 001 10.3'!O106</f>
        <v>บมจ. ซีพี แอ็กซ์ตร้า สาขาสระบุรี</v>
      </c>
      <c r="P105">
        <f>'mk 001 10.3'!P106</f>
        <v>2</v>
      </c>
      <c r="Q105" t="str">
        <f>'mk 001 10.3'!Q106</f>
        <v>MAKRO 0038 สระบุรี</v>
      </c>
      <c r="R105" s="1">
        <f>'mk 001 10.3'!R106</f>
        <v>244658</v>
      </c>
      <c r="S105" s="1" t="str">
        <f>'mk 001 10.3'!S106</f>
        <v>14/5/2569</v>
      </c>
      <c r="T105" t="str">
        <f>'mk 001 10.3'!T106</f>
        <v>H6954RMA0059184</v>
      </c>
      <c r="U105">
        <f>'mk 001 10.3'!U106</f>
        <v>23015265</v>
      </c>
      <c r="V105" t="str">
        <f>'mk 001 10.3'!V106</f>
        <v>ซี่โครงหั่นชิ้น</v>
      </c>
      <c r="W105">
        <f>'mk 001 10.3'!W106</f>
        <v>30</v>
      </c>
      <c r="X105">
        <f>'mk 001 10.3'!X106</f>
        <v>30</v>
      </c>
      <c r="Y105">
        <f t="shared" si="1"/>
        <v>30</v>
      </c>
      <c r="Z105" s="13">
        <f>IF(COUNTIFS(แปลงข้อมูล!H:H,Q105,แปลงข้อมูล!I:I,U105,แปลงข้อมูล!J:J,V105)&gt;0,SUMIFS(แปลงข้อมูล!Q:Q,แปลงข้อมูล!I:I,U105,แปลงข้อมูล!H:H,Q105,แปลงข้อมูล!J:J,V105),'mk 001 10.3'!Z106)</f>
        <v>30</v>
      </c>
      <c r="AA105">
        <f>'mk 001 10.3'!AA106</f>
        <v>0</v>
      </c>
      <c r="AB105">
        <f>'mk 001 10.3'!AB106</f>
        <v>0</v>
      </c>
      <c r="AC105">
        <f>'mk 001 10.3'!AC106</f>
        <v>0</v>
      </c>
      <c r="AD105">
        <f>'mk 001 10.3'!AD106</f>
        <v>0</v>
      </c>
      <c r="AE105">
        <f>'mk 001 10.3'!AE106</f>
        <v>30</v>
      </c>
      <c r="AF105">
        <f>'mk 001 10.3'!AF106</f>
        <v>30</v>
      </c>
      <c r="AG105">
        <f>'mk 001 10.3'!AG106</f>
        <v>0</v>
      </c>
      <c r="AH105">
        <f>'mk 001 10.3'!AH106</f>
        <v>0</v>
      </c>
      <c r="AI105" t="str">
        <f>'mk 001 10.3'!AI106</f>
        <v>OPRCD489MOPRCD00000OPRCDF213OPRCD00000OPRCD923</v>
      </c>
      <c r="AJ105" t="str">
        <f>'mk 001 10.3'!AJ106</f>
        <v>ซื้อ / ขาย</v>
      </c>
      <c r="AK105" t="str">
        <f>'mk 001 10.3'!AK106</f>
        <v>Main proudct</v>
      </c>
      <c r="AL105" t="str">
        <f>'mk 001 10.3'!AL106</f>
        <v>Bulk Normal</v>
      </c>
      <c r="AM105" t="str">
        <f>'mk 001 10.3'!AM106</f>
        <v>สุกร</v>
      </c>
      <c r="AN105" t="str">
        <f>'mk 001 10.3'!AN106</f>
        <v>OT002 CC-Makro</v>
      </c>
      <c r="AO105" t="str">
        <f>'mk 001 10.3'!AO106</f>
        <v>MT</v>
      </c>
      <c r="AP105">
        <f>'mk 001 10.3'!AP106</f>
        <v>2</v>
      </c>
      <c r="AQ105">
        <f>'mk 001 10.3'!AQ106</f>
        <v>0</v>
      </c>
      <c r="AR105">
        <f>'mk 001 10.3'!AR106</f>
        <v>0</v>
      </c>
      <c r="AS105">
        <f>'mk 001 10.3'!AS106</f>
        <v>0</v>
      </c>
      <c r="AT105" t="str">
        <f>'mk 001 10.3'!AT106</f>
        <v>เบญจพจน์ เพชรเหลี่ยม</v>
      </c>
      <c r="AU105" t="str">
        <f>'mk 001 10.3'!AU106</f>
        <v>2026-05-11-13.33.46.000000</v>
      </c>
      <c r="AV105" t="str">
        <f>'mk 001 10.3'!AV106</f>
        <v>ก.ก.</v>
      </c>
      <c r="AW105" t="str">
        <f>'mk 001 10.3'!AW106</f>
        <v>ก.ก.</v>
      </c>
      <c r="AX105" t="str">
        <f>'mk 001 10.3'!AX106</f>
        <v xml:space="preserve"> </v>
      </c>
      <c r="AY105">
        <f>'mk 001 10.3'!AY106</f>
        <v>0</v>
      </c>
      <c r="AZ105" t="str">
        <f>'mk 001 10.3'!AZ106</f>
        <v>N</v>
      </c>
      <c r="BA105" s="22">
        <f>'mk 001 10.3'!BA106</f>
        <v>9044989536402</v>
      </c>
      <c r="BB105">
        <f>'mk 001 10.3'!BB106</f>
        <v>0</v>
      </c>
      <c r="BC105">
        <f>'mk 001 10.3'!BC106</f>
        <v>0</v>
      </c>
      <c r="BD105">
        <f>'mk 001 10.3'!BD106</f>
        <v>1</v>
      </c>
      <c r="BE105">
        <f>'mk 001 10.3'!BE106</f>
        <v>0</v>
      </c>
      <c r="BF105" t="str">
        <f>'mk 001 10.3'!BF106</f>
        <v>;0000</v>
      </c>
      <c r="BG105">
        <f>'mk 001 10.3'!BG106</f>
        <v>1333314600</v>
      </c>
      <c r="BH105" t="str">
        <f>'mk 001 10.3'!BH106</f>
        <v>G</v>
      </c>
      <c r="BI105">
        <f>'mk 001 10.3'!BI106</f>
        <v>30</v>
      </c>
      <c r="BJ105">
        <f>'mk 001 10.3'!BJ106</f>
        <v>30</v>
      </c>
      <c r="BK105">
        <f>'mk 001 10.3'!BK106</f>
        <v>1300</v>
      </c>
      <c r="BL105" t="str">
        <f>'mk 001 10.3'!BL106</f>
        <v>SYSBATCH</v>
      </c>
      <c r="BM105">
        <f>'mk 001 10.3'!BM106</f>
        <v>0</v>
      </c>
      <c r="BN105">
        <f>'mk 001 10.3'!BN106</f>
        <v>0</v>
      </c>
    </row>
    <row r="106" spans="1:66" x14ac:dyDescent="0.35">
      <c r="A106">
        <f>'mk 001 10.3'!A107</f>
        <v>0</v>
      </c>
      <c r="B106">
        <f>'mk 001 10.3'!B107</f>
        <v>0</v>
      </c>
      <c r="C106" s="1" t="str">
        <f>'mk 001 10.3'!C107</f>
        <v>14/5/2569</v>
      </c>
      <c r="D106" s="1" t="str">
        <f>'mk 001 10.3'!D107</f>
        <v>14/5/2569</v>
      </c>
      <c r="E106">
        <f>'mk 001 10.3'!E107</f>
        <v>0</v>
      </c>
      <c r="F106" t="str">
        <f>'mk 001 10.3'!F107</f>
        <v>489M</v>
      </c>
      <c r="G106" t="str">
        <f>'mk 001 10.3'!G107</f>
        <v>Modern Trade (Makro)</v>
      </c>
      <c r="H106">
        <f>'mk 001 10.3'!H107</f>
        <v>0</v>
      </c>
      <c r="I106" t="str">
        <f>'mk 001 10.3'!I107</f>
        <v>หน่วยงานกลาง</v>
      </c>
      <c r="J106" t="str">
        <f>'mk 001 10.3'!J107</f>
        <v>F213  DMCW-รชล-พระพุทธบาท</v>
      </c>
      <c r="K106" t="str">
        <f>'mk 001 10.3'!K107</f>
        <v>00000  หน่วยงานกลาง</v>
      </c>
      <c r="L106">
        <f>'mk 001 10.3'!L107</f>
        <v>923</v>
      </c>
      <c r="M106">
        <f>'mk 001 10.3'!M107</f>
        <v>0</v>
      </c>
      <c r="N106" t="str">
        <f>'mk 001 10.3'!N107</f>
        <v>1A53003900</v>
      </c>
      <c r="O106" t="str">
        <f>'mk 001 10.3'!O107</f>
        <v>บมจ. ซีพี แอ็กซ์ตร้า สาขาสระบุรี</v>
      </c>
      <c r="P106">
        <f>'mk 001 10.3'!P107</f>
        <v>2</v>
      </c>
      <c r="Q106" t="str">
        <f>'mk 001 10.3'!Q107</f>
        <v>MAKRO 0038 สระบุรี</v>
      </c>
      <c r="R106" s="1">
        <f>'mk 001 10.3'!R107</f>
        <v>244658</v>
      </c>
      <c r="S106" s="1" t="str">
        <f>'mk 001 10.3'!S107</f>
        <v>14/5/2569</v>
      </c>
      <c r="T106" t="str">
        <f>'mk 001 10.3'!T107</f>
        <v>H6954RMA0059184</v>
      </c>
      <c r="U106">
        <f>'mk 001 10.3'!U107</f>
        <v>23058555</v>
      </c>
      <c r="V106" t="str">
        <f>'mk 001 10.3'!V107</f>
        <v>กระดูกซุป (M)</v>
      </c>
      <c r="W106">
        <f>'mk 001 10.3'!W107</f>
        <v>40</v>
      </c>
      <c r="X106">
        <f>'mk 001 10.3'!X107</f>
        <v>40</v>
      </c>
      <c r="Y106">
        <f t="shared" si="1"/>
        <v>40</v>
      </c>
      <c r="Z106" s="13">
        <f>IF(COUNTIFS(แปลงข้อมูล!H:H,Q106,แปลงข้อมูล!I:I,U106,แปลงข้อมูล!J:J,V106)&gt;0,SUMIFS(แปลงข้อมูล!Q:Q,แปลงข้อมูล!I:I,U106,แปลงข้อมูล!H:H,Q106,แปลงข้อมูล!J:J,V106),'mk 001 10.3'!Z107)</f>
        <v>40</v>
      </c>
      <c r="AA106">
        <f>'mk 001 10.3'!AA107</f>
        <v>0</v>
      </c>
      <c r="AB106">
        <f>'mk 001 10.3'!AB107</f>
        <v>0</v>
      </c>
      <c r="AC106">
        <f>'mk 001 10.3'!AC107</f>
        <v>0</v>
      </c>
      <c r="AD106">
        <f>'mk 001 10.3'!AD107</f>
        <v>0</v>
      </c>
      <c r="AE106">
        <f>'mk 001 10.3'!AE107</f>
        <v>40</v>
      </c>
      <c r="AF106">
        <f>'mk 001 10.3'!AF107</f>
        <v>40</v>
      </c>
      <c r="AG106">
        <f>'mk 001 10.3'!AG107</f>
        <v>0</v>
      </c>
      <c r="AH106">
        <f>'mk 001 10.3'!AH107</f>
        <v>0</v>
      </c>
      <c r="AI106" t="str">
        <f>'mk 001 10.3'!AI107</f>
        <v>OPRCD489MOPRCD00000OPRCDF213OPRCD00000OPRCD923</v>
      </c>
      <c r="AJ106" t="str">
        <f>'mk 001 10.3'!AJ107</f>
        <v>ซื้อ / ขาย</v>
      </c>
      <c r="AK106" t="str">
        <f>'mk 001 10.3'!AK107</f>
        <v>By proudct</v>
      </c>
      <c r="AL106" t="str">
        <f>'mk 001 10.3'!AL107</f>
        <v>Bulk Normal</v>
      </c>
      <c r="AM106" t="str">
        <f>'mk 001 10.3'!AM107</f>
        <v>สุกร</v>
      </c>
      <c r="AN106" t="str">
        <f>'mk 001 10.3'!AN107</f>
        <v>OT002 CC-Makro</v>
      </c>
      <c r="AO106" t="str">
        <f>'mk 001 10.3'!AO107</f>
        <v>MT</v>
      </c>
      <c r="AP106">
        <f>'mk 001 10.3'!AP107</f>
        <v>2</v>
      </c>
      <c r="AQ106">
        <f>'mk 001 10.3'!AQ107</f>
        <v>0</v>
      </c>
      <c r="AR106">
        <f>'mk 001 10.3'!AR107</f>
        <v>0</v>
      </c>
      <c r="AS106">
        <f>'mk 001 10.3'!AS107</f>
        <v>0</v>
      </c>
      <c r="AT106" t="str">
        <f>'mk 001 10.3'!AT107</f>
        <v>เบญจพจน์ เพชรเหลี่ยม</v>
      </c>
      <c r="AU106" t="str">
        <f>'mk 001 10.3'!AU107</f>
        <v>2026-05-11-13.33.46.000000</v>
      </c>
      <c r="AV106" t="str">
        <f>'mk 001 10.3'!AV107</f>
        <v>ก.ก.</v>
      </c>
      <c r="AW106" t="str">
        <f>'mk 001 10.3'!AW107</f>
        <v>ก.ก.</v>
      </c>
      <c r="AX106" t="str">
        <f>'mk 001 10.3'!AX107</f>
        <v xml:space="preserve"> </v>
      </c>
      <c r="AY106">
        <f>'mk 001 10.3'!AY107</f>
        <v>0</v>
      </c>
      <c r="AZ106" t="str">
        <f>'mk 001 10.3'!AZ107</f>
        <v>N</v>
      </c>
      <c r="BA106" s="22">
        <f>'mk 001 10.3'!BA107</f>
        <v>9044989536402</v>
      </c>
      <c r="BB106">
        <f>'mk 001 10.3'!BB107</f>
        <v>0</v>
      </c>
      <c r="BC106">
        <f>'mk 001 10.3'!BC107</f>
        <v>0</v>
      </c>
      <c r="BD106">
        <f>'mk 001 10.3'!BD107</f>
        <v>1</v>
      </c>
      <c r="BE106">
        <f>'mk 001 10.3'!BE107</f>
        <v>0</v>
      </c>
      <c r="BF106" t="str">
        <f>'mk 001 10.3'!BF107</f>
        <v>;0000</v>
      </c>
      <c r="BG106">
        <f>'mk 001 10.3'!BG107</f>
        <v>1333314600</v>
      </c>
      <c r="BH106" t="str">
        <f>'mk 001 10.3'!BH107</f>
        <v>G</v>
      </c>
      <c r="BI106">
        <f>'mk 001 10.3'!BI107</f>
        <v>40</v>
      </c>
      <c r="BJ106">
        <f>'mk 001 10.3'!BJ107</f>
        <v>40</v>
      </c>
      <c r="BK106">
        <f>'mk 001 10.3'!BK107</f>
        <v>1300</v>
      </c>
      <c r="BL106" t="str">
        <f>'mk 001 10.3'!BL107</f>
        <v>SYSBATCH</v>
      </c>
      <c r="BM106">
        <f>'mk 001 10.3'!BM107</f>
        <v>0</v>
      </c>
      <c r="BN106">
        <f>'mk 001 10.3'!BN107</f>
        <v>0</v>
      </c>
    </row>
    <row r="107" spans="1:66" x14ac:dyDescent="0.35">
      <c r="A107">
        <f>'mk 001 10.3'!A108</f>
        <v>0</v>
      </c>
      <c r="B107">
        <f>'mk 001 10.3'!B108</f>
        <v>0</v>
      </c>
      <c r="C107" s="1" t="str">
        <f>'mk 001 10.3'!C108</f>
        <v>14/5/2569</v>
      </c>
      <c r="D107" s="1" t="str">
        <f>'mk 001 10.3'!D108</f>
        <v>14/5/2569</v>
      </c>
      <c r="E107">
        <f>'mk 001 10.3'!E108</f>
        <v>0</v>
      </c>
      <c r="F107" t="str">
        <f>'mk 001 10.3'!F108</f>
        <v>489M</v>
      </c>
      <c r="G107" t="str">
        <f>'mk 001 10.3'!G108</f>
        <v>Modern Trade (Makro)</v>
      </c>
      <c r="H107">
        <f>'mk 001 10.3'!H108</f>
        <v>0</v>
      </c>
      <c r="I107" t="str">
        <f>'mk 001 10.3'!I108</f>
        <v>หน่วยงานกลาง</v>
      </c>
      <c r="J107" t="str">
        <f>'mk 001 10.3'!J108</f>
        <v>F213  DMCW-รชล-พระพุทธบาท</v>
      </c>
      <c r="K107" t="str">
        <f>'mk 001 10.3'!K108</f>
        <v>00000  หน่วยงานกลาง</v>
      </c>
      <c r="L107">
        <f>'mk 001 10.3'!L108</f>
        <v>923</v>
      </c>
      <c r="M107">
        <f>'mk 001 10.3'!M108</f>
        <v>0</v>
      </c>
      <c r="N107" t="str">
        <f>'mk 001 10.3'!N108</f>
        <v>1A53003900</v>
      </c>
      <c r="O107" t="str">
        <f>'mk 001 10.3'!O108</f>
        <v>บมจ. ซีพี แอ็กซ์ตร้า สาขาสระบุรี</v>
      </c>
      <c r="P107">
        <f>'mk 001 10.3'!P108</f>
        <v>2</v>
      </c>
      <c r="Q107" t="str">
        <f>'mk 001 10.3'!Q108</f>
        <v>MAKRO 0038 สระบุรี</v>
      </c>
      <c r="R107" s="1">
        <f>'mk 001 10.3'!R108</f>
        <v>244658</v>
      </c>
      <c r="S107" s="1" t="str">
        <f>'mk 001 10.3'!S108</f>
        <v>14/5/2569</v>
      </c>
      <c r="T107" t="str">
        <f>'mk 001 10.3'!T108</f>
        <v>H6954RMA0059184</v>
      </c>
      <c r="U107">
        <f>'mk 001 10.3'!U108</f>
        <v>23065140</v>
      </c>
      <c r="V107" t="str">
        <f>'mk 001 10.3'!V108</f>
        <v>สะโพกสไลด์</v>
      </c>
      <c r="W107">
        <f>'mk 001 10.3'!W108</f>
        <v>220</v>
      </c>
      <c r="X107">
        <f>'mk 001 10.3'!X108</f>
        <v>220</v>
      </c>
      <c r="Y107">
        <f t="shared" si="1"/>
        <v>220</v>
      </c>
      <c r="Z107" s="13">
        <f>IF(COUNTIFS(แปลงข้อมูล!H:H,Q107,แปลงข้อมูล!I:I,U107,แปลงข้อมูล!J:J,V107)&gt;0,SUMIFS(แปลงข้อมูล!Q:Q,แปลงข้อมูล!I:I,U107,แปลงข้อมูล!H:H,Q107,แปลงข้อมูล!J:J,V107),'mk 001 10.3'!Z108)</f>
        <v>220</v>
      </c>
      <c r="AA107">
        <f>'mk 001 10.3'!AA108</f>
        <v>0</v>
      </c>
      <c r="AB107">
        <f>'mk 001 10.3'!AB108</f>
        <v>0</v>
      </c>
      <c r="AC107">
        <f>'mk 001 10.3'!AC108</f>
        <v>0</v>
      </c>
      <c r="AD107">
        <f>'mk 001 10.3'!AD108</f>
        <v>0</v>
      </c>
      <c r="AE107">
        <f>'mk 001 10.3'!AE108</f>
        <v>220</v>
      </c>
      <c r="AF107">
        <f>'mk 001 10.3'!AF108</f>
        <v>220</v>
      </c>
      <c r="AG107">
        <f>'mk 001 10.3'!AG108</f>
        <v>0</v>
      </c>
      <c r="AH107">
        <f>'mk 001 10.3'!AH108</f>
        <v>0</v>
      </c>
      <c r="AI107" t="str">
        <f>'mk 001 10.3'!AI108</f>
        <v>OPRCD489MOPRCD00000OPRCDF213OPRCD00000OPRCD923</v>
      </c>
      <c r="AJ107" t="str">
        <f>'mk 001 10.3'!AJ108</f>
        <v>ซื้อ / ขาย</v>
      </c>
      <c r="AK107" t="str">
        <f>'mk 001 10.3'!AK108</f>
        <v>Main proudct</v>
      </c>
      <c r="AL107" t="str">
        <f>'mk 001 10.3'!AL108</f>
        <v>Bulk Normal</v>
      </c>
      <c r="AM107" t="str">
        <f>'mk 001 10.3'!AM108</f>
        <v>สุกร</v>
      </c>
      <c r="AN107" t="str">
        <f>'mk 001 10.3'!AN108</f>
        <v>OT002 CC-Makro</v>
      </c>
      <c r="AO107" t="str">
        <f>'mk 001 10.3'!AO108</f>
        <v>MT</v>
      </c>
      <c r="AP107">
        <f>'mk 001 10.3'!AP108</f>
        <v>2</v>
      </c>
      <c r="AQ107">
        <f>'mk 001 10.3'!AQ108</f>
        <v>0</v>
      </c>
      <c r="AR107">
        <f>'mk 001 10.3'!AR108</f>
        <v>0</v>
      </c>
      <c r="AS107">
        <f>'mk 001 10.3'!AS108</f>
        <v>0</v>
      </c>
      <c r="AT107" t="str">
        <f>'mk 001 10.3'!AT108</f>
        <v>เบญจพจน์ เพชรเหลี่ยม</v>
      </c>
      <c r="AU107" t="str">
        <f>'mk 001 10.3'!AU108</f>
        <v>2026-05-11-13.33.46.000000</v>
      </c>
      <c r="AV107" t="str">
        <f>'mk 001 10.3'!AV108</f>
        <v>ก.ก.</v>
      </c>
      <c r="AW107" t="str">
        <f>'mk 001 10.3'!AW108</f>
        <v>ก.ก.</v>
      </c>
      <c r="AX107" t="str">
        <f>'mk 001 10.3'!AX108</f>
        <v xml:space="preserve"> </v>
      </c>
      <c r="AY107">
        <f>'mk 001 10.3'!AY108</f>
        <v>0</v>
      </c>
      <c r="AZ107" t="str">
        <f>'mk 001 10.3'!AZ108</f>
        <v>N</v>
      </c>
      <c r="BA107" s="22">
        <f>'mk 001 10.3'!BA108</f>
        <v>9044989536402</v>
      </c>
      <c r="BB107">
        <f>'mk 001 10.3'!BB108</f>
        <v>0</v>
      </c>
      <c r="BC107">
        <f>'mk 001 10.3'!BC108</f>
        <v>0</v>
      </c>
      <c r="BD107">
        <f>'mk 001 10.3'!BD108</f>
        <v>1</v>
      </c>
      <c r="BE107">
        <f>'mk 001 10.3'!BE108</f>
        <v>0</v>
      </c>
      <c r="BF107" t="str">
        <f>'mk 001 10.3'!BF108</f>
        <v>;0000</v>
      </c>
      <c r="BG107">
        <f>'mk 001 10.3'!BG108</f>
        <v>1333314600</v>
      </c>
      <c r="BH107" t="str">
        <f>'mk 001 10.3'!BH108</f>
        <v>G</v>
      </c>
      <c r="BI107">
        <f>'mk 001 10.3'!BI108</f>
        <v>220</v>
      </c>
      <c r="BJ107">
        <f>'mk 001 10.3'!BJ108</f>
        <v>220</v>
      </c>
      <c r="BK107">
        <f>'mk 001 10.3'!BK108</f>
        <v>1300</v>
      </c>
      <c r="BL107" t="str">
        <f>'mk 001 10.3'!BL108</f>
        <v>SYSBATCH</v>
      </c>
      <c r="BM107">
        <f>'mk 001 10.3'!BM108</f>
        <v>0</v>
      </c>
      <c r="BN107">
        <f>'mk 001 10.3'!BN108</f>
        <v>0</v>
      </c>
    </row>
    <row r="108" spans="1:66" x14ac:dyDescent="0.35">
      <c r="A108">
        <f>'mk 001 10.3'!A109</f>
        <v>0</v>
      </c>
      <c r="B108">
        <f>'mk 001 10.3'!B109</f>
        <v>0</v>
      </c>
      <c r="C108" s="1" t="str">
        <f>'mk 001 10.3'!C109</f>
        <v>14/5/2569</v>
      </c>
      <c r="D108" s="1" t="str">
        <f>'mk 001 10.3'!D109</f>
        <v>14/5/2569</v>
      </c>
      <c r="E108">
        <f>'mk 001 10.3'!E109</f>
        <v>0</v>
      </c>
      <c r="F108" t="str">
        <f>'mk 001 10.3'!F109</f>
        <v>489M</v>
      </c>
      <c r="G108" t="str">
        <f>'mk 001 10.3'!G109</f>
        <v>Modern Trade (Makro)</v>
      </c>
      <c r="H108">
        <f>'mk 001 10.3'!H109</f>
        <v>0</v>
      </c>
      <c r="I108" t="str">
        <f>'mk 001 10.3'!I109</f>
        <v>หน่วยงานกลาง</v>
      </c>
      <c r="J108" t="str">
        <f>'mk 001 10.3'!J109</f>
        <v>F213  DMCW-รชล-พระพุทธบาท</v>
      </c>
      <c r="K108" t="str">
        <f>'mk 001 10.3'!K109</f>
        <v>00000  หน่วยงานกลาง</v>
      </c>
      <c r="L108">
        <f>'mk 001 10.3'!L109</f>
        <v>923</v>
      </c>
      <c r="M108">
        <f>'mk 001 10.3'!M109</f>
        <v>0</v>
      </c>
      <c r="N108" t="str">
        <f>'mk 001 10.3'!N109</f>
        <v>1A53004800</v>
      </c>
      <c r="O108" t="str">
        <f>'mk 001 10.3'!O109</f>
        <v>บมจ. ซีพี แอ็กซ์ตร้า สาขาลพบุรี</v>
      </c>
      <c r="P108">
        <f>'mk 001 10.3'!P109</f>
        <v>2</v>
      </c>
      <c r="Q108" t="str">
        <f>'mk 001 10.3'!Q109</f>
        <v>MAKRO 0047 ลพบุรี</v>
      </c>
      <c r="R108" s="1">
        <f>'mk 001 10.3'!R109</f>
        <v>244658</v>
      </c>
      <c r="S108" s="1" t="str">
        <f>'mk 001 10.3'!S109</f>
        <v>14/5/2569</v>
      </c>
      <c r="T108" t="str">
        <f>'mk 001 10.3'!T109</f>
        <v>H6954RMA0059202</v>
      </c>
      <c r="U108">
        <f>'mk 001 10.3'!U109</f>
        <v>23058551</v>
      </c>
      <c r="V108" t="str">
        <f>'mk 001 10.3'!V109</f>
        <v>คอหมูย่าง (M)</v>
      </c>
      <c r="W108">
        <f>'mk 001 10.3'!W109</f>
        <v>20</v>
      </c>
      <c r="X108">
        <f>'mk 001 10.3'!X109</f>
        <v>20</v>
      </c>
      <c r="Y108">
        <f t="shared" si="1"/>
        <v>20</v>
      </c>
      <c r="Z108" s="13">
        <f>IF(COUNTIFS(แปลงข้อมูล!H:H,Q108,แปลงข้อมูล!I:I,U108,แปลงข้อมูล!J:J,V108)&gt;0,SUMIFS(แปลงข้อมูล!Q:Q,แปลงข้อมูล!I:I,U108,แปลงข้อมูล!H:H,Q108,แปลงข้อมูล!J:J,V108),'mk 001 10.3'!Z109)</f>
        <v>20</v>
      </c>
      <c r="AA108">
        <f>'mk 001 10.3'!AA109</f>
        <v>0</v>
      </c>
      <c r="AB108">
        <f>'mk 001 10.3'!AB109</f>
        <v>0</v>
      </c>
      <c r="AC108">
        <f>'mk 001 10.3'!AC109</f>
        <v>0</v>
      </c>
      <c r="AD108">
        <f>'mk 001 10.3'!AD109</f>
        <v>0</v>
      </c>
      <c r="AE108">
        <f>'mk 001 10.3'!AE109</f>
        <v>20</v>
      </c>
      <c r="AF108">
        <f>'mk 001 10.3'!AF109</f>
        <v>20</v>
      </c>
      <c r="AG108">
        <f>'mk 001 10.3'!AG109</f>
        <v>0</v>
      </c>
      <c r="AH108">
        <f>'mk 001 10.3'!AH109</f>
        <v>0</v>
      </c>
      <c r="AI108" t="str">
        <f>'mk 001 10.3'!AI109</f>
        <v>OPRCD489MOPRCD00000OPRCDF213OPRCD00000OPRCD923</v>
      </c>
      <c r="AJ108" t="str">
        <f>'mk 001 10.3'!AJ109</f>
        <v>ซื้อ / ขาย</v>
      </c>
      <c r="AK108" t="str">
        <f>'mk 001 10.3'!AK109</f>
        <v>Main proudct</v>
      </c>
      <c r="AL108" t="str">
        <f>'mk 001 10.3'!AL109</f>
        <v>Bulk Normal</v>
      </c>
      <c r="AM108" t="str">
        <f>'mk 001 10.3'!AM109</f>
        <v>สุกร</v>
      </c>
      <c r="AN108" t="str">
        <f>'mk 001 10.3'!AN109</f>
        <v>OT002 CC-Makro</v>
      </c>
      <c r="AO108" t="str">
        <f>'mk 001 10.3'!AO109</f>
        <v>MT</v>
      </c>
      <c r="AP108">
        <f>'mk 001 10.3'!AP109</f>
        <v>2</v>
      </c>
      <c r="AQ108">
        <f>'mk 001 10.3'!AQ109</f>
        <v>0</v>
      </c>
      <c r="AR108">
        <f>'mk 001 10.3'!AR109</f>
        <v>0</v>
      </c>
      <c r="AS108">
        <f>'mk 001 10.3'!AS109</f>
        <v>0</v>
      </c>
      <c r="AT108" t="str">
        <f>'mk 001 10.3'!AT109</f>
        <v>เบญจพจน์ เพชรเหลี่ยม</v>
      </c>
      <c r="AU108" t="str">
        <f>'mk 001 10.3'!AU109</f>
        <v>2026-05-11-13.33.46.000000</v>
      </c>
      <c r="AV108" t="str">
        <f>'mk 001 10.3'!AV109</f>
        <v>ก.ก.</v>
      </c>
      <c r="AW108" t="str">
        <f>'mk 001 10.3'!AW109</f>
        <v>ก.ก.</v>
      </c>
      <c r="AX108" t="str">
        <f>'mk 001 10.3'!AX109</f>
        <v xml:space="preserve"> </v>
      </c>
      <c r="AY108">
        <f>'mk 001 10.3'!AY109</f>
        <v>0</v>
      </c>
      <c r="AZ108" t="str">
        <f>'mk 001 10.3'!AZ109</f>
        <v>N</v>
      </c>
      <c r="BA108" s="22">
        <f>'mk 001 10.3'!BA109</f>
        <v>9044989536419</v>
      </c>
      <c r="BB108">
        <f>'mk 001 10.3'!BB109</f>
        <v>0</v>
      </c>
      <c r="BC108">
        <f>'mk 001 10.3'!BC109</f>
        <v>0</v>
      </c>
      <c r="BD108">
        <f>'mk 001 10.3'!BD109</f>
        <v>1</v>
      </c>
      <c r="BE108">
        <f>'mk 001 10.3'!BE109</f>
        <v>0</v>
      </c>
      <c r="BF108" t="str">
        <f>'mk 001 10.3'!BF109</f>
        <v>;0000</v>
      </c>
      <c r="BG108">
        <f>'mk 001 10.3'!BG109</f>
        <v>1333314600</v>
      </c>
      <c r="BH108" t="str">
        <f>'mk 001 10.3'!BH109</f>
        <v>G</v>
      </c>
      <c r="BI108">
        <f>'mk 001 10.3'!BI109</f>
        <v>20</v>
      </c>
      <c r="BJ108">
        <f>'mk 001 10.3'!BJ109</f>
        <v>20</v>
      </c>
      <c r="BK108">
        <f>'mk 001 10.3'!BK109</f>
        <v>1300</v>
      </c>
      <c r="BL108" t="str">
        <f>'mk 001 10.3'!BL109</f>
        <v>SYSBATCH</v>
      </c>
      <c r="BM108">
        <f>'mk 001 10.3'!BM109</f>
        <v>0</v>
      </c>
      <c r="BN108">
        <f>'mk 001 10.3'!BN109</f>
        <v>0</v>
      </c>
    </row>
    <row r="109" spans="1:66" x14ac:dyDescent="0.35">
      <c r="A109">
        <f>'mk 001 10.3'!A110</f>
        <v>0</v>
      </c>
      <c r="B109">
        <f>'mk 001 10.3'!B110</f>
        <v>0</v>
      </c>
      <c r="C109" s="1" t="str">
        <f>'mk 001 10.3'!C110</f>
        <v>14/5/2569</v>
      </c>
      <c r="D109" s="1" t="str">
        <f>'mk 001 10.3'!D110</f>
        <v>14/5/2569</v>
      </c>
      <c r="E109">
        <f>'mk 001 10.3'!E110</f>
        <v>0</v>
      </c>
      <c r="F109" t="str">
        <f>'mk 001 10.3'!F110</f>
        <v>489M</v>
      </c>
      <c r="G109" t="str">
        <f>'mk 001 10.3'!G110</f>
        <v>Modern Trade (Makro)</v>
      </c>
      <c r="H109">
        <f>'mk 001 10.3'!H110</f>
        <v>0</v>
      </c>
      <c r="I109" t="str">
        <f>'mk 001 10.3'!I110</f>
        <v>หน่วยงานกลาง</v>
      </c>
      <c r="J109" t="str">
        <f>'mk 001 10.3'!J110</f>
        <v>F213  DMCW-รชล-พระพุทธบาท</v>
      </c>
      <c r="K109" t="str">
        <f>'mk 001 10.3'!K110</f>
        <v>00000  หน่วยงานกลาง</v>
      </c>
      <c r="L109">
        <f>'mk 001 10.3'!L110</f>
        <v>923</v>
      </c>
      <c r="M109">
        <f>'mk 001 10.3'!M110</f>
        <v>0</v>
      </c>
      <c r="N109" t="str">
        <f>'mk 001 10.3'!N110</f>
        <v>1A53004800</v>
      </c>
      <c r="O109" t="str">
        <f>'mk 001 10.3'!O110</f>
        <v>บมจ. ซีพี แอ็กซ์ตร้า สาขาลพบุรี</v>
      </c>
      <c r="P109">
        <f>'mk 001 10.3'!P110</f>
        <v>2</v>
      </c>
      <c r="Q109" t="str">
        <f>'mk 001 10.3'!Q110</f>
        <v>MAKRO 0047 ลพบุรี</v>
      </c>
      <c r="R109" s="1">
        <f>'mk 001 10.3'!R110</f>
        <v>244658</v>
      </c>
      <c r="S109" s="1" t="str">
        <f>'mk 001 10.3'!S110</f>
        <v>14/5/2569</v>
      </c>
      <c r="T109" t="str">
        <f>'mk 001 10.3'!T110</f>
        <v>H6954RMA0059202</v>
      </c>
      <c r="U109">
        <f>'mk 001 10.3'!U110</f>
        <v>23057821</v>
      </c>
      <c r="V109" t="str">
        <f>'mk 001 10.3'!V110</f>
        <v>สันคอ(M)</v>
      </c>
      <c r="W109">
        <f>'mk 001 10.3'!W110</f>
        <v>40</v>
      </c>
      <c r="X109">
        <f>'mk 001 10.3'!X110</f>
        <v>40</v>
      </c>
      <c r="Y109">
        <f t="shared" si="1"/>
        <v>40</v>
      </c>
      <c r="Z109" s="13">
        <f>IF(COUNTIFS(แปลงข้อมูล!H:H,Q109,แปลงข้อมูล!I:I,U109,แปลงข้อมูล!J:J,V109)&gt;0,SUMIFS(แปลงข้อมูล!Q:Q,แปลงข้อมูล!I:I,U109,แปลงข้อมูล!H:H,Q109,แปลงข้อมูล!J:J,V109),'mk 001 10.3'!Z110)</f>
        <v>40</v>
      </c>
      <c r="AA109">
        <f>'mk 001 10.3'!AA110</f>
        <v>0</v>
      </c>
      <c r="AB109">
        <f>'mk 001 10.3'!AB110</f>
        <v>0</v>
      </c>
      <c r="AC109">
        <f>'mk 001 10.3'!AC110</f>
        <v>0</v>
      </c>
      <c r="AD109">
        <f>'mk 001 10.3'!AD110</f>
        <v>0</v>
      </c>
      <c r="AE109">
        <f>'mk 001 10.3'!AE110</f>
        <v>40</v>
      </c>
      <c r="AF109">
        <f>'mk 001 10.3'!AF110</f>
        <v>40</v>
      </c>
      <c r="AG109">
        <f>'mk 001 10.3'!AG110</f>
        <v>0</v>
      </c>
      <c r="AH109">
        <f>'mk 001 10.3'!AH110</f>
        <v>0</v>
      </c>
      <c r="AI109" t="str">
        <f>'mk 001 10.3'!AI110</f>
        <v>OPRCD489MOPRCD00000OPRCDF213OPRCD00000OPRCD923</v>
      </c>
      <c r="AJ109" t="str">
        <f>'mk 001 10.3'!AJ110</f>
        <v>ซื้อ / ขาย</v>
      </c>
      <c r="AK109" t="str">
        <f>'mk 001 10.3'!AK110</f>
        <v>Main proudct</v>
      </c>
      <c r="AL109" t="str">
        <f>'mk 001 10.3'!AL110</f>
        <v>Bulk Normal</v>
      </c>
      <c r="AM109" t="str">
        <f>'mk 001 10.3'!AM110</f>
        <v>สุกร</v>
      </c>
      <c r="AN109" t="str">
        <f>'mk 001 10.3'!AN110</f>
        <v>OT002 CC-Makro</v>
      </c>
      <c r="AO109" t="str">
        <f>'mk 001 10.3'!AO110</f>
        <v>MT</v>
      </c>
      <c r="AP109">
        <f>'mk 001 10.3'!AP110</f>
        <v>2</v>
      </c>
      <c r="AQ109">
        <f>'mk 001 10.3'!AQ110</f>
        <v>0</v>
      </c>
      <c r="AR109">
        <f>'mk 001 10.3'!AR110</f>
        <v>0</v>
      </c>
      <c r="AS109">
        <f>'mk 001 10.3'!AS110</f>
        <v>0</v>
      </c>
      <c r="AT109" t="str">
        <f>'mk 001 10.3'!AT110</f>
        <v>เบญจพจน์ เพชรเหลี่ยม</v>
      </c>
      <c r="AU109" t="str">
        <f>'mk 001 10.3'!AU110</f>
        <v>2026-05-11-13.33.46.000000</v>
      </c>
      <c r="AV109" t="str">
        <f>'mk 001 10.3'!AV110</f>
        <v>ก.ก.</v>
      </c>
      <c r="AW109" t="str">
        <f>'mk 001 10.3'!AW110</f>
        <v>ก.ก.</v>
      </c>
      <c r="AX109" t="str">
        <f>'mk 001 10.3'!AX110</f>
        <v xml:space="preserve"> </v>
      </c>
      <c r="AY109">
        <f>'mk 001 10.3'!AY110</f>
        <v>0</v>
      </c>
      <c r="AZ109" t="str">
        <f>'mk 001 10.3'!AZ110</f>
        <v>N</v>
      </c>
      <c r="BA109" s="22">
        <f>'mk 001 10.3'!BA110</f>
        <v>9044989536419</v>
      </c>
      <c r="BB109">
        <f>'mk 001 10.3'!BB110</f>
        <v>0</v>
      </c>
      <c r="BC109">
        <f>'mk 001 10.3'!BC110</f>
        <v>0</v>
      </c>
      <c r="BD109">
        <f>'mk 001 10.3'!BD110</f>
        <v>1</v>
      </c>
      <c r="BE109">
        <f>'mk 001 10.3'!BE110</f>
        <v>0</v>
      </c>
      <c r="BF109" t="str">
        <f>'mk 001 10.3'!BF110</f>
        <v>;0000</v>
      </c>
      <c r="BG109">
        <f>'mk 001 10.3'!BG110</f>
        <v>1333314600</v>
      </c>
      <c r="BH109" t="str">
        <f>'mk 001 10.3'!BH110</f>
        <v>G</v>
      </c>
      <c r="BI109">
        <f>'mk 001 10.3'!BI110</f>
        <v>40</v>
      </c>
      <c r="BJ109">
        <f>'mk 001 10.3'!BJ110</f>
        <v>40</v>
      </c>
      <c r="BK109">
        <f>'mk 001 10.3'!BK110</f>
        <v>1300</v>
      </c>
      <c r="BL109" t="str">
        <f>'mk 001 10.3'!BL110</f>
        <v>SYSBATCH</v>
      </c>
      <c r="BM109">
        <f>'mk 001 10.3'!BM110</f>
        <v>0</v>
      </c>
      <c r="BN109">
        <f>'mk 001 10.3'!BN110</f>
        <v>0</v>
      </c>
    </row>
    <row r="110" spans="1:66" x14ac:dyDescent="0.35">
      <c r="A110">
        <f>'mk 001 10.3'!A111</f>
        <v>0</v>
      </c>
      <c r="B110">
        <f>'mk 001 10.3'!B111</f>
        <v>0</v>
      </c>
      <c r="C110" s="1" t="str">
        <f>'mk 001 10.3'!C111</f>
        <v>14/5/2569</v>
      </c>
      <c r="D110" s="1" t="str">
        <f>'mk 001 10.3'!D111</f>
        <v>14/5/2569</v>
      </c>
      <c r="E110">
        <f>'mk 001 10.3'!E111</f>
        <v>0</v>
      </c>
      <c r="F110" t="str">
        <f>'mk 001 10.3'!F111</f>
        <v>489M</v>
      </c>
      <c r="G110" t="str">
        <f>'mk 001 10.3'!G111</f>
        <v>Modern Trade (Makro)</v>
      </c>
      <c r="H110">
        <f>'mk 001 10.3'!H111</f>
        <v>0</v>
      </c>
      <c r="I110" t="str">
        <f>'mk 001 10.3'!I111</f>
        <v>หน่วยงานกลาง</v>
      </c>
      <c r="J110" t="str">
        <f>'mk 001 10.3'!J111</f>
        <v>F213  DMCW-รชล-พระพุทธบาท</v>
      </c>
      <c r="K110" t="str">
        <f>'mk 001 10.3'!K111</f>
        <v>00000  หน่วยงานกลาง</v>
      </c>
      <c r="L110">
        <f>'mk 001 10.3'!L111</f>
        <v>923</v>
      </c>
      <c r="M110">
        <f>'mk 001 10.3'!M111</f>
        <v>0</v>
      </c>
      <c r="N110" t="str">
        <f>'mk 001 10.3'!N111</f>
        <v>1A53004800</v>
      </c>
      <c r="O110" t="str">
        <f>'mk 001 10.3'!O111</f>
        <v>บมจ. ซีพี แอ็กซ์ตร้า สาขาลพบุรี</v>
      </c>
      <c r="P110">
        <f>'mk 001 10.3'!P111</f>
        <v>2</v>
      </c>
      <c r="Q110" t="str">
        <f>'mk 001 10.3'!Q111</f>
        <v>MAKRO 0047 ลพบุรี</v>
      </c>
      <c r="R110" s="1">
        <f>'mk 001 10.3'!R111</f>
        <v>244658</v>
      </c>
      <c r="S110" s="1" t="str">
        <f>'mk 001 10.3'!S111</f>
        <v>14/5/2569</v>
      </c>
      <c r="T110" t="str">
        <f>'mk 001 10.3'!T111</f>
        <v>H6954RMA0059202</v>
      </c>
      <c r="U110">
        <f>'mk 001 10.3'!U111</f>
        <v>23057827</v>
      </c>
      <c r="V110" t="str">
        <f>'mk 001 10.3'!V111</f>
        <v>ซี่โครง(M)</v>
      </c>
      <c r="W110">
        <f>'mk 001 10.3'!W111</f>
        <v>0</v>
      </c>
      <c r="X110">
        <f>'mk 001 10.3'!X111</f>
        <v>0</v>
      </c>
      <c r="Y110">
        <f t="shared" si="1"/>
        <v>0</v>
      </c>
      <c r="Z110" s="13">
        <f>IF(COUNTIFS(แปลงข้อมูล!H:H,Q110,แปลงข้อมูล!I:I,U110,แปลงข้อมูล!J:J,V110)&gt;0,SUMIFS(แปลงข้อมูล!Q:Q,แปลงข้อมูล!I:I,U110,แปลงข้อมูล!H:H,Q110,แปลงข้อมูล!J:J,V110),'mk 001 10.3'!Z111)</f>
        <v>0</v>
      </c>
      <c r="AA110">
        <f>'mk 001 10.3'!AA111</f>
        <v>0</v>
      </c>
      <c r="AB110">
        <f>'mk 001 10.3'!AB111</f>
        <v>0</v>
      </c>
      <c r="AC110">
        <f>'mk 001 10.3'!AC111</f>
        <v>0</v>
      </c>
      <c r="AD110">
        <f>'mk 001 10.3'!AD111</f>
        <v>0</v>
      </c>
      <c r="AE110">
        <f>'mk 001 10.3'!AE111</f>
        <v>0</v>
      </c>
      <c r="AF110">
        <f>'mk 001 10.3'!AF111</f>
        <v>0</v>
      </c>
      <c r="AG110">
        <f>'mk 001 10.3'!AG111</f>
        <v>0</v>
      </c>
      <c r="AH110">
        <f>'mk 001 10.3'!AH111</f>
        <v>0</v>
      </c>
      <c r="AI110" t="str">
        <f>'mk 001 10.3'!AI111</f>
        <v>OPRCD489MOPRCD00000OPRCDF213OPRCD00000OPRCD923</v>
      </c>
      <c r="AJ110" t="str">
        <f>'mk 001 10.3'!AJ111</f>
        <v>ซื้อ / ขาย</v>
      </c>
      <c r="AK110" t="str">
        <f>'mk 001 10.3'!AK111</f>
        <v>Main proudct</v>
      </c>
      <c r="AL110" t="str">
        <f>'mk 001 10.3'!AL111</f>
        <v>Bulk Normal</v>
      </c>
      <c r="AM110" t="str">
        <f>'mk 001 10.3'!AM111</f>
        <v>สุกร</v>
      </c>
      <c r="AN110" t="str">
        <f>'mk 001 10.3'!AN111</f>
        <v>OT002 CC-Makro</v>
      </c>
      <c r="AO110" t="str">
        <f>'mk 001 10.3'!AO111</f>
        <v>MT</v>
      </c>
      <c r="AP110">
        <f>'mk 001 10.3'!AP111</f>
        <v>2</v>
      </c>
      <c r="AQ110">
        <f>'mk 001 10.3'!AQ111</f>
        <v>0</v>
      </c>
      <c r="AR110">
        <f>'mk 001 10.3'!AR111</f>
        <v>0</v>
      </c>
      <c r="AS110">
        <f>'mk 001 10.3'!AS111</f>
        <v>0</v>
      </c>
      <c r="AT110" t="str">
        <f>'mk 001 10.3'!AT111</f>
        <v>เบญจพจน์ เพชรเหลี่ยม</v>
      </c>
      <c r="AU110" t="str">
        <f>'mk 001 10.3'!AU111</f>
        <v>2026-05-11-13.33.46.000000</v>
      </c>
      <c r="AV110" t="str">
        <f>'mk 001 10.3'!AV111</f>
        <v>ก.ก.</v>
      </c>
      <c r="AW110" t="str">
        <f>'mk 001 10.3'!AW111</f>
        <v>ก.ก.</v>
      </c>
      <c r="AX110" t="str">
        <f>'mk 001 10.3'!AX111</f>
        <v xml:space="preserve"> </v>
      </c>
      <c r="AY110">
        <f>'mk 001 10.3'!AY111</f>
        <v>0</v>
      </c>
      <c r="AZ110" t="str">
        <f>'mk 001 10.3'!AZ111</f>
        <v>N</v>
      </c>
      <c r="BA110" s="22">
        <f>'mk 001 10.3'!BA111</f>
        <v>9044989536419</v>
      </c>
      <c r="BB110">
        <f>'mk 001 10.3'!BB111</f>
        <v>0</v>
      </c>
      <c r="BC110">
        <f>'mk 001 10.3'!BC111</f>
        <v>0</v>
      </c>
      <c r="BD110">
        <f>'mk 001 10.3'!BD111</f>
        <v>1</v>
      </c>
      <c r="BE110">
        <f>'mk 001 10.3'!BE111</f>
        <v>0</v>
      </c>
      <c r="BF110" t="str">
        <f>'mk 001 10.3'!BF111</f>
        <v>;0000</v>
      </c>
      <c r="BG110">
        <f>'mk 001 10.3'!BG111</f>
        <v>1333314600</v>
      </c>
      <c r="BH110" t="str">
        <f>'mk 001 10.3'!BH111</f>
        <v>G</v>
      </c>
      <c r="BI110">
        <f>'mk 001 10.3'!BI111</f>
        <v>0</v>
      </c>
      <c r="BJ110">
        <f>'mk 001 10.3'!BJ111</f>
        <v>0</v>
      </c>
      <c r="BK110">
        <f>'mk 001 10.3'!BK111</f>
        <v>1300</v>
      </c>
      <c r="BL110" t="str">
        <f>'mk 001 10.3'!BL111</f>
        <v>SYSBATCH</v>
      </c>
      <c r="BM110">
        <f>'mk 001 10.3'!BM111</f>
        <v>0</v>
      </c>
      <c r="BN110">
        <f>'mk 001 10.3'!BN111</f>
        <v>0</v>
      </c>
    </row>
    <row r="111" spans="1:66" x14ac:dyDescent="0.35">
      <c r="A111">
        <f>'mk 001 10.3'!A112</f>
        <v>0</v>
      </c>
      <c r="B111">
        <f>'mk 001 10.3'!B112</f>
        <v>0</v>
      </c>
      <c r="C111" s="1" t="str">
        <f>'mk 001 10.3'!C112</f>
        <v>14/5/2569</v>
      </c>
      <c r="D111" s="1" t="str">
        <f>'mk 001 10.3'!D112</f>
        <v>14/5/2569</v>
      </c>
      <c r="E111">
        <f>'mk 001 10.3'!E112</f>
        <v>0</v>
      </c>
      <c r="F111" t="str">
        <f>'mk 001 10.3'!F112</f>
        <v>489M</v>
      </c>
      <c r="G111" t="str">
        <f>'mk 001 10.3'!G112</f>
        <v>Modern Trade (Makro)</v>
      </c>
      <c r="H111">
        <f>'mk 001 10.3'!H112</f>
        <v>0</v>
      </c>
      <c r="I111" t="str">
        <f>'mk 001 10.3'!I112</f>
        <v>หน่วยงานกลาง</v>
      </c>
      <c r="J111" t="str">
        <f>'mk 001 10.3'!J112</f>
        <v>F213  DMCW-รชล-พระพุทธบาท</v>
      </c>
      <c r="K111" t="str">
        <f>'mk 001 10.3'!K112</f>
        <v>00000  หน่วยงานกลาง</v>
      </c>
      <c r="L111">
        <f>'mk 001 10.3'!L112</f>
        <v>923</v>
      </c>
      <c r="M111">
        <f>'mk 001 10.3'!M112</f>
        <v>0</v>
      </c>
      <c r="N111" t="str">
        <f>'mk 001 10.3'!N112</f>
        <v>1A53004800</v>
      </c>
      <c r="O111" t="str">
        <f>'mk 001 10.3'!O112</f>
        <v>บมจ. ซีพี แอ็กซ์ตร้า สาขาลพบุรี</v>
      </c>
      <c r="P111">
        <f>'mk 001 10.3'!P112</f>
        <v>2</v>
      </c>
      <c r="Q111" t="str">
        <f>'mk 001 10.3'!Q112</f>
        <v>MAKRO 0047 ลพบุรี</v>
      </c>
      <c r="R111" s="1">
        <f>'mk 001 10.3'!R112</f>
        <v>244658</v>
      </c>
      <c r="S111" s="1" t="str">
        <f>'mk 001 10.3'!S112</f>
        <v>14/5/2569</v>
      </c>
      <c r="T111" t="str">
        <f>'mk 001 10.3'!T112</f>
        <v>H6954RMA0059202</v>
      </c>
      <c r="U111">
        <f>'mk 001 10.3'!U112</f>
        <v>23058552</v>
      </c>
      <c r="V111" t="str">
        <f>'mk 001 10.3'!V112</f>
        <v>มันสันหลัง (M)</v>
      </c>
      <c r="W111">
        <f>'mk 001 10.3'!W112</f>
        <v>20</v>
      </c>
      <c r="X111">
        <f>'mk 001 10.3'!X112</f>
        <v>20</v>
      </c>
      <c r="Y111">
        <f t="shared" si="1"/>
        <v>20</v>
      </c>
      <c r="Z111" s="13">
        <f>IF(COUNTIFS(แปลงข้อมูล!H:H,Q111,แปลงข้อมูล!I:I,U111,แปลงข้อมูล!J:J,V111)&gt;0,SUMIFS(แปลงข้อมูล!Q:Q,แปลงข้อมูล!I:I,U111,แปลงข้อมูล!H:H,Q111,แปลงข้อมูล!J:J,V111),'mk 001 10.3'!Z112)</f>
        <v>20</v>
      </c>
      <c r="AA111">
        <f>'mk 001 10.3'!AA112</f>
        <v>0</v>
      </c>
      <c r="AB111">
        <f>'mk 001 10.3'!AB112</f>
        <v>0</v>
      </c>
      <c r="AC111">
        <f>'mk 001 10.3'!AC112</f>
        <v>0</v>
      </c>
      <c r="AD111">
        <f>'mk 001 10.3'!AD112</f>
        <v>0</v>
      </c>
      <c r="AE111">
        <f>'mk 001 10.3'!AE112</f>
        <v>20</v>
      </c>
      <c r="AF111">
        <f>'mk 001 10.3'!AF112</f>
        <v>20</v>
      </c>
      <c r="AG111">
        <f>'mk 001 10.3'!AG112</f>
        <v>0</v>
      </c>
      <c r="AH111">
        <f>'mk 001 10.3'!AH112</f>
        <v>0</v>
      </c>
      <c r="AI111" t="str">
        <f>'mk 001 10.3'!AI112</f>
        <v>OPRCD489MOPRCD00000OPRCDF213OPRCD00000OPRCD923</v>
      </c>
      <c r="AJ111" t="str">
        <f>'mk 001 10.3'!AJ112</f>
        <v>ซื้อ / ขาย</v>
      </c>
      <c r="AK111" t="str">
        <f>'mk 001 10.3'!AK112</f>
        <v>By proudct</v>
      </c>
      <c r="AL111" t="str">
        <f>'mk 001 10.3'!AL112</f>
        <v>Bulk Normal</v>
      </c>
      <c r="AM111" t="str">
        <f>'mk 001 10.3'!AM112</f>
        <v>สุกร</v>
      </c>
      <c r="AN111" t="str">
        <f>'mk 001 10.3'!AN112</f>
        <v>OT002 CC-Makro</v>
      </c>
      <c r="AO111" t="str">
        <f>'mk 001 10.3'!AO112</f>
        <v>MT</v>
      </c>
      <c r="AP111">
        <f>'mk 001 10.3'!AP112</f>
        <v>2</v>
      </c>
      <c r="AQ111">
        <f>'mk 001 10.3'!AQ112</f>
        <v>0</v>
      </c>
      <c r="AR111">
        <f>'mk 001 10.3'!AR112</f>
        <v>0</v>
      </c>
      <c r="AS111">
        <f>'mk 001 10.3'!AS112</f>
        <v>0</v>
      </c>
      <c r="AT111" t="str">
        <f>'mk 001 10.3'!AT112</f>
        <v>เบญจพจน์ เพชรเหลี่ยม</v>
      </c>
      <c r="AU111" t="str">
        <f>'mk 001 10.3'!AU112</f>
        <v>2026-05-11-13.33.46.000000</v>
      </c>
      <c r="AV111" t="str">
        <f>'mk 001 10.3'!AV112</f>
        <v>ก.ก.</v>
      </c>
      <c r="AW111" t="str">
        <f>'mk 001 10.3'!AW112</f>
        <v>ก.ก.</v>
      </c>
      <c r="AX111" t="str">
        <f>'mk 001 10.3'!AX112</f>
        <v xml:space="preserve"> </v>
      </c>
      <c r="AY111">
        <f>'mk 001 10.3'!AY112</f>
        <v>0</v>
      </c>
      <c r="AZ111" t="str">
        <f>'mk 001 10.3'!AZ112</f>
        <v>N</v>
      </c>
      <c r="BA111" s="22">
        <f>'mk 001 10.3'!BA112</f>
        <v>9044989536419</v>
      </c>
      <c r="BB111">
        <f>'mk 001 10.3'!BB112</f>
        <v>0</v>
      </c>
      <c r="BC111">
        <f>'mk 001 10.3'!BC112</f>
        <v>0</v>
      </c>
      <c r="BD111">
        <f>'mk 001 10.3'!BD112</f>
        <v>1</v>
      </c>
      <c r="BE111">
        <f>'mk 001 10.3'!BE112</f>
        <v>0</v>
      </c>
      <c r="BF111" t="str">
        <f>'mk 001 10.3'!BF112</f>
        <v>;0000</v>
      </c>
      <c r="BG111">
        <f>'mk 001 10.3'!BG112</f>
        <v>1333314600</v>
      </c>
      <c r="BH111" t="str">
        <f>'mk 001 10.3'!BH112</f>
        <v>G</v>
      </c>
      <c r="BI111">
        <f>'mk 001 10.3'!BI112</f>
        <v>20</v>
      </c>
      <c r="BJ111">
        <f>'mk 001 10.3'!BJ112</f>
        <v>20</v>
      </c>
      <c r="BK111">
        <f>'mk 001 10.3'!BK112</f>
        <v>1300</v>
      </c>
      <c r="BL111" t="str">
        <f>'mk 001 10.3'!BL112</f>
        <v>SYSBATCH</v>
      </c>
      <c r="BM111">
        <f>'mk 001 10.3'!BM112</f>
        <v>0</v>
      </c>
      <c r="BN111">
        <f>'mk 001 10.3'!BN112</f>
        <v>0</v>
      </c>
    </row>
    <row r="112" spans="1:66" x14ac:dyDescent="0.35">
      <c r="A112">
        <f>'mk 001 10.3'!A113</f>
        <v>0</v>
      </c>
      <c r="B112">
        <f>'mk 001 10.3'!B113</f>
        <v>0</v>
      </c>
      <c r="C112" s="1" t="str">
        <f>'mk 001 10.3'!C113</f>
        <v>14/5/2569</v>
      </c>
      <c r="D112" s="1" t="str">
        <f>'mk 001 10.3'!D113</f>
        <v>14/5/2569</v>
      </c>
      <c r="E112">
        <f>'mk 001 10.3'!E113</f>
        <v>0</v>
      </c>
      <c r="F112" t="str">
        <f>'mk 001 10.3'!F113</f>
        <v>489M</v>
      </c>
      <c r="G112" t="str">
        <f>'mk 001 10.3'!G113</f>
        <v>Modern Trade (Makro)</v>
      </c>
      <c r="H112">
        <f>'mk 001 10.3'!H113</f>
        <v>0</v>
      </c>
      <c r="I112" t="str">
        <f>'mk 001 10.3'!I113</f>
        <v>หน่วยงานกลาง</v>
      </c>
      <c r="J112" t="str">
        <f>'mk 001 10.3'!J113</f>
        <v>F213  DMCW-รชล-พระพุทธบาท</v>
      </c>
      <c r="K112" t="str">
        <f>'mk 001 10.3'!K113</f>
        <v>00000  หน่วยงานกลาง</v>
      </c>
      <c r="L112">
        <f>'mk 001 10.3'!L113</f>
        <v>923</v>
      </c>
      <c r="M112">
        <f>'mk 001 10.3'!M113</f>
        <v>0</v>
      </c>
      <c r="N112" t="str">
        <f>'mk 001 10.3'!N113</f>
        <v>1A53004800</v>
      </c>
      <c r="O112" t="str">
        <f>'mk 001 10.3'!O113</f>
        <v>บมจ. ซีพี แอ็กซ์ตร้า สาขาลพบุรี</v>
      </c>
      <c r="P112">
        <f>'mk 001 10.3'!P113</f>
        <v>2</v>
      </c>
      <c r="Q112" t="str">
        <f>'mk 001 10.3'!Q113</f>
        <v>MAKRO 0047 ลพบุรี</v>
      </c>
      <c r="R112" s="1">
        <f>'mk 001 10.3'!R113</f>
        <v>244658</v>
      </c>
      <c r="S112" s="1" t="str">
        <f>'mk 001 10.3'!S113</f>
        <v>14/5/2569</v>
      </c>
      <c r="T112" t="str">
        <f>'mk 001 10.3'!T113</f>
        <v>H6954RMA0059202</v>
      </c>
      <c r="U112">
        <f>'mk 001 10.3'!U113</f>
        <v>23088348</v>
      </c>
      <c r="V112" t="str">
        <f>'mk 001 10.3'!V113</f>
        <v>ขาหมูเผาเลาะกระดูกหั่นชิ้นSpec-1(M)</v>
      </c>
      <c r="W112">
        <f>'mk 001 10.3'!W113</f>
        <v>30</v>
      </c>
      <c r="X112">
        <f>'mk 001 10.3'!X113</f>
        <v>30</v>
      </c>
      <c r="Y112">
        <f t="shared" si="1"/>
        <v>30</v>
      </c>
      <c r="Z112" s="13">
        <f>IF(COUNTIFS(แปลงข้อมูล!H:H,Q112,แปลงข้อมูล!I:I,U112,แปลงข้อมูล!J:J,V112)&gt;0,SUMIFS(แปลงข้อมูล!Q:Q,แปลงข้อมูล!I:I,U112,แปลงข้อมูล!H:H,Q112,แปลงข้อมูล!J:J,V112),'mk 001 10.3'!Z113)</f>
        <v>30</v>
      </c>
      <c r="AA112">
        <f>'mk 001 10.3'!AA113</f>
        <v>0</v>
      </c>
      <c r="AB112">
        <f>'mk 001 10.3'!AB113</f>
        <v>0</v>
      </c>
      <c r="AC112">
        <f>'mk 001 10.3'!AC113</f>
        <v>0</v>
      </c>
      <c r="AD112">
        <f>'mk 001 10.3'!AD113</f>
        <v>0</v>
      </c>
      <c r="AE112">
        <f>'mk 001 10.3'!AE113</f>
        <v>30</v>
      </c>
      <c r="AF112">
        <f>'mk 001 10.3'!AF113</f>
        <v>30</v>
      </c>
      <c r="AG112">
        <f>'mk 001 10.3'!AG113</f>
        <v>0</v>
      </c>
      <c r="AH112">
        <f>'mk 001 10.3'!AH113</f>
        <v>0</v>
      </c>
      <c r="AI112" t="str">
        <f>'mk 001 10.3'!AI113</f>
        <v>OPRCD489MOPRCD00000OPRCDF213OPRCD00000OPRCD923</v>
      </c>
      <c r="AJ112" t="str">
        <f>'mk 001 10.3'!AJ113</f>
        <v>ซื้อ / ขาย</v>
      </c>
      <c r="AK112" t="str">
        <f>'mk 001 10.3'!AK113</f>
        <v>By proudct</v>
      </c>
      <c r="AL112" t="str">
        <f>'mk 001 10.3'!AL113</f>
        <v>Bulk Normal</v>
      </c>
      <c r="AM112" t="str">
        <f>'mk 001 10.3'!AM113</f>
        <v>สุกร</v>
      </c>
      <c r="AN112" t="str">
        <f>'mk 001 10.3'!AN113</f>
        <v>OT002 CC-Makro</v>
      </c>
      <c r="AO112" t="str">
        <f>'mk 001 10.3'!AO113</f>
        <v>MT</v>
      </c>
      <c r="AP112">
        <f>'mk 001 10.3'!AP113</f>
        <v>2</v>
      </c>
      <c r="AQ112">
        <f>'mk 001 10.3'!AQ113</f>
        <v>0</v>
      </c>
      <c r="AR112">
        <f>'mk 001 10.3'!AR113</f>
        <v>0</v>
      </c>
      <c r="AS112">
        <f>'mk 001 10.3'!AS113</f>
        <v>0</v>
      </c>
      <c r="AT112" t="str">
        <f>'mk 001 10.3'!AT113</f>
        <v>เบญจพจน์ เพชรเหลี่ยม</v>
      </c>
      <c r="AU112" t="str">
        <f>'mk 001 10.3'!AU113</f>
        <v>2026-05-11-13.33.46.000000</v>
      </c>
      <c r="AV112" t="str">
        <f>'mk 001 10.3'!AV113</f>
        <v>ก.ก.</v>
      </c>
      <c r="AW112" t="str">
        <f>'mk 001 10.3'!AW113</f>
        <v>ก.ก.</v>
      </c>
      <c r="AX112" t="str">
        <f>'mk 001 10.3'!AX113</f>
        <v xml:space="preserve"> </v>
      </c>
      <c r="AY112">
        <f>'mk 001 10.3'!AY113</f>
        <v>0</v>
      </c>
      <c r="AZ112" t="str">
        <f>'mk 001 10.3'!AZ113</f>
        <v>N</v>
      </c>
      <c r="BA112" s="22">
        <f>'mk 001 10.3'!BA113</f>
        <v>9044989536419</v>
      </c>
      <c r="BB112">
        <f>'mk 001 10.3'!BB113</f>
        <v>0</v>
      </c>
      <c r="BC112">
        <f>'mk 001 10.3'!BC113</f>
        <v>0</v>
      </c>
      <c r="BD112">
        <f>'mk 001 10.3'!BD113</f>
        <v>1</v>
      </c>
      <c r="BE112">
        <f>'mk 001 10.3'!BE113</f>
        <v>0</v>
      </c>
      <c r="BF112" t="str">
        <f>'mk 001 10.3'!BF113</f>
        <v>;0000</v>
      </c>
      <c r="BG112">
        <f>'mk 001 10.3'!BG113</f>
        <v>1333314600</v>
      </c>
      <c r="BH112" t="str">
        <f>'mk 001 10.3'!BH113</f>
        <v>G</v>
      </c>
      <c r="BI112">
        <f>'mk 001 10.3'!BI113</f>
        <v>30</v>
      </c>
      <c r="BJ112">
        <f>'mk 001 10.3'!BJ113</f>
        <v>30</v>
      </c>
      <c r="BK112">
        <f>'mk 001 10.3'!BK113</f>
        <v>1300</v>
      </c>
      <c r="BL112" t="str">
        <f>'mk 001 10.3'!BL113</f>
        <v>SYSBATCH</v>
      </c>
      <c r="BM112">
        <f>'mk 001 10.3'!BM113</f>
        <v>0</v>
      </c>
      <c r="BN112">
        <f>'mk 001 10.3'!BN113</f>
        <v>0</v>
      </c>
    </row>
    <row r="113" spans="1:66" x14ac:dyDescent="0.35">
      <c r="A113">
        <f>'mk 001 10.3'!A114</f>
        <v>0</v>
      </c>
      <c r="B113">
        <f>'mk 001 10.3'!B114</f>
        <v>0</v>
      </c>
      <c r="C113" s="1" t="str">
        <f>'mk 001 10.3'!C114</f>
        <v>14/5/2569</v>
      </c>
      <c r="D113" s="1" t="str">
        <f>'mk 001 10.3'!D114</f>
        <v>14/5/2569</v>
      </c>
      <c r="E113">
        <f>'mk 001 10.3'!E114</f>
        <v>0</v>
      </c>
      <c r="F113" t="str">
        <f>'mk 001 10.3'!F114</f>
        <v>489M</v>
      </c>
      <c r="G113" t="str">
        <f>'mk 001 10.3'!G114</f>
        <v>Modern Trade (Makro)</v>
      </c>
      <c r="H113">
        <f>'mk 001 10.3'!H114</f>
        <v>0</v>
      </c>
      <c r="I113" t="str">
        <f>'mk 001 10.3'!I114</f>
        <v>หน่วยงานกลาง</v>
      </c>
      <c r="J113" t="str">
        <f>'mk 001 10.3'!J114</f>
        <v>F213  DMCW-รชล-พระพุทธบาท</v>
      </c>
      <c r="K113" t="str">
        <f>'mk 001 10.3'!K114</f>
        <v>00000  หน่วยงานกลาง</v>
      </c>
      <c r="L113">
        <f>'mk 001 10.3'!L114</f>
        <v>923</v>
      </c>
      <c r="M113">
        <f>'mk 001 10.3'!M114</f>
        <v>0</v>
      </c>
      <c r="N113" t="str">
        <f>'mk 001 10.3'!N114</f>
        <v>1A53004800</v>
      </c>
      <c r="O113" t="str">
        <f>'mk 001 10.3'!O114</f>
        <v>บมจ. ซีพี แอ็กซ์ตร้า สาขาลพบุรี</v>
      </c>
      <c r="P113">
        <f>'mk 001 10.3'!P114</f>
        <v>2</v>
      </c>
      <c r="Q113" t="str">
        <f>'mk 001 10.3'!Q114</f>
        <v>MAKRO 0047 ลพบุรี</v>
      </c>
      <c r="R113" s="1">
        <f>'mk 001 10.3'!R114</f>
        <v>244658</v>
      </c>
      <c r="S113" s="1" t="str">
        <f>'mk 001 10.3'!S114</f>
        <v>14/5/2569</v>
      </c>
      <c r="T113" t="str">
        <f>'mk 001 10.3'!T114</f>
        <v>H6954RMA0059202</v>
      </c>
      <c r="U113">
        <f>'mk 001 10.3'!U114</f>
        <v>23015265</v>
      </c>
      <c r="V113" t="str">
        <f>'mk 001 10.3'!V114</f>
        <v>ซี่โครงหั่นชิ้น</v>
      </c>
      <c r="W113">
        <f>'mk 001 10.3'!W114</f>
        <v>50</v>
      </c>
      <c r="X113">
        <f>'mk 001 10.3'!X114</f>
        <v>50</v>
      </c>
      <c r="Y113">
        <f t="shared" si="1"/>
        <v>50</v>
      </c>
      <c r="Z113" s="13">
        <f>IF(COUNTIFS(แปลงข้อมูล!H:H,Q113,แปลงข้อมูล!I:I,U113,แปลงข้อมูล!J:J,V113)&gt;0,SUMIFS(แปลงข้อมูล!Q:Q,แปลงข้อมูล!I:I,U113,แปลงข้อมูล!H:H,Q113,แปลงข้อมูล!J:J,V113),'mk 001 10.3'!Z114)</f>
        <v>50</v>
      </c>
      <c r="AA113">
        <f>'mk 001 10.3'!AA114</f>
        <v>0</v>
      </c>
      <c r="AB113">
        <f>'mk 001 10.3'!AB114</f>
        <v>0</v>
      </c>
      <c r="AC113">
        <f>'mk 001 10.3'!AC114</f>
        <v>0</v>
      </c>
      <c r="AD113">
        <f>'mk 001 10.3'!AD114</f>
        <v>0</v>
      </c>
      <c r="AE113">
        <f>'mk 001 10.3'!AE114</f>
        <v>50</v>
      </c>
      <c r="AF113">
        <f>'mk 001 10.3'!AF114</f>
        <v>50</v>
      </c>
      <c r="AG113">
        <f>'mk 001 10.3'!AG114</f>
        <v>0</v>
      </c>
      <c r="AH113">
        <f>'mk 001 10.3'!AH114</f>
        <v>0</v>
      </c>
      <c r="AI113" t="str">
        <f>'mk 001 10.3'!AI114</f>
        <v>OPRCD489MOPRCD00000OPRCDF213OPRCD00000OPRCD923</v>
      </c>
      <c r="AJ113" t="str">
        <f>'mk 001 10.3'!AJ114</f>
        <v>ซื้อ / ขาย</v>
      </c>
      <c r="AK113" t="str">
        <f>'mk 001 10.3'!AK114</f>
        <v>Main proudct</v>
      </c>
      <c r="AL113" t="str">
        <f>'mk 001 10.3'!AL114</f>
        <v>Bulk Normal</v>
      </c>
      <c r="AM113" t="str">
        <f>'mk 001 10.3'!AM114</f>
        <v>สุกร</v>
      </c>
      <c r="AN113" t="str">
        <f>'mk 001 10.3'!AN114</f>
        <v>OT002 CC-Makro</v>
      </c>
      <c r="AO113" t="str">
        <f>'mk 001 10.3'!AO114</f>
        <v>MT</v>
      </c>
      <c r="AP113">
        <f>'mk 001 10.3'!AP114</f>
        <v>2</v>
      </c>
      <c r="AQ113">
        <f>'mk 001 10.3'!AQ114</f>
        <v>0</v>
      </c>
      <c r="AR113">
        <f>'mk 001 10.3'!AR114</f>
        <v>0</v>
      </c>
      <c r="AS113">
        <f>'mk 001 10.3'!AS114</f>
        <v>0</v>
      </c>
      <c r="AT113" t="str">
        <f>'mk 001 10.3'!AT114</f>
        <v>เบญจพจน์ เพชรเหลี่ยม</v>
      </c>
      <c r="AU113" t="str">
        <f>'mk 001 10.3'!AU114</f>
        <v>2026-05-11-13.33.46.000000</v>
      </c>
      <c r="AV113" t="str">
        <f>'mk 001 10.3'!AV114</f>
        <v>ก.ก.</v>
      </c>
      <c r="AW113" t="str">
        <f>'mk 001 10.3'!AW114</f>
        <v>ก.ก.</v>
      </c>
      <c r="AX113" t="str">
        <f>'mk 001 10.3'!AX114</f>
        <v xml:space="preserve"> </v>
      </c>
      <c r="AY113">
        <f>'mk 001 10.3'!AY114</f>
        <v>0</v>
      </c>
      <c r="AZ113" t="str">
        <f>'mk 001 10.3'!AZ114</f>
        <v>N</v>
      </c>
      <c r="BA113" s="22">
        <f>'mk 001 10.3'!BA114</f>
        <v>9044989536419</v>
      </c>
      <c r="BB113">
        <f>'mk 001 10.3'!BB114</f>
        <v>0</v>
      </c>
      <c r="BC113">
        <f>'mk 001 10.3'!BC114</f>
        <v>0</v>
      </c>
      <c r="BD113">
        <f>'mk 001 10.3'!BD114</f>
        <v>1</v>
      </c>
      <c r="BE113">
        <f>'mk 001 10.3'!BE114</f>
        <v>0</v>
      </c>
      <c r="BF113" t="str">
        <f>'mk 001 10.3'!BF114</f>
        <v>;0000</v>
      </c>
      <c r="BG113">
        <f>'mk 001 10.3'!BG114</f>
        <v>1333314600</v>
      </c>
      <c r="BH113" t="str">
        <f>'mk 001 10.3'!BH114</f>
        <v>G</v>
      </c>
      <c r="BI113">
        <f>'mk 001 10.3'!BI114</f>
        <v>50</v>
      </c>
      <c r="BJ113">
        <f>'mk 001 10.3'!BJ114</f>
        <v>50</v>
      </c>
      <c r="BK113">
        <f>'mk 001 10.3'!BK114</f>
        <v>1300</v>
      </c>
      <c r="BL113" t="str">
        <f>'mk 001 10.3'!BL114</f>
        <v>SYSBATCH</v>
      </c>
      <c r="BM113">
        <f>'mk 001 10.3'!BM114</f>
        <v>0</v>
      </c>
      <c r="BN113">
        <f>'mk 001 10.3'!BN114</f>
        <v>0</v>
      </c>
    </row>
    <row r="114" spans="1:66" x14ac:dyDescent="0.35">
      <c r="A114">
        <f>'mk 001 10.3'!A115</f>
        <v>0</v>
      </c>
      <c r="B114">
        <f>'mk 001 10.3'!B115</f>
        <v>0</v>
      </c>
      <c r="C114" s="1" t="str">
        <f>'mk 001 10.3'!C115</f>
        <v>14/5/2569</v>
      </c>
      <c r="D114" s="1" t="str">
        <f>'mk 001 10.3'!D115</f>
        <v>14/5/2569</v>
      </c>
      <c r="E114">
        <f>'mk 001 10.3'!E115</f>
        <v>0</v>
      </c>
      <c r="F114" t="str">
        <f>'mk 001 10.3'!F115</f>
        <v>489M</v>
      </c>
      <c r="G114" t="str">
        <f>'mk 001 10.3'!G115</f>
        <v>Modern Trade (Makro)</v>
      </c>
      <c r="H114">
        <f>'mk 001 10.3'!H115</f>
        <v>0</v>
      </c>
      <c r="I114" t="str">
        <f>'mk 001 10.3'!I115</f>
        <v>หน่วยงานกลาง</v>
      </c>
      <c r="J114" t="str">
        <f>'mk 001 10.3'!J115</f>
        <v>F213  DMCW-รชล-พระพุทธบาท</v>
      </c>
      <c r="K114" t="str">
        <f>'mk 001 10.3'!K115</f>
        <v>00000  หน่วยงานกลาง</v>
      </c>
      <c r="L114">
        <f>'mk 001 10.3'!L115</f>
        <v>923</v>
      </c>
      <c r="M114">
        <f>'mk 001 10.3'!M115</f>
        <v>0</v>
      </c>
      <c r="N114" t="str">
        <f>'mk 001 10.3'!N115</f>
        <v>1A53004800</v>
      </c>
      <c r="O114" t="str">
        <f>'mk 001 10.3'!O115</f>
        <v>บมจ. ซีพี แอ็กซ์ตร้า สาขาลพบุรี</v>
      </c>
      <c r="P114">
        <f>'mk 001 10.3'!P115</f>
        <v>2</v>
      </c>
      <c r="Q114" t="str">
        <f>'mk 001 10.3'!Q115</f>
        <v>MAKRO 0047 ลพบุรี</v>
      </c>
      <c r="R114" s="1">
        <f>'mk 001 10.3'!R115</f>
        <v>244658</v>
      </c>
      <c r="S114" s="1" t="str">
        <f>'mk 001 10.3'!S115</f>
        <v>14/5/2569</v>
      </c>
      <c r="T114" t="str">
        <f>'mk 001 10.3'!T115</f>
        <v>H6954RMA0059202</v>
      </c>
      <c r="U114">
        <f>'mk 001 10.3'!U115</f>
        <v>23057815</v>
      </c>
      <c r="V114" t="str">
        <f>'mk 001 10.3'!V115</f>
        <v>สันนอก(M)</v>
      </c>
      <c r="W114">
        <f>'mk 001 10.3'!W115</f>
        <v>100</v>
      </c>
      <c r="X114">
        <f>'mk 001 10.3'!X115</f>
        <v>100</v>
      </c>
      <c r="Y114">
        <f t="shared" si="1"/>
        <v>100</v>
      </c>
      <c r="Z114" s="13">
        <f>IF(COUNTIFS(แปลงข้อมูล!H:H,Q114,แปลงข้อมูล!I:I,U114,แปลงข้อมูล!J:J,V114)&gt;0,SUMIFS(แปลงข้อมูล!Q:Q,แปลงข้อมูล!I:I,U114,แปลงข้อมูล!H:H,Q114,แปลงข้อมูล!J:J,V114),'mk 001 10.3'!Z115)</f>
        <v>100</v>
      </c>
      <c r="AA114">
        <f>'mk 001 10.3'!AA115</f>
        <v>0</v>
      </c>
      <c r="AB114">
        <f>'mk 001 10.3'!AB115</f>
        <v>0</v>
      </c>
      <c r="AC114">
        <f>'mk 001 10.3'!AC115</f>
        <v>0</v>
      </c>
      <c r="AD114">
        <f>'mk 001 10.3'!AD115</f>
        <v>0</v>
      </c>
      <c r="AE114">
        <f>'mk 001 10.3'!AE115</f>
        <v>100</v>
      </c>
      <c r="AF114">
        <f>'mk 001 10.3'!AF115</f>
        <v>100</v>
      </c>
      <c r="AG114">
        <f>'mk 001 10.3'!AG115</f>
        <v>0</v>
      </c>
      <c r="AH114">
        <f>'mk 001 10.3'!AH115</f>
        <v>0</v>
      </c>
      <c r="AI114" t="str">
        <f>'mk 001 10.3'!AI115</f>
        <v>OPRCD489MOPRCD00000OPRCDF213OPRCD00000OPRCD923</v>
      </c>
      <c r="AJ114" t="str">
        <f>'mk 001 10.3'!AJ115</f>
        <v>ซื้อ / ขาย</v>
      </c>
      <c r="AK114" t="str">
        <f>'mk 001 10.3'!AK115</f>
        <v>Main proudct</v>
      </c>
      <c r="AL114" t="str">
        <f>'mk 001 10.3'!AL115</f>
        <v>Bulk Normal</v>
      </c>
      <c r="AM114" t="str">
        <f>'mk 001 10.3'!AM115</f>
        <v>สุกร</v>
      </c>
      <c r="AN114" t="str">
        <f>'mk 001 10.3'!AN115</f>
        <v>OT002 CC-Makro</v>
      </c>
      <c r="AO114" t="str">
        <f>'mk 001 10.3'!AO115</f>
        <v>MT</v>
      </c>
      <c r="AP114">
        <f>'mk 001 10.3'!AP115</f>
        <v>2</v>
      </c>
      <c r="AQ114">
        <f>'mk 001 10.3'!AQ115</f>
        <v>0</v>
      </c>
      <c r="AR114">
        <f>'mk 001 10.3'!AR115</f>
        <v>0</v>
      </c>
      <c r="AS114">
        <f>'mk 001 10.3'!AS115</f>
        <v>0</v>
      </c>
      <c r="AT114" t="str">
        <f>'mk 001 10.3'!AT115</f>
        <v>เบญจพจน์ เพชรเหลี่ยม</v>
      </c>
      <c r="AU114" t="str">
        <f>'mk 001 10.3'!AU115</f>
        <v>2026-05-11-13.33.46.000000</v>
      </c>
      <c r="AV114" t="str">
        <f>'mk 001 10.3'!AV115</f>
        <v>ก.ก.</v>
      </c>
      <c r="AW114" t="str">
        <f>'mk 001 10.3'!AW115</f>
        <v>ก.ก.</v>
      </c>
      <c r="AX114" t="str">
        <f>'mk 001 10.3'!AX115</f>
        <v xml:space="preserve"> </v>
      </c>
      <c r="AY114">
        <f>'mk 001 10.3'!AY115</f>
        <v>0</v>
      </c>
      <c r="AZ114" t="str">
        <f>'mk 001 10.3'!AZ115</f>
        <v>N</v>
      </c>
      <c r="BA114" s="22">
        <f>'mk 001 10.3'!BA115</f>
        <v>9044989536419</v>
      </c>
      <c r="BB114">
        <f>'mk 001 10.3'!BB115</f>
        <v>0</v>
      </c>
      <c r="BC114">
        <f>'mk 001 10.3'!BC115</f>
        <v>0</v>
      </c>
      <c r="BD114">
        <f>'mk 001 10.3'!BD115</f>
        <v>1</v>
      </c>
      <c r="BE114">
        <f>'mk 001 10.3'!BE115</f>
        <v>0</v>
      </c>
      <c r="BF114" t="str">
        <f>'mk 001 10.3'!BF115</f>
        <v>;0000</v>
      </c>
      <c r="BG114">
        <f>'mk 001 10.3'!BG115</f>
        <v>1333314600</v>
      </c>
      <c r="BH114" t="str">
        <f>'mk 001 10.3'!BH115</f>
        <v>G</v>
      </c>
      <c r="BI114">
        <f>'mk 001 10.3'!BI115</f>
        <v>100</v>
      </c>
      <c r="BJ114">
        <f>'mk 001 10.3'!BJ115</f>
        <v>100</v>
      </c>
      <c r="BK114">
        <f>'mk 001 10.3'!BK115</f>
        <v>1300</v>
      </c>
      <c r="BL114" t="str">
        <f>'mk 001 10.3'!BL115</f>
        <v>SYSBATCH</v>
      </c>
      <c r="BM114">
        <f>'mk 001 10.3'!BM115</f>
        <v>0</v>
      </c>
      <c r="BN114">
        <f>'mk 001 10.3'!BN115</f>
        <v>0</v>
      </c>
    </row>
    <row r="115" spans="1:66" x14ac:dyDescent="0.35">
      <c r="A115">
        <f>'mk 001 10.3'!A116</f>
        <v>0</v>
      </c>
      <c r="B115">
        <f>'mk 001 10.3'!B116</f>
        <v>0</v>
      </c>
      <c r="C115" s="1" t="str">
        <f>'mk 001 10.3'!C116</f>
        <v>14/5/2569</v>
      </c>
      <c r="D115" s="1" t="str">
        <f>'mk 001 10.3'!D116</f>
        <v>14/5/2569</v>
      </c>
      <c r="E115">
        <f>'mk 001 10.3'!E116</f>
        <v>0</v>
      </c>
      <c r="F115" t="str">
        <f>'mk 001 10.3'!F116</f>
        <v>489M</v>
      </c>
      <c r="G115" t="str">
        <f>'mk 001 10.3'!G116</f>
        <v>Modern Trade (Makro)</v>
      </c>
      <c r="H115">
        <f>'mk 001 10.3'!H116</f>
        <v>0</v>
      </c>
      <c r="I115" t="str">
        <f>'mk 001 10.3'!I116</f>
        <v>หน่วยงานกลาง</v>
      </c>
      <c r="J115" t="str">
        <f>'mk 001 10.3'!J116</f>
        <v>F213  DMCW-รชล-พระพุทธบาท</v>
      </c>
      <c r="K115" t="str">
        <f>'mk 001 10.3'!K116</f>
        <v>00000  หน่วยงานกลาง</v>
      </c>
      <c r="L115">
        <f>'mk 001 10.3'!L116</f>
        <v>923</v>
      </c>
      <c r="M115">
        <f>'mk 001 10.3'!M116</f>
        <v>0</v>
      </c>
      <c r="N115" t="str">
        <f>'mk 001 10.3'!N116</f>
        <v>1A53004800</v>
      </c>
      <c r="O115" t="str">
        <f>'mk 001 10.3'!O116</f>
        <v>บมจ. ซีพี แอ็กซ์ตร้า สาขาลพบุรี</v>
      </c>
      <c r="P115">
        <f>'mk 001 10.3'!P116</f>
        <v>2</v>
      </c>
      <c r="Q115" t="str">
        <f>'mk 001 10.3'!Q116</f>
        <v>MAKRO 0047 ลพบุรี</v>
      </c>
      <c r="R115" s="1">
        <f>'mk 001 10.3'!R116</f>
        <v>244658</v>
      </c>
      <c r="S115" s="1" t="str">
        <f>'mk 001 10.3'!S116</f>
        <v>14/5/2569</v>
      </c>
      <c r="T115" t="str">
        <f>'mk 001 10.3'!T116</f>
        <v>H6954RMA0059202</v>
      </c>
      <c r="U115">
        <f>'mk 001 10.3'!U116</f>
        <v>23057809</v>
      </c>
      <c r="V115" t="str">
        <f>'mk 001 10.3'!V116</f>
        <v>เนื้อไหล่(M)</v>
      </c>
      <c r="W115">
        <f>'mk 001 10.3'!W116</f>
        <v>90</v>
      </c>
      <c r="X115">
        <f>'mk 001 10.3'!X116</f>
        <v>90</v>
      </c>
      <c r="Y115">
        <f t="shared" si="1"/>
        <v>90</v>
      </c>
      <c r="Z115" s="13">
        <f>IF(COUNTIFS(แปลงข้อมูล!H:H,Q115,แปลงข้อมูล!I:I,U115,แปลงข้อมูล!J:J,V115)&gt;0,SUMIFS(แปลงข้อมูล!Q:Q,แปลงข้อมูล!I:I,U115,แปลงข้อมูล!H:H,Q115,แปลงข้อมูล!J:J,V115),'mk 001 10.3'!Z116)</f>
        <v>90</v>
      </c>
      <c r="AA115">
        <f>'mk 001 10.3'!AA116</f>
        <v>0</v>
      </c>
      <c r="AB115">
        <f>'mk 001 10.3'!AB116</f>
        <v>0</v>
      </c>
      <c r="AC115">
        <f>'mk 001 10.3'!AC116</f>
        <v>0</v>
      </c>
      <c r="AD115">
        <f>'mk 001 10.3'!AD116</f>
        <v>0</v>
      </c>
      <c r="AE115">
        <f>'mk 001 10.3'!AE116</f>
        <v>90</v>
      </c>
      <c r="AF115">
        <f>'mk 001 10.3'!AF116</f>
        <v>90</v>
      </c>
      <c r="AG115">
        <f>'mk 001 10.3'!AG116</f>
        <v>0</v>
      </c>
      <c r="AH115">
        <f>'mk 001 10.3'!AH116</f>
        <v>0</v>
      </c>
      <c r="AI115" t="str">
        <f>'mk 001 10.3'!AI116</f>
        <v>OPRCD489MOPRCD00000OPRCDF213OPRCD00000OPRCD923</v>
      </c>
      <c r="AJ115" t="str">
        <f>'mk 001 10.3'!AJ116</f>
        <v>ซื้อ / ขาย</v>
      </c>
      <c r="AK115" t="str">
        <f>'mk 001 10.3'!AK116</f>
        <v>Main proudct</v>
      </c>
      <c r="AL115" t="str">
        <f>'mk 001 10.3'!AL116</f>
        <v>Bulk Normal</v>
      </c>
      <c r="AM115" t="str">
        <f>'mk 001 10.3'!AM116</f>
        <v>สุกร</v>
      </c>
      <c r="AN115" t="str">
        <f>'mk 001 10.3'!AN116</f>
        <v>OT002 CC-Makro</v>
      </c>
      <c r="AO115" t="str">
        <f>'mk 001 10.3'!AO116</f>
        <v>MT</v>
      </c>
      <c r="AP115">
        <f>'mk 001 10.3'!AP116</f>
        <v>2</v>
      </c>
      <c r="AQ115">
        <f>'mk 001 10.3'!AQ116</f>
        <v>0</v>
      </c>
      <c r="AR115">
        <f>'mk 001 10.3'!AR116</f>
        <v>0</v>
      </c>
      <c r="AS115">
        <f>'mk 001 10.3'!AS116</f>
        <v>0</v>
      </c>
      <c r="AT115" t="str">
        <f>'mk 001 10.3'!AT116</f>
        <v>เบญจพจน์ เพชรเหลี่ยม</v>
      </c>
      <c r="AU115" t="str">
        <f>'mk 001 10.3'!AU116</f>
        <v>2026-05-11-13.33.46.000000</v>
      </c>
      <c r="AV115" t="str">
        <f>'mk 001 10.3'!AV116</f>
        <v>ก.ก.</v>
      </c>
      <c r="AW115" t="str">
        <f>'mk 001 10.3'!AW116</f>
        <v>ก.ก.</v>
      </c>
      <c r="AX115" t="str">
        <f>'mk 001 10.3'!AX116</f>
        <v xml:space="preserve"> </v>
      </c>
      <c r="AY115">
        <f>'mk 001 10.3'!AY116</f>
        <v>0</v>
      </c>
      <c r="AZ115" t="str">
        <f>'mk 001 10.3'!AZ116</f>
        <v>N</v>
      </c>
      <c r="BA115" s="22">
        <f>'mk 001 10.3'!BA116</f>
        <v>9044989536419</v>
      </c>
      <c r="BB115">
        <f>'mk 001 10.3'!BB116</f>
        <v>0</v>
      </c>
      <c r="BC115">
        <f>'mk 001 10.3'!BC116</f>
        <v>0</v>
      </c>
      <c r="BD115">
        <f>'mk 001 10.3'!BD116</f>
        <v>1</v>
      </c>
      <c r="BE115">
        <f>'mk 001 10.3'!BE116</f>
        <v>0</v>
      </c>
      <c r="BF115" t="str">
        <f>'mk 001 10.3'!BF116</f>
        <v>;0000</v>
      </c>
      <c r="BG115">
        <f>'mk 001 10.3'!BG116</f>
        <v>1333314600</v>
      </c>
      <c r="BH115" t="str">
        <f>'mk 001 10.3'!BH116</f>
        <v>G</v>
      </c>
      <c r="BI115">
        <f>'mk 001 10.3'!BI116</f>
        <v>90</v>
      </c>
      <c r="BJ115">
        <f>'mk 001 10.3'!BJ116</f>
        <v>90</v>
      </c>
      <c r="BK115">
        <f>'mk 001 10.3'!BK116</f>
        <v>1300</v>
      </c>
      <c r="BL115" t="str">
        <f>'mk 001 10.3'!BL116</f>
        <v>SYSBATCH</v>
      </c>
      <c r="BM115">
        <f>'mk 001 10.3'!BM116</f>
        <v>0</v>
      </c>
      <c r="BN115">
        <f>'mk 001 10.3'!BN116</f>
        <v>0</v>
      </c>
    </row>
    <row r="116" spans="1:66" x14ac:dyDescent="0.35">
      <c r="A116">
        <f>'mk 001 10.3'!A117</f>
        <v>0</v>
      </c>
      <c r="B116">
        <f>'mk 001 10.3'!B117</f>
        <v>0</v>
      </c>
      <c r="C116" s="1" t="str">
        <f>'mk 001 10.3'!C117</f>
        <v>14/5/2569</v>
      </c>
      <c r="D116" s="1" t="str">
        <f>'mk 001 10.3'!D117</f>
        <v>14/5/2569</v>
      </c>
      <c r="E116">
        <f>'mk 001 10.3'!E117</f>
        <v>0</v>
      </c>
      <c r="F116" t="str">
        <f>'mk 001 10.3'!F117</f>
        <v>489M</v>
      </c>
      <c r="G116" t="str">
        <f>'mk 001 10.3'!G117</f>
        <v>Modern Trade (Makro)</v>
      </c>
      <c r="H116">
        <f>'mk 001 10.3'!H117</f>
        <v>0</v>
      </c>
      <c r="I116" t="str">
        <f>'mk 001 10.3'!I117</f>
        <v>หน่วยงานกลาง</v>
      </c>
      <c r="J116" t="str">
        <f>'mk 001 10.3'!J117</f>
        <v>F213  DMCW-รชล-พระพุทธบาท</v>
      </c>
      <c r="K116" t="str">
        <f>'mk 001 10.3'!K117</f>
        <v>00000  หน่วยงานกลาง</v>
      </c>
      <c r="L116">
        <f>'mk 001 10.3'!L117</f>
        <v>923</v>
      </c>
      <c r="M116">
        <f>'mk 001 10.3'!M117</f>
        <v>0</v>
      </c>
      <c r="N116" t="str">
        <f>'mk 001 10.3'!N117</f>
        <v>1A53004800</v>
      </c>
      <c r="O116" t="str">
        <f>'mk 001 10.3'!O117</f>
        <v>บมจ. ซีพี แอ็กซ์ตร้า สาขาลพบุรี</v>
      </c>
      <c r="P116">
        <f>'mk 001 10.3'!P117</f>
        <v>2</v>
      </c>
      <c r="Q116" t="str">
        <f>'mk 001 10.3'!Q117</f>
        <v>MAKRO 0047 ลพบุรี</v>
      </c>
      <c r="R116" s="1">
        <f>'mk 001 10.3'!R117</f>
        <v>244658</v>
      </c>
      <c r="S116" s="1" t="str">
        <f>'mk 001 10.3'!S117</f>
        <v>14/5/2569</v>
      </c>
      <c r="T116" t="str">
        <f>'mk 001 10.3'!T117</f>
        <v>H6954RMA0059202</v>
      </c>
      <c r="U116">
        <f>'mk 001 10.3'!U117</f>
        <v>23058555</v>
      </c>
      <c r="V116" t="str">
        <f>'mk 001 10.3'!V117</f>
        <v>กระดูกซุป (M)</v>
      </c>
      <c r="W116">
        <f>'mk 001 10.3'!W117</f>
        <v>140</v>
      </c>
      <c r="X116">
        <f>'mk 001 10.3'!X117</f>
        <v>140</v>
      </c>
      <c r="Y116">
        <f t="shared" si="1"/>
        <v>140</v>
      </c>
      <c r="Z116" s="13">
        <f>IF(COUNTIFS(แปลงข้อมูล!H:H,Q116,แปลงข้อมูล!I:I,U116,แปลงข้อมูล!J:J,V116)&gt;0,SUMIFS(แปลงข้อมูล!Q:Q,แปลงข้อมูล!I:I,U116,แปลงข้อมูล!H:H,Q116,แปลงข้อมูล!J:J,V116),'mk 001 10.3'!Z117)</f>
        <v>140</v>
      </c>
      <c r="AA116">
        <f>'mk 001 10.3'!AA117</f>
        <v>0</v>
      </c>
      <c r="AB116">
        <f>'mk 001 10.3'!AB117</f>
        <v>0</v>
      </c>
      <c r="AC116">
        <f>'mk 001 10.3'!AC117</f>
        <v>0</v>
      </c>
      <c r="AD116">
        <f>'mk 001 10.3'!AD117</f>
        <v>0</v>
      </c>
      <c r="AE116">
        <f>'mk 001 10.3'!AE117</f>
        <v>140</v>
      </c>
      <c r="AF116">
        <f>'mk 001 10.3'!AF117</f>
        <v>140</v>
      </c>
      <c r="AG116">
        <f>'mk 001 10.3'!AG117</f>
        <v>0</v>
      </c>
      <c r="AH116">
        <f>'mk 001 10.3'!AH117</f>
        <v>0</v>
      </c>
      <c r="AI116" t="str">
        <f>'mk 001 10.3'!AI117</f>
        <v>OPRCD489MOPRCD00000OPRCDF213OPRCD00000OPRCD923</v>
      </c>
      <c r="AJ116" t="str">
        <f>'mk 001 10.3'!AJ117</f>
        <v>ซื้อ / ขาย</v>
      </c>
      <c r="AK116" t="str">
        <f>'mk 001 10.3'!AK117</f>
        <v>By proudct</v>
      </c>
      <c r="AL116" t="str">
        <f>'mk 001 10.3'!AL117</f>
        <v>Bulk Normal</v>
      </c>
      <c r="AM116" t="str">
        <f>'mk 001 10.3'!AM117</f>
        <v>สุกร</v>
      </c>
      <c r="AN116" t="str">
        <f>'mk 001 10.3'!AN117</f>
        <v>OT002 CC-Makro</v>
      </c>
      <c r="AO116" t="str">
        <f>'mk 001 10.3'!AO117</f>
        <v>MT</v>
      </c>
      <c r="AP116">
        <f>'mk 001 10.3'!AP117</f>
        <v>2</v>
      </c>
      <c r="AQ116">
        <f>'mk 001 10.3'!AQ117</f>
        <v>0</v>
      </c>
      <c r="AR116">
        <f>'mk 001 10.3'!AR117</f>
        <v>0</v>
      </c>
      <c r="AS116">
        <f>'mk 001 10.3'!AS117</f>
        <v>0</v>
      </c>
      <c r="AT116" t="str">
        <f>'mk 001 10.3'!AT117</f>
        <v>เบญจพจน์ เพชรเหลี่ยม</v>
      </c>
      <c r="AU116" t="str">
        <f>'mk 001 10.3'!AU117</f>
        <v>2026-05-11-13.33.46.000000</v>
      </c>
      <c r="AV116" t="str">
        <f>'mk 001 10.3'!AV117</f>
        <v>ก.ก.</v>
      </c>
      <c r="AW116" t="str">
        <f>'mk 001 10.3'!AW117</f>
        <v>ก.ก.</v>
      </c>
      <c r="AX116" t="str">
        <f>'mk 001 10.3'!AX117</f>
        <v xml:space="preserve"> </v>
      </c>
      <c r="AY116">
        <f>'mk 001 10.3'!AY117</f>
        <v>0</v>
      </c>
      <c r="AZ116" t="str">
        <f>'mk 001 10.3'!AZ117</f>
        <v>N</v>
      </c>
      <c r="BA116" s="22">
        <f>'mk 001 10.3'!BA117</f>
        <v>9044989536419</v>
      </c>
      <c r="BB116">
        <f>'mk 001 10.3'!BB117</f>
        <v>0</v>
      </c>
      <c r="BC116">
        <f>'mk 001 10.3'!BC117</f>
        <v>0</v>
      </c>
      <c r="BD116">
        <f>'mk 001 10.3'!BD117</f>
        <v>1</v>
      </c>
      <c r="BE116">
        <f>'mk 001 10.3'!BE117</f>
        <v>0</v>
      </c>
      <c r="BF116" t="str">
        <f>'mk 001 10.3'!BF117</f>
        <v>;0000</v>
      </c>
      <c r="BG116">
        <f>'mk 001 10.3'!BG117</f>
        <v>1333314600</v>
      </c>
      <c r="BH116" t="str">
        <f>'mk 001 10.3'!BH117</f>
        <v>G</v>
      </c>
      <c r="BI116">
        <f>'mk 001 10.3'!BI117</f>
        <v>140</v>
      </c>
      <c r="BJ116">
        <f>'mk 001 10.3'!BJ117</f>
        <v>140</v>
      </c>
      <c r="BK116">
        <f>'mk 001 10.3'!BK117</f>
        <v>1300</v>
      </c>
      <c r="BL116" t="str">
        <f>'mk 001 10.3'!BL117</f>
        <v>SYSBATCH</v>
      </c>
      <c r="BM116">
        <f>'mk 001 10.3'!BM117</f>
        <v>0</v>
      </c>
      <c r="BN116">
        <f>'mk 001 10.3'!BN117</f>
        <v>0</v>
      </c>
    </row>
    <row r="117" spans="1:66" x14ac:dyDescent="0.35">
      <c r="A117">
        <f>'mk 001 10.3'!A118</f>
        <v>0</v>
      </c>
      <c r="B117">
        <f>'mk 001 10.3'!B118</f>
        <v>0</v>
      </c>
      <c r="C117" s="1" t="str">
        <f>'mk 001 10.3'!C118</f>
        <v>14/5/2569</v>
      </c>
      <c r="D117" s="1" t="str">
        <f>'mk 001 10.3'!D118</f>
        <v>14/5/2569</v>
      </c>
      <c r="E117">
        <f>'mk 001 10.3'!E118</f>
        <v>0</v>
      </c>
      <c r="F117" t="str">
        <f>'mk 001 10.3'!F118</f>
        <v>489M</v>
      </c>
      <c r="G117" t="str">
        <f>'mk 001 10.3'!G118</f>
        <v>Modern Trade (Makro)</v>
      </c>
      <c r="H117">
        <f>'mk 001 10.3'!H118</f>
        <v>0</v>
      </c>
      <c r="I117" t="str">
        <f>'mk 001 10.3'!I118</f>
        <v>หน่วยงานกลาง</v>
      </c>
      <c r="J117" t="str">
        <f>'mk 001 10.3'!J118</f>
        <v>F213  DMCW-รชล-พระพุทธบาท</v>
      </c>
      <c r="K117" t="str">
        <f>'mk 001 10.3'!K118</f>
        <v>00000  หน่วยงานกลาง</v>
      </c>
      <c r="L117">
        <f>'mk 001 10.3'!L118</f>
        <v>923</v>
      </c>
      <c r="M117">
        <f>'mk 001 10.3'!M118</f>
        <v>0</v>
      </c>
      <c r="N117" t="str">
        <f>'mk 001 10.3'!N118</f>
        <v>1A53004800</v>
      </c>
      <c r="O117" t="str">
        <f>'mk 001 10.3'!O118</f>
        <v>บมจ. ซีพี แอ็กซ์ตร้า สาขาลพบุรี</v>
      </c>
      <c r="P117">
        <f>'mk 001 10.3'!P118</f>
        <v>2</v>
      </c>
      <c r="Q117" t="str">
        <f>'mk 001 10.3'!Q118</f>
        <v>MAKRO 0047 ลพบุรี</v>
      </c>
      <c r="R117" s="1">
        <f>'mk 001 10.3'!R118</f>
        <v>244658</v>
      </c>
      <c r="S117" s="1" t="str">
        <f>'mk 001 10.3'!S118</f>
        <v>14/5/2569</v>
      </c>
      <c r="T117" t="str">
        <f>'mk 001 10.3'!T118</f>
        <v>H6954RMA0059202</v>
      </c>
      <c r="U117">
        <f>'mk 001 10.3'!U118</f>
        <v>23057812</v>
      </c>
      <c r="V117" t="str">
        <f>'mk 001 10.3'!V118</f>
        <v>สะโพก(M)</v>
      </c>
      <c r="W117">
        <f>'mk 001 10.3'!W118</f>
        <v>200</v>
      </c>
      <c r="X117">
        <f>'mk 001 10.3'!X118</f>
        <v>200</v>
      </c>
      <c r="Y117">
        <f t="shared" si="1"/>
        <v>200</v>
      </c>
      <c r="Z117" s="13">
        <f>IF(COUNTIFS(แปลงข้อมูล!H:H,Q117,แปลงข้อมูล!I:I,U117,แปลงข้อมูล!J:J,V117)&gt;0,SUMIFS(แปลงข้อมูล!Q:Q,แปลงข้อมูล!I:I,U117,แปลงข้อมูล!H:H,Q117,แปลงข้อมูล!J:J,V117),'mk 001 10.3'!Z118)</f>
        <v>200</v>
      </c>
      <c r="AA117">
        <f>'mk 001 10.3'!AA118</f>
        <v>0</v>
      </c>
      <c r="AB117">
        <f>'mk 001 10.3'!AB118</f>
        <v>0</v>
      </c>
      <c r="AC117">
        <f>'mk 001 10.3'!AC118</f>
        <v>0</v>
      </c>
      <c r="AD117">
        <f>'mk 001 10.3'!AD118</f>
        <v>0</v>
      </c>
      <c r="AE117">
        <f>'mk 001 10.3'!AE118</f>
        <v>200</v>
      </c>
      <c r="AF117">
        <f>'mk 001 10.3'!AF118</f>
        <v>200</v>
      </c>
      <c r="AG117">
        <f>'mk 001 10.3'!AG118</f>
        <v>0</v>
      </c>
      <c r="AH117">
        <f>'mk 001 10.3'!AH118</f>
        <v>0</v>
      </c>
      <c r="AI117" t="str">
        <f>'mk 001 10.3'!AI118</f>
        <v>OPRCD489MOPRCD00000OPRCDF213OPRCD00000OPRCD923</v>
      </c>
      <c r="AJ117" t="str">
        <f>'mk 001 10.3'!AJ118</f>
        <v>ซื้อ / ขาย</v>
      </c>
      <c r="AK117" t="str">
        <f>'mk 001 10.3'!AK118</f>
        <v>Main proudct</v>
      </c>
      <c r="AL117" t="str">
        <f>'mk 001 10.3'!AL118</f>
        <v>Bulk Normal</v>
      </c>
      <c r="AM117" t="str">
        <f>'mk 001 10.3'!AM118</f>
        <v>สุกร</v>
      </c>
      <c r="AN117" t="str">
        <f>'mk 001 10.3'!AN118</f>
        <v>OT002 CC-Makro</v>
      </c>
      <c r="AO117" t="str">
        <f>'mk 001 10.3'!AO118</f>
        <v>MT</v>
      </c>
      <c r="AP117">
        <f>'mk 001 10.3'!AP118</f>
        <v>2</v>
      </c>
      <c r="AQ117">
        <f>'mk 001 10.3'!AQ118</f>
        <v>0</v>
      </c>
      <c r="AR117">
        <f>'mk 001 10.3'!AR118</f>
        <v>0</v>
      </c>
      <c r="AS117">
        <f>'mk 001 10.3'!AS118</f>
        <v>0</v>
      </c>
      <c r="AT117" t="str">
        <f>'mk 001 10.3'!AT118</f>
        <v>เบญจพจน์ เพชรเหลี่ยม</v>
      </c>
      <c r="AU117" t="str">
        <f>'mk 001 10.3'!AU118</f>
        <v>2026-05-11-13.33.46.000000</v>
      </c>
      <c r="AV117" t="str">
        <f>'mk 001 10.3'!AV118</f>
        <v>ก.ก.</v>
      </c>
      <c r="AW117" t="str">
        <f>'mk 001 10.3'!AW118</f>
        <v>ก.ก.</v>
      </c>
      <c r="AX117" t="str">
        <f>'mk 001 10.3'!AX118</f>
        <v xml:space="preserve"> </v>
      </c>
      <c r="AY117">
        <f>'mk 001 10.3'!AY118</f>
        <v>0</v>
      </c>
      <c r="AZ117" t="str">
        <f>'mk 001 10.3'!AZ118</f>
        <v>N</v>
      </c>
      <c r="BA117" s="22">
        <f>'mk 001 10.3'!BA118</f>
        <v>9044989536419</v>
      </c>
      <c r="BB117">
        <f>'mk 001 10.3'!BB118</f>
        <v>0</v>
      </c>
      <c r="BC117">
        <f>'mk 001 10.3'!BC118</f>
        <v>0</v>
      </c>
      <c r="BD117">
        <f>'mk 001 10.3'!BD118</f>
        <v>1</v>
      </c>
      <c r="BE117">
        <f>'mk 001 10.3'!BE118</f>
        <v>0</v>
      </c>
      <c r="BF117" t="str">
        <f>'mk 001 10.3'!BF118</f>
        <v>;0000</v>
      </c>
      <c r="BG117">
        <f>'mk 001 10.3'!BG118</f>
        <v>1333314600</v>
      </c>
      <c r="BH117" t="str">
        <f>'mk 001 10.3'!BH118</f>
        <v>G</v>
      </c>
      <c r="BI117">
        <f>'mk 001 10.3'!BI118</f>
        <v>200</v>
      </c>
      <c r="BJ117">
        <f>'mk 001 10.3'!BJ118</f>
        <v>200</v>
      </c>
      <c r="BK117">
        <f>'mk 001 10.3'!BK118</f>
        <v>1300</v>
      </c>
      <c r="BL117" t="str">
        <f>'mk 001 10.3'!BL118</f>
        <v>SYSBATCH</v>
      </c>
      <c r="BM117">
        <f>'mk 001 10.3'!BM118</f>
        <v>0</v>
      </c>
      <c r="BN117">
        <f>'mk 001 10.3'!BN118</f>
        <v>0</v>
      </c>
    </row>
    <row r="118" spans="1:66" x14ac:dyDescent="0.35">
      <c r="A118">
        <f>'mk 001 10.3'!A119</f>
        <v>0</v>
      </c>
      <c r="B118">
        <f>'mk 001 10.3'!B119</f>
        <v>0</v>
      </c>
      <c r="C118" s="1" t="str">
        <f>'mk 001 10.3'!C119</f>
        <v>14/5/2569</v>
      </c>
      <c r="D118" s="1" t="str">
        <f>'mk 001 10.3'!D119</f>
        <v>14/5/2569</v>
      </c>
      <c r="E118">
        <f>'mk 001 10.3'!E119</f>
        <v>0</v>
      </c>
      <c r="F118" t="str">
        <f>'mk 001 10.3'!F119</f>
        <v>489M</v>
      </c>
      <c r="G118" t="str">
        <f>'mk 001 10.3'!G119</f>
        <v>Modern Trade (Makro)</v>
      </c>
      <c r="H118">
        <f>'mk 001 10.3'!H119</f>
        <v>0</v>
      </c>
      <c r="I118" t="str">
        <f>'mk 001 10.3'!I119</f>
        <v>หน่วยงานกลาง</v>
      </c>
      <c r="J118" t="str">
        <f>'mk 001 10.3'!J119</f>
        <v>F213  DMCW-รชล-พระพุทธบาท</v>
      </c>
      <c r="K118" t="str">
        <f>'mk 001 10.3'!K119</f>
        <v>00000  หน่วยงานกลาง</v>
      </c>
      <c r="L118">
        <f>'mk 001 10.3'!L119</f>
        <v>923</v>
      </c>
      <c r="M118">
        <f>'mk 001 10.3'!M119</f>
        <v>0</v>
      </c>
      <c r="N118" t="str">
        <f>'mk 001 10.3'!N119</f>
        <v>1A53004800</v>
      </c>
      <c r="O118" t="str">
        <f>'mk 001 10.3'!O119</f>
        <v>บมจ. ซีพี แอ็กซ์ตร้า สาขาลพบุรี</v>
      </c>
      <c r="P118">
        <f>'mk 001 10.3'!P119</f>
        <v>2</v>
      </c>
      <c r="Q118" t="str">
        <f>'mk 001 10.3'!Q119</f>
        <v>MAKRO 0047 ลพบุรี</v>
      </c>
      <c r="R118" s="1">
        <f>'mk 001 10.3'!R119</f>
        <v>244658</v>
      </c>
      <c r="S118" s="1" t="str">
        <f>'mk 001 10.3'!S119</f>
        <v>14/5/2569</v>
      </c>
      <c r="T118" t="str">
        <f>'mk 001 10.3'!T119</f>
        <v>H6954RMA0059202</v>
      </c>
      <c r="U118">
        <f>'mk 001 10.3'!U119</f>
        <v>23066875</v>
      </c>
      <c r="V118" t="str">
        <f>'mk 001 10.3'!V119</f>
        <v>ไส้ขม(M)</v>
      </c>
      <c r="W118">
        <f>'mk 001 10.3'!W119</f>
        <v>20</v>
      </c>
      <c r="X118">
        <f>'mk 001 10.3'!X119</f>
        <v>20</v>
      </c>
      <c r="Y118">
        <f t="shared" si="1"/>
        <v>20</v>
      </c>
      <c r="Z118" s="13">
        <f>IF(COUNTIFS(แปลงข้อมูล!H:H,Q118,แปลงข้อมูล!I:I,U118,แปลงข้อมูล!J:J,V118)&gt;0,SUMIFS(แปลงข้อมูล!Q:Q,แปลงข้อมูล!I:I,U118,แปลงข้อมูล!H:H,Q118,แปลงข้อมูล!J:J,V118),'mk 001 10.3'!Z119)</f>
        <v>20</v>
      </c>
      <c r="AA118">
        <f>'mk 001 10.3'!AA119</f>
        <v>0</v>
      </c>
      <c r="AB118">
        <f>'mk 001 10.3'!AB119</f>
        <v>0</v>
      </c>
      <c r="AC118">
        <f>'mk 001 10.3'!AC119</f>
        <v>0</v>
      </c>
      <c r="AD118">
        <f>'mk 001 10.3'!AD119</f>
        <v>0</v>
      </c>
      <c r="AE118">
        <f>'mk 001 10.3'!AE119</f>
        <v>20</v>
      </c>
      <c r="AF118">
        <f>'mk 001 10.3'!AF119</f>
        <v>20</v>
      </c>
      <c r="AG118">
        <f>'mk 001 10.3'!AG119</f>
        <v>0</v>
      </c>
      <c r="AH118">
        <f>'mk 001 10.3'!AH119</f>
        <v>0</v>
      </c>
      <c r="AI118" t="str">
        <f>'mk 001 10.3'!AI119</f>
        <v>OPRCD489MOPRCD00000OPRCDF213OPRCD00000OPRCD923</v>
      </c>
      <c r="AJ118" t="str">
        <f>'mk 001 10.3'!AJ119</f>
        <v>ซื้อ / ขาย</v>
      </c>
      <c r="AK118" t="str">
        <f>'mk 001 10.3'!AK119</f>
        <v>By proudct</v>
      </c>
      <c r="AL118" t="str">
        <f>'mk 001 10.3'!AL119</f>
        <v>Bulk Normal</v>
      </c>
      <c r="AM118" t="str">
        <f>'mk 001 10.3'!AM119</f>
        <v>สุกร</v>
      </c>
      <c r="AN118" t="str">
        <f>'mk 001 10.3'!AN119</f>
        <v>OT002 CC-Makro</v>
      </c>
      <c r="AO118" t="str">
        <f>'mk 001 10.3'!AO119</f>
        <v>MT</v>
      </c>
      <c r="AP118">
        <f>'mk 001 10.3'!AP119</f>
        <v>2</v>
      </c>
      <c r="AQ118">
        <f>'mk 001 10.3'!AQ119</f>
        <v>0</v>
      </c>
      <c r="AR118">
        <f>'mk 001 10.3'!AR119</f>
        <v>0</v>
      </c>
      <c r="AS118">
        <f>'mk 001 10.3'!AS119</f>
        <v>0</v>
      </c>
      <c r="AT118" t="str">
        <f>'mk 001 10.3'!AT119</f>
        <v>เบญจพจน์ เพชรเหลี่ยม</v>
      </c>
      <c r="AU118" t="str">
        <f>'mk 001 10.3'!AU119</f>
        <v>2026-05-11-13.33.46.000000</v>
      </c>
      <c r="AV118" t="str">
        <f>'mk 001 10.3'!AV119</f>
        <v>ก.ก.</v>
      </c>
      <c r="AW118" t="str">
        <f>'mk 001 10.3'!AW119</f>
        <v>ก.ก.</v>
      </c>
      <c r="AX118" t="str">
        <f>'mk 001 10.3'!AX119</f>
        <v xml:space="preserve"> </v>
      </c>
      <c r="AY118">
        <f>'mk 001 10.3'!AY119</f>
        <v>0</v>
      </c>
      <c r="AZ118" t="str">
        <f>'mk 001 10.3'!AZ119</f>
        <v>N</v>
      </c>
      <c r="BA118" s="22">
        <f>'mk 001 10.3'!BA119</f>
        <v>9044989536419</v>
      </c>
      <c r="BB118">
        <f>'mk 001 10.3'!BB119</f>
        <v>0</v>
      </c>
      <c r="BC118">
        <f>'mk 001 10.3'!BC119</f>
        <v>0</v>
      </c>
      <c r="BD118">
        <f>'mk 001 10.3'!BD119</f>
        <v>1</v>
      </c>
      <c r="BE118">
        <f>'mk 001 10.3'!BE119</f>
        <v>0</v>
      </c>
      <c r="BF118" t="str">
        <f>'mk 001 10.3'!BF119</f>
        <v>;0000</v>
      </c>
      <c r="BG118">
        <f>'mk 001 10.3'!BG119</f>
        <v>1333314600</v>
      </c>
      <c r="BH118" t="str">
        <f>'mk 001 10.3'!BH119</f>
        <v>G</v>
      </c>
      <c r="BI118">
        <f>'mk 001 10.3'!BI119</f>
        <v>20</v>
      </c>
      <c r="BJ118">
        <f>'mk 001 10.3'!BJ119</f>
        <v>20</v>
      </c>
      <c r="BK118">
        <f>'mk 001 10.3'!BK119</f>
        <v>1300</v>
      </c>
      <c r="BL118" t="str">
        <f>'mk 001 10.3'!BL119</f>
        <v>SYSBATCH</v>
      </c>
      <c r="BM118">
        <f>'mk 001 10.3'!BM119</f>
        <v>0</v>
      </c>
      <c r="BN118">
        <f>'mk 001 10.3'!BN119</f>
        <v>0</v>
      </c>
    </row>
    <row r="119" spans="1:66" x14ac:dyDescent="0.35">
      <c r="A119">
        <f>'mk 001 10.3'!A120</f>
        <v>0</v>
      </c>
      <c r="B119">
        <f>'mk 001 10.3'!B120</f>
        <v>0</v>
      </c>
      <c r="C119" s="1" t="str">
        <f>'mk 001 10.3'!C120</f>
        <v>14/5/2569</v>
      </c>
      <c r="D119" s="1" t="str">
        <f>'mk 001 10.3'!D120</f>
        <v>14/5/2569</v>
      </c>
      <c r="E119">
        <f>'mk 001 10.3'!E120</f>
        <v>0</v>
      </c>
      <c r="F119" t="str">
        <f>'mk 001 10.3'!F120</f>
        <v>489M</v>
      </c>
      <c r="G119" t="str">
        <f>'mk 001 10.3'!G120</f>
        <v>Modern Trade (Makro)</v>
      </c>
      <c r="H119">
        <f>'mk 001 10.3'!H120</f>
        <v>0</v>
      </c>
      <c r="I119" t="str">
        <f>'mk 001 10.3'!I120</f>
        <v>หน่วยงานกลาง</v>
      </c>
      <c r="J119" t="str">
        <f>'mk 001 10.3'!J120</f>
        <v>F213  DMCW-รชล-พระพุทธบาท</v>
      </c>
      <c r="K119" t="str">
        <f>'mk 001 10.3'!K120</f>
        <v>00000  หน่วยงานกลาง</v>
      </c>
      <c r="L119">
        <f>'mk 001 10.3'!L120</f>
        <v>923</v>
      </c>
      <c r="M119">
        <f>'mk 001 10.3'!M120</f>
        <v>0</v>
      </c>
      <c r="N119" t="str">
        <f>'mk 001 10.3'!N120</f>
        <v>1A53004800</v>
      </c>
      <c r="O119" t="str">
        <f>'mk 001 10.3'!O120</f>
        <v>บมจ. ซีพี แอ็กซ์ตร้า สาขาลพบุรี</v>
      </c>
      <c r="P119">
        <f>'mk 001 10.3'!P120</f>
        <v>2</v>
      </c>
      <c r="Q119" t="str">
        <f>'mk 001 10.3'!Q120</f>
        <v>MAKRO 0047 ลพบุรี</v>
      </c>
      <c r="R119" s="1">
        <f>'mk 001 10.3'!R120</f>
        <v>244658</v>
      </c>
      <c r="S119" s="1" t="str">
        <f>'mk 001 10.3'!S120</f>
        <v>14/5/2569</v>
      </c>
      <c r="T119" t="str">
        <f>'mk 001 10.3'!T120</f>
        <v>H6954RMA0059202</v>
      </c>
      <c r="U119">
        <f>'mk 001 10.3'!U120</f>
        <v>23086658</v>
      </c>
      <c r="V119" t="str">
        <f>'mk 001 10.3'!V120</f>
        <v>เนื้อไหล่ติดหนังสไลด์</v>
      </c>
      <c r="W119">
        <f>'mk 001 10.3'!W120</f>
        <v>15</v>
      </c>
      <c r="X119">
        <f>'mk 001 10.3'!X120</f>
        <v>15</v>
      </c>
      <c r="Y119">
        <f t="shared" si="1"/>
        <v>15</v>
      </c>
      <c r="Z119" s="13">
        <f>IF(COUNTIFS(แปลงข้อมูล!H:H,Q119,แปลงข้อมูล!I:I,U119,แปลงข้อมูล!J:J,V119)&gt;0,SUMIFS(แปลงข้อมูล!Q:Q,แปลงข้อมูล!I:I,U119,แปลงข้อมูล!H:H,Q119,แปลงข้อมูล!J:J,V119),'mk 001 10.3'!Z120)</f>
        <v>15</v>
      </c>
      <c r="AA119">
        <f>'mk 001 10.3'!AA120</f>
        <v>0</v>
      </c>
      <c r="AB119">
        <f>'mk 001 10.3'!AB120</f>
        <v>0</v>
      </c>
      <c r="AC119">
        <f>'mk 001 10.3'!AC120</f>
        <v>0</v>
      </c>
      <c r="AD119">
        <f>'mk 001 10.3'!AD120</f>
        <v>0</v>
      </c>
      <c r="AE119">
        <f>'mk 001 10.3'!AE120</f>
        <v>15</v>
      </c>
      <c r="AF119">
        <f>'mk 001 10.3'!AF120</f>
        <v>15</v>
      </c>
      <c r="AG119">
        <f>'mk 001 10.3'!AG120</f>
        <v>0</v>
      </c>
      <c r="AH119">
        <f>'mk 001 10.3'!AH120</f>
        <v>0</v>
      </c>
      <c r="AI119" t="str">
        <f>'mk 001 10.3'!AI120</f>
        <v>OPRCD489MOPRCD00000OPRCDF213OPRCD00000OPRCD923</v>
      </c>
      <c r="AJ119" t="str">
        <f>'mk 001 10.3'!AJ120</f>
        <v>ซื้อ / ขาย</v>
      </c>
      <c r="AK119" t="str">
        <f>'mk 001 10.3'!AK120</f>
        <v>Main proudct</v>
      </c>
      <c r="AL119" t="str">
        <f>'mk 001 10.3'!AL120</f>
        <v>Bulk Normal</v>
      </c>
      <c r="AM119" t="str">
        <f>'mk 001 10.3'!AM120</f>
        <v>สุกร</v>
      </c>
      <c r="AN119" t="str">
        <f>'mk 001 10.3'!AN120</f>
        <v>OT002 CC-Makro</v>
      </c>
      <c r="AO119" t="str">
        <f>'mk 001 10.3'!AO120</f>
        <v>MT</v>
      </c>
      <c r="AP119">
        <f>'mk 001 10.3'!AP120</f>
        <v>2</v>
      </c>
      <c r="AQ119">
        <f>'mk 001 10.3'!AQ120</f>
        <v>0</v>
      </c>
      <c r="AR119">
        <f>'mk 001 10.3'!AR120</f>
        <v>0</v>
      </c>
      <c r="AS119">
        <f>'mk 001 10.3'!AS120</f>
        <v>0</v>
      </c>
      <c r="AT119" t="str">
        <f>'mk 001 10.3'!AT120</f>
        <v>เบญจพจน์ เพชรเหลี่ยม</v>
      </c>
      <c r="AU119" t="str">
        <f>'mk 001 10.3'!AU120</f>
        <v>2026-05-11-13.33.46.000000</v>
      </c>
      <c r="AV119" t="str">
        <f>'mk 001 10.3'!AV120</f>
        <v>ก.ก.</v>
      </c>
      <c r="AW119" t="str">
        <f>'mk 001 10.3'!AW120</f>
        <v>ก.ก.</v>
      </c>
      <c r="AX119" t="str">
        <f>'mk 001 10.3'!AX120</f>
        <v xml:space="preserve"> </v>
      </c>
      <c r="AY119">
        <f>'mk 001 10.3'!AY120</f>
        <v>0</v>
      </c>
      <c r="AZ119" t="str">
        <f>'mk 001 10.3'!AZ120</f>
        <v>N</v>
      </c>
      <c r="BA119" s="22">
        <f>'mk 001 10.3'!BA120</f>
        <v>9044989536419</v>
      </c>
      <c r="BB119">
        <f>'mk 001 10.3'!BB120</f>
        <v>0</v>
      </c>
      <c r="BC119">
        <f>'mk 001 10.3'!BC120</f>
        <v>0</v>
      </c>
      <c r="BD119">
        <f>'mk 001 10.3'!BD120</f>
        <v>1</v>
      </c>
      <c r="BE119">
        <f>'mk 001 10.3'!BE120</f>
        <v>0</v>
      </c>
      <c r="BF119" t="str">
        <f>'mk 001 10.3'!BF120</f>
        <v>;0000</v>
      </c>
      <c r="BG119">
        <f>'mk 001 10.3'!BG120</f>
        <v>1333314600</v>
      </c>
      <c r="BH119" t="str">
        <f>'mk 001 10.3'!BH120</f>
        <v>G</v>
      </c>
      <c r="BI119">
        <f>'mk 001 10.3'!BI120</f>
        <v>15</v>
      </c>
      <c r="BJ119">
        <f>'mk 001 10.3'!BJ120</f>
        <v>15</v>
      </c>
      <c r="BK119">
        <f>'mk 001 10.3'!BK120</f>
        <v>1300</v>
      </c>
      <c r="BL119" t="str">
        <f>'mk 001 10.3'!BL120</f>
        <v>SYSBATCH</v>
      </c>
      <c r="BM119">
        <f>'mk 001 10.3'!BM120</f>
        <v>0</v>
      </c>
      <c r="BN119">
        <f>'mk 001 10.3'!BN120</f>
        <v>0</v>
      </c>
    </row>
    <row r="120" spans="1:66" x14ac:dyDescent="0.35">
      <c r="A120">
        <f>'mk 001 10.3'!A121</f>
        <v>0</v>
      </c>
      <c r="B120">
        <f>'mk 001 10.3'!B121</f>
        <v>0</v>
      </c>
      <c r="C120" s="1" t="str">
        <f>'mk 001 10.3'!C121</f>
        <v>14/5/2569</v>
      </c>
      <c r="D120" s="1" t="str">
        <f>'mk 001 10.3'!D121</f>
        <v>14/5/2569</v>
      </c>
      <c r="E120">
        <f>'mk 001 10.3'!E121</f>
        <v>0</v>
      </c>
      <c r="F120" t="str">
        <f>'mk 001 10.3'!F121</f>
        <v>489M</v>
      </c>
      <c r="G120" t="str">
        <f>'mk 001 10.3'!G121</f>
        <v>Modern Trade (Makro)</v>
      </c>
      <c r="H120">
        <f>'mk 001 10.3'!H121</f>
        <v>0</v>
      </c>
      <c r="I120" t="str">
        <f>'mk 001 10.3'!I121</f>
        <v>หน่วยงานกลาง</v>
      </c>
      <c r="J120" t="str">
        <f>'mk 001 10.3'!J121</f>
        <v>F213  DMCW-รชล-พระพุทธบาท</v>
      </c>
      <c r="K120" t="str">
        <f>'mk 001 10.3'!K121</f>
        <v>00000  หน่วยงานกลาง</v>
      </c>
      <c r="L120">
        <f>'mk 001 10.3'!L121</f>
        <v>923</v>
      </c>
      <c r="M120">
        <f>'mk 001 10.3'!M121</f>
        <v>0</v>
      </c>
      <c r="N120" t="str">
        <f>'mk 001 10.3'!N121</f>
        <v>1A53004800</v>
      </c>
      <c r="O120" t="str">
        <f>'mk 001 10.3'!O121</f>
        <v>บมจ. ซีพี แอ็กซ์ตร้า สาขาลพบุรี</v>
      </c>
      <c r="P120">
        <f>'mk 001 10.3'!P121</f>
        <v>2</v>
      </c>
      <c r="Q120" t="str">
        <f>'mk 001 10.3'!Q121</f>
        <v>MAKRO 0047 ลพบุรี</v>
      </c>
      <c r="R120" s="1">
        <f>'mk 001 10.3'!R121</f>
        <v>244658</v>
      </c>
      <c r="S120" s="1" t="str">
        <f>'mk 001 10.3'!S121</f>
        <v>14/5/2569</v>
      </c>
      <c r="T120" t="str">
        <f>'mk 001 10.3'!T121</f>
        <v>H6954RMA0059202</v>
      </c>
      <c r="U120">
        <f>'mk 001 10.3'!U121</f>
        <v>23073188</v>
      </c>
      <c r="V120" t="str">
        <f>'mk 001 10.3'!V121</f>
        <v>กระดูกอก(M)</v>
      </c>
      <c r="W120">
        <f>'mk 001 10.3'!W121</f>
        <v>5</v>
      </c>
      <c r="X120">
        <f>'mk 001 10.3'!X121</f>
        <v>5</v>
      </c>
      <c r="Y120">
        <f t="shared" si="1"/>
        <v>5</v>
      </c>
      <c r="Z120" s="13">
        <f>IF(COUNTIFS(แปลงข้อมูล!H:H,Q120,แปลงข้อมูล!I:I,U120,แปลงข้อมูล!J:J,V120)&gt;0,SUMIFS(แปลงข้อมูล!Q:Q,แปลงข้อมูล!I:I,U120,แปลงข้อมูล!H:H,Q120,แปลงข้อมูล!J:J,V120),'mk 001 10.3'!Z121)</f>
        <v>5</v>
      </c>
      <c r="AA120">
        <f>'mk 001 10.3'!AA121</f>
        <v>0</v>
      </c>
      <c r="AB120">
        <f>'mk 001 10.3'!AB121</f>
        <v>0</v>
      </c>
      <c r="AC120">
        <f>'mk 001 10.3'!AC121</f>
        <v>0</v>
      </c>
      <c r="AD120">
        <f>'mk 001 10.3'!AD121</f>
        <v>0</v>
      </c>
      <c r="AE120">
        <f>'mk 001 10.3'!AE121</f>
        <v>5</v>
      </c>
      <c r="AF120">
        <f>'mk 001 10.3'!AF121</f>
        <v>5</v>
      </c>
      <c r="AG120">
        <f>'mk 001 10.3'!AG121</f>
        <v>0</v>
      </c>
      <c r="AH120">
        <f>'mk 001 10.3'!AH121</f>
        <v>0</v>
      </c>
      <c r="AI120" t="str">
        <f>'mk 001 10.3'!AI121</f>
        <v>OPRCD489MOPRCD00000OPRCDF213OPRCD00000OPRCD923</v>
      </c>
      <c r="AJ120" t="str">
        <f>'mk 001 10.3'!AJ121</f>
        <v>ซื้อ / ขาย</v>
      </c>
      <c r="AK120" t="str">
        <f>'mk 001 10.3'!AK121</f>
        <v>By proudct</v>
      </c>
      <c r="AL120" t="str">
        <f>'mk 001 10.3'!AL121</f>
        <v>Bulk Normal</v>
      </c>
      <c r="AM120" t="str">
        <f>'mk 001 10.3'!AM121</f>
        <v>สุกร</v>
      </c>
      <c r="AN120" t="str">
        <f>'mk 001 10.3'!AN121</f>
        <v>OT002 CC-Makro</v>
      </c>
      <c r="AO120" t="str">
        <f>'mk 001 10.3'!AO121</f>
        <v>MT</v>
      </c>
      <c r="AP120">
        <f>'mk 001 10.3'!AP121</f>
        <v>2</v>
      </c>
      <c r="AQ120">
        <f>'mk 001 10.3'!AQ121</f>
        <v>0</v>
      </c>
      <c r="AR120">
        <f>'mk 001 10.3'!AR121</f>
        <v>0</v>
      </c>
      <c r="AS120">
        <f>'mk 001 10.3'!AS121</f>
        <v>0</v>
      </c>
      <c r="AT120" t="str">
        <f>'mk 001 10.3'!AT121</f>
        <v>เบญจพจน์ เพชรเหลี่ยม</v>
      </c>
      <c r="AU120" t="str">
        <f>'mk 001 10.3'!AU121</f>
        <v>2026-05-11-13.33.46.000000</v>
      </c>
      <c r="AV120" t="str">
        <f>'mk 001 10.3'!AV121</f>
        <v>ก.ก.</v>
      </c>
      <c r="AW120" t="str">
        <f>'mk 001 10.3'!AW121</f>
        <v>ก.ก.</v>
      </c>
      <c r="AX120" t="str">
        <f>'mk 001 10.3'!AX121</f>
        <v xml:space="preserve"> </v>
      </c>
      <c r="AY120">
        <f>'mk 001 10.3'!AY121</f>
        <v>0</v>
      </c>
      <c r="AZ120" t="str">
        <f>'mk 001 10.3'!AZ121</f>
        <v>N</v>
      </c>
      <c r="BA120" s="22">
        <f>'mk 001 10.3'!BA121</f>
        <v>9044989536419</v>
      </c>
      <c r="BB120">
        <f>'mk 001 10.3'!BB121</f>
        <v>0</v>
      </c>
      <c r="BC120">
        <f>'mk 001 10.3'!BC121</f>
        <v>0</v>
      </c>
      <c r="BD120">
        <f>'mk 001 10.3'!BD121</f>
        <v>1</v>
      </c>
      <c r="BE120">
        <f>'mk 001 10.3'!BE121</f>
        <v>0</v>
      </c>
      <c r="BF120" t="str">
        <f>'mk 001 10.3'!BF121</f>
        <v>;0000</v>
      </c>
      <c r="BG120">
        <f>'mk 001 10.3'!BG121</f>
        <v>1333314600</v>
      </c>
      <c r="BH120" t="str">
        <f>'mk 001 10.3'!BH121</f>
        <v>G</v>
      </c>
      <c r="BI120">
        <f>'mk 001 10.3'!BI121</f>
        <v>5</v>
      </c>
      <c r="BJ120">
        <f>'mk 001 10.3'!BJ121</f>
        <v>5</v>
      </c>
      <c r="BK120">
        <f>'mk 001 10.3'!BK121</f>
        <v>1300</v>
      </c>
      <c r="BL120" t="str">
        <f>'mk 001 10.3'!BL121</f>
        <v>SYSBATCH</v>
      </c>
      <c r="BM120">
        <f>'mk 001 10.3'!BM121</f>
        <v>0</v>
      </c>
      <c r="BN120">
        <f>'mk 001 10.3'!BN121</f>
        <v>0</v>
      </c>
    </row>
    <row r="121" spans="1:66" x14ac:dyDescent="0.35">
      <c r="A121">
        <f>'mk 001 10.3'!A122</f>
        <v>0</v>
      </c>
      <c r="B121">
        <f>'mk 001 10.3'!B122</f>
        <v>0</v>
      </c>
      <c r="C121" s="1" t="str">
        <f>'mk 001 10.3'!C122</f>
        <v>14/5/2569</v>
      </c>
      <c r="D121" s="1" t="str">
        <f>'mk 001 10.3'!D122</f>
        <v>14/5/2569</v>
      </c>
      <c r="E121">
        <f>'mk 001 10.3'!E122</f>
        <v>0</v>
      </c>
      <c r="F121" t="str">
        <f>'mk 001 10.3'!F122</f>
        <v>489M</v>
      </c>
      <c r="G121" t="str">
        <f>'mk 001 10.3'!G122</f>
        <v>Modern Trade (Makro)</v>
      </c>
      <c r="H121">
        <f>'mk 001 10.3'!H122</f>
        <v>0</v>
      </c>
      <c r="I121" t="str">
        <f>'mk 001 10.3'!I122</f>
        <v>หน่วยงานกลาง</v>
      </c>
      <c r="J121" t="str">
        <f>'mk 001 10.3'!J122</f>
        <v>F213  DMCW-รชล-พระพุทธบาท</v>
      </c>
      <c r="K121" t="str">
        <f>'mk 001 10.3'!K122</f>
        <v>00000  หน่วยงานกลาง</v>
      </c>
      <c r="L121">
        <f>'mk 001 10.3'!L122</f>
        <v>923</v>
      </c>
      <c r="M121">
        <f>'mk 001 10.3'!M122</f>
        <v>0</v>
      </c>
      <c r="N121" t="str">
        <f>'mk 001 10.3'!N122</f>
        <v>1A53004800</v>
      </c>
      <c r="O121" t="str">
        <f>'mk 001 10.3'!O122</f>
        <v>บมจ. ซีพี แอ็กซ์ตร้า สาขาลพบุรี</v>
      </c>
      <c r="P121">
        <f>'mk 001 10.3'!P122</f>
        <v>2</v>
      </c>
      <c r="Q121" t="str">
        <f>'mk 001 10.3'!Q122</f>
        <v>MAKRO 0047 ลพบุรี</v>
      </c>
      <c r="R121" s="1">
        <f>'mk 001 10.3'!R122</f>
        <v>244658</v>
      </c>
      <c r="S121" s="1" t="str">
        <f>'mk 001 10.3'!S122</f>
        <v>14/5/2569</v>
      </c>
      <c r="T121" t="str">
        <f>'mk 001 10.3'!T122</f>
        <v>H6954RMA0059202</v>
      </c>
      <c r="U121">
        <f>'mk 001 10.3'!U122</f>
        <v>23105754</v>
      </c>
      <c r="V121" t="str">
        <f>'mk 001 10.3'!V122</f>
        <v>เซพแพ็ค สามชั้นหมู กก.ละ</v>
      </c>
      <c r="W121">
        <f>'mk 001 10.3'!W122</f>
        <v>60</v>
      </c>
      <c r="X121">
        <f>'mk 001 10.3'!X122</f>
        <v>60</v>
      </c>
      <c r="Y121">
        <f t="shared" si="1"/>
        <v>60</v>
      </c>
      <c r="Z121" s="13">
        <f>IF(COUNTIFS(แปลงข้อมูล!H:H,Q121,แปลงข้อมูล!I:I,U121,แปลงข้อมูล!J:J,V121)&gt;0,SUMIFS(แปลงข้อมูล!Q:Q,แปลงข้อมูล!I:I,U121,แปลงข้อมูล!H:H,Q121,แปลงข้อมูล!J:J,V121),'mk 001 10.3'!Z122)</f>
        <v>60</v>
      </c>
      <c r="AA121">
        <f>'mk 001 10.3'!AA122</f>
        <v>0</v>
      </c>
      <c r="AB121">
        <f>'mk 001 10.3'!AB122</f>
        <v>0</v>
      </c>
      <c r="AC121">
        <f>'mk 001 10.3'!AC122</f>
        <v>0</v>
      </c>
      <c r="AD121">
        <f>'mk 001 10.3'!AD122</f>
        <v>0</v>
      </c>
      <c r="AE121">
        <f>'mk 001 10.3'!AE122</f>
        <v>60</v>
      </c>
      <c r="AF121">
        <f>'mk 001 10.3'!AF122</f>
        <v>60</v>
      </c>
      <c r="AG121">
        <f>'mk 001 10.3'!AG122</f>
        <v>0</v>
      </c>
      <c r="AH121">
        <f>'mk 001 10.3'!AH122</f>
        <v>0</v>
      </c>
      <c r="AI121" t="str">
        <f>'mk 001 10.3'!AI122</f>
        <v>OPRCD489MOPRCD00000OPRCDF213OPRCD00000OPRCD923</v>
      </c>
      <c r="AJ121" t="str">
        <f>'mk 001 10.3'!AJ122</f>
        <v>ซื้อ / ขาย</v>
      </c>
      <c r="AK121" t="str">
        <f>'mk 001 10.3'!AK122</f>
        <v>Main proudct</v>
      </c>
      <c r="AL121" t="str">
        <f>'mk 001 10.3'!AL122</f>
        <v>Bulk Normal</v>
      </c>
      <c r="AM121" t="str">
        <f>'mk 001 10.3'!AM122</f>
        <v>สุกร</v>
      </c>
      <c r="AN121" t="str">
        <f>'mk 001 10.3'!AN122</f>
        <v>OT002 CC-Makro</v>
      </c>
      <c r="AO121" t="str">
        <f>'mk 001 10.3'!AO122</f>
        <v>MT</v>
      </c>
      <c r="AP121">
        <f>'mk 001 10.3'!AP122</f>
        <v>2</v>
      </c>
      <c r="AQ121">
        <f>'mk 001 10.3'!AQ122</f>
        <v>0</v>
      </c>
      <c r="AR121">
        <f>'mk 001 10.3'!AR122</f>
        <v>0</v>
      </c>
      <c r="AS121">
        <f>'mk 001 10.3'!AS122</f>
        <v>0</v>
      </c>
      <c r="AT121" t="str">
        <f>'mk 001 10.3'!AT122</f>
        <v>เบญจพจน์ เพชรเหลี่ยม</v>
      </c>
      <c r="AU121" t="str">
        <f>'mk 001 10.3'!AU122</f>
        <v>2026-05-11-13.33.46.000000</v>
      </c>
      <c r="AV121" t="str">
        <f>'mk 001 10.3'!AV122</f>
        <v>ก.ก.</v>
      </c>
      <c r="AW121" t="str">
        <f>'mk 001 10.3'!AW122</f>
        <v>ก.ก.</v>
      </c>
      <c r="AX121" t="str">
        <f>'mk 001 10.3'!AX122</f>
        <v xml:space="preserve"> </v>
      </c>
      <c r="AY121">
        <f>'mk 001 10.3'!AY122</f>
        <v>0</v>
      </c>
      <c r="AZ121" t="str">
        <f>'mk 001 10.3'!AZ122</f>
        <v>N</v>
      </c>
      <c r="BA121" s="22">
        <f>'mk 001 10.3'!BA122</f>
        <v>9044989536419</v>
      </c>
      <c r="BB121">
        <f>'mk 001 10.3'!BB122</f>
        <v>0</v>
      </c>
      <c r="BC121">
        <f>'mk 001 10.3'!BC122</f>
        <v>0</v>
      </c>
      <c r="BD121">
        <f>'mk 001 10.3'!BD122</f>
        <v>1</v>
      </c>
      <c r="BE121">
        <f>'mk 001 10.3'!BE122</f>
        <v>0</v>
      </c>
      <c r="BF121" t="str">
        <f>'mk 001 10.3'!BF122</f>
        <v>;0000</v>
      </c>
      <c r="BG121">
        <f>'mk 001 10.3'!BG122</f>
        <v>1333314600</v>
      </c>
      <c r="BH121" t="str">
        <f>'mk 001 10.3'!BH122</f>
        <v>G</v>
      </c>
      <c r="BI121">
        <f>'mk 001 10.3'!BI122</f>
        <v>60</v>
      </c>
      <c r="BJ121">
        <f>'mk 001 10.3'!BJ122</f>
        <v>60</v>
      </c>
      <c r="BK121">
        <f>'mk 001 10.3'!BK122</f>
        <v>1300</v>
      </c>
      <c r="BL121" t="str">
        <f>'mk 001 10.3'!BL122</f>
        <v>SYSBATCH</v>
      </c>
      <c r="BM121">
        <f>'mk 001 10.3'!BM122</f>
        <v>0</v>
      </c>
      <c r="BN121">
        <f>'mk 001 10.3'!BN122</f>
        <v>0</v>
      </c>
    </row>
    <row r="122" spans="1:66" x14ac:dyDescent="0.35">
      <c r="A122">
        <f>'mk 001 10.3'!A123</f>
        <v>0</v>
      </c>
      <c r="B122">
        <f>'mk 001 10.3'!B123</f>
        <v>0</v>
      </c>
      <c r="C122" s="1" t="str">
        <f>'mk 001 10.3'!C123</f>
        <v>14/5/2569</v>
      </c>
      <c r="D122" s="1" t="str">
        <f>'mk 001 10.3'!D123</f>
        <v>14/5/2569</v>
      </c>
      <c r="E122">
        <f>'mk 001 10.3'!E123</f>
        <v>0</v>
      </c>
      <c r="F122" t="str">
        <f>'mk 001 10.3'!F123</f>
        <v>489M</v>
      </c>
      <c r="G122" t="str">
        <f>'mk 001 10.3'!G123</f>
        <v>Modern Trade (Makro)</v>
      </c>
      <c r="H122">
        <f>'mk 001 10.3'!H123</f>
        <v>0</v>
      </c>
      <c r="I122" t="str">
        <f>'mk 001 10.3'!I123</f>
        <v>หน่วยงานกลาง</v>
      </c>
      <c r="J122" t="str">
        <f>'mk 001 10.3'!J123</f>
        <v>F213  DMCW-รชล-พระพุทธบาท</v>
      </c>
      <c r="K122" t="str">
        <f>'mk 001 10.3'!K123</f>
        <v>00000  หน่วยงานกลาง</v>
      </c>
      <c r="L122">
        <f>'mk 001 10.3'!L123</f>
        <v>923</v>
      </c>
      <c r="M122">
        <f>'mk 001 10.3'!M123</f>
        <v>0</v>
      </c>
      <c r="N122" t="str">
        <f>'mk 001 10.3'!N123</f>
        <v>1A53004800</v>
      </c>
      <c r="O122" t="str">
        <f>'mk 001 10.3'!O123</f>
        <v>บมจ. ซีพี แอ็กซ์ตร้า สาขาลพบุรี</v>
      </c>
      <c r="P122">
        <f>'mk 001 10.3'!P123</f>
        <v>2</v>
      </c>
      <c r="Q122" t="str">
        <f>'mk 001 10.3'!Q123</f>
        <v>MAKRO 0047 ลพบุรี</v>
      </c>
      <c r="R122" s="1">
        <f>'mk 001 10.3'!R123</f>
        <v>244658</v>
      </c>
      <c r="S122" s="1" t="str">
        <f>'mk 001 10.3'!S123</f>
        <v>14/5/2569</v>
      </c>
      <c r="T122" t="str">
        <f>'mk 001 10.3'!T123</f>
        <v>H6954RMA0059202</v>
      </c>
      <c r="U122">
        <f>'mk 001 10.3'!U123</f>
        <v>23065143</v>
      </c>
      <c r="V122" t="str">
        <f>'mk 001 10.3'!V123</f>
        <v>สามชั้นสไลด์</v>
      </c>
      <c r="W122">
        <f>'mk 001 10.3'!W123</f>
        <v>400</v>
      </c>
      <c r="X122">
        <f>'mk 001 10.3'!X123</f>
        <v>400</v>
      </c>
      <c r="Y122">
        <f t="shared" si="1"/>
        <v>400</v>
      </c>
      <c r="Z122" s="13">
        <f>IF(COUNTIFS(แปลงข้อมูล!H:H,Q122,แปลงข้อมูล!I:I,U122,แปลงข้อมูล!J:J,V122)&gt;0,SUMIFS(แปลงข้อมูล!Q:Q,แปลงข้อมูล!I:I,U122,แปลงข้อมูล!H:H,Q122,แปลงข้อมูล!J:J,V122),'mk 001 10.3'!Z123)</f>
        <v>400</v>
      </c>
      <c r="AA122">
        <f>'mk 001 10.3'!AA123</f>
        <v>0</v>
      </c>
      <c r="AB122">
        <f>'mk 001 10.3'!AB123</f>
        <v>0</v>
      </c>
      <c r="AC122">
        <f>'mk 001 10.3'!AC123</f>
        <v>0</v>
      </c>
      <c r="AD122">
        <f>'mk 001 10.3'!AD123</f>
        <v>0</v>
      </c>
      <c r="AE122">
        <f>'mk 001 10.3'!AE123</f>
        <v>400</v>
      </c>
      <c r="AF122">
        <f>'mk 001 10.3'!AF123</f>
        <v>400</v>
      </c>
      <c r="AG122">
        <f>'mk 001 10.3'!AG123</f>
        <v>0</v>
      </c>
      <c r="AH122">
        <f>'mk 001 10.3'!AH123</f>
        <v>0</v>
      </c>
      <c r="AI122" t="str">
        <f>'mk 001 10.3'!AI123</f>
        <v>OPRCD489MOPRCD00000OPRCDF213OPRCD00000OPRCD923</v>
      </c>
      <c r="AJ122" t="str">
        <f>'mk 001 10.3'!AJ123</f>
        <v>ซื้อ / ขาย</v>
      </c>
      <c r="AK122" t="str">
        <f>'mk 001 10.3'!AK123</f>
        <v>Main proudct</v>
      </c>
      <c r="AL122" t="str">
        <f>'mk 001 10.3'!AL123</f>
        <v>Bulk Normal</v>
      </c>
      <c r="AM122" t="str">
        <f>'mk 001 10.3'!AM123</f>
        <v>สุกร</v>
      </c>
      <c r="AN122" t="str">
        <f>'mk 001 10.3'!AN123</f>
        <v>OT002 CC-Makro</v>
      </c>
      <c r="AO122" t="str">
        <f>'mk 001 10.3'!AO123</f>
        <v>MT</v>
      </c>
      <c r="AP122">
        <f>'mk 001 10.3'!AP123</f>
        <v>2</v>
      </c>
      <c r="AQ122">
        <f>'mk 001 10.3'!AQ123</f>
        <v>0</v>
      </c>
      <c r="AR122">
        <f>'mk 001 10.3'!AR123</f>
        <v>0</v>
      </c>
      <c r="AS122">
        <f>'mk 001 10.3'!AS123</f>
        <v>0</v>
      </c>
      <c r="AT122" t="str">
        <f>'mk 001 10.3'!AT123</f>
        <v>เบญจพจน์ เพชรเหลี่ยม</v>
      </c>
      <c r="AU122" t="str">
        <f>'mk 001 10.3'!AU123</f>
        <v>2026-05-11-13.33.46.000000</v>
      </c>
      <c r="AV122" t="str">
        <f>'mk 001 10.3'!AV123</f>
        <v>ก.ก.</v>
      </c>
      <c r="AW122" t="str">
        <f>'mk 001 10.3'!AW123</f>
        <v>ก.ก.</v>
      </c>
      <c r="AX122" t="str">
        <f>'mk 001 10.3'!AX123</f>
        <v xml:space="preserve"> </v>
      </c>
      <c r="AY122">
        <f>'mk 001 10.3'!AY123</f>
        <v>0</v>
      </c>
      <c r="AZ122" t="str">
        <f>'mk 001 10.3'!AZ123</f>
        <v>N</v>
      </c>
      <c r="BA122" s="22">
        <f>'mk 001 10.3'!BA123</f>
        <v>9044989536419</v>
      </c>
      <c r="BB122">
        <f>'mk 001 10.3'!BB123</f>
        <v>0</v>
      </c>
      <c r="BC122">
        <f>'mk 001 10.3'!BC123</f>
        <v>0</v>
      </c>
      <c r="BD122">
        <f>'mk 001 10.3'!BD123</f>
        <v>1</v>
      </c>
      <c r="BE122">
        <f>'mk 001 10.3'!BE123</f>
        <v>0</v>
      </c>
      <c r="BF122" t="str">
        <f>'mk 001 10.3'!BF123</f>
        <v>;0000</v>
      </c>
      <c r="BG122">
        <f>'mk 001 10.3'!BG123</f>
        <v>1333314600</v>
      </c>
      <c r="BH122" t="str">
        <f>'mk 001 10.3'!BH123</f>
        <v>G</v>
      </c>
      <c r="BI122">
        <f>'mk 001 10.3'!BI123</f>
        <v>400</v>
      </c>
      <c r="BJ122">
        <f>'mk 001 10.3'!BJ123</f>
        <v>400</v>
      </c>
      <c r="BK122">
        <f>'mk 001 10.3'!BK123</f>
        <v>1300</v>
      </c>
      <c r="BL122" t="str">
        <f>'mk 001 10.3'!BL123</f>
        <v>SYSBATCH</v>
      </c>
      <c r="BM122">
        <f>'mk 001 10.3'!BM123</f>
        <v>0</v>
      </c>
      <c r="BN122">
        <f>'mk 001 10.3'!BN123</f>
        <v>0</v>
      </c>
    </row>
    <row r="123" spans="1:66" x14ac:dyDescent="0.35">
      <c r="A123">
        <f>'mk 001 10.3'!A124</f>
        <v>0</v>
      </c>
      <c r="B123">
        <f>'mk 001 10.3'!B124</f>
        <v>0</v>
      </c>
      <c r="C123" s="1" t="str">
        <f>'mk 001 10.3'!C124</f>
        <v>14/5/2569</v>
      </c>
      <c r="D123" s="1" t="str">
        <f>'mk 001 10.3'!D124</f>
        <v>14/5/2569</v>
      </c>
      <c r="E123">
        <f>'mk 001 10.3'!E124</f>
        <v>0</v>
      </c>
      <c r="F123" t="str">
        <f>'mk 001 10.3'!F124</f>
        <v>489M</v>
      </c>
      <c r="G123" t="str">
        <f>'mk 001 10.3'!G124</f>
        <v>Modern Trade (Makro)</v>
      </c>
      <c r="H123">
        <f>'mk 001 10.3'!H124</f>
        <v>0</v>
      </c>
      <c r="I123" t="str">
        <f>'mk 001 10.3'!I124</f>
        <v>หน่วยงานกลาง</v>
      </c>
      <c r="J123" t="str">
        <f>'mk 001 10.3'!J124</f>
        <v>F213  DMCW-รชล-พระพุทธบาท</v>
      </c>
      <c r="K123" t="str">
        <f>'mk 001 10.3'!K124</f>
        <v>00000  หน่วยงานกลาง</v>
      </c>
      <c r="L123">
        <f>'mk 001 10.3'!L124</f>
        <v>923</v>
      </c>
      <c r="M123">
        <f>'mk 001 10.3'!M124</f>
        <v>0</v>
      </c>
      <c r="N123" t="str">
        <f>'mk 001 10.3'!N124</f>
        <v>1A53004800</v>
      </c>
      <c r="O123" t="str">
        <f>'mk 001 10.3'!O124</f>
        <v>บมจ. ซีพี แอ็กซ์ตร้า สาขาลพบุรี</v>
      </c>
      <c r="P123">
        <f>'mk 001 10.3'!P124</f>
        <v>2</v>
      </c>
      <c r="Q123" t="str">
        <f>'mk 001 10.3'!Q124</f>
        <v>MAKRO 0047 ลพบุรี</v>
      </c>
      <c r="R123" s="1">
        <f>'mk 001 10.3'!R124</f>
        <v>244658</v>
      </c>
      <c r="S123" s="1" t="str">
        <f>'mk 001 10.3'!S124</f>
        <v>14/5/2569</v>
      </c>
      <c r="T123" t="str">
        <f>'mk 001 10.3'!T124</f>
        <v>H6954RMA0059202</v>
      </c>
      <c r="U123">
        <f>'mk 001 10.3'!U124</f>
        <v>23104868</v>
      </c>
      <c r="V123" t="str">
        <f>'mk 001 10.3'!V124</f>
        <v>เนื้อหมูตัดชิ้น(M)</v>
      </c>
      <c r="W123">
        <f>'mk 001 10.3'!W124</f>
        <v>2</v>
      </c>
      <c r="X123">
        <f>'mk 001 10.3'!X124</f>
        <v>10</v>
      </c>
      <c r="Y123">
        <f t="shared" si="1"/>
        <v>2</v>
      </c>
      <c r="Z123" s="13">
        <f>IF(COUNTIFS(แปลงข้อมูล!H:H,Q123,แปลงข้อมูล!I:I,U123,แปลงข้อมูล!J:J,V123)&gt;0,SUMIFS(แปลงข้อมูล!Q:Q,แปลงข้อมูล!I:I,U123,แปลงข้อมูล!H:H,Q123,แปลงข้อมูล!J:J,V123),'mk 001 10.3'!Z124)</f>
        <v>10</v>
      </c>
      <c r="AA123">
        <f>'mk 001 10.3'!AA124</f>
        <v>0</v>
      </c>
      <c r="AB123">
        <f>'mk 001 10.3'!AB124</f>
        <v>0</v>
      </c>
      <c r="AC123">
        <f>'mk 001 10.3'!AC124</f>
        <v>0</v>
      </c>
      <c r="AD123">
        <f>'mk 001 10.3'!AD124</f>
        <v>0</v>
      </c>
      <c r="AE123">
        <f>'mk 001 10.3'!AE124</f>
        <v>2</v>
      </c>
      <c r="AF123">
        <f>'mk 001 10.3'!AF124</f>
        <v>10</v>
      </c>
      <c r="AG123">
        <f>'mk 001 10.3'!AG124</f>
        <v>0</v>
      </c>
      <c r="AH123">
        <f>'mk 001 10.3'!AH124</f>
        <v>0</v>
      </c>
      <c r="AI123" t="str">
        <f>'mk 001 10.3'!AI124</f>
        <v>OPRCD489MOPRCD00000OPRCDF213OPRCD00000OPRCD923</v>
      </c>
      <c r="AJ123" t="str">
        <f>'mk 001 10.3'!AJ124</f>
        <v>ซื้อ / ขาย</v>
      </c>
      <c r="AK123" t="str">
        <f>'mk 001 10.3'!AK124</f>
        <v>Main proudct</v>
      </c>
      <c r="AL123" t="str">
        <f>'mk 001 10.3'!AL124</f>
        <v>Bulk Normal</v>
      </c>
      <c r="AM123" t="str">
        <f>'mk 001 10.3'!AM124</f>
        <v>สุกร</v>
      </c>
      <c r="AN123" t="str">
        <f>'mk 001 10.3'!AN124</f>
        <v>OT002 CC-Makro</v>
      </c>
      <c r="AO123" t="str">
        <f>'mk 001 10.3'!AO124</f>
        <v>MT</v>
      </c>
      <c r="AP123">
        <f>'mk 001 10.3'!AP124</f>
        <v>2</v>
      </c>
      <c r="AQ123">
        <f>'mk 001 10.3'!AQ124</f>
        <v>0</v>
      </c>
      <c r="AR123">
        <f>'mk 001 10.3'!AR124</f>
        <v>0</v>
      </c>
      <c r="AS123">
        <f>'mk 001 10.3'!AS124</f>
        <v>0</v>
      </c>
      <c r="AT123" t="str">
        <f>'mk 001 10.3'!AT124</f>
        <v>เบญจพจน์ เพชรเหลี่ยม</v>
      </c>
      <c r="AU123" t="str">
        <f>'mk 001 10.3'!AU124</f>
        <v>2026-05-11-13.33.46.000000</v>
      </c>
      <c r="AV123" t="str">
        <f>'mk 001 10.3'!AV124</f>
        <v>ถุง</v>
      </c>
      <c r="AW123" t="str">
        <f>'mk 001 10.3'!AW124</f>
        <v>ก.ก.</v>
      </c>
      <c r="AX123" t="str">
        <f>'mk 001 10.3'!AX124</f>
        <v xml:space="preserve"> </v>
      </c>
      <c r="AY123">
        <f>'mk 001 10.3'!AY124</f>
        <v>0</v>
      </c>
      <c r="AZ123" t="str">
        <f>'mk 001 10.3'!AZ124</f>
        <v>N</v>
      </c>
      <c r="BA123" s="22">
        <f>'mk 001 10.3'!BA124</f>
        <v>9044989536419</v>
      </c>
      <c r="BB123">
        <f>'mk 001 10.3'!BB124</f>
        <v>0</v>
      </c>
      <c r="BC123">
        <f>'mk 001 10.3'!BC124</f>
        <v>0</v>
      </c>
      <c r="BD123">
        <f>'mk 001 10.3'!BD124</f>
        <v>1</v>
      </c>
      <c r="BE123">
        <f>'mk 001 10.3'!BE124</f>
        <v>0</v>
      </c>
      <c r="BF123" t="str">
        <f>'mk 001 10.3'!BF124</f>
        <v>;0000</v>
      </c>
      <c r="BG123">
        <f>'mk 001 10.3'!BG124</f>
        <v>1333314600</v>
      </c>
      <c r="BH123" t="str">
        <f>'mk 001 10.3'!BH124</f>
        <v>G</v>
      </c>
      <c r="BI123">
        <f>'mk 001 10.3'!BI124</f>
        <v>2</v>
      </c>
      <c r="BJ123">
        <f>'mk 001 10.3'!BJ124</f>
        <v>10</v>
      </c>
      <c r="BK123">
        <f>'mk 001 10.3'!BK124</f>
        <v>1300</v>
      </c>
      <c r="BL123" t="str">
        <f>'mk 001 10.3'!BL124</f>
        <v>SYSBATCH</v>
      </c>
      <c r="BM123">
        <f>'mk 001 10.3'!BM124</f>
        <v>0</v>
      </c>
      <c r="BN123">
        <f>'mk 001 10.3'!BN124</f>
        <v>0</v>
      </c>
    </row>
    <row r="124" spans="1:66" x14ac:dyDescent="0.35">
      <c r="A124">
        <f>'mk 001 10.3'!A125</f>
        <v>0</v>
      </c>
      <c r="B124">
        <f>'mk 001 10.3'!B125</f>
        <v>0</v>
      </c>
      <c r="C124" s="1" t="str">
        <f>'mk 001 10.3'!C125</f>
        <v>14/5/2569</v>
      </c>
      <c r="D124" s="1" t="str">
        <f>'mk 001 10.3'!D125</f>
        <v>14/5/2569</v>
      </c>
      <c r="E124">
        <f>'mk 001 10.3'!E125</f>
        <v>0</v>
      </c>
      <c r="F124" t="str">
        <f>'mk 001 10.3'!F125</f>
        <v>489M</v>
      </c>
      <c r="G124" t="str">
        <f>'mk 001 10.3'!G125</f>
        <v>Modern Trade (Makro)</v>
      </c>
      <c r="H124">
        <f>'mk 001 10.3'!H125</f>
        <v>0</v>
      </c>
      <c r="I124" t="str">
        <f>'mk 001 10.3'!I125</f>
        <v>หน่วยงานกลาง</v>
      </c>
      <c r="J124" t="str">
        <f>'mk 001 10.3'!J125</f>
        <v>F213  DMCW-รชล-พระพุทธบาท</v>
      </c>
      <c r="K124" t="str">
        <f>'mk 001 10.3'!K125</f>
        <v>00000  หน่วยงานกลาง</v>
      </c>
      <c r="L124">
        <f>'mk 001 10.3'!L125</f>
        <v>923</v>
      </c>
      <c r="M124">
        <f>'mk 001 10.3'!M125</f>
        <v>0</v>
      </c>
      <c r="N124" t="str">
        <f>'mk 001 10.3'!N125</f>
        <v>1A53004800</v>
      </c>
      <c r="O124" t="str">
        <f>'mk 001 10.3'!O125</f>
        <v>บมจ. ซีพี แอ็กซ์ตร้า สาขาลพบุรี</v>
      </c>
      <c r="P124">
        <f>'mk 001 10.3'!P125</f>
        <v>2</v>
      </c>
      <c r="Q124" t="str">
        <f>'mk 001 10.3'!Q125</f>
        <v>MAKRO 0047 ลพบุรี</v>
      </c>
      <c r="R124" s="1">
        <f>'mk 001 10.3'!R125</f>
        <v>244658</v>
      </c>
      <c r="S124" s="1" t="str">
        <f>'mk 001 10.3'!S125</f>
        <v>14/5/2569</v>
      </c>
      <c r="T124" t="str">
        <f>'mk 001 10.3'!T125</f>
        <v>H6954RMA0059202</v>
      </c>
      <c r="U124">
        <f>'mk 001 10.3'!U125</f>
        <v>23087679</v>
      </c>
      <c r="V124" t="str">
        <f>'mk 001 10.3'!V125</f>
        <v>หนังหมูรวม(M)</v>
      </c>
      <c r="W124">
        <f>'mk 001 10.3'!W125</f>
        <v>5</v>
      </c>
      <c r="X124">
        <f>'mk 001 10.3'!X125</f>
        <v>5</v>
      </c>
      <c r="Y124">
        <f t="shared" si="1"/>
        <v>5</v>
      </c>
      <c r="Z124" s="13">
        <f>IF(COUNTIFS(แปลงข้อมูล!H:H,Q124,แปลงข้อมูล!I:I,U124,แปลงข้อมูล!J:J,V124)&gt;0,SUMIFS(แปลงข้อมูล!Q:Q,แปลงข้อมูล!I:I,U124,แปลงข้อมูล!H:H,Q124,แปลงข้อมูล!J:J,V124),'mk 001 10.3'!Z125)</f>
        <v>5</v>
      </c>
      <c r="AA124">
        <f>'mk 001 10.3'!AA125</f>
        <v>0</v>
      </c>
      <c r="AB124">
        <f>'mk 001 10.3'!AB125</f>
        <v>0</v>
      </c>
      <c r="AC124">
        <f>'mk 001 10.3'!AC125</f>
        <v>0</v>
      </c>
      <c r="AD124">
        <f>'mk 001 10.3'!AD125</f>
        <v>0</v>
      </c>
      <c r="AE124">
        <f>'mk 001 10.3'!AE125</f>
        <v>5</v>
      </c>
      <c r="AF124">
        <f>'mk 001 10.3'!AF125</f>
        <v>5</v>
      </c>
      <c r="AG124">
        <f>'mk 001 10.3'!AG125</f>
        <v>0</v>
      </c>
      <c r="AH124">
        <f>'mk 001 10.3'!AH125</f>
        <v>0</v>
      </c>
      <c r="AI124" t="str">
        <f>'mk 001 10.3'!AI125</f>
        <v>OPRCD489MOPRCD00000OPRCDF213OPRCD00000OPRCD923</v>
      </c>
      <c r="AJ124" t="str">
        <f>'mk 001 10.3'!AJ125</f>
        <v>ซื้อ / ขาย</v>
      </c>
      <c r="AK124" t="str">
        <f>'mk 001 10.3'!AK125</f>
        <v>By proudct</v>
      </c>
      <c r="AL124" t="str">
        <f>'mk 001 10.3'!AL125</f>
        <v>Bulk Normal</v>
      </c>
      <c r="AM124" t="str">
        <f>'mk 001 10.3'!AM125</f>
        <v>สุกร</v>
      </c>
      <c r="AN124" t="str">
        <f>'mk 001 10.3'!AN125</f>
        <v>OT002 CC-Makro</v>
      </c>
      <c r="AO124" t="str">
        <f>'mk 001 10.3'!AO125</f>
        <v>MT</v>
      </c>
      <c r="AP124">
        <f>'mk 001 10.3'!AP125</f>
        <v>2</v>
      </c>
      <c r="AQ124">
        <f>'mk 001 10.3'!AQ125</f>
        <v>0</v>
      </c>
      <c r="AR124">
        <f>'mk 001 10.3'!AR125</f>
        <v>0</v>
      </c>
      <c r="AS124">
        <f>'mk 001 10.3'!AS125</f>
        <v>0</v>
      </c>
      <c r="AT124" t="str">
        <f>'mk 001 10.3'!AT125</f>
        <v>เบญจพจน์ เพชรเหลี่ยม</v>
      </c>
      <c r="AU124" t="str">
        <f>'mk 001 10.3'!AU125</f>
        <v>2026-05-11-13.33.46.000000</v>
      </c>
      <c r="AV124" t="str">
        <f>'mk 001 10.3'!AV125</f>
        <v>ก.ก.</v>
      </c>
      <c r="AW124" t="str">
        <f>'mk 001 10.3'!AW125</f>
        <v>ก.ก.</v>
      </c>
      <c r="AX124" t="str">
        <f>'mk 001 10.3'!AX125</f>
        <v xml:space="preserve"> </v>
      </c>
      <c r="AY124">
        <f>'mk 001 10.3'!AY125</f>
        <v>0</v>
      </c>
      <c r="AZ124" t="str">
        <f>'mk 001 10.3'!AZ125</f>
        <v>N</v>
      </c>
      <c r="BA124" s="22">
        <f>'mk 001 10.3'!BA125</f>
        <v>9044989536419</v>
      </c>
      <c r="BB124">
        <f>'mk 001 10.3'!BB125</f>
        <v>0</v>
      </c>
      <c r="BC124">
        <f>'mk 001 10.3'!BC125</f>
        <v>0</v>
      </c>
      <c r="BD124">
        <f>'mk 001 10.3'!BD125</f>
        <v>1</v>
      </c>
      <c r="BE124">
        <f>'mk 001 10.3'!BE125</f>
        <v>0</v>
      </c>
      <c r="BF124" t="str">
        <f>'mk 001 10.3'!BF125</f>
        <v>;0000</v>
      </c>
      <c r="BG124">
        <f>'mk 001 10.3'!BG125</f>
        <v>1333314600</v>
      </c>
      <c r="BH124" t="str">
        <f>'mk 001 10.3'!BH125</f>
        <v>G</v>
      </c>
      <c r="BI124">
        <f>'mk 001 10.3'!BI125</f>
        <v>5</v>
      </c>
      <c r="BJ124">
        <f>'mk 001 10.3'!BJ125</f>
        <v>5</v>
      </c>
      <c r="BK124">
        <f>'mk 001 10.3'!BK125</f>
        <v>1300</v>
      </c>
      <c r="BL124" t="str">
        <f>'mk 001 10.3'!BL125</f>
        <v>SYSBATCH</v>
      </c>
      <c r="BM124">
        <f>'mk 001 10.3'!BM125</f>
        <v>0</v>
      </c>
      <c r="BN124">
        <f>'mk 001 10.3'!BN125</f>
        <v>0</v>
      </c>
    </row>
    <row r="125" spans="1:66" x14ac:dyDescent="0.35">
      <c r="A125">
        <f>'mk 001 10.3'!A126</f>
        <v>0</v>
      </c>
      <c r="B125">
        <f>'mk 001 10.3'!B126</f>
        <v>0</v>
      </c>
      <c r="C125" s="1" t="str">
        <f>'mk 001 10.3'!C126</f>
        <v>14/5/2569</v>
      </c>
      <c r="D125" s="1" t="str">
        <f>'mk 001 10.3'!D126</f>
        <v>14/5/2569</v>
      </c>
      <c r="E125">
        <f>'mk 001 10.3'!E126</f>
        <v>0</v>
      </c>
      <c r="F125" t="str">
        <f>'mk 001 10.3'!F126</f>
        <v>489M</v>
      </c>
      <c r="G125" t="str">
        <f>'mk 001 10.3'!G126</f>
        <v>Modern Trade (Makro)</v>
      </c>
      <c r="H125">
        <f>'mk 001 10.3'!H126</f>
        <v>0</v>
      </c>
      <c r="I125" t="str">
        <f>'mk 001 10.3'!I126</f>
        <v>หน่วยงานกลาง</v>
      </c>
      <c r="J125" t="str">
        <f>'mk 001 10.3'!J126</f>
        <v>F213  DMCW-รชล-พระพุทธบาท</v>
      </c>
      <c r="K125" t="str">
        <f>'mk 001 10.3'!K126</f>
        <v>00000  หน่วยงานกลาง</v>
      </c>
      <c r="L125">
        <f>'mk 001 10.3'!L126</f>
        <v>923</v>
      </c>
      <c r="M125">
        <f>'mk 001 10.3'!M126</f>
        <v>0</v>
      </c>
      <c r="N125" t="str">
        <f>'mk 001 10.3'!N126</f>
        <v>1A53004800</v>
      </c>
      <c r="O125" t="str">
        <f>'mk 001 10.3'!O126</f>
        <v>บมจ. ซีพี แอ็กซ์ตร้า สาขาลพบุรี</v>
      </c>
      <c r="P125">
        <f>'mk 001 10.3'!P126</f>
        <v>2</v>
      </c>
      <c r="Q125" t="str">
        <f>'mk 001 10.3'!Q126</f>
        <v>MAKRO 0047 ลพบุรี</v>
      </c>
      <c r="R125" s="1">
        <f>'mk 001 10.3'!R126</f>
        <v>244658</v>
      </c>
      <c r="S125" s="1" t="str">
        <f>'mk 001 10.3'!S126</f>
        <v>14/5/2569</v>
      </c>
      <c r="T125" t="str">
        <f>'mk 001 10.3'!T126</f>
        <v>H6954RMA0059202</v>
      </c>
      <c r="U125">
        <f>'mk 001 10.3'!U126</f>
        <v>23065140</v>
      </c>
      <c r="V125" t="str">
        <f>'mk 001 10.3'!V126</f>
        <v>สะโพกสไลด์</v>
      </c>
      <c r="W125">
        <f>'mk 001 10.3'!W126</f>
        <v>400</v>
      </c>
      <c r="X125">
        <f>'mk 001 10.3'!X126</f>
        <v>400</v>
      </c>
      <c r="Y125">
        <f t="shared" si="1"/>
        <v>400</v>
      </c>
      <c r="Z125" s="13">
        <f>IF(COUNTIFS(แปลงข้อมูล!H:H,Q125,แปลงข้อมูล!I:I,U125,แปลงข้อมูล!J:J,V125)&gt;0,SUMIFS(แปลงข้อมูล!Q:Q,แปลงข้อมูล!I:I,U125,แปลงข้อมูล!H:H,Q125,แปลงข้อมูล!J:J,V125),'mk 001 10.3'!Z126)</f>
        <v>400</v>
      </c>
      <c r="AA125">
        <f>'mk 001 10.3'!AA126</f>
        <v>0</v>
      </c>
      <c r="AB125">
        <f>'mk 001 10.3'!AB126</f>
        <v>0</v>
      </c>
      <c r="AC125">
        <f>'mk 001 10.3'!AC126</f>
        <v>0</v>
      </c>
      <c r="AD125">
        <f>'mk 001 10.3'!AD126</f>
        <v>0</v>
      </c>
      <c r="AE125">
        <f>'mk 001 10.3'!AE126</f>
        <v>400</v>
      </c>
      <c r="AF125">
        <f>'mk 001 10.3'!AF126</f>
        <v>400</v>
      </c>
      <c r="AG125">
        <f>'mk 001 10.3'!AG126</f>
        <v>0</v>
      </c>
      <c r="AH125">
        <f>'mk 001 10.3'!AH126</f>
        <v>0</v>
      </c>
      <c r="AI125" t="str">
        <f>'mk 001 10.3'!AI126</f>
        <v>OPRCD489MOPRCD00000OPRCDF213OPRCD00000OPRCD923</v>
      </c>
      <c r="AJ125" t="str">
        <f>'mk 001 10.3'!AJ126</f>
        <v>ซื้อ / ขาย</v>
      </c>
      <c r="AK125" t="str">
        <f>'mk 001 10.3'!AK126</f>
        <v>Main proudct</v>
      </c>
      <c r="AL125" t="str">
        <f>'mk 001 10.3'!AL126</f>
        <v>Bulk Normal</v>
      </c>
      <c r="AM125" t="str">
        <f>'mk 001 10.3'!AM126</f>
        <v>สุกร</v>
      </c>
      <c r="AN125" t="str">
        <f>'mk 001 10.3'!AN126</f>
        <v>OT002 CC-Makro</v>
      </c>
      <c r="AO125" t="str">
        <f>'mk 001 10.3'!AO126</f>
        <v>MT</v>
      </c>
      <c r="AP125">
        <f>'mk 001 10.3'!AP126</f>
        <v>2</v>
      </c>
      <c r="AQ125">
        <f>'mk 001 10.3'!AQ126</f>
        <v>0</v>
      </c>
      <c r="AR125">
        <f>'mk 001 10.3'!AR126</f>
        <v>0</v>
      </c>
      <c r="AS125">
        <f>'mk 001 10.3'!AS126</f>
        <v>0</v>
      </c>
      <c r="AT125" t="str">
        <f>'mk 001 10.3'!AT126</f>
        <v>เบญจพจน์ เพชรเหลี่ยม</v>
      </c>
      <c r="AU125" t="str">
        <f>'mk 001 10.3'!AU126</f>
        <v>2026-05-11-13.33.46.000000</v>
      </c>
      <c r="AV125" t="str">
        <f>'mk 001 10.3'!AV126</f>
        <v>ก.ก.</v>
      </c>
      <c r="AW125" t="str">
        <f>'mk 001 10.3'!AW126</f>
        <v>ก.ก.</v>
      </c>
      <c r="AX125" t="str">
        <f>'mk 001 10.3'!AX126</f>
        <v xml:space="preserve"> </v>
      </c>
      <c r="AY125">
        <f>'mk 001 10.3'!AY126</f>
        <v>0</v>
      </c>
      <c r="AZ125" t="str">
        <f>'mk 001 10.3'!AZ126</f>
        <v>N</v>
      </c>
      <c r="BA125" s="22">
        <f>'mk 001 10.3'!BA126</f>
        <v>9044989536419</v>
      </c>
      <c r="BB125">
        <f>'mk 001 10.3'!BB126</f>
        <v>0</v>
      </c>
      <c r="BC125">
        <f>'mk 001 10.3'!BC126</f>
        <v>0</v>
      </c>
      <c r="BD125">
        <f>'mk 001 10.3'!BD126</f>
        <v>1</v>
      </c>
      <c r="BE125">
        <f>'mk 001 10.3'!BE126</f>
        <v>0</v>
      </c>
      <c r="BF125" t="str">
        <f>'mk 001 10.3'!BF126</f>
        <v>;0000</v>
      </c>
      <c r="BG125">
        <f>'mk 001 10.3'!BG126</f>
        <v>1333314600</v>
      </c>
      <c r="BH125" t="str">
        <f>'mk 001 10.3'!BH126</f>
        <v>G</v>
      </c>
      <c r="BI125">
        <f>'mk 001 10.3'!BI126</f>
        <v>400</v>
      </c>
      <c r="BJ125">
        <f>'mk 001 10.3'!BJ126</f>
        <v>400</v>
      </c>
      <c r="BK125">
        <f>'mk 001 10.3'!BK126</f>
        <v>1300</v>
      </c>
      <c r="BL125" t="str">
        <f>'mk 001 10.3'!BL126</f>
        <v>SYSBATCH</v>
      </c>
      <c r="BM125">
        <f>'mk 001 10.3'!BM126</f>
        <v>0</v>
      </c>
      <c r="BN125">
        <f>'mk 001 10.3'!BN126</f>
        <v>0</v>
      </c>
    </row>
    <row r="126" spans="1:66" x14ac:dyDescent="0.35">
      <c r="A126">
        <f>'mk 001 10.3'!A127</f>
        <v>0</v>
      </c>
      <c r="B126">
        <f>'mk 001 10.3'!B127</f>
        <v>0</v>
      </c>
      <c r="C126" s="1" t="str">
        <f>'mk 001 10.3'!C127</f>
        <v>14/5/2569</v>
      </c>
      <c r="D126" s="1" t="str">
        <f>'mk 001 10.3'!D127</f>
        <v>14/5/2569</v>
      </c>
      <c r="E126">
        <f>'mk 001 10.3'!E127</f>
        <v>0</v>
      </c>
      <c r="F126" t="str">
        <f>'mk 001 10.3'!F127</f>
        <v>489M</v>
      </c>
      <c r="G126" t="str">
        <f>'mk 001 10.3'!G127</f>
        <v>Modern Trade (Makro)</v>
      </c>
      <c r="H126">
        <f>'mk 001 10.3'!H127</f>
        <v>0</v>
      </c>
      <c r="I126" t="str">
        <f>'mk 001 10.3'!I127</f>
        <v>หน่วยงานกลาง</v>
      </c>
      <c r="J126" t="str">
        <f>'mk 001 10.3'!J127</f>
        <v>F213  DMCW-รชล-พระพุทธบาท</v>
      </c>
      <c r="K126" t="str">
        <f>'mk 001 10.3'!K127</f>
        <v>00000  หน่วยงานกลาง</v>
      </c>
      <c r="L126">
        <f>'mk 001 10.3'!L127</f>
        <v>923</v>
      </c>
      <c r="M126">
        <f>'mk 001 10.3'!M127</f>
        <v>0</v>
      </c>
      <c r="N126" t="str">
        <f>'mk 001 10.3'!N127</f>
        <v>1A53004800</v>
      </c>
      <c r="O126" t="str">
        <f>'mk 001 10.3'!O127</f>
        <v>บมจ. ซีพี แอ็กซ์ตร้า สาขาลพบุรี</v>
      </c>
      <c r="P126">
        <f>'mk 001 10.3'!P127</f>
        <v>2</v>
      </c>
      <c r="Q126" t="str">
        <f>'mk 001 10.3'!Q127</f>
        <v>MAKRO 0047 ลพบุรี</v>
      </c>
      <c r="R126" s="1">
        <f>'mk 001 10.3'!R127</f>
        <v>244658</v>
      </c>
      <c r="S126" s="1" t="str">
        <f>'mk 001 10.3'!S127</f>
        <v>14/5/2569</v>
      </c>
      <c r="T126" t="str">
        <f>'mk 001 10.3'!T127</f>
        <v>H6954RMA0059202</v>
      </c>
      <c r="U126">
        <f>'mk 001 10.3'!U127</f>
        <v>23057824</v>
      </c>
      <c r="V126" t="str">
        <f>'mk 001 10.3'!V127</f>
        <v>สามชั้น(M)</v>
      </c>
      <c r="W126">
        <f>'mk 001 10.3'!W127</f>
        <v>50</v>
      </c>
      <c r="X126">
        <f>'mk 001 10.3'!X127</f>
        <v>50</v>
      </c>
      <c r="Y126">
        <f t="shared" si="1"/>
        <v>50</v>
      </c>
      <c r="Z126" s="13">
        <f>IF(COUNTIFS(แปลงข้อมูล!H:H,Q126,แปลงข้อมูล!I:I,U126,แปลงข้อมูล!J:J,V126)&gt;0,SUMIFS(แปลงข้อมูล!Q:Q,แปลงข้อมูล!I:I,U126,แปลงข้อมูล!H:H,Q126,แปลงข้อมูล!J:J,V126),'mk 001 10.3'!Z127)</f>
        <v>50</v>
      </c>
      <c r="AA126">
        <f>'mk 001 10.3'!AA127</f>
        <v>0</v>
      </c>
      <c r="AB126">
        <f>'mk 001 10.3'!AB127</f>
        <v>0</v>
      </c>
      <c r="AC126">
        <f>'mk 001 10.3'!AC127</f>
        <v>0</v>
      </c>
      <c r="AD126">
        <f>'mk 001 10.3'!AD127</f>
        <v>0</v>
      </c>
      <c r="AE126">
        <f>'mk 001 10.3'!AE127</f>
        <v>50</v>
      </c>
      <c r="AF126">
        <f>'mk 001 10.3'!AF127</f>
        <v>50</v>
      </c>
      <c r="AG126">
        <f>'mk 001 10.3'!AG127</f>
        <v>0</v>
      </c>
      <c r="AH126">
        <f>'mk 001 10.3'!AH127</f>
        <v>0</v>
      </c>
      <c r="AI126" t="str">
        <f>'mk 001 10.3'!AI127</f>
        <v>OPRCD489MOPRCD00000OPRCDF213OPRCD00000OPRCD923</v>
      </c>
      <c r="AJ126" t="str">
        <f>'mk 001 10.3'!AJ127</f>
        <v>ซื้อ / ขาย</v>
      </c>
      <c r="AK126" t="str">
        <f>'mk 001 10.3'!AK127</f>
        <v>Main proudct</v>
      </c>
      <c r="AL126" t="str">
        <f>'mk 001 10.3'!AL127</f>
        <v>Bulk Normal</v>
      </c>
      <c r="AM126" t="str">
        <f>'mk 001 10.3'!AM127</f>
        <v>สุกร</v>
      </c>
      <c r="AN126" t="str">
        <f>'mk 001 10.3'!AN127</f>
        <v>OT002 CC-Makro</v>
      </c>
      <c r="AO126" t="str">
        <f>'mk 001 10.3'!AO127</f>
        <v>MT</v>
      </c>
      <c r="AP126">
        <f>'mk 001 10.3'!AP127</f>
        <v>2</v>
      </c>
      <c r="AQ126">
        <f>'mk 001 10.3'!AQ127</f>
        <v>0</v>
      </c>
      <c r="AR126">
        <f>'mk 001 10.3'!AR127</f>
        <v>0</v>
      </c>
      <c r="AS126">
        <f>'mk 001 10.3'!AS127</f>
        <v>0</v>
      </c>
      <c r="AT126" t="str">
        <f>'mk 001 10.3'!AT127</f>
        <v>เบญจพจน์ เพชรเหลี่ยม</v>
      </c>
      <c r="AU126" t="str">
        <f>'mk 001 10.3'!AU127</f>
        <v>2026-05-11-13.33.46.000000</v>
      </c>
      <c r="AV126" t="str">
        <f>'mk 001 10.3'!AV127</f>
        <v>ก.ก.</v>
      </c>
      <c r="AW126" t="str">
        <f>'mk 001 10.3'!AW127</f>
        <v>ก.ก.</v>
      </c>
      <c r="AX126" t="str">
        <f>'mk 001 10.3'!AX127</f>
        <v xml:space="preserve"> </v>
      </c>
      <c r="AY126">
        <f>'mk 001 10.3'!AY127</f>
        <v>0</v>
      </c>
      <c r="AZ126" t="str">
        <f>'mk 001 10.3'!AZ127</f>
        <v>N</v>
      </c>
      <c r="BA126" s="22">
        <f>'mk 001 10.3'!BA127</f>
        <v>9044989536419</v>
      </c>
      <c r="BB126">
        <f>'mk 001 10.3'!BB127</f>
        <v>0</v>
      </c>
      <c r="BC126">
        <f>'mk 001 10.3'!BC127</f>
        <v>0</v>
      </c>
      <c r="BD126">
        <f>'mk 001 10.3'!BD127</f>
        <v>1</v>
      </c>
      <c r="BE126">
        <f>'mk 001 10.3'!BE127</f>
        <v>0</v>
      </c>
      <c r="BF126" t="str">
        <f>'mk 001 10.3'!BF127</f>
        <v>;0000</v>
      </c>
      <c r="BG126">
        <f>'mk 001 10.3'!BG127</f>
        <v>1333314600</v>
      </c>
      <c r="BH126" t="str">
        <f>'mk 001 10.3'!BH127</f>
        <v>G</v>
      </c>
      <c r="BI126">
        <f>'mk 001 10.3'!BI127</f>
        <v>50</v>
      </c>
      <c r="BJ126">
        <f>'mk 001 10.3'!BJ127</f>
        <v>50</v>
      </c>
      <c r="BK126">
        <f>'mk 001 10.3'!BK127</f>
        <v>1300</v>
      </c>
      <c r="BL126" t="str">
        <f>'mk 001 10.3'!BL127</f>
        <v>SYSBATCH</v>
      </c>
      <c r="BM126">
        <f>'mk 001 10.3'!BM127</f>
        <v>0</v>
      </c>
      <c r="BN126">
        <f>'mk 001 10.3'!BN127</f>
        <v>0</v>
      </c>
    </row>
    <row r="127" spans="1:66" x14ac:dyDescent="0.35">
      <c r="A127">
        <f>'mk 001 10.3'!A128</f>
        <v>0</v>
      </c>
      <c r="B127">
        <f>'mk 001 10.3'!B128</f>
        <v>0</v>
      </c>
      <c r="C127" s="1" t="str">
        <f>'mk 001 10.3'!C128</f>
        <v>14/5/2569</v>
      </c>
      <c r="D127" s="1" t="str">
        <f>'mk 001 10.3'!D128</f>
        <v>14/5/2569</v>
      </c>
      <c r="E127">
        <f>'mk 001 10.3'!E128</f>
        <v>0</v>
      </c>
      <c r="F127" t="str">
        <f>'mk 001 10.3'!F128</f>
        <v>489M</v>
      </c>
      <c r="G127" t="str">
        <f>'mk 001 10.3'!G128</f>
        <v>Modern Trade (Makro)</v>
      </c>
      <c r="H127">
        <f>'mk 001 10.3'!H128</f>
        <v>0</v>
      </c>
      <c r="I127" t="str">
        <f>'mk 001 10.3'!I128</f>
        <v>หน่วยงานกลาง</v>
      </c>
      <c r="J127" t="str">
        <f>'mk 001 10.3'!J128</f>
        <v>F213  DMCW-รชล-พระพุทธบาท</v>
      </c>
      <c r="K127" t="str">
        <f>'mk 001 10.3'!K128</f>
        <v>00000  หน่วยงานกลาง</v>
      </c>
      <c r="L127">
        <f>'mk 001 10.3'!L128</f>
        <v>923</v>
      </c>
      <c r="M127">
        <f>'mk 001 10.3'!M128</f>
        <v>0</v>
      </c>
      <c r="N127" t="str">
        <f>'mk 001 10.3'!N128</f>
        <v>1A53004800</v>
      </c>
      <c r="O127" t="str">
        <f>'mk 001 10.3'!O128</f>
        <v>บมจ. ซีพี แอ็กซ์ตร้า สาขาลพบุรี</v>
      </c>
      <c r="P127">
        <f>'mk 001 10.3'!P128</f>
        <v>2</v>
      </c>
      <c r="Q127" t="str">
        <f>'mk 001 10.3'!Q128</f>
        <v>MAKRO 0047 ลพบุรี</v>
      </c>
      <c r="R127" s="1">
        <f>'mk 001 10.3'!R128</f>
        <v>244658</v>
      </c>
      <c r="S127" s="1" t="str">
        <f>'mk 001 10.3'!S128</f>
        <v>14/5/2569</v>
      </c>
      <c r="T127" t="str">
        <f>'mk 001 10.3'!T128</f>
        <v>H6954RMA0059202</v>
      </c>
      <c r="U127">
        <f>'mk 001 10.3'!U128</f>
        <v>23058584</v>
      </c>
      <c r="V127" t="str">
        <f>'mk 001 10.3'!V128</f>
        <v>ตับหมู (M)</v>
      </c>
      <c r="W127">
        <f>'mk 001 10.3'!W128</f>
        <v>30</v>
      </c>
      <c r="X127">
        <f>'mk 001 10.3'!X128</f>
        <v>30</v>
      </c>
      <c r="Y127">
        <f t="shared" si="1"/>
        <v>30</v>
      </c>
      <c r="Z127" s="13">
        <f>IF(COUNTIFS(แปลงข้อมูล!H:H,Q127,แปลงข้อมูล!I:I,U127,แปลงข้อมูล!J:J,V127)&gt;0,SUMIFS(แปลงข้อมูล!Q:Q,แปลงข้อมูล!I:I,U127,แปลงข้อมูล!H:H,Q127,แปลงข้อมูล!J:J,V127),'mk 001 10.3'!Z128)</f>
        <v>30</v>
      </c>
      <c r="AA127">
        <f>'mk 001 10.3'!AA128</f>
        <v>0</v>
      </c>
      <c r="AB127">
        <f>'mk 001 10.3'!AB128</f>
        <v>0</v>
      </c>
      <c r="AC127">
        <f>'mk 001 10.3'!AC128</f>
        <v>0</v>
      </c>
      <c r="AD127">
        <f>'mk 001 10.3'!AD128</f>
        <v>0</v>
      </c>
      <c r="AE127">
        <f>'mk 001 10.3'!AE128</f>
        <v>30</v>
      </c>
      <c r="AF127">
        <f>'mk 001 10.3'!AF128</f>
        <v>30</v>
      </c>
      <c r="AG127">
        <f>'mk 001 10.3'!AG128</f>
        <v>0</v>
      </c>
      <c r="AH127">
        <f>'mk 001 10.3'!AH128</f>
        <v>0</v>
      </c>
      <c r="AI127" t="str">
        <f>'mk 001 10.3'!AI128</f>
        <v>OPRCD489MOPRCD00000OPRCDF213OPRCD00000OPRCD923</v>
      </c>
      <c r="AJ127" t="str">
        <f>'mk 001 10.3'!AJ128</f>
        <v>ซื้อ / ขาย</v>
      </c>
      <c r="AK127" t="str">
        <f>'mk 001 10.3'!AK128</f>
        <v>By proudct</v>
      </c>
      <c r="AL127" t="str">
        <f>'mk 001 10.3'!AL128</f>
        <v>Bulk Normal</v>
      </c>
      <c r="AM127" t="str">
        <f>'mk 001 10.3'!AM128</f>
        <v>สุกร</v>
      </c>
      <c r="AN127" t="str">
        <f>'mk 001 10.3'!AN128</f>
        <v>OT002 CC-Makro</v>
      </c>
      <c r="AO127" t="str">
        <f>'mk 001 10.3'!AO128</f>
        <v>MT</v>
      </c>
      <c r="AP127">
        <f>'mk 001 10.3'!AP128</f>
        <v>2</v>
      </c>
      <c r="AQ127">
        <f>'mk 001 10.3'!AQ128</f>
        <v>0</v>
      </c>
      <c r="AR127">
        <f>'mk 001 10.3'!AR128</f>
        <v>0</v>
      </c>
      <c r="AS127">
        <f>'mk 001 10.3'!AS128</f>
        <v>0</v>
      </c>
      <c r="AT127" t="str">
        <f>'mk 001 10.3'!AT128</f>
        <v>เบญจพจน์ เพชรเหลี่ยม</v>
      </c>
      <c r="AU127" t="str">
        <f>'mk 001 10.3'!AU128</f>
        <v>2026-05-11-13.33.46.000000</v>
      </c>
      <c r="AV127" t="str">
        <f>'mk 001 10.3'!AV128</f>
        <v>ก.ก.</v>
      </c>
      <c r="AW127" t="str">
        <f>'mk 001 10.3'!AW128</f>
        <v>ก.ก.</v>
      </c>
      <c r="AX127" t="str">
        <f>'mk 001 10.3'!AX128</f>
        <v xml:space="preserve"> </v>
      </c>
      <c r="AY127">
        <f>'mk 001 10.3'!AY128</f>
        <v>0</v>
      </c>
      <c r="AZ127" t="str">
        <f>'mk 001 10.3'!AZ128</f>
        <v>N</v>
      </c>
      <c r="BA127" s="22">
        <f>'mk 001 10.3'!BA128</f>
        <v>9044989536419</v>
      </c>
      <c r="BB127">
        <f>'mk 001 10.3'!BB128</f>
        <v>0</v>
      </c>
      <c r="BC127">
        <f>'mk 001 10.3'!BC128</f>
        <v>0</v>
      </c>
      <c r="BD127">
        <f>'mk 001 10.3'!BD128</f>
        <v>1</v>
      </c>
      <c r="BE127">
        <f>'mk 001 10.3'!BE128</f>
        <v>0</v>
      </c>
      <c r="BF127" t="str">
        <f>'mk 001 10.3'!BF128</f>
        <v>;0000</v>
      </c>
      <c r="BG127">
        <f>'mk 001 10.3'!BG128</f>
        <v>1333314600</v>
      </c>
      <c r="BH127" t="str">
        <f>'mk 001 10.3'!BH128</f>
        <v>G</v>
      </c>
      <c r="BI127">
        <f>'mk 001 10.3'!BI128</f>
        <v>30</v>
      </c>
      <c r="BJ127">
        <f>'mk 001 10.3'!BJ128</f>
        <v>30</v>
      </c>
      <c r="BK127">
        <f>'mk 001 10.3'!BK128</f>
        <v>1300</v>
      </c>
      <c r="BL127" t="str">
        <f>'mk 001 10.3'!BL128</f>
        <v>SYSBATCH</v>
      </c>
      <c r="BM127">
        <f>'mk 001 10.3'!BM128</f>
        <v>0</v>
      </c>
      <c r="BN127">
        <f>'mk 001 10.3'!BN128</f>
        <v>0</v>
      </c>
    </row>
    <row r="128" spans="1:66" x14ac:dyDescent="0.35">
      <c r="A128">
        <f>'mk 001 10.3'!A129</f>
        <v>0</v>
      </c>
      <c r="B128">
        <f>'mk 001 10.3'!B129</f>
        <v>0</v>
      </c>
      <c r="C128" s="1" t="str">
        <f>'mk 001 10.3'!C129</f>
        <v>14/5/2569</v>
      </c>
      <c r="D128" s="1" t="str">
        <f>'mk 001 10.3'!D129</f>
        <v>14/5/2569</v>
      </c>
      <c r="E128">
        <f>'mk 001 10.3'!E129</f>
        <v>0</v>
      </c>
      <c r="F128" t="str">
        <f>'mk 001 10.3'!F129</f>
        <v>489M</v>
      </c>
      <c r="G128" t="str">
        <f>'mk 001 10.3'!G129</f>
        <v>Modern Trade (Makro)</v>
      </c>
      <c r="H128">
        <f>'mk 001 10.3'!H129</f>
        <v>0</v>
      </c>
      <c r="I128" t="str">
        <f>'mk 001 10.3'!I129</f>
        <v>หน่วยงานกลาง</v>
      </c>
      <c r="J128" t="str">
        <f>'mk 001 10.3'!J129</f>
        <v>F213  DMCW-รชล-พระพุทธบาท</v>
      </c>
      <c r="K128" t="str">
        <f>'mk 001 10.3'!K129</f>
        <v>00000  หน่วยงานกลาง</v>
      </c>
      <c r="L128">
        <f>'mk 001 10.3'!L129</f>
        <v>923</v>
      </c>
      <c r="M128">
        <f>'mk 001 10.3'!M129</f>
        <v>0</v>
      </c>
      <c r="N128" t="str">
        <f>'mk 001 10.3'!N129</f>
        <v>1A53004800</v>
      </c>
      <c r="O128" t="str">
        <f>'mk 001 10.3'!O129</f>
        <v>บมจ. ซีพี แอ็กซ์ตร้า สาขาลพบุรี</v>
      </c>
      <c r="P128">
        <f>'mk 001 10.3'!P129</f>
        <v>2</v>
      </c>
      <c r="Q128" t="str">
        <f>'mk 001 10.3'!Q129</f>
        <v>MAKRO 0047 ลพบุรี</v>
      </c>
      <c r="R128" s="1">
        <f>'mk 001 10.3'!R129</f>
        <v>244658</v>
      </c>
      <c r="S128" s="1" t="str">
        <f>'mk 001 10.3'!S129</f>
        <v>14/5/2569</v>
      </c>
      <c r="T128" t="str">
        <f>'mk 001 10.3'!T129</f>
        <v>H6954RMA0059202</v>
      </c>
      <c r="U128">
        <f>'mk 001 10.3'!U129</f>
        <v>23047038</v>
      </c>
      <c r="V128" t="str">
        <f>'mk 001 10.3'!V129</f>
        <v>หมุบดเบอร์ 1</v>
      </c>
      <c r="W128">
        <f>'mk 001 10.3'!W129</f>
        <v>40</v>
      </c>
      <c r="X128">
        <f>'mk 001 10.3'!X129</f>
        <v>200</v>
      </c>
      <c r="Y128">
        <f t="shared" si="1"/>
        <v>40</v>
      </c>
      <c r="Z128" s="13">
        <f>IF(COUNTIFS(แปลงข้อมูล!H:H,Q128,แปลงข้อมูล!I:I,U128,แปลงข้อมูล!J:J,V128)&gt;0,SUMIFS(แปลงข้อมูล!Q:Q,แปลงข้อมูล!I:I,U128,แปลงข้อมูล!H:H,Q128,แปลงข้อมูล!J:J,V128),'mk 001 10.3'!Z129)</f>
        <v>200</v>
      </c>
      <c r="AA128">
        <f>'mk 001 10.3'!AA129</f>
        <v>0</v>
      </c>
      <c r="AB128">
        <f>'mk 001 10.3'!AB129</f>
        <v>0</v>
      </c>
      <c r="AC128">
        <f>'mk 001 10.3'!AC129</f>
        <v>0</v>
      </c>
      <c r="AD128">
        <f>'mk 001 10.3'!AD129</f>
        <v>0</v>
      </c>
      <c r="AE128">
        <f>'mk 001 10.3'!AE129</f>
        <v>40</v>
      </c>
      <c r="AF128">
        <f>'mk 001 10.3'!AF129</f>
        <v>200</v>
      </c>
      <c r="AG128">
        <f>'mk 001 10.3'!AG129</f>
        <v>0</v>
      </c>
      <c r="AH128">
        <f>'mk 001 10.3'!AH129</f>
        <v>0</v>
      </c>
      <c r="AI128" t="str">
        <f>'mk 001 10.3'!AI129</f>
        <v>OPRCD489MOPRCD00000OPRCDF213OPRCD00000OPRCD923</v>
      </c>
      <c r="AJ128" t="str">
        <f>'mk 001 10.3'!AJ129</f>
        <v>ซื้อ / ขาย</v>
      </c>
      <c r="AK128" t="str">
        <f>'mk 001 10.3'!AK129</f>
        <v>Main proudct</v>
      </c>
      <c r="AL128" t="str">
        <f>'mk 001 10.3'!AL129</f>
        <v>Bulk Normal</v>
      </c>
      <c r="AM128" t="str">
        <f>'mk 001 10.3'!AM129</f>
        <v>สุกร</v>
      </c>
      <c r="AN128" t="str">
        <f>'mk 001 10.3'!AN129</f>
        <v>OT002 CC-Makro</v>
      </c>
      <c r="AO128" t="str">
        <f>'mk 001 10.3'!AO129</f>
        <v>MT</v>
      </c>
      <c r="AP128">
        <f>'mk 001 10.3'!AP129</f>
        <v>2</v>
      </c>
      <c r="AQ128">
        <f>'mk 001 10.3'!AQ129</f>
        <v>0</v>
      </c>
      <c r="AR128">
        <f>'mk 001 10.3'!AR129</f>
        <v>0</v>
      </c>
      <c r="AS128">
        <f>'mk 001 10.3'!AS129</f>
        <v>0</v>
      </c>
      <c r="AT128" t="str">
        <f>'mk 001 10.3'!AT129</f>
        <v>เบญจพจน์ เพชรเหลี่ยม</v>
      </c>
      <c r="AU128" t="str">
        <f>'mk 001 10.3'!AU129</f>
        <v>2026-05-11-13.33.46.000000</v>
      </c>
      <c r="AV128" t="str">
        <f>'mk 001 10.3'!AV129</f>
        <v>แพ็ค</v>
      </c>
      <c r="AW128" t="str">
        <f>'mk 001 10.3'!AW129</f>
        <v>ก.ก.</v>
      </c>
      <c r="AX128" t="str">
        <f>'mk 001 10.3'!AX129</f>
        <v xml:space="preserve"> </v>
      </c>
      <c r="AY128">
        <f>'mk 001 10.3'!AY129</f>
        <v>0</v>
      </c>
      <c r="AZ128" t="str">
        <f>'mk 001 10.3'!AZ129</f>
        <v>N</v>
      </c>
      <c r="BA128" s="22">
        <f>'mk 001 10.3'!BA129</f>
        <v>9044989536419</v>
      </c>
      <c r="BB128">
        <f>'mk 001 10.3'!BB129</f>
        <v>0</v>
      </c>
      <c r="BC128">
        <f>'mk 001 10.3'!BC129</f>
        <v>0</v>
      </c>
      <c r="BD128">
        <f>'mk 001 10.3'!BD129</f>
        <v>1</v>
      </c>
      <c r="BE128">
        <f>'mk 001 10.3'!BE129</f>
        <v>0</v>
      </c>
      <c r="BF128" t="str">
        <f>'mk 001 10.3'!BF129</f>
        <v>;0000</v>
      </c>
      <c r="BG128">
        <f>'mk 001 10.3'!BG129</f>
        <v>1333314600</v>
      </c>
      <c r="BH128" t="str">
        <f>'mk 001 10.3'!BH129</f>
        <v>G</v>
      </c>
      <c r="BI128">
        <f>'mk 001 10.3'!BI129</f>
        <v>40</v>
      </c>
      <c r="BJ128">
        <f>'mk 001 10.3'!BJ129</f>
        <v>200</v>
      </c>
      <c r="BK128">
        <f>'mk 001 10.3'!BK129</f>
        <v>1300</v>
      </c>
      <c r="BL128" t="str">
        <f>'mk 001 10.3'!BL129</f>
        <v>SYSBATCH</v>
      </c>
      <c r="BM128">
        <f>'mk 001 10.3'!BM129</f>
        <v>0</v>
      </c>
      <c r="BN128">
        <f>'mk 001 10.3'!BN129</f>
        <v>0</v>
      </c>
    </row>
    <row r="129" spans="1:66" x14ac:dyDescent="0.35">
      <c r="A129">
        <f>'mk 001 10.3'!A130</f>
        <v>0</v>
      </c>
      <c r="B129">
        <f>'mk 001 10.3'!B130</f>
        <v>0</v>
      </c>
      <c r="C129" s="1" t="str">
        <f>'mk 001 10.3'!C130</f>
        <v>14/5/2569</v>
      </c>
      <c r="D129" s="1" t="str">
        <f>'mk 001 10.3'!D130</f>
        <v>14/5/2569</v>
      </c>
      <c r="E129">
        <f>'mk 001 10.3'!E130</f>
        <v>0</v>
      </c>
      <c r="F129" t="str">
        <f>'mk 001 10.3'!F130</f>
        <v>489M</v>
      </c>
      <c r="G129" t="str">
        <f>'mk 001 10.3'!G130</f>
        <v>Modern Trade (Makro)</v>
      </c>
      <c r="H129">
        <f>'mk 001 10.3'!H130</f>
        <v>0</v>
      </c>
      <c r="I129" t="str">
        <f>'mk 001 10.3'!I130</f>
        <v>หน่วยงานกลาง</v>
      </c>
      <c r="J129" t="str">
        <f>'mk 001 10.3'!J130</f>
        <v>F213  DMCW-รชล-พระพุทธบาท</v>
      </c>
      <c r="K129" t="str">
        <f>'mk 001 10.3'!K130</f>
        <v>00000  หน่วยงานกลาง</v>
      </c>
      <c r="L129">
        <f>'mk 001 10.3'!L130</f>
        <v>923</v>
      </c>
      <c r="M129">
        <f>'mk 001 10.3'!M130</f>
        <v>0</v>
      </c>
      <c r="N129" t="str">
        <f>'mk 001 10.3'!N130</f>
        <v>1A53004800</v>
      </c>
      <c r="O129" t="str">
        <f>'mk 001 10.3'!O130</f>
        <v>บมจ. ซีพี แอ็กซ์ตร้า สาขาลพบุรี</v>
      </c>
      <c r="P129">
        <f>'mk 001 10.3'!P130</f>
        <v>2</v>
      </c>
      <c r="Q129" t="str">
        <f>'mk 001 10.3'!Q130</f>
        <v>MAKRO 0047 ลพบุรี</v>
      </c>
      <c r="R129" s="1">
        <f>'mk 001 10.3'!R130</f>
        <v>244658</v>
      </c>
      <c r="S129" s="1" t="str">
        <f>'mk 001 10.3'!S130</f>
        <v>14/5/2569</v>
      </c>
      <c r="T129" t="str">
        <f>'mk 001 10.3'!T130</f>
        <v>H6954RMA0059202</v>
      </c>
      <c r="U129">
        <f>'mk 001 10.3'!U130</f>
        <v>23062095</v>
      </c>
      <c r="V129" t="str">
        <f>'mk 001 10.3'!V130</f>
        <v>หน้ากากหมูเผา(M)</v>
      </c>
      <c r="W129">
        <f>'mk 001 10.3'!W130</f>
        <v>5</v>
      </c>
      <c r="X129">
        <f>'mk 001 10.3'!X130</f>
        <v>5</v>
      </c>
      <c r="Y129">
        <f t="shared" si="1"/>
        <v>5</v>
      </c>
      <c r="Z129" s="13">
        <f>IF(COUNTIFS(แปลงข้อมูล!H:H,Q129,แปลงข้อมูล!I:I,U129,แปลงข้อมูล!J:J,V129)&gt;0,SUMIFS(แปลงข้อมูล!Q:Q,แปลงข้อมูล!I:I,U129,แปลงข้อมูล!H:H,Q129,แปลงข้อมูล!J:J,V129),'mk 001 10.3'!Z130)</f>
        <v>5</v>
      </c>
      <c r="AA129">
        <f>'mk 001 10.3'!AA130</f>
        <v>0</v>
      </c>
      <c r="AB129">
        <f>'mk 001 10.3'!AB130</f>
        <v>0</v>
      </c>
      <c r="AC129">
        <f>'mk 001 10.3'!AC130</f>
        <v>0</v>
      </c>
      <c r="AD129">
        <f>'mk 001 10.3'!AD130</f>
        <v>0</v>
      </c>
      <c r="AE129">
        <f>'mk 001 10.3'!AE130</f>
        <v>5</v>
      </c>
      <c r="AF129">
        <f>'mk 001 10.3'!AF130</f>
        <v>5</v>
      </c>
      <c r="AG129">
        <f>'mk 001 10.3'!AG130</f>
        <v>0</v>
      </c>
      <c r="AH129">
        <f>'mk 001 10.3'!AH130</f>
        <v>0</v>
      </c>
      <c r="AI129" t="str">
        <f>'mk 001 10.3'!AI130</f>
        <v>OPRCD489MOPRCD00000OPRCDF213OPRCD00000OPRCD923</v>
      </c>
      <c r="AJ129" t="str">
        <f>'mk 001 10.3'!AJ130</f>
        <v>ซื้อ / ขาย</v>
      </c>
      <c r="AK129" t="str">
        <f>'mk 001 10.3'!AK130</f>
        <v>By proudct</v>
      </c>
      <c r="AL129" t="str">
        <f>'mk 001 10.3'!AL130</f>
        <v>Bulk Normal</v>
      </c>
      <c r="AM129" t="str">
        <f>'mk 001 10.3'!AM130</f>
        <v>สุกร</v>
      </c>
      <c r="AN129" t="str">
        <f>'mk 001 10.3'!AN130</f>
        <v>OT002 CC-Makro</v>
      </c>
      <c r="AO129" t="str">
        <f>'mk 001 10.3'!AO130</f>
        <v>MT</v>
      </c>
      <c r="AP129">
        <f>'mk 001 10.3'!AP130</f>
        <v>2</v>
      </c>
      <c r="AQ129">
        <f>'mk 001 10.3'!AQ130</f>
        <v>0</v>
      </c>
      <c r="AR129">
        <f>'mk 001 10.3'!AR130</f>
        <v>0</v>
      </c>
      <c r="AS129">
        <f>'mk 001 10.3'!AS130</f>
        <v>0</v>
      </c>
      <c r="AT129" t="str">
        <f>'mk 001 10.3'!AT130</f>
        <v>เบญจพจน์ เพชรเหลี่ยม</v>
      </c>
      <c r="AU129" t="str">
        <f>'mk 001 10.3'!AU130</f>
        <v>2026-05-11-13.33.46.000000</v>
      </c>
      <c r="AV129" t="str">
        <f>'mk 001 10.3'!AV130</f>
        <v>ก.ก.</v>
      </c>
      <c r="AW129" t="str">
        <f>'mk 001 10.3'!AW130</f>
        <v>ก.ก.</v>
      </c>
      <c r="AX129" t="str">
        <f>'mk 001 10.3'!AX130</f>
        <v xml:space="preserve"> </v>
      </c>
      <c r="AY129">
        <f>'mk 001 10.3'!AY130</f>
        <v>0</v>
      </c>
      <c r="AZ129" t="str">
        <f>'mk 001 10.3'!AZ130</f>
        <v>N</v>
      </c>
      <c r="BA129" s="22">
        <f>'mk 001 10.3'!BA130</f>
        <v>9044989536419</v>
      </c>
      <c r="BB129">
        <f>'mk 001 10.3'!BB130</f>
        <v>0</v>
      </c>
      <c r="BC129">
        <f>'mk 001 10.3'!BC130</f>
        <v>0</v>
      </c>
      <c r="BD129">
        <f>'mk 001 10.3'!BD130</f>
        <v>1</v>
      </c>
      <c r="BE129">
        <f>'mk 001 10.3'!BE130</f>
        <v>0</v>
      </c>
      <c r="BF129" t="str">
        <f>'mk 001 10.3'!BF130</f>
        <v>;0000</v>
      </c>
      <c r="BG129">
        <f>'mk 001 10.3'!BG130</f>
        <v>1333314600</v>
      </c>
      <c r="BH129" t="str">
        <f>'mk 001 10.3'!BH130</f>
        <v>G</v>
      </c>
      <c r="BI129">
        <f>'mk 001 10.3'!BI130</f>
        <v>5</v>
      </c>
      <c r="BJ129">
        <f>'mk 001 10.3'!BJ130</f>
        <v>5</v>
      </c>
      <c r="BK129">
        <f>'mk 001 10.3'!BK130</f>
        <v>1300</v>
      </c>
      <c r="BL129" t="str">
        <f>'mk 001 10.3'!BL130</f>
        <v>SYSBATCH</v>
      </c>
      <c r="BM129">
        <f>'mk 001 10.3'!BM130</f>
        <v>0</v>
      </c>
      <c r="BN129">
        <f>'mk 001 10.3'!BN130</f>
        <v>0</v>
      </c>
    </row>
    <row r="130" spans="1:66" x14ac:dyDescent="0.35">
      <c r="A130">
        <f>'mk 001 10.3'!A131</f>
        <v>0</v>
      </c>
      <c r="B130">
        <f>'mk 001 10.3'!B131</f>
        <v>0</v>
      </c>
      <c r="C130" s="1" t="str">
        <f>'mk 001 10.3'!C131</f>
        <v>14/5/2569</v>
      </c>
      <c r="D130" s="1" t="str">
        <f>'mk 001 10.3'!D131</f>
        <v>14/5/2569</v>
      </c>
      <c r="E130">
        <f>'mk 001 10.3'!E131</f>
        <v>0</v>
      </c>
      <c r="F130" t="str">
        <f>'mk 001 10.3'!F131</f>
        <v>489M</v>
      </c>
      <c r="G130" t="str">
        <f>'mk 001 10.3'!G131</f>
        <v>Modern Trade (Makro)</v>
      </c>
      <c r="H130">
        <f>'mk 001 10.3'!H131</f>
        <v>0</v>
      </c>
      <c r="I130" t="str">
        <f>'mk 001 10.3'!I131</f>
        <v>หน่วยงานกลาง</v>
      </c>
      <c r="J130" t="str">
        <f>'mk 001 10.3'!J131</f>
        <v>F213  DMCW-รชล-พระพุทธบาท</v>
      </c>
      <c r="K130" t="str">
        <f>'mk 001 10.3'!K131</f>
        <v>00000  หน่วยงานกลาง</v>
      </c>
      <c r="L130">
        <f>'mk 001 10.3'!L131</f>
        <v>923</v>
      </c>
      <c r="M130">
        <f>'mk 001 10.3'!M131</f>
        <v>0</v>
      </c>
      <c r="N130" t="str">
        <f>'mk 001 10.3'!N131</f>
        <v>1A53004800</v>
      </c>
      <c r="O130" t="str">
        <f>'mk 001 10.3'!O131</f>
        <v>บมจ. ซีพี แอ็กซ์ตร้า สาขาลพบุรี</v>
      </c>
      <c r="P130">
        <f>'mk 001 10.3'!P131</f>
        <v>2</v>
      </c>
      <c r="Q130" t="str">
        <f>'mk 001 10.3'!Q131</f>
        <v>MAKRO 0047 ลพบุรี</v>
      </c>
      <c r="R130" s="1">
        <f>'mk 001 10.3'!R131</f>
        <v>244658</v>
      </c>
      <c r="S130" s="1" t="str">
        <f>'mk 001 10.3'!S131</f>
        <v>14/5/2569</v>
      </c>
      <c r="T130" t="str">
        <f>'mk 001 10.3'!T131</f>
        <v>H6954RMA0059202</v>
      </c>
      <c r="U130">
        <f>'mk 001 10.3'!U131</f>
        <v>23058591</v>
      </c>
      <c r="V130" t="str">
        <f>'mk 001 10.3'!V131</f>
        <v>กระดูกข้อ(คาตั๊ง) (M)</v>
      </c>
      <c r="W130">
        <f>'mk 001 10.3'!W131</f>
        <v>20</v>
      </c>
      <c r="X130">
        <f>'mk 001 10.3'!X131</f>
        <v>20</v>
      </c>
      <c r="Y130">
        <f t="shared" si="1"/>
        <v>20</v>
      </c>
      <c r="Z130" s="13">
        <f>IF(COUNTIFS(แปลงข้อมูล!H:H,Q130,แปลงข้อมูล!I:I,U130,แปลงข้อมูล!J:J,V130)&gt;0,SUMIFS(แปลงข้อมูล!Q:Q,แปลงข้อมูล!I:I,U130,แปลงข้อมูล!H:H,Q130,แปลงข้อมูล!J:J,V130),'mk 001 10.3'!Z131)</f>
        <v>20</v>
      </c>
      <c r="AA130">
        <f>'mk 001 10.3'!AA131</f>
        <v>0</v>
      </c>
      <c r="AB130">
        <f>'mk 001 10.3'!AB131</f>
        <v>0</v>
      </c>
      <c r="AC130">
        <f>'mk 001 10.3'!AC131</f>
        <v>0</v>
      </c>
      <c r="AD130">
        <f>'mk 001 10.3'!AD131</f>
        <v>0</v>
      </c>
      <c r="AE130">
        <f>'mk 001 10.3'!AE131</f>
        <v>20</v>
      </c>
      <c r="AF130">
        <f>'mk 001 10.3'!AF131</f>
        <v>20</v>
      </c>
      <c r="AG130">
        <f>'mk 001 10.3'!AG131</f>
        <v>0</v>
      </c>
      <c r="AH130">
        <f>'mk 001 10.3'!AH131</f>
        <v>0</v>
      </c>
      <c r="AI130" t="str">
        <f>'mk 001 10.3'!AI131</f>
        <v>OPRCD489MOPRCD00000OPRCDF213OPRCD00000OPRCD923</v>
      </c>
      <c r="AJ130" t="str">
        <f>'mk 001 10.3'!AJ131</f>
        <v>ซื้อ / ขาย</v>
      </c>
      <c r="AK130" t="str">
        <f>'mk 001 10.3'!AK131</f>
        <v>By proudct</v>
      </c>
      <c r="AL130" t="str">
        <f>'mk 001 10.3'!AL131</f>
        <v>Bulk Normal</v>
      </c>
      <c r="AM130" t="str">
        <f>'mk 001 10.3'!AM131</f>
        <v>สุกร</v>
      </c>
      <c r="AN130" t="str">
        <f>'mk 001 10.3'!AN131</f>
        <v>OT002 CC-Makro</v>
      </c>
      <c r="AO130" t="str">
        <f>'mk 001 10.3'!AO131</f>
        <v>MT</v>
      </c>
      <c r="AP130">
        <f>'mk 001 10.3'!AP131</f>
        <v>2</v>
      </c>
      <c r="AQ130">
        <f>'mk 001 10.3'!AQ131</f>
        <v>0</v>
      </c>
      <c r="AR130">
        <f>'mk 001 10.3'!AR131</f>
        <v>0</v>
      </c>
      <c r="AS130">
        <f>'mk 001 10.3'!AS131</f>
        <v>0</v>
      </c>
      <c r="AT130" t="str">
        <f>'mk 001 10.3'!AT131</f>
        <v>เบญจพจน์ เพชรเหลี่ยม</v>
      </c>
      <c r="AU130" t="str">
        <f>'mk 001 10.3'!AU131</f>
        <v>2026-05-11-13.33.46.000000</v>
      </c>
      <c r="AV130" t="str">
        <f>'mk 001 10.3'!AV131</f>
        <v>ก.ก.</v>
      </c>
      <c r="AW130" t="str">
        <f>'mk 001 10.3'!AW131</f>
        <v>ก.ก.</v>
      </c>
      <c r="AX130" t="str">
        <f>'mk 001 10.3'!AX131</f>
        <v xml:space="preserve"> </v>
      </c>
      <c r="AY130">
        <f>'mk 001 10.3'!AY131</f>
        <v>0</v>
      </c>
      <c r="AZ130" t="str">
        <f>'mk 001 10.3'!AZ131</f>
        <v>N</v>
      </c>
      <c r="BA130" s="22">
        <f>'mk 001 10.3'!BA131</f>
        <v>9044989536419</v>
      </c>
      <c r="BB130">
        <f>'mk 001 10.3'!BB131</f>
        <v>0</v>
      </c>
      <c r="BC130">
        <f>'mk 001 10.3'!BC131</f>
        <v>0</v>
      </c>
      <c r="BD130">
        <f>'mk 001 10.3'!BD131</f>
        <v>1</v>
      </c>
      <c r="BE130">
        <f>'mk 001 10.3'!BE131</f>
        <v>0</v>
      </c>
      <c r="BF130" t="str">
        <f>'mk 001 10.3'!BF131</f>
        <v>;0000</v>
      </c>
      <c r="BG130">
        <f>'mk 001 10.3'!BG131</f>
        <v>1333314600</v>
      </c>
      <c r="BH130" t="str">
        <f>'mk 001 10.3'!BH131</f>
        <v>G</v>
      </c>
      <c r="BI130">
        <f>'mk 001 10.3'!BI131</f>
        <v>20</v>
      </c>
      <c r="BJ130">
        <f>'mk 001 10.3'!BJ131</f>
        <v>20</v>
      </c>
      <c r="BK130">
        <f>'mk 001 10.3'!BK131</f>
        <v>1300</v>
      </c>
      <c r="BL130" t="str">
        <f>'mk 001 10.3'!BL131</f>
        <v>SYSBATCH</v>
      </c>
      <c r="BM130">
        <f>'mk 001 10.3'!BM131</f>
        <v>0</v>
      </c>
      <c r="BN130">
        <f>'mk 001 10.3'!BN131</f>
        <v>0</v>
      </c>
    </row>
    <row r="131" spans="1:66" x14ac:dyDescent="0.35">
      <c r="A131">
        <f>'mk 001 10.3'!A132</f>
        <v>0</v>
      </c>
      <c r="B131">
        <f>'mk 001 10.3'!B132</f>
        <v>0</v>
      </c>
      <c r="C131" s="1" t="str">
        <f>'mk 001 10.3'!C132</f>
        <v>14/5/2569</v>
      </c>
      <c r="D131" s="1" t="str">
        <f>'mk 001 10.3'!D132</f>
        <v>14/5/2569</v>
      </c>
      <c r="E131">
        <f>'mk 001 10.3'!E132</f>
        <v>0</v>
      </c>
      <c r="F131" t="str">
        <f>'mk 001 10.3'!F132</f>
        <v>489M</v>
      </c>
      <c r="G131" t="str">
        <f>'mk 001 10.3'!G132</f>
        <v>Modern Trade (Makro)</v>
      </c>
      <c r="H131">
        <f>'mk 001 10.3'!H132</f>
        <v>0</v>
      </c>
      <c r="I131" t="str">
        <f>'mk 001 10.3'!I132</f>
        <v>หน่วยงานกลาง</v>
      </c>
      <c r="J131" t="str">
        <f>'mk 001 10.3'!J132</f>
        <v>F213  DMCW-รชล-พระพุทธบาท</v>
      </c>
      <c r="K131" t="str">
        <f>'mk 001 10.3'!K132</f>
        <v>00000  หน่วยงานกลาง</v>
      </c>
      <c r="L131">
        <f>'mk 001 10.3'!L132</f>
        <v>923</v>
      </c>
      <c r="M131">
        <f>'mk 001 10.3'!M132</f>
        <v>0</v>
      </c>
      <c r="N131" t="str">
        <f>'mk 001 10.3'!N132</f>
        <v>1A53004800</v>
      </c>
      <c r="O131" t="str">
        <f>'mk 001 10.3'!O132</f>
        <v>บมจ. ซีพี แอ็กซ์ตร้า สาขาลพบุรี</v>
      </c>
      <c r="P131">
        <f>'mk 001 10.3'!P132</f>
        <v>2</v>
      </c>
      <c r="Q131" t="str">
        <f>'mk 001 10.3'!Q132</f>
        <v>MAKRO 0047 ลพบุรี</v>
      </c>
      <c r="R131" s="1">
        <f>'mk 001 10.3'!R132</f>
        <v>244658</v>
      </c>
      <c r="S131" s="1" t="str">
        <f>'mk 001 10.3'!S132</f>
        <v>14/5/2569</v>
      </c>
      <c r="T131" t="str">
        <f>'mk 001 10.3'!T132</f>
        <v>H6954RMA0059202</v>
      </c>
      <c r="U131">
        <f>'mk 001 10.3'!U132</f>
        <v>23087034</v>
      </c>
      <c r="V131" t="str">
        <f>'mk 001 10.3'!V132</f>
        <v>สะโพกหมูตัดเส้น(M)</v>
      </c>
      <c r="W131">
        <f>'mk 001 10.3'!W132</f>
        <v>10</v>
      </c>
      <c r="X131">
        <f>'mk 001 10.3'!X132</f>
        <v>10</v>
      </c>
      <c r="Y131">
        <f t="shared" ref="Y131:Y194" si="2">IFERROR(W131*Z131/X131,0)</f>
        <v>10</v>
      </c>
      <c r="Z131" s="13">
        <f>IF(COUNTIFS(แปลงข้อมูล!H:H,Q131,แปลงข้อมูล!I:I,U131,แปลงข้อมูล!J:J,V131)&gt;0,SUMIFS(แปลงข้อมูล!Q:Q,แปลงข้อมูล!I:I,U131,แปลงข้อมูล!H:H,Q131,แปลงข้อมูล!J:J,V131),'mk 001 10.3'!Z132)</f>
        <v>10</v>
      </c>
      <c r="AA131">
        <f>'mk 001 10.3'!AA132</f>
        <v>0</v>
      </c>
      <c r="AB131">
        <f>'mk 001 10.3'!AB132</f>
        <v>0</v>
      </c>
      <c r="AC131">
        <f>'mk 001 10.3'!AC132</f>
        <v>0</v>
      </c>
      <c r="AD131">
        <f>'mk 001 10.3'!AD132</f>
        <v>0</v>
      </c>
      <c r="AE131">
        <f>'mk 001 10.3'!AE132</f>
        <v>10</v>
      </c>
      <c r="AF131">
        <f>'mk 001 10.3'!AF132</f>
        <v>10</v>
      </c>
      <c r="AG131">
        <f>'mk 001 10.3'!AG132</f>
        <v>0</v>
      </c>
      <c r="AH131">
        <f>'mk 001 10.3'!AH132</f>
        <v>0</v>
      </c>
      <c r="AI131" t="str">
        <f>'mk 001 10.3'!AI132</f>
        <v>OPRCD489MOPRCD00000OPRCDF213OPRCD00000OPRCD923</v>
      </c>
      <c r="AJ131" t="str">
        <f>'mk 001 10.3'!AJ132</f>
        <v>ซื้อ / ขาย</v>
      </c>
      <c r="AK131" t="str">
        <f>'mk 001 10.3'!AK132</f>
        <v>Main proudct</v>
      </c>
      <c r="AL131" t="str">
        <f>'mk 001 10.3'!AL132</f>
        <v>Bulk Normal</v>
      </c>
      <c r="AM131" t="str">
        <f>'mk 001 10.3'!AM132</f>
        <v>สุกร</v>
      </c>
      <c r="AN131" t="str">
        <f>'mk 001 10.3'!AN132</f>
        <v>OT002 CC-Makro</v>
      </c>
      <c r="AO131" t="str">
        <f>'mk 001 10.3'!AO132</f>
        <v>MT</v>
      </c>
      <c r="AP131">
        <f>'mk 001 10.3'!AP132</f>
        <v>2</v>
      </c>
      <c r="AQ131">
        <f>'mk 001 10.3'!AQ132</f>
        <v>0</v>
      </c>
      <c r="AR131">
        <f>'mk 001 10.3'!AR132</f>
        <v>0</v>
      </c>
      <c r="AS131">
        <f>'mk 001 10.3'!AS132</f>
        <v>0</v>
      </c>
      <c r="AT131" t="str">
        <f>'mk 001 10.3'!AT132</f>
        <v>เบญจพจน์ เพชรเหลี่ยม</v>
      </c>
      <c r="AU131" t="str">
        <f>'mk 001 10.3'!AU132</f>
        <v>2026-05-11-13.33.46.000000</v>
      </c>
      <c r="AV131" t="str">
        <f>'mk 001 10.3'!AV132</f>
        <v>ก.ก.</v>
      </c>
      <c r="AW131" t="str">
        <f>'mk 001 10.3'!AW132</f>
        <v>ก.ก.</v>
      </c>
      <c r="AX131" t="str">
        <f>'mk 001 10.3'!AX132</f>
        <v xml:space="preserve"> </v>
      </c>
      <c r="AY131">
        <f>'mk 001 10.3'!AY132</f>
        <v>0</v>
      </c>
      <c r="AZ131" t="str">
        <f>'mk 001 10.3'!AZ132</f>
        <v>N</v>
      </c>
      <c r="BA131" s="22">
        <f>'mk 001 10.3'!BA132</f>
        <v>9044989536419</v>
      </c>
      <c r="BB131">
        <f>'mk 001 10.3'!BB132</f>
        <v>0</v>
      </c>
      <c r="BC131">
        <f>'mk 001 10.3'!BC132</f>
        <v>0</v>
      </c>
      <c r="BD131">
        <f>'mk 001 10.3'!BD132</f>
        <v>1</v>
      </c>
      <c r="BE131">
        <f>'mk 001 10.3'!BE132</f>
        <v>0</v>
      </c>
      <c r="BF131" t="str">
        <f>'mk 001 10.3'!BF132</f>
        <v>;0000</v>
      </c>
      <c r="BG131">
        <f>'mk 001 10.3'!BG132</f>
        <v>1333314600</v>
      </c>
      <c r="BH131" t="str">
        <f>'mk 001 10.3'!BH132</f>
        <v>G</v>
      </c>
      <c r="BI131">
        <f>'mk 001 10.3'!BI132</f>
        <v>10</v>
      </c>
      <c r="BJ131">
        <f>'mk 001 10.3'!BJ132</f>
        <v>10</v>
      </c>
      <c r="BK131">
        <f>'mk 001 10.3'!BK132</f>
        <v>1300</v>
      </c>
      <c r="BL131" t="str">
        <f>'mk 001 10.3'!BL132</f>
        <v>SYSBATCH</v>
      </c>
      <c r="BM131">
        <f>'mk 001 10.3'!BM132</f>
        <v>0</v>
      </c>
      <c r="BN131">
        <f>'mk 001 10.3'!BN132</f>
        <v>0</v>
      </c>
    </row>
    <row r="132" spans="1:66" x14ac:dyDescent="0.35">
      <c r="A132">
        <f>'mk 001 10.3'!A133</f>
        <v>0</v>
      </c>
      <c r="B132">
        <f>'mk 001 10.3'!B133</f>
        <v>0</v>
      </c>
      <c r="C132" s="1" t="str">
        <f>'mk 001 10.3'!C133</f>
        <v>14/5/2569</v>
      </c>
      <c r="D132" s="1" t="str">
        <f>'mk 001 10.3'!D133</f>
        <v>14/5/2569</v>
      </c>
      <c r="E132">
        <f>'mk 001 10.3'!E133</f>
        <v>0</v>
      </c>
      <c r="F132" t="str">
        <f>'mk 001 10.3'!F133</f>
        <v>489M</v>
      </c>
      <c r="G132" t="str">
        <f>'mk 001 10.3'!G133</f>
        <v>Modern Trade (Makro)</v>
      </c>
      <c r="H132">
        <f>'mk 001 10.3'!H133</f>
        <v>0</v>
      </c>
      <c r="I132" t="str">
        <f>'mk 001 10.3'!I133</f>
        <v>หน่วยงานกลาง</v>
      </c>
      <c r="J132" t="str">
        <f>'mk 001 10.3'!J133</f>
        <v>F213  DMCW-รชล-พระพุทธบาท</v>
      </c>
      <c r="K132" t="str">
        <f>'mk 001 10.3'!K133</f>
        <v>00000  หน่วยงานกลาง</v>
      </c>
      <c r="L132">
        <f>'mk 001 10.3'!L133</f>
        <v>923</v>
      </c>
      <c r="M132">
        <f>'mk 001 10.3'!M133</f>
        <v>0</v>
      </c>
      <c r="N132" t="str">
        <f>'mk 001 10.3'!N133</f>
        <v>1A53004800</v>
      </c>
      <c r="O132" t="str">
        <f>'mk 001 10.3'!O133</f>
        <v>บมจ. ซีพี แอ็กซ์ตร้า สาขาลพบุรี</v>
      </c>
      <c r="P132">
        <f>'mk 001 10.3'!P133</f>
        <v>2</v>
      </c>
      <c r="Q132" t="str">
        <f>'mk 001 10.3'!Q133</f>
        <v>MAKRO 0047 ลพบุรี</v>
      </c>
      <c r="R132" s="1">
        <f>'mk 001 10.3'!R133</f>
        <v>244658</v>
      </c>
      <c r="S132" s="1" t="str">
        <f>'mk 001 10.3'!S133</f>
        <v>14/5/2569</v>
      </c>
      <c r="T132" t="str">
        <f>'mk 001 10.3'!T133</f>
        <v>H6954RMA0059202</v>
      </c>
      <c r="U132">
        <f>'mk 001 10.3'!U133</f>
        <v>23098989</v>
      </c>
      <c r="V132" t="str">
        <f>'mk 001 10.3'!V133</f>
        <v>ขาหมูเผาหั่นชิ้น กก.ละ(M)</v>
      </c>
      <c r="W132">
        <f>'mk 001 10.3'!W133</f>
        <v>15</v>
      </c>
      <c r="X132">
        <f>'mk 001 10.3'!X133</f>
        <v>15</v>
      </c>
      <c r="Y132">
        <f t="shared" si="2"/>
        <v>15</v>
      </c>
      <c r="Z132" s="13">
        <f>IF(COUNTIFS(แปลงข้อมูล!H:H,Q132,แปลงข้อมูล!I:I,U132,แปลงข้อมูล!J:J,V132)&gt;0,SUMIFS(แปลงข้อมูล!Q:Q,แปลงข้อมูล!I:I,U132,แปลงข้อมูล!H:H,Q132,แปลงข้อมูล!J:J,V132),'mk 001 10.3'!Z133)</f>
        <v>15</v>
      </c>
      <c r="AA132">
        <f>'mk 001 10.3'!AA133</f>
        <v>0</v>
      </c>
      <c r="AB132">
        <f>'mk 001 10.3'!AB133</f>
        <v>0</v>
      </c>
      <c r="AC132">
        <f>'mk 001 10.3'!AC133</f>
        <v>0</v>
      </c>
      <c r="AD132">
        <f>'mk 001 10.3'!AD133</f>
        <v>0</v>
      </c>
      <c r="AE132">
        <f>'mk 001 10.3'!AE133</f>
        <v>15</v>
      </c>
      <c r="AF132">
        <f>'mk 001 10.3'!AF133</f>
        <v>15</v>
      </c>
      <c r="AG132">
        <f>'mk 001 10.3'!AG133</f>
        <v>0</v>
      </c>
      <c r="AH132">
        <f>'mk 001 10.3'!AH133</f>
        <v>0</v>
      </c>
      <c r="AI132" t="str">
        <f>'mk 001 10.3'!AI133</f>
        <v>OPRCD489MOPRCD00000OPRCDF213OPRCD00000OPRCD923</v>
      </c>
      <c r="AJ132" t="str">
        <f>'mk 001 10.3'!AJ133</f>
        <v>ซื้อ / ขาย</v>
      </c>
      <c r="AK132" t="str">
        <f>'mk 001 10.3'!AK133</f>
        <v>By proudct</v>
      </c>
      <c r="AL132" t="str">
        <f>'mk 001 10.3'!AL133</f>
        <v>Bulk Normal</v>
      </c>
      <c r="AM132" t="str">
        <f>'mk 001 10.3'!AM133</f>
        <v>สุกร</v>
      </c>
      <c r="AN132" t="str">
        <f>'mk 001 10.3'!AN133</f>
        <v>OT002 CC-Makro</v>
      </c>
      <c r="AO132" t="str">
        <f>'mk 001 10.3'!AO133</f>
        <v>MT</v>
      </c>
      <c r="AP132">
        <f>'mk 001 10.3'!AP133</f>
        <v>2</v>
      </c>
      <c r="AQ132">
        <f>'mk 001 10.3'!AQ133</f>
        <v>0</v>
      </c>
      <c r="AR132">
        <f>'mk 001 10.3'!AR133</f>
        <v>0</v>
      </c>
      <c r="AS132">
        <f>'mk 001 10.3'!AS133</f>
        <v>0</v>
      </c>
      <c r="AT132" t="str">
        <f>'mk 001 10.3'!AT133</f>
        <v>เบญจพจน์ เพชรเหลี่ยม</v>
      </c>
      <c r="AU132" t="str">
        <f>'mk 001 10.3'!AU133</f>
        <v>2026-05-11-13.33.46.000000</v>
      </c>
      <c r="AV132" t="str">
        <f>'mk 001 10.3'!AV133</f>
        <v>ก.ก.</v>
      </c>
      <c r="AW132" t="str">
        <f>'mk 001 10.3'!AW133</f>
        <v>ก.ก.</v>
      </c>
      <c r="AX132" t="str">
        <f>'mk 001 10.3'!AX133</f>
        <v xml:space="preserve"> </v>
      </c>
      <c r="AY132">
        <f>'mk 001 10.3'!AY133</f>
        <v>0</v>
      </c>
      <c r="AZ132" t="str">
        <f>'mk 001 10.3'!AZ133</f>
        <v>N</v>
      </c>
      <c r="BA132" s="22">
        <f>'mk 001 10.3'!BA133</f>
        <v>9044989536419</v>
      </c>
      <c r="BB132">
        <f>'mk 001 10.3'!BB133</f>
        <v>0</v>
      </c>
      <c r="BC132">
        <f>'mk 001 10.3'!BC133</f>
        <v>0</v>
      </c>
      <c r="BD132">
        <f>'mk 001 10.3'!BD133</f>
        <v>1</v>
      </c>
      <c r="BE132">
        <f>'mk 001 10.3'!BE133</f>
        <v>0</v>
      </c>
      <c r="BF132" t="str">
        <f>'mk 001 10.3'!BF133</f>
        <v>;0000</v>
      </c>
      <c r="BG132">
        <f>'mk 001 10.3'!BG133</f>
        <v>1333314600</v>
      </c>
      <c r="BH132" t="str">
        <f>'mk 001 10.3'!BH133</f>
        <v>G</v>
      </c>
      <c r="BI132">
        <f>'mk 001 10.3'!BI133</f>
        <v>15</v>
      </c>
      <c r="BJ132">
        <f>'mk 001 10.3'!BJ133</f>
        <v>15</v>
      </c>
      <c r="BK132">
        <f>'mk 001 10.3'!BK133</f>
        <v>1300</v>
      </c>
      <c r="BL132" t="str">
        <f>'mk 001 10.3'!BL133</f>
        <v>SYSBATCH</v>
      </c>
      <c r="BM132">
        <f>'mk 001 10.3'!BM133</f>
        <v>0</v>
      </c>
      <c r="BN132">
        <f>'mk 001 10.3'!BN133</f>
        <v>0</v>
      </c>
    </row>
    <row r="133" spans="1:66" x14ac:dyDescent="0.35">
      <c r="A133">
        <f>'mk 001 10.3'!A134</f>
        <v>0</v>
      </c>
      <c r="B133">
        <f>'mk 001 10.3'!B134</f>
        <v>0</v>
      </c>
      <c r="C133" s="1" t="str">
        <f>'mk 001 10.3'!C134</f>
        <v>14/5/2569</v>
      </c>
      <c r="D133" s="1" t="str">
        <f>'mk 001 10.3'!D134</f>
        <v>14/5/2569</v>
      </c>
      <c r="E133">
        <f>'mk 001 10.3'!E134</f>
        <v>0</v>
      </c>
      <c r="F133" t="str">
        <f>'mk 001 10.3'!F134</f>
        <v>489M</v>
      </c>
      <c r="G133" t="str">
        <f>'mk 001 10.3'!G134</f>
        <v>Modern Trade (Makro)</v>
      </c>
      <c r="H133">
        <f>'mk 001 10.3'!H134</f>
        <v>0</v>
      </c>
      <c r="I133" t="str">
        <f>'mk 001 10.3'!I134</f>
        <v>หน่วยงานกลาง</v>
      </c>
      <c r="J133" t="str">
        <f>'mk 001 10.3'!J134</f>
        <v>F213  DMCW-รชล-พระพุทธบาท</v>
      </c>
      <c r="K133" t="str">
        <f>'mk 001 10.3'!K134</f>
        <v>00000  หน่วยงานกลาง</v>
      </c>
      <c r="L133">
        <f>'mk 001 10.3'!L134</f>
        <v>923</v>
      </c>
      <c r="M133">
        <f>'mk 001 10.3'!M134</f>
        <v>0</v>
      </c>
      <c r="N133" t="str">
        <f>'mk 001 10.3'!N134</f>
        <v>1A53004800</v>
      </c>
      <c r="O133" t="str">
        <f>'mk 001 10.3'!O134</f>
        <v>บมจ. ซีพี แอ็กซ์ตร้า สาขาลพบุรี</v>
      </c>
      <c r="P133">
        <f>'mk 001 10.3'!P134</f>
        <v>2</v>
      </c>
      <c r="Q133" t="str">
        <f>'mk 001 10.3'!Q134</f>
        <v>MAKRO 0047 ลพบุรี</v>
      </c>
      <c r="R133" s="1">
        <f>'mk 001 10.3'!R134</f>
        <v>244658</v>
      </c>
      <c r="S133" s="1" t="str">
        <f>'mk 001 10.3'!S134</f>
        <v>14/5/2569</v>
      </c>
      <c r="T133" t="str">
        <f>'mk 001 10.3'!T134</f>
        <v>H6954RMA0059202</v>
      </c>
      <c r="U133">
        <f>'mk 001 10.3'!U134</f>
        <v>23058589</v>
      </c>
      <c r="V133" t="str">
        <f>'mk 001 10.3'!V134</f>
        <v>ไส้อ่อน (M)</v>
      </c>
      <c r="W133">
        <f>'mk 001 10.3'!W134</f>
        <v>20</v>
      </c>
      <c r="X133">
        <f>'mk 001 10.3'!X134</f>
        <v>20</v>
      </c>
      <c r="Y133">
        <f t="shared" si="2"/>
        <v>20</v>
      </c>
      <c r="Z133" s="13">
        <f>IF(COUNTIFS(แปลงข้อมูล!H:H,Q133,แปลงข้อมูล!I:I,U133,แปลงข้อมูล!J:J,V133)&gt;0,SUMIFS(แปลงข้อมูล!Q:Q,แปลงข้อมูล!I:I,U133,แปลงข้อมูล!H:H,Q133,แปลงข้อมูล!J:J,V133),'mk 001 10.3'!Z134)</f>
        <v>20</v>
      </c>
      <c r="AA133">
        <f>'mk 001 10.3'!AA134</f>
        <v>0</v>
      </c>
      <c r="AB133">
        <f>'mk 001 10.3'!AB134</f>
        <v>0</v>
      </c>
      <c r="AC133">
        <f>'mk 001 10.3'!AC134</f>
        <v>0</v>
      </c>
      <c r="AD133">
        <f>'mk 001 10.3'!AD134</f>
        <v>0</v>
      </c>
      <c r="AE133">
        <f>'mk 001 10.3'!AE134</f>
        <v>20</v>
      </c>
      <c r="AF133">
        <f>'mk 001 10.3'!AF134</f>
        <v>20</v>
      </c>
      <c r="AG133">
        <f>'mk 001 10.3'!AG134</f>
        <v>0</v>
      </c>
      <c r="AH133">
        <f>'mk 001 10.3'!AH134</f>
        <v>0</v>
      </c>
      <c r="AI133" t="str">
        <f>'mk 001 10.3'!AI134</f>
        <v>OPRCD489MOPRCD00000OPRCDF213OPRCD00000OPRCD923</v>
      </c>
      <c r="AJ133" t="str">
        <f>'mk 001 10.3'!AJ134</f>
        <v>ซื้อ / ขาย</v>
      </c>
      <c r="AK133" t="str">
        <f>'mk 001 10.3'!AK134</f>
        <v>By proudct</v>
      </c>
      <c r="AL133" t="str">
        <f>'mk 001 10.3'!AL134</f>
        <v>Bulk Normal</v>
      </c>
      <c r="AM133" t="str">
        <f>'mk 001 10.3'!AM134</f>
        <v>สุกร</v>
      </c>
      <c r="AN133" t="str">
        <f>'mk 001 10.3'!AN134</f>
        <v>OT002 CC-Makro</v>
      </c>
      <c r="AO133" t="str">
        <f>'mk 001 10.3'!AO134</f>
        <v>MT</v>
      </c>
      <c r="AP133">
        <f>'mk 001 10.3'!AP134</f>
        <v>2</v>
      </c>
      <c r="AQ133">
        <f>'mk 001 10.3'!AQ134</f>
        <v>0</v>
      </c>
      <c r="AR133">
        <f>'mk 001 10.3'!AR134</f>
        <v>0</v>
      </c>
      <c r="AS133">
        <f>'mk 001 10.3'!AS134</f>
        <v>0</v>
      </c>
      <c r="AT133" t="str">
        <f>'mk 001 10.3'!AT134</f>
        <v>เบญจพจน์ เพชรเหลี่ยม</v>
      </c>
      <c r="AU133" t="str">
        <f>'mk 001 10.3'!AU134</f>
        <v>2026-05-11-13.33.46.000000</v>
      </c>
      <c r="AV133" t="str">
        <f>'mk 001 10.3'!AV134</f>
        <v>ก.ก.</v>
      </c>
      <c r="AW133" t="str">
        <f>'mk 001 10.3'!AW134</f>
        <v>ก.ก.</v>
      </c>
      <c r="AX133" t="str">
        <f>'mk 001 10.3'!AX134</f>
        <v xml:space="preserve"> </v>
      </c>
      <c r="AY133">
        <f>'mk 001 10.3'!AY134</f>
        <v>0</v>
      </c>
      <c r="AZ133" t="str">
        <f>'mk 001 10.3'!AZ134</f>
        <v>N</v>
      </c>
      <c r="BA133" s="22">
        <f>'mk 001 10.3'!BA134</f>
        <v>9044989536419</v>
      </c>
      <c r="BB133">
        <f>'mk 001 10.3'!BB134</f>
        <v>0</v>
      </c>
      <c r="BC133">
        <f>'mk 001 10.3'!BC134</f>
        <v>0</v>
      </c>
      <c r="BD133">
        <f>'mk 001 10.3'!BD134</f>
        <v>1</v>
      </c>
      <c r="BE133">
        <f>'mk 001 10.3'!BE134</f>
        <v>0</v>
      </c>
      <c r="BF133" t="str">
        <f>'mk 001 10.3'!BF134</f>
        <v>;0000</v>
      </c>
      <c r="BG133">
        <f>'mk 001 10.3'!BG134</f>
        <v>1333314600</v>
      </c>
      <c r="BH133" t="str">
        <f>'mk 001 10.3'!BH134</f>
        <v>G</v>
      </c>
      <c r="BI133">
        <f>'mk 001 10.3'!BI134</f>
        <v>20</v>
      </c>
      <c r="BJ133">
        <f>'mk 001 10.3'!BJ134</f>
        <v>20</v>
      </c>
      <c r="BK133">
        <f>'mk 001 10.3'!BK134</f>
        <v>1300</v>
      </c>
      <c r="BL133" t="str">
        <f>'mk 001 10.3'!BL134</f>
        <v>SYSBATCH</v>
      </c>
      <c r="BM133">
        <f>'mk 001 10.3'!BM134</f>
        <v>0</v>
      </c>
      <c r="BN133">
        <f>'mk 001 10.3'!BN134</f>
        <v>0</v>
      </c>
    </row>
    <row r="134" spans="1:66" x14ac:dyDescent="0.35">
      <c r="A134">
        <f>'mk 001 10.3'!A135</f>
        <v>0</v>
      </c>
      <c r="B134">
        <f>'mk 001 10.3'!B135</f>
        <v>0</v>
      </c>
      <c r="C134" s="1" t="str">
        <f>'mk 001 10.3'!C135</f>
        <v>14/5/2569</v>
      </c>
      <c r="D134" s="1" t="str">
        <f>'mk 001 10.3'!D135</f>
        <v>14/5/2569</v>
      </c>
      <c r="E134">
        <f>'mk 001 10.3'!E135</f>
        <v>0</v>
      </c>
      <c r="F134" t="str">
        <f>'mk 001 10.3'!F135</f>
        <v>489M</v>
      </c>
      <c r="G134" t="str">
        <f>'mk 001 10.3'!G135</f>
        <v>Modern Trade (Makro)</v>
      </c>
      <c r="H134">
        <f>'mk 001 10.3'!H135</f>
        <v>0</v>
      </c>
      <c r="I134" t="str">
        <f>'mk 001 10.3'!I135</f>
        <v>หน่วยงานกลาง</v>
      </c>
      <c r="J134" t="str">
        <f>'mk 001 10.3'!J135</f>
        <v>F213  DMCW-รชล-พระพุทธบาท</v>
      </c>
      <c r="K134" t="str">
        <f>'mk 001 10.3'!K135</f>
        <v>00000  หน่วยงานกลาง</v>
      </c>
      <c r="L134">
        <f>'mk 001 10.3'!L135</f>
        <v>923</v>
      </c>
      <c r="M134">
        <f>'mk 001 10.3'!M135</f>
        <v>0</v>
      </c>
      <c r="N134" t="str">
        <f>'mk 001 10.3'!N135</f>
        <v>1A53004800</v>
      </c>
      <c r="O134" t="str">
        <f>'mk 001 10.3'!O135</f>
        <v>บมจ. ซีพี แอ็กซ์ตร้า สาขาลพบุรี</v>
      </c>
      <c r="P134">
        <f>'mk 001 10.3'!P135</f>
        <v>2</v>
      </c>
      <c r="Q134" t="str">
        <f>'mk 001 10.3'!Q135</f>
        <v>MAKRO 0047 ลพบุรี</v>
      </c>
      <c r="R134" s="1">
        <f>'mk 001 10.3'!R135</f>
        <v>244658</v>
      </c>
      <c r="S134" s="1" t="str">
        <f>'mk 001 10.3'!S135</f>
        <v>14/5/2569</v>
      </c>
      <c r="T134" t="str">
        <f>'mk 001 10.3'!T135</f>
        <v>H6954RMA0059202</v>
      </c>
      <c r="U134">
        <f>'mk 001 10.3'!U135</f>
        <v>23000206</v>
      </c>
      <c r="V134" t="str">
        <f>'mk 001 10.3'!V135</f>
        <v>ชิ้นมันคอ</v>
      </c>
      <c r="W134">
        <f>'mk 001 10.3'!W135</f>
        <v>5</v>
      </c>
      <c r="X134">
        <f>'mk 001 10.3'!X135</f>
        <v>5</v>
      </c>
      <c r="Y134">
        <f t="shared" si="2"/>
        <v>5</v>
      </c>
      <c r="Z134" s="13">
        <f>IF(COUNTIFS(แปลงข้อมูล!H:H,Q134,แปลงข้อมูล!I:I,U134,แปลงข้อมูล!J:J,V134)&gt;0,SUMIFS(แปลงข้อมูล!Q:Q,แปลงข้อมูล!I:I,U134,แปลงข้อมูล!H:H,Q134,แปลงข้อมูล!J:J,V134),'mk 001 10.3'!Z135)</f>
        <v>5</v>
      </c>
      <c r="AA134">
        <f>'mk 001 10.3'!AA135</f>
        <v>0</v>
      </c>
      <c r="AB134">
        <f>'mk 001 10.3'!AB135</f>
        <v>0</v>
      </c>
      <c r="AC134">
        <f>'mk 001 10.3'!AC135</f>
        <v>0</v>
      </c>
      <c r="AD134">
        <f>'mk 001 10.3'!AD135</f>
        <v>0</v>
      </c>
      <c r="AE134">
        <f>'mk 001 10.3'!AE135</f>
        <v>5</v>
      </c>
      <c r="AF134">
        <f>'mk 001 10.3'!AF135</f>
        <v>5</v>
      </c>
      <c r="AG134">
        <f>'mk 001 10.3'!AG135</f>
        <v>0</v>
      </c>
      <c r="AH134">
        <f>'mk 001 10.3'!AH135</f>
        <v>0</v>
      </c>
      <c r="AI134" t="str">
        <f>'mk 001 10.3'!AI135</f>
        <v>OPRCD489MOPRCD00000OPRCDF213OPRCD00000OPRCD923</v>
      </c>
      <c r="AJ134" t="str">
        <f>'mk 001 10.3'!AJ135</f>
        <v>ซื้อ / ขาย</v>
      </c>
      <c r="AK134" t="str">
        <f>'mk 001 10.3'!AK135</f>
        <v>By proudct</v>
      </c>
      <c r="AL134" t="str">
        <f>'mk 001 10.3'!AL135</f>
        <v>Bulk Normal</v>
      </c>
      <c r="AM134" t="str">
        <f>'mk 001 10.3'!AM135</f>
        <v>สุกร</v>
      </c>
      <c r="AN134" t="str">
        <f>'mk 001 10.3'!AN135</f>
        <v>OT002 CC-Makro</v>
      </c>
      <c r="AO134" t="str">
        <f>'mk 001 10.3'!AO135</f>
        <v>MT</v>
      </c>
      <c r="AP134">
        <f>'mk 001 10.3'!AP135</f>
        <v>2</v>
      </c>
      <c r="AQ134">
        <f>'mk 001 10.3'!AQ135</f>
        <v>0</v>
      </c>
      <c r="AR134">
        <f>'mk 001 10.3'!AR135</f>
        <v>0</v>
      </c>
      <c r="AS134">
        <f>'mk 001 10.3'!AS135</f>
        <v>0</v>
      </c>
      <c r="AT134" t="str">
        <f>'mk 001 10.3'!AT135</f>
        <v>เบญจพจน์ เพชรเหลี่ยม</v>
      </c>
      <c r="AU134" t="str">
        <f>'mk 001 10.3'!AU135</f>
        <v>2026-05-11-13.33.46.000000</v>
      </c>
      <c r="AV134" t="str">
        <f>'mk 001 10.3'!AV135</f>
        <v>ก.ก.</v>
      </c>
      <c r="AW134" t="str">
        <f>'mk 001 10.3'!AW135</f>
        <v>ก.ก.</v>
      </c>
      <c r="AX134" t="str">
        <f>'mk 001 10.3'!AX135</f>
        <v xml:space="preserve"> </v>
      </c>
      <c r="AY134">
        <f>'mk 001 10.3'!AY135</f>
        <v>0</v>
      </c>
      <c r="AZ134" t="str">
        <f>'mk 001 10.3'!AZ135</f>
        <v>N</v>
      </c>
      <c r="BA134" s="22">
        <f>'mk 001 10.3'!BA135</f>
        <v>9044989536419</v>
      </c>
      <c r="BB134">
        <f>'mk 001 10.3'!BB135</f>
        <v>0</v>
      </c>
      <c r="BC134">
        <f>'mk 001 10.3'!BC135</f>
        <v>0</v>
      </c>
      <c r="BD134">
        <f>'mk 001 10.3'!BD135</f>
        <v>1</v>
      </c>
      <c r="BE134">
        <f>'mk 001 10.3'!BE135</f>
        <v>0</v>
      </c>
      <c r="BF134" t="str">
        <f>'mk 001 10.3'!BF135</f>
        <v>;0000</v>
      </c>
      <c r="BG134">
        <f>'mk 001 10.3'!BG135</f>
        <v>1333314600</v>
      </c>
      <c r="BH134" t="str">
        <f>'mk 001 10.3'!BH135</f>
        <v>G</v>
      </c>
      <c r="BI134">
        <f>'mk 001 10.3'!BI135</f>
        <v>5</v>
      </c>
      <c r="BJ134">
        <f>'mk 001 10.3'!BJ135</f>
        <v>5</v>
      </c>
      <c r="BK134">
        <f>'mk 001 10.3'!BK135</f>
        <v>1300</v>
      </c>
      <c r="BL134" t="str">
        <f>'mk 001 10.3'!BL135</f>
        <v>SYSBATCH</v>
      </c>
      <c r="BM134">
        <f>'mk 001 10.3'!BM135</f>
        <v>0</v>
      </c>
      <c r="BN134">
        <f>'mk 001 10.3'!BN135</f>
        <v>0</v>
      </c>
    </row>
    <row r="135" spans="1:66" x14ac:dyDescent="0.35">
      <c r="A135">
        <f>'mk 001 10.3'!A136</f>
        <v>0</v>
      </c>
      <c r="B135">
        <f>'mk 001 10.3'!B136</f>
        <v>0</v>
      </c>
      <c r="C135" s="1" t="str">
        <f>'mk 001 10.3'!C136</f>
        <v>14/5/2569</v>
      </c>
      <c r="D135" s="1" t="str">
        <f>'mk 001 10.3'!D136</f>
        <v>14/5/2569</v>
      </c>
      <c r="E135">
        <f>'mk 001 10.3'!E136</f>
        <v>0</v>
      </c>
      <c r="F135" t="str">
        <f>'mk 001 10.3'!F136</f>
        <v>489M</v>
      </c>
      <c r="G135" t="str">
        <f>'mk 001 10.3'!G136</f>
        <v>Modern Trade (Makro)</v>
      </c>
      <c r="H135">
        <f>'mk 001 10.3'!H136</f>
        <v>0</v>
      </c>
      <c r="I135" t="str">
        <f>'mk 001 10.3'!I136</f>
        <v>หน่วยงานกลาง</v>
      </c>
      <c r="J135" t="str">
        <f>'mk 001 10.3'!J136</f>
        <v>F213  DMCW-รชล-พระพุทธบาท</v>
      </c>
      <c r="K135" t="str">
        <f>'mk 001 10.3'!K136</f>
        <v>00000  หน่วยงานกลาง</v>
      </c>
      <c r="L135">
        <f>'mk 001 10.3'!L136</f>
        <v>923</v>
      </c>
      <c r="M135">
        <f>'mk 001 10.3'!M136</f>
        <v>0</v>
      </c>
      <c r="N135" t="str">
        <f>'mk 001 10.3'!N136</f>
        <v>1A53004800</v>
      </c>
      <c r="O135" t="str">
        <f>'mk 001 10.3'!O136</f>
        <v>บมจ. ซีพี แอ็กซ์ตร้า สาขาลพบุรี</v>
      </c>
      <c r="P135">
        <f>'mk 001 10.3'!P136</f>
        <v>2</v>
      </c>
      <c r="Q135" t="str">
        <f>'mk 001 10.3'!Q136</f>
        <v>MAKRO 0047 ลพบุรี</v>
      </c>
      <c r="R135" s="1">
        <f>'mk 001 10.3'!R136</f>
        <v>244658</v>
      </c>
      <c r="S135" s="1" t="str">
        <f>'mk 001 10.3'!S136</f>
        <v>14/5/2569</v>
      </c>
      <c r="T135" t="str">
        <f>'mk 001 10.3'!T136</f>
        <v>H6954RMA0059202</v>
      </c>
      <c r="U135">
        <f>'mk 001 10.3'!U136</f>
        <v>23105752</v>
      </c>
      <c r="V135" t="str">
        <f>'mk 001 10.3'!V136</f>
        <v>เซพแพ็ค สันนอกหมู กก. ละ</v>
      </c>
      <c r="W135">
        <f>'mk 001 10.3'!W136</f>
        <v>0</v>
      </c>
      <c r="X135">
        <f>'mk 001 10.3'!X136</f>
        <v>0</v>
      </c>
      <c r="Y135">
        <f t="shared" si="2"/>
        <v>0</v>
      </c>
      <c r="Z135" s="13">
        <f>IF(COUNTIFS(แปลงข้อมูล!H:H,Q135,แปลงข้อมูล!I:I,U135,แปลงข้อมูล!J:J,V135)&gt;0,SUMIFS(แปลงข้อมูล!Q:Q,แปลงข้อมูล!I:I,U135,แปลงข้อมูล!H:H,Q135,แปลงข้อมูล!J:J,V135),'mk 001 10.3'!Z136)</f>
        <v>0</v>
      </c>
      <c r="AA135">
        <f>'mk 001 10.3'!AA136</f>
        <v>0</v>
      </c>
      <c r="AB135">
        <f>'mk 001 10.3'!AB136</f>
        <v>0</v>
      </c>
      <c r="AC135">
        <f>'mk 001 10.3'!AC136</f>
        <v>0</v>
      </c>
      <c r="AD135">
        <f>'mk 001 10.3'!AD136</f>
        <v>0</v>
      </c>
      <c r="AE135">
        <f>'mk 001 10.3'!AE136</f>
        <v>0</v>
      </c>
      <c r="AF135">
        <f>'mk 001 10.3'!AF136</f>
        <v>0</v>
      </c>
      <c r="AG135">
        <f>'mk 001 10.3'!AG136</f>
        <v>0</v>
      </c>
      <c r="AH135">
        <f>'mk 001 10.3'!AH136</f>
        <v>0</v>
      </c>
      <c r="AI135" t="str">
        <f>'mk 001 10.3'!AI136</f>
        <v>OPRCD489MOPRCD00000OPRCDF213OPRCD00000OPRCD923</v>
      </c>
      <c r="AJ135" t="str">
        <f>'mk 001 10.3'!AJ136</f>
        <v>ซื้อ / ขาย</v>
      </c>
      <c r="AK135" t="str">
        <f>'mk 001 10.3'!AK136</f>
        <v>Main proudct</v>
      </c>
      <c r="AL135" t="str">
        <f>'mk 001 10.3'!AL136</f>
        <v>Bulk Normal</v>
      </c>
      <c r="AM135" t="str">
        <f>'mk 001 10.3'!AM136</f>
        <v>สุกร</v>
      </c>
      <c r="AN135" t="str">
        <f>'mk 001 10.3'!AN136</f>
        <v>OT002 CC-Makro</v>
      </c>
      <c r="AO135" t="str">
        <f>'mk 001 10.3'!AO136</f>
        <v>MT</v>
      </c>
      <c r="AP135">
        <f>'mk 001 10.3'!AP136</f>
        <v>2</v>
      </c>
      <c r="AQ135">
        <f>'mk 001 10.3'!AQ136</f>
        <v>0</v>
      </c>
      <c r="AR135">
        <f>'mk 001 10.3'!AR136</f>
        <v>0</v>
      </c>
      <c r="AS135">
        <f>'mk 001 10.3'!AS136</f>
        <v>0</v>
      </c>
      <c r="AT135" t="str">
        <f>'mk 001 10.3'!AT136</f>
        <v>เบญจพจน์ เพชรเหลี่ยม</v>
      </c>
      <c r="AU135" t="str">
        <f>'mk 001 10.3'!AU136</f>
        <v>2026-05-11-13.33.46.000000</v>
      </c>
      <c r="AV135" t="str">
        <f>'mk 001 10.3'!AV136</f>
        <v>ก.ก.</v>
      </c>
      <c r="AW135" t="str">
        <f>'mk 001 10.3'!AW136</f>
        <v>ก.ก.</v>
      </c>
      <c r="AX135" t="str">
        <f>'mk 001 10.3'!AX136</f>
        <v xml:space="preserve"> </v>
      </c>
      <c r="AY135">
        <f>'mk 001 10.3'!AY136</f>
        <v>0</v>
      </c>
      <c r="AZ135" t="str">
        <f>'mk 001 10.3'!AZ136</f>
        <v>N</v>
      </c>
      <c r="BA135" s="22">
        <f>'mk 001 10.3'!BA136</f>
        <v>9044989536419</v>
      </c>
      <c r="BB135">
        <f>'mk 001 10.3'!BB136</f>
        <v>0</v>
      </c>
      <c r="BC135">
        <f>'mk 001 10.3'!BC136</f>
        <v>0</v>
      </c>
      <c r="BD135">
        <f>'mk 001 10.3'!BD136</f>
        <v>1</v>
      </c>
      <c r="BE135">
        <f>'mk 001 10.3'!BE136</f>
        <v>0</v>
      </c>
      <c r="BF135" t="str">
        <f>'mk 001 10.3'!BF136</f>
        <v>;0000</v>
      </c>
      <c r="BG135">
        <f>'mk 001 10.3'!BG136</f>
        <v>1333314600</v>
      </c>
      <c r="BH135" t="str">
        <f>'mk 001 10.3'!BH136</f>
        <v>G</v>
      </c>
      <c r="BI135">
        <f>'mk 001 10.3'!BI136</f>
        <v>0</v>
      </c>
      <c r="BJ135">
        <f>'mk 001 10.3'!BJ136</f>
        <v>0</v>
      </c>
      <c r="BK135">
        <f>'mk 001 10.3'!BK136</f>
        <v>1300</v>
      </c>
      <c r="BL135" t="str">
        <f>'mk 001 10.3'!BL136</f>
        <v>SYSBATCH</v>
      </c>
      <c r="BM135">
        <f>'mk 001 10.3'!BM136</f>
        <v>0</v>
      </c>
      <c r="BN135">
        <f>'mk 001 10.3'!BN136</f>
        <v>0</v>
      </c>
    </row>
    <row r="136" spans="1:66" x14ac:dyDescent="0.35">
      <c r="A136">
        <f>'mk 001 10.3'!A137</f>
        <v>0</v>
      </c>
      <c r="B136">
        <f>'mk 001 10.3'!B137</f>
        <v>0</v>
      </c>
      <c r="C136" s="1" t="str">
        <f>'mk 001 10.3'!C137</f>
        <v>14/5/2569</v>
      </c>
      <c r="D136" s="1" t="str">
        <f>'mk 001 10.3'!D137</f>
        <v>14/5/2569</v>
      </c>
      <c r="E136">
        <f>'mk 001 10.3'!E137</f>
        <v>0</v>
      </c>
      <c r="F136" t="str">
        <f>'mk 001 10.3'!F137</f>
        <v>489M</v>
      </c>
      <c r="G136" t="str">
        <f>'mk 001 10.3'!G137</f>
        <v>Modern Trade (Makro)</v>
      </c>
      <c r="H136">
        <f>'mk 001 10.3'!H137</f>
        <v>0</v>
      </c>
      <c r="I136" t="str">
        <f>'mk 001 10.3'!I137</f>
        <v>หน่วยงานกลาง</v>
      </c>
      <c r="J136" t="str">
        <f>'mk 001 10.3'!J137</f>
        <v>F213  DMCW-รชล-พระพุทธบาท</v>
      </c>
      <c r="K136" t="str">
        <f>'mk 001 10.3'!K137</f>
        <v>00000  หน่วยงานกลาง</v>
      </c>
      <c r="L136">
        <f>'mk 001 10.3'!L137</f>
        <v>923</v>
      </c>
      <c r="M136">
        <f>'mk 001 10.3'!M137</f>
        <v>0</v>
      </c>
      <c r="N136" t="str">
        <f>'mk 001 10.3'!N137</f>
        <v>1A53004800</v>
      </c>
      <c r="O136" t="str">
        <f>'mk 001 10.3'!O137</f>
        <v>บมจ. ซีพี แอ็กซ์ตร้า สาขาลพบุรี</v>
      </c>
      <c r="P136">
        <f>'mk 001 10.3'!P137</f>
        <v>2</v>
      </c>
      <c r="Q136" t="str">
        <f>'mk 001 10.3'!Q137</f>
        <v>MAKRO 0047 ลพบุรี</v>
      </c>
      <c r="R136" s="1">
        <f>'mk 001 10.3'!R137</f>
        <v>244658</v>
      </c>
      <c r="S136" s="1" t="str">
        <f>'mk 001 10.3'!S137</f>
        <v>14/5/2569</v>
      </c>
      <c r="T136" t="str">
        <f>'mk 001 10.3'!T137</f>
        <v>H6954RMA0059202</v>
      </c>
      <c r="U136">
        <f>'mk 001 10.3'!U137</f>
        <v>23088112</v>
      </c>
      <c r="V136" t="str">
        <f>'mk 001 10.3'!V137</f>
        <v>เครื่องในหมูรวมหั่นชิ้น (M)</v>
      </c>
      <c r="W136">
        <f>'mk 001 10.3'!W137</f>
        <v>5</v>
      </c>
      <c r="X136">
        <f>'mk 001 10.3'!X137</f>
        <v>5</v>
      </c>
      <c r="Y136">
        <f t="shared" si="2"/>
        <v>5</v>
      </c>
      <c r="Z136" s="13">
        <f>IF(COUNTIFS(แปลงข้อมูล!H:H,Q136,แปลงข้อมูล!I:I,U136,แปลงข้อมูล!J:J,V136)&gt;0,SUMIFS(แปลงข้อมูล!Q:Q,แปลงข้อมูล!I:I,U136,แปลงข้อมูล!H:H,Q136,แปลงข้อมูล!J:J,V136),'mk 001 10.3'!Z137)</f>
        <v>5</v>
      </c>
      <c r="AA136">
        <f>'mk 001 10.3'!AA137</f>
        <v>0</v>
      </c>
      <c r="AB136">
        <f>'mk 001 10.3'!AB137</f>
        <v>0</v>
      </c>
      <c r="AC136">
        <f>'mk 001 10.3'!AC137</f>
        <v>0</v>
      </c>
      <c r="AD136">
        <f>'mk 001 10.3'!AD137</f>
        <v>0</v>
      </c>
      <c r="AE136">
        <f>'mk 001 10.3'!AE137</f>
        <v>5</v>
      </c>
      <c r="AF136">
        <f>'mk 001 10.3'!AF137</f>
        <v>5</v>
      </c>
      <c r="AG136">
        <f>'mk 001 10.3'!AG137</f>
        <v>0</v>
      </c>
      <c r="AH136">
        <f>'mk 001 10.3'!AH137</f>
        <v>0</v>
      </c>
      <c r="AI136" t="str">
        <f>'mk 001 10.3'!AI137</f>
        <v>OPRCD489MOPRCD00000OPRCDF213OPRCD00000OPRCD923</v>
      </c>
      <c r="AJ136" t="str">
        <f>'mk 001 10.3'!AJ137</f>
        <v>ซื้อ / ขาย</v>
      </c>
      <c r="AK136" t="str">
        <f>'mk 001 10.3'!AK137</f>
        <v>By proudct</v>
      </c>
      <c r="AL136" t="str">
        <f>'mk 001 10.3'!AL137</f>
        <v>Bulk Normal</v>
      </c>
      <c r="AM136" t="str">
        <f>'mk 001 10.3'!AM137</f>
        <v>สุกร</v>
      </c>
      <c r="AN136" t="str">
        <f>'mk 001 10.3'!AN137</f>
        <v>OT002 CC-Makro</v>
      </c>
      <c r="AO136" t="str">
        <f>'mk 001 10.3'!AO137</f>
        <v>MT</v>
      </c>
      <c r="AP136">
        <f>'mk 001 10.3'!AP137</f>
        <v>2</v>
      </c>
      <c r="AQ136">
        <f>'mk 001 10.3'!AQ137</f>
        <v>0</v>
      </c>
      <c r="AR136">
        <f>'mk 001 10.3'!AR137</f>
        <v>0</v>
      </c>
      <c r="AS136">
        <f>'mk 001 10.3'!AS137</f>
        <v>0</v>
      </c>
      <c r="AT136" t="str">
        <f>'mk 001 10.3'!AT137</f>
        <v>เบญจพจน์ เพชรเหลี่ยม</v>
      </c>
      <c r="AU136" t="str">
        <f>'mk 001 10.3'!AU137</f>
        <v>2026-05-11-13.33.46.000000</v>
      </c>
      <c r="AV136" t="str">
        <f>'mk 001 10.3'!AV137</f>
        <v>ก.ก.</v>
      </c>
      <c r="AW136" t="str">
        <f>'mk 001 10.3'!AW137</f>
        <v>ก.ก.</v>
      </c>
      <c r="AX136" t="str">
        <f>'mk 001 10.3'!AX137</f>
        <v xml:space="preserve"> </v>
      </c>
      <c r="AY136">
        <f>'mk 001 10.3'!AY137</f>
        <v>0</v>
      </c>
      <c r="AZ136" t="str">
        <f>'mk 001 10.3'!AZ137</f>
        <v>N</v>
      </c>
      <c r="BA136" s="22">
        <f>'mk 001 10.3'!BA137</f>
        <v>9044989536419</v>
      </c>
      <c r="BB136">
        <f>'mk 001 10.3'!BB137</f>
        <v>0</v>
      </c>
      <c r="BC136">
        <f>'mk 001 10.3'!BC137</f>
        <v>0</v>
      </c>
      <c r="BD136">
        <f>'mk 001 10.3'!BD137</f>
        <v>1</v>
      </c>
      <c r="BE136">
        <f>'mk 001 10.3'!BE137</f>
        <v>0</v>
      </c>
      <c r="BF136" t="str">
        <f>'mk 001 10.3'!BF137</f>
        <v>;0000</v>
      </c>
      <c r="BG136">
        <f>'mk 001 10.3'!BG137</f>
        <v>1333314600</v>
      </c>
      <c r="BH136" t="str">
        <f>'mk 001 10.3'!BH137</f>
        <v>G</v>
      </c>
      <c r="BI136">
        <f>'mk 001 10.3'!BI137</f>
        <v>5</v>
      </c>
      <c r="BJ136">
        <f>'mk 001 10.3'!BJ137</f>
        <v>5</v>
      </c>
      <c r="BK136">
        <f>'mk 001 10.3'!BK137</f>
        <v>1300</v>
      </c>
      <c r="BL136" t="str">
        <f>'mk 001 10.3'!BL137</f>
        <v>SYSBATCH</v>
      </c>
      <c r="BM136">
        <f>'mk 001 10.3'!BM137</f>
        <v>0</v>
      </c>
      <c r="BN136">
        <f>'mk 001 10.3'!BN137</f>
        <v>0</v>
      </c>
    </row>
    <row r="137" spans="1:66" x14ac:dyDescent="0.35">
      <c r="A137">
        <f>'mk 001 10.3'!A138</f>
        <v>0</v>
      </c>
      <c r="B137">
        <f>'mk 001 10.3'!B138</f>
        <v>0</v>
      </c>
      <c r="C137" s="1" t="str">
        <f>'mk 001 10.3'!C138</f>
        <v>14/5/2569</v>
      </c>
      <c r="D137" s="1" t="str">
        <f>'mk 001 10.3'!D138</f>
        <v>14/5/2569</v>
      </c>
      <c r="E137">
        <f>'mk 001 10.3'!E138</f>
        <v>0</v>
      </c>
      <c r="F137" t="str">
        <f>'mk 001 10.3'!F138</f>
        <v>489M</v>
      </c>
      <c r="G137" t="str">
        <f>'mk 001 10.3'!G138</f>
        <v>Modern Trade (Makro)</v>
      </c>
      <c r="H137">
        <f>'mk 001 10.3'!H138</f>
        <v>0</v>
      </c>
      <c r="I137" t="str">
        <f>'mk 001 10.3'!I138</f>
        <v>หน่วยงานกลาง</v>
      </c>
      <c r="J137" t="str">
        <f>'mk 001 10.3'!J138</f>
        <v>F213  DMCW-รชล-พระพุทธบาท</v>
      </c>
      <c r="K137" t="str">
        <f>'mk 001 10.3'!K138</f>
        <v>00000  หน่วยงานกลาง</v>
      </c>
      <c r="L137">
        <f>'mk 001 10.3'!L138</f>
        <v>923</v>
      </c>
      <c r="M137">
        <f>'mk 001 10.3'!M138</f>
        <v>0</v>
      </c>
      <c r="N137" t="str">
        <f>'mk 001 10.3'!N138</f>
        <v>1A53004800</v>
      </c>
      <c r="O137" t="str">
        <f>'mk 001 10.3'!O138</f>
        <v>บมจ. ซีพี แอ็กซ์ตร้า สาขาลพบุรี</v>
      </c>
      <c r="P137">
        <f>'mk 001 10.3'!P138</f>
        <v>2</v>
      </c>
      <c r="Q137" t="str">
        <f>'mk 001 10.3'!Q138</f>
        <v>MAKRO 0047 ลพบุรี</v>
      </c>
      <c r="R137" s="1">
        <f>'mk 001 10.3'!R138</f>
        <v>244658</v>
      </c>
      <c r="S137" s="1" t="str">
        <f>'mk 001 10.3'!S138</f>
        <v>14/5/2569</v>
      </c>
      <c r="T137" t="str">
        <f>'mk 001 10.3'!T138</f>
        <v>H6954RMA0059202</v>
      </c>
      <c r="U137">
        <f>'mk 001 10.3'!U138</f>
        <v>23098995</v>
      </c>
      <c r="V137" t="str">
        <f>'mk 001 10.3'!V138</f>
        <v>มันหั่นเต๋า กก ละ</v>
      </c>
      <c r="W137">
        <f>'mk 001 10.3'!W138</f>
        <v>70</v>
      </c>
      <c r="X137">
        <f>'mk 001 10.3'!X138</f>
        <v>70</v>
      </c>
      <c r="Y137">
        <f t="shared" si="2"/>
        <v>70</v>
      </c>
      <c r="Z137" s="13">
        <f>IF(COUNTIFS(แปลงข้อมูล!H:H,Q137,แปลงข้อมูล!I:I,U137,แปลงข้อมูล!J:J,V137)&gt;0,SUMIFS(แปลงข้อมูล!Q:Q,แปลงข้อมูล!I:I,U137,แปลงข้อมูล!H:H,Q137,แปลงข้อมูล!J:J,V137),'mk 001 10.3'!Z138)</f>
        <v>70</v>
      </c>
      <c r="AA137">
        <f>'mk 001 10.3'!AA138</f>
        <v>0</v>
      </c>
      <c r="AB137">
        <f>'mk 001 10.3'!AB138</f>
        <v>0</v>
      </c>
      <c r="AC137">
        <f>'mk 001 10.3'!AC138</f>
        <v>0</v>
      </c>
      <c r="AD137">
        <f>'mk 001 10.3'!AD138</f>
        <v>0</v>
      </c>
      <c r="AE137">
        <f>'mk 001 10.3'!AE138</f>
        <v>70</v>
      </c>
      <c r="AF137">
        <f>'mk 001 10.3'!AF138</f>
        <v>70</v>
      </c>
      <c r="AG137">
        <f>'mk 001 10.3'!AG138</f>
        <v>0</v>
      </c>
      <c r="AH137">
        <f>'mk 001 10.3'!AH138</f>
        <v>0</v>
      </c>
      <c r="AI137" t="str">
        <f>'mk 001 10.3'!AI138</f>
        <v>OPRCD489MOPRCD00000OPRCDF213OPRCD00000OPRCD923</v>
      </c>
      <c r="AJ137" t="str">
        <f>'mk 001 10.3'!AJ138</f>
        <v>ซื้อ / ขาย</v>
      </c>
      <c r="AK137" t="str">
        <f>'mk 001 10.3'!AK138</f>
        <v>By proudct</v>
      </c>
      <c r="AL137" t="str">
        <f>'mk 001 10.3'!AL138</f>
        <v>Bulk Normal</v>
      </c>
      <c r="AM137" t="str">
        <f>'mk 001 10.3'!AM138</f>
        <v>สุกร</v>
      </c>
      <c r="AN137" t="str">
        <f>'mk 001 10.3'!AN138</f>
        <v>OT002 CC-Makro</v>
      </c>
      <c r="AO137" t="str">
        <f>'mk 001 10.3'!AO138</f>
        <v>MT</v>
      </c>
      <c r="AP137">
        <f>'mk 001 10.3'!AP138</f>
        <v>2</v>
      </c>
      <c r="AQ137">
        <f>'mk 001 10.3'!AQ138</f>
        <v>0</v>
      </c>
      <c r="AR137">
        <f>'mk 001 10.3'!AR138</f>
        <v>0</v>
      </c>
      <c r="AS137">
        <f>'mk 001 10.3'!AS138</f>
        <v>0</v>
      </c>
      <c r="AT137" t="str">
        <f>'mk 001 10.3'!AT138</f>
        <v>เบญจพจน์ เพชรเหลี่ยม</v>
      </c>
      <c r="AU137" t="str">
        <f>'mk 001 10.3'!AU138</f>
        <v>2026-05-11-13.33.46.000000</v>
      </c>
      <c r="AV137" t="str">
        <f>'mk 001 10.3'!AV138</f>
        <v>ก.ก.</v>
      </c>
      <c r="AW137" t="str">
        <f>'mk 001 10.3'!AW138</f>
        <v>ก.ก.</v>
      </c>
      <c r="AX137" t="str">
        <f>'mk 001 10.3'!AX138</f>
        <v xml:space="preserve"> </v>
      </c>
      <c r="AY137">
        <f>'mk 001 10.3'!AY138</f>
        <v>0</v>
      </c>
      <c r="AZ137" t="str">
        <f>'mk 001 10.3'!AZ138</f>
        <v>N</v>
      </c>
      <c r="BA137" s="22">
        <f>'mk 001 10.3'!BA138</f>
        <v>9044989536419</v>
      </c>
      <c r="BB137">
        <f>'mk 001 10.3'!BB138</f>
        <v>0</v>
      </c>
      <c r="BC137">
        <f>'mk 001 10.3'!BC138</f>
        <v>0</v>
      </c>
      <c r="BD137">
        <f>'mk 001 10.3'!BD138</f>
        <v>1</v>
      </c>
      <c r="BE137">
        <f>'mk 001 10.3'!BE138</f>
        <v>0</v>
      </c>
      <c r="BF137" t="str">
        <f>'mk 001 10.3'!BF138</f>
        <v>;0000</v>
      </c>
      <c r="BG137">
        <f>'mk 001 10.3'!BG138</f>
        <v>1333314600</v>
      </c>
      <c r="BH137" t="str">
        <f>'mk 001 10.3'!BH138</f>
        <v>G</v>
      </c>
      <c r="BI137">
        <f>'mk 001 10.3'!BI138</f>
        <v>70</v>
      </c>
      <c r="BJ137">
        <f>'mk 001 10.3'!BJ138</f>
        <v>70</v>
      </c>
      <c r="BK137">
        <f>'mk 001 10.3'!BK138</f>
        <v>1300</v>
      </c>
      <c r="BL137" t="str">
        <f>'mk 001 10.3'!BL138</f>
        <v>SYSBATCH</v>
      </c>
      <c r="BM137">
        <f>'mk 001 10.3'!BM138</f>
        <v>0</v>
      </c>
      <c r="BN137">
        <f>'mk 001 10.3'!BN138</f>
        <v>0</v>
      </c>
    </row>
    <row r="138" spans="1:66" x14ac:dyDescent="0.35">
      <c r="A138">
        <f>'mk 001 10.3'!A139</f>
        <v>0</v>
      </c>
      <c r="B138">
        <f>'mk 001 10.3'!B139</f>
        <v>0</v>
      </c>
      <c r="C138" s="1" t="str">
        <f>'mk 001 10.3'!C139</f>
        <v>14/5/2569</v>
      </c>
      <c r="D138" s="1" t="str">
        <f>'mk 001 10.3'!D139</f>
        <v>14/5/2569</v>
      </c>
      <c r="E138">
        <f>'mk 001 10.3'!E139</f>
        <v>0</v>
      </c>
      <c r="F138" t="str">
        <f>'mk 001 10.3'!F139</f>
        <v>489M</v>
      </c>
      <c r="G138" t="str">
        <f>'mk 001 10.3'!G139</f>
        <v>Modern Trade (Makro)</v>
      </c>
      <c r="H138">
        <f>'mk 001 10.3'!H139</f>
        <v>0</v>
      </c>
      <c r="I138" t="str">
        <f>'mk 001 10.3'!I139</f>
        <v>หน่วยงานกลาง</v>
      </c>
      <c r="J138" t="str">
        <f>'mk 001 10.3'!J139</f>
        <v>F213  DMCW-รชล-พระพุทธบาท</v>
      </c>
      <c r="K138" t="str">
        <f>'mk 001 10.3'!K139</f>
        <v>00000  หน่วยงานกลาง</v>
      </c>
      <c r="L138">
        <f>'mk 001 10.3'!L139</f>
        <v>923</v>
      </c>
      <c r="M138">
        <f>'mk 001 10.3'!M139</f>
        <v>0</v>
      </c>
      <c r="N138" t="str">
        <f>'mk 001 10.3'!N139</f>
        <v>1A53005200</v>
      </c>
      <c r="O138" t="str">
        <f>'mk 001 10.3'!O139</f>
        <v>บมจ. ซีพี แอ็กซ์ตร้า สาขาอยุธยา</v>
      </c>
      <c r="P138">
        <f>'mk 001 10.3'!P139</f>
        <v>2</v>
      </c>
      <c r="Q138" t="str">
        <f>'mk 001 10.3'!Q139</f>
        <v>MAKRO 0051 อยุธยา</v>
      </c>
      <c r="R138" s="1">
        <f>'mk 001 10.3'!R139</f>
        <v>244658</v>
      </c>
      <c r="S138" s="1" t="str">
        <f>'mk 001 10.3'!S139</f>
        <v>14/5/2569</v>
      </c>
      <c r="T138" t="str">
        <f>'mk 001 10.3'!T139</f>
        <v>H6954RMA0059205</v>
      </c>
      <c r="U138">
        <f>'mk 001 10.3'!U139</f>
        <v>23058552</v>
      </c>
      <c r="V138" t="str">
        <f>'mk 001 10.3'!V139</f>
        <v>มันสันหลัง (M)</v>
      </c>
      <c r="W138">
        <f>'mk 001 10.3'!W139</f>
        <v>40</v>
      </c>
      <c r="X138">
        <f>'mk 001 10.3'!X139</f>
        <v>40</v>
      </c>
      <c r="Y138">
        <f t="shared" si="2"/>
        <v>40</v>
      </c>
      <c r="Z138" s="13">
        <f>IF(COUNTIFS(แปลงข้อมูล!H:H,Q138,แปลงข้อมูล!I:I,U138,แปลงข้อมูล!J:J,V138)&gt;0,SUMIFS(แปลงข้อมูล!Q:Q,แปลงข้อมูล!I:I,U138,แปลงข้อมูล!H:H,Q138,แปลงข้อมูล!J:J,V138),'mk 001 10.3'!Z139)</f>
        <v>40</v>
      </c>
      <c r="AA138">
        <f>'mk 001 10.3'!AA139</f>
        <v>0</v>
      </c>
      <c r="AB138">
        <f>'mk 001 10.3'!AB139</f>
        <v>0</v>
      </c>
      <c r="AC138">
        <f>'mk 001 10.3'!AC139</f>
        <v>0</v>
      </c>
      <c r="AD138">
        <f>'mk 001 10.3'!AD139</f>
        <v>0</v>
      </c>
      <c r="AE138">
        <f>'mk 001 10.3'!AE139</f>
        <v>40</v>
      </c>
      <c r="AF138">
        <f>'mk 001 10.3'!AF139</f>
        <v>40</v>
      </c>
      <c r="AG138">
        <f>'mk 001 10.3'!AG139</f>
        <v>0</v>
      </c>
      <c r="AH138">
        <f>'mk 001 10.3'!AH139</f>
        <v>0</v>
      </c>
      <c r="AI138" t="str">
        <f>'mk 001 10.3'!AI139</f>
        <v>OPRCD489MOPRCD00000OPRCDF213OPRCD00000OPRCD923</v>
      </c>
      <c r="AJ138" t="str">
        <f>'mk 001 10.3'!AJ139</f>
        <v>ซื้อ / ขาย</v>
      </c>
      <c r="AK138" t="str">
        <f>'mk 001 10.3'!AK139</f>
        <v>By proudct</v>
      </c>
      <c r="AL138" t="str">
        <f>'mk 001 10.3'!AL139</f>
        <v>Bulk Normal</v>
      </c>
      <c r="AM138" t="str">
        <f>'mk 001 10.3'!AM139</f>
        <v>สุกร</v>
      </c>
      <c r="AN138" t="str">
        <f>'mk 001 10.3'!AN139</f>
        <v>OT002 CC-Makro</v>
      </c>
      <c r="AO138" t="str">
        <f>'mk 001 10.3'!AO139</f>
        <v>MT</v>
      </c>
      <c r="AP138">
        <f>'mk 001 10.3'!AP139</f>
        <v>2</v>
      </c>
      <c r="AQ138">
        <f>'mk 001 10.3'!AQ139</f>
        <v>0</v>
      </c>
      <c r="AR138">
        <f>'mk 001 10.3'!AR139</f>
        <v>0</v>
      </c>
      <c r="AS138">
        <f>'mk 001 10.3'!AS139</f>
        <v>0</v>
      </c>
      <c r="AT138" t="str">
        <f>'mk 001 10.3'!AT139</f>
        <v>System Batch</v>
      </c>
      <c r="AU138" t="str">
        <f>'mk 001 10.3'!AU139</f>
        <v>2026-05-11-13.33.46.000000</v>
      </c>
      <c r="AV138" t="str">
        <f>'mk 001 10.3'!AV139</f>
        <v>ก.ก.</v>
      </c>
      <c r="AW138" t="str">
        <f>'mk 001 10.3'!AW139</f>
        <v>ก.ก.</v>
      </c>
      <c r="AX138" t="str">
        <f>'mk 001 10.3'!AX139</f>
        <v xml:space="preserve"> </v>
      </c>
      <c r="AY138">
        <f>'mk 001 10.3'!AY139</f>
        <v>0</v>
      </c>
      <c r="AZ138" t="str">
        <f>'mk 001 10.3'!AZ139</f>
        <v>N</v>
      </c>
      <c r="BA138" s="22">
        <f>'mk 001 10.3'!BA139</f>
        <v>9044989536422</v>
      </c>
      <c r="BB138">
        <f>'mk 001 10.3'!BB139</f>
        <v>0</v>
      </c>
      <c r="BC138">
        <f>'mk 001 10.3'!BC139</f>
        <v>0</v>
      </c>
      <c r="BD138">
        <f>'mk 001 10.3'!BD139</f>
        <v>1</v>
      </c>
      <c r="BE138">
        <f>'mk 001 10.3'!BE139</f>
        <v>0</v>
      </c>
      <c r="BF138" t="str">
        <f>'mk 001 10.3'!BF139</f>
        <v>;0000</v>
      </c>
      <c r="BG138">
        <f>'mk 001 10.3'!BG139</f>
        <v>1333314600</v>
      </c>
      <c r="BH138" t="str">
        <f>'mk 001 10.3'!BH139</f>
        <v>G</v>
      </c>
      <c r="BI138">
        <f>'mk 001 10.3'!BI139</f>
        <v>40</v>
      </c>
      <c r="BJ138">
        <f>'mk 001 10.3'!BJ139</f>
        <v>40</v>
      </c>
      <c r="BK138">
        <f>'mk 001 10.3'!BK139</f>
        <v>1300</v>
      </c>
      <c r="BL138" t="str">
        <f>'mk 001 10.3'!BL139</f>
        <v>SYSBATCH</v>
      </c>
      <c r="BM138">
        <f>'mk 001 10.3'!BM139</f>
        <v>0</v>
      </c>
      <c r="BN138">
        <f>'mk 001 10.3'!BN139</f>
        <v>0</v>
      </c>
    </row>
    <row r="139" spans="1:66" x14ac:dyDescent="0.35">
      <c r="A139">
        <f>'mk 001 10.3'!A140</f>
        <v>0</v>
      </c>
      <c r="B139">
        <f>'mk 001 10.3'!B140</f>
        <v>0</v>
      </c>
      <c r="C139" s="1" t="str">
        <f>'mk 001 10.3'!C140</f>
        <v>14/5/2569</v>
      </c>
      <c r="D139" s="1" t="str">
        <f>'mk 001 10.3'!D140</f>
        <v>14/5/2569</v>
      </c>
      <c r="E139">
        <f>'mk 001 10.3'!E140</f>
        <v>0</v>
      </c>
      <c r="F139" t="str">
        <f>'mk 001 10.3'!F140</f>
        <v>489M</v>
      </c>
      <c r="G139" t="str">
        <f>'mk 001 10.3'!G140</f>
        <v>Modern Trade (Makro)</v>
      </c>
      <c r="H139">
        <f>'mk 001 10.3'!H140</f>
        <v>0</v>
      </c>
      <c r="I139" t="str">
        <f>'mk 001 10.3'!I140</f>
        <v>หน่วยงานกลาง</v>
      </c>
      <c r="J139" t="str">
        <f>'mk 001 10.3'!J140</f>
        <v>F213  DMCW-รชล-พระพุทธบาท</v>
      </c>
      <c r="K139" t="str">
        <f>'mk 001 10.3'!K140</f>
        <v>00000  หน่วยงานกลาง</v>
      </c>
      <c r="L139">
        <f>'mk 001 10.3'!L140</f>
        <v>923</v>
      </c>
      <c r="M139">
        <f>'mk 001 10.3'!M140</f>
        <v>0</v>
      </c>
      <c r="N139" t="str">
        <f>'mk 001 10.3'!N140</f>
        <v>1A53005200</v>
      </c>
      <c r="O139" t="str">
        <f>'mk 001 10.3'!O140</f>
        <v>บมจ. ซีพี แอ็กซ์ตร้า สาขาอยุธยา</v>
      </c>
      <c r="P139">
        <f>'mk 001 10.3'!P140</f>
        <v>2</v>
      </c>
      <c r="Q139" t="str">
        <f>'mk 001 10.3'!Q140</f>
        <v>MAKRO 0051 อยุธยา</v>
      </c>
      <c r="R139" s="1">
        <f>'mk 001 10.3'!R140</f>
        <v>244658</v>
      </c>
      <c r="S139" s="1" t="str">
        <f>'mk 001 10.3'!S140</f>
        <v>14/5/2569</v>
      </c>
      <c r="T139" t="str">
        <f>'mk 001 10.3'!T140</f>
        <v>H6954RMA0059205</v>
      </c>
      <c r="U139">
        <f>'mk 001 10.3'!U140</f>
        <v>23093507</v>
      </c>
      <c r="V139" t="str">
        <f>'mk 001 10.3'!V140</f>
        <v>ไส้ตันหมู กก.ละ</v>
      </c>
      <c r="W139">
        <f>'mk 001 10.3'!W140</f>
        <v>5</v>
      </c>
      <c r="X139">
        <f>'mk 001 10.3'!X140</f>
        <v>5</v>
      </c>
      <c r="Y139">
        <f t="shared" si="2"/>
        <v>5</v>
      </c>
      <c r="Z139" s="13">
        <f>IF(COUNTIFS(แปลงข้อมูล!H:H,Q139,แปลงข้อมูล!I:I,U139,แปลงข้อมูล!J:J,V139)&gt;0,SUMIFS(แปลงข้อมูล!Q:Q,แปลงข้อมูล!I:I,U139,แปลงข้อมูล!H:H,Q139,แปลงข้อมูล!J:J,V139),'mk 001 10.3'!Z140)</f>
        <v>5</v>
      </c>
      <c r="AA139">
        <f>'mk 001 10.3'!AA140</f>
        <v>0</v>
      </c>
      <c r="AB139">
        <f>'mk 001 10.3'!AB140</f>
        <v>0</v>
      </c>
      <c r="AC139">
        <f>'mk 001 10.3'!AC140</f>
        <v>0</v>
      </c>
      <c r="AD139">
        <f>'mk 001 10.3'!AD140</f>
        <v>0</v>
      </c>
      <c r="AE139">
        <f>'mk 001 10.3'!AE140</f>
        <v>5</v>
      </c>
      <c r="AF139">
        <f>'mk 001 10.3'!AF140</f>
        <v>5</v>
      </c>
      <c r="AG139">
        <f>'mk 001 10.3'!AG140</f>
        <v>0</v>
      </c>
      <c r="AH139">
        <f>'mk 001 10.3'!AH140</f>
        <v>0</v>
      </c>
      <c r="AI139" t="str">
        <f>'mk 001 10.3'!AI140</f>
        <v>OPRCD489MOPRCD00000OPRCDF213OPRCD00000OPRCD923</v>
      </c>
      <c r="AJ139" t="str">
        <f>'mk 001 10.3'!AJ140</f>
        <v>ซื้อ / ขาย</v>
      </c>
      <c r="AK139" t="str">
        <f>'mk 001 10.3'!AK140</f>
        <v>By proudct</v>
      </c>
      <c r="AL139" t="str">
        <f>'mk 001 10.3'!AL140</f>
        <v>Bulk Normal</v>
      </c>
      <c r="AM139" t="str">
        <f>'mk 001 10.3'!AM140</f>
        <v>สุกร</v>
      </c>
      <c r="AN139" t="str">
        <f>'mk 001 10.3'!AN140</f>
        <v>OT002 CC-Makro</v>
      </c>
      <c r="AO139" t="str">
        <f>'mk 001 10.3'!AO140</f>
        <v>MT</v>
      </c>
      <c r="AP139">
        <f>'mk 001 10.3'!AP140</f>
        <v>2</v>
      </c>
      <c r="AQ139">
        <f>'mk 001 10.3'!AQ140</f>
        <v>0</v>
      </c>
      <c r="AR139">
        <f>'mk 001 10.3'!AR140</f>
        <v>0</v>
      </c>
      <c r="AS139">
        <f>'mk 001 10.3'!AS140</f>
        <v>0</v>
      </c>
      <c r="AT139" t="str">
        <f>'mk 001 10.3'!AT140</f>
        <v>System Batch</v>
      </c>
      <c r="AU139" t="str">
        <f>'mk 001 10.3'!AU140</f>
        <v>2026-05-11-13.33.46.000000</v>
      </c>
      <c r="AV139" t="str">
        <f>'mk 001 10.3'!AV140</f>
        <v>ก.ก.</v>
      </c>
      <c r="AW139" t="str">
        <f>'mk 001 10.3'!AW140</f>
        <v>ก.ก.</v>
      </c>
      <c r="AX139" t="str">
        <f>'mk 001 10.3'!AX140</f>
        <v xml:space="preserve"> </v>
      </c>
      <c r="AY139">
        <f>'mk 001 10.3'!AY140</f>
        <v>0</v>
      </c>
      <c r="AZ139" t="str">
        <f>'mk 001 10.3'!AZ140</f>
        <v>N</v>
      </c>
      <c r="BA139" s="22">
        <f>'mk 001 10.3'!BA140</f>
        <v>9044989536422</v>
      </c>
      <c r="BB139">
        <f>'mk 001 10.3'!BB140</f>
        <v>0</v>
      </c>
      <c r="BC139">
        <f>'mk 001 10.3'!BC140</f>
        <v>0</v>
      </c>
      <c r="BD139">
        <f>'mk 001 10.3'!BD140</f>
        <v>1</v>
      </c>
      <c r="BE139">
        <f>'mk 001 10.3'!BE140</f>
        <v>0</v>
      </c>
      <c r="BF139" t="str">
        <f>'mk 001 10.3'!BF140</f>
        <v>;0000</v>
      </c>
      <c r="BG139">
        <f>'mk 001 10.3'!BG140</f>
        <v>1333314600</v>
      </c>
      <c r="BH139" t="str">
        <f>'mk 001 10.3'!BH140</f>
        <v>G</v>
      </c>
      <c r="BI139">
        <f>'mk 001 10.3'!BI140</f>
        <v>5</v>
      </c>
      <c r="BJ139">
        <f>'mk 001 10.3'!BJ140</f>
        <v>5</v>
      </c>
      <c r="BK139">
        <f>'mk 001 10.3'!BK140</f>
        <v>1300</v>
      </c>
      <c r="BL139" t="str">
        <f>'mk 001 10.3'!BL140</f>
        <v>SYSBATCH</v>
      </c>
      <c r="BM139">
        <f>'mk 001 10.3'!BM140</f>
        <v>0</v>
      </c>
      <c r="BN139">
        <f>'mk 001 10.3'!BN140</f>
        <v>0</v>
      </c>
    </row>
    <row r="140" spans="1:66" x14ac:dyDescent="0.35">
      <c r="A140">
        <f>'mk 001 10.3'!A141</f>
        <v>0</v>
      </c>
      <c r="B140">
        <f>'mk 001 10.3'!B141</f>
        <v>0</v>
      </c>
      <c r="C140" s="1" t="str">
        <f>'mk 001 10.3'!C141</f>
        <v>14/5/2569</v>
      </c>
      <c r="D140" s="1" t="str">
        <f>'mk 001 10.3'!D141</f>
        <v>14/5/2569</v>
      </c>
      <c r="E140">
        <f>'mk 001 10.3'!E141</f>
        <v>0</v>
      </c>
      <c r="F140" t="str">
        <f>'mk 001 10.3'!F141</f>
        <v>489M</v>
      </c>
      <c r="G140" t="str">
        <f>'mk 001 10.3'!G141</f>
        <v>Modern Trade (Makro)</v>
      </c>
      <c r="H140">
        <f>'mk 001 10.3'!H141</f>
        <v>0</v>
      </c>
      <c r="I140" t="str">
        <f>'mk 001 10.3'!I141</f>
        <v>หน่วยงานกลาง</v>
      </c>
      <c r="J140" t="str">
        <f>'mk 001 10.3'!J141</f>
        <v>F213  DMCW-รชล-พระพุทธบาท</v>
      </c>
      <c r="K140" t="str">
        <f>'mk 001 10.3'!K141</f>
        <v>00000  หน่วยงานกลาง</v>
      </c>
      <c r="L140">
        <f>'mk 001 10.3'!L141</f>
        <v>923</v>
      </c>
      <c r="M140">
        <f>'mk 001 10.3'!M141</f>
        <v>0</v>
      </c>
      <c r="N140" t="str">
        <f>'mk 001 10.3'!N141</f>
        <v>1A53005200</v>
      </c>
      <c r="O140" t="str">
        <f>'mk 001 10.3'!O141</f>
        <v>บมจ. ซีพี แอ็กซ์ตร้า สาขาอยุธยา</v>
      </c>
      <c r="P140">
        <f>'mk 001 10.3'!P141</f>
        <v>2</v>
      </c>
      <c r="Q140" t="str">
        <f>'mk 001 10.3'!Q141</f>
        <v>MAKRO 0051 อยุธยา</v>
      </c>
      <c r="R140" s="1">
        <f>'mk 001 10.3'!R141</f>
        <v>244658</v>
      </c>
      <c r="S140" s="1" t="str">
        <f>'mk 001 10.3'!S141</f>
        <v>14/5/2569</v>
      </c>
      <c r="T140" t="str">
        <f>'mk 001 10.3'!T141</f>
        <v>H6954RMA0059205</v>
      </c>
      <c r="U140">
        <f>'mk 001 10.3'!U141</f>
        <v>23058591</v>
      </c>
      <c r="V140" t="str">
        <f>'mk 001 10.3'!V141</f>
        <v>กระดูกข้อ(คาตั๊ง) (M)</v>
      </c>
      <c r="W140">
        <f>'mk 001 10.3'!W141</f>
        <v>20</v>
      </c>
      <c r="X140">
        <f>'mk 001 10.3'!X141</f>
        <v>20</v>
      </c>
      <c r="Y140">
        <f t="shared" si="2"/>
        <v>20</v>
      </c>
      <c r="Z140" s="13">
        <f>IF(COUNTIFS(แปลงข้อมูล!H:H,Q140,แปลงข้อมูล!I:I,U140,แปลงข้อมูล!J:J,V140)&gt;0,SUMIFS(แปลงข้อมูล!Q:Q,แปลงข้อมูล!I:I,U140,แปลงข้อมูล!H:H,Q140,แปลงข้อมูล!J:J,V140),'mk 001 10.3'!Z141)</f>
        <v>20</v>
      </c>
      <c r="AA140">
        <f>'mk 001 10.3'!AA141</f>
        <v>0</v>
      </c>
      <c r="AB140">
        <f>'mk 001 10.3'!AB141</f>
        <v>0</v>
      </c>
      <c r="AC140">
        <f>'mk 001 10.3'!AC141</f>
        <v>0</v>
      </c>
      <c r="AD140">
        <f>'mk 001 10.3'!AD141</f>
        <v>0</v>
      </c>
      <c r="AE140">
        <f>'mk 001 10.3'!AE141</f>
        <v>20</v>
      </c>
      <c r="AF140">
        <f>'mk 001 10.3'!AF141</f>
        <v>20</v>
      </c>
      <c r="AG140">
        <f>'mk 001 10.3'!AG141</f>
        <v>0</v>
      </c>
      <c r="AH140">
        <f>'mk 001 10.3'!AH141</f>
        <v>0</v>
      </c>
      <c r="AI140" t="str">
        <f>'mk 001 10.3'!AI141</f>
        <v>OPRCD489MOPRCD00000OPRCDF213OPRCD00000OPRCD923</v>
      </c>
      <c r="AJ140" t="str">
        <f>'mk 001 10.3'!AJ141</f>
        <v>ซื้อ / ขาย</v>
      </c>
      <c r="AK140" t="str">
        <f>'mk 001 10.3'!AK141</f>
        <v>By proudct</v>
      </c>
      <c r="AL140" t="str">
        <f>'mk 001 10.3'!AL141</f>
        <v>Bulk Normal</v>
      </c>
      <c r="AM140" t="str">
        <f>'mk 001 10.3'!AM141</f>
        <v>สุกร</v>
      </c>
      <c r="AN140" t="str">
        <f>'mk 001 10.3'!AN141</f>
        <v>OT002 CC-Makro</v>
      </c>
      <c r="AO140" t="str">
        <f>'mk 001 10.3'!AO141</f>
        <v>MT</v>
      </c>
      <c r="AP140">
        <f>'mk 001 10.3'!AP141</f>
        <v>2</v>
      </c>
      <c r="AQ140">
        <f>'mk 001 10.3'!AQ141</f>
        <v>0</v>
      </c>
      <c r="AR140">
        <f>'mk 001 10.3'!AR141</f>
        <v>0</v>
      </c>
      <c r="AS140">
        <f>'mk 001 10.3'!AS141</f>
        <v>0</v>
      </c>
      <c r="AT140" t="str">
        <f>'mk 001 10.3'!AT141</f>
        <v>System Batch</v>
      </c>
      <c r="AU140" t="str">
        <f>'mk 001 10.3'!AU141</f>
        <v>2026-05-11-13.33.46.000000</v>
      </c>
      <c r="AV140" t="str">
        <f>'mk 001 10.3'!AV141</f>
        <v>ก.ก.</v>
      </c>
      <c r="AW140" t="str">
        <f>'mk 001 10.3'!AW141</f>
        <v>ก.ก.</v>
      </c>
      <c r="AX140" t="str">
        <f>'mk 001 10.3'!AX141</f>
        <v xml:space="preserve"> </v>
      </c>
      <c r="AY140">
        <f>'mk 001 10.3'!AY141</f>
        <v>0</v>
      </c>
      <c r="AZ140" t="str">
        <f>'mk 001 10.3'!AZ141</f>
        <v>N</v>
      </c>
      <c r="BA140" s="22">
        <f>'mk 001 10.3'!BA141</f>
        <v>9044989536422</v>
      </c>
      <c r="BB140">
        <f>'mk 001 10.3'!BB141</f>
        <v>0</v>
      </c>
      <c r="BC140">
        <f>'mk 001 10.3'!BC141</f>
        <v>0</v>
      </c>
      <c r="BD140">
        <f>'mk 001 10.3'!BD141</f>
        <v>1</v>
      </c>
      <c r="BE140">
        <f>'mk 001 10.3'!BE141</f>
        <v>0</v>
      </c>
      <c r="BF140" t="str">
        <f>'mk 001 10.3'!BF141</f>
        <v>;0000</v>
      </c>
      <c r="BG140">
        <f>'mk 001 10.3'!BG141</f>
        <v>1333314600</v>
      </c>
      <c r="BH140" t="str">
        <f>'mk 001 10.3'!BH141</f>
        <v>G</v>
      </c>
      <c r="BI140">
        <f>'mk 001 10.3'!BI141</f>
        <v>20</v>
      </c>
      <c r="BJ140">
        <f>'mk 001 10.3'!BJ141</f>
        <v>20</v>
      </c>
      <c r="BK140">
        <f>'mk 001 10.3'!BK141</f>
        <v>1300</v>
      </c>
      <c r="BL140" t="str">
        <f>'mk 001 10.3'!BL141</f>
        <v>SYSBATCH</v>
      </c>
      <c r="BM140">
        <f>'mk 001 10.3'!BM141</f>
        <v>0</v>
      </c>
      <c r="BN140">
        <f>'mk 001 10.3'!BN141</f>
        <v>0</v>
      </c>
    </row>
    <row r="141" spans="1:66" x14ac:dyDescent="0.35">
      <c r="A141">
        <f>'mk 001 10.3'!A142</f>
        <v>0</v>
      </c>
      <c r="B141">
        <f>'mk 001 10.3'!B142</f>
        <v>0</v>
      </c>
      <c r="C141" s="1" t="str">
        <f>'mk 001 10.3'!C142</f>
        <v>14/5/2569</v>
      </c>
      <c r="D141" s="1" t="str">
        <f>'mk 001 10.3'!D142</f>
        <v>14/5/2569</v>
      </c>
      <c r="E141">
        <f>'mk 001 10.3'!E142</f>
        <v>0</v>
      </c>
      <c r="F141" t="str">
        <f>'mk 001 10.3'!F142</f>
        <v>489M</v>
      </c>
      <c r="G141" t="str">
        <f>'mk 001 10.3'!G142</f>
        <v>Modern Trade (Makro)</v>
      </c>
      <c r="H141">
        <f>'mk 001 10.3'!H142</f>
        <v>0</v>
      </c>
      <c r="I141" t="str">
        <f>'mk 001 10.3'!I142</f>
        <v>หน่วยงานกลาง</v>
      </c>
      <c r="J141" t="str">
        <f>'mk 001 10.3'!J142</f>
        <v>F213  DMCW-รชล-พระพุทธบาท</v>
      </c>
      <c r="K141" t="str">
        <f>'mk 001 10.3'!K142</f>
        <v>00000  หน่วยงานกลาง</v>
      </c>
      <c r="L141">
        <f>'mk 001 10.3'!L142</f>
        <v>923</v>
      </c>
      <c r="M141">
        <f>'mk 001 10.3'!M142</f>
        <v>0</v>
      </c>
      <c r="N141" t="str">
        <f>'mk 001 10.3'!N142</f>
        <v>1A53005200</v>
      </c>
      <c r="O141" t="str">
        <f>'mk 001 10.3'!O142</f>
        <v>บมจ. ซีพี แอ็กซ์ตร้า สาขาอยุธยา</v>
      </c>
      <c r="P141">
        <f>'mk 001 10.3'!P142</f>
        <v>2</v>
      </c>
      <c r="Q141" t="str">
        <f>'mk 001 10.3'!Q142</f>
        <v>MAKRO 0051 อยุธยา</v>
      </c>
      <c r="R141" s="1">
        <f>'mk 001 10.3'!R142</f>
        <v>244658</v>
      </c>
      <c r="S141" s="1" t="str">
        <f>'mk 001 10.3'!S142</f>
        <v>14/5/2569</v>
      </c>
      <c r="T141" t="str">
        <f>'mk 001 10.3'!T142</f>
        <v>H6954RMA0059205</v>
      </c>
      <c r="U141">
        <f>'mk 001 10.3'!U142</f>
        <v>23057812</v>
      </c>
      <c r="V141" t="str">
        <f>'mk 001 10.3'!V142</f>
        <v>สะโพก(M)</v>
      </c>
      <c r="W141">
        <f>'mk 001 10.3'!W142</f>
        <v>400</v>
      </c>
      <c r="X141">
        <f>'mk 001 10.3'!X142</f>
        <v>400</v>
      </c>
      <c r="Y141">
        <f t="shared" si="2"/>
        <v>400</v>
      </c>
      <c r="Z141" s="13">
        <f>IF(COUNTIFS(แปลงข้อมูล!H:H,Q141,แปลงข้อมูล!I:I,U141,แปลงข้อมูล!J:J,V141)&gt;0,SUMIFS(แปลงข้อมูล!Q:Q,แปลงข้อมูล!I:I,U141,แปลงข้อมูล!H:H,Q141,แปลงข้อมูล!J:J,V141),'mk 001 10.3'!Z142)</f>
        <v>400</v>
      </c>
      <c r="AA141">
        <f>'mk 001 10.3'!AA142</f>
        <v>0</v>
      </c>
      <c r="AB141">
        <f>'mk 001 10.3'!AB142</f>
        <v>0</v>
      </c>
      <c r="AC141">
        <f>'mk 001 10.3'!AC142</f>
        <v>0</v>
      </c>
      <c r="AD141">
        <f>'mk 001 10.3'!AD142</f>
        <v>0</v>
      </c>
      <c r="AE141">
        <f>'mk 001 10.3'!AE142</f>
        <v>400</v>
      </c>
      <c r="AF141">
        <f>'mk 001 10.3'!AF142</f>
        <v>400</v>
      </c>
      <c r="AG141">
        <f>'mk 001 10.3'!AG142</f>
        <v>0</v>
      </c>
      <c r="AH141">
        <f>'mk 001 10.3'!AH142</f>
        <v>0</v>
      </c>
      <c r="AI141" t="str">
        <f>'mk 001 10.3'!AI142</f>
        <v>OPRCD489MOPRCD00000OPRCDF213OPRCD00000OPRCD923</v>
      </c>
      <c r="AJ141" t="str">
        <f>'mk 001 10.3'!AJ142</f>
        <v>ซื้อ / ขาย</v>
      </c>
      <c r="AK141" t="str">
        <f>'mk 001 10.3'!AK142</f>
        <v>Main proudct</v>
      </c>
      <c r="AL141" t="str">
        <f>'mk 001 10.3'!AL142</f>
        <v>Bulk Normal</v>
      </c>
      <c r="AM141" t="str">
        <f>'mk 001 10.3'!AM142</f>
        <v>สุกร</v>
      </c>
      <c r="AN141" t="str">
        <f>'mk 001 10.3'!AN142</f>
        <v>OT002 CC-Makro</v>
      </c>
      <c r="AO141" t="str">
        <f>'mk 001 10.3'!AO142</f>
        <v>MT</v>
      </c>
      <c r="AP141">
        <f>'mk 001 10.3'!AP142</f>
        <v>2</v>
      </c>
      <c r="AQ141">
        <f>'mk 001 10.3'!AQ142</f>
        <v>0</v>
      </c>
      <c r="AR141">
        <f>'mk 001 10.3'!AR142</f>
        <v>0</v>
      </c>
      <c r="AS141">
        <f>'mk 001 10.3'!AS142</f>
        <v>0</v>
      </c>
      <c r="AT141" t="str">
        <f>'mk 001 10.3'!AT142</f>
        <v>System Batch</v>
      </c>
      <c r="AU141" t="str">
        <f>'mk 001 10.3'!AU142</f>
        <v>2026-05-11-13.33.46.000000</v>
      </c>
      <c r="AV141" t="str">
        <f>'mk 001 10.3'!AV142</f>
        <v>ก.ก.</v>
      </c>
      <c r="AW141" t="str">
        <f>'mk 001 10.3'!AW142</f>
        <v>ก.ก.</v>
      </c>
      <c r="AX141" t="str">
        <f>'mk 001 10.3'!AX142</f>
        <v xml:space="preserve"> </v>
      </c>
      <c r="AY141">
        <f>'mk 001 10.3'!AY142</f>
        <v>0</v>
      </c>
      <c r="AZ141" t="str">
        <f>'mk 001 10.3'!AZ142</f>
        <v>N</v>
      </c>
      <c r="BA141" s="22">
        <f>'mk 001 10.3'!BA142</f>
        <v>9044989536422</v>
      </c>
      <c r="BB141">
        <f>'mk 001 10.3'!BB142</f>
        <v>0</v>
      </c>
      <c r="BC141">
        <f>'mk 001 10.3'!BC142</f>
        <v>0</v>
      </c>
      <c r="BD141">
        <f>'mk 001 10.3'!BD142</f>
        <v>1</v>
      </c>
      <c r="BE141">
        <f>'mk 001 10.3'!BE142</f>
        <v>0</v>
      </c>
      <c r="BF141" t="str">
        <f>'mk 001 10.3'!BF142</f>
        <v>;0000</v>
      </c>
      <c r="BG141">
        <f>'mk 001 10.3'!BG142</f>
        <v>1333314600</v>
      </c>
      <c r="BH141" t="str">
        <f>'mk 001 10.3'!BH142</f>
        <v>G</v>
      </c>
      <c r="BI141">
        <f>'mk 001 10.3'!BI142</f>
        <v>400</v>
      </c>
      <c r="BJ141">
        <f>'mk 001 10.3'!BJ142</f>
        <v>400</v>
      </c>
      <c r="BK141">
        <f>'mk 001 10.3'!BK142</f>
        <v>1300</v>
      </c>
      <c r="BL141" t="str">
        <f>'mk 001 10.3'!BL142</f>
        <v>SYSBATCH</v>
      </c>
      <c r="BM141">
        <f>'mk 001 10.3'!BM142</f>
        <v>0</v>
      </c>
      <c r="BN141">
        <f>'mk 001 10.3'!BN142</f>
        <v>0</v>
      </c>
    </row>
    <row r="142" spans="1:66" x14ac:dyDescent="0.35">
      <c r="A142">
        <f>'mk 001 10.3'!A143</f>
        <v>0</v>
      </c>
      <c r="B142">
        <f>'mk 001 10.3'!B143</f>
        <v>0</v>
      </c>
      <c r="C142" s="1" t="str">
        <f>'mk 001 10.3'!C143</f>
        <v>14/5/2569</v>
      </c>
      <c r="D142" s="1" t="str">
        <f>'mk 001 10.3'!D143</f>
        <v>14/5/2569</v>
      </c>
      <c r="E142">
        <f>'mk 001 10.3'!E143</f>
        <v>0</v>
      </c>
      <c r="F142" t="str">
        <f>'mk 001 10.3'!F143</f>
        <v>489M</v>
      </c>
      <c r="G142" t="str">
        <f>'mk 001 10.3'!G143</f>
        <v>Modern Trade (Makro)</v>
      </c>
      <c r="H142">
        <f>'mk 001 10.3'!H143</f>
        <v>0</v>
      </c>
      <c r="I142" t="str">
        <f>'mk 001 10.3'!I143</f>
        <v>หน่วยงานกลาง</v>
      </c>
      <c r="J142" t="str">
        <f>'mk 001 10.3'!J143</f>
        <v>F213  DMCW-รชล-พระพุทธบาท</v>
      </c>
      <c r="K142" t="str">
        <f>'mk 001 10.3'!K143</f>
        <v>00000  หน่วยงานกลาง</v>
      </c>
      <c r="L142">
        <f>'mk 001 10.3'!L143</f>
        <v>923</v>
      </c>
      <c r="M142">
        <f>'mk 001 10.3'!M143</f>
        <v>0</v>
      </c>
      <c r="N142" t="str">
        <f>'mk 001 10.3'!N143</f>
        <v>1A53005200</v>
      </c>
      <c r="O142" t="str">
        <f>'mk 001 10.3'!O143</f>
        <v>บมจ. ซีพี แอ็กซ์ตร้า สาขาอยุธยา</v>
      </c>
      <c r="P142">
        <f>'mk 001 10.3'!P143</f>
        <v>2</v>
      </c>
      <c r="Q142" t="str">
        <f>'mk 001 10.3'!Q143</f>
        <v>MAKRO 0051 อยุธยา</v>
      </c>
      <c r="R142" s="1">
        <f>'mk 001 10.3'!R143</f>
        <v>244658</v>
      </c>
      <c r="S142" s="1" t="str">
        <f>'mk 001 10.3'!S143</f>
        <v>14/5/2569</v>
      </c>
      <c r="T142" t="str">
        <f>'mk 001 10.3'!T143</f>
        <v>H6954RMA0059205</v>
      </c>
      <c r="U142">
        <f>'mk 001 10.3'!U143</f>
        <v>23071884</v>
      </c>
      <c r="V142" t="str">
        <f>'mk 001 10.3'!V143</f>
        <v>ตับหมูสไลด์ (M)</v>
      </c>
      <c r="W142">
        <f>'mk 001 10.3'!W143</f>
        <v>7.6923000000000004</v>
      </c>
      <c r="X142">
        <f>'mk 001 10.3'!X143</f>
        <v>39.999960000000002</v>
      </c>
      <c r="Y142">
        <f t="shared" si="2"/>
        <v>7.6923076923076925</v>
      </c>
      <c r="Z142" s="13">
        <f>IF(COUNTIFS(แปลงข้อมูล!H:H,Q142,แปลงข้อมูล!I:I,U142,แปลงข้อมูล!J:J,V142)&gt;0,SUMIFS(แปลงข้อมูล!Q:Q,แปลงข้อมูล!I:I,U142,แปลงข้อมูล!H:H,Q142,แปลงข้อมูล!J:J,V142),'mk 001 10.3'!Z143)</f>
        <v>40</v>
      </c>
      <c r="AA142">
        <f>'mk 001 10.3'!AA143</f>
        <v>0</v>
      </c>
      <c r="AB142">
        <f>'mk 001 10.3'!AB143</f>
        <v>-4.0000000000000003E-5</v>
      </c>
      <c r="AC142">
        <f>'mk 001 10.3'!AC143</f>
        <v>0</v>
      </c>
      <c r="AD142">
        <f>'mk 001 10.3'!AD143</f>
        <v>0</v>
      </c>
      <c r="AE142">
        <f>'mk 001 10.3'!AE143</f>
        <v>7.6923000000000004</v>
      </c>
      <c r="AF142">
        <f>'mk 001 10.3'!AF143</f>
        <v>40</v>
      </c>
      <c r="AG142">
        <f>'mk 001 10.3'!AG143</f>
        <v>0</v>
      </c>
      <c r="AH142">
        <f>'mk 001 10.3'!AH143</f>
        <v>0</v>
      </c>
      <c r="AI142" t="str">
        <f>'mk 001 10.3'!AI143</f>
        <v>OPRCD489MOPRCD00000OPRCDF213OPRCD00000OPRCD923</v>
      </c>
      <c r="AJ142" t="str">
        <f>'mk 001 10.3'!AJ143</f>
        <v>ซื้อ / ขาย</v>
      </c>
      <c r="AK142" t="str">
        <f>'mk 001 10.3'!AK143</f>
        <v>By proudct</v>
      </c>
      <c r="AL142" t="str">
        <f>'mk 001 10.3'!AL143</f>
        <v>Bulk Normal</v>
      </c>
      <c r="AM142" t="str">
        <f>'mk 001 10.3'!AM143</f>
        <v>สุกร</v>
      </c>
      <c r="AN142" t="str">
        <f>'mk 001 10.3'!AN143</f>
        <v>OT002 CC-Makro</v>
      </c>
      <c r="AO142" t="str">
        <f>'mk 001 10.3'!AO143</f>
        <v>MT</v>
      </c>
      <c r="AP142">
        <f>'mk 001 10.3'!AP143</f>
        <v>2</v>
      </c>
      <c r="AQ142">
        <f>'mk 001 10.3'!AQ143</f>
        <v>0</v>
      </c>
      <c r="AR142">
        <f>'mk 001 10.3'!AR143</f>
        <v>0</v>
      </c>
      <c r="AS142">
        <f>'mk 001 10.3'!AS143</f>
        <v>0</v>
      </c>
      <c r="AT142" t="str">
        <f>'mk 001 10.3'!AT143</f>
        <v>System Batch</v>
      </c>
      <c r="AU142" t="str">
        <f>'mk 001 10.3'!AU143</f>
        <v>2026-05-11-13.33.46.000000</v>
      </c>
      <c r="AV142" t="str">
        <f>'mk 001 10.3'!AV143</f>
        <v>ถุง</v>
      </c>
      <c r="AW142" t="str">
        <f>'mk 001 10.3'!AW143</f>
        <v>ก.ก.</v>
      </c>
      <c r="AX142" t="str">
        <f>'mk 001 10.3'!AX143</f>
        <v xml:space="preserve"> </v>
      </c>
      <c r="AY142">
        <f>'mk 001 10.3'!AY143</f>
        <v>0</v>
      </c>
      <c r="AZ142" t="str">
        <f>'mk 001 10.3'!AZ143</f>
        <v>N</v>
      </c>
      <c r="BA142" s="22">
        <f>'mk 001 10.3'!BA143</f>
        <v>9044989536422</v>
      </c>
      <c r="BB142">
        <f>'mk 001 10.3'!BB143</f>
        <v>0</v>
      </c>
      <c r="BC142">
        <f>'mk 001 10.3'!BC143</f>
        <v>0</v>
      </c>
      <c r="BD142">
        <f>'mk 001 10.3'!BD143</f>
        <v>1</v>
      </c>
      <c r="BE142">
        <f>'mk 001 10.3'!BE143</f>
        <v>0</v>
      </c>
      <c r="BF142" t="str">
        <f>'mk 001 10.3'!BF143</f>
        <v>;0000</v>
      </c>
      <c r="BG142">
        <f>'mk 001 10.3'!BG143</f>
        <v>1333314600</v>
      </c>
      <c r="BH142" t="str">
        <f>'mk 001 10.3'!BH143</f>
        <v>G</v>
      </c>
      <c r="BI142">
        <f>'mk 001 10.3'!BI143</f>
        <v>7.6923000000000004</v>
      </c>
      <c r="BJ142">
        <f>'mk 001 10.3'!BJ143</f>
        <v>39.999960000000002</v>
      </c>
      <c r="BK142">
        <f>'mk 001 10.3'!BK143</f>
        <v>1300</v>
      </c>
      <c r="BL142" t="str">
        <f>'mk 001 10.3'!BL143</f>
        <v>SYSBATCH</v>
      </c>
      <c r="BM142">
        <f>'mk 001 10.3'!BM143</f>
        <v>0</v>
      </c>
      <c r="BN142">
        <f>'mk 001 10.3'!BN143</f>
        <v>0</v>
      </c>
    </row>
    <row r="143" spans="1:66" x14ac:dyDescent="0.35">
      <c r="A143">
        <f>'mk 001 10.3'!A144</f>
        <v>0</v>
      </c>
      <c r="B143">
        <f>'mk 001 10.3'!B144</f>
        <v>0</v>
      </c>
      <c r="C143" s="1" t="str">
        <f>'mk 001 10.3'!C144</f>
        <v>14/5/2569</v>
      </c>
      <c r="D143" s="1" t="str">
        <f>'mk 001 10.3'!D144</f>
        <v>14/5/2569</v>
      </c>
      <c r="E143">
        <f>'mk 001 10.3'!E144</f>
        <v>0</v>
      </c>
      <c r="F143" t="str">
        <f>'mk 001 10.3'!F144</f>
        <v>489M</v>
      </c>
      <c r="G143" t="str">
        <f>'mk 001 10.3'!G144</f>
        <v>Modern Trade (Makro)</v>
      </c>
      <c r="H143">
        <f>'mk 001 10.3'!H144</f>
        <v>0</v>
      </c>
      <c r="I143" t="str">
        <f>'mk 001 10.3'!I144</f>
        <v>หน่วยงานกลาง</v>
      </c>
      <c r="J143" t="str">
        <f>'mk 001 10.3'!J144</f>
        <v>F213  DMCW-รชล-พระพุทธบาท</v>
      </c>
      <c r="K143" t="str">
        <f>'mk 001 10.3'!K144</f>
        <v>00000  หน่วยงานกลาง</v>
      </c>
      <c r="L143">
        <f>'mk 001 10.3'!L144</f>
        <v>923</v>
      </c>
      <c r="M143">
        <f>'mk 001 10.3'!M144</f>
        <v>0</v>
      </c>
      <c r="N143" t="str">
        <f>'mk 001 10.3'!N144</f>
        <v>1A53005200</v>
      </c>
      <c r="O143" t="str">
        <f>'mk 001 10.3'!O144</f>
        <v>บมจ. ซีพี แอ็กซ์ตร้า สาขาอยุธยา</v>
      </c>
      <c r="P143">
        <f>'mk 001 10.3'!P144</f>
        <v>2</v>
      </c>
      <c r="Q143" t="str">
        <f>'mk 001 10.3'!Q144</f>
        <v>MAKRO 0051 อยุธยา</v>
      </c>
      <c r="R143" s="1">
        <f>'mk 001 10.3'!R144</f>
        <v>244658</v>
      </c>
      <c r="S143" s="1" t="str">
        <f>'mk 001 10.3'!S144</f>
        <v>14/5/2569</v>
      </c>
      <c r="T143" t="str">
        <f>'mk 001 10.3'!T144</f>
        <v>H6954RMA0059205</v>
      </c>
      <c r="U143">
        <f>'mk 001 10.3'!U144</f>
        <v>23088348</v>
      </c>
      <c r="V143" t="str">
        <f>'mk 001 10.3'!V144</f>
        <v>ขาหมูเผาเลาะกระดูกหั่นชิ้นSpec-1(M)</v>
      </c>
      <c r="W143">
        <f>'mk 001 10.3'!W144</f>
        <v>180</v>
      </c>
      <c r="X143">
        <f>'mk 001 10.3'!X144</f>
        <v>180</v>
      </c>
      <c r="Y143">
        <f t="shared" si="2"/>
        <v>180</v>
      </c>
      <c r="Z143" s="13">
        <f>IF(COUNTIFS(แปลงข้อมูล!H:H,Q143,แปลงข้อมูล!I:I,U143,แปลงข้อมูล!J:J,V143)&gt;0,SUMIFS(แปลงข้อมูล!Q:Q,แปลงข้อมูล!I:I,U143,แปลงข้อมูล!H:H,Q143,แปลงข้อมูล!J:J,V143),'mk 001 10.3'!Z144)</f>
        <v>180</v>
      </c>
      <c r="AA143">
        <f>'mk 001 10.3'!AA144</f>
        <v>0</v>
      </c>
      <c r="AB143">
        <f>'mk 001 10.3'!AB144</f>
        <v>0</v>
      </c>
      <c r="AC143">
        <f>'mk 001 10.3'!AC144</f>
        <v>0</v>
      </c>
      <c r="AD143">
        <f>'mk 001 10.3'!AD144</f>
        <v>0</v>
      </c>
      <c r="AE143">
        <f>'mk 001 10.3'!AE144</f>
        <v>180</v>
      </c>
      <c r="AF143">
        <f>'mk 001 10.3'!AF144</f>
        <v>180</v>
      </c>
      <c r="AG143">
        <f>'mk 001 10.3'!AG144</f>
        <v>0</v>
      </c>
      <c r="AH143">
        <f>'mk 001 10.3'!AH144</f>
        <v>0</v>
      </c>
      <c r="AI143" t="str">
        <f>'mk 001 10.3'!AI144</f>
        <v>OPRCD489MOPRCD00000OPRCDF213OPRCD00000OPRCD923</v>
      </c>
      <c r="AJ143" t="str">
        <f>'mk 001 10.3'!AJ144</f>
        <v>ซื้อ / ขาย</v>
      </c>
      <c r="AK143" t="str">
        <f>'mk 001 10.3'!AK144</f>
        <v>By proudct</v>
      </c>
      <c r="AL143" t="str">
        <f>'mk 001 10.3'!AL144</f>
        <v>Bulk Normal</v>
      </c>
      <c r="AM143" t="str">
        <f>'mk 001 10.3'!AM144</f>
        <v>สุกร</v>
      </c>
      <c r="AN143" t="str">
        <f>'mk 001 10.3'!AN144</f>
        <v>OT002 CC-Makro</v>
      </c>
      <c r="AO143" t="str">
        <f>'mk 001 10.3'!AO144</f>
        <v>MT</v>
      </c>
      <c r="AP143">
        <f>'mk 001 10.3'!AP144</f>
        <v>2</v>
      </c>
      <c r="AQ143">
        <f>'mk 001 10.3'!AQ144</f>
        <v>0</v>
      </c>
      <c r="AR143">
        <f>'mk 001 10.3'!AR144</f>
        <v>0</v>
      </c>
      <c r="AS143">
        <f>'mk 001 10.3'!AS144</f>
        <v>0</v>
      </c>
      <c r="AT143" t="str">
        <f>'mk 001 10.3'!AT144</f>
        <v>System Batch</v>
      </c>
      <c r="AU143" t="str">
        <f>'mk 001 10.3'!AU144</f>
        <v>2026-05-11-13.33.46.000000</v>
      </c>
      <c r="AV143" t="str">
        <f>'mk 001 10.3'!AV144</f>
        <v>ก.ก.</v>
      </c>
      <c r="AW143" t="str">
        <f>'mk 001 10.3'!AW144</f>
        <v>ก.ก.</v>
      </c>
      <c r="AX143" t="str">
        <f>'mk 001 10.3'!AX144</f>
        <v xml:space="preserve"> </v>
      </c>
      <c r="AY143">
        <f>'mk 001 10.3'!AY144</f>
        <v>0</v>
      </c>
      <c r="AZ143" t="str">
        <f>'mk 001 10.3'!AZ144</f>
        <v>N</v>
      </c>
      <c r="BA143" s="22">
        <f>'mk 001 10.3'!BA144</f>
        <v>9044989536422</v>
      </c>
      <c r="BB143">
        <f>'mk 001 10.3'!BB144</f>
        <v>0</v>
      </c>
      <c r="BC143">
        <f>'mk 001 10.3'!BC144</f>
        <v>0</v>
      </c>
      <c r="BD143">
        <f>'mk 001 10.3'!BD144</f>
        <v>1</v>
      </c>
      <c r="BE143">
        <f>'mk 001 10.3'!BE144</f>
        <v>0</v>
      </c>
      <c r="BF143" t="str">
        <f>'mk 001 10.3'!BF144</f>
        <v>;0000</v>
      </c>
      <c r="BG143">
        <f>'mk 001 10.3'!BG144</f>
        <v>1333314600</v>
      </c>
      <c r="BH143" t="str">
        <f>'mk 001 10.3'!BH144</f>
        <v>G</v>
      </c>
      <c r="BI143">
        <f>'mk 001 10.3'!BI144</f>
        <v>180</v>
      </c>
      <c r="BJ143">
        <f>'mk 001 10.3'!BJ144</f>
        <v>180</v>
      </c>
      <c r="BK143">
        <f>'mk 001 10.3'!BK144</f>
        <v>1300</v>
      </c>
      <c r="BL143" t="str">
        <f>'mk 001 10.3'!BL144</f>
        <v>SYSBATCH</v>
      </c>
      <c r="BM143">
        <f>'mk 001 10.3'!BM144</f>
        <v>0</v>
      </c>
      <c r="BN143">
        <f>'mk 001 10.3'!BN144</f>
        <v>0</v>
      </c>
    </row>
    <row r="144" spans="1:66" x14ac:dyDescent="0.35">
      <c r="A144">
        <f>'mk 001 10.3'!A145</f>
        <v>0</v>
      </c>
      <c r="B144">
        <f>'mk 001 10.3'!B145</f>
        <v>0</v>
      </c>
      <c r="C144" s="1" t="str">
        <f>'mk 001 10.3'!C145</f>
        <v>14/5/2569</v>
      </c>
      <c r="D144" s="1" t="str">
        <f>'mk 001 10.3'!D145</f>
        <v>14/5/2569</v>
      </c>
      <c r="E144">
        <f>'mk 001 10.3'!E145</f>
        <v>0</v>
      </c>
      <c r="F144" t="str">
        <f>'mk 001 10.3'!F145</f>
        <v>489M</v>
      </c>
      <c r="G144" t="str">
        <f>'mk 001 10.3'!G145</f>
        <v>Modern Trade (Makro)</v>
      </c>
      <c r="H144">
        <f>'mk 001 10.3'!H145</f>
        <v>0</v>
      </c>
      <c r="I144" t="str">
        <f>'mk 001 10.3'!I145</f>
        <v>หน่วยงานกลาง</v>
      </c>
      <c r="J144" t="str">
        <f>'mk 001 10.3'!J145</f>
        <v>F213  DMCW-รชล-พระพุทธบาท</v>
      </c>
      <c r="K144" t="str">
        <f>'mk 001 10.3'!K145</f>
        <v>00000  หน่วยงานกลาง</v>
      </c>
      <c r="L144">
        <f>'mk 001 10.3'!L145</f>
        <v>923</v>
      </c>
      <c r="M144">
        <f>'mk 001 10.3'!M145</f>
        <v>0</v>
      </c>
      <c r="N144" t="str">
        <f>'mk 001 10.3'!N145</f>
        <v>1A53005200</v>
      </c>
      <c r="O144" t="str">
        <f>'mk 001 10.3'!O145</f>
        <v>บมจ. ซีพี แอ็กซ์ตร้า สาขาอยุธยา</v>
      </c>
      <c r="P144">
        <f>'mk 001 10.3'!P145</f>
        <v>2</v>
      </c>
      <c r="Q144" t="str">
        <f>'mk 001 10.3'!Q145</f>
        <v>MAKRO 0051 อยุธยา</v>
      </c>
      <c r="R144" s="1">
        <f>'mk 001 10.3'!R145</f>
        <v>244658</v>
      </c>
      <c r="S144" s="1" t="str">
        <f>'mk 001 10.3'!S145</f>
        <v>14/5/2569</v>
      </c>
      <c r="T144" t="str">
        <f>'mk 001 10.3'!T145</f>
        <v>H6954RMA0059205</v>
      </c>
      <c r="U144">
        <f>'mk 001 10.3'!U145</f>
        <v>23105751</v>
      </c>
      <c r="V144" t="str">
        <f>'mk 001 10.3'!V145</f>
        <v>เซพแพ็ค หัวไหล่หมู กก.ละ</v>
      </c>
      <c r="W144">
        <f>'mk 001 10.3'!W145</f>
        <v>10</v>
      </c>
      <c r="X144">
        <f>'mk 001 10.3'!X145</f>
        <v>10</v>
      </c>
      <c r="Y144">
        <f t="shared" si="2"/>
        <v>10</v>
      </c>
      <c r="Z144" s="13">
        <f>IF(COUNTIFS(แปลงข้อมูล!H:H,Q144,แปลงข้อมูล!I:I,U144,แปลงข้อมูล!J:J,V144)&gt;0,SUMIFS(แปลงข้อมูล!Q:Q,แปลงข้อมูล!I:I,U144,แปลงข้อมูล!H:H,Q144,แปลงข้อมูล!J:J,V144),'mk 001 10.3'!Z145)</f>
        <v>10</v>
      </c>
      <c r="AA144">
        <f>'mk 001 10.3'!AA145</f>
        <v>0</v>
      </c>
      <c r="AB144">
        <f>'mk 001 10.3'!AB145</f>
        <v>0</v>
      </c>
      <c r="AC144">
        <f>'mk 001 10.3'!AC145</f>
        <v>0</v>
      </c>
      <c r="AD144">
        <f>'mk 001 10.3'!AD145</f>
        <v>0</v>
      </c>
      <c r="AE144">
        <f>'mk 001 10.3'!AE145</f>
        <v>10</v>
      </c>
      <c r="AF144">
        <f>'mk 001 10.3'!AF145</f>
        <v>10</v>
      </c>
      <c r="AG144">
        <f>'mk 001 10.3'!AG145</f>
        <v>0</v>
      </c>
      <c r="AH144">
        <f>'mk 001 10.3'!AH145</f>
        <v>0</v>
      </c>
      <c r="AI144" t="str">
        <f>'mk 001 10.3'!AI145</f>
        <v>OPRCD489MOPRCD00000OPRCDF213OPRCD00000OPRCD923</v>
      </c>
      <c r="AJ144" t="str">
        <f>'mk 001 10.3'!AJ145</f>
        <v>ซื้อ / ขาย</v>
      </c>
      <c r="AK144" t="str">
        <f>'mk 001 10.3'!AK145</f>
        <v>Main proudct</v>
      </c>
      <c r="AL144" t="str">
        <f>'mk 001 10.3'!AL145</f>
        <v>Bulk Normal</v>
      </c>
      <c r="AM144" t="str">
        <f>'mk 001 10.3'!AM145</f>
        <v>สุกร</v>
      </c>
      <c r="AN144" t="str">
        <f>'mk 001 10.3'!AN145</f>
        <v>OT002 CC-Makro</v>
      </c>
      <c r="AO144" t="str">
        <f>'mk 001 10.3'!AO145</f>
        <v>MT</v>
      </c>
      <c r="AP144">
        <f>'mk 001 10.3'!AP145</f>
        <v>2</v>
      </c>
      <c r="AQ144">
        <f>'mk 001 10.3'!AQ145</f>
        <v>0</v>
      </c>
      <c r="AR144">
        <f>'mk 001 10.3'!AR145</f>
        <v>0</v>
      </c>
      <c r="AS144">
        <f>'mk 001 10.3'!AS145</f>
        <v>0</v>
      </c>
      <c r="AT144" t="str">
        <f>'mk 001 10.3'!AT145</f>
        <v>System Batch</v>
      </c>
      <c r="AU144" t="str">
        <f>'mk 001 10.3'!AU145</f>
        <v>2026-05-11-13.33.46.000000</v>
      </c>
      <c r="AV144" t="str">
        <f>'mk 001 10.3'!AV145</f>
        <v>ก.ก.</v>
      </c>
      <c r="AW144" t="str">
        <f>'mk 001 10.3'!AW145</f>
        <v>ก.ก.</v>
      </c>
      <c r="AX144" t="str">
        <f>'mk 001 10.3'!AX145</f>
        <v xml:space="preserve"> </v>
      </c>
      <c r="AY144">
        <f>'mk 001 10.3'!AY145</f>
        <v>0</v>
      </c>
      <c r="AZ144" t="str">
        <f>'mk 001 10.3'!AZ145</f>
        <v>N</v>
      </c>
      <c r="BA144" s="22">
        <f>'mk 001 10.3'!BA145</f>
        <v>9044989536422</v>
      </c>
      <c r="BB144">
        <f>'mk 001 10.3'!BB145</f>
        <v>0</v>
      </c>
      <c r="BC144">
        <f>'mk 001 10.3'!BC145</f>
        <v>0</v>
      </c>
      <c r="BD144">
        <f>'mk 001 10.3'!BD145</f>
        <v>1</v>
      </c>
      <c r="BE144">
        <f>'mk 001 10.3'!BE145</f>
        <v>0</v>
      </c>
      <c r="BF144" t="str">
        <f>'mk 001 10.3'!BF145</f>
        <v>;0000</v>
      </c>
      <c r="BG144">
        <f>'mk 001 10.3'!BG145</f>
        <v>1333314600</v>
      </c>
      <c r="BH144" t="str">
        <f>'mk 001 10.3'!BH145</f>
        <v>G</v>
      </c>
      <c r="BI144">
        <f>'mk 001 10.3'!BI145</f>
        <v>10</v>
      </c>
      <c r="BJ144">
        <f>'mk 001 10.3'!BJ145</f>
        <v>10</v>
      </c>
      <c r="BK144">
        <f>'mk 001 10.3'!BK145</f>
        <v>1300</v>
      </c>
      <c r="BL144" t="str">
        <f>'mk 001 10.3'!BL145</f>
        <v>SYSBATCH</v>
      </c>
      <c r="BM144">
        <f>'mk 001 10.3'!BM145</f>
        <v>0</v>
      </c>
      <c r="BN144">
        <f>'mk 001 10.3'!BN145</f>
        <v>0</v>
      </c>
    </row>
    <row r="145" spans="1:66" x14ac:dyDescent="0.35">
      <c r="A145">
        <f>'mk 001 10.3'!A146</f>
        <v>0</v>
      </c>
      <c r="B145">
        <f>'mk 001 10.3'!B146</f>
        <v>0</v>
      </c>
      <c r="C145" s="1" t="str">
        <f>'mk 001 10.3'!C146</f>
        <v>14/5/2569</v>
      </c>
      <c r="D145" s="1" t="str">
        <f>'mk 001 10.3'!D146</f>
        <v>14/5/2569</v>
      </c>
      <c r="E145">
        <f>'mk 001 10.3'!E146</f>
        <v>0</v>
      </c>
      <c r="F145" t="str">
        <f>'mk 001 10.3'!F146</f>
        <v>489M</v>
      </c>
      <c r="G145" t="str">
        <f>'mk 001 10.3'!G146</f>
        <v>Modern Trade (Makro)</v>
      </c>
      <c r="H145">
        <f>'mk 001 10.3'!H146</f>
        <v>0</v>
      </c>
      <c r="I145" t="str">
        <f>'mk 001 10.3'!I146</f>
        <v>หน่วยงานกลาง</v>
      </c>
      <c r="J145" t="str">
        <f>'mk 001 10.3'!J146</f>
        <v>F213  DMCW-รชล-พระพุทธบาท</v>
      </c>
      <c r="K145" t="str">
        <f>'mk 001 10.3'!K146</f>
        <v>00000  หน่วยงานกลาง</v>
      </c>
      <c r="L145">
        <f>'mk 001 10.3'!L146</f>
        <v>923</v>
      </c>
      <c r="M145">
        <f>'mk 001 10.3'!M146</f>
        <v>0</v>
      </c>
      <c r="N145" t="str">
        <f>'mk 001 10.3'!N146</f>
        <v>1A53005200</v>
      </c>
      <c r="O145" t="str">
        <f>'mk 001 10.3'!O146</f>
        <v>บมจ. ซีพี แอ็กซ์ตร้า สาขาอยุธยา</v>
      </c>
      <c r="P145">
        <f>'mk 001 10.3'!P146</f>
        <v>2</v>
      </c>
      <c r="Q145" t="str">
        <f>'mk 001 10.3'!Q146</f>
        <v>MAKRO 0051 อยุธยา</v>
      </c>
      <c r="R145" s="1">
        <f>'mk 001 10.3'!R146</f>
        <v>244658</v>
      </c>
      <c r="S145" s="1" t="str">
        <f>'mk 001 10.3'!S146</f>
        <v>14/5/2569</v>
      </c>
      <c r="T145" t="str">
        <f>'mk 001 10.3'!T146</f>
        <v>H6954RMA0059205</v>
      </c>
      <c r="U145">
        <f>'mk 001 10.3'!U146</f>
        <v>23058588</v>
      </c>
      <c r="V145" t="str">
        <f>'mk 001 10.3'!V146</f>
        <v>ม้าม (M)</v>
      </c>
      <c r="W145">
        <f>'mk 001 10.3'!W146</f>
        <v>5</v>
      </c>
      <c r="X145">
        <f>'mk 001 10.3'!X146</f>
        <v>5</v>
      </c>
      <c r="Y145">
        <f t="shared" si="2"/>
        <v>5</v>
      </c>
      <c r="Z145" s="13">
        <f>IF(COUNTIFS(แปลงข้อมูล!H:H,Q145,แปลงข้อมูล!I:I,U145,แปลงข้อมูล!J:J,V145)&gt;0,SUMIFS(แปลงข้อมูล!Q:Q,แปลงข้อมูล!I:I,U145,แปลงข้อมูล!H:H,Q145,แปลงข้อมูล!J:J,V145),'mk 001 10.3'!Z146)</f>
        <v>5</v>
      </c>
      <c r="AA145">
        <f>'mk 001 10.3'!AA146</f>
        <v>0</v>
      </c>
      <c r="AB145">
        <f>'mk 001 10.3'!AB146</f>
        <v>0</v>
      </c>
      <c r="AC145">
        <f>'mk 001 10.3'!AC146</f>
        <v>0</v>
      </c>
      <c r="AD145">
        <f>'mk 001 10.3'!AD146</f>
        <v>0</v>
      </c>
      <c r="AE145">
        <f>'mk 001 10.3'!AE146</f>
        <v>5</v>
      </c>
      <c r="AF145">
        <f>'mk 001 10.3'!AF146</f>
        <v>5</v>
      </c>
      <c r="AG145">
        <f>'mk 001 10.3'!AG146</f>
        <v>0</v>
      </c>
      <c r="AH145">
        <f>'mk 001 10.3'!AH146</f>
        <v>0</v>
      </c>
      <c r="AI145" t="str">
        <f>'mk 001 10.3'!AI146</f>
        <v>OPRCD489MOPRCD00000OPRCDF213OPRCD00000OPRCD923</v>
      </c>
      <c r="AJ145" t="str">
        <f>'mk 001 10.3'!AJ146</f>
        <v>ซื้อ / ขาย</v>
      </c>
      <c r="AK145" t="str">
        <f>'mk 001 10.3'!AK146</f>
        <v>By proudct</v>
      </c>
      <c r="AL145" t="str">
        <f>'mk 001 10.3'!AL146</f>
        <v>Bulk Normal</v>
      </c>
      <c r="AM145" t="str">
        <f>'mk 001 10.3'!AM146</f>
        <v>สุกร</v>
      </c>
      <c r="AN145" t="str">
        <f>'mk 001 10.3'!AN146</f>
        <v>OT002 CC-Makro</v>
      </c>
      <c r="AO145" t="str">
        <f>'mk 001 10.3'!AO146</f>
        <v>MT</v>
      </c>
      <c r="AP145">
        <f>'mk 001 10.3'!AP146</f>
        <v>2</v>
      </c>
      <c r="AQ145">
        <f>'mk 001 10.3'!AQ146</f>
        <v>0</v>
      </c>
      <c r="AR145">
        <f>'mk 001 10.3'!AR146</f>
        <v>0</v>
      </c>
      <c r="AS145">
        <f>'mk 001 10.3'!AS146</f>
        <v>0</v>
      </c>
      <c r="AT145" t="str">
        <f>'mk 001 10.3'!AT146</f>
        <v>System Batch</v>
      </c>
      <c r="AU145" t="str">
        <f>'mk 001 10.3'!AU146</f>
        <v>2026-05-11-13.33.46.000000</v>
      </c>
      <c r="AV145" t="str">
        <f>'mk 001 10.3'!AV146</f>
        <v>ก.ก.</v>
      </c>
      <c r="AW145" t="str">
        <f>'mk 001 10.3'!AW146</f>
        <v>ก.ก.</v>
      </c>
      <c r="AX145" t="str">
        <f>'mk 001 10.3'!AX146</f>
        <v xml:space="preserve"> </v>
      </c>
      <c r="AY145">
        <f>'mk 001 10.3'!AY146</f>
        <v>0</v>
      </c>
      <c r="AZ145" t="str">
        <f>'mk 001 10.3'!AZ146</f>
        <v>N</v>
      </c>
      <c r="BA145" s="22">
        <f>'mk 001 10.3'!BA146</f>
        <v>9044989536422</v>
      </c>
      <c r="BB145">
        <f>'mk 001 10.3'!BB146</f>
        <v>0</v>
      </c>
      <c r="BC145">
        <f>'mk 001 10.3'!BC146</f>
        <v>0</v>
      </c>
      <c r="BD145">
        <f>'mk 001 10.3'!BD146</f>
        <v>1</v>
      </c>
      <c r="BE145">
        <f>'mk 001 10.3'!BE146</f>
        <v>0</v>
      </c>
      <c r="BF145" t="str">
        <f>'mk 001 10.3'!BF146</f>
        <v>;0000</v>
      </c>
      <c r="BG145">
        <f>'mk 001 10.3'!BG146</f>
        <v>1333314600</v>
      </c>
      <c r="BH145" t="str">
        <f>'mk 001 10.3'!BH146</f>
        <v>G</v>
      </c>
      <c r="BI145">
        <f>'mk 001 10.3'!BI146</f>
        <v>5</v>
      </c>
      <c r="BJ145">
        <f>'mk 001 10.3'!BJ146</f>
        <v>5</v>
      </c>
      <c r="BK145">
        <f>'mk 001 10.3'!BK146</f>
        <v>1300</v>
      </c>
      <c r="BL145" t="str">
        <f>'mk 001 10.3'!BL146</f>
        <v>SYSBATCH</v>
      </c>
      <c r="BM145">
        <f>'mk 001 10.3'!BM146</f>
        <v>0</v>
      </c>
      <c r="BN145">
        <f>'mk 001 10.3'!BN146</f>
        <v>0</v>
      </c>
    </row>
    <row r="146" spans="1:66" x14ac:dyDescent="0.35">
      <c r="A146">
        <f>'mk 001 10.3'!A147</f>
        <v>0</v>
      </c>
      <c r="B146">
        <f>'mk 001 10.3'!B147</f>
        <v>0</v>
      </c>
      <c r="C146" s="1" t="str">
        <f>'mk 001 10.3'!C147</f>
        <v>14/5/2569</v>
      </c>
      <c r="D146" s="1" t="str">
        <f>'mk 001 10.3'!D147</f>
        <v>14/5/2569</v>
      </c>
      <c r="E146">
        <f>'mk 001 10.3'!E147</f>
        <v>0</v>
      </c>
      <c r="F146" t="str">
        <f>'mk 001 10.3'!F147</f>
        <v>489M</v>
      </c>
      <c r="G146" t="str">
        <f>'mk 001 10.3'!G147</f>
        <v>Modern Trade (Makro)</v>
      </c>
      <c r="H146">
        <f>'mk 001 10.3'!H147</f>
        <v>0</v>
      </c>
      <c r="I146" t="str">
        <f>'mk 001 10.3'!I147</f>
        <v>หน่วยงานกลาง</v>
      </c>
      <c r="J146" t="str">
        <f>'mk 001 10.3'!J147</f>
        <v>F213  DMCW-รชล-พระพุทธบาท</v>
      </c>
      <c r="K146" t="str">
        <f>'mk 001 10.3'!K147</f>
        <v>00000  หน่วยงานกลาง</v>
      </c>
      <c r="L146">
        <f>'mk 001 10.3'!L147</f>
        <v>923</v>
      </c>
      <c r="M146">
        <f>'mk 001 10.3'!M147</f>
        <v>0</v>
      </c>
      <c r="N146" t="str">
        <f>'mk 001 10.3'!N147</f>
        <v>1A53005200</v>
      </c>
      <c r="O146" t="str">
        <f>'mk 001 10.3'!O147</f>
        <v>บมจ. ซีพี แอ็กซ์ตร้า สาขาอยุธยา</v>
      </c>
      <c r="P146">
        <f>'mk 001 10.3'!P147</f>
        <v>2</v>
      </c>
      <c r="Q146" t="str">
        <f>'mk 001 10.3'!Q147</f>
        <v>MAKRO 0051 อยุธยา</v>
      </c>
      <c r="R146" s="1">
        <f>'mk 001 10.3'!R147</f>
        <v>244658</v>
      </c>
      <c r="S146" s="1" t="str">
        <f>'mk 001 10.3'!S147</f>
        <v>14/5/2569</v>
      </c>
      <c r="T146" t="str">
        <f>'mk 001 10.3'!T147</f>
        <v>H6954RMA0059205</v>
      </c>
      <c r="U146">
        <f>'mk 001 10.3'!U147</f>
        <v>23058589</v>
      </c>
      <c r="V146" t="str">
        <f>'mk 001 10.3'!V147</f>
        <v>ไส้อ่อน (M)</v>
      </c>
      <c r="W146">
        <f>'mk 001 10.3'!W147</f>
        <v>40</v>
      </c>
      <c r="X146">
        <f>'mk 001 10.3'!X147</f>
        <v>40</v>
      </c>
      <c r="Y146">
        <f t="shared" si="2"/>
        <v>40</v>
      </c>
      <c r="Z146" s="13">
        <f>IF(COUNTIFS(แปลงข้อมูล!H:H,Q146,แปลงข้อมูล!I:I,U146,แปลงข้อมูล!J:J,V146)&gt;0,SUMIFS(แปลงข้อมูล!Q:Q,แปลงข้อมูล!I:I,U146,แปลงข้อมูล!H:H,Q146,แปลงข้อมูล!J:J,V146),'mk 001 10.3'!Z147)</f>
        <v>40</v>
      </c>
      <c r="AA146">
        <f>'mk 001 10.3'!AA147</f>
        <v>0</v>
      </c>
      <c r="AB146">
        <f>'mk 001 10.3'!AB147</f>
        <v>0</v>
      </c>
      <c r="AC146">
        <f>'mk 001 10.3'!AC147</f>
        <v>0</v>
      </c>
      <c r="AD146">
        <f>'mk 001 10.3'!AD147</f>
        <v>0</v>
      </c>
      <c r="AE146">
        <f>'mk 001 10.3'!AE147</f>
        <v>40</v>
      </c>
      <c r="AF146">
        <f>'mk 001 10.3'!AF147</f>
        <v>40</v>
      </c>
      <c r="AG146">
        <f>'mk 001 10.3'!AG147</f>
        <v>0</v>
      </c>
      <c r="AH146">
        <f>'mk 001 10.3'!AH147</f>
        <v>0</v>
      </c>
      <c r="AI146" t="str">
        <f>'mk 001 10.3'!AI147</f>
        <v>OPRCD489MOPRCD00000OPRCDF213OPRCD00000OPRCD923</v>
      </c>
      <c r="AJ146" t="str">
        <f>'mk 001 10.3'!AJ147</f>
        <v>ซื้อ / ขาย</v>
      </c>
      <c r="AK146" t="str">
        <f>'mk 001 10.3'!AK147</f>
        <v>By proudct</v>
      </c>
      <c r="AL146" t="str">
        <f>'mk 001 10.3'!AL147</f>
        <v>Bulk Normal</v>
      </c>
      <c r="AM146" t="str">
        <f>'mk 001 10.3'!AM147</f>
        <v>สุกร</v>
      </c>
      <c r="AN146" t="str">
        <f>'mk 001 10.3'!AN147</f>
        <v>OT002 CC-Makro</v>
      </c>
      <c r="AO146" t="str">
        <f>'mk 001 10.3'!AO147</f>
        <v>MT</v>
      </c>
      <c r="AP146">
        <f>'mk 001 10.3'!AP147</f>
        <v>2</v>
      </c>
      <c r="AQ146">
        <f>'mk 001 10.3'!AQ147</f>
        <v>0</v>
      </c>
      <c r="AR146">
        <f>'mk 001 10.3'!AR147</f>
        <v>0</v>
      </c>
      <c r="AS146">
        <f>'mk 001 10.3'!AS147</f>
        <v>0</v>
      </c>
      <c r="AT146" t="str">
        <f>'mk 001 10.3'!AT147</f>
        <v>System Batch</v>
      </c>
      <c r="AU146" t="str">
        <f>'mk 001 10.3'!AU147</f>
        <v>2026-05-11-13.33.46.000000</v>
      </c>
      <c r="AV146" t="str">
        <f>'mk 001 10.3'!AV147</f>
        <v>ก.ก.</v>
      </c>
      <c r="AW146" t="str">
        <f>'mk 001 10.3'!AW147</f>
        <v>ก.ก.</v>
      </c>
      <c r="AX146" t="str">
        <f>'mk 001 10.3'!AX147</f>
        <v xml:space="preserve"> </v>
      </c>
      <c r="AY146">
        <f>'mk 001 10.3'!AY147</f>
        <v>0</v>
      </c>
      <c r="AZ146" t="str">
        <f>'mk 001 10.3'!AZ147</f>
        <v>N</v>
      </c>
      <c r="BA146" s="22">
        <f>'mk 001 10.3'!BA147</f>
        <v>9044989536422</v>
      </c>
      <c r="BB146">
        <f>'mk 001 10.3'!BB147</f>
        <v>0</v>
      </c>
      <c r="BC146">
        <f>'mk 001 10.3'!BC147</f>
        <v>0</v>
      </c>
      <c r="BD146">
        <f>'mk 001 10.3'!BD147</f>
        <v>1</v>
      </c>
      <c r="BE146">
        <f>'mk 001 10.3'!BE147</f>
        <v>0</v>
      </c>
      <c r="BF146" t="str">
        <f>'mk 001 10.3'!BF147</f>
        <v>;0000</v>
      </c>
      <c r="BG146">
        <f>'mk 001 10.3'!BG147</f>
        <v>1333314600</v>
      </c>
      <c r="BH146" t="str">
        <f>'mk 001 10.3'!BH147</f>
        <v>G</v>
      </c>
      <c r="BI146">
        <f>'mk 001 10.3'!BI147</f>
        <v>40</v>
      </c>
      <c r="BJ146">
        <f>'mk 001 10.3'!BJ147</f>
        <v>40</v>
      </c>
      <c r="BK146">
        <f>'mk 001 10.3'!BK147</f>
        <v>1300</v>
      </c>
      <c r="BL146" t="str">
        <f>'mk 001 10.3'!BL147</f>
        <v>SYSBATCH</v>
      </c>
      <c r="BM146">
        <f>'mk 001 10.3'!BM147</f>
        <v>0</v>
      </c>
      <c r="BN146">
        <f>'mk 001 10.3'!BN147</f>
        <v>0</v>
      </c>
    </row>
    <row r="147" spans="1:66" x14ac:dyDescent="0.35">
      <c r="A147">
        <f>'mk 001 10.3'!A148</f>
        <v>0</v>
      </c>
      <c r="B147">
        <f>'mk 001 10.3'!B148</f>
        <v>0</v>
      </c>
      <c r="C147" s="1" t="str">
        <f>'mk 001 10.3'!C148</f>
        <v>14/5/2569</v>
      </c>
      <c r="D147" s="1" t="str">
        <f>'mk 001 10.3'!D148</f>
        <v>14/5/2569</v>
      </c>
      <c r="E147">
        <f>'mk 001 10.3'!E148</f>
        <v>0</v>
      </c>
      <c r="F147" t="str">
        <f>'mk 001 10.3'!F148</f>
        <v>489M</v>
      </c>
      <c r="G147" t="str">
        <f>'mk 001 10.3'!G148</f>
        <v>Modern Trade (Makro)</v>
      </c>
      <c r="H147">
        <f>'mk 001 10.3'!H148</f>
        <v>0</v>
      </c>
      <c r="I147" t="str">
        <f>'mk 001 10.3'!I148</f>
        <v>หน่วยงานกลาง</v>
      </c>
      <c r="J147" t="str">
        <f>'mk 001 10.3'!J148</f>
        <v>F213  DMCW-รชล-พระพุทธบาท</v>
      </c>
      <c r="K147" t="str">
        <f>'mk 001 10.3'!K148</f>
        <v>00000  หน่วยงานกลาง</v>
      </c>
      <c r="L147">
        <f>'mk 001 10.3'!L148</f>
        <v>923</v>
      </c>
      <c r="M147">
        <f>'mk 001 10.3'!M148</f>
        <v>0</v>
      </c>
      <c r="N147" t="str">
        <f>'mk 001 10.3'!N148</f>
        <v>1A53005200</v>
      </c>
      <c r="O147" t="str">
        <f>'mk 001 10.3'!O148</f>
        <v>บมจ. ซีพี แอ็กซ์ตร้า สาขาอยุธยา</v>
      </c>
      <c r="P147">
        <f>'mk 001 10.3'!P148</f>
        <v>2</v>
      </c>
      <c r="Q147" t="str">
        <f>'mk 001 10.3'!Q148</f>
        <v>MAKRO 0051 อยุธยา</v>
      </c>
      <c r="R147" s="1">
        <f>'mk 001 10.3'!R148</f>
        <v>244658</v>
      </c>
      <c r="S147" s="1" t="str">
        <f>'mk 001 10.3'!S148</f>
        <v>14/5/2569</v>
      </c>
      <c r="T147" t="str">
        <f>'mk 001 10.3'!T148</f>
        <v>H6954RMA0059205</v>
      </c>
      <c r="U147">
        <f>'mk 001 10.3'!U148</f>
        <v>23105702</v>
      </c>
      <c r="V147" t="str">
        <f>'mk 001 10.3'!V148</f>
        <v>หมูบดปนมัน 30%(M)</v>
      </c>
      <c r="W147">
        <f>'mk 001 10.3'!W148</f>
        <v>80</v>
      </c>
      <c r="X147">
        <f>'mk 001 10.3'!X148</f>
        <v>400</v>
      </c>
      <c r="Y147">
        <f t="shared" si="2"/>
        <v>80</v>
      </c>
      <c r="Z147" s="13">
        <f>IF(COUNTIFS(แปลงข้อมูล!H:H,Q147,แปลงข้อมูล!I:I,U147,แปลงข้อมูล!J:J,V147)&gt;0,SUMIFS(แปลงข้อมูล!Q:Q,แปลงข้อมูล!I:I,U147,แปลงข้อมูล!H:H,Q147,แปลงข้อมูล!J:J,V147),'mk 001 10.3'!Z148)</f>
        <v>400</v>
      </c>
      <c r="AA147">
        <f>'mk 001 10.3'!AA148</f>
        <v>0</v>
      </c>
      <c r="AB147">
        <f>'mk 001 10.3'!AB148</f>
        <v>0</v>
      </c>
      <c r="AC147">
        <f>'mk 001 10.3'!AC148</f>
        <v>0</v>
      </c>
      <c r="AD147">
        <f>'mk 001 10.3'!AD148</f>
        <v>0</v>
      </c>
      <c r="AE147">
        <f>'mk 001 10.3'!AE148</f>
        <v>80</v>
      </c>
      <c r="AF147">
        <f>'mk 001 10.3'!AF148</f>
        <v>400</v>
      </c>
      <c r="AG147">
        <f>'mk 001 10.3'!AG148</f>
        <v>0</v>
      </c>
      <c r="AH147">
        <f>'mk 001 10.3'!AH148</f>
        <v>0</v>
      </c>
      <c r="AI147" t="str">
        <f>'mk 001 10.3'!AI148</f>
        <v>OPRCD489MOPRCD00000OPRCDF213OPRCD00000OPRCD923</v>
      </c>
      <c r="AJ147" t="str">
        <f>'mk 001 10.3'!AJ148</f>
        <v>ซื้อ / ขาย</v>
      </c>
      <c r="AK147" t="str">
        <f>'mk 001 10.3'!AK148</f>
        <v>Main proudct</v>
      </c>
      <c r="AL147" t="str">
        <f>'mk 001 10.3'!AL148</f>
        <v>Bulk Normal</v>
      </c>
      <c r="AM147" t="str">
        <f>'mk 001 10.3'!AM148</f>
        <v>สุกร</v>
      </c>
      <c r="AN147" t="str">
        <f>'mk 001 10.3'!AN148</f>
        <v>OT002 CC-Makro</v>
      </c>
      <c r="AO147" t="str">
        <f>'mk 001 10.3'!AO148</f>
        <v>MT</v>
      </c>
      <c r="AP147">
        <f>'mk 001 10.3'!AP148</f>
        <v>2</v>
      </c>
      <c r="AQ147">
        <f>'mk 001 10.3'!AQ148</f>
        <v>0</v>
      </c>
      <c r="AR147">
        <f>'mk 001 10.3'!AR148</f>
        <v>0</v>
      </c>
      <c r="AS147">
        <f>'mk 001 10.3'!AS148</f>
        <v>0</v>
      </c>
      <c r="AT147" t="str">
        <f>'mk 001 10.3'!AT148</f>
        <v>System Batch</v>
      </c>
      <c r="AU147" t="str">
        <f>'mk 001 10.3'!AU148</f>
        <v>2026-05-11-13.33.46.000000</v>
      </c>
      <c r="AV147" t="str">
        <f>'mk 001 10.3'!AV148</f>
        <v>ถุง</v>
      </c>
      <c r="AW147" t="str">
        <f>'mk 001 10.3'!AW148</f>
        <v>ก.ก.</v>
      </c>
      <c r="AX147" t="str">
        <f>'mk 001 10.3'!AX148</f>
        <v xml:space="preserve"> </v>
      </c>
      <c r="AY147">
        <f>'mk 001 10.3'!AY148</f>
        <v>0</v>
      </c>
      <c r="AZ147" t="str">
        <f>'mk 001 10.3'!AZ148</f>
        <v>N</v>
      </c>
      <c r="BA147" s="22">
        <f>'mk 001 10.3'!BA148</f>
        <v>9044989536422</v>
      </c>
      <c r="BB147">
        <f>'mk 001 10.3'!BB148</f>
        <v>0</v>
      </c>
      <c r="BC147">
        <f>'mk 001 10.3'!BC148</f>
        <v>0</v>
      </c>
      <c r="BD147">
        <f>'mk 001 10.3'!BD148</f>
        <v>1</v>
      </c>
      <c r="BE147">
        <f>'mk 001 10.3'!BE148</f>
        <v>0</v>
      </c>
      <c r="BF147" t="str">
        <f>'mk 001 10.3'!BF148</f>
        <v>;0000</v>
      </c>
      <c r="BG147">
        <f>'mk 001 10.3'!BG148</f>
        <v>1333314600</v>
      </c>
      <c r="BH147" t="str">
        <f>'mk 001 10.3'!BH148</f>
        <v>G</v>
      </c>
      <c r="BI147">
        <f>'mk 001 10.3'!BI148</f>
        <v>80</v>
      </c>
      <c r="BJ147">
        <f>'mk 001 10.3'!BJ148</f>
        <v>400</v>
      </c>
      <c r="BK147">
        <f>'mk 001 10.3'!BK148</f>
        <v>1300</v>
      </c>
      <c r="BL147" t="str">
        <f>'mk 001 10.3'!BL148</f>
        <v>SYSBATCH</v>
      </c>
      <c r="BM147">
        <f>'mk 001 10.3'!BM148</f>
        <v>0</v>
      </c>
      <c r="BN147">
        <f>'mk 001 10.3'!BN148</f>
        <v>0</v>
      </c>
    </row>
    <row r="148" spans="1:66" x14ac:dyDescent="0.35">
      <c r="A148">
        <f>'mk 001 10.3'!A149</f>
        <v>0</v>
      </c>
      <c r="B148">
        <f>'mk 001 10.3'!B149</f>
        <v>0</v>
      </c>
      <c r="C148" s="1" t="str">
        <f>'mk 001 10.3'!C149</f>
        <v>14/5/2569</v>
      </c>
      <c r="D148" s="1" t="str">
        <f>'mk 001 10.3'!D149</f>
        <v>14/5/2569</v>
      </c>
      <c r="E148">
        <f>'mk 001 10.3'!E149</f>
        <v>0</v>
      </c>
      <c r="F148" t="str">
        <f>'mk 001 10.3'!F149</f>
        <v>489M</v>
      </c>
      <c r="G148" t="str">
        <f>'mk 001 10.3'!G149</f>
        <v>Modern Trade (Makro)</v>
      </c>
      <c r="H148">
        <f>'mk 001 10.3'!H149</f>
        <v>0</v>
      </c>
      <c r="I148" t="str">
        <f>'mk 001 10.3'!I149</f>
        <v>หน่วยงานกลาง</v>
      </c>
      <c r="J148" t="str">
        <f>'mk 001 10.3'!J149</f>
        <v>F213  DMCW-รชล-พระพุทธบาท</v>
      </c>
      <c r="K148" t="str">
        <f>'mk 001 10.3'!K149</f>
        <v>00000  หน่วยงานกลาง</v>
      </c>
      <c r="L148">
        <f>'mk 001 10.3'!L149</f>
        <v>923</v>
      </c>
      <c r="M148">
        <f>'mk 001 10.3'!M149</f>
        <v>0</v>
      </c>
      <c r="N148" t="str">
        <f>'mk 001 10.3'!N149</f>
        <v>1A53005200</v>
      </c>
      <c r="O148" t="str">
        <f>'mk 001 10.3'!O149</f>
        <v>บมจ. ซีพี แอ็กซ์ตร้า สาขาอยุธยา</v>
      </c>
      <c r="P148">
        <f>'mk 001 10.3'!P149</f>
        <v>2</v>
      </c>
      <c r="Q148" t="str">
        <f>'mk 001 10.3'!Q149</f>
        <v>MAKRO 0051 อยุธยา</v>
      </c>
      <c r="R148" s="1">
        <f>'mk 001 10.3'!R149</f>
        <v>244658</v>
      </c>
      <c r="S148" s="1" t="str">
        <f>'mk 001 10.3'!S149</f>
        <v>14/5/2569</v>
      </c>
      <c r="T148" t="str">
        <f>'mk 001 10.3'!T149</f>
        <v>H6954RMA0059205</v>
      </c>
      <c r="U148">
        <f>'mk 001 10.3'!U149</f>
        <v>23065143</v>
      </c>
      <c r="V148" t="str">
        <f>'mk 001 10.3'!V149</f>
        <v>สามชั้นสไลด์</v>
      </c>
      <c r="W148">
        <f>'mk 001 10.3'!W149</f>
        <v>80</v>
      </c>
      <c r="X148">
        <f>'mk 001 10.3'!X149</f>
        <v>80</v>
      </c>
      <c r="Y148">
        <f t="shared" si="2"/>
        <v>80</v>
      </c>
      <c r="Z148" s="13">
        <f>IF(COUNTIFS(แปลงข้อมูล!H:H,Q148,แปลงข้อมูล!I:I,U148,แปลงข้อมูล!J:J,V148)&gt;0,SUMIFS(แปลงข้อมูล!Q:Q,แปลงข้อมูล!I:I,U148,แปลงข้อมูล!H:H,Q148,แปลงข้อมูล!J:J,V148),'mk 001 10.3'!Z149)</f>
        <v>80</v>
      </c>
      <c r="AA148">
        <f>'mk 001 10.3'!AA149</f>
        <v>0</v>
      </c>
      <c r="AB148">
        <f>'mk 001 10.3'!AB149</f>
        <v>0</v>
      </c>
      <c r="AC148">
        <f>'mk 001 10.3'!AC149</f>
        <v>0</v>
      </c>
      <c r="AD148">
        <f>'mk 001 10.3'!AD149</f>
        <v>0</v>
      </c>
      <c r="AE148">
        <f>'mk 001 10.3'!AE149</f>
        <v>80</v>
      </c>
      <c r="AF148">
        <f>'mk 001 10.3'!AF149</f>
        <v>80</v>
      </c>
      <c r="AG148">
        <f>'mk 001 10.3'!AG149</f>
        <v>0</v>
      </c>
      <c r="AH148">
        <f>'mk 001 10.3'!AH149</f>
        <v>0</v>
      </c>
      <c r="AI148" t="str">
        <f>'mk 001 10.3'!AI149</f>
        <v>OPRCD489MOPRCD00000OPRCDF213OPRCD00000OPRCD923</v>
      </c>
      <c r="AJ148" t="str">
        <f>'mk 001 10.3'!AJ149</f>
        <v>ซื้อ / ขาย</v>
      </c>
      <c r="AK148" t="str">
        <f>'mk 001 10.3'!AK149</f>
        <v>Main proudct</v>
      </c>
      <c r="AL148" t="str">
        <f>'mk 001 10.3'!AL149</f>
        <v>Bulk Normal</v>
      </c>
      <c r="AM148" t="str">
        <f>'mk 001 10.3'!AM149</f>
        <v>สุกร</v>
      </c>
      <c r="AN148" t="str">
        <f>'mk 001 10.3'!AN149</f>
        <v>OT002 CC-Makro</v>
      </c>
      <c r="AO148" t="str">
        <f>'mk 001 10.3'!AO149</f>
        <v>MT</v>
      </c>
      <c r="AP148">
        <f>'mk 001 10.3'!AP149</f>
        <v>2</v>
      </c>
      <c r="AQ148">
        <f>'mk 001 10.3'!AQ149</f>
        <v>0</v>
      </c>
      <c r="AR148">
        <f>'mk 001 10.3'!AR149</f>
        <v>0</v>
      </c>
      <c r="AS148">
        <f>'mk 001 10.3'!AS149</f>
        <v>0</v>
      </c>
      <c r="AT148" t="str">
        <f>'mk 001 10.3'!AT149</f>
        <v>System Batch</v>
      </c>
      <c r="AU148" t="str">
        <f>'mk 001 10.3'!AU149</f>
        <v>2026-05-11-13.33.46.000000</v>
      </c>
      <c r="AV148" t="str">
        <f>'mk 001 10.3'!AV149</f>
        <v>ก.ก.</v>
      </c>
      <c r="AW148" t="str">
        <f>'mk 001 10.3'!AW149</f>
        <v>ก.ก.</v>
      </c>
      <c r="AX148" t="str">
        <f>'mk 001 10.3'!AX149</f>
        <v xml:space="preserve"> </v>
      </c>
      <c r="AY148">
        <f>'mk 001 10.3'!AY149</f>
        <v>0</v>
      </c>
      <c r="AZ148" t="str">
        <f>'mk 001 10.3'!AZ149</f>
        <v>N</v>
      </c>
      <c r="BA148" s="22">
        <f>'mk 001 10.3'!BA149</f>
        <v>9044989536422</v>
      </c>
      <c r="BB148">
        <f>'mk 001 10.3'!BB149</f>
        <v>0</v>
      </c>
      <c r="BC148">
        <f>'mk 001 10.3'!BC149</f>
        <v>0</v>
      </c>
      <c r="BD148">
        <f>'mk 001 10.3'!BD149</f>
        <v>1</v>
      </c>
      <c r="BE148">
        <f>'mk 001 10.3'!BE149</f>
        <v>0</v>
      </c>
      <c r="BF148" t="str">
        <f>'mk 001 10.3'!BF149</f>
        <v>;0000</v>
      </c>
      <c r="BG148">
        <f>'mk 001 10.3'!BG149</f>
        <v>1333314600</v>
      </c>
      <c r="BH148" t="str">
        <f>'mk 001 10.3'!BH149</f>
        <v>G</v>
      </c>
      <c r="BI148">
        <f>'mk 001 10.3'!BI149</f>
        <v>80</v>
      </c>
      <c r="BJ148">
        <f>'mk 001 10.3'!BJ149</f>
        <v>80</v>
      </c>
      <c r="BK148">
        <f>'mk 001 10.3'!BK149</f>
        <v>1300</v>
      </c>
      <c r="BL148" t="str">
        <f>'mk 001 10.3'!BL149</f>
        <v>SYSBATCH</v>
      </c>
      <c r="BM148">
        <f>'mk 001 10.3'!BM149</f>
        <v>0</v>
      </c>
      <c r="BN148">
        <f>'mk 001 10.3'!BN149</f>
        <v>0</v>
      </c>
    </row>
    <row r="149" spans="1:66" x14ac:dyDescent="0.35">
      <c r="A149">
        <f>'mk 001 10.3'!A150</f>
        <v>0</v>
      </c>
      <c r="B149">
        <f>'mk 001 10.3'!B150</f>
        <v>0</v>
      </c>
      <c r="C149" s="1" t="str">
        <f>'mk 001 10.3'!C150</f>
        <v>14/5/2569</v>
      </c>
      <c r="D149" s="1" t="str">
        <f>'mk 001 10.3'!D150</f>
        <v>14/5/2569</v>
      </c>
      <c r="E149">
        <f>'mk 001 10.3'!E150</f>
        <v>0</v>
      </c>
      <c r="F149" t="str">
        <f>'mk 001 10.3'!F150</f>
        <v>489M</v>
      </c>
      <c r="G149" t="str">
        <f>'mk 001 10.3'!G150</f>
        <v>Modern Trade (Makro)</v>
      </c>
      <c r="H149">
        <f>'mk 001 10.3'!H150</f>
        <v>0</v>
      </c>
      <c r="I149" t="str">
        <f>'mk 001 10.3'!I150</f>
        <v>หน่วยงานกลาง</v>
      </c>
      <c r="J149" t="str">
        <f>'mk 001 10.3'!J150</f>
        <v>F213  DMCW-รชล-พระพุทธบาท</v>
      </c>
      <c r="K149" t="str">
        <f>'mk 001 10.3'!K150</f>
        <v>00000  หน่วยงานกลาง</v>
      </c>
      <c r="L149">
        <f>'mk 001 10.3'!L150</f>
        <v>923</v>
      </c>
      <c r="M149">
        <f>'mk 001 10.3'!M150</f>
        <v>0</v>
      </c>
      <c r="N149" t="str">
        <f>'mk 001 10.3'!N150</f>
        <v>1A53005200</v>
      </c>
      <c r="O149" t="str">
        <f>'mk 001 10.3'!O150</f>
        <v>บมจ. ซีพี แอ็กซ์ตร้า สาขาอยุธยา</v>
      </c>
      <c r="P149">
        <f>'mk 001 10.3'!P150</f>
        <v>2</v>
      </c>
      <c r="Q149" t="str">
        <f>'mk 001 10.3'!Q150</f>
        <v>MAKRO 0051 อยุธยา</v>
      </c>
      <c r="R149" s="1">
        <f>'mk 001 10.3'!R150</f>
        <v>244658</v>
      </c>
      <c r="S149" s="1" t="str">
        <f>'mk 001 10.3'!S150</f>
        <v>14/5/2569</v>
      </c>
      <c r="T149" t="str">
        <f>'mk 001 10.3'!T150</f>
        <v>H6954RMA0059205</v>
      </c>
      <c r="U149">
        <f>'mk 001 10.3'!U150</f>
        <v>23105754</v>
      </c>
      <c r="V149" t="str">
        <f>'mk 001 10.3'!V150</f>
        <v>เซพแพ็ค สามชั้นหมู กก.ละ</v>
      </c>
      <c r="W149">
        <f>'mk 001 10.3'!W150</f>
        <v>60</v>
      </c>
      <c r="X149">
        <f>'mk 001 10.3'!X150</f>
        <v>60</v>
      </c>
      <c r="Y149">
        <f t="shared" si="2"/>
        <v>60</v>
      </c>
      <c r="Z149" s="13">
        <f>IF(COUNTIFS(แปลงข้อมูล!H:H,Q149,แปลงข้อมูล!I:I,U149,แปลงข้อมูล!J:J,V149)&gt;0,SUMIFS(แปลงข้อมูล!Q:Q,แปลงข้อมูล!I:I,U149,แปลงข้อมูล!H:H,Q149,แปลงข้อมูล!J:J,V149),'mk 001 10.3'!Z150)</f>
        <v>60</v>
      </c>
      <c r="AA149">
        <f>'mk 001 10.3'!AA150</f>
        <v>0</v>
      </c>
      <c r="AB149">
        <f>'mk 001 10.3'!AB150</f>
        <v>0</v>
      </c>
      <c r="AC149">
        <f>'mk 001 10.3'!AC150</f>
        <v>0</v>
      </c>
      <c r="AD149">
        <f>'mk 001 10.3'!AD150</f>
        <v>0</v>
      </c>
      <c r="AE149">
        <f>'mk 001 10.3'!AE150</f>
        <v>60</v>
      </c>
      <c r="AF149">
        <f>'mk 001 10.3'!AF150</f>
        <v>60</v>
      </c>
      <c r="AG149">
        <f>'mk 001 10.3'!AG150</f>
        <v>0</v>
      </c>
      <c r="AH149">
        <f>'mk 001 10.3'!AH150</f>
        <v>0</v>
      </c>
      <c r="AI149" t="str">
        <f>'mk 001 10.3'!AI150</f>
        <v>OPRCD489MOPRCD00000OPRCDF213OPRCD00000OPRCD923</v>
      </c>
      <c r="AJ149" t="str">
        <f>'mk 001 10.3'!AJ150</f>
        <v>ซื้อ / ขาย</v>
      </c>
      <c r="AK149" t="str">
        <f>'mk 001 10.3'!AK150</f>
        <v>Main proudct</v>
      </c>
      <c r="AL149" t="str">
        <f>'mk 001 10.3'!AL150</f>
        <v>Bulk Normal</v>
      </c>
      <c r="AM149" t="str">
        <f>'mk 001 10.3'!AM150</f>
        <v>สุกร</v>
      </c>
      <c r="AN149" t="str">
        <f>'mk 001 10.3'!AN150</f>
        <v>OT002 CC-Makro</v>
      </c>
      <c r="AO149" t="str">
        <f>'mk 001 10.3'!AO150</f>
        <v>MT</v>
      </c>
      <c r="AP149">
        <f>'mk 001 10.3'!AP150</f>
        <v>2</v>
      </c>
      <c r="AQ149">
        <f>'mk 001 10.3'!AQ150</f>
        <v>0</v>
      </c>
      <c r="AR149">
        <f>'mk 001 10.3'!AR150</f>
        <v>0</v>
      </c>
      <c r="AS149">
        <f>'mk 001 10.3'!AS150</f>
        <v>0</v>
      </c>
      <c r="AT149" t="str">
        <f>'mk 001 10.3'!AT150</f>
        <v>System Batch</v>
      </c>
      <c r="AU149" t="str">
        <f>'mk 001 10.3'!AU150</f>
        <v>2026-05-11-13.33.46.000000</v>
      </c>
      <c r="AV149" t="str">
        <f>'mk 001 10.3'!AV150</f>
        <v>ก.ก.</v>
      </c>
      <c r="AW149" t="str">
        <f>'mk 001 10.3'!AW150</f>
        <v>ก.ก.</v>
      </c>
      <c r="AX149" t="str">
        <f>'mk 001 10.3'!AX150</f>
        <v xml:space="preserve"> </v>
      </c>
      <c r="AY149">
        <f>'mk 001 10.3'!AY150</f>
        <v>0</v>
      </c>
      <c r="AZ149" t="str">
        <f>'mk 001 10.3'!AZ150</f>
        <v>N</v>
      </c>
      <c r="BA149" s="22">
        <f>'mk 001 10.3'!BA150</f>
        <v>9044989536422</v>
      </c>
      <c r="BB149">
        <f>'mk 001 10.3'!BB150</f>
        <v>0</v>
      </c>
      <c r="BC149">
        <f>'mk 001 10.3'!BC150</f>
        <v>0</v>
      </c>
      <c r="BD149">
        <f>'mk 001 10.3'!BD150</f>
        <v>1</v>
      </c>
      <c r="BE149">
        <f>'mk 001 10.3'!BE150</f>
        <v>0</v>
      </c>
      <c r="BF149" t="str">
        <f>'mk 001 10.3'!BF150</f>
        <v>;0000</v>
      </c>
      <c r="BG149">
        <f>'mk 001 10.3'!BG150</f>
        <v>1333314600</v>
      </c>
      <c r="BH149" t="str">
        <f>'mk 001 10.3'!BH150</f>
        <v>G</v>
      </c>
      <c r="BI149">
        <f>'mk 001 10.3'!BI150</f>
        <v>60</v>
      </c>
      <c r="BJ149">
        <f>'mk 001 10.3'!BJ150</f>
        <v>60</v>
      </c>
      <c r="BK149">
        <f>'mk 001 10.3'!BK150</f>
        <v>1300</v>
      </c>
      <c r="BL149" t="str">
        <f>'mk 001 10.3'!BL150</f>
        <v>SYSBATCH</v>
      </c>
      <c r="BM149">
        <f>'mk 001 10.3'!BM150</f>
        <v>0</v>
      </c>
      <c r="BN149">
        <f>'mk 001 10.3'!BN150</f>
        <v>0</v>
      </c>
    </row>
    <row r="150" spans="1:66" x14ac:dyDescent="0.35">
      <c r="A150">
        <f>'mk 001 10.3'!A151</f>
        <v>0</v>
      </c>
      <c r="B150">
        <f>'mk 001 10.3'!B151</f>
        <v>0</v>
      </c>
      <c r="C150" s="1" t="str">
        <f>'mk 001 10.3'!C151</f>
        <v>14/5/2569</v>
      </c>
      <c r="D150" s="1" t="str">
        <f>'mk 001 10.3'!D151</f>
        <v>14/5/2569</v>
      </c>
      <c r="E150">
        <f>'mk 001 10.3'!E151</f>
        <v>0</v>
      </c>
      <c r="F150" t="str">
        <f>'mk 001 10.3'!F151</f>
        <v>489M</v>
      </c>
      <c r="G150" t="str">
        <f>'mk 001 10.3'!G151</f>
        <v>Modern Trade (Makro)</v>
      </c>
      <c r="H150">
        <f>'mk 001 10.3'!H151</f>
        <v>0</v>
      </c>
      <c r="I150" t="str">
        <f>'mk 001 10.3'!I151</f>
        <v>หน่วยงานกลาง</v>
      </c>
      <c r="J150" t="str">
        <f>'mk 001 10.3'!J151</f>
        <v>F213  DMCW-รชล-พระพุทธบาท</v>
      </c>
      <c r="K150" t="str">
        <f>'mk 001 10.3'!K151</f>
        <v>00000  หน่วยงานกลาง</v>
      </c>
      <c r="L150">
        <f>'mk 001 10.3'!L151</f>
        <v>923</v>
      </c>
      <c r="M150">
        <f>'mk 001 10.3'!M151</f>
        <v>0</v>
      </c>
      <c r="N150" t="str">
        <f>'mk 001 10.3'!N151</f>
        <v>1A53005200</v>
      </c>
      <c r="O150" t="str">
        <f>'mk 001 10.3'!O151</f>
        <v>บมจ. ซีพี แอ็กซ์ตร้า สาขาอยุธยา</v>
      </c>
      <c r="P150">
        <f>'mk 001 10.3'!P151</f>
        <v>2</v>
      </c>
      <c r="Q150" t="str">
        <f>'mk 001 10.3'!Q151</f>
        <v>MAKRO 0051 อยุธยา</v>
      </c>
      <c r="R150" s="1">
        <f>'mk 001 10.3'!R151</f>
        <v>244658</v>
      </c>
      <c r="S150" s="1" t="str">
        <f>'mk 001 10.3'!S151</f>
        <v>14/5/2569</v>
      </c>
      <c r="T150" t="str">
        <f>'mk 001 10.3'!T151</f>
        <v>H6954RMA0059205</v>
      </c>
      <c r="U150">
        <f>'mk 001 10.3'!U151</f>
        <v>23058584</v>
      </c>
      <c r="V150" t="str">
        <f>'mk 001 10.3'!V151</f>
        <v>ตับหมู (M)</v>
      </c>
      <c r="W150">
        <f>'mk 001 10.3'!W151</f>
        <v>100</v>
      </c>
      <c r="X150">
        <f>'mk 001 10.3'!X151</f>
        <v>100</v>
      </c>
      <c r="Y150">
        <f t="shared" si="2"/>
        <v>100</v>
      </c>
      <c r="Z150" s="13">
        <f>IF(COUNTIFS(แปลงข้อมูล!H:H,Q150,แปลงข้อมูล!I:I,U150,แปลงข้อมูล!J:J,V150)&gt;0,SUMIFS(แปลงข้อมูล!Q:Q,แปลงข้อมูล!I:I,U150,แปลงข้อมูล!H:H,Q150,แปลงข้อมูล!J:J,V150),'mk 001 10.3'!Z151)</f>
        <v>100</v>
      </c>
      <c r="AA150">
        <f>'mk 001 10.3'!AA151</f>
        <v>0</v>
      </c>
      <c r="AB150">
        <f>'mk 001 10.3'!AB151</f>
        <v>0</v>
      </c>
      <c r="AC150">
        <f>'mk 001 10.3'!AC151</f>
        <v>0</v>
      </c>
      <c r="AD150">
        <f>'mk 001 10.3'!AD151</f>
        <v>0</v>
      </c>
      <c r="AE150">
        <f>'mk 001 10.3'!AE151</f>
        <v>100</v>
      </c>
      <c r="AF150">
        <f>'mk 001 10.3'!AF151</f>
        <v>100</v>
      </c>
      <c r="AG150">
        <f>'mk 001 10.3'!AG151</f>
        <v>0</v>
      </c>
      <c r="AH150">
        <f>'mk 001 10.3'!AH151</f>
        <v>0</v>
      </c>
      <c r="AI150" t="str">
        <f>'mk 001 10.3'!AI151</f>
        <v>OPRCD489MOPRCD00000OPRCDF213OPRCD00000OPRCD923</v>
      </c>
      <c r="AJ150" t="str">
        <f>'mk 001 10.3'!AJ151</f>
        <v>ซื้อ / ขาย</v>
      </c>
      <c r="AK150" t="str">
        <f>'mk 001 10.3'!AK151</f>
        <v>By proudct</v>
      </c>
      <c r="AL150" t="str">
        <f>'mk 001 10.3'!AL151</f>
        <v>Bulk Normal</v>
      </c>
      <c r="AM150" t="str">
        <f>'mk 001 10.3'!AM151</f>
        <v>สุกร</v>
      </c>
      <c r="AN150" t="str">
        <f>'mk 001 10.3'!AN151</f>
        <v>OT002 CC-Makro</v>
      </c>
      <c r="AO150" t="str">
        <f>'mk 001 10.3'!AO151</f>
        <v>MT</v>
      </c>
      <c r="AP150">
        <f>'mk 001 10.3'!AP151</f>
        <v>2</v>
      </c>
      <c r="AQ150">
        <f>'mk 001 10.3'!AQ151</f>
        <v>0</v>
      </c>
      <c r="AR150">
        <f>'mk 001 10.3'!AR151</f>
        <v>0</v>
      </c>
      <c r="AS150">
        <f>'mk 001 10.3'!AS151</f>
        <v>0</v>
      </c>
      <c r="AT150" t="str">
        <f>'mk 001 10.3'!AT151</f>
        <v>System Batch</v>
      </c>
      <c r="AU150" t="str">
        <f>'mk 001 10.3'!AU151</f>
        <v>2026-05-11-13.33.46.000000</v>
      </c>
      <c r="AV150" t="str">
        <f>'mk 001 10.3'!AV151</f>
        <v>ก.ก.</v>
      </c>
      <c r="AW150" t="str">
        <f>'mk 001 10.3'!AW151</f>
        <v>ก.ก.</v>
      </c>
      <c r="AX150" t="str">
        <f>'mk 001 10.3'!AX151</f>
        <v xml:space="preserve"> </v>
      </c>
      <c r="AY150">
        <f>'mk 001 10.3'!AY151</f>
        <v>0</v>
      </c>
      <c r="AZ150" t="str">
        <f>'mk 001 10.3'!AZ151</f>
        <v>N</v>
      </c>
      <c r="BA150" s="22">
        <f>'mk 001 10.3'!BA151</f>
        <v>9044989536422</v>
      </c>
      <c r="BB150">
        <f>'mk 001 10.3'!BB151</f>
        <v>0</v>
      </c>
      <c r="BC150">
        <f>'mk 001 10.3'!BC151</f>
        <v>0</v>
      </c>
      <c r="BD150">
        <f>'mk 001 10.3'!BD151</f>
        <v>1</v>
      </c>
      <c r="BE150">
        <f>'mk 001 10.3'!BE151</f>
        <v>0</v>
      </c>
      <c r="BF150" t="str">
        <f>'mk 001 10.3'!BF151</f>
        <v>;0000</v>
      </c>
      <c r="BG150">
        <f>'mk 001 10.3'!BG151</f>
        <v>1333314600</v>
      </c>
      <c r="BH150" t="str">
        <f>'mk 001 10.3'!BH151</f>
        <v>G</v>
      </c>
      <c r="BI150">
        <f>'mk 001 10.3'!BI151</f>
        <v>100</v>
      </c>
      <c r="BJ150">
        <f>'mk 001 10.3'!BJ151</f>
        <v>100</v>
      </c>
      <c r="BK150">
        <f>'mk 001 10.3'!BK151</f>
        <v>1300</v>
      </c>
      <c r="BL150" t="str">
        <f>'mk 001 10.3'!BL151</f>
        <v>SYSBATCH</v>
      </c>
      <c r="BM150">
        <f>'mk 001 10.3'!BM151</f>
        <v>0</v>
      </c>
      <c r="BN150">
        <f>'mk 001 10.3'!BN151</f>
        <v>0</v>
      </c>
    </row>
    <row r="151" spans="1:66" x14ac:dyDescent="0.35">
      <c r="A151">
        <f>'mk 001 10.3'!A152</f>
        <v>0</v>
      </c>
      <c r="B151">
        <f>'mk 001 10.3'!B152</f>
        <v>0</v>
      </c>
      <c r="C151" s="1" t="str">
        <f>'mk 001 10.3'!C152</f>
        <v>14/5/2569</v>
      </c>
      <c r="D151" s="1" t="str">
        <f>'mk 001 10.3'!D152</f>
        <v>14/5/2569</v>
      </c>
      <c r="E151">
        <f>'mk 001 10.3'!E152</f>
        <v>0</v>
      </c>
      <c r="F151" t="str">
        <f>'mk 001 10.3'!F152</f>
        <v>489M</v>
      </c>
      <c r="G151" t="str">
        <f>'mk 001 10.3'!G152</f>
        <v>Modern Trade (Makro)</v>
      </c>
      <c r="H151">
        <f>'mk 001 10.3'!H152</f>
        <v>0</v>
      </c>
      <c r="I151" t="str">
        <f>'mk 001 10.3'!I152</f>
        <v>หน่วยงานกลาง</v>
      </c>
      <c r="J151" t="str">
        <f>'mk 001 10.3'!J152</f>
        <v>F213  DMCW-รชล-พระพุทธบาท</v>
      </c>
      <c r="K151" t="str">
        <f>'mk 001 10.3'!K152</f>
        <v>00000  หน่วยงานกลาง</v>
      </c>
      <c r="L151">
        <f>'mk 001 10.3'!L152</f>
        <v>923</v>
      </c>
      <c r="M151">
        <f>'mk 001 10.3'!M152</f>
        <v>0</v>
      </c>
      <c r="N151" t="str">
        <f>'mk 001 10.3'!N152</f>
        <v>1A53005200</v>
      </c>
      <c r="O151" t="str">
        <f>'mk 001 10.3'!O152</f>
        <v>บมจ. ซีพี แอ็กซ์ตร้า สาขาอยุธยา</v>
      </c>
      <c r="P151">
        <f>'mk 001 10.3'!P152</f>
        <v>2</v>
      </c>
      <c r="Q151" t="str">
        <f>'mk 001 10.3'!Q152</f>
        <v>MAKRO 0051 อยุธยา</v>
      </c>
      <c r="R151" s="1">
        <f>'mk 001 10.3'!R152</f>
        <v>244658</v>
      </c>
      <c r="S151" s="1" t="str">
        <f>'mk 001 10.3'!S152</f>
        <v>14/5/2569</v>
      </c>
      <c r="T151" t="str">
        <f>'mk 001 10.3'!T152</f>
        <v>H6954RMA0059205</v>
      </c>
      <c r="U151">
        <f>'mk 001 10.3'!U152</f>
        <v>23057815</v>
      </c>
      <c r="V151" t="str">
        <f>'mk 001 10.3'!V152</f>
        <v>สันนอก(M)</v>
      </c>
      <c r="W151">
        <f>'mk 001 10.3'!W152</f>
        <v>100</v>
      </c>
      <c r="X151">
        <f>'mk 001 10.3'!X152</f>
        <v>100</v>
      </c>
      <c r="Y151">
        <f t="shared" si="2"/>
        <v>100</v>
      </c>
      <c r="Z151" s="13">
        <f>IF(COUNTIFS(แปลงข้อมูล!H:H,Q151,แปลงข้อมูล!I:I,U151,แปลงข้อมูล!J:J,V151)&gt;0,SUMIFS(แปลงข้อมูล!Q:Q,แปลงข้อมูล!I:I,U151,แปลงข้อมูล!H:H,Q151,แปลงข้อมูล!J:J,V151),'mk 001 10.3'!Z152)</f>
        <v>100</v>
      </c>
      <c r="AA151">
        <f>'mk 001 10.3'!AA152</f>
        <v>0</v>
      </c>
      <c r="AB151">
        <f>'mk 001 10.3'!AB152</f>
        <v>0</v>
      </c>
      <c r="AC151">
        <f>'mk 001 10.3'!AC152</f>
        <v>0</v>
      </c>
      <c r="AD151">
        <f>'mk 001 10.3'!AD152</f>
        <v>0</v>
      </c>
      <c r="AE151">
        <f>'mk 001 10.3'!AE152</f>
        <v>100</v>
      </c>
      <c r="AF151">
        <f>'mk 001 10.3'!AF152</f>
        <v>100</v>
      </c>
      <c r="AG151">
        <f>'mk 001 10.3'!AG152</f>
        <v>0</v>
      </c>
      <c r="AH151">
        <f>'mk 001 10.3'!AH152</f>
        <v>0</v>
      </c>
      <c r="AI151" t="str">
        <f>'mk 001 10.3'!AI152</f>
        <v>OPRCD489MOPRCD00000OPRCDF213OPRCD00000OPRCD923</v>
      </c>
      <c r="AJ151" t="str">
        <f>'mk 001 10.3'!AJ152</f>
        <v>ซื้อ / ขาย</v>
      </c>
      <c r="AK151" t="str">
        <f>'mk 001 10.3'!AK152</f>
        <v>Main proudct</v>
      </c>
      <c r="AL151" t="str">
        <f>'mk 001 10.3'!AL152</f>
        <v>Bulk Normal</v>
      </c>
      <c r="AM151" t="str">
        <f>'mk 001 10.3'!AM152</f>
        <v>สุกร</v>
      </c>
      <c r="AN151" t="str">
        <f>'mk 001 10.3'!AN152</f>
        <v>OT002 CC-Makro</v>
      </c>
      <c r="AO151" t="str">
        <f>'mk 001 10.3'!AO152</f>
        <v>MT</v>
      </c>
      <c r="AP151">
        <f>'mk 001 10.3'!AP152</f>
        <v>2</v>
      </c>
      <c r="AQ151">
        <f>'mk 001 10.3'!AQ152</f>
        <v>0</v>
      </c>
      <c r="AR151">
        <f>'mk 001 10.3'!AR152</f>
        <v>0</v>
      </c>
      <c r="AS151">
        <f>'mk 001 10.3'!AS152</f>
        <v>0</v>
      </c>
      <c r="AT151" t="str">
        <f>'mk 001 10.3'!AT152</f>
        <v>System Batch</v>
      </c>
      <c r="AU151" t="str">
        <f>'mk 001 10.3'!AU152</f>
        <v>2026-05-11-13.33.46.000000</v>
      </c>
      <c r="AV151" t="str">
        <f>'mk 001 10.3'!AV152</f>
        <v>ก.ก.</v>
      </c>
      <c r="AW151" t="str">
        <f>'mk 001 10.3'!AW152</f>
        <v>ก.ก.</v>
      </c>
      <c r="AX151" t="str">
        <f>'mk 001 10.3'!AX152</f>
        <v xml:space="preserve"> </v>
      </c>
      <c r="AY151">
        <f>'mk 001 10.3'!AY152</f>
        <v>0</v>
      </c>
      <c r="AZ151" t="str">
        <f>'mk 001 10.3'!AZ152</f>
        <v>N</v>
      </c>
      <c r="BA151" s="22">
        <f>'mk 001 10.3'!BA152</f>
        <v>9044989536422</v>
      </c>
      <c r="BB151">
        <f>'mk 001 10.3'!BB152</f>
        <v>0</v>
      </c>
      <c r="BC151">
        <f>'mk 001 10.3'!BC152</f>
        <v>0</v>
      </c>
      <c r="BD151">
        <f>'mk 001 10.3'!BD152</f>
        <v>1</v>
      </c>
      <c r="BE151">
        <f>'mk 001 10.3'!BE152</f>
        <v>0</v>
      </c>
      <c r="BF151" t="str">
        <f>'mk 001 10.3'!BF152</f>
        <v>;0000</v>
      </c>
      <c r="BG151">
        <f>'mk 001 10.3'!BG152</f>
        <v>1333314600</v>
      </c>
      <c r="BH151" t="str">
        <f>'mk 001 10.3'!BH152</f>
        <v>G</v>
      </c>
      <c r="BI151">
        <f>'mk 001 10.3'!BI152</f>
        <v>100</v>
      </c>
      <c r="BJ151">
        <f>'mk 001 10.3'!BJ152</f>
        <v>100</v>
      </c>
      <c r="BK151">
        <f>'mk 001 10.3'!BK152</f>
        <v>1300</v>
      </c>
      <c r="BL151" t="str">
        <f>'mk 001 10.3'!BL152</f>
        <v>SYSBATCH</v>
      </c>
      <c r="BM151">
        <f>'mk 001 10.3'!BM152</f>
        <v>0</v>
      </c>
      <c r="BN151">
        <f>'mk 001 10.3'!BN152</f>
        <v>0</v>
      </c>
    </row>
    <row r="152" spans="1:66" x14ac:dyDescent="0.35">
      <c r="A152">
        <f>'mk 001 10.3'!A153</f>
        <v>0</v>
      </c>
      <c r="B152">
        <f>'mk 001 10.3'!B153</f>
        <v>0</v>
      </c>
      <c r="C152" s="1" t="str">
        <f>'mk 001 10.3'!C153</f>
        <v>14/5/2569</v>
      </c>
      <c r="D152" s="1" t="str">
        <f>'mk 001 10.3'!D153</f>
        <v>14/5/2569</v>
      </c>
      <c r="E152">
        <f>'mk 001 10.3'!E153</f>
        <v>0</v>
      </c>
      <c r="F152" t="str">
        <f>'mk 001 10.3'!F153</f>
        <v>489M</v>
      </c>
      <c r="G152" t="str">
        <f>'mk 001 10.3'!G153</f>
        <v>Modern Trade (Makro)</v>
      </c>
      <c r="H152">
        <f>'mk 001 10.3'!H153</f>
        <v>0</v>
      </c>
      <c r="I152" t="str">
        <f>'mk 001 10.3'!I153</f>
        <v>หน่วยงานกลาง</v>
      </c>
      <c r="J152" t="str">
        <f>'mk 001 10.3'!J153</f>
        <v>F213  DMCW-รชล-พระพุทธบาท</v>
      </c>
      <c r="K152" t="str">
        <f>'mk 001 10.3'!K153</f>
        <v>00000  หน่วยงานกลาง</v>
      </c>
      <c r="L152">
        <f>'mk 001 10.3'!L153</f>
        <v>923</v>
      </c>
      <c r="M152">
        <f>'mk 001 10.3'!M153</f>
        <v>0</v>
      </c>
      <c r="N152" t="str">
        <f>'mk 001 10.3'!N153</f>
        <v>1A53005200</v>
      </c>
      <c r="O152" t="str">
        <f>'mk 001 10.3'!O153</f>
        <v>บมจ. ซีพี แอ็กซ์ตร้า สาขาอยุธยา</v>
      </c>
      <c r="P152">
        <f>'mk 001 10.3'!P153</f>
        <v>2</v>
      </c>
      <c r="Q152" t="str">
        <f>'mk 001 10.3'!Q153</f>
        <v>MAKRO 0051 อยุธยา</v>
      </c>
      <c r="R152" s="1">
        <f>'mk 001 10.3'!R153</f>
        <v>244658</v>
      </c>
      <c r="S152" s="1" t="str">
        <f>'mk 001 10.3'!S153</f>
        <v>14/5/2569</v>
      </c>
      <c r="T152" t="str">
        <f>'mk 001 10.3'!T153</f>
        <v>H6954RMA0059205</v>
      </c>
      <c r="U152">
        <f>'mk 001 10.3'!U153</f>
        <v>23058553</v>
      </c>
      <c r="V152" t="str">
        <f>'mk 001 10.3'!V153</f>
        <v>หนังสันหลัง (M)</v>
      </c>
      <c r="W152">
        <f>'mk 001 10.3'!W153</f>
        <v>10</v>
      </c>
      <c r="X152">
        <f>'mk 001 10.3'!X153</f>
        <v>10</v>
      </c>
      <c r="Y152">
        <f t="shared" si="2"/>
        <v>10</v>
      </c>
      <c r="Z152" s="13">
        <f>IF(COUNTIFS(แปลงข้อมูล!H:H,Q152,แปลงข้อมูล!I:I,U152,แปลงข้อมูล!J:J,V152)&gt;0,SUMIFS(แปลงข้อมูล!Q:Q,แปลงข้อมูล!I:I,U152,แปลงข้อมูล!H:H,Q152,แปลงข้อมูล!J:J,V152),'mk 001 10.3'!Z153)</f>
        <v>10</v>
      </c>
      <c r="AA152">
        <f>'mk 001 10.3'!AA153</f>
        <v>0</v>
      </c>
      <c r="AB152">
        <f>'mk 001 10.3'!AB153</f>
        <v>0</v>
      </c>
      <c r="AC152">
        <f>'mk 001 10.3'!AC153</f>
        <v>0</v>
      </c>
      <c r="AD152">
        <f>'mk 001 10.3'!AD153</f>
        <v>0</v>
      </c>
      <c r="AE152">
        <f>'mk 001 10.3'!AE153</f>
        <v>10</v>
      </c>
      <c r="AF152">
        <f>'mk 001 10.3'!AF153</f>
        <v>10</v>
      </c>
      <c r="AG152">
        <f>'mk 001 10.3'!AG153</f>
        <v>0</v>
      </c>
      <c r="AH152">
        <f>'mk 001 10.3'!AH153</f>
        <v>0</v>
      </c>
      <c r="AI152" t="str">
        <f>'mk 001 10.3'!AI153</f>
        <v>OPRCD489MOPRCD00000OPRCDF213OPRCD00000OPRCD923</v>
      </c>
      <c r="AJ152" t="str">
        <f>'mk 001 10.3'!AJ153</f>
        <v>ซื้อ / ขาย</v>
      </c>
      <c r="AK152" t="str">
        <f>'mk 001 10.3'!AK153</f>
        <v>By proudct</v>
      </c>
      <c r="AL152" t="str">
        <f>'mk 001 10.3'!AL153</f>
        <v>Bulk Normal</v>
      </c>
      <c r="AM152" t="str">
        <f>'mk 001 10.3'!AM153</f>
        <v>สุกร</v>
      </c>
      <c r="AN152" t="str">
        <f>'mk 001 10.3'!AN153</f>
        <v>OT002 CC-Makro</v>
      </c>
      <c r="AO152" t="str">
        <f>'mk 001 10.3'!AO153</f>
        <v>MT</v>
      </c>
      <c r="AP152">
        <f>'mk 001 10.3'!AP153</f>
        <v>2</v>
      </c>
      <c r="AQ152">
        <f>'mk 001 10.3'!AQ153</f>
        <v>0</v>
      </c>
      <c r="AR152">
        <f>'mk 001 10.3'!AR153</f>
        <v>0</v>
      </c>
      <c r="AS152">
        <f>'mk 001 10.3'!AS153</f>
        <v>0</v>
      </c>
      <c r="AT152" t="str">
        <f>'mk 001 10.3'!AT153</f>
        <v>System Batch</v>
      </c>
      <c r="AU152" t="str">
        <f>'mk 001 10.3'!AU153</f>
        <v>2026-05-11-13.33.46.000000</v>
      </c>
      <c r="AV152" t="str">
        <f>'mk 001 10.3'!AV153</f>
        <v>ก.ก.</v>
      </c>
      <c r="AW152" t="str">
        <f>'mk 001 10.3'!AW153</f>
        <v>ก.ก.</v>
      </c>
      <c r="AX152" t="str">
        <f>'mk 001 10.3'!AX153</f>
        <v xml:space="preserve"> </v>
      </c>
      <c r="AY152">
        <f>'mk 001 10.3'!AY153</f>
        <v>0</v>
      </c>
      <c r="AZ152" t="str">
        <f>'mk 001 10.3'!AZ153</f>
        <v>N</v>
      </c>
      <c r="BA152" s="22">
        <f>'mk 001 10.3'!BA153</f>
        <v>9044989536422</v>
      </c>
      <c r="BB152">
        <f>'mk 001 10.3'!BB153</f>
        <v>0</v>
      </c>
      <c r="BC152">
        <f>'mk 001 10.3'!BC153</f>
        <v>0</v>
      </c>
      <c r="BD152">
        <f>'mk 001 10.3'!BD153</f>
        <v>1</v>
      </c>
      <c r="BE152">
        <f>'mk 001 10.3'!BE153</f>
        <v>0</v>
      </c>
      <c r="BF152" t="str">
        <f>'mk 001 10.3'!BF153</f>
        <v>;0000</v>
      </c>
      <c r="BG152">
        <f>'mk 001 10.3'!BG153</f>
        <v>1333314600</v>
      </c>
      <c r="BH152" t="str">
        <f>'mk 001 10.3'!BH153</f>
        <v>G</v>
      </c>
      <c r="BI152">
        <f>'mk 001 10.3'!BI153</f>
        <v>10</v>
      </c>
      <c r="BJ152">
        <f>'mk 001 10.3'!BJ153</f>
        <v>10</v>
      </c>
      <c r="BK152">
        <f>'mk 001 10.3'!BK153</f>
        <v>1300</v>
      </c>
      <c r="BL152" t="str">
        <f>'mk 001 10.3'!BL153</f>
        <v>SYSBATCH</v>
      </c>
      <c r="BM152">
        <f>'mk 001 10.3'!BM153</f>
        <v>0</v>
      </c>
      <c r="BN152">
        <f>'mk 001 10.3'!BN153</f>
        <v>0</v>
      </c>
    </row>
    <row r="153" spans="1:66" x14ac:dyDescent="0.35">
      <c r="A153">
        <f>'mk 001 10.3'!A154</f>
        <v>0</v>
      </c>
      <c r="B153">
        <f>'mk 001 10.3'!B154</f>
        <v>0</v>
      </c>
      <c r="C153" s="1" t="str">
        <f>'mk 001 10.3'!C154</f>
        <v>14/5/2569</v>
      </c>
      <c r="D153" s="1" t="str">
        <f>'mk 001 10.3'!D154</f>
        <v>14/5/2569</v>
      </c>
      <c r="E153">
        <f>'mk 001 10.3'!E154</f>
        <v>0</v>
      </c>
      <c r="F153" t="str">
        <f>'mk 001 10.3'!F154</f>
        <v>489M</v>
      </c>
      <c r="G153" t="str">
        <f>'mk 001 10.3'!G154</f>
        <v>Modern Trade (Makro)</v>
      </c>
      <c r="H153">
        <f>'mk 001 10.3'!H154</f>
        <v>0</v>
      </c>
      <c r="I153" t="str">
        <f>'mk 001 10.3'!I154</f>
        <v>หน่วยงานกลาง</v>
      </c>
      <c r="J153" t="str">
        <f>'mk 001 10.3'!J154</f>
        <v>F213  DMCW-รชล-พระพุทธบาท</v>
      </c>
      <c r="K153" t="str">
        <f>'mk 001 10.3'!K154</f>
        <v>00000  หน่วยงานกลาง</v>
      </c>
      <c r="L153">
        <f>'mk 001 10.3'!L154</f>
        <v>923</v>
      </c>
      <c r="M153">
        <f>'mk 001 10.3'!M154</f>
        <v>0</v>
      </c>
      <c r="N153" t="str">
        <f>'mk 001 10.3'!N154</f>
        <v>1A53005200</v>
      </c>
      <c r="O153" t="str">
        <f>'mk 001 10.3'!O154</f>
        <v>บมจ. ซีพี แอ็กซ์ตร้า สาขาอยุธยา</v>
      </c>
      <c r="P153">
        <f>'mk 001 10.3'!P154</f>
        <v>2</v>
      </c>
      <c r="Q153" t="str">
        <f>'mk 001 10.3'!Q154</f>
        <v>MAKRO 0051 อยุธยา</v>
      </c>
      <c r="R153" s="1">
        <f>'mk 001 10.3'!R154</f>
        <v>244658</v>
      </c>
      <c r="S153" s="1" t="str">
        <f>'mk 001 10.3'!S154</f>
        <v>14/5/2569</v>
      </c>
      <c r="T153" t="str">
        <f>'mk 001 10.3'!T154</f>
        <v>H6954RMA0059205</v>
      </c>
      <c r="U153">
        <f>'mk 001 10.3'!U154</f>
        <v>23058555</v>
      </c>
      <c r="V153" t="str">
        <f>'mk 001 10.3'!V154</f>
        <v>กระดูกซุป (M)</v>
      </c>
      <c r="W153">
        <f>'mk 001 10.3'!W154</f>
        <v>250</v>
      </c>
      <c r="X153">
        <f>'mk 001 10.3'!X154</f>
        <v>250</v>
      </c>
      <c r="Y153">
        <f t="shared" si="2"/>
        <v>250</v>
      </c>
      <c r="Z153" s="13">
        <f>IF(COUNTIFS(แปลงข้อมูล!H:H,Q153,แปลงข้อมูล!I:I,U153,แปลงข้อมูล!J:J,V153)&gt;0,SUMIFS(แปลงข้อมูล!Q:Q,แปลงข้อมูล!I:I,U153,แปลงข้อมูล!H:H,Q153,แปลงข้อมูล!J:J,V153),'mk 001 10.3'!Z154)</f>
        <v>250</v>
      </c>
      <c r="AA153">
        <f>'mk 001 10.3'!AA154</f>
        <v>0</v>
      </c>
      <c r="AB153">
        <f>'mk 001 10.3'!AB154</f>
        <v>0</v>
      </c>
      <c r="AC153">
        <f>'mk 001 10.3'!AC154</f>
        <v>0</v>
      </c>
      <c r="AD153">
        <f>'mk 001 10.3'!AD154</f>
        <v>0</v>
      </c>
      <c r="AE153">
        <f>'mk 001 10.3'!AE154</f>
        <v>250</v>
      </c>
      <c r="AF153">
        <f>'mk 001 10.3'!AF154</f>
        <v>250</v>
      </c>
      <c r="AG153">
        <f>'mk 001 10.3'!AG154</f>
        <v>0</v>
      </c>
      <c r="AH153">
        <f>'mk 001 10.3'!AH154</f>
        <v>0</v>
      </c>
      <c r="AI153" t="str">
        <f>'mk 001 10.3'!AI154</f>
        <v>OPRCD489MOPRCD00000OPRCDF213OPRCD00000OPRCD923</v>
      </c>
      <c r="AJ153" t="str">
        <f>'mk 001 10.3'!AJ154</f>
        <v>ซื้อ / ขาย</v>
      </c>
      <c r="AK153" t="str">
        <f>'mk 001 10.3'!AK154</f>
        <v>By proudct</v>
      </c>
      <c r="AL153" t="str">
        <f>'mk 001 10.3'!AL154</f>
        <v>Bulk Normal</v>
      </c>
      <c r="AM153" t="str">
        <f>'mk 001 10.3'!AM154</f>
        <v>สุกร</v>
      </c>
      <c r="AN153" t="str">
        <f>'mk 001 10.3'!AN154</f>
        <v>OT002 CC-Makro</v>
      </c>
      <c r="AO153" t="str">
        <f>'mk 001 10.3'!AO154</f>
        <v>MT</v>
      </c>
      <c r="AP153">
        <f>'mk 001 10.3'!AP154</f>
        <v>2</v>
      </c>
      <c r="AQ153">
        <f>'mk 001 10.3'!AQ154</f>
        <v>0</v>
      </c>
      <c r="AR153">
        <f>'mk 001 10.3'!AR154</f>
        <v>0</v>
      </c>
      <c r="AS153">
        <f>'mk 001 10.3'!AS154</f>
        <v>0</v>
      </c>
      <c r="AT153" t="str">
        <f>'mk 001 10.3'!AT154</f>
        <v>System Batch</v>
      </c>
      <c r="AU153" t="str">
        <f>'mk 001 10.3'!AU154</f>
        <v>2026-05-11-13.33.46.000000</v>
      </c>
      <c r="AV153" t="str">
        <f>'mk 001 10.3'!AV154</f>
        <v>ก.ก.</v>
      </c>
      <c r="AW153" t="str">
        <f>'mk 001 10.3'!AW154</f>
        <v>ก.ก.</v>
      </c>
      <c r="AX153" t="str">
        <f>'mk 001 10.3'!AX154</f>
        <v xml:space="preserve"> </v>
      </c>
      <c r="AY153">
        <f>'mk 001 10.3'!AY154</f>
        <v>0</v>
      </c>
      <c r="AZ153" t="str">
        <f>'mk 001 10.3'!AZ154</f>
        <v>N</v>
      </c>
      <c r="BA153" s="22">
        <f>'mk 001 10.3'!BA154</f>
        <v>9044989536422</v>
      </c>
      <c r="BB153">
        <f>'mk 001 10.3'!BB154</f>
        <v>0</v>
      </c>
      <c r="BC153">
        <f>'mk 001 10.3'!BC154</f>
        <v>0</v>
      </c>
      <c r="BD153">
        <f>'mk 001 10.3'!BD154</f>
        <v>1</v>
      </c>
      <c r="BE153">
        <f>'mk 001 10.3'!BE154</f>
        <v>0</v>
      </c>
      <c r="BF153" t="str">
        <f>'mk 001 10.3'!BF154</f>
        <v>;0000</v>
      </c>
      <c r="BG153">
        <f>'mk 001 10.3'!BG154</f>
        <v>1333314600</v>
      </c>
      <c r="BH153" t="str">
        <f>'mk 001 10.3'!BH154</f>
        <v>G</v>
      </c>
      <c r="BI153">
        <f>'mk 001 10.3'!BI154</f>
        <v>250</v>
      </c>
      <c r="BJ153">
        <f>'mk 001 10.3'!BJ154</f>
        <v>250</v>
      </c>
      <c r="BK153">
        <f>'mk 001 10.3'!BK154</f>
        <v>1300</v>
      </c>
      <c r="BL153" t="str">
        <f>'mk 001 10.3'!BL154</f>
        <v>SYSBATCH</v>
      </c>
      <c r="BM153">
        <f>'mk 001 10.3'!BM154</f>
        <v>0</v>
      </c>
      <c r="BN153">
        <f>'mk 001 10.3'!BN154</f>
        <v>0</v>
      </c>
    </row>
    <row r="154" spans="1:66" x14ac:dyDescent="0.35">
      <c r="A154">
        <f>'mk 001 10.3'!A155</f>
        <v>0</v>
      </c>
      <c r="B154">
        <f>'mk 001 10.3'!B155</f>
        <v>0</v>
      </c>
      <c r="C154" s="1" t="str">
        <f>'mk 001 10.3'!C155</f>
        <v>14/5/2569</v>
      </c>
      <c r="D154" s="1" t="str">
        <f>'mk 001 10.3'!D155</f>
        <v>14/5/2569</v>
      </c>
      <c r="E154">
        <f>'mk 001 10.3'!E155</f>
        <v>0</v>
      </c>
      <c r="F154" t="str">
        <f>'mk 001 10.3'!F155</f>
        <v>489M</v>
      </c>
      <c r="G154" t="str">
        <f>'mk 001 10.3'!G155</f>
        <v>Modern Trade (Makro)</v>
      </c>
      <c r="H154">
        <f>'mk 001 10.3'!H155</f>
        <v>0</v>
      </c>
      <c r="I154" t="str">
        <f>'mk 001 10.3'!I155</f>
        <v>หน่วยงานกลาง</v>
      </c>
      <c r="J154" t="str">
        <f>'mk 001 10.3'!J155</f>
        <v>F213  DMCW-รชล-พระพุทธบาท</v>
      </c>
      <c r="K154" t="str">
        <f>'mk 001 10.3'!K155</f>
        <v>00000  หน่วยงานกลาง</v>
      </c>
      <c r="L154">
        <f>'mk 001 10.3'!L155</f>
        <v>923</v>
      </c>
      <c r="M154">
        <f>'mk 001 10.3'!M155</f>
        <v>0</v>
      </c>
      <c r="N154" t="str">
        <f>'mk 001 10.3'!N155</f>
        <v>1A53005200</v>
      </c>
      <c r="O154" t="str">
        <f>'mk 001 10.3'!O155</f>
        <v>บมจ. ซีพี แอ็กซ์ตร้า สาขาอยุธยา</v>
      </c>
      <c r="P154">
        <f>'mk 001 10.3'!P155</f>
        <v>2</v>
      </c>
      <c r="Q154" t="str">
        <f>'mk 001 10.3'!Q155</f>
        <v>MAKRO 0051 อยุธยา</v>
      </c>
      <c r="R154" s="1">
        <f>'mk 001 10.3'!R155</f>
        <v>244658</v>
      </c>
      <c r="S154" s="1" t="str">
        <f>'mk 001 10.3'!S155</f>
        <v>14/5/2569</v>
      </c>
      <c r="T154" t="str">
        <f>'mk 001 10.3'!T155</f>
        <v>H6954RMA0059205</v>
      </c>
      <c r="U154">
        <f>'mk 001 10.3'!U155</f>
        <v>23065140</v>
      </c>
      <c r="V154" t="str">
        <f>'mk 001 10.3'!V155</f>
        <v>สะโพกสไลด์</v>
      </c>
      <c r="W154">
        <f>'mk 001 10.3'!W155</f>
        <v>100</v>
      </c>
      <c r="X154">
        <f>'mk 001 10.3'!X155</f>
        <v>100</v>
      </c>
      <c r="Y154">
        <f t="shared" si="2"/>
        <v>100</v>
      </c>
      <c r="Z154" s="13">
        <f>IF(COUNTIFS(แปลงข้อมูล!H:H,Q154,แปลงข้อมูล!I:I,U154,แปลงข้อมูล!J:J,V154)&gt;0,SUMIFS(แปลงข้อมูล!Q:Q,แปลงข้อมูล!I:I,U154,แปลงข้อมูล!H:H,Q154,แปลงข้อมูล!J:J,V154),'mk 001 10.3'!Z155)</f>
        <v>100</v>
      </c>
      <c r="AA154">
        <f>'mk 001 10.3'!AA155</f>
        <v>0</v>
      </c>
      <c r="AB154">
        <f>'mk 001 10.3'!AB155</f>
        <v>0</v>
      </c>
      <c r="AC154">
        <f>'mk 001 10.3'!AC155</f>
        <v>0</v>
      </c>
      <c r="AD154">
        <f>'mk 001 10.3'!AD155</f>
        <v>0</v>
      </c>
      <c r="AE154">
        <f>'mk 001 10.3'!AE155</f>
        <v>100</v>
      </c>
      <c r="AF154">
        <f>'mk 001 10.3'!AF155</f>
        <v>100</v>
      </c>
      <c r="AG154">
        <f>'mk 001 10.3'!AG155</f>
        <v>0</v>
      </c>
      <c r="AH154">
        <f>'mk 001 10.3'!AH155</f>
        <v>0</v>
      </c>
      <c r="AI154" t="str">
        <f>'mk 001 10.3'!AI155</f>
        <v>OPRCD489MOPRCD00000OPRCDF213OPRCD00000OPRCD923</v>
      </c>
      <c r="AJ154" t="str">
        <f>'mk 001 10.3'!AJ155</f>
        <v>ซื้อ / ขาย</v>
      </c>
      <c r="AK154" t="str">
        <f>'mk 001 10.3'!AK155</f>
        <v>Main proudct</v>
      </c>
      <c r="AL154" t="str">
        <f>'mk 001 10.3'!AL155</f>
        <v>Bulk Normal</v>
      </c>
      <c r="AM154" t="str">
        <f>'mk 001 10.3'!AM155</f>
        <v>สุกร</v>
      </c>
      <c r="AN154" t="str">
        <f>'mk 001 10.3'!AN155</f>
        <v>OT002 CC-Makro</v>
      </c>
      <c r="AO154" t="str">
        <f>'mk 001 10.3'!AO155</f>
        <v>MT</v>
      </c>
      <c r="AP154">
        <f>'mk 001 10.3'!AP155</f>
        <v>2</v>
      </c>
      <c r="AQ154">
        <f>'mk 001 10.3'!AQ155</f>
        <v>0</v>
      </c>
      <c r="AR154">
        <f>'mk 001 10.3'!AR155</f>
        <v>0</v>
      </c>
      <c r="AS154">
        <f>'mk 001 10.3'!AS155</f>
        <v>0</v>
      </c>
      <c r="AT154" t="str">
        <f>'mk 001 10.3'!AT155</f>
        <v>System Batch</v>
      </c>
      <c r="AU154" t="str">
        <f>'mk 001 10.3'!AU155</f>
        <v>2026-05-11-13.33.46.000000</v>
      </c>
      <c r="AV154" t="str">
        <f>'mk 001 10.3'!AV155</f>
        <v>ก.ก.</v>
      </c>
      <c r="AW154" t="str">
        <f>'mk 001 10.3'!AW155</f>
        <v>ก.ก.</v>
      </c>
      <c r="AX154" t="str">
        <f>'mk 001 10.3'!AX155</f>
        <v xml:space="preserve"> </v>
      </c>
      <c r="AY154">
        <f>'mk 001 10.3'!AY155</f>
        <v>0</v>
      </c>
      <c r="AZ154" t="str">
        <f>'mk 001 10.3'!AZ155</f>
        <v>N</v>
      </c>
      <c r="BA154" s="22">
        <f>'mk 001 10.3'!BA155</f>
        <v>9044989536422</v>
      </c>
      <c r="BB154">
        <f>'mk 001 10.3'!BB155</f>
        <v>0</v>
      </c>
      <c r="BC154">
        <f>'mk 001 10.3'!BC155</f>
        <v>0</v>
      </c>
      <c r="BD154">
        <f>'mk 001 10.3'!BD155</f>
        <v>1</v>
      </c>
      <c r="BE154">
        <f>'mk 001 10.3'!BE155</f>
        <v>0</v>
      </c>
      <c r="BF154" t="str">
        <f>'mk 001 10.3'!BF155</f>
        <v>;0000</v>
      </c>
      <c r="BG154">
        <f>'mk 001 10.3'!BG155</f>
        <v>1333314600</v>
      </c>
      <c r="BH154" t="str">
        <f>'mk 001 10.3'!BH155</f>
        <v>G</v>
      </c>
      <c r="BI154">
        <f>'mk 001 10.3'!BI155</f>
        <v>100</v>
      </c>
      <c r="BJ154">
        <f>'mk 001 10.3'!BJ155</f>
        <v>100</v>
      </c>
      <c r="BK154">
        <f>'mk 001 10.3'!BK155</f>
        <v>1300</v>
      </c>
      <c r="BL154" t="str">
        <f>'mk 001 10.3'!BL155</f>
        <v>SYSBATCH</v>
      </c>
      <c r="BM154">
        <f>'mk 001 10.3'!BM155</f>
        <v>0</v>
      </c>
      <c r="BN154">
        <f>'mk 001 10.3'!BN155</f>
        <v>0</v>
      </c>
    </row>
    <row r="155" spans="1:66" x14ac:dyDescent="0.35">
      <c r="A155">
        <f>'mk 001 10.3'!A156</f>
        <v>0</v>
      </c>
      <c r="B155">
        <f>'mk 001 10.3'!B156</f>
        <v>0</v>
      </c>
      <c r="C155" s="1" t="str">
        <f>'mk 001 10.3'!C156</f>
        <v>14/5/2569</v>
      </c>
      <c r="D155" s="1" t="str">
        <f>'mk 001 10.3'!D156</f>
        <v>14/5/2569</v>
      </c>
      <c r="E155">
        <f>'mk 001 10.3'!E156</f>
        <v>0</v>
      </c>
      <c r="F155" t="str">
        <f>'mk 001 10.3'!F156</f>
        <v>489M</v>
      </c>
      <c r="G155" t="str">
        <f>'mk 001 10.3'!G156</f>
        <v>Modern Trade (Makro)</v>
      </c>
      <c r="H155">
        <f>'mk 001 10.3'!H156</f>
        <v>0</v>
      </c>
      <c r="I155" t="str">
        <f>'mk 001 10.3'!I156</f>
        <v>หน่วยงานกลาง</v>
      </c>
      <c r="J155" t="str">
        <f>'mk 001 10.3'!J156</f>
        <v>F213  DMCW-รชล-พระพุทธบาท</v>
      </c>
      <c r="K155" t="str">
        <f>'mk 001 10.3'!K156</f>
        <v>00000  หน่วยงานกลาง</v>
      </c>
      <c r="L155">
        <f>'mk 001 10.3'!L156</f>
        <v>923</v>
      </c>
      <c r="M155">
        <f>'mk 001 10.3'!M156</f>
        <v>0</v>
      </c>
      <c r="N155" t="str">
        <f>'mk 001 10.3'!N156</f>
        <v>1A53005200</v>
      </c>
      <c r="O155" t="str">
        <f>'mk 001 10.3'!O156</f>
        <v>บมจ. ซีพี แอ็กซ์ตร้า สาขาอยุธยา</v>
      </c>
      <c r="P155">
        <f>'mk 001 10.3'!P156</f>
        <v>2</v>
      </c>
      <c r="Q155" t="str">
        <f>'mk 001 10.3'!Q156</f>
        <v>MAKRO 0051 อยุธยา</v>
      </c>
      <c r="R155" s="1">
        <f>'mk 001 10.3'!R156</f>
        <v>244658</v>
      </c>
      <c r="S155" s="1" t="str">
        <f>'mk 001 10.3'!S156</f>
        <v>14/5/2569</v>
      </c>
      <c r="T155" t="str">
        <f>'mk 001 10.3'!T156</f>
        <v>H6954RMA0059205</v>
      </c>
      <c r="U155">
        <f>'mk 001 10.3'!U156</f>
        <v>23058586</v>
      </c>
      <c r="V155" t="str">
        <f>'mk 001 10.3'!V156</f>
        <v>ไต (M)</v>
      </c>
      <c r="W155">
        <f>'mk 001 10.3'!W156</f>
        <v>5</v>
      </c>
      <c r="X155">
        <f>'mk 001 10.3'!X156</f>
        <v>5</v>
      </c>
      <c r="Y155">
        <f t="shared" si="2"/>
        <v>5</v>
      </c>
      <c r="Z155" s="13">
        <f>IF(COUNTIFS(แปลงข้อมูล!H:H,Q155,แปลงข้อมูล!I:I,U155,แปลงข้อมูล!J:J,V155)&gt;0,SUMIFS(แปลงข้อมูล!Q:Q,แปลงข้อมูล!I:I,U155,แปลงข้อมูล!H:H,Q155,แปลงข้อมูล!J:J,V155),'mk 001 10.3'!Z156)</f>
        <v>5</v>
      </c>
      <c r="AA155">
        <f>'mk 001 10.3'!AA156</f>
        <v>0</v>
      </c>
      <c r="AB155">
        <f>'mk 001 10.3'!AB156</f>
        <v>0</v>
      </c>
      <c r="AC155">
        <f>'mk 001 10.3'!AC156</f>
        <v>0</v>
      </c>
      <c r="AD155">
        <f>'mk 001 10.3'!AD156</f>
        <v>0</v>
      </c>
      <c r="AE155">
        <f>'mk 001 10.3'!AE156</f>
        <v>5</v>
      </c>
      <c r="AF155">
        <f>'mk 001 10.3'!AF156</f>
        <v>5</v>
      </c>
      <c r="AG155">
        <f>'mk 001 10.3'!AG156</f>
        <v>0</v>
      </c>
      <c r="AH155">
        <f>'mk 001 10.3'!AH156</f>
        <v>0</v>
      </c>
      <c r="AI155" t="str">
        <f>'mk 001 10.3'!AI156</f>
        <v>OPRCD489MOPRCD00000OPRCDF213OPRCD00000OPRCD923</v>
      </c>
      <c r="AJ155" t="str">
        <f>'mk 001 10.3'!AJ156</f>
        <v>ซื้อ / ขาย</v>
      </c>
      <c r="AK155" t="str">
        <f>'mk 001 10.3'!AK156</f>
        <v>By proudct</v>
      </c>
      <c r="AL155" t="str">
        <f>'mk 001 10.3'!AL156</f>
        <v>Bulk Normal</v>
      </c>
      <c r="AM155" t="str">
        <f>'mk 001 10.3'!AM156</f>
        <v>สุกร</v>
      </c>
      <c r="AN155" t="str">
        <f>'mk 001 10.3'!AN156</f>
        <v>OT002 CC-Makro</v>
      </c>
      <c r="AO155" t="str">
        <f>'mk 001 10.3'!AO156</f>
        <v>MT</v>
      </c>
      <c r="AP155">
        <f>'mk 001 10.3'!AP156</f>
        <v>2</v>
      </c>
      <c r="AQ155">
        <f>'mk 001 10.3'!AQ156</f>
        <v>0</v>
      </c>
      <c r="AR155">
        <f>'mk 001 10.3'!AR156</f>
        <v>0</v>
      </c>
      <c r="AS155">
        <f>'mk 001 10.3'!AS156</f>
        <v>0</v>
      </c>
      <c r="AT155" t="str">
        <f>'mk 001 10.3'!AT156</f>
        <v>System Batch</v>
      </c>
      <c r="AU155" t="str">
        <f>'mk 001 10.3'!AU156</f>
        <v>2026-05-11-13.33.46.000000</v>
      </c>
      <c r="AV155" t="str">
        <f>'mk 001 10.3'!AV156</f>
        <v>ก.ก.</v>
      </c>
      <c r="AW155" t="str">
        <f>'mk 001 10.3'!AW156</f>
        <v>ก.ก.</v>
      </c>
      <c r="AX155" t="str">
        <f>'mk 001 10.3'!AX156</f>
        <v xml:space="preserve"> </v>
      </c>
      <c r="AY155">
        <f>'mk 001 10.3'!AY156</f>
        <v>0</v>
      </c>
      <c r="AZ155" t="str">
        <f>'mk 001 10.3'!AZ156</f>
        <v>N</v>
      </c>
      <c r="BA155" s="22">
        <f>'mk 001 10.3'!BA156</f>
        <v>9044989536422</v>
      </c>
      <c r="BB155">
        <f>'mk 001 10.3'!BB156</f>
        <v>0</v>
      </c>
      <c r="BC155">
        <f>'mk 001 10.3'!BC156</f>
        <v>0</v>
      </c>
      <c r="BD155">
        <f>'mk 001 10.3'!BD156</f>
        <v>1</v>
      </c>
      <c r="BE155">
        <f>'mk 001 10.3'!BE156</f>
        <v>0</v>
      </c>
      <c r="BF155" t="str">
        <f>'mk 001 10.3'!BF156</f>
        <v>;0000</v>
      </c>
      <c r="BG155">
        <f>'mk 001 10.3'!BG156</f>
        <v>1333314600</v>
      </c>
      <c r="BH155" t="str">
        <f>'mk 001 10.3'!BH156</f>
        <v>G</v>
      </c>
      <c r="BI155">
        <f>'mk 001 10.3'!BI156</f>
        <v>5</v>
      </c>
      <c r="BJ155">
        <f>'mk 001 10.3'!BJ156</f>
        <v>5</v>
      </c>
      <c r="BK155">
        <f>'mk 001 10.3'!BK156</f>
        <v>1300</v>
      </c>
      <c r="BL155" t="str">
        <f>'mk 001 10.3'!BL156</f>
        <v>SYSBATCH</v>
      </c>
      <c r="BM155">
        <f>'mk 001 10.3'!BM156</f>
        <v>0</v>
      </c>
      <c r="BN155">
        <f>'mk 001 10.3'!BN156</f>
        <v>0</v>
      </c>
    </row>
    <row r="156" spans="1:66" x14ac:dyDescent="0.35">
      <c r="A156">
        <f>'mk 001 10.3'!A157</f>
        <v>0</v>
      </c>
      <c r="B156">
        <f>'mk 001 10.3'!B157</f>
        <v>0</v>
      </c>
      <c r="C156" s="1" t="str">
        <f>'mk 001 10.3'!C157</f>
        <v>14/5/2569</v>
      </c>
      <c r="D156" s="1" t="str">
        <f>'mk 001 10.3'!D157</f>
        <v>14/5/2569</v>
      </c>
      <c r="E156">
        <f>'mk 001 10.3'!E157</f>
        <v>0</v>
      </c>
      <c r="F156" t="str">
        <f>'mk 001 10.3'!F157</f>
        <v>489M</v>
      </c>
      <c r="G156" t="str">
        <f>'mk 001 10.3'!G157</f>
        <v>Modern Trade (Makro)</v>
      </c>
      <c r="H156">
        <f>'mk 001 10.3'!H157</f>
        <v>0</v>
      </c>
      <c r="I156" t="str">
        <f>'mk 001 10.3'!I157</f>
        <v>หน่วยงานกลาง</v>
      </c>
      <c r="J156" t="str">
        <f>'mk 001 10.3'!J157</f>
        <v>F213  DMCW-รชล-พระพุทธบาท</v>
      </c>
      <c r="K156" t="str">
        <f>'mk 001 10.3'!K157</f>
        <v>00000  หน่วยงานกลาง</v>
      </c>
      <c r="L156">
        <f>'mk 001 10.3'!L157</f>
        <v>923</v>
      </c>
      <c r="M156">
        <f>'mk 001 10.3'!M157</f>
        <v>0</v>
      </c>
      <c r="N156" t="str">
        <f>'mk 001 10.3'!N157</f>
        <v>1A53005200</v>
      </c>
      <c r="O156" t="str">
        <f>'mk 001 10.3'!O157</f>
        <v>บมจ. ซีพี แอ็กซ์ตร้า สาขาอยุธยา</v>
      </c>
      <c r="P156">
        <f>'mk 001 10.3'!P157</f>
        <v>2</v>
      </c>
      <c r="Q156" t="str">
        <f>'mk 001 10.3'!Q157</f>
        <v>MAKRO 0051 อยุธยา</v>
      </c>
      <c r="R156" s="1">
        <f>'mk 001 10.3'!R157</f>
        <v>244658</v>
      </c>
      <c r="S156" s="1" t="str">
        <f>'mk 001 10.3'!S157</f>
        <v>14/5/2569</v>
      </c>
      <c r="T156" t="str">
        <f>'mk 001 10.3'!T157</f>
        <v>H6954RMA0059205</v>
      </c>
      <c r="U156">
        <f>'mk 001 10.3'!U157</f>
        <v>23058590</v>
      </c>
      <c r="V156" t="str">
        <f>'mk 001 10.3'!V157</f>
        <v>ไส้ใหญ่(ลวก) (M)</v>
      </c>
      <c r="W156">
        <f>'mk 001 10.3'!W157</f>
        <v>10</v>
      </c>
      <c r="X156">
        <f>'mk 001 10.3'!X157</f>
        <v>10</v>
      </c>
      <c r="Y156">
        <f t="shared" si="2"/>
        <v>10</v>
      </c>
      <c r="Z156" s="13">
        <f>IF(COUNTIFS(แปลงข้อมูล!H:H,Q156,แปลงข้อมูล!I:I,U156,แปลงข้อมูล!J:J,V156)&gt;0,SUMIFS(แปลงข้อมูล!Q:Q,แปลงข้อมูล!I:I,U156,แปลงข้อมูล!H:H,Q156,แปลงข้อมูล!J:J,V156),'mk 001 10.3'!Z157)</f>
        <v>10</v>
      </c>
      <c r="AA156">
        <f>'mk 001 10.3'!AA157</f>
        <v>0</v>
      </c>
      <c r="AB156">
        <f>'mk 001 10.3'!AB157</f>
        <v>0</v>
      </c>
      <c r="AC156">
        <f>'mk 001 10.3'!AC157</f>
        <v>0</v>
      </c>
      <c r="AD156">
        <f>'mk 001 10.3'!AD157</f>
        <v>0</v>
      </c>
      <c r="AE156">
        <f>'mk 001 10.3'!AE157</f>
        <v>10</v>
      </c>
      <c r="AF156">
        <f>'mk 001 10.3'!AF157</f>
        <v>10</v>
      </c>
      <c r="AG156">
        <f>'mk 001 10.3'!AG157</f>
        <v>0</v>
      </c>
      <c r="AH156">
        <f>'mk 001 10.3'!AH157</f>
        <v>0</v>
      </c>
      <c r="AI156" t="str">
        <f>'mk 001 10.3'!AI157</f>
        <v>OPRCD489MOPRCD00000OPRCDF213OPRCD00000OPRCD923</v>
      </c>
      <c r="AJ156" t="str">
        <f>'mk 001 10.3'!AJ157</f>
        <v>ซื้อ / ขาย</v>
      </c>
      <c r="AK156" t="str">
        <f>'mk 001 10.3'!AK157</f>
        <v>By proudct</v>
      </c>
      <c r="AL156" t="str">
        <f>'mk 001 10.3'!AL157</f>
        <v>Bulk Normal</v>
      </c>
      <c r="AM156" t="str">
        <f>'mk 001 10.3'!AM157</f>
        <v>สุกร</v>
      </c>
      <c r="AN156" t="str">
        <f>'mk 001 10.3'!AN157</f>
        <v>OT002 CC-Makro</v>
      </c>
      <c r="AO156" t="str">
        <f>'mk 001 10.3'!AO157</f>
        <v>MT</v>
      </c>
      <c r="AP156">
        <f>'mk 001 10.3'!AP157</f>
        <v>2</v>
      </c>
      <c r="AQ156">
        <f>'mk 001 10.3'!AQ157</f>
        <v>0</v>
      </c>
      <c r="AR156">
        <f>'mk 001 10.3'!AR157</f>
        <v>0</v>
      </c>
      <c r="AS156">
        <f>'mk 001 10.3'!AS157</f>
        <v>0</v>
      </c>
      <c r="AT156" t="str">
        <f>'mk 001 10.3'!AT157</f>
        <v>System Batch</v>
      </c>
      <c r="AU156" t="str">
        <f>'mk 001 10.3'!AU157</f>
        <v>2026-05-11-13.33.46.000000</v>
      </c>
      <c r="AV156" t="str">
        <f>'mk 001 10.3'!AV157</f>
        <v>ก.ก.</v>
      </c>
      <c r="AW156" t="str">
        <f>'mk 001 10.3'!AW157</f>
        <v>ก.ก.</v>
      </c>
      <c r="AX156" t="str">
        <f>'mk 001 10.3'!AX157</f>
        <v xml:space="preserve"> </v>
      </c>
      <c r="AY156">
        <f>'mk 001 10.3'!AY157</f>
        <v>0</v>
      </c>
      <c r="AZ156" t="str">
        <f>'mk 001 10.3'!AZ157</f>
        <v>N</v>
      </c>
      <c r="BA156" s="22">
        <f>'mk 001 10.3'!BA157</f>
        <v>9044989536422</v>
      </c>
      <c r="BB156">
        <f>'mk 001 10.3'!BB157</f>
        <v>0</v>
      </c>
      <c r="BC156">
        <f>'mk 001 10.3'!BC157</f>
        <v>0</v>
      </c>
      <c r="BD156">
        <f>'mk 001 10.3'!BD157</f>
        <v>1</v>
      </c>
      <c r="BE156">
        <f>'mk 001 10.3'!BE157</f>
        <v>0</v>
      </c>
      <c r="BF156" t="str">
        <f>'mk 001 10.3'!BF157</f>
        <v>;0000</v>
      </c>
      <c r="BG156">
        <f>'mk 001 10.3'!BG157</f>
        <v>1333314600</v>
      </c>
      <c r="BH156" t="str">
        <f>'mk 001 10.3'!BH157</f>
        <v>G</v>
      </c>
      <c r="BI156">
        <f>'mk 001 10.3'!BI157</f>
        <v>10</v>
      </c>
      <c r="BJ156">
        <f>'mk 001 10.3'!BJ157</f>
        <v>10</v>
      </c>
      <c r="BK156">
        <f>'mk 001 10.3'!BK157</f>
        <v>1300</v>
      </c>
      <c r="BL156" t="str">
        <f>'mk 001 10.3'!BL157</f>
        <v>SYSBATCH</v>
      </c>
      <c r="BM156">
        <f>'mk 001 10.3'!BM157</f>
        <v>0</v>
      </c>
      <c r="BN156">
        <f>'mk 001 10.3'!BN157</f>
        <v>0</v>
      </c>
    </row>
    <row r="157" spans="1:66" x14ac:dyDescent="0.35">
      <c r="A157">
        <f>'mk 001 10.3'!A158</f>
        <v>0</v>
      </c>
      <c r="B157">
        <f>'mk 001 10.3'!B158</f>
        <v>0</v>
      </c>
      <c r="C157" s="1" t="str">
        <f>'mk 001 10.3'!C158</f>
        <v>14/5/2569</v>
      </c>
      <c r="D157" s="1" t="str">
        <f>'mk 001 10.3'!D158</f>
        <v>14/5/2569</v>
      </c>
      <c r="E157">
        <f>'mk 001 10.3'!E158</f>
        <v>0</v>
      </c>
      <c r="F157" t="str">
        <f>'mk 001 10.3'!F158</f>
        <v>489M</v>
      </c>
      <c r="G157" t="str">
        <f>'mk 001 10.3'!G158</f>
        <v>Modern Trade (Makro)</v>
      </c>
      <c r="H157">
        <f>'mk 001 10.3'!H158</f>
        <v>0</v>
      </c>
      <c r="I157" t="str">
        <f>'mk 001 10.3'!I158</f>
        <v>หน่วยงานกลาง</v>
      </c>
      <c r="J157" t="str">
        <f>'mk 001 10.3'!J158</f>
        <v>F213  DMCW-รชล-พระพุทธบาท</v>
      </c>
      <c r="K157" t="str">
        <f>'mk 001 10.3'!K158</f>
        <v>00000  หน่วยงานกลาง</v>
      </c>
      <c r="L157">
        <f>'mk 001 10.3'!L158</f>
        <v>923</v>
      </c>
      <c r="M157">
        <f>'mk 001 10.3'!M158</f>
        <v>0</v>
      </c>
      <c r="N157" t="str">
        <f>'mk 001 10.3'!N158</f>
        <v>1A53005200</v>
      </c>
      <c r="O157" t="str">
        <f>'mk 001 10.3'!O158</f>
        <v>บมจ. ซีพี แอ็กซ์ตร้า สาขาอยุธยา</v>
      </c>
      <c r="P157">
        <f>'mk 001 10.3'!P158</f>
        <v>2</v>
      </c>
      <c r="Q157" t="str">
        <f>'mk 001 10.3'!Q158</f>
        <v>MAKRO 0051 อยุธยา</v>
      </c>
      <c r="R157" s="1">
        <f>'mk 001 10.3'!R158</f>
        <v>244658</v>
      </c>
      <c r="S157" s="1" t="str">
        <f>'mk 001 10.3'!S158</f>
        <v>14/5/2569</v>
      </c>
      <c r="T157" t="str">
        <f>'mk 001 10.3'!T158</f>
        <v>H6954RMA0059205</v>
      </c>
      <c r="U157">
        <f>'mk 001 10.3'!U158</f>
        <v>23057821</v>
      </c>
      <c r="V157" t="str">
        <f>'mk 001 10.3'!V158</f>
        <v>สันคอ(M)</v>
      </c>
      <c r="W157">
        <f>'mk 001 10.3'!W158</f>
        <v>100</v>
      </c>
      <c r="X157">
        <f>'mk 001 10.3'!X158</f>
        <v>100</v>
      </c>
      <c r="Y157">
        <f t="shared" si="2"/>
        <v>100</v>
      </c>
      <c r="Z157" s="13">
        <f>IF(COUNTIFS(แปลงข้อมูล!H:H,Q157,แปลงข้อมูล!I:I,U157,แปลงข้อมูล!J:J,V157)&gt;0,SUMIFS(แปลงข้อมูล!Q:Q,แปลงข้อมูล!I:I,U157,แปลงข้อมูล!H:H,Q157,แปลงข้อมูล!J:J,V157),'mk 001 10.3'!Z158)</f>
        <v>100</v>
      </c>
      <c r="AA157">
        <f>'mk 001 10.3'!AA158</f>
        <v>0</v>
      </c>
      <c r="AB157">
        <f>'mk 001 10.3'!AB158</f>
        <v>0</v>
      </c>
      <c r="AC157">
        <f>'mk 001 10.3'!AC158</f>
        <v>0</v>
      </c>
      <c r="AD157">
        <f>'mk 001 10.3'!AD158</f>
        <v>0</v>
      </c>
      <c r="AE157">
        <f>'mk 001 10.3'!AE158</f>
        <v>100</v>
      </c>
      <c r="AF157">
        <f>'mk 001 10.3'!AF158</f>
        <v>100</v>
      </c>
      <c r="AG157">
        <f>'mk 001 10.3'!AG158</f>
        <v>0</v>
      </c>
      <c r="AH157">
        <f>'mk 001 10.3'!AH158</f>
        <v>0</v>
      </c>
      <c r="AI157" t="str">
        <f>'mk 001 10.3'!AI158</f>
        <v>OPRCD489MOPRCD00000OPRCDF213OPRCD00000OPRCD923</v>
      </c>
      <c r="AJ157" t="str">
        <f>'mk 001 10.3'!AJ158</f>
        <v>ซื้อ / ขาย</v>
      </c>
      <c r="AK157" t="str">
        <f>'mk 001 10.3'!AK158</f>
        <v>Main proudct</v>
      </c>
      <c r="AL157" t="str">
        <f>'mk 001 10.3'!AL158</f>
        <v>Bulk Normal</v>
      </c>
      <c r="AM157" t="str">
        <f>'mk 001 10.3'!AM158</f>
        <v>สุกร</v>
      </c>
      <c r="AN157" t="str">
        <f>'mk 001 10.3'!AN158</f>
        <v>OT002 CC-Makro</v>
      </c>
      <c r="AO157" t="str">
        <f>'mk 001 10.3'!AO158</f>
        <v>MT</v>
      </c>
      <c r="AP157">
        <f>'mk 001 10.3'!AP158</f>
        <v>2</v>
      </c>
      <c r="AQ157">
        <f>'mk 001 10.3'!AQ158</f>
        <v>0</v>
      </c>
      <c r="AR157">
        <f>'mk 001 10.3'!AR158</f>
        <v>0</v>
      </c>
      <c r="AS157">
        <f>'mk 001 10.3'!AS158</f>
        <v>0</v>
      </c>
      <c r="AT157" t="str">
        <f>'mk 001 10.3'!AT158</f>
        <v>System Batch</v>
      </c>
      <c r="AU157" t="str">
        <f>'mk 001 10.3'!AU158</f>
        <v>2026-05-11-13.33.46.000000</v>
      </c>
      <c r="AV157" t="str">
        <f>'mk 001 10.3'!AV158</f>
        <v>ก.ก.</v>
      </c>
      <c r="AW157" t="str">
        <f>'mk 001 10.3'!AW158</f>
        <v>ก.ก.</v>
      </c>
      <c r="AX157" t="str">
        <f>'mk 001 10.3'!AX158</f>
        <v xml:space="preserve"> </v>
      </c>
      <c r="AY157">
        <f>'mk 001 10.3'!AY158</f>
        <v>0</v>
      </c>
      <c r="AZ157" t="str">
        <f>'mk 001 10.3'!AZ158</f>
        <v>N</v>
      </c>
      <c r="BA157" s="22">
        <f>'mk 001 10.3'!BA158</f>
        <v>9044989536422</v>
      </c>
      <c r="BB157">
        <f>'mk 001 10.3'!BB158</f>
        <v>0</v>
      </c>
      <c r="BC157">
        <f>'mk 001 10.3'!BC158</f>
        <v>0</v>
      </c>
      <c r="BD157">
        <f>'mk 001 10.3'!BD158</f>
        <v>1</v>
      </c>
      <c r="BE157">
        <f>'mk 001 10.3'!BE158</f>
        <v>0</v>
      </c>
      <c r="BF157" t="str">
        <f>'mk 001 10.3'!BF158</f>
        <v>;0000</v>
      </c>
      <c r="BG157">
        <f>'mk 001 10.3'!BG158</f>
        <v>1333314600</v>
      </c>
      <c r="BH157" t="str">
        <f>'mk 001 10.3'!BH158</f>
        <v>G</v>
      </c>
      <c r="BI157">
        <f>'mk 001 10.3'!BI158</f>
        <v>100</v>
      </c>
      <c r="BJ157">
        <f>'mk 001 10.3'!BJ158</f>
        <v>100</v>
      </c>
      <c r="BK157">
        <f>'mk 001 10.3'!BK158</f>
        <v>1300</v>
      </c>
      <c r="BL157" t="str">
        <f>'mk 001 10.3'!BL158</f>
        <v>SYSBATCH</v>
      </c>
      <c r="BM157">
        <f>'mk 001 10.3'!BM158</f>
        <v>0</v>
      </c>
      <c r="BN157">
        <f>'mk 001 10.3'!BN158</f>
        <v>0</v>
      </c>
    </row>
    <row r="158" spans="1:66" x14ac:dyDescent="0.35">
      <c r="A158">
        <f>'mk 001 10.3'!A159</f>
        <v>0</v>
      </c>
      <c r="B158">
        <f>'mk 001 10.3'!B159</f>
        <v>0</v>
      </c>
      <c r="C158" s="1" t="str">
        <f>'mk 001 10.3'!C159</f>
        <v>14/5/2569</v>
      </c>
      <c r="D158" s="1" t="str">
        <f>'mk 001 10.3'!D159</f>
        <v>14/5/2569</v>
      </c>
      <c r="E158">
        <f>'mk 001 10.3'!E159</f>
        <v>0</v>
      </c>
      <c r="F158" t="str">
        <f>'mk 001 10.3'!F159</f>
        <v>489M</v>
      </c>
      <c r="G158" t="str">
        <f>'mk 001 10.3'!G159</f>
        <v>Modern Trade (Makro)</v>
      </c>
      <c r="H158">
        <f>'mk 001 10.3'!H159</f>
        <v>0</v>
      </c>
      <c r="I158" t="str">
        <f>'mk 001 10.3'!I159</f>
        <v>หน่วยงานกลาง</v>
      </c>
      <c r="J158" t="str">
        <f>'mk 001 10.3'!J159</f>
        <v>F213  DMCW-รชล-พระพุทธบาท</v>
      </c>
      <c r="K158" t="str">
        <f>'mk 001 10.3'!K159</f>
        <v>00000  หน่วยงานกลาง</v>
      </c>
      <c r="L158">
        <f>'mk 001 10.3'!L159</f>
        <v>923</v>
      </c>
      <c r="M158">
        <f>'mk 001 10.3'!M159</f>
        <v>0</v>
      </c>
      <c r="N158" t="str">
        <f>'mk 001 10.3'!N159</f>
        <v>1A53005200</v>
      </c>
      <c r="O158" t="str">
        <f>'mk 001 10.3'!O159</f>
        <v>บมจ. ซีพี แอ็กซ์ตร้า สาขาอยุธยา</v>
      </c>
      <c r="P158">
        <f>'mk 001 10.3'!P159</f>
        <v>2</v>
      </c>
      <c r="Q158" t="str">
        <f>'mk 001 10.3'!Q159</f>
        <v>MAKRO 0051 อยุธยา</v>
      </c>
      <c r="R158" s="1">
        <f>'mk 001 10.3'!R159</f>
        <v>244658</v>
      </c>
      <c r="S158" s="1" t="str">
        <f>'mk 001 10.3'!S159</f>
        <v>14/5/2569</v>
      </c>
      <c r="T158" t="str">
        <f>'mk 001 10.3'!T159</f>
        <v>H6954RMA0059205</v>
      </c>
      <c r="U158">
        <f>'mk 001 10.3'!U159</f>
        <v>23057824</v>
      </c>
      <c r="V158" t="str">
        <f>'mk 001 10.3'!V159</f>
        <v>สามชั้น(M)</v>
      </c>
      <c r="W158">
        <f>'mk 001 10.3'!W159</f>
        <v>100</v>
      </c>
      <c r="X158">
        <f>'mk 001 10.3'!X159</f>
        <v>100</v>
      </c>
      <c r="Y158">
        <f t="shared" si="2"/>
        <v>100</v>
      </c>
      <c r="Z158" s="13">
        <f>IF(COUNTIFS(แปลงข้อมูล!H:H,Q158,แปลงข้อมูล!I:I,U158,แปลงข้อมูล!J:J,V158)&gt;0,SUMIFS(แปลงข้อมูล!Q:Q,แปลงข้อมูล!I:I,U158,แปลงข้อมูล!H:H,Q158,แปลงข้อมูล!J:J,V158),'mk 001 10.3'!Z159)</f>
        <v>100</v>
      </c>
      <c r="AA158">
        <f>'mk 001 10.3'!AA159</f>
        <v>0</v>
      </c>
      <c r="AB158">
        <f>'mk 001 10.3'!AB159</f>
        <v>0</v>
      </c>
      <c r="AC158">
        <f>'mk 001 10.3'!AC159</f>
        <v>0</v>
      </c>
      <c r="AD158">
        <f>'mk 001 10.3'!AD159</f>
        <v>0</v>
      </c>
      <c r="AE158">
        <f>'mk 001 10.3'!AE159</f>
        <v>100</v>
      </c>
      <c r="AF158">
        <f>'mk 001 10.3'!AF159</f>
        <v>100</v>
      </c>
      <c r="AG158">
        <f>'mk 001 10.3'!AG159</f>
        <v>0</v>
      </c>
      <c r="AH158">
        <f>'mk 001 10.3'!AH159</f>
        <v>0</v>
      </c>
      <c r="AI158" t="str">
        <f>'mk 001 10.3'!AI159</f>
        <v>OPRCD489MOPRCD00000OPRCDF213OPRCD00000OPRCD923</v>
      </c>
      <c r="AJ158" t="str">
        <f>'mk 001 10.3'!AJ159</f>
        <v>ซื้อ / ขาย</v>
      </c>
      <c r="AK158" t="str">
        <f>'mk 001 10.3'!AK159</f>
        <v>Main proudct</v>
      </c>
      <c r="AL158" t="str">
        <f>'mk 001 10.3'!AL159</f>
        <v>Bulk Normal</v>
      </c>
      <c r="AM158" t="str">
        <f>'mk 001 10.3'!AM159</f>
        <v>สุกร</v>
      </c>
      <c r="AN158" t="str">
        <f>'mk 001 10.3'!AN159</f>
        <v>OT002 CC-Makro</v>
      </c>
      <c r="AO158" t="str">
        <f>'mk 001 10.3'!AO159</f>
        <v>MT</v>
      </c>
      <c r="AP158">
        <f>'mk 001 10.3'!AP159</f>
        <v>2</v>
      </c>
      <c r="AQ158">
        <f>'mk 001 10.3'!AQ159</f>
        <v>0</v>
      </c>
      <c r="AR158">
        <f>'mk 001 10.3'!AR159</f>
        <v>0</v>
      </c>
      <c r="AS158">
        <f>'mk 001 10.3'!AS159</f>
        <v>0</v>
      </c>
      <c r="AT158" t="str">
        <f>'mk 001 10.3'!AT159</f>
        <v>System Batch</v>
      </c>
      <c r="AU158" t="str">
        <f>'mk 001 10.3'!AU159</f>
        <v>2026-05-11-13.33.46.000000</v>
      </c>
      <c r="AV158" t="str">
        <f>'mk 001 10.3'!AV159</f>
        <v>ก.ก.</v>
      </c>
      <c r="AW158" t="str">
        <f>'mk 001 10.3'!AW159</f>
        <v>ก.ก.</v>
      </c>
      <c r="AX158" t="str">
        <f>'mk 001 10.3'!AX159</f>
        <v xml:space="preserve"> </v>
      </c>
      <c r="AY158">
        <f>'mk 001 10.3'!AY159</f>
        <v>0</v>
      </c>
      <c r="AZ158" t="str">
        <f>'mk 001 10.3'!AZ159</f>
        <v>N</v>
      </c>
      <c r="BA158" s="22">
        <f>'mk 001 10.3'!BA159</f>
        <v>9044989536422</v>
      </c>
      <c r="BB158">
        <f>'mk 001 10.3'!BB159</f>
        <v>0</v>
      </c>
      <c r="BC158">
        <f>'mk 001 10.3'!BC159</f>
        <v>0</v>
      </c>
      <c r="BD158">
        <f>'mk 001 10.3'!BD159</f>
        <v>1</v>
      </c>
      <c r="BE158">
        <f>'mk 001 10.3'!BE159</f>
        <v>0</v>
      </c>
      <c r="BF158" t="str">
        <f>'mk 001 10.3'!BF159</f>
        <v>;0000</v>
      </c>
      <c r="BG158">
        <f>'mk 001 10.3'!BG159</f>
        <v>1333314600</v>
      </c>
      <c r="BH158" t="str">
        <f>'mk 001 10.3'!BH159</f>
        <v>G</v>
      </c>
      <c r="BI158">
        <f>'mk 001 10.3'!BI159</f>
        <v>100</v>
      </c>
      <c r="BJ158">
        <f>'mk 001 10.3'!BJ159</f>
        <v>100</v>
      </c>
      <c r="BK158">
        <f>'mk 001 10.3'!BK159</f>
        <v>1300</v>
      </c>
      <c r="BL158" t="str">
        <f>'mk 001 10.3'!BL159</f>
        <v>SYSBATCH</v>
      </c>
      <c r="BM158">
        <f>'mk 001 10.3'!BM159</f>
        <v>0</v>
      </c>
      <c r="BN158">
        <f>'mk 001 10.3'!BN159</f>
        <v>0</v>
      </c>
    </row>
    <row r="159" spans="1:66" x14ac:dyDescent="0.35">
      <c r="A159">
        <f>'mk 001 10.3'!A160</f>
        <v>0</v>
      </c>
      <c r="B159">
        <f>'mk 001 10.3'!B160</f>
        <v>0</v>
      </c>
      <c r="C159" s="1" t="str">
        <f>'mk 001 10.3'!C160</f>
        <v>14/5/2569</v>
      </c>
      <c r="D159" s="1" t="str">
        <f>'mk 001 10.3'!D160</f>
        <v>14/5/2569</v>
      </c>
      <c r="E159">
        <f>'mk 001 10.3'!E160</f>
        <v>0</v>
      </c>
      <c r="F159" t="str">
        <f>'mk 001 10.3'!F160</f>
        <v>489M</v>
      </c>
      <c r="G159" t="str">
        <f>'mk 001 10.3'!G160</f>
        <v>Modern Trade (Makro)</v>
      </c>
      <c r="H159">
        <f>'mk 001 10.3'!H160</f>
        <v>0</v>
      </c>
      <c r="I159" t="str">
        <f>'mk 001 10.3'!I160</f>
        <v>หน่วยงานกลาง</v>
      </c>
      <c r="J159" t="str">
        <f>'mk 001 10.3'!J160</f>
        <v>F213  DMCW-รชล-พระพุทธบาท</v>
      </c>
      <c r="K159" t="str">
        <f>'mk 001 10.3'!K160</f>
        <v>00000  หน่วยงานกลาง</v>
      </c>
      <c r="L159">
        <f>'mk 001 10.3'!L160</f>
        <v>923</v>
      </c>
      <c r="M159">
        <f>'mk 001 10.3'!M160</f>
        <v>0</v>
      </c>
      <c r="N159" t="str">
        <f>'mk 001 10.3'!N160</f>
        <v>1A53005200</v>
      </c>
      <c r="O159" t="str">
        <f>'mk 001 10.3'!O160</f>
        <v>บมจ. ซีพี แอ็กซ์ตร้า สาขาอยุธยา</v>
      </c>
      <c r="P159">
        <f>'mk 001 10.3'!P160</f>
        <v>2</v>
      </c>
      <c r="Q159" t="str">
        <f>'mk 001 10.3'!Q160</f>
        <v>MAKRO 0051 อยุธยา</v>
      </c>
      <c r="R159" s="1">
        <f>'mk 001 10.3'!R160</f>
        <v>244658</v>
      </c>
      <c r="S159" s="1" t="str">
        <f>'mk 001 10.3'!S160</f>
        <v>14/5/2569</v>
      </c>
      <c r="T159" t="str">
        <f>'mk 001 10.3'!T160</f>
        <v>H6954RMA0059205</v>
      </c>
      <c r="U159">
        <f>'mk 001 10.3'!U160</f>
        <v>23062097</v>
      </c>
      <c r="V159" t="str">
        <f>'mk 001 10.3'!V160</f>
        <v>ลิ้นหมู(M)</v>
      </c>
      <c r="W159">
        <f>'mk 001 10.3'!W160</f>
        <v>10</v>
      </c>
      <c r="X159">
        <f>'mk 001 10.3'!X160</f>
        <v>10</v>
      </c>
      <c r="Y159">
        <f t="shared" si="2"/>
        <v>10</v>
      </c>
      <c r="Z159" s="13">
        <f>IF(COUNTIFS(แปลงข้อมูล!H:H,Q159,แปลงข้อมูล!I:I,U159,แปลงข้อมูล!J:J,V159)&gt;0,SUMIFS(แปลงข้อมูล!Q:Q,แปลงข้อมูล!I:I,U159,แปลงข้อมูล!H:H,Q159,แปลงข้อมูล!J:J,V159),'mk 001 10.3'!Z160)</f>
        <v>10</v>
      </c>
      <c r="AA159">
        <f>'mk 001 10.3'!AA160</f>
        <v>0</v>
      </c>
      <c r="AB159">
        <f>'mk 001 10.3'!AB160</f>
        <v>0</v>
      </c>
      <c r="AC159">
        <f>'mk 001 10.3'!AC160</f>
        <v>0</v>
      </c>
      <c r="AD159">
        <f>'mk 001 10.3'!AD160</f>
        <v>0</v>
      </c>
      <c r="AE159">
        <f>'mk 001 10.3'!AE160</f>
        <v>10</v>
      </c>
      <c r="AF159">
        <f>'mk 001 10.3'!AF160</f>
        <v>10</v>
      </c>
      <c r="AG159">
        <f>'mk 001 10.3'!AG160</f>
        <v>0</v>
      </c>
      <c r="AH159">
        <f>'mk 001 10.3'!AH160</f>
        <v>0</v>
      </c>
      <c r="AI159" t="str">
        <f>'mk 001 10.3'!AI160</f>
        <v>OPRCD489MOPRCD00000OPRCDF213OPRCD00000OPRCD923</v>
      </c>
      <c r="AJ159" t="str">
        <f>'mk 001 10.3'!AJ160</f>
        <v>ซื้อ / ขาย</v>
      </c>
      <c r="AK159" t="str">
        <f>'mk 001 10.3'!AK160</f>
        <v>By proudct</v>
      </c>
      <c r="AL159" t="str">
        <f>'mk 001 10.3'!AL160</f>
        <v>Bulk Normal</v>
      </c>
      <c r="AM159" t="str">
        <f>'mk 001 10.3'!AM160</f>
        <v>สุกร</v>
      </c>
      <c r="AN159" t="str">
        <f>'mk 001 10.3'!AN160</f>
        <v>OT002 CC-Makro</v>
      </c>
      <c r="AO159" t="str">
        <f>'mk 001 10.3'!AO160</f>
        <v>MT</v>
      </c>
      <c r="AP159">
        <f>'mk 001 10.3'!AP160</f>
        <v>2</v>
      </c>
      <c r="AQ159">
        <f>'mk 001 10.3'!AQ160</f>
        <v>0</v>
      </c>
      <c r="AR159">
        <f>'mk 001 10.3'!AR160</f>
        <v>0</v>
      </c>
      <c r="AS159">
        <f>'mk 001 10.3'!AS160</f>
        <v>0</v>
      </c>
      <c r="AT159" t="str">
        <f>'mk 001 10.3'!AT160</f>
        <v>System Batch</v>
      </c>
      <c r="AU159" t="str">
        <f>'mk 001 10.3'!AU160</f>
        <v>2026-05-11-13.33.46.000000</v>
      </c>
      <c r="AV159" t="str">
        <f>'mk 001 10.3'!AV160</f>
        <v>ก.ก.</v>
      </c>
      <c r="AW159" t="str">
        <f>'mk 001 10.3'!AW160</f>
        <v>ก.ก.</v>
      </c>
      <c r="AX159" t="str">
        <f>'mk 001 10.3'!AX160</f>
        <v xml:space="preserve"> </v>
      </c>
      <c r="AY159">
        <f>'mk 001 10.3'!AY160</f>
        <v>0</v>
      </c>
      <c r="AZ159" t="str">
        <f>'mk 001 10.3'!AZ160</f>
        <v>N</v>
      </c>
      <c r="BA159" s="22">
        <f>'mk 001 10.3'!BA160</f>
        <v>9044989536422</v>
      </c>
      <c r="BB159">
        <f>'mk 001 10.3'!BB160</f>
        <v>0</v>
      </c>
      <c r="BC159">
        <f>'mk 001 10.3'!BC160</f>
        <v>0</v>
      </c>
      <c r="BD159">
        <f>'mk 001 10.3'!BD160</f>
        <v>1</v>
      </c>
      <c r="BE159">
        <f>'mk 001 10.3'!BE160</f>
        <v>0</v>
      </c>
      <c r="BF159" t="str">
        <f>'mk 001 10.3'!BF160</f>
        <v>;0000</v>
      </c>
      <c r="BG159">
        <f>'mk 001 10.3'!BG160</f>
        <v>1333314600</v>
      </c>
      <c r="BH159" t="str">
        <f>'mk 001 10.3'!BH160</f>
        <v>G</v>
      </c>
      <c r="BI159">
        <f>'mk 001 10.3'!BI160</f>
        <v>10</v>
      </c>
      <c r="BJ159">
        <f>'mk 001 10.3'!BJ160</f>
        <v>10</v>
      </c>
      <c r="BK159">
        <f>'mk 001 10.3'!BK160</f>
        <v>1300</v>
      </c>
      <c r="BL159" t="str">
        <f>'mk 001 10.3'!BL160</f>
        <v>SYSBATCH</v>
      </c>
      <c r="BM159">
        <f>'mk 001 10.3'!BM160</f>
        <v>0</v>
      </c>
      <c r="BN159">
        <f>'mk 001 10.3'!BN160</f>
        <v>0</v>
      </c>
    </row>
    <row r="160" spans="1:66" x14ac:dyDescent="0.35">
      <c r="A160">
        <f>'mk 001 10.3'!A161</f>
        <v>0</v>
      </c>
      <c r="B160">
        <f>'mk 001 10.3'!B161</f>
        <v>0</v>
      </c>
      <c r="C160" s="1" t="str">
        <f>'mk 001 10.3'!C161</f>
        <v>14/5/2569</v>
      </c>
      <c r="D160" s="1" t="str">
        <f>'mk 001 10.3'!D161</f>
        <v>14/5/2569</v>
      </c>
      <c r="E160">
        <f>'mk 001 10.3'!E161</f>
        <v>0</v>
      </c>
      <c r="F160" t="str">
        <f>'mk 001 10.3'!F161</f>
        <v>489M</v>
      </c>
      <c r="G160" t="str">
        <f>'mk 001 10.3'!G161</f>
        <v>Modern Trade (Makro)</v>
      </c>
      <c r="H160">
        <f>'mk 001 10.3'!H161</f>
        <v>0</v>
      </c>
      <c r="I160" t="str">
        <f>'mk 001 10.3'!I161</f>
        <v>หน่วยงานกลาง</v>
      </c>
      <c r="J160" t="str">
        <f>'mk 001 10.3'!J161</f>
        <v>F213  DMCW-รชล-พระพุทธบาท</v>
      </c>
      <c r="K160" t="str">
        <f>'mk 001 10.3'!K161</f>
        <v>00000  หน่วยงานกลาง</v>
      </c>
      <c r="L160">
        <f>'mk 001 10.3'!L161</f>
        <v>923</v>
      </c>
      <c r="M160">
        <f>'mk 001 10.3'!M161</f>
        <v>0</v>
      </c>
      <c r="N160" t="str">
        <f>'mk 001 10.3'!N161</f>
        <v>1A53005200</v>
      </c>
      <c r="O160" t="str">
        <f>'mk 001 10.3'!O161</f>
        <v>บมจ. ซีพี แอ็กซ์ตร้า สาขาอยุธยา</v>
      </c>
      <c r="P160">
        <f>'mk 001 10.3'!P161</f>
        <v>2</v>
      </c>
      <c r="Q160" t="str">
        <f>'mk 001 10.3'!Q161</f>
        <v>MAKRO 0051 อยุธยา</v>
      </c>
      <c r="R160" s="1">
        <f>'mk 001 10.3'!R161</f>
        <v>244658</v>
      </c>
      <c r="S160" s="1" t="str">
        <f>'mk 001 10.3'!S161</f>
        <v>14/5/2569</v>
      </c>
      <c r="T160" t="str">
        <f>'mk 001 10.3'!T161</f>
        <v>H6954RMA0059205</v>
      </c>
      <c r="U160">
        <f>'mk 001 10.3'!U161</f>
        <v>23086658</v>
      </c>
      <c r="V160" t="str">
        <f>'mk 001 10.3'!V161</f>
        <v>เนื้อไหล่ติดหนังสไลด์</v>
      </c>
      <c r="W160">
        <f>'mk 001 10.3'!W161</f>
        <v>100</v>
      </c>
      <c r="X160">
        <f>'mk 001 10.3'!X161</f>
        <v>100</v>
      </c>
      <c r="Y160">
        <f t="shared" si="2"/>
        <v>100</v>
      </c>
      <c r="Z160" s="13">
        <f>IF(COUNTIFS(แปลงข้อมูล!H:H,Q160,แปลงข้อมูล!I:I,U160,แปลงข้อมูล!J:J,V160)&gt;0,SUMIFS(แปลงข้อมูล!Q:Q,แปลงข้อมูล!I:I,U160,แปลงข้อมูล!H:H,Q160,แปลงข้อมูล!J:J,V160),'mk 001 10.3'!Z161)</f>
        <v>100</v>
      </c>
      <c r="AA160">
        <f>'mk 001 10.3'!AA161</f>
        <v>0</v>
      </c>
      <c r="AB160">
        <f>'mk 001 10.3'!AB161</f>
        <v>0</v>
      </c>
      <c r="AC160">
        <f>'mk 001 10.3'!AC161</f>
        <v>0</v>
      </c>
      <c r="AD160">
        <f>'mk 001 10.3'!AD161</f>
        <v>0</v>
      </c>
      <c r="AE160">
        <f>'mk 001 10.3'!AE161</f>
        <v>100</v>
      </c>
      <c r="AF160">
        <f>'mk 001 10.3'!AF161</f>
        <v>100</v>
      </c>
      <c r="AG160">
        <f>'mk 001 10.3'!AG161</f>
        <v>0</v>
      </c>
      <c r="AH160">
        <f>'mk 001 10.3'!AH161</f>
        <v>0</v>
      </c>
      <c r="AI160" t="str">
        <f>'mk 001 10.3'!AI161</f>
        <v>OPRCD489MOPRCD00000OPRCDF213OPRCD00000OPRCD923</v>
      </c>
      <c r="AJ160" t="str">
        <f>'mk 001 10.3'!AJ161</f>
        <v>ซื้อ / ขาย</v>
      </c>
      <c r="AK160" t="str">
        <f>'mk 001 10.3'!AK161</f>
        <v>Main proudct</v>
      </c>
      <c r="AL160" t="str">
        <f>'mk 001 10.3'!AL161</f>
        <v>Bulk Normal</v>
      </c>
      <c r="AM160" t="str">
        <f>'mk 001 10.3'!AM161</f>
        <v>สุกร</v>
      </c>
      <c r="AN160" t="str">
        <f>'mk 001 10.3'!AN161</f>
        <v>OT002 CC-Makro</v>
      </c>
      <c r="AO160" t="str">
        <f>'mk 001 10.3'!AO161</f>
        <v>MT</v>
      </c>
      <c r="AP160">
        <f>'mk 001 10.3'!AP161</f>
        <v>2</v>
      </c>
      <c r="AQ160">
        <f>'mk 001 10.3'!AQ161</f>
        <v>0</v>
      </c>
      <c r="AR160">
        <f>'mk 001 10.3'!AR161</f>
        <v>0</v>
      </c>
      <c r="AS160">
        <f>'mk 001 10.3'!AS161</f>
        <v>0</v>
      </c>
      <c r="AT160" t="str">
        <f>'mk 001 10.3'!AT161</f>
        <v>System Batch</v>
      </c>
      <c r="AU160" t="str">
        <f>'mk 001 10.3'!AU161</f>
        <v>2026-05-11-13.33.46.000000</v>
      </c>
      <c r="AV160" t="str">
        <f>'mk 001 10.3'!AV161</f>
        <v>ก.ก.</v>
      </c>
      <c r="AW160" t="str">
        <f>'mk 001 10.3'!AW161</f>
        <v>ก.ก.</v>
      </c>
      <c r="AX160" t="str">
        <f>'mk 001 10.3'!AX161</f>
        <v xml:space="preserve"> </v>
      </c>
      <c r="AY160">
        <f>'mk 001 10.3'!AY161</f>
        <v>0</v>
      </c>
      <c r="AZ160" t="str">
        <f>'mk 001 10.3'!AZ161</f>
        <v>N</v>
      </c>
      <c r="BA160" s="22">
        <f>'mk 001 10.3'!BA161</f>
        <v>9044989536422</v>
      </c>
      <c r="BB160">
        <f>'mk 001 10.3'!BB161</f>
        <v>0</v>
      </c>
      <c r="BC160">
        <f>'mk 001 10.3'!BC161</f>
        <v>0</v>
      </c>
      <c r="BD160">
        <f>'mk 001 10.3'!BD161</f>
        <v>1</v>
      </c>
      <c r="BE160">
        <f>'mk 001 10.3'!BE161</f>
        <v>0</v>
      </c>
      <c r="BF160" t="str">
        <f>'mk 001 10.3'!BF161</f>
        <v>;0000</v>
      </c>
      <c r="BG160">
        <f>'mk 001 10.3'!BG161</f>
        <v>1333314600</v>
      </c>
      <c r="BH160" t="str">
        <f>'mk 001 10.3'!BH161</f>
        <v>G</v>
      </c>
      <c r="BI160">
        <f>'mk 001 10.3'!BI161</f>
        <v>100</v>
      </c>
      <c r="BJ160">
        <f>'mk 001 10.3'!BJ161</f>
        <v>100</v>
      </c>
      <c r="BK160">
        <f>'mk 001 10.3'!BK161</f>
        <v>1300</v>
      </c>
      <c r="BL160" t="str">
        <f>'mk 001 10.3'!BL161</f>
        <v>SYSBATCH</v>
      </c>
      <c r="BM160">
        <f>'mk 001 10.3'!BM161</f>
        <v>0</v>
      </c>
      <c r="BN160">
        <f>'mk 001 10.3'!BN161</f>
        <v>0</v>
      </c>
    </row>
    <row r="161" spans="1:66" x14ac:dyDescent="0.35">
      <c r="A161">
        <f>'mk 001 10.3'!A162</f>
        <v>0</v>
      </c>
      <c r="B161">
        <f>'mk 001 10.3'!B162</f>
        <v>0</v>
      </c>
      <c r="C161" s="1" t="str">
        <f>'mk 001 10.3'!C162</f>
        <v>14/5/2569</v>
      </c>
      <c r="D161" s="1" t="str">
        <f>'mk 001 10.3'!D162</f>
        <v>14/5/2569</v>
      </c>
      <c r="E161">
        <f>'mk 001 10.3'!E162</f>
        <v>0</v>
      </c>
      <c r="F161" t="str">
        <f>'mk 001 10.3'!F162</f>
        <v>489M</v>
      </c>
      <c r="G161" t="str">
        <f>'mk 001 10.3'!G162</f>
        <v>Modern Trade (Makro)</v>
      </c>
      <c r="H161">
        <f>'mk 001 10.3'!H162</f>
        <v>0</v>
      </c>
      <c r="I161" t="str">
        <f>'mk 001 10.3'!I162</f>
        <v>หน่วยงานกลาง</v>
      </c>
      <c r="J161" t="str">
        <f>'mk 001 10.3'!J162</f>
        <v>F213  DMCW-รชล-พระพุทธบาท</v>
      </c>
      <c r="K161" t="str">
        <f>'mk 001 10.3'!K162</f>
        <v>00000  หน่วยงานกลาง</v>
      </c>
      <c r="L161">
        <f>'mk 001 10.3'!L162</f>
        <v>923</v>
      </c>
      <c r="M161">
        <f>'mk 001 10.3'!M162</f>
        <v>0</v>
      </c>
      <c r="N161" t="str">
        <f>'mk 001 10.3'!N162</f>
        <v>1A53005200</v>
      </c>
      <c r="O161" t="str">
        <f>'mk 001 10.3'!O162</f>
        <v>บมจ. ซีพี แอ็กซ์ตร้า สาขาอยุธยา</v>
      </c>
      <c r="P161">
        <f>'mk 001 10.3'!P162</f>
        <v>2</v>
      </c>
      <c r="Q161" t="str">
        <f>'mk 001 10.3'!Q162</f>
        <v>MAKRO 0051 อยุธยา</v>
      </c>
      <c r="R161" s="1">
        <f>'mk 001 10.3'!R162</f>
        <v>244658</v>
      </c>
      <c r="S161" s="1" t="str">
        <f>'mk 001 10.3'!S162</f>
        <v>14/5/2569</v>
      </c>
      <c r="T161" t="str">
        <f>'mk 001 10.3'!T162</f>
        <v>H6954RMA0059205</v>
      </c>
      <c r="U161">
        <f>'mk 001 10.3'!U162</f>
        <v>23073308</v>
      </c>
      <c r="V161" t="str">
        <f>'mk 001 10.3'!V162</f>
        <v>สามชั้นหมูตัดเส้น 1-2 นิ้ว(M)</v>
      </c>
      <c r="W161">
        <f>'mk 001 10.3'!W162</f>
        <v>50</v>
      </c>
      <c r="X161">
        <f>'mk 001 10.3'!X162</f>
        <v>50</v>
      </c>
      <c r="Y161">
        <f t="shared" si="2"/>
        <v>50</v>
      </c>
      <c r="Z161" s="13">
        <f>IF(COUNTIFS(แปลงข้อมูล!H:H,Q161,แปลงข้อมูล!I:I,U161,แปลงข้อมูล!J:J,V161)&gt;0,SUMIFS(แปลงข้อมูล!Q:Q,แปลงข้อมูล!I:I,U161,แปลงข้อมูล!H:H,Q161,แปลงข้อมูล!J:J,V161),'mk 001 10.3'!Z162)</f>
        <v>50</v>
      </c>
      <c r="AA161">
        <f>'mk 001 10.3'!AA162</f>
        <v>0</v>
      </c>
      <c r="AB161">
        <f>'mk 001 10.3'!AB162</f>
        <v>0</v>
      </c>
      <c r="AC161">
        <f>'mk 001 10.3'!AC162</f>
        <v>0</v>
      </c>
      <c r="AD161">
        <f>'mk 001 10.3'!AD162</f>
        <v>0</v>
      </c>
      <c r="AE161">
        <f>'mk 001 10.3'!AE162</f>
        <v>50</v>
      </c>
      <c r="AF161">
        <f>'mk 001 10.3'!AF162</f>
        <v>50</v>
      </c>
      <c r="AG161">
        <f>'mk 001 10.3'!AG162</f>
        <v>0</v>
      </c>
      <c r="AH161">
        <f>'mk 001 10.3'!AH162</f>
        <v>0</v>
      </c>
      <c r="AI161" t="str">
        <f>'mk 001 10.3'!AI162</f>
        <v>OPRCD489MOPRCD00000OPRCDF213OPRCD00000OPRCD923</v>
      </c>
      <c r="AJ161" t="str">
        <f>'mk 001 10.3'!AJ162</f>
        <v>ซื้อ / ขาย</v>
      </c>
      <c r="AK161" t="str">
        <f>'mk 001 10.3'!AK162</f>
        <v>Main proudct</v>
      </c>
      <c r="AL161" t="str">
        <f>'mk 001 10.3'!AL162</f>
        <v>Bulk Normal</v>
      </c>
      <c r="AM161" t="str">
        <f>'mk 001 10.3'!AM162</f>
        <v>สุกร</v>
      </c>
      <c r="AN161" t="str">
        <f>'mk 001 10.3'!AN162</f>
        <v>OT002 CC-Makro</v>
      </c>
      <c r="AO161" t="str">
        <f>'mk 001 10.3'!AO162</f>
        <v>MT</v>
      </c>
      <c r="AP161">
        <f>'mk 001 10.3'!AP162</f>
        <v>2</v>
      </c>
      <c r="AQ161">
        <f>'mk 001 10.3'!AQ162</f>
        <v>0</v>
      </c>
      <c r="AR161">
        <f>'mk 001 10.3'!AR162</f>
        <v>0</v>
      </c>
      <c r="AS161">
        <f>'mk 001 10.3'!AS162</f>
        <v>0</v>
      </c>
      <c r="AT161" t="str">
        <f>'mk 001 10.3'!AT162</f>
        <v>System Batch</v>
      </c>
      <c r="AU161" t="str">
        <f>'mk 001 10.3'!AU162</f>
        <v>2026-05-11-13.33.46.000000</v>
      </c>
      <c r="AV161" t="str">
        <f>'mk 001 10.3'!AV162</f>
        <v>ก.ก.</v>
      </c>
      <c r="AW161" t="str">
        <f>'mk 001 10.3'!AW162</f>
        <v>ก.ก.</v>
      </c>
      <c r="AX161" t="str">
        <f>'mk 001 10.3'!AX162</f>
        <v xml:space="preserve"> </v>
      </c>
      <c r="AY161">
        <f>'mk 001 10.3'!AY162</f>
        <v>0</v>
      </c>
      <c r="AZ161" t="str">
        <f>'mk 001 10.3'!AZ162</f>
        <v>N</v>
      </c>
      <c r="BA161" s="22">
        <f>'mk 001 10.3'!BA162</f>
        <v>9044989536422</v>
      </c>
      <c r="BB161">
        <f>'mk 001 10.3'!BB162</f>
        <v>0</v>
      </c>
      <c r="BC161">
        <f>'mk 001 10.3'!BC162</f>
        <v>0</v>
      </c>
      <c r="BD161">
        <f>'mk 001 10.3'!BD162</f>
        <v>1</v>
      </c>
      <c r="BE161">
        <f>'mk 001 10.3'!BE162</f>
        <v>0</v>
      </c>
      <c r="BF161" t="str">
        <f>'mk 001 10.3'!BF162</f>
        <v>;0000</v>
      </c>
      <c r="BG161">
        <f>'mk 001 10.3'!BG162</f>
        <v>1333314600</v>
      </c>
      <c r="BH161" t="str">
        <f>'mk 001 10.3'!BH162</f>
        <v>G</v>
      </c>
      <c r="BI161">
        <f>'mk 001 10.3'!BI162</f>
        <v>50</v>
      </c>
      <c r="BJ161">
        <f>'mk 001 10.3'!BJ162</f>
        <v>50</v>
      </c>
      <c r="BK161">
        <f>'mk 001 10.3'!BK162</f>
        <v>1300</v>
      </c>
      <c r="BL161" t="str">
        <f>'mk 001 10.3'!BL162</f>
        <v>SYSBATCH</v>
      </c>
      <c r="BM161">
        <f>'mk 001 10.3'!BM162</f>
        <v>0</v>
      </c>
      <c r="BN161">
        <f>'mk 001 10.3'!BN162</f>
        <v>0</v>
      </c>
    </row>
    <row r="162" spans="1:66" x14ac:dyDescent="0.35">
      <c r="A162">
        <f>'mk 001 10.3'!A163</f>
        <v>0</v>
      </c>
      <c r="B162">
        <f>'mk 001 10.3'!B163</f>
        <v>0</v>
      </c>
      <c r="C162" s="1" t="str">
        <f>'mk 001 10.3'!C163</f>
        <v>14/5/2569</v>
      </c>
      <c r="D162" s="1" t="str">
        <f>'mk 001 10.3'!D163</f>
        <v>14/5/2569</v>
      </c>
      <c r="E162">
        <f>'mk 001 10.3'!E163</f>
        <v>0</v>
      </c>
      <c r="F162" t="str">
        <f>'mk 001 10.3'!F163</f>
        <v>489M</v>
      </c>
      <c r="G162" t="str">
        <f>'mk 001 10.3'!G163</f>
        <v>Modern Trade (Makro)</v>
      </c>
      <c r="H162">
        <f>'mk 001 10.3'!H163</f>
        <v>0</v>
      </c>
      <c r="I162" t="str">
        <f>'mk 001 10.3'!I163</f>
        <v>หน่วยงานกลาง</v>
      </c>
      <c r="J162" t="str">
        <f>'mk 001 10.3'!J163</f>
        <v>F213  DMCW-รชล-พระพุทธบาท</v>
      </c>
      <c r="K162" t="str">
        <f>'mk 001 10.3'!K163</f>
        <v>00000  หน่วยงานกลาง</v>
      </c>
      <c r="L162">
        <f>'mk 001 10.3'!L163</f>
        <v>923</v>
      </c>
      <c r="M162">
        <f>'mk 001 10.3'!M163</f>
        <v>0</v>
      </c>
      <c r="N162" t="str">
        <f>'mk 001 10.3'!N163</f>
        <v>1A53005200</v>
      </c>
      <c r="O162" t="str">
        <f>'mk 001 10.3'!O163</f>
        <v>บมจ. ซีพี แอ็กซ์ตร้า สาขาอยุธยา</v>
      </c>
      <c r="P162">
        <f>'mk 001 10.3'!P163</f>
        <v>2</v>
      </c>
      <c r="Q162" t="str">
        <f>'mk 001 10.3'!Q163</f>
        <v>MAKRO 0051 อยุธยา</v>
      </c>
      <c r="R162" s="1">
        <f>'mk 001 10.3'!R163</f>
        <v>244658</v>
      </c>
      <c r="S162" s="1" t="str">
        <f>'mk 001 10.3'!S163</f>
        <v>14/5/2569</v>
      </c>
      <c r="T162" t="str">
        <f>'mk 001 10.3'!T163</f>
        <v>H6954RMA0059205</v>
      </c>
      <c r="U162">
        <f>'mk 001 10.3'!U163</f>
        <v>23105753</v>
      </c>
      <c r="V162" t="str">
        <f>'mk 001 10.3'!V163</f>
        <v>เซพแพ็ค สะโพกหมู กก.ละ</v>
      </c>
      <c r="W162">
        <f>'mk 001 10.3'!W163</f>
        <v>60</v>
      </c>
      <c r="X162">
        <f>'mk 001 10.3'!X163</f>
        <v>60</v>
      </c>
      <c r="Y162">
        <f t="shared" si="2"/>
        <v>60</v>
      </c>
      <c r="Z162" s="13">
        <f>IF(COUNTIFS(แปลงข้อมูล!H:H,Q162,แปลงข้อมูล!I:I,U162,แปลงข้อมูล!J:J,V162)&gt;0,SUMIFS(แปลงข้อมูล!Q:Q,แปลงข้อมูล!I:I,U162,แปลงข้อมูล!H:H,Q162,แปลงข้อมูล!J:J,V162),'mk 001 10.3'!Z163)</f>
        <v>60</v>
      </c>
      <c r="AA162">
        <f>'mk 001 10.3'!AA163</f>
        <v>0</v>
      </c>
      <c r="AB162">
        <f>'mk 001 10.3'!AB163</f>
        <v>0</v>
      </c>
      <c r="AC162">
        <f>'mk 001 10.3'!AC163</f>
        <v>0</v>
      </c>
      <c r="AD162">
        <f>'mk 001 10.3'!AD163</f>
        <v>0</v>
      </c>
      <c r="AE162">
        <f>'mk 001 10.3'!AE163</f>
        <v>60</v>
      </c>
      <c r="AF162">
        <f>'mk 001 10.3'!AF163</f>
        <v>60</v>
      </c>
      <c r="AG162">
        <f>'mk 001 10.3'!AG163</f>
        <v>0</v>
      </c>
      <c r="AH162">
        <f>'mk 001 10.3'!AH163</f>
        <v>0</v>
      </c>
      <c r="AI162" t="str">
        <f>'mk 001 10.3'!AI163</f>
        <v>OPRCD489MOPRCD00000OPRCDF213OPRCD00000OPRCD923</v>
      </c>
      <c r="AJ162" t="str">
        <f>'mk 001 10.3'!AJ163</f>
        <v>ซื้อ / ขาย</v>
      </c>
      <c r="AK162" t="str">
        <f>'mk 001 10.3'!AK163</f>
        <v>Main proudct</v>
      </c>
      <c r="AL162" t="str">
        <f>'mk 001 10.3'!AL163</f>
        <v>Bulk Normal</v>
      </c>
      <c r="AM162" t="str">
        <f>'mk 001 10.3'!AM163</f>
        <v>สุกร</v>
      </c>
      <c r="AN162" t="str">
        <f>'mk 001 10.3'!AN163</f>
        <v>OT002 CC-Makro</v>
      </c>
      <c r="AO162" t="str">
        <f>'mk 001 10.3'!AO163</f>
        <v>MT</v>
      </c>
      <c r="AP162">
        <f>'mk 001 10.3'!AP163</f>
        <v>2</v>
      </c>
      <c r="AQ162">
        <f>'mk 001 10.3'!AQ163</f>
        <v>0</v>
      </c>
      <c r="AR162">
        <f>'mk 001 10.3'!AR163</f>
        <v>0</v>
      </c>
      <c r="AS162">
        <f>'mk 001 10.3'!AS163</f>
        <v>0</v>
      </c>
      <c r="AT162" t="str">
        <f>'mk 001 10.3'!AT163</f>
        <v>System Batch</v>
      </c>
      <c r="AU162" t="str">
        <f>'mk 001 10.3'!AU163</f>
        <v>2026-05-11-13.33.46.000000</v>
      </c>
      <c r="AV162" t="str">
        <f>'mk 001 10.3'!AV163</f>
        <v>ก.ก.</v>
      </c>
      <c r="AW162" t="str">
        <f>'mk 001 10.3'!AW163</f>
        <v>ก.ก.</v>
      </c>
      <c r="AX162" t="str">
        <f>'mk 001 10.3'!AX163</f>
        <v xml:space="preserve"> </v>
      </c>
      <c r="AY162">
        <f>'mk 001 10.3'!AY163</f>
        <v>0</v>
      </c>
      <c r="AZ162" t="str">
        <f>'mk 001 10.3'!AZ163</f>
        <v>N</v>
      </c>
      <c r="BA162" s="22">
        <f>'mk 001 10.3'!BA163</f>
        <v>9044989536422</v>
      </c>
      <c r="BB162">
        <f>'mk 001 10.3'!BB163</f>
        <v>0</v>
      </c>
      <c r="BC162">
        <f>'mk 001 10.3'!BC163</f>
        <v>0</v>
      </c>
      <c r="BD162">
        <f>'mk 001 10.3'!BD163</f>
        <v>1</v>
      </c>
      <c r="BE162">
        <f>'mk 001 10.3'!BE163</f>
        <v>0</v>
      </c>
      <c r="BF162" t="str">
        <f>'mk 001 10.3'!BF163</f>
        <v>;0000</v>
      </c>
      <c r="BG162">
        <f>'mk 001 10.3'!BG163</f>
        <v>1333314600</v>
      </c>
      <c r="BH162" t="str">
        <f>'mk 001 10.3'!BH163</f>
        <v>G</v>
      </c>
      <c r="BI162">
        <f>'mk 001 10.3'!BI163</f>
        <v>60</v>
      </c>
      <c r="BJ162">
        <f>'mk 001 10.3'!BJ163</f>
        <v>60</v>
      </c>
      <c r="BK162">
        <f>'mk 001 10.3'!BK163</f>
        <v>1300</v>
      </c>
      <c r="BL162" t="str">
        <f>'mk 001 10.3'!BL163</f>
        <v>SYSBATCH</v>
      </c>
      <c r="BM162">
        <f>'mk 001 10.3'!BM163</f>
        <v>0</v>
      </c>
      <c r="BN162">
        <f>'mk 001 10.3'!BN163</f>
        <v>0</v>
      </c>
    </row>
    <row r="163" spans="1:66" x14ac:dyDescent="0.35">
      <c r="A163">
        <f>'mk 001 10.3'!A164</f>
        <v>0</v>
      </c>
      <c r="B163">
        <f>'mk 001 10.3'!B164</f>
        <v>0</v>
      </c>
      <c r="C163" s="1" t="str">
        <f>'mk 001 10.3'!C164</f>
        <v>14/5/2569</v>
      </c>
      <c r="D163" s="1" t="str">
        <f>'mk 001 10.3'!D164</f>
        <v>14/5/2569</v>
      </c>
      <c r="E163">
        <f>'mk 001 10.3'!E164</f>
        <v>0</v>
      </c>
      <c r="F163" t="str">
        <f>'mk 001 10.3'!F164</f>
        <v>489M</v>
      </c>
      <c r="G163" t="str">
        <f>'mk 001 10.3'!G164</f>
        <v>Modern Trade (Makro)</v>
      </c>
      <c r="H163">
        <f>'mk 001 10.3'!H164</f>
        <v>0</v>
      </c>
      <c r="I163" t="str">
        <f>'mk 001 10.3'!I164</f>
        <v>หน่วยงานกลาง</v>
      </c>
      <c r="J163" t="str">
        <f>'mk 001 10.3'!J164</f>
        <v>F213  DMCW-รชล-พระพุทธบาท</v>
      </c>
      <c r="K163" t="str">
        <f>'mk 001 10.3'!K164</f>
        <v>00000  หน่วยงานกลาง</v>
      </c>
      <c r="L163">
        <f>'mk 001 10.3'!L164</f>
        <v>923</v>
      </c>
      <c r="M163">
        <f>'mk 001 10.3'!M164</f>
        <v>0</v>
      </c>
      <c r="N163" t="str">
        <f>'mk 001 10.3'!N164</f>
        <v>1A53005200</v>
      </c>
      <c r="O163" t="str">
        <f>'mk 001 10.3'!O164</f>
        <v>บมจ. ซีพี แอ็กซ์ตร้า สาขาอยุธยา</v>
      </c>
      <c r="P163">
        <f>'mk 001 10.3'!P164</f>
        <v>2</v>
      </c>
      <c r="Q163" t="str">
        <f>'mk 001 10.3'!Q164</f>
        <v>MAKRO 0051 อยุธยา</v>
      </c>
      <c r="R163" s="1">
        <f>'mk 001 10.3'!R164</f>
        <v>244658</v>
      </c>
      <c r="S163" s="1" t="str">
        <f>'mk 001 10.3'!S164</f>
        <v>14/5/2569</v>
      </c>
      <c r="T163" t="str">
        <f>'mk 001 10.3'!T164</f>
        <v>H6954RMA0059205</v>
      </c>
      <c r="U163">
        <f>'mk 001 10.3'!U164</f>
        <v>23109326</v>
      </c>
      <c r="V163" t="str">
        <f>'mk 001 10.3'!V164</f>
        <v>ขาหมูเผาเลาะติดหนัง กก.ละ</v>
      </c>
      <c r="W163">
        <f>'mk 001 10.3'!W164</f>
        <v>60</v>
      </c>
      <c r="X163">
        <f>'mk 001 10.3'!X164</f>
        <v>60</v>
      </c>
      <c r="Y163">
        <f t="shared" si="2"/>
        <v>60</v>
      </c>
      <c r="Z163" s="13">
        <f>IF(COUNTIFS(แปลงข้อมูล!H:H,Q163,แปลงข้อมูล!I:I,U163,แปลงข้อมูล!J:J,V163)&gt;0,SUMIFS(แปลงข้อมูล!Q:Q,แปลงข้อมูล!I:I,U163,แปลงข้อมูล!H:H,Q163,แปลงข้อมูล!J:J,V163),'mk 001 10.3'!Z164)</f>
        <v>60</v>
      </c>
      <c r="AA163">
        <f>'mk 001 10.3'!AA164</f>
        <v>0</v>
      </c>
      <c r="AB163">
        <f>'mk 001 10.3'!AB164</f>
        <v>0</v>
      </c>
      <c r="AC163">
        <f>'mk 001 10.3'!AC164</f>
        <v>0</v>
      </c>
      <c r="AD163">
        <f>'mk 001 10.3'!AD164</f>
        <v>0</v>
      </c>
      <c r="AE163">
        <f>'mk 001 10.3'!AE164</f>
        <v>60</v>
      </c>
      <c r="AF163">
        <f>'mk 001 10.3'!AF164</f>
        <v>60</v>
      </c>
      <c r="AG163">
        <f>'mk 001 10.3'!AG164</f>
        <v>0</v>
      </c>
      <c r="AH163">
        <f>'mk 001 10.3'!AH164</f>
        <v>0</v>
      </c>
      <c r="AI163" t="str">
        <f>'mk 001 10.3'!AI164</f>
        <v>OPRCD489MOPRCD00000OPRCDF213OPRCD00000OPRCD923</v>
      </c>
      <c r="AJ163" t="str">
        <f>'mk 001 10.3'!AJ164</f>
        <v>ซื้อ / ขาย</v>
      </c>
      <c r="AK163" t="str">
        <f>'mk 001 10.3'!AK164</f>
        <v>By proudct</v>
      </c>
      <c r="AL163" t="str">
        <f>'mk 001 10.3'!AL164</f>
        <v>Bulk Normal</v>
      </c>
      <c r="AM163" t="str">
        <f>'mk 001 10.3'!AM164</f>
        <v>สุกร</v>
      </c>
      <c r="AN163" t="str">
        <f>'mk 001 10.3'!AN164</f>
        <v>OT002 CC-Makro</v>
      </c>
      <c r="AO163" t="str">
        <f>'mk 001 10.3'!AO164</f>
        <v>MT</v>
      </c>
      <c r="AP163">
        <f>'mk 001 10.3'!AP164</f>
        <v>2</v>
      </c>
      <c r="AQ163">
        <f>'mk 001 10.3'!AQ164</f>
        <v>0</v>
      </c>
      <c r="AR163">
        <f>'mk 001 10.3'!AR164</f>
        <v>0</v>
      </c>
      <c r="AS163">
        <f>'mk 001 10.3'!AS164</f>
        <v>0</v>
      </c>
      <c r="AT163" t="str">
        <f>'mk 001 10.3'!AT164</f>
        <v>System Batch</v>
      </c>
      <c r="AU163" t="str">
        <f>'mk 001 10.3'!AU164</f>
        <v>2026-05-11-13.33.46.000000</v>
      </c>
      <c r="AV163" t="str">
        <f>'mk 001 10.3'!AV164</f>
        <v>ก.ก.</v>
      </c>
      <c r="AW163" t="str">
        <f>'mk 001 10.3'!AW164</f>
        <v>ก.ก.</v>
      </c>
      <c r="AX163" t="str">
        <f>'mk 001 10.3'!AX164</f>
        <v xml:space="preserve"> </v>
      </c>
      <c r="AY163">
        <f>'mk 001 10.3'!AY164</f>
        <v>0</v>
      </c>
      <c r="AZ163" t="str">
        <f>'mk 001 10.3'!AZ164</f>
        <v>N</v>
      </c>
      <c r="BA163" s="22">
        <f>'mk 001 10.3'!BA164</f>
        <v>9044989536422</v>
      </c>
      <c r="BB163">
        <f>'mk 001 10.3'!BB164</f>
        <v>0</v>
      </c>
      <c r="BC163">
        <f>'mk 001 10.3'!BC164</f>
        <v>0</v>
      </c>
      <c r="BD163">
        <f>'mk 001 10.3'!BD164</f>
        <v>1</v>
      </c>
      <c r="BE163">
        <f>'mk 001 10.3'!BE164</f>
        <v>0</v>
      </c>
      <c r="BF163" t="str">
        <f>'mk 001 10.3'!BF164</f>
        <v>;0000</v>
      </c>
      <c r="BG163">
        <f>'mk 001 10.3'!BG164</f>
        <v>1333314600</v>
      </c>
      <c r="BH163" t="str">
        <f>'mk 001 10.3'!BH164</f>
        <v>G</v>
      </c>
      <c r="BI163">
        <f>'mk 001 10.3'!BI164</f>
        <v>60</v>
      </c>
      <c r="BJ163">
        <f>'mk 001 10.3'!BJ164</f>
        <v>60</v>
      </c>
      <c r="BK163">
        <f>'mk 001 10.3'!BK164</f>
        <v>1300</v>
      </c>
      <c r="BL163" t="str">
        <f>'mk 001 10.3'!BL164</f>
        <v>SYSBATCH</v>
      </c>
      <c r="BM163">
        <f>'mk 001 10.3'!BM164</f>
        <v>0</v>
      </c>
      <c r="BN163">
        <f>'mk 001 10.3'!BN164</f>
        <v>0</v>
      </c>
    </row>
    <row r="164" spans="1:66" x14ac:dyDescent="0.35">
      <c r="A164">
        <f>'mk 001 10.3'!A165</f>
        <v>0</v>
      </c>
      <c r="B164">
        <f>'mk 001 10.3'!B165</f>
        <v>0</v>
      </c>
      <c r="C164" s="1" t="str">
        <f>'mk 001 10.3'!C165</f>
        <v>14/5/2569</v>
      </c>
      <c r="D164" s="1" t="str">
        <f>'mk 001 10.3'!D165</f>
        <v>14/5/2569</v>
      </c>
      <c r="E164">
        <f>'mk 001 10.3'!E165</f>
        <v>0</v>
      </c>
      <c r="F164" t="str">
        <f>'mk 001 10.3'!F165</f>
        <v>489M</v>
      </c>
      <c r="G164" t="str">
        <f>'mk 001 10.3'!G165</f>
        <v>Modern Trade (Makro)</v>
      </c>
      <c r="H164">
        <f>'mk 001 10.3'!H165</f>
        <v>0</v>
      </c>
      <c r="I164" t="str">
        <f>'mk 001 10.3'!I165</f>
        <v>หน่วยงานกลาง</v>
      </c>
      <c r="J164" t="str">
        <f>'mk 001 10.3'!J165</f>
        <v>F213  DMCW-รชล-พระพุทธบาท</v>
      </c>
      <c r="K164" t="str">
        <f>'mk 001 10.3'!K165</f>
        <v>00000  หน่วยงานกลาง</v>
      </c>
      <c r="L164">
        <f>'mk 001 10.3'!L165</f>
        <v>923</v>
      </c>
      <c r="M164">
        <f>'mk 001 10.3'!M165</f>
        <v>0</v>
      </c>
      <c r="N164" t="str">
        <f>'mk 001 10.3'!N165</f>
        <v>1A53005200</v>
      </c>
      <c r="O164" t="str">
        <f>'mk 001 10.3'!O165</f>
        <v>บมจ. ซีพี แอ็กซ์ตร้า สาขาอยุธยา</v>
      </c>
      <c r="P164">
        <f>'mk 001 10.3'!P165</f>
        <v>2</v>
      </c>
      <c r="Q164" t="str">
        <f>'mk 001 10.3'!Q165</f>
        <v>MAKRO 0051 อยุธยา</v>
      </c>
      <c r="R164" s="1">
        <f>'mk 001 10.3'!R165</f>
        <v>244658</v>
      </c>
      <c r="S164" s="1" t="str">
        <f>'mk 001 10.3'!S165</f>
        <v>14/5/2569</v>
      </c>
      <c r="T164" t="str">
        <f>'mk 001 10.3'!T165</f>
        <v>H6954RMA0059205</v>
      </c>
      <c r="U164">
        <f>'mk 001 10.3'!U165</f>
        <v>23062107</v>
      </c>
      <c r="V164" t="str">
        <f>'mk 001 10.3'!V165</f>
        <v>เลือดก้อน(M)</v>
      </c>
      <c r="W164">
        <f>'mk 001 10.3'!W165</f>
        <v>100</v>
      </c>
      <c r="X164">
        <f>'mk 001 10.3'!X165</f>
        <v>100</v>
      </c>
      <c r="Y164">
        <f t="shared" si="2"/>
        <v>100</v>
      </c>
      <c r="Z164" s="13">
        <f>IF(COUNTIFS(แปลงข้อมูล!H:H,Q164,แปลงข้อมูล!I:I,U164,แปลงข้อมูล!J:J,V164)&gt;0,SUMIFS(แปลงข้อมูล!Q:Q,แปลงข้อมูล!I:I,U164,แปลงข้อมูล!H:H,Q164,แปลงข้อมูล!J:J,V164),'mk 001 10.3'!Z165)</f>
        <v>100</v>
      </c>
      <c r="AA164">
        <f>'mk 001 10.3'!AA165</f>
        <v>0</v>
      </c>
      <c r="AB164">
        <f>'mk 001 10.3'!AB165</f>
        <v>0</v>
      </c>
      <c r="AC164">
        <f>'mk 001 10.3'!AC165</f>
        <v>0</v>
      </c>
      <c r="AD164">
        <f>'mk 001 10.3'!AD165</f>
        <v>0</v>
      </c>
      <c r="AE164">
        <f>'mk 001 10.3'!AE165</f>
        <v>100</v>
      </c>
      <c r="AF164">
        <f>'mk 001 10.3'!AF165</f>
        <v>100</v>
      </c>
      <c r="AG164">
        <f>'mk 001 10.3'!AG165</f>
        <v>0</v>
      </c>
      <c r="AH164">
        <f>'mk 001 10.3'!AH165</f>
        <v>0</v>
      </c>
      <c r="AI164" t="str">
        <f>'mk 001 10.3'!AI165</f>
        <v>OPRCD489MOPRCD00000OPRCDF213OPRCD00000OPRCD923</v>
      </c>
      <c r="AJ164" t="str">
        <f>'mk 001 10.3'!AJ165</f>
        <v>ซื้อ / ขาย</v>
      </c>
      <c r="AK164" t="str">
        <f>'mk 001 10.3'!AK165</f>
        <v>By proudct</v>
      </c>
      <c r="AL164" t="str">
        <f>'mk 001 10.3'!AL165</f>
        <v>Bulk Normal</v>
      </c>
      <c r="AM164" t="str">
        <f>'mk 001 10.3'!AM165</f>
        <v>สุกร</v>
      </c>
      <c r="AN164" t="str">
        <f>'mk 001 10.3'!AN165</f>
        <v>OT002 CC-Makro</v>
      </c>
      <c r="AO164" t="str">
        <f>'mk 001 10.3'!AO165</f>
        <v>MT</v>
      </c>
      <c r="AP164">
        <f>'mk 001 10.3'!AP165</f>
        <v>2</v>
      </c>
      <c r="AQ164">
        <f>'mk 001 10.3'!AQ165</f>
        <v>0</v>
      </c>
      <c r="AR164">
        <f>'mk 001 10.3'!AR165</f>
        <v>0</v>
      </c>
      <c r="AS164">
        <f>'mk 001 10.3'!AS165</f>
        <v>0</v>
      </c>
      <c r="AT164" t="str">
        <f>'mk 001 10.3'!AT165</f>
        <v>System Batch</v>
      </c>
      <c r="AU164" t="str">
        <f>'mk 001 10.3'!AU165</f>
        <v>2026-05-11-13.33.46.000000</v>
      </c>
      <c r="AV164" t="str">
        <f>'mk 001 10.3'!AV165</f>
        <v>ก.ก.</v>
      </c>
      <c r="AW164" t="str">
        <f>'mk 001 10.3'!AW165</f>
        <v>ก.ก.</v>
      </c>
      <c r="AX164" t="str">
        <f>'mk 001 10.3'!AX165</f>
        <v xml:space="preserve"> </v>
      </c>
      <c r="AY164">
        <f>'mk 001 10.3'!AY165</f>
        <v>0</v>
      </c>
      <c r="AZ164" t="str">
        <f>'mk 001 10.3'!AZ165</f>
        <v>N</v>
      </c>
      <c r="BA164" s="22">
        <f>'mk 001 10.3'!BA165</f>
        <v>9044989536422</v>
      </c>
      <c r="BB164">
        <f>'mk 001 10.3'!BB165</f>
        <v>0</v>
      </c>
      <c r="BC164">
        <f>'mk 001 10.3'!BC165</f>
        <v>0</v>
      </c>
      <c r="BD164">
        <f>'mk 001 10.3'!BD165</f>
        <v>1</v>
      </c>
      <c r="BE164">
        <f>'mk 001 10.3'!BE165</f>
        <v>0</v>
      </c>
      <c r="BF164" t="str">
        <f>'mk 001 10.3'!BF165</f>
        <v>;0000</v>
      </c>
      <c r="BG164">
        <f>'mk 001 10.3'!BG165</f>
        <v>1333314600</v>
      </c>
      <c r="BH164" t="str">
        <f>'mk 001 10.3'!BH165</f>
        <v>G</v>
      </c>
      <c r="BI164">
        <f>'mk 001 10.3'!BI165</f>
        <v>100</v>
      </c>
      <c r="BJ164">
        <f>'mk 001 10.3'!BJ165</f>
        <v>100</v>
      </c>
      <c r="BK164">
        <f>'mk 001 10.3'!BK165</f>
        <v>1300</v>
      </c>
      <c r="BL164" t="str">
        <f>'mk 001 10.3'!BL165</f>
        <v>SYSBATCH</v>
      </c>
      <c r="BM164">
        <f>'mk 001 10.3'!BM165</f>
        <v>0</v>
      </c>
      <c r="BN164">
        <f>'mk 001 10.3'!BN165</f>
        <v>0</v>
      </c>
    </row>
    <row r="165" spans="1:66" x14ac:dyDescent="0.35">
      <c r="A165">
        <f>'mk 001 10.3'!A166</f>
        <v>0</v>
      </c>
      <c r="B165">
        <f>'mk 001 10.3'!B166</f>
        <v>0</v>
      </c>
      <c r="C165" s="1" t="str">
        <f>'mk 001 10.3'!C166</f>
        <v>14/5/2569</v>
      </c>
      <c r="D165" s="1" t="str">
        <f>'mk 001 10.3'!D166</f>
        <v>14/5/2569</v>
      </c>
      <c r="E165">
        <f>'mk 001 10.3'!E166</f>
        <v>0</v>
      </c>
      <c r="F165" t="str">
        <f>'mk 001 10.3'!F166</f>
        <v>489M</v>
      </c>
      <c r="G165" t="str">
        <f>'mk 001 10.3'!G166</f>
        <v>Modern Trade (Makro)</v>
      </c>
      <c r="H165">
        <f>'mk 001 10.3'!H166</f>
        <v>0</v>
      </c>
      <c r="I165" t="str">
        <f>'mk 001 10.3'!I166</f>
        <v>หน่วยงานกลาง</v>
      </c>
      <c r="J165" t="str">
        <f>'mk 001 10.3'!J166</f>
        <v>F213  DMCW-รชล-พระพุทธบาท</v>
      </c>
      <c r="K165" t="str">
        <f>'mk 001 10.3'!K166</f>
        <v>00000  หน่วยงานกลาง</v>
      </c>
      <c r="L165">
        <f>'mk 001 10.3'!L166</f>
        <v>923</v>
      </c>
      <c r="M165">
        <f>'mk 001 10.3'!M166</f>
        <v>0</v>
      </c>
      <c r="N165" t="str">
        <f>'mk 001 10.3'!N166</f>
        <v>1A53005200</v>
      </c>
      <c r="O165" t="str">
        <f>'mk 001 10.3'!O166</f>
        <v>บมจ. ซีพี แอ็กซ์ตร้า สาขาอยุธยา</v>
      </c>
      <c r="P165">
        <f>'mk 001 10.3'!P166</f>
        <v>2</v>
      </c>
      <c r="Q165" t="str">
        <f>'mk 001 10.3'!Q166</f>
        <v>MAKRO 0051 อยุธยา</v>
      </c>
      <c r="R165" s="1">
        <f>'mk 001 10.3'!R166</f>
        <v>244658</v>
      </c>
      <c r="S165" s="1" t="str">
        <f>'mk 001 10.3'!S166</f>
        <v>14/5/2569</v>
      </c>
      <c r="T165" t="str">
        <f>'mk 001 10.3'!T166</f>
        <v>H6954RMA0059205</v>
      </c>
      <c r="U165">
        <f>'mk 001 10.3'!U166</f>
        <v>23000206</v>
      </c>
      <c r="V165" t="str">
        <f>'mk 001 10.3'!V166</f>
        <v>ชิ้นมันคอ</v>
      </c>
      <c r="W165">
        <f>'mk 001 10.3'!W166</f>
        <v>10</v>
      </c>
      <c r="X165">
        <f>'mk 001 10.3'!X166</f>
        <v>10</v>
      </c>
      <c r="Y165">
        <f t="shared" si="2"/>
        <v>10</v>
      </c>
      <c r="Z165" s="13">
        <f>IF(COUNTIFS(แปลงข้อมูล!H:H,Q165,แปลงข้อมูล!I:I,U165,แปลงข้อมูล!J:J,V165)&gt;0,SUMIFS(แปลงข้อมูล!Q:Q,แปลงข้อมูล!I:I,U165,แปลงข้อมูล!H:H,Q165,แปลงข้อมูล!J:J,V165),'mk 001 10.3'!Z166)</f>
        <v>10</v>
      </c>
      <c r="AA165">
        <f>'mk 001 10.3'!AA166</f>
        <v>0</v>
      </c>
      <c r="AB165">
        <f>'mk 001 10.3'!AB166</f>
        <v>0</v>
      </c>
      <c r="AC165">
        <f>'mk 001 10.3'!AC166</f>
        <v>0</v>
      </c>
      <c r="AD165">
        <f>'mk 001 10.3'!AD166</f>
        <v>0</v>
      </c>
      <c r="AE165">
        <f>'mk 001 10.3'!AE166</f>
        <v>10</v>
      </c>
      <c r="AF165">
        <f>'mk 001 10.3'!AF166</f>
        <v>10</v>
      </c>
      <c r="AG165">
        <f>'mk 001 10.3'!AG166</f>
        <v>0</v>
      </c>
      <c r="AH165">
        <f>'mk 001 10.3'!AH166</f>
        <v>0</v>
      </c>
      <c r="AI165" t="str">
        <f>'mk 001 10.3'!AI166</f>
        <v>OPRCD489MOPRCD00000OPRCDF213OPRCD00000OPRCD923</v>
      </c>
      <c r="AJ165" t="str">
        <f>'mk 001 10.3'!AJ166</f>
        <v>ซื้อ / ขาย</v>
      </c>
      <c r="AK165" t="str">
        <f>'mk 001 10.3'!AK166</f>
        <v>By proudct</v>
      </c>
      <c r="AL165" t="str">
        <f>'mk 001 10.3'!AL166</f>
        <v>Bulk Normal</v>
      </c>
      <c r="AM165" t="str">
        <f>'mk 001 10.3'!AM166</f>
        <v>สุกร</v>
      </c>
      <c r="AN165" t="str">
        <f>'mk 001 10.3'!AN166</f>
        <v>OT002 CC-Makro</v>
      </c>
      <c r="AO165" t="str">
        <f>'mk 001 10.3'!AO166</f>
        <v>MT</v>
      </c>
      <c r="AP165">
        <f>'mk 001 10.3'!AP166</f>
        <v>2</v>
      </c>
      <c r="AQ165">
        <f>'mk 001 10.3'!AQ166</f>
        <v>0</v>
      </c>
      <c r="AR165">
        <f>'mk 001 10.3'!AR166</f>
        <v>0</v>
      </c>
      <c r="AS165">
        <f>'mk 001 10.3'!AS166</f>
        <v>0</v>
      </c>
      <c r="AT165" t="str">
        <f>'mk 001 10.3'!AT166</f>
        <v>System Batch</v>
      </c>
      <c r="AU165" t="str">
        <f>'mk 001 10.3'!AU166</f>
        <v>2026-05-11-13.33.46.000000</v>
      </c>
      <c r="AV165" t="str">
        <f>'mk 001 10.3'!AV166</f>
        <v>ก.ก.</v>
      </c>
      <c r="AW165" t="str">
        <f>'mk 001 10.3'!AW166</f>
        <v>ก.ก.</v>
      </c>
      <c r="AX165" t="str">
        <f>'mk 001 10.3'!AX166</f>
        <v xml:space="preserve"> </v>
      </c>
      <c r="AY165">
        <f>'mk 001 10.3'!AY166</f>
        <v>0</v>
      </c>
      <c r="AZ165" t="str">
        <f>'mk 001 10.3'!AZ166</f>
        <v>N</v>
      </c>
      <c r="BA165" s="22">
        <f>'mk 001 10.3'!BA166</f>
        <v>9044989536422</v>
      </c>
      <c r="BB165">
        <f>'mk 001 10.3'!BB166</f>
        <v>0</v>
      </c>
      <c r="BC165">
        <f>'mk 001 10.3'!BC166</f>
        <v>0</v>
      </c>
      <c r="BD165">
        <f>'mk 001 10.3'!BD166</f>
        <v>1</v>
      </c>
      <c r="BE165">
        <f>'mk 001 10.3'!BE166</f>
        <v>0</v>
      </c>
      <c r="BF165" t="str">
        <f>'mk 001 10.3'!BF166</f>
        <v>;0000</v>
      </c>
      <c r="BG165">
        <f>'mk 001 10.3'!BG166</f>
        <v>1333314600</v>
      </c>
      <c r="BH165" t="str">
        <f>'mk 001 10.3'!BH166</f>
        <v>G</v>
      </c>
      <c r="BI165">
        <f>'mk 001 10.3'!BI166</f>
        <v>10</v>
      </c>
      <c r="BJ165">
        <f>'mk 001 10.3'!BJ166</f>
        <v>10</v>
      </c>
      <c r="BK165">
        <f>'mk 001 10.3'!BK166</f>
        <v>1300</v>
      </c>
      <c r="BL165" t="str">
        <f>'mk 001 10.3'!BL166</f>
        <v>SYSBATCH</v>
      </c>
      <c r="BM165">
        <f>'mk 001 10.3'!BM166</f>
        <v>0</v>
      </c>
      <c r="BN165">
        <f>'mk 001 10.3'!BN166</f>
        <v>0</v>
      </c>
    </row>
    <row r="166" spans="1:66" x14ac:dyDescent="0.35">
      <c r="A166">
        <f>'mk 001 10.3'!A167</f>
        <v>0</v>
      </c>
      <c r="B166">
        <f>'mk 001 10.3'!B167</f>
        <v>0</v>
      </c>
      <c r="C166" s="1" t="str">
        <f>'mk 001 10.3'!C167</f>
        <v>14/5/2569</v>
      </c>
      <c r="D166" s="1" t="str">
        <f>'mk 001 10.3'!D167</f>
        <v>14/5/2569</v>
      </c>
      <c r="E166">
        <f>'mk 001 10.3'!E167</f>
        <v>0</v>
      </c>
      <c r="F166" t="str">
        <f>'mk 001 10.3'!F167</f>
        <v>489M</v>
      </c>
      <c r="G166" t="str">
        <f>'mk 001 10.3'!G167</f>
        <v>Modern Trade (Makro)</v>
      </c>
      <c r="H166">
        <f>'mk 001 10.3'!H167</f>
        <v>0</v>
      </c>
      <c r="I166" t="str">
        <f>'mk 001 10.3'!I167</f>
        <v>หน่วยงานกลาง</v>
      </c>
      <c r="J166" t="str">
        <f>'mk 001 10.3'!J167</f>
        <v>F213  DMCW-รชล-พระพุทธบาท</v>
      </c>
      <c r="K166" t="str">
        <f>'mk 001 10.3'!K167</f>
        <v>00000  หน่วยงานกลาง</v>
      </c>
      <c r="L166">
        <f>'mk 001 10.3'!L167</f>
        <v>923</v>
      </c>
      <c r="M166">
        <f>'mk 001 10.3'!M167</f>
        <v>0</v>
      </c>
      <c r="N166" t="str">
        <f>'mk 001 10.3'!N167</f>
        <v>1A53005200</v>
      </c>
      <c r="O166" t="str">
        <f>'mk 001 10.3'!O167</f>
        <v>บมจ. ซีพี แอ็กซ์ตร้า สาขาอยุธยา</v>
      </c>
      <c r="P166">
        <f>'mk 001 10.3'!P167</f>
        <v>2</v>
      </c>
      <c r="Q166" t="str">
        <f>'mk 001 10.3'!Q167</f>
        <v>MAKRO 0051 อยุธยา</v>
      </c>
      <c r="R166" s="1">
        <f>'mk 001 10.3'!R167</f>
        <v>244658</v>
      </c>
      <c r="S166" s="1" t="str">
        <f>'mk 001 10.3'!S167</f>
        <v>14/5/2569</v>
      </c>
      <c r="T166" t="str">
        <f>'mk 001 10.3'!T167</f>
        <v>H6954RMA0059205</v>
      </c>
      <c r="U166">
        <f>'mk 001 10.3'!U167</f>
        <v>23057818</v>
      </c>
      <c r="V166" t="str">
        <f>'mk 001 10.3'!V167</f>
        <v>สันใน(M)</v>
      </c>
      <c r="W166">
        <f>'mk 001 10.3'!W167</f>
        <v>60</v>
      </c>
      <c r="X166">
        <f>'mk 001 10.3'!X167</f>
        <v>60</v>
      </c>
      <c r="Y166">
        <f t="shared" si="2"/>
        <v>60</v>
      </c>
      <c r="Z166" s="13">
        <f>IF(COUNTIFS(แปลงข้อมูล!H:H,Q166,แปลงข้อมูล!I:I,U166,แปลงข้อมูล!J:J,V166)&gt;0,SUMIFS(แปลงข้อมูล!Q:Q,แปลงข้อมูล!I:I,U166,แปลงข้อมูล!H:H,Q166,แปลงข้อมูล!J:J,V166),'mk 001 10.3'!Z167)</f>
        <v>60</v>
      </c>
      <c r="AA166">
        <f>'mk 001 10.3'!AA167</f>
        <v>0</v>
      </c>
      <c r="AB166">
        <f>'mk 001 10.3'!AB167</f>
        <v>0</v>
      </c>
      <c r="AC166">
        <f>'mk 001 10.3'!AC167</f>
        <v>0</v>
      </c>
      <c r="AD166">
        <f>'mk 001 10.3'!AD167</f>
        <v>0</v>
      </c>
      <c r="AE166">
        <f>'mk 001 10.3'!AE167</f>
        <v>60</v>
      </c>
      <c r="AF166">
        <f>'mk 001 10.3'!AF167</f>
        <v>60</v>
      </c>
      <c r="AG166">
        <f>'mk 001 10.3'!AG167</f>
        <v>0</v>
      </c>
      <c r="AH166">
        <f>'mk 001 10.3'!AH167</f>
        <v>0</v>
      </c>
      <c r="AI166" t="str">
        <f>'mk 001 10.3'!AI167</f>
        <v>OPRCD489MOPRCD00000OPRCDF213OPRCD00000OPRCD923</v>
      </c>
      <c r="AJ166" t="str">
        <f>'mk 001 10.3'!AJ167</f>
        <v>ซื้อ / ขาย</v>
      </c>
      <c r="AK166" t="str">
        <f>'mk 001 10.3'!AK167</f>
        <v>Main proudct</v>
      </c>
      <c r="AL166" t="str">
        <f>'mk 001 10.3'!AL167</f>
        <v>Bulk Normal</v>
      </c>
      <c r="AM166" t="str">
        <f>'mk 001 10.3'!AM167</f>
        <v>สุกร</v>
      </c>
      <c r="AN166" t="str">
        <f>'mk 001 10.3'!AN167</f>
        <v>OT002 CC-Makro</v>
      </c>
      <c r="AO166" t="str">
        <f>'mk 001 10.3'!AO167</f>
        <v>MT</v>
      </c>
      <c r="AP166">
        <f>'mk 001 10.3'!AP167</f>
        <v>2</v>
      </c>
      <c r="AQ166">
        <f>'mk 001 10.3'!AQ167</f>
        <v>0</v>
      </c>
      <c r="AR166">
        <f>'mk 001 10.3'!AR167</f>
        <v>0</v>
      </c>
      <c r="AS166">
        <f>'mk 001 10.3'!AS167</f>
        <v>0</v>
      </c>
      <c r="AT166" t="str">
        <f>'mk 001 10.3'!AT167</f>
        <v>System Batch</v>
      </c>
      <c r="AU166" t="str">
        <f>'mk 001 10.3'!AU167</f>
        <v>2026-05-11-13.33.46.000000</v>
      </c>
      <c r="AV166" t="str">
        <f>'mk 001 10.3'!AV167</f>
        <v>ก.ก.</v>
      </c>
      <c r="AW166" t="str">
        <f>'mk 001 10.3'!AW167</f>
        <v>ก.ก.</v>
      </c>
      <c r="AX166" t="str">
        <f>'mk 001 10.3'!AX167</f>
        <v xml:space="preserve"> </v>
      </c>
      <c r="AY166">
        <f>'mk 001 10.3'!AY167</f>
        <v>0</v>
      </c>
      <c r="AZ166" t="str">
        <f>'mk 001 10.3'!AZ167</f>
        <v>N</v>
      </c>
      <c r="BA166" s="22">
        <f>'mk 001 10.3'!BA167</f>
        <v>9044989536422</v>
      </c>
      <c r="BB166">
        <f>'mk 001 10.3'!BB167</f>
        <v>0</v>
      </c>
      <c r="BC166">
        <f>'mk 001 10.3'!BC167</f>
        <v>0</v>
      </c>
      <c r="BD166">
        <f>'mk 001 10.3'!BD167</f>
        <v>1</v>
      </c>
      <c r="BE166">
        <f>'mk 001 10.3'!BE167</f>
        <v>0</v>
      </c>
      <c r="BF166" t="str">
        <f>'mk 001 10.3'!BF167</f>
        <v>;0000</v>
      </c>
      <c r="BG166">
        <f>'mk 001 10.3'!BG167</f>
        <v>1333314600</v>
      </c>
      <c r="BH166" t="str">
        <f>'mk 001 10.3'!BH167</f>
        <v>G</v>
      </c>
      <c r="BI166">
        <f>'mk 001 10.3'!BI167</f>
        <v>60</v>
      </c>
      <c r="BJ166">
        <f>'mk 001 10.3'!BJ167</f>
        <v>60</v>
      </c>
      <c r="BK166">
        <f>'mk 001 10.3'!BK167</f>
        <v>1300</v>
      </c>
      <c r="BL166" t="str">
        <f>'mk 001 10.3'!BL167</f>
        <v>SYSBATCH</v>
      </c>
      <c r="BM166">
        <f>'mk 001 10.3'!BM167</f>
        <v>0</v>
      </c>
      <c r="BN166">
        <f>'mk 001 10.3'!BN167</f>
        <v>0</v>
      </c>
    </row>
    <row r="167" spans="1:66" x14ac:dyDescent="0.35">
      <c r="A167">
        <f>'mk 001 10.3'!A168</f>
        <v>0</v>
      </c>
      <c r="B167">
        <f>'mk 001 10.3'!B168</f>
        <v>0</v>
      </c>
      <c r="C167" s="1" t="str">
        <f>'mk 001 10.3'!C168</f>
        <v>14/5/2569</v>
      </c>
      <c r="D167" s="1" t="str">
        <f>'mk 001 10.3'!D168</f>
        <v>14/5/2569</v>
      </c>
      <c r="E167">
        <f>'mk 001 10.3'!E168</f>
        <v>0</v>
      </c>
      <c r="F167" t="str">
        <f>'mk 001 10.3'!F168</f>
        <v>489M</v>
      </c>
      <c r="G167" t="str">
        <f>'mk 001 10.3'!G168</f>
        <v>Modern Trade (Makro)</v>
      </c>
      <c r="H167">
        <f>'mk 001 10.3'!H168</f>
        <v>0</v>
      </c>
      <c r="I167" t="str">
        <f>'mk 001 10.3'!I168</f>
        <v>หน่วยงานกลาง</v>
      </c>
      <c r="J167" t="str">
        <f>'mk 001 10.3'!J168</f>
        <v>F213  DMCW-รชล-พระพุทธบาท</v>
      </c>
      <c r="K167" t="str">
        <f>'mk 001 10.3'!K168</f>
        <v>00000  หน่วยงานกลาง</v>
      </c>
      <c r="L167">
        <f>'mk 001 10.3'!L168</f>
        <v>923</v>
      </c>
      <c r="M167">
        <f>'mk 001 10.3'!M168</f>
        <v>0</v>
      </c>
      <c r="N167" t="str">
        <f>'mk 001 10.3'!N168</f>
        <v>1A53005200</v>
      </c>
      <c r="O167" t="str">
        <f>'mk 001 10.3'!O168</f>
        <v>บมจ. ซีพี แอ็กซ์ตร้า สาขาอยุธยา</v>
      </c>
      <c r="P167">
        <f>'mk 001 10.3'!P168</f>
        <v>2</v>
      </c>
      <c r="Q167" t="str">
        <f>'mk 001 10.3'!Q168</f>
        <v>MAKRO 0051 อยุธยา</v>
      </c>
      <c r="R167" s="1">
        <f>'mk 001 10.3'!R168</f>
        <v>244658</v>
      </c>
      <c r="S167" s="1" t="str">
        <f>'mk 001 10.3'!S168</f>
        <v>14/5/2569</v>
      </c>
      <c r="T167" t="str">
        <f>'mk 001 10.3'!T168</f>
        <v>H6954RMA0059205</v>
      </c>
      <c r="U167">
        <f>'mk 001 10.3'!U168</f>
        <v>23058551</v>
      </c>
      <c r="V167" t="str">
        <f>'mk 001 10.3'!V168</f>
        <v>คอหมูย่าง (M)</v>
      </c>
      <c r="W167">
        <f>'mk 001 10.3'!W168</f>
        <v>100</v>
      </c>
      <c r="X167">
        <f>'mk 001 10.3'!X168</f>
        <v>100</v>
      </c>
      <c r="Y167">
        <f t="shared" si="2"/>
        <v>100</v>
      </c>
      <c r="Z167" s="13">
        <f>IF(COUNTIFS(แปลงข้อมูล!H:H,Q167,แปลงข้อมูล!I:I,U167,แปลงข้อมูล!J:J,V167)&gt;0,SUMIFS(แปลงข้อมูล!Q:Q,แปลงข้อมูล!I:I,U167,แปลงข้อมูล!H:H,Q167,แปลงข้อมูล!J:J,V167),'mk 001 10.3'!Z168)</f>
        <v>100</v>
      </c>
      <c r="AA167">
        <f>'mk 001 10.3'!AA168</f>
        <v>0</v>
      </c>
      <c r="AB167">
        <f>'mk 001 10.3'!AB168</f>
        <v>0</v>
      </c>
      <c r="AC167">
        <f>'mk 001 10.3'!AC168</f>
        <v>0</v>
      </c>
      <c r="AD167">
        <f>'mk 001 10.3'!AD168</f>
        <v>0</v>
      </c>
      <c r="AE167">
        <f>'mk 001 10.3'!AE168</f>
        <v>100</v>
      </c>
      <c r="AF167">
        <f>'mk 001 10.3'!AF168</f>
        <v>100</v>
      </c>
      <c r="AG167">
        <f>'mk 001 10.3'!AG168</f>
        <v>0</v>
      </c>
      <c r="AH167">
        <f>'mk 001 10.3'!AH168</f>
        <v>0</v>
      </c>
      <c r="AI167" t="str">
        <f>'mk 001 10.3'!AI168</f>
        <v>OPRCD489MOPRCD00000OPRCDF213OPRCD00000OPRCD923</v>
      </c>
      <c r="AJ167" t="str">
        <f>'mk 001 10.3'!AJ168</f>
        <v>ซื้อ / ขาย</v>
      </c>
      <c r="AK167" t="str">
        <f>'mk 001 10.3'!AK168</f>
        <v>Main proudct</v>
      </c>
      <c r="AL167" t="str">
        <f>'mk 001 10.3'!AL168</f>
        <v>Bulk Normal</v>
      </c>
      <c r="AM167" t="str">
        <f>'mk 001 10.3'!AM168</f>
        <v>สุกร</v>
      </c>
      <c r="AN167" t="str">
        <f>'mk 001 10.3'!AN168</f>
        <v>OT002 CC-Makro</v>
      </c>
      <c r="AO167" t="str">
        <f>'mk 001 10.3'!AO168</f>
        <v>MT</v>
      </c>
      <c r="AP167">
        <f>'mk 001 10.3'!AP168</f>
        <v>2</v>
      </c>
      <c r="AQ167">
        <f>'mk 001 10.3'!AQ168</f>
        <v>0</v>
      </c>
      <c r="AR167">
        <f>'mk 001 10.3'!AR168</f>
        <v>0</v>
      </c>
      <c r="AS167">
        <f>'mk 001 10.3'!AS168</f>
        <v>0</v>
      </c>
      <c r="AT167" t="str">
        <f>'mk 001 10.3'!AT168</f>
        <v>System Batch</v>
      </c>
      <c r="AU167" t="str">
        <f>'mk 001 10.3'!AU168</f>
        <v>2026-05-11-13.33.46.000000</v>
      </c>
      <c r="AV167" t="str">
        <f>'mk 001 10.3'!AV168</f>
        <v>ก.ก.</v>
      </c>
      <c r="AW167" t="str">
        <f>'mk 001 10.3'!AW168</f>
        <v>ก.ก.</v>
      </c>
      <c r="AX167" t="str">
        <f>'mk 001 10.3'!AX168</f>
        <v xml:space="preserve"> </v>
      </c>
      <c r="AY167">
        <f>'mk 001 10.3'!AY168</f>
        <v>0</v>
      </c>
      <c r="AZ167" t="str">
        <f>'mk 001 10.3'!AZ168</f>
        <v>N</v>
      </c>
      <c r="BA167" s="22">
        <f>'mk 001 10.3'!BA168</f>
        <v>9044989536422</v>
      </c>
      <c r="BB167">
        <f>'mk 001 10.3'!BB168</f>
        <v>0</v>
      </c>
      <c r="BC167">
        <f>'mk 001 10.3'!BC168</f>
        <v>0</v>
      </c>
      <c r="BD167">
        <f>'mk 001 10.3'!BD168</f>
        <v>1</v>
      </c>
      <c r="BE167">
        <f>'mk 001 10.3'!BE168</f>
        <v>0</v>
      </c>
      <c r="BF167" t="str">
        <f>'mk 001 10.3'!BF168</f>
        <v>;0000</v>
      </c>
      <c r="BG167">
        <f>'mk 001 10.3'!BG168</f>
        <v>1333314600</v>
      </c>
      <c r="BH167" t="str">
        <f>'mk 001 10.3'!BH168</f>
        <v>G</v>
      </c>
      <c r="BI167">
        <f>'mk 001 10.3'!BI168</f>
        <v>100</v>
      </c>
      <c r="BJ167">
        <f>'mk 001 10.3'!BJ168</f>
        <v>100</v>
      </c>
      <c r="BK167">
        <f>'mk 001 10.3'!BK168</f>
        <v>1300</v>
      </c>
      <c r="BL167" t="str">
        <f>'mk 001 10.3'!BL168</f>
        <v>SYSBATCH</v>
      </c>
      <c r="BM167">
        <f>'mk 001 10.3'!BM168</f>
        <v>0</v>
      </c>
      <c r="BN167">
        <f>'mk 001 10.3'!BN168</f>
        <v>0</v>
      </c>
    </row>
    <row r="168" spans="1:66" x14ac:dyDescent="0.35">
      <c r="A168">
        <f>'mk 001 10.3'!A169</f>
        <v>0</v>
      </c>
      <c r="B168">
        <f>'mk 001 10.3'!B169</f>
        <v>0</v>
      </c>
      <c r="C168" s="1" t="str">
        <f>'mk 001 10.3'!C169</f>
        <v>14/5/2569</v>
      </c>
      <c r="D168" s="1" t="str">
        <f>'mk 001 10.3'!D169</f>
        <v>14/5/2569</v>
      </c>
      <c r="E168">
        <f>'mk 001 10.3'!E169</f>
        <v>0</v>
      </c>
      <c r="F168" t="str">
        <f>'mk 001 10.3'!F169</f>
        <v>489M</v>
      </c>
      <c r="G168" t="str">
        <f>'mk 001 10.3'!G169</f>
        <v>Modern Trade (Makro)</v>
      </c>
      <c r="H168">
        <f>'mk 001 10.3'!H169</f>
        <v>0</v>
      </c>
      <c r="I168" t="str">
        <f>'mk 001 10.3'!I169</f>
        <v>หน่วยงานกลาง</v>
      </c>
      <c r="J168" t="str">
        <f>'mk 001 10.3'!J169</f>
        <v>F213  DMCW-รชล-พระพุทธบาท</v>
      </c>
      <c r="K168" t="str">
        <f>'mk 001 10.3'!K169</f>
        <v>00000  หน่วยงานกลาง</v>
      </c>
      <c r="L168">
        <f>'mk 001 10.3'!L169</f>
        <v>923</v>
      </c>
      <c r="M168">
        <f>'mk 001 10.3'!M169</f>
        <v>0</v>
      </c>
      <c r="N168" t="str">
        <f>'mk 001 10.3'!N169</f>
        <v>1A53005200</v>
      </c>
      <c r="O168" t="str">
        <f>'mk 001 10.3'!O169</f>
        <v>บมจ. ซีพี แอ็กซ์ตร้า สาขาอยุธยา</v>
      </c>
      <c r="P168">
        <f>'mk 001 10.3'!P169</f>
        <v>2</v>
      </c>
      <c r="Q168" t="str">
        <f>'mk 001 10.3'!Q169</f>
        <v>MAKRO 0051 อยุธยา</v>
      </c>
      <c r="R168" s="1">
        <f>'mk 001 10.3'!R169</f>
        <v>244658</v>
      </c>
      <c r="S168" s="1" t="str">
        <f>'mk 001 10.3'!S169</f>
        <v>14/5/2569</v>
      </c>
      <c r="T168" t="str">
        <f>'mk 001 10.3'!T169</f>
        <v>H6954RMA0059205</v>
      </c>
      <c r="U168">
        <f>'mk 001 10.3'!U169</f>
        <v>23087034</v>
      </c>
      <c r="V168" t="str">
        <f>'mk 001 10.3'!V169</f>
        <v>สะโพกหมูตัดเส้น(M)</v>
      </c>
      <c r="W168">
        <f>'mk 001 10.3'!W169</f>
        <v>150</v>
      </c>
      <c r="X168">
        <f>'mk 001 10.3'!X169</f>
        <v>150</v>
      </c>
      <c r="Y168">
        <f t="shared" si="2"/>
        <v>150</v>
      </c>
      <c r="Z168" s="13">
        <f>IF(COUNTIFS(แปลงข้อมูล!H:H,Q168,แปลงข้อมูล!I:I,U168,แปลงข้อมูล!J:J,V168)&gt;0,SUMIFS(แปลงข้อมูล!Q:Q,แปลงข้อมูล!I:I,U168,แปลงข้อมูล!H:H,Q168,แปลงข้อมูล!J:J,V168),'mk 001 10.3'!Z169)</f>
        <v>150</v>
      </c>
      <c r="AA168">
        <f>'mk 001 10.3'!AA169</f>
        <v>0</v>
      </c>
      <c r="AB168">
        <f>'mk 001 10.3'!AB169</f>
        <v>0</v>
      </c>
      <c r="AC168">
        <f>'mk 001 10.3'!AC169</f>
        <v>0</v>
      </c>
      <c r="AD168">
        <f>'mk 001 10.3'!AD169</f>
        <v>0</v>
      </c>
      <c r="AE168">
        <f>'mk 001 10.3'!AE169</f>
        <v>150</v>
      </c>
      <c r="AF168">
        <f>'mk 001 10.3'!AF169</f>
        <v>150</v>
      </c>
      <c r="AG168">
        <f>'mk 001 10.3'!AG169</f>
        <v>0</v>
      </c>
      <c r="AH168">
        <f>'mk 001 10.3'!AH169</f>
        <v>0</v>
      </c>
      <c r="AI168" t="str">
        <f>'mk 001 10.3'!AI169</f>
        <v>OPRCD489MOPRCD00000OPRCDF213OPRCD00000OPRCD923</v>
      </c>
      <c r="AJ168" t="str">
        <f>'mk 001 10.3'!AJ169</f>
        <v>ซื้อ / ขาย</v>
      </c>
      <c r="AK168" t="str">
        <f>'mk 001 10.3'!AK169</f>
        <v>Main proudct</v>
      </c>
      <c r="AL168" t="str">
        <f>'mk 001 10.3'!AL169</f>
        <v>Bulk Normal</v>
      </c>
      <c r="AM168" t="str">
        <f>'mk 001 10.3'!AM169</f>
        <v>สุกร</v>
      </c>
      <c r="AN168" t="str">
        <f>'mk 001 10.3'!AN169</f>
        <v>OT002 CC-Makro</v>
      </c>
      <c r="AO168" t="str">
        <f>'mk 001 10.3'!AO169</f>
        <v>MT</v>
      </c>
      <c r="AP168">
        <f>'mk 001 10.3'!AP169</f>
        <v>2</v>
      </c>
      <c r="AQ168">
        <f>'mk 001 10.3'!AQ169</f>
        <v>0</v>
      </c>
      <c r="AR168">
        <f>'mk 001 10.3'!AR169</f>
        <v>0</v>
      </c>
      <c r="AS168">
        <f>'mk 001 10.3'!AS169</f>
        <v>0</v>
      </c>
      <c r="AT168" t="str">
        <f>'mk 001 10.3'!AT169</f>
        <v>System Batch</v>
      </c>
      <c r="AU168" t="str">
        <f>'mk 001 10.3'!AU169</f>
        <v>2026-05-11-13.33.46.000000</v>
      </c>
      <c r="AV168" t="str">
        <f>'mk 001 10.3'!AV169</f>
        <v>ก.ก.</v>
      </c>
      <c r="AW168" t="str">
        <f>'mk 001 10.3'!AW169</f>
        <v>ก.ก.</v>
      </c>
      <c r="AX168" t="str">
        <f>'mk 001 10.3'!AX169</f>
        <v xml:space="preserve"> </v>
      </c>
      <c r="AY168">
        <f>'mk 001 10.3'!AY169</f>
        <v>0</v>
      </c>
      <c r="AZ168" t="str">
        <f>'mk 001 10.3'!AZ169</f>
        <v>N</v>
      </c>
      <c r="BA168" s="22">
        <f>'mk 001 10.3'!BA169</f>
        <v>9044989536422</v>
      </c>
      <c r="BB168">
        <f>'mk 001 10.3'!BB169</f>
        <v>0</v>
      </c>
      <c r="BC168">
        <f>'mk 001 10.3'!BC169</f>
        <v>0</v>
      </c>
      <c r="BD168">
        <f>'mk 001 10.3'!BD169</f>
        <v>1</v>
      </c>
      <c r="BE168">
        <f>'mk 001 10.3'!BE169</f>
        <v>0</v>
      </c>
      <c r="BF168" t="str">
        <f>'mk 001 10.3'!BF169</f>
        <v>;0000</v>
      </c>
      <c r="BG168">
        <f>'mk 001 10.3'!BG169</f>
        <v>1333314600</v>
      </c>
      <c r="BH168" t="str">
        <f>'mk 001 10.3'!BH169</f>
        <v>G</v>
      </c>
      <c r="BI168">
        <f>'mk 001 10.3'!BI169</f>
        <v>150</v>
      </c>
      <c r="BJ168">
        <f>'mk 001 10.3'!BJ169</f>
        <v>150</v>
      </c>
      <c r="BK168">
        <f>'mk 001 10.3'!BK169</f>
        <v>1300</v>
      </c>
      <c r="BL168" t="str">
        <f>'mk 001 10.3'!BL169</f>
        <v>SYSBATCH</v>
      </c>
      <c r="BM168">
        <f>'mk 001 10.3'!BM169</f>
        <v>0</v>
      </c>
      <c r="BN168">
        <f>'mk 001 10.3'!BN169</f>
        <v>0</v>
      </c>
    </row>
    <row r="169" spans="1:66" x14ac:dyDescent="0.35">
      <c r="A169">
        <f>'mk 001 10.3'!A170</f>
        <v>0</v>
      </c>
      <c r="B169">
        <f>'mk 001 10.3'!B170</f>
        <v>0</v>
      </c>
      <c r="C169" s="1" t="str">
        <f>'mk 001 10.3'!C170</f>
        <v>14/5/2569</v>
      </c>
      <c r="D169" s="1" t="str">
        <f>'mk 001 10.3'!D170</f>
        <v>14/5/2569</v>
      </c>
      <c r="E169">
        <f>'mk 001 10.3'!E170</f>
        <v>0</v>
      </c>
      <c r="F169" t="str">
        <f>'mk 001 10.3'!F170</f>
        <v>489M</v>
      </c>
      <c r="G169" t="str">
        <f>'mk 001 10.3'!G170</f>
        <v>Modern Trade (Makro)</v>
      </c>
      <c r="H169">
        <f>'mk 001 10.3'!H170</f>
        <v>0</v>
      </c>
      <c r="I169" t="str">
        <f>'mk 001 10.3'!I170</f>
        <v>หน่วยงานกลาง</v>
      </c>
      <c r="J169" t="str">
        <f>'mk 001 10.3'!J170</f>
        <v>F213  DMCW-รชล-พระพุทธบาท</v>
      </c>
      <c r="K169" t="str">
        <f>'mk 001 10.3'!K170</f>
        <v>00000  หน่วยงานกลาง</v>
      </c>
      <c r="L169">
        <f>'mk 001 10.3'!L170</f>
        <v>923</v>
      </c>
      <c r="M169">
        <f>'mk 001 10.3'!M170</f>
        <v>0</v>
      </c>
      <c r="N169" t="str">
        <f>'mk 001 10.3'!N170</f>
        <v>1A53005200</v>
      </c>
      <c r="O169" t="str">
        <f>'mk 001 10.3'!O170</f>
        <v>บมจ. ซีพี แอ็กซ์ตร้า สาขาอยุธยา</v>
      </c>
      <c r="P169">
        <f>'mk 001 10.3'!P170</f>
        <v>2</v>
      </c>
      <c r="Q169" t="str">
        <f>'mk 001 10.3'!Q170</f>
        <v>MAKRO 0051 อยุธยา</v>
      </c>
      <c r="R169" s="1">
        <f>'mk 001 10.3'!R170</f>
        <v>244658</v>
      </c>
      <c r="S169" s="1" t="str">
        <f>'mk 001 10.3'!S170</f>
        <v>14/5/2569</v>
      </c>
      <c r="T169" t="str">
        <f>'mk 001 10.3'!T170</f>
        <v>H6954RMA0059205</v>
      </c>
      <c r="U169">
        <f>'mk 001 10.3'!U170</f>
        <v>23105752</v>
      </c>
      <c r="V169" t="str">
        <f>'mk 001 10.3'!V170</f>
        <v>เซพแพ็ค สันนอกหมู กก. ละ</v>
      </c>
      <c r="W169">
        <f>'mk 001 10.3'!W170</f>
        <v>10</v>
      </c>
      <c r="X169">
        <f>'mk 001 10.3'!X170</f>
        <v>10</v>
      </c>
      <c r="Y169">
        <f t="shared" si="2"/>
        <v>10</v>
      </c>
      <c r="Z169" s="13">
        <f>IF(COUNTIFS(แปลงข้อมูล!H:H,Q169,แปลงข้อมูล!I:I,U169,แปลงข้อมูล!J:J,V169)&gt;0,SUMIFS(แปลงข้อมูล!Q:Q,แปลงข้อมูล!I:I,U169,แปลงข้อมูล!H:H,Q169,แปลงข้อมูล!J:J,V169),'mk 001 10.3'!Z170)</f>
        <v>10</v>
      </c>
      <c r="AA169">
        <f>'mk 001 10.3'!AA170</f>
        <v>0</v>
      </c>
      <c r="AB169">
        <f>'mk 001 10.3'!AB170</f>
        <v>0</v>
      </c>
      <c r="AC169">
        <f>'mk 001 10.3'!AC170</f>
        <v>0</v>
      </c>
      <c r="AD169">
        <f>'mk 001 10.3'!AD170</f>
        <v>0</v>
      </c>
      <c r="AE169">
        <f>'mk 001 10.3'!AE170</f>
        <v>10</v>
      </c>
      <c r="AF169">
        <f>'mk 001 10.3'!AF170</f>
        <v>10</v>
      </c>
      <c r="AG169">
        <f>'mk 001 10.3'!AG170</f>
        <v>0</v>
      </c>
      <c r="AH169">
        <f>'mk 001 10.3'!AH170</f>
        <v>0</v>
      </c>
      <c r="AI169" t="str">
        <f>'mk 001 10.3'!AI170</f>
        <v>OPRCD489MOPRCD00000OPRCDF213OPRCD00000OPRCD923</v>
      </c>
      <c r="AJ169" t="str">
        <f>'mk 001 10.3'!AJ170</f>
        <v>ซื้อ / ขาย</v>
      </c>
      <c r="AK169" t="str">
        <f>'mk 001 10.3'!AK170</f>
        <v>Main proudct</v>
      </c>
      <c r="AL169" t="str">
        <f>'mk 001 10.3'!AL170</f>
        <v>Bulk Normal</v>
      </c>
      <c r="AM169" t="str">
        <f>'mk 001 10.3'!AM170</f>
        <v>สุกร</v>
      </c>
      <c r="AN169" t="str">
        <f>'mk 001 10.3'!AN170</f>
        <v>OT002 CC-Makro</v>
      </c>
      <c r="AO169" t="str">
        <f>'mk 001 10.3'!AO170</f>
        <v>MT</v>
      </c>
      <c r="AP169">
        <f>'mk 001 10.3'!AP170</f>
        <v>2</v>
      </c>
      <c r="AQ169">
        <f>'mk 001 10.3'!AQ170</f>
        <v>0</v>
      </c>
      <c r="AR169">
        <f>'mk 001 10.3'!AR170</f>
        <v>0</v>
      </c>
      <c r="AS169">
        <f>'mk 001 10.3'!AS170</f>
        <v>0</v>
      </c>
      <c r="AT169" t="str">
        <f>'mk 001 10.3'!AT170</f>
        <v>System Batch</v>
      </c>
      <c r="AU169" t="str">
        <f>'mk 001 10.3'!AU170</f>
        <v>2026-05-11-13.33.46.000000</v>
      </c>
      <c r="AV169" t="str">
        <f>'mk 001 10.3'!AV170</f>
        <v>ก.ก.</v>
      </c>
      <c r="AW169" t="str">
        <f>'mk 001 10.3'!AW170</f>
        <v>ก.ก.</v>
      </c>
      <c r="AX169" t="str">
        <f>'mk 001 10.3'!AX170</f>
        <v xml:space="preserve"> </v>
      </c>
      <c r="AY169">
        <f>'mk 001 10.3'!AY170</f>
        <v>0</v>
      </c>
      <c r="AZ169" t="str">
        <f>'mk 001 10.3'!AZ170</f>
        <v>N</v>
      </c>
      <c r="BA169" s="22">
        <f>'mk 001 10.3'!BA170</f>
        <v>9044989536422</v>
      </c>
      <c r="BB169">
        <f>'mk 001 10.3'!BB170</f>
        <v>0</v>
      </c>
      <c r="BC169">
        <f>'mk 001 10.3'!BC170</f>
        <v>0</v>
      </c>
      <c r="BD169">
        <f>'mk 001 10.3'!BD170</f>
        <v>1</v>
      </c>
      <c r="BE169">
        <f>'mk 001 10.3'!BE170</f>
        <v>0</v>
      </c>
      <c r="BF169" t="str">
        <f>'mk 001 10.3'!BF170</f>
        <v>;0000</v>
      </c>
      <c r="BG169">
        <f>'mk 001 10.3'!BG170</f>
        <v>1333314600</v>
      </c>
      <c r="BH169" t="str">
        <f>'mk 001 10.3'!BH170</f>
        <v>G</v>
      </c>
      <c r="BI169">
        <f>'mk 001 10.3'!BI170</f>
        <v>10</v>
      </c>
      <c r="BJ169">
        <f>'mk 001 10.3'!BJ170</f>
        <v>10</v>
      </c>
      <c r="BK169">
        <f>'mk 001 10.3'!BK170</f>
        <v>1300</v>
      </c>
      <c r="BL169" t="str">
        <f>'mk 001 10.3'!BL170</f>
        <v>SYSBATCH</v>
      </c>
      <c r="BM169">
        <f>'mk 001 10.3'!BM170</f>
        <v>0</v>
      </c>
      <c r="BN169">
        <f>'mk 001 10.3'!BN170</f>
        <v>0</v>
      </c>
    </row>
    <row r="170" spans="1:66" x14ac:dyDescent="0.35">
      <c r="A170">
        <f>'mk 001 10.3'!A171</f>
        <v>0</v>
      </c>
      <c r="B170">
        <f>'mk 001 10.3'!B171</f>
        <v>0</v>
      </c>
      <c r="C170" s="1" t="str">
        <f>'mk 001 10.3'!C171</f>
        <v>14/5/2569</v>
      </c>
      <c r="D170" s="1" t="str">
        <f>'mk 001 10.3'!D171</f>
        <v>14/5/2569</v>
      </c>
      <c r="E170">
        <f>'mk 001 10.3'!E171</f>
        <v>0</v>
      </c>
      <c r="F170" t="str">
        <f>'mk 001 10.3'!F171</f>
        <v>489M</v>
      </c>
      <c r="G170" t="str">
        <f>'mk 001 10.3'!G171</f>
        <v>Modern Trade (Makro)</v>
      </c>
      <c r="H170">
        <f>'mk 001 10.3'!H171</f>
        <v>0</v>
      </c>
      <c r="I170" t="str">
        <f>'mk 001 10.3'!I171</f>
        <v>หน่วยงานกลาง</v>
      </c>
      <c r="J170" t="str">
        <f>'mk 001 10.3'!J171</f>
        <v>F213  DMCW-รชล-พระพุทธบาท</v>
      </c>
      <c r="K170" t="str">
        <f>'mk 001 10.3'!K171</f>
        <v>00000  หน่วยงานกลาง</v>
      </c>
      <c r="L170">
        <f>'mk 001 10.3'!L171</f>
        <v>923</v>
      </c>
      <c r="M170">
        <f>'mk 001 10.3'!M171</f>
        <v>0</v>
      </c>
      <c r="N170" t="str">
        <f>'mk 001 10.3'!N171</f>
        <v>1A53005200</v>
      </c>
      <c r="O170" t="str">
        <f>'mk 001 10.3'!O171</f>
        <v>บมจ. ซีพี แอ็กซ์ตร้า สาขาอยุธยา</v>
      </c>
      <c r="P170">
        <f>'mk 001 10.3'!P171</f>
        <v>2</v>
      </c>
      <c r="Q170" t="str">
        <f>'mk 001 10.3'!Q171</f>
        <v>MAKRO 0051 อยุธยา</v>
      </c>
      <c r="R170" s="1">
        <f>'mk 001 10.3'!R171</f>
        <v>244658</v>
      </c>
      <c r="S170" s="1" t="str">
        <f>'mk 001 10.3'!S171</f>
        <v>14/5/2569</v>
      </c>
      <c r="T170" t="str">
        <f>'mk 001 10.3'!T171</f>
        <v>H6954RMA0059205</v>
      </c>
      <c r="U170">
        <f>'mk 001 10.3'!U171</f>
        <v>23066879</v>
      </c>
      <c r="V170" t="str">
        <f>'mk 001 10.3'!V171</f>
        <v>กระดูกอ่อน(M)</v>
      </c>
      <c r="W170">
        <f>'mk 001 10.3'!W171</f>
        <v>50</v>
      </c>
      <c r="X170">
        <f>'mk 001 10.3'!X171</f>
        <v>50</v>
      </c>
      <c r="Y170">
        <f t="shared" si="2"/>
        <v>50</v>
      </c>
      <c r="Z170" s="13">
        <f>IF(COUNTIFS(แปลงข้อมูล!H:H,Q170,แปลงข้อมูล!I:I,U170,แปลงข้อมูล!J:J,V170)&gt;0,SUMIFS(แปลงข้อมูล!Q:Q,แปลงข้อมูล!I:I,U170,แปลงข้อมูล!H:H,Q170,แปลงข้อมูล!J:J,V170),'mk 001 10.3'!Z171)</f>
        <v>50</v>
      </c>
      <c r="AA170">
        <f>'mk 001 10.3'!AA171</f>
        <v>0</v>
      </c>
      <c r="AB170">
        <f>'mk 001 10.3'!AB171</f>
        <v>0</v>
      </c>
      <c r="AC170">
        <f>'mk 001 10.3'!AC171</f>
        <v>0</v>
      </c>
      <c r="AD170">
        <f>'mk 001 10.3'!AD171</f>
        <v>0</v>
      </c>
      <c r="AE170">
        <f>'mk 001 10.3'!AE171</f>
        <v>50</v>
      </c>
      <c r="AF170">
        <f>'mk 001 10.3'!AF171</f>
        <v>50</v>
      </c>
      <c r="AG170">
        <f>'mk 001 10.3'!AG171</f>
        <v>0</v>
      </c>
      <c r="AH170">
        <f>'mk 001 10.3'!AH171</f>
        <v>0</v>
      </c>
      <c r="AI170" t="str">
        <f>'mk 001 10.3'!AI171</f>
        <v>OPRCD489MOPRCD00000OPRCDF213OPRCD00000OPRCD923</v>
      </c>
      <c r="AJ170" t="str">
        <f>'mk 001 10.3'!AJ171</f>
        <v>ซื้อ / ขาย</v>
      </c>
      <c r="AK170" t="str">
        <f>'mk 001 10.3'!AK171</f>
        <v>By proudct</v>
      </c>
      <c r="AL170" t="str">
        <f>'mk 001 10.3'!AL171</f>
        <v>Bulk Normal</v>
      </c>
      <c r="AM170" t="str">
        <f>'mk 001 10.3'!AM171</f>
        <v>สุกร</v>
      </c>
      <c r="AN170" t="str">
        <f>'mk 001 10.3'!AN171</f>
        <v>OT002 CC-Makro</v>
      </c>
      <c r="AO170" t="str">
        <f>'mk 001 10.3'!AO171</f>
        <v>MT</v>
      </c>
      <c r="AP170">
        <f>'mk 001 10.3'!AP171</f>
        <v>2</v>
      </c>
      <c r="AQ170">
        <f>'mk 001 10.3'!AQ171</f>
        <v>0</v>
      </c>
      <c r="AR170">
        <f>'mk 001 10.3'!AR171</f>
        <v>0</v>
      </c>
      <c r="AS170">
        <f>'mk 001 10.3'!AS171</f>
        <v>0</v>
      </c>
      <c r="AT170" t="str">
        <f>'mk 001 10.3'!AT171</f>
        <v>System Batch</v>
      </c>
      <c r="AU170" t="str">
        <f>'mk 001 10.3'!AU171</f>
        <v>2026-05-11-13.33.46.000000</v>
      </c>
      <c r="AV170" t="str">
        <f>'mk 001 10.3'!AV171</f>
        <v>ก.ก.</v>
      </c>
      <c r="AW170" t="str">
        <f>'mk 001 10.3'!AW171</f>
        <v>ก.ก.</v>
      </c>
      <c r="AX170" t="str">
        <f>'mk 001 10.3'!AX171</f>
        <v xml:space="preserve"> </v>
      </c>
      <c r="AY170">
        <f>'mk 001 10.3'!AY171</f>
        <v>0</v>
      </c>
      <c r="AZ170" t="str">
        <f>'mk 001 10.3'!AZ171</f>
        <v>N</v>
      </c>
      <c r="BA170" s="22">
        <f>'mk 001 10.3'!BA171</f>
        <v>9044989536422</v>
      </c>
      <c r="BB170">
        <f>'mk 001 10.3'!BB171</f>
        <v>0</v>
      </c>
      <c r="BC170">
        <f>'mk 001 10.3'!BC171</f>
        <v>0</v>
      </c>
      <c r="BD170">
        <f>'mk 001 10.3'!BD171</f>
        <v>1</v>
      </c>
      <c r="BE170">
        <f>'mk 001 10.3'!BE171</f>
        <v>0</v>
      </c>
      <c r="BF170" t="str">
        <f>'mk 001 10.3'!BF171</f>
        <v>;0000</v>
      </c>
      <c r="BG170">
        <f>'mk 001 10.3'!BG171</f>
        <v>1333314600</v>
      </c>
      <c r="BH170" t="str">
        <f>'mk 001 10.3'!BH171</f>
        <v>G</v>
      </c>
      <c r="BI170">
        <f>'mk 001 10.3'!BI171</f>
        <v>50</v>
      </c>
      <c r="BJ170">
        <f>'mk 001 10.3'!BJ171</f>
        <v>50</v>
      </c>
      <c r="BK170">
        <f>'mk 001 10.3'!BK171</f>
        <v>1300</v>
      </c>
      <c r="BL170" t="str">
        <f>'mk 001 10.3'!BL171</f>
        <v>SYSBATCH</v>
      </c>
      <c r="BM170">
        <f>'mk 001 10.3'!BM171</f>
        <v>0</v>
      </c>
      <c r="BN170">
        <f>'mk 001 10.3'!BN171</f>
        <v>0</v>
      </c>
    </row>
    <row r="171" spans="1:66" x14ac:dyDescent="0.35">
      <c r="A171">
        <f>'mk 001 10.3'!A172</f>
        <v>0</v>
      </c>
      <c r="B171">
        <f>'mk 001 10.3'!B172</f>
        <v>0</v>
      </c>
      <c r="C171" s="1" t="str">
        <f>'mk 001 10.3'!C172</f>
        <v>14/5/2569</v>
      </c>
      <c r="D171" s="1" t="str">
        <f>'mk 001 10.3'!D172</f>
        <v>14/5/2569</v>
      </c>
      <c r="E171">
        <f>'mk 001 10.3'!E172</f>
        <v>0</v>
      </c>
      <c r="F171" t="str">
        <f>'mk 001 10.3'!F172</f>
        <v>489M</v>
      </c>
      <c r="G171" t="str">
        <f>'mk 001 10.3'!G172</f>
        <v>Modern Trade (Makro)</v>
      </c>
      <c r="H171">
        <f>'mk 001 10.3'!H172</f>
        <v>0</v>
      </c>
      <c r="I171" t="str">
        <f>'mk 001 10.3'!I172</f>
        <v>หน่วยงานกลาง</v>
      </c>
      <c r="J171" t="str">
        <f>'mk 001 10.3'!J172</f>
        <v>F213  DMCW-รชล-พระพุทธบาท</v>
      </c>
      <c r="K171" t="str">
        <f>'mk 001 10.3'!K172</f>
        <v>00000  หน่วยงานกลาง</v>
      </c>
      <c r="L171">
        <f>'mk 001 10.3'!L172</f>
        <v>923</v>
      </c>
      <c r="M171">
        <f>'mk 001 10.3'!M172</f>
        <v>0</v>
      </c>
      <c r="N171" t="str">
        <f>'mk 001 10.3'!N172</f>
        <v>1A53005200</v>
      </c>
      <c r="O171" t="str">
        <f>'mk 001 10.3'!O172</f>
        <v>บมจ. ซีพี แอ็กซ์ตร้า สาขาอยุธยา</v>
      </c>
      <c r="P171">
        <f>'mk 001 10.3'!P172</f>
        <v>2</v>
      </c>
      <c r="Q171" t="str">
        <f>'mk 001 10.3'!Q172</f>
        <v>MAKRO 0051 อยุธยา</v>
      </c>
      <c r="R171" s="1">
        <f>'mk 001 10.3'!R172</f>
        <v>244658</v>
      </c>
      <c r="S171" s="1" t="str">
        <f>'mk 001 10.3'!S172</f>
        <v>14/5/2569</v>
      </c>
      <c r="T171" t="str">
        <f>'mk 001 10.3'!T172</f>
        <v>H6954RMA0059205</v>
      </c>
      <c r="U171">
        <f>'mk 001 10.3'!U172</f>
        <v>23098989</v>
      </c>
      <c r="V171" t="str">
        <f>'mk 001 10.3'!V172</f>
        <v>ขาหมูเผาหั่นชิ้น กก.ละ(M)</v>
      </c>
      <c r="W171">
        <f>'mk 001 10.3'!W172</f>
        <v>20</v>
      </c>
      <c r="X171">
        <f>'mk 001 10.3'!X172</f>
        <v>20</v>
      </c>
      <c r="Y171">
        <f t="shared" si="2"/>
        <v>20</v>
      </c>
      <c r="Z171" s="13">
        <f>IF(COUNTIFS(แปลงข้อมูล!H:H,Q171,แปลงข้อมูล!I:I,U171,แปลงข้อมูล!J:J,V171)&gt;0,SUMIFS(แปลงข้อมูล!Q:Q,แปลงข้อมูล!I:I,U171,แปลงข้อมูล!H:H,Q171,แปลงข้อมูล!J:J,V171),'mk 001 10.3'!Z172)</f>
        <v>20</v>
      </c>
      <c r="AA171">
        <f>'mk 001 10.3'!AA172</f>
        <v>0</v>
      </c>
      <c r="AB171">
        <f>'mk 001 10.3'!AB172</f>
        <v>0</v>
      </c>
      <c r="AC171">
        <f>'mk 001 10.3'!AC172</f>
        <v>0</v>
      </c>
      <c r="AD171">
        <f>'mk 001 10.3'!AD172</f>
        <v>0</v>
      </c>
      <c r="AE171">
        <f>'mk 001 10.3'!AE172</f>
        <v>20</v>
      </c>
      <c r="AF171">
        <f>'mk 001 10.3'!AF172</f>
        <v>20</v>
      </c>
      <c r="AG171">
        <f>'mk 001 10.3'!AG172</f>
        <v>0</v>
      </c>
      <c r="AH171">
        <f>'mk 001 10.3'!AH172</f>
        <v>0</v>
      </c>
      <c r="AI171" t="str">
        <f>'mk 001 10.3'!AI172</f>
        <v>OPRCD489MOPRCD00000OPRCDF213OPRCD00000OPRCD923</v>
      </c>
      <c r="AJ171" t="str">
        <f>'mk 001 10.3'!AJ172</f>
        <v>ซื้อ / ขาย</v>
      </c>
      <c r="AK171" t="str">
        <f>'mk 001 10.3'!AK172</f>
        <v>By proudct</v>
      </c>
      <c r="AL171" t="str">
        <f>'mk 001 10.3'!AL172</f>
        <v>Bulk Normal</v>
      </c>
      <c r="AM171" t="str">
        <f>'mk 001 10.3'!AM172</f>
        <v>สุกร</v>
      </c>
      <c r="AN171" t="str">
        <f>'mk 001 10.3'!AN172</f>
        <v>OT002 CC-Makro</v>
      </c>
      <c r="AO171" t="str">
        <f>'mk 001 10.3'!AO172</f>
        <v>MT</v>
      </c>
      <c r="AP171">
        <f>'mk 001 10.3'!AP172</f>
        <v>2</v>
      </c>
      <c r="AQ171">
        <f>'mk 001 10.3'!AQ172</f>
        <v>0</v>
      </c>
      <c r="AR171">
        <f>'mk 001 10.3'!AR172</f>
        <v>0</v>
      </c>
      <c r="AS171">
        <f>'mk 001 10.3'!AS172</f>
        <v>0</v>
      </c>
      <c r="AT171" t="str">
        <f>'mk 001 10.3'!AT172</f>
        <v>System Batch</v>
      </c>
      <c r="AU171" t="str">
        <f>'mk 001 10.3'!AU172</f>
        <v>2026-05-11-13.33.46.000000</v>
      </c>
      <c r="AV171" t="str">
        <f>'mk 001 10.3'!AV172</f>
        <v>ก.ก.</v>
      </c>
      <c r="AW171" t="str">
        <f>'mk 001 10.3'!AW172</f>
        <v>ก.ก.</v>
      </c>
      <c r="AX171" t="str">
        <f>'mk 001 10.3'!AX172</f>
        <v xml:space="preserve"> </v>
      </c>
      <c r="AY171">
        <f>'mk 001 10.3'!AY172</f>
        <v>0</v>
      </c>
      <c r="AZ171" t="str">
        <f>'mk 001 10.3'!AZ172</f>
        <v>N</v>
      </c>
      <c r="BA171" s="22">
        <f>'mk 001 10.3'!BA172</f>
        <v>9044989536422</v>
      </c>
      <c r="BB171">
        <f>'mk 001 10.3'!BB172</f>
        <v>0</v>
      </c>
      <c r="BC171">
        <f>'mk 001 10.3'!BC172</f>
        <v>0</v>
      </c>
      <c r="BD171">
        <f>'mk 001 10.3'!BD172</f>
        <v>1</v>
      </c>
      <c r="BE171">
        <f>'mk 001 10.3'!BE172</f>
        <v>0</v>
      </c>
      <c r="BF171" t="str">
        <f>'mk 001 10.3'!BF172</f>
        <v>;0000</v>
      </c>
      <c r="BG171">
        <f>'mk 001 10.3'!BG172</f>
        <v>1333314600</v>
      </c>
      <c r="BH171" t="str">
        <f>'mk 001 10.3'!BH172</f>
        <v>G</v>
      </c>
      <c r="BI171">
        <f>'mk 001 10.3'!BI172</f>
        <v>20</v>
      </c>
      <c r="BJ171">
        <f>'mk 001 10.3'!BJ172</f>
        <v>20</v>
      </c>
      <c r="BK171">
        <f>'mk 001 10.3'!BK172</f>
        <v>1300</v>
      </c>
      <c r="BL171" t="str">
        <f>'mk 001 10.3'!BL172</f>
        <v>SYSBATCH</v>
      </c>
      <c r="BM171">
        <f>'mk 001 10.3'!BM172</f>
        <v>0</v>
      </c>
      <c r="BN171">
        <f>'mk 001 10.3'!BN172</f>
        <v>0</v>
      </c>
    </row>
    <row r="172" spans="1:66" x14ac:dyDescent="0.35">
      <c r="A172">
        <f>'mk 001 10.3'!A173</f>
        <v>0</v>
      </c>
      <c r="B172">
        <f>'mk 001 10.3'!B173</f>
        <v>0</v>
      </c>
      <c r="C172" s="1" t="str">
        <f>'mk 001 10.3'!C173</f>
        <v>14/5/2569</v>
      </c>
      <c r="D172" s="1" t="str">
        <f>'mk 001 10.3'!D173</f>
        <v>14/5/2569</v>
      </c>
      <c r="E172">
        <f>'mk 001 10.3'!E173</f>
        <v>0</v>
      </c>
      <c r="F172" t="str">
        <f>'mk 001 10.3'!F173</f>
        <v>489M</v>
      </c>
      <c r="G172" t="str">
        <f>'mk 001 10.3'!G173</f>
        <v>Modern Trade (Makro)</v>
      </c>
      <c r="H172">
        <f>'mk 001 10.3'!H173</f>
        <v>0</v>
      </c>
      <c r="I172" t="str">
        <f>'mk 001 10.3'!I173</f>
        <v>หน่วยงานกลาง</v>
      </c>
      <c r="J172" t="str">
        <f>'mk 001 10.3'!J173</f>
        <v>F213  DMCW-รชล-พระพุทธบาท</v>
      </c>
      <c r="K172" t="str">
        <f>'mk 001 10.3'!K173</f>
        <v>00000  หน่วยงานกลาง</v>
      </c>
      <c r="L172">
        <f>'mk 001 10.3'!L173</f>
        <v>923</v>
      </c>
      <c r="M172">
        <f>'mk 001 10.3'!M173</f>
        <v>0</v>
      </c>
      <c r="N172" t="str">
        <f>'mk 001 10.3'!N173</f>
        <v>1A53008400</v>
      </c>
      <c r="O172" t="str">
        <f>'mk 001 10.3'!O173</f>
        <v>บมจ. ซีพี แอ็กซ์ตร้า สาขานครอินทร์</v>
      </c>
      <c r="P172">
        <f>'mk 001 10.3'!P173</f>
        <v>2</v>
      </c>
      <c r="Q172" t="str">
        <f>'mk 001 10.3'!Q173</f>
        <v>MAKRO 0083 นครอินทร์</v>
      </c>
      <c r="R172" s="1">
        <f>'mk 001 10.3'!R173</f>
        <v>244658</v>
      </c>
      <c r="S172" s="1" t="str">
        <f>'mk 001 10.3'!S173</f>
        <v>14/5/2569</v>
      </c>
      <c r="T172" t="str">
        <f>'mk 001 10.3'!T173</f>
        <v>H6954RMA0059232</v>
      </c>
      <c r="U172">
        <f>'mk 001 10.3'!U173</f>
        <v>23058591</v>
      </c>
      <c r="V172" t="str">
        <f>'mk 001 10.3'!V173</f>
        <v>กระดูกข้อ(คาตั๊ง) (M)</v>
      </c>
      <c r="W172">
        <f>'mk 001 10.3'!W173</f>
        <v>20</v>
      </c>
      <c r="X172">
        <f>'mk 001 10.3'!X173</f>
        <v>20</v>
      </c>
      <c r="Y172">
        <f t="shared" si="2"/>
        <v>20</v>
      </c>
      <c r="Z172" s="13">
        <f>IF(COUNTIFS(แปลงข้อมูล!H:H,Q172,แปลงข้อมูล!I:I,U172,แปลงข้อมูล!J:J,V172)&gt;0,SUMIFS(แปลงข้อมูล!Q:Q,แปลงข้อมูล!I:I,U172,แปลงข้อมูล!H:H,Q172,แปลงข้อมูล!J:J,V172),'mk 001 10.3'!Z173)</f>
        <v>20</v>
      </c>
      <c r="AA172">
        <f>'mk 001 10.3'!AA173</f>
        <v>0</v>
      </c>
      <c r="AB172">
        <f>'mk 001 10.3'!AB173</f>
        <v>0</v>
      </c>
      <c r="AC172">
        <f>'mk 001 10.3'!AC173</f>
        <v>0</v>
      </c>
      <c r="AD172">
        <f>'mk 001 10.3'!AD173</f>
        <v>0</v>
      </c>
      <c r="AE172">
        <f>'mk 001 10.3'!AE173</f>
        <v>20</v>
      </c>
      <c r="AF172">
        <f>'mk 001 10.3'!AF173</f>
        <v>20</v>
      </c>
      <c r="AG172">
        <f>'mk 001 10.3'!AG173</f>
        <v>0</v>
      </c>
      <c r="AH172">
        <f>'mk 001 10.3'!AH173</f>
        <v>0</v>
      </c>
      <c r="AI172" t="str">
        <f>'mk 001 10.3'!AI173</f>
        <v>OPRCD489MOPRCD00000OPRCDF213OPRCD00000OPRCD923</v>
      </c>
      <c r="AJ172" t="str">
        <f>'mk 001 10.3'!AJ173</f>
        <v>ซื้อ / ขาย</v>
      </c>
      <c r="AK172" t="str">
        <f>'mk 001 10.3'!AK173</f>
        <v>By proudct</v>
      </c>
      <c r="AL172" t="str">
        <f>'mk 001 10.3'!AL173</f>
        <v>Bulk Normal</v>
      </c>
      <c r="AM172" t="str">
        <f>'mk 001 10.3'!AM173</f>
        <v>สุกร</v>
      </c>
      <c r="AN172" t="str">
        <f>'mk 001 10.3'!AN173</f>
        <v>OT002 CC-Makro</v>
      </c>
      <c r="AO172" t="str">
        <f>'mk 001 10.3'!AO173</f>
        <v>MT</v>
      </c>
      <c r="AP172">
        <f>'mk 001 10.3'!AP173</f>
        <v>2</v>
      </c>
      <c r="AQ172">
        <f>'mk 001 10.3'!AQ173</f>
        <v>0</v>
      </c>
      <c r="AR172">
        <f>'mk 001 10.3'!AR173</f>
        <v>0</v>
      </c>
      <c r="AS172">
        <f>'mk 001 10.3'!AS173</f>
        <v>0</v>
      </c>
      <c r="AT172" t="str">
        <f>'mk 001 10.3'!AT173</f>
        <v>System Batch</v>
      </c>
      <c r="AU172" t="str">
        <f>'mk 001 10.3'!AU173</f>
        <v>2026-05-11-13.33.46.000000</v>
      </c>
      <c r="AV172" t="str">
        <f>'mk 001 10.3'!AV173</f>
        <v>ก.ก.</v>
      </c>
      <c r="AW172" t="str">
        <f>'mk 001 10.3'!AW173</f>
        <v>ก.ก.</v>
      </c>
      <c r="AX172" t="str">
        <f>'mk 001 10.3'!AX173</f>
        <v xml:space="preserve"> </v>
      </c>
      <c r="AY172">
        <f>'mk 001 10.3'!AY173</f>
        <v>0</v>
      </c>
      <c r="AZ172" t="str">
        <f>'mk 001 10.3'!AZ173</f>
        <v>N</v>
      </c>
      <c r="BA172" s="22">
        <f>'mk 001 10.3'!BA173</f>
        <v>9044989536447</v>
      </c>
      <c r="BB172">
        <f>'mk 001 10.3'!BB173</f>
        <v>0</v>
      </c>
      <c r="BC172">
        <f>'mk 001 10.3'!BC173</f>
        <v>0</v>
      </c>
      <c r="BD172">
        <f>'mk 001 10.3'!BD173</f>
        <v>1</v>
      </c>
      <c r="BE172">
        <f>'mk 001 10.3'!BE173</f>
        <v>0</v>
      </c>
      <c r="BF172" t="str">
        <f>'mk 001 10.3'!BF173</f>
        <v>;0000</v>
      </c>
      <c r="BG172">
        <f>'mk 001 10.3'!BG173</f>
        <v>1333314600</v>
      </c>
      <c r="BH172" t="str">
        <f>'mk 001 10.3'!BH173</f>
        <v>G</v>
      </c>
      <c r="BI172">
        <f>'mk 001 10.3'!BI173</f>
        <v>20</v>
      </c>
      <c r="BJ172">
        <f>'mk 001 10.3'!BJ173</f>
        <v>20</v>
      </c>
      <c r="BK172">
        <f>'mk 001 10.3'!BK173</f>
        <v>1300</v>
      </c>
      <c r="BL172" t="str">
        <f>'mk 001 10.3'!BL173</f>
        <v>SYSBATCH</v>
      </c>
      <c r="BM172">
        <f>'mk 001 10.3'!BM173</f>
        <v>0</v>
      </c>
      <c r="BN172">
        <f>'mk 001 10.3'!BN173</f>
        <v>0</v>
      </c>
    </row>
    <row r="173" spans="1:66" x14ac:dyDescent="0.35">
      <c r="A173">
        <f>'mk 001 10.3'!A174</f>
        <v>0</v>
      </c>
      <c r="B173">
        <f>'mk 001 10.3'!B174</f>
        <v>0</v>
      </c>
      <c r="C173" s="1" t="str">
        <f>'mk 001 10.3'!C174</f>
        <v>14/5/2569</v>
      </c>
      <c r="D173" s="1" t="str">
        <f>'mk 001 10.3'!D174</f>
        <v>14/5/2569</v>
      </c>
      <c r="E173">
        <f>'mk 001 10.3'!E174</f>
        <v>0</v>
      </c>
      <c r="F173" t="str">
        <f>'mk 001 10.3'!F174</f>
        <v>489M</v>
      </c>
      <c r="G173" t="str">
        <f>'mk 001 10.3'!G174</f>
        <v>Modern Trade (Makro)</v>
      </c>
      <c r="H173">
        <f>'mk 001 10.3'!H174</f>
        <v>0</v>
      </c>
      <c r="I173" t="str">
        <f>'mk 001 10.3'!I174</f>
        <v>หน่วยงานกลาง</v>
      </c>
      <c r="J173" t="str">
        <f>'mk 001 10.3'!J174</f>
        <v>F213  DMCW-รชล-พระพุทธบาท</v>
      </c>
      <c r="K173" t="str">
        <f>'mk 001 10.3'!K174</f>
        <v>00000  หน่วยงานกลาง</v>
      </c>
      <c r="L173">
        <f>'mk 001 10.3'!L174</f>
        <v>923</v>
      </c>
      <c r="M173">
        <f>'mk 001 10.3'!M174</f>
        <v>0</v>
      </c>
      <c r="N173" t="str">
        <f>'mk 001 10.3'!N174</f>
        <v>1A53008400</v>
      </c>
      <c r="O173" t="str">
        <f>'mk 001 10.3'!O174</f>
        <v>บมจ. ซีพี แอ็กซ์ตร้า สาขานครอินทร์</v>
      </c>
      <c r="P173">
        <f>'mk 001 10.3'!P174</f>
        <v>2</v>
      </c>
      <c r="Q173" t="str">
        <f>'mk 001 10.3'!Q174</f>
        <v>MAKRO 0083 นครอินทร์</v>
      </c>
      <c r="R173" s="1">
        <f>'mk 001 10.3'!R174</f>
        <v>244658</v>
      </c>
      <c r="S173" s="1" t="str">
        <f>'mk 001 10.3'!S174</f>
        <v>14/5/2569</v>
      </c>
      <c r="T173" t="str">
        <f>'mk 001 10.3'!T174</f>
        <v>H6954RMA0059232</v>
      </c>
      <c r="U173">
        <f>'mk 001 10.3'!U174</f>
        <v>23057827</v>
      </c>
      <c r="V173" t="str">
        <f>'mk 001 10.3'!V174</f>
        <v>ซี่โครง(M)</v>
      </c>
      <c r="W173">
        <f>'mk 001 10.3'!W174</f>
        <v>5</v>
      </c>
      <c r="X173">
        <f>'mk 001 10.3'!X174</f>
        <v>5</v>
      </c>
      <c r="Y173">
        <f t="shared" si="2"/>
        <v>5</v>
      </c>
      <c r="Z173" s="13">
        <f>IF(COUNTIFS(แปลงข้อมูล!H:H,Q173,แปลงข้อมูล!I:I,U173,แปลงข้อมูล!J:J,V173)&gt;0,SUMIFS(แปลงข้อมูล!Q:Q,แปลงข้อมูล!I:I,U173,แปลงข้อมูล!H:H,Q173,แปลงข้อมูล!J:J,V173),'mk 001 10.3'!Z174)</f>
        <v>5</v>
      </c>
      <c r="AA173">
        <f>'mk 001 10.3'!AA174</f>
        <v>0</v>
      </c>
      <c r="AB173">
        <f>'mk 001 10.3'!AB174</f>
        <v>0</v>
      </c>
      <c r="AC173">
        <f>'mk 001 10.3'!AC174</f>
        <v>0</v>
      </c>
      <c r="AD173">
        <f>'mk 001 10.3'!AD174</f>
        <v>0</v>
      </c>
      <c r="AE173">
        <f>'mk 001 10.3'!AE174</f>
        <v>5</v>
      </c>
      <c r="AF173">
        <f>'mk 001 10.3'!AF174</f>
        <v>5</v>
      </c>
      <c r="AG173">
        <f>'mk 001 10.3'!AG174</f>
        <v>0</v>
      </c>
      <c r="AH173">
        <f>'mk 001 10.3'!AH174</f>
        <v>0</v>
      </c>
      <c r="AI173" t="str">
        <f>'mk 001 10.3'!AI174</f>
        <v>OPRCD489MOPRCD00000OPRCDF213OPRCD00000OPRCD923</v>
      </c>
      <c r="AJ173" t="str">
        <f>'mk 001 10.3'!AJ174</f>
        <v>ซื้อ / ขาย</v>
      </c>
      <c r="AK173" t="str">
        <f>'mk 001 10.3'!AK174</f>
        <v>Main proudct</v>
      </c>
      <c r="AL173" t="str">
        <f>'mk 001 10.3'!AL174</f>
        <v>Bulk Normal</v>
      </c>
      <c r="AM173" t="str">
        <f>'mk 001 10.3'!AM174</f>
        <v>สุกร</v>
      </c>
      <c r="AN173" t="str">
        <f>'mk 001 10.3'!AN174</f>
        <v>OT002 CC-Makro</v>
      </c>
      <c r="AO173" t="str">
        <f>'mk 001 10.3'!AO174</f>
        <v>MT</v>
      </c>
      <c r="AP173">
        <f>'mk 001 10.3'!AP174</f>
        <v>2</v>
      </c>
      <c r="AQ173">
        <f>'mk 001 10.3'!AQ174</f>
        <v>0</v>
      </c>
      <c r="AR173">
        <f>'mk 001 10.3'!AR174</f>
        <v>0</v>
      </c>
      <c r="AS173">
        <f>'mk 001 10.3'!AS174</f>
        <v>0</v>
      </c>
      <c r="AT173" t="str">
        <f>'mk 001 10.3'!AT174</f>
        <v>System Batch</v>
      </c>
      <c r="AU173" t="str">
        <f>'mk 001 10.3'!AU174</f>
        <v>2026-05-11-13.33.46.000000</v>
      </c>
      <c r="AV173" t="str">
        <f>'mk 001 10.3'!AV174</f>
        <v>ก.ก.</v>
      </c>
      <c r="AW173" t="str">
        <f>'mk 001 10.3'!AW174</f>
        <v>ก.ก.</v>
      </c>
      <c r="AX173" t="str">
        <f>'mk 001 10.3'!AX174</f>
        <v xml:space="preserve"> </v>
      </c>
      <c r="AY173">
        <f>'mk 001 10.3'!AY174</f>
        <v>0</v>
      </c>
      <c r="AZ173" t="str">
        <f>'mk 001 10.3'!AZ174</f>
        <v>N</v>
      </c>
      <c r="BA173" s="22">
        <f>'mk 001 10.3'!BA174</f>
        <v>9044989536447</v>
      </c>
      <c r="BB173">
        <f>'mk 001 10.3'!BB174</f>
        <v>0</v>
      </c>
      <c r="BC173">
        <f>'mk 001 10.3'!BC174</f>
        <v>0</v>
      </c>
      <c r="BD173">
        <f>'mk 001 10.3'!BD174</f>
        <v>1</v>
      </c>
      <c r="BE173">
        <f>'mk 001 10.3'!BE174</f>
        <v>0</v>
      </c>
      <c r="BF173" t="str">
        <f>'mk 001 10.3'!BF174</f>
        <v>;0000</v>
      </c>
      <c r="BG173">
        <f>'mk 001 10.3'!BG174</f>
        <v>1333314600</v>
      </c>
      <c r="BH173" t="str">
        <f>'mk 001 10.3'!BH174</f>
        <v>G</v>
      </c>
      <c r="BI173">
        <f>'mk 001 10.3'!BI174</f>
        <v>5</v>
      </c>
      <c r="BJ173">
        <f>'mk 001 10.3'!BJ174</f>
        <v>5</v>
      </c>
      <c r="BK173">
        <f>'mk 001 10.3'!BK174</f>
        <v>1300</v>
      </c>
      <c r="BL173" t="str">
        <f>'mk 001 10.3'!BL174</f>
        <v>SYSBATCH</v>
      </c>
      <c r="BM173">
        <f>'mk 001 10.3'!BM174</f>
        <v>0</v>
      </c>
      <c r="BN173">
        <f>'mk 001 10.3'!BN174</f>
        <v>0</v>
      </c>
    </row>
    <row r="174" spans="1:66" x14ac:dyDescent="0.35">
      <c r="A174">
        <f>'mk 001 10.3'!A175</f>
        <v>0</v>
      </c>
      <c r="B174">
        <f>'mk 001 10.3'!B175</f>
        <v>0</v>
      </c>
      <c r="C174" s="1" t="str">
        <f>'mk 001 10.3'!C175</f>
        <v>14/5/2569</v>
      </c>
      <c r="D174" s="1" t="str">
        <f>'mk 001 10.3'!D175</f>
        <v>14/5/2569</v>
      </c>
      <c r="E174">
        <f>'mk 001 10.3'!E175</f>
        <v>0</v>
      </c>
      <c r="F174" t="str">
        <f>'mk 001 10.3'!F175</f>
        <v>489M</v>
      </c>
      <c r="G174" t="str">
        <f>'mk 001 10.3'!G175</f>
        <v>Modern Trade (Makro)</v>
      </c>
      <c r="H174">
        <f>'mk 001 10.3'!H175</f>
        <v>0</v>
      </c>
      <c r="I174" t="str">
        <f>'mk 001 10.3'!I175</f>
        <v>หน่วยงานกลาง</v>
      </c>
      <c r="J174" t="str">
        <f>'mk 001 10.3'!J175</f>
        <v>F213  DMCW-รชล-พระพุทธบาท</v>
      </c>
      <c r="K174" t="str">
        <f>'mk 001 10.3'!K175</f>
        <v>00000  หน่วยงานกลาง</v>
      </c>
      <c r="L174">
        <f>'mk 001 10.3'!L175</f>
        <v>923</v>
      </c>
      <c r="M174">
        <f>'mk 001 10.3'!M175</f>
        <v>0</v>
      </c>
      <c r="N174" t="str">
        <f>'mk 001 10.3'!N175</f>
        <v>1A53008400</v>
      </c>
      <c r="O174" t="str">
        <f>'mk 001 10.3'!O175</f>
        <v>บมจ. ซีพี แอ็กซ์ตร้า สาขานครอินทร์</v>
      </c>
      <c r="P174">
        <f>'mk 001 10.3'!P175</f>
        <v>2</v>
      </c>
      <c r="Q174" t="str">
        <f>'mk 001 10.3'!Q175</f>
        <v>MAKRO 0083 นครอินทร์</v>
      </c>
      <c r="R174" s="1">
        <f>'mk 001 10.3'!R175</f>
        <v>244658</v>
      </c>
      <c r="S174" s="1" t="str">
        <f>'mk 001 10.3'!S175</f>
        <v>14/5/2569</v>
      </c>
      <c r="T174" t="str">
        <f>'mk 001 10.3'!T175</f>
        <v>H6954RMA0059232</v>
      </c>
      <c r="U174">
        <f>'mk 001 10.3'!U175</f>
        <v>23087034</v>
      </c>
      <c r="V174" t="str">
        <f>'mk 001 10.3'!V175</f>
        <v>สะโพกหมูตัดเส้น(M)</v>
      </c>
      <c r="W174">
        <f>'mk 001 10.3'!W175</f>
        <v>15</v>
      </c>
      <c r="X174">
        <f>'mk 001 10.3'!X175</f>
        <v>15</v>
      </c>
      <c r="Y174">
        <f t="shared" si="2"/>
        <v>15</v>
      </c>
      <c r="Z174" s="13">
        <f>IF(COUNTIFS(แปลงข้อมูล!H:H,Q174,แปลงข้อมูล!I:I,U174,แปลงข้อมูล!J:J,V174)&gt;0,SUMIFS(แปลงข้อมูล!Q:Q,แปลงข้อมูล!I:I,U174,แปลงข้อมูล!H:H,Q174,แปลงข้อมูล!J:J,V174),'mk 001 10.3'!Z175)</f>
        <v>15</v>
      </c>
      <c r="AA174">
        <f>'mk 001 10.3'!AA175</f>
        <v>0</v>
      </c>
      <c r="AB174">
        <f>'mk 001 10.3'!AB175</f>
        <v>0</v>
      </c>
      <c r="AC174">
        <f>'mk 001 10.3'!AC175</f>
        <v>0</v>
      </c>
      <c r="AD174">
        <f>'mk 001 10.3'!AD175</f>
        <v>0</v>
      </c>
      <c r="AE174">
        <f>'mk 001 10.3'!AE175</f>
        <v>15</v>
      </c>
      <c r="AF174">
        <f>'mk 001 10.3'!AF175</f>
        <v>15</v>
      </c>
      <c r="AG174">
        <f>'mk 001 10.3'!AG175</f>
        <v>0</v>
      </c>
      <c r="AH174">
        <f>'mk 001 10.3'!AH175</f>
        <v>0</v>
      </c>
      <c r="AI174" t="str">
        <f>'mk 001 10.3'!AI175</f>
        <v>OPRCD489MOPRCD00000OPRCDF213OPRCD00000OPRCD923</v>
      </c>
      <c r="AJ174" t="str">
        <f>'mk 001 10.3'!AJ175</f>
        <v>ซื้อ / ขาย</v>
      </c>
      <c r="AK174" t="str">
        <f>'mk 001 10.3'!AK175</f>
        <v>Main proudct</v>
      </c>
      <c r="AL174" t="str">
        <f>'mk 001 10.3'!AL175</f>
        <v>Bulk Normal</v>
      </c>
      <c r="AM174" t="str">
        <f>'mk 001 10.3'!AM175</f>
        <v>สุกร</v>
      </c>
      <c r="AN174" t="str">
        <f>'mk 001 10.3'!AN175</f>
        <v>OT002 CC-Makro</v>
      </c>
      <c r="AO174" t="str">
        <f>'mk 001 10.3'!AO175</f>
        <v>MT</v>
      </c>
      <c r="AP174">
        <f>'mk 001 10.3'!AP175</f>
        <v>2</v>
      </c>
      <c r="AQ174">
        <f>'mk 001 10.3'!AQ175</f>
        <v>0</v>
      </c>
      <c r="AR174">
        <f>'mk 001 10.3'!AR175</f>
        <v>0</v>
      </c>
      <c r="AS174">
        <f>'mk 001 10.3'!AS175</f>
        <v>0</v>
      </c>
      <c r="AT174" t="str">
        <f>'mk 001 10.3'!AT175</f>
        <v>System Batch</v>
      </c>
      <c r="AU174" t="str">
        <f>'mk 001 10.3'!AU175</f>
        <v>2026-05-11-13.33.46.000000</v>
      </c>
      <c r="AV174" t="str">
        <f>'mk 001 10.3'!AV175</f>
        <v>ก.ก.</v>
      </c>
      <c r="AW174" t="str">
        <f>'mk 001 10.3'!AW175</f>
        <v>ก.ก.</v>
      </c>
      <c r="AX174" t="str">
        <f>'mk 001 10.3'!AX175</f>
        <v xml:space="preserve"> </v>
      </c>
      <c r="AY174">
        <f>'mk 001 10.3'!AY175</f>
        <v>0</v>
      </c>
      <c r="AZ174" t="str">
        <f>'mk 001 10.3'!AZ175</f>
        <v>N</v>
      </c>
      <c r="BA174" s="22">
        <f>'mk 001 10.3'!BA175</f>
        <v>9044989536447</v>
      </c>
      <c r="BB174">
        <f>'mk 001 10.3'!BB175</f>
        <v>0</v>
      </c>
      <c r="BC174">
        <f>'mk 001 10.3'!BC175</f>
        <v>0</v>
      </c>
      <c r="BD174">
        <f>'mk 001 10.3'!BD175</f>
        <v>1</v>
      </c>
      <c r="BE174">
        <f>'mk 001 10.3'!BE175</f>
        <v>0</v>
      </c>
      <c r="BF174" t="str">
        <f>'mk 001 10.3'!BF175</f>
        <v>;0000</v>
      </c>
      <c r="BG174">
        <f>'mk 001 10.3'!BG175</f>
        <v>1333314600</v>
      </c>
      <c r="BH174" t="str">
        <f>'mk 001 10.3'!BH175</f>
        <v>G</v>
      </c>
      <c r="BI174">
        <f>'mk 001 10.3'!BI175</f>
        <v>15</v>
      </c>
      <c r="BJ174">
        <f>'mk 001 10.3'!BJ175</f>
        <v>15</v>
      </c>
      <c r="BK174">
        <f>'mk 001 10.3'!BK175</f>
        <v>1300</v>
      </c>
      <c r="BL174" t="str">
        <f>'mk 001 10.3'!BL175</f>
        <v>SYSBATCH</v>
      </c>
      <c r="BM174">
        <f>'mk 001 10.3'!BM175</f>
        <v>0</v>
      </c>
      <c r="BN174">
        <f>'mk 001 10.3'!BN175</f>
        <v>0</v>
      </c>
    </row>
    <row r="175" spans="1:66" x14ac:dyDescent="0.35">
      <c r="A175">
        <f>'mk 001 10.3'!A176</f>
        <v>0</v>
      </c>
      <c r="B175">
        <f>'mk 001 10.3'!B176</f>
        <v>0</v>
      </c>
      <c r="C175" s="1" t="str">
        <f>'mk 001 10.3'!C176</f>
        <v>14/5/2569</v>
      </c>
      <c r="D175" s="1" t="str">
        <f>'mk 001 10.3'!D176</f>
        <v>14/5/2569</v>
      </c>
      <c r="E175">
        <f>'mk 001 10.3'!E176</f>
        <v>0</v>
      </c>
      <c r="F175" t="str">
        <f>'mk 001 10.3'!F176</f>
        <v>489M</v>
      </c>
      <c r="G175" t="str">
        <f>'mk 001 10.3'!G176</f>
        <v>Modern Trade (Makro)</v>
      </c>
      <c r="H175">
        <f>'mk 001 10.3'!H176</f>
        <v>0</v>
      </c>
      <c r="I175" t="str">
        <f>'mk 001 10.3'!I176</f>
        <v>หน่วยงานกลาง</v>
      </c>
      <c r="J175" t="str">
        <f>'mk 001 10.3'!J176</f>
        <v>F213  DMCW-รชล-พระพุทธบาท</v>
      </c>
      <c r="K175" t="str">
        <f>'mk 001 10.3'!K176</f>
        <v>00000  หน่วยงานกลาง</v>
      </c>
      <c r="L175">
        <f>'mk 001 10.3'!L176</f>
        <v>923</v>
      </c>
      <c r="M175">
        <f>'mk 001 10.3'!M176</f>
        <v>0</v>
      </c>
      <c r="N175" t="str">
        <f>'mk 001 10.3'!N176</f>
        <v>1A53008400</v>
      </c>
      <c r="O175" t="str">
        <f>'mk 001 10.3'!O176</f>
        <v>บมจ. ซีพี แอ็กซ์ตร้า สาขานครอินทร์</v>
      </c>
      <c r="P175">
        <f>'mk 001 10.3'!P176</f>
        <v>2</v>
      </c>
      <c r="Q175" t="str">
        <f>'mk 001 10.3'!Q176</f>
        <v>MAKRO 0083 นครอินทร์</v>
      </c>
      <c r="R175" s="1">
        <f>'mk 001 10.3'!R176</f>
        <v>244658</v>
      </c>
      <c r="S175" s="1" t="str">
        <f>'mk 001 10.3'!S176</f>
        <v>14/5/2569</v>
      </c>
      <c r="T175" t="str">
        <f>'mk 001 10.3'!T176</f>
        <v>H6954RMA0059232</v>
      </c>
      <c r="U175">
        <f>'mk 001 10.3'!U176</f>
        <v>23074624</v>
      </c>
      <c r="V175" t="str">
        <f>'mk 001 10.3'!V176</f>
        <v>เนื้อไหล่หมูตัดชิ้น (M)</v>
      </c>
      <c r="W175">
        <f>'mk 001 10.3'!W176</f>
        <v>40</v>
      </c>
      <c r="X175">
        <f>'mk 001 10.3'!X176</f>
        <v>40</v>
      </c>
      <c r="Y175">
        <f t="shared" si="2"/>
        <v>40</v>
      </c>
      <c r="Z175" s="13">
        <f>IF(COUNTIFS(แปลงข้อมูล!H:H,Q175,แปลงข้อมูล!I:I,U175,แปลงข้อมูล!J:J,V175)&gt;0,SUMIFS(แปลงข้อมูล!Q:Q,แปลงข้อมูล!I:I,U175,แปลงข้อมูล!H:H,Q175,แปลงข้อมูล!J:J,V175),'mk 001 10.3'!Z176)</f>
        <v>40</v>
      </c>
      <c r="AA175">
        <f>'mk 001 10.3'!AA176</f>
        <v>0</v>
      </c>
      <c r="AB175">
        <f>'mk 001 10.3'!AB176</f>
        <v>0</v>
      </c>
      <c r="AC175">
        <f>'mk 001 10.3'!AC176</f>
        <v>0</v>
      </c>
      <c r="AD175">
        <f>'mk 001 10.3'!AD176</f>
        <v>0</v>
      </c>
      <c r="AE175">
        <f>'mk 001 10.3'!AE176</f>
        <v>40</v>
      </c>
      <c r="AF175">
        <f>'mk 001 10.3'!AF176</f>
        <v>40</v>
      </c>
      <c r="AG175">
        <f>'mk 001 10.3'!AG176</f>
        <v>0</v>
      </c>
      <c r="AH175">
        <f>'mk 001 10.3'!AH176</f>
        <v>0</v>
      </c>
      <c r="AI175" t="str">
        <f>'mk 001 10.3'!AI176</f>
        <v>OPRCD489MOPRCD00000OPRCDF213OPRCD00000OPRCD923</v>
      </c>
      <c r="AJ175" t="str">
        <f>'mk 001 10.3'!AJ176</f>
        <v>ซื้อ / ขาย</v>
      </c>
      <c r="AK175" t="str">
        <f>'mk 001 10.3'!AK176</f>
        <v>Main proudct</v>
      </c>
      <c r="AL175" t="str">
        <f>'mk 001 10.3'!AL176</f>
        <v>Bulk Normal</v>
      </c>
      <c r="AM175" t="str">
        <f>'mk 001 10.3'!AM176</f>
        <v>สุกร</v>
      </c>
      <c r="AN175" t="str">
        <f>'mk 001 10.3'!AN176</f>
        <v>OT002 CC-Makro</v>
      </c>
      <c r="AO175" t="str">
        <f>'mk 001 10.3'!AO176</f>
        <v>MT</v>
      </c>
      <c r="AP175">
        <f>'mk 001 10.3'!AP176</f>
        <v>2</v>
      </c>
      <c r="AQ175">
        <f>'mk 001 10.3'!AQ176</f>
        <v>0</v>
      </c>
      <c r="AR175">
        <f>'mk 001 10.3'!AR176</f>
        <v>0</v>
      </c>
      <c r="AS175">
        <f>'mk 001 10.3'!AS176</f>
        <v>0</v>
      </c>
      <c r="AT175" t="str">
        <f>'mk 001 10.3'!AT176</f>
        <v>System Batch</v>
      </c>
      <c r="AU175" t="str">
        <f>'mk 001 10.3'!AU176</f>
        <v>2026-05-11-13.33.46.000000</v>
      </c>
      <c r="AV175" t="str">
        <f>'mk 001 10.3'!AV176</f>
        <v>ก.ก.</v>
      </c>
      <c r="AW175" t="str">
        <f>'mk 001 10.3'!AW176</f>
        <v>ก.ก.</v>
      </c>
      <c r="AX175" t="str">
        <f>'mk 001 10.3'!AX176</f>
        <v xml:space="preserve"> </v>
      </c>
      <c r="AY175">
        <f>'mk 001 10.3'!AY176</f>
        <v>0</v>
      </c>
      <c r="AZ175" t="str">
        <f>'mk 001 10.3'!AZ176</f>
        <v>N</v>
      </c>
      <c r="BA175" s="22">
        <f>'mk 001 10.3'!BA176</f>
        <v>9044989536447</v>
      </c>
      <c r="BB175">
        <f>'mk 001 10.3'!BB176</f>
        <v>0</v>
      </c>
      <c r="BC175">
        <f>'mk 001 10.3'!BC176</f>
        <v>0</v>
      </c>
      <c r="BD175">
        <f>'mk 001 10.3'!BD176</f>
        <v>1</v>
      </c>
      <c r="BE175">
        <f>'mk 001 10.3'!BE176</f>
        <v>0</v>
      </c>
      <c r="BF175" t="str">
        <f>'mk 001 10.3'!BF176</f>
        <v>;0000</v>
      </c>
      <c r="BG175">
        <f>'mk 001 10.3'!BG176</f>
        <v>1333314600</v>
      </c>
      <c r="BH175" t="str">
        <f>'mk 001 10.3'!BH176</f>
        <v>G</v>
      </c>
      <c r="BI175">
        <f>'mk 001 10.3'!BI176</f>
        <v>40</v>
      </c>
      <c r="BJ175">
        <f>'mk 001 10.3'!BJ176</f>
        <v>40</v>
      </c>
      <c r="BK175">
        <f>'mk 001 10.3'!BK176</f>
        <v>1300</v>
      </c>
      <c r="BL175" t="str">
        <f>'mk 001 10.3'!BL176</f>
        <v>SYSBATCH</v>
      </c>
      <c r="BM175">
        <f>'mk 001 10.3'!BM176</f>
        <v>0</v>
      </c>
      <c r="BN175">
        <f>'mk 001 10.3'!BN176</f>
        <v>0</v>
      </c>
    </row>
    <row r="176" spans="1:66" x14ac:dyDescent="0.35">
      <c r="A176">
        <f>'mk 001 10.3'!A177</f>
        <v>0</v>
      </c>
      <c r="B176">
        <f>'mk 001 10.3'!B177</f>
        <v>0</v>
      </c>
      <c r="C176" s="1" t="str">
        <f>'mk 001 10.3'!C177</f>
        <v>14/5/2569</v>
      </c>
      <c r="D176" s="1" t="str">
        <f>'mk 001 10.3'!D177</f>
        <v>14/5/2569</v>
      </c>
      <c r="E176">
        <f>'mk 001 10.3'!E177</f>
        <v>0</v>
      </c>
      <c r="F176" t="str">
        <f>'mk 001 10.3'!F177</f>
        <v>489M</v>
      </c>
      <c r="G176" t="str">
        <f>'mk 001 10.3'!G177</f>
        <v>Modern Trade (Makro)</v>
      </c>
      <c r="H176">
        <f>'mk 001 10.3'!H177</f>
        <v>0</v>
      </c>
      <c r="I176" t="str">
        <f>'mk 001 10.3'!I177</f>
        <v>หน่วยงานกลาง</v>
      </c>
      <c r="J176" t="str">
        <f>'mk 001 10.3'!J177</f>
        <v>F213  DMCW-รชล-พระพุทธบาท</v>
      </c>
      <c r="K176" t="str">
        <f>'mk 001 10.3'!K177</f>
        <v>00000  หน่วยงานกลาง</v>
      </c>
      <c r="L176">
        <f>'mk 001 10.3'!L177</f>
        <v>923</v>
      </c>
      <c r="M176">
        <f>'mk 001 10.3'!M177</f>
        <v>0</v>
      </c>
      <c r="N176" t="str">
        <f>'mk 001 10.3'!N177</f>
        <v>1A53008400</v>
      </c>
      <c r="O176" t="str">
        <f>'mk 001 10.3'!O177</f>
        <v>บมจ. ซีพี แอ็กซ์ตร้า สาขานครอินทร์</v>
      </c>
      <c r="P176">
        <f>'mk 001 10.3'!P177</f>
        <v>2</v>
      </c>
      <c r="Q176" t="str">
        <f>'mk 001 10.3'!Q177</f>
        <v>MAKRO 0083 นครอินทร์</v>
      </c>
      <c r="R176" s="1">
        <f>'mk 001 10.3'!R177</f>
        <v>244658</v>
      </c>
      <c r="S176" s="1" t="str">
        <f>'mk 001 10.3'!S177</f>
        <v>14/5/2569</v>
      </c>
      <c r="T176" t="str">
        <f>'mk 001 10.3'!T177</f>
        <v>H6954RMA0059232</v>
      </c>
      <c r="U176">
        <f>'mk 001 10.3'!U177</f>
        <v>23105753</v>
      </c>
      <c r="V176" t="str">
        <f>'mk 001 10.3'!V177</f>
        <v>เซพแพ็ค สะโพกหมู กก.ละ</v>
      </c>
      <c r="W176">
        <f>'mk 001 10.3'!W177</f>
        <v>20</v>
      </c>
      <c r="X176">
        <f>'mk 001 10.3'!X177</f>
        <v>20</v>
      </c>
      <c r="Y176">
        <f t="shared" si="2"/>
        <v>20</v>
      </c>
      <c r="Z176" s="13">
        <f>IF(COUNTIFS(แปลงข้อมูล!H:H,Q176,แปลงข้อมูล!I:I,U176,แปลงข้อมูล!J:J,V176)&gt;0,SUMIFS(แปลงข้อมูล!Q:Q,แปลงข้อมูล!I:I,U176,แปลงข้อมูล!H:H,Q176,แปลงข้อมูล!J:J,V176),'mk 001 10.3'!Z177)</f>
        <v>20</v>
      </c>
      <c r="AA176">
        <f>'mk 001 10.3'!AA177</f>
        <v>0</v>
      </c>
      <c r="AB176">
        <f>'mk 001 10.3'!AB177</f>
        <v>0</v>
      </c>
      <c r="AC176">
        <f>'mk 001 10.3'!AC177</f>
        <v>0</v>
      </c>
      <c r="AD176">
        <f>'mk 001 10.3'!AD177</f>
        <v>0</v>
      </c>
      <c r="AE176">
        <f>'mk 001 10.3'!AE177</f>
        <v>20</v>
      </c>
      <c r="AF176">
        <f>'mk 001 10.3'!AF177</f>
        <v>20</v>
      </c>
      <c r="AG176">
        <f>'mk 001 10.3'!AG177</f>
        <v>0</v>
      </c>
      <c r="AH176">
        <f>'mk 001 10.3'!AH177</f>
        <v>0</v>
      </c>
      <c r="AI176" t="str">
        <f>'mk 001 10.3'!AI177</f>
        <v>OPRCD489MOPRCD00000OPRCDF213OPRCD00000OPRCD923</v>
      </c>
      <c r="AJ176" t="str">
        <f>'mk 001 10.3'!AJ177</f>
        <v>ซื้อ / ขาย</v>
      </c>
      <c r="AK176" t="str">
        <f>'mk 001 10.3'!AK177</f>
        <v>Main proudct</v>
      </c>
      <c r="AL176" t="str">
        <f>'mk 001 10.3'!AL177</f>
        <v>Bulk Normal</v>
      </c>
      <c r="AM176" t="str">
        <f>'mk 001 10.3'!AM177</f>
        <v>สุกร</v>
      </c>
      <c r="AN176" t="str">
        <f>'mk 001 10.3'!AN177</f>
        <v>OT002 CC-Makro</v>
      </c>
      <c r="AO176" t="str">
        <f>'mk 001 10.3'!AO177</f>
        <v>MT</v>
      </c>
      <c r="AP176">
        <f>'mk 001 10.3'!AP177</f>
        <v>2</v>
      </c>
      <c r="AQ176">
        <f>'mk 001 10.3'!AQ177</f>
        <v>0</v>
      </c>
      <c r="AR176">
        <f>'mk 001 10.3'!AR177</f>
        <v>0</v>
      </c>
      <c r="AS176">
        <f>'mk 001 10.3'!AS177</f>
        <v>0</v>
      </c>
      <c r="AT176" t="str">
        <f>'mk 001 10.3'!AT177</f>
        <v>System Batch</v>
      </c>
      <c r="AU176" t="str">
        <f>'mk 001 10.3'!AU177</f>
        <v>2026-05-11-13.33.46.000000</v>
      </c>
      <c r="AV176" t="str">
        <f>'mk 001 10.3'!AV177</f>
        <v>ก.ก.</v>
      </c>
      <c r="AW176" t="str">
        <f>'mk 001 10.3'!AW177</f>
        <v>ก.ก.</v>
      </c>
      <c r="AX176" t="str">
        <f>'mk 001 10.3'!AX177</f>
        <v xml:space="preserve"> </v>
      </c>
      <c r="AY176">
        <f>'mk 001 10.3'!AY177</f>
        <v>0</v>
      </c>
      <c r="AZ176" t="str">
        <f>'mk 001 10.3'!AZ177</f>
        <v>N</v>
      </c>
      <c r="BA176" s="22">
        <f>'mk 001 10.3'!BA177</f>
        <v>9044989536447</v>
      </c>
      <c r="BB176">
        <f>'mk 001 10.3'!BB177</f>
        <v>0</v>
      </c>
      <c r="BC176">
        <f>'mk 001 10.3'!BC177</f>
        <v>0</v>
      </c>
      <c r="BD176">
        <f>'mk 001 10.3'!BD177</f>
        <v>1</v>
      </c>
      <c r="BE176">
        <f>'mk 001 10.3'!BE177</f>
        <v>0</v>
      </c>
      <c r="BF176" t="str">
        <f>'mk 001 10.3'!BF177</f>
        <v>;0000</v>
      </c>
      <c r="BG176">
        <f>'mk 001 10.3'!BG177</f>
        <v>1333314600</v>
      </c>
      <c r="BH176" t="str">
        <f>'mk 001 10.3'!BH177</f>
        <v>G</v>
      </c>
      <c r="BI176">
        <f>'mk 001 10.3'!BI177</f>
        <v>20</v>
      </c>
      <c r="BJ176">
        <f>'mk 001 10.3'!BJ177</f>
        <v>20</v>
      </c>
      <c r="BK176">
        <f>'mk 001 10.3'!BK177</f>
        <v>1300</v>
      </c>
      <c r="BL176" t="str">
        <f>'mk 001 10.3'!BL177</f>
        <v>SYSBATCH</v>
      </c>
      <c r="BM176">
        <f>'mk 001 10.3'!BM177</f>
        <v>0</v>
      </c>
      <c r="BN176">
        <f>'mk 001 10.3'!BN177</f>
        <v>0</v>
      </c>
    </row>
    <row r="177" spans="1:66" x14ac:dyDescent="0.35">
      <c r="A177">
        <f>'mk 001 10.3'!A178</f>
        <v>0</v>
      </c>
      <c r="B177">
        <f>'mk 001 10.3'!B178</f>
        <v>0</v>
      </c>
      <c r="C177" s="1" t="str">
        <f>'mk 001 10.3'!C178</f>
        <v>14/5/2569</v>
      </c>
      <c r="D177" s="1" t="str">
        <f>'mk 001 10.3'!D178</f>
        <v>14/5/2569</v>
      </c>
      <c r="E177">
        <f>'mk 001 10.3'!E178</f>
        <v>0</v>
      </c>
      <c r="F177" t="str">
        <f>'mk 001 10.3'!F178</f>
        <v>489M</v>
      </c>
      <c r="G177" t="str">
        <f>'mk 001 10.3'!G178</f>
        <v>Modern Trade (Makro)</v>
      </c>
      <c r="H177">
        <f>'mk 001 10.3'!H178</f>
        <v>0</v>
      </c>
      <c r="I177" t="str">
        <f>'mk 001 10.3'!I178</f>
        <v>หน่วยงานกลาง</v>
      </c>
      <c r="J177" t="str">
        <f>'mk 001 10.3'!J178</f>
        <v>F213  DMCW-รชล-พระพุทธบาท</v>
      </c>
      <c r="K177" t="str">
        <f>'mk 001 10.3'!K178</f>
        <v>00000  หน่วยงานกลาง</v>
      </c>
      <c r="L177">
        <f>'mk 001 10.3'!L178</f>
        <v>923</v>
      </c>
      <c r="M177">
        <f>'mk 001 10.3'!M178</f>
        <v>0</v>
      </c>
      <c r="N177" t="str">
        <f>'mk 001 10.3'!N178</f>
        <v>1A53008400</v>
      </c>
      <c r="O177" t="str">
        <f>'mk 001 10.3'!O178</f>
        <v>บมจ. ซีพี แอ็กซ์ตร้า สาขานครอินทร์</v>
      </c>
      <c r="P177">
        <f>'mk 001 10.3'!P178</f>
        <v>2</v>
      </c>
      <c r="Q177" t="str">
        <f>'mk 001 10.3'!Q178</f>
        <v>MAKRO 0083 นครอินทร์</v>
      </c>
      <c r="R177" s="1">
        <f>'mk 001 10.3'!R178</f>
        <v>244658</v>
      </c>
      <c r="S177" s="1" t="str">
        <f>'mk 001 10.3'!S178</f>
        <v>14/5/2569</v>
      </c>
      <c r="T177" t="str">
        <f>'mk 001 10.3'!T178</f>
        <v>H6954RMA0059232</v>
      </c>
      <c r="U177">
        <f>'mk 001 10.3'!U178</f>
        <v>23070475</v>
      </c>
      <c r="V177" t="str">
        <f>'mk 001 10.3'!V178</f>
        <v>สามชั้นหมูตัดเส้น 3-4 นิ้ว</v>
      </c>
      <c r="W177">
        <f>'mk 001 10.3'!W178</f>
        <v>40</v>
      </c>
      <c r="X177">
        <f>'mk 001 10.3'!X178</f>
        <v>40</v>
      </c>
      <c r="Y177">
        <f t="shared" si="2"/>
        <v>40</v>
      </c>
      <c r="Z177" s="13">
        <f>IF(COUNTIFS(แปลงข้อมูล!H:H,Q177,แปลงข้อมูล!I:I,U177,แปลงข้อมูล!J:J,V177)&gt;0,SUMIFS(แปลงข้อมูล!Q:Q,แปลงข้อมูล!I:I,U177,แปลงข้อมูล!H:H,Q177,แปลงข้อมูล!J:J,V177),'mk 001 10.3'!Z178)</f>
        <v>40</v>
      </c>
      <c r="AA177">
        <f>'mk 001 10.3'!AA178</f>
        <v>0</v>
      </c>
      <c r="AB177">
        <f>'mk 001 10.3'!AB178</f>
        <v>0</v>
      </c>
      <c r="AC177">
        <f>'mk 001 10.3'!AC178</f>
        <v>0</v>
      </c>
      <c r="AD177">
        <f>'mk 001 10.3'!AD178</f>
        <v>0</v>
      </c>
      <c r="AE177">
        <f>'mk 001 10.3'!AE178</f>
        <v>40</v>
      </c>
      <c r="AF177">
        <f>'mk 001 10.3'!AF178</f>
        <v>40</v>
      </c>
      <c r="AG177">
        <f>'mk 001 10.3'!AG178</f>
        <v>0</v>
      </c>
      <c r="AH177">
        <f>'mk 001 10.3'!AH178</f>
        <v>0</v>
      </c>
      <c r="AI177" t="str">
        <f>'mk 001 10.3'!AI178</f>
        <v>OPRCD489MOPRCD00000OPRCDF213OPRCD00000OPRCD923</v>
      </c>
      <c r="AJ177" t="str">
        <f>'mk 001 10.3'!AJ178</f>
        <v>ซื้อ / ขาย</v>
      </c>
      <c r="AK177" t="str">
        <f>'mk 001 10.3'!AK178</f>
        <v>Main proudct</v>
      </c>
      <c r="AL177" t="str">
        <f>'mk 001 10.3'!AL178</f>
        <v>Bulk Normal</v>
      </c>
      <c r="AM177" t="str">
        <f>'mk 001 10.3'!AM178</f>
        <v>สุกร</v>
      </c>
      <c r="AN177" t="str">
        <f>'mk 001 10.3'!AN178</f>
        <v>OT002 CC-Makro</v>
      </c>
      <c r="AO177" t="str">
        <f>'mk 001 10.3'!AO178</f>
        <v>MT</v>
      </c>
      <c r="AP177">
        <f>'mk 001 10.3'!AP178</f>
        <v>2</v>
      </c>
      <c r="AQ177">
        <f>'mk 001 10.3'!AQ178</f>
        <v>0</v>
      </c>
      <c r="AR177">
        <f>'mk 001 10.3'!AR178</f>
        <v>0</v>
      </c>
      <c r="AS177">
        <f>'mk 001 10.3'!AS178</f>
        <v>0</v>
      </c>
      <c r="AT177" t="str">
        <f>'mk 001 10.3'!AT178</f>
        <v>System Batch</v>
      </c>
      <c r="AU177" t="str">
        <f>'mk 001 10.3'!AU178</f>
        <v>2026-05-11-13.33.46.000000</v>
      </c>
      <c r="AV177" t="str">
        <f>'mk 001 10.3'!AV178</f>
        <v>ก.ก.</v>
      </c>
      <c r="AW177" t="str">
        <f>'mk 001 10.3'!AW178</f>
        <v>ก.ก.</v>
      </c>
      <c r="AX177" t="str">
        <f>'mk 001 10.3'!AX178</f>
        <v xml:space="preserve"> </v>
      </c>
      <c r="AY177">
        <f>'mk 001 10.3'!AY178</f>
        <v>0</v>
      </c>
      <c r="AZ177" t="str">
        <f>'mk 001 10.3'!AZ178</f>
        <v>N</v>
      </c>
      <c r="BA177" s="22">
        <f>'mk 001 10.3'!BA178</f>
        <v>9044989536447</v>
      </c>
      <c r="BB177">
        <f>'mk 001 10.3'!BB178</f>
        <v>0</v>
      </c>
      <c r="BC177">
        <f>'mk 001 10.3'!BC178</f>
        <v>0</v>
      </c>
      <c r="BD177">
        <f>'mk 001 10.3'!BD178</f>
        <v>1</v>
      </c>
      <c r="BE177">
        <f>'mk 001 10.3'!BE178</f>
        <v>0</v>
      </c>
      <c r="BF177" t="str">
        <f>'mk 001 10.3'!BF178</f>
        <v>;0000</v>
      </c>
      <c r="BG177">
        <f>'mk 001 10.3'!BG178</f>
        <v>1333314600</v>
      </c>
      <c r="BH177" t="str">
        <f>'mk 001 10.3'!BH178</f>
        <v>G</v>
      </c>
      <c r="BI177">
        <f>'mk 001 10.3'!BI178</f>
        <v>40</v>
      </c>
      <c r="BJ177">
        <f>'mk 001 10.3'!BJ178</f>
        <v>40</v>
      </c>
      <c r="BK177">
        <f>'mk 001 10.3'!BK178</f>
        <v>1300</v>
      </c>
      <c r="BL177" t="str">
        <f>'mk 001 10.3'!BL178</f>
        <v>SYSBATCH</v>
      </c>
      <c r="BM177">
        <f>'mk 001 10.3'!BM178</f>
        <v>0</v>
      </c>
      <c r="BN177">
        <f>'mk 001 10.3'!BN178</f>
        <v>0</v>
      </c>
    </row>
    <row r="178" spans="1:66" x14ac:dyDescent="0.35">
      <c r="A178">
        <f>'mk 001 10.3'!A179</f>
        <v>0</v>
      </c>
      <c r="B178">
        <f>'mk 001 10.3'!B179</f>
        <v>0</v>
      </c>
      <c r="C178" s="1" t="str">
        <f>'mk 001 10.3'!C179</f>
        <v>14/5/2569</v>
      </c>
      <c r="D178" s="1" t="str">
        <f>'mk 001 10.3'!D179</f>
        <v>14/5/2569</v>
      </c>
      <c r="E178">
        <f>'mk 001 10.3'!E179</f>
        <v>0</v>
      </c>
      <c r="F178" t="str">
        <f>'mk 001 10.3'!F179</f>
        <v>489M</v>
      </c>
      <c r="G178" t="str">
        <f>'mk 001 10.3'!G179</f>
        <v>Modern Trade (Makro)</v>
      </c>
      <c r="H178">
        <f>'mk 001 10.3'!H179</f>
        <v>0</v>
      </c>
      <c r="I178" t="str">
        <f>'mk 001 10.3'!I179</f>
        <v>หน่วยงานกลาง</v>
      </c>
      <c r="J178" t="str">
        <f>'mk 001 10.3'!J179</f>
        <v>F213  DMCW-รชล-พระพุทธบาท</v>
      </c>
      <c r="K178" t="str">
        <f>'mk 001 10.3'!K179</f>
        <v>00000  หน่วยงานกลาง</v>
      </c>
      <c r="L178">
        <f>'mk 001 10.3'!L179</f>
        <v>923</v>
      </c>
      <c r="M178">
        <f>'mk 001 10.3'!M179</f>
        <v>0</v>
      </c>
      <c r="N178" t="str">
        <f>'mk 001 10.3'!N179</f>
        <v>1A53008400</v>
      </c>
      <c r="O178" t="str">
        <f>'mk 001 10.3'!O179</f>
        <v>บมจ. ซีพี แอ็กซ์ตร้า สาขานครอินทร์</v>
      </c>
      <c r="P178">
        <f>'mk 001 10.3'!P179</f>
        <v>2</v>
      </c>
      <c r="Q178" t="str">
        <f>'mk 001 10.3'!Q179</f>
        <v>MAKRO 0083 นครอินทร์</v>
      </c>
      <c r="R178" s="1">
        <f>'mk 001 10.3'!R179</f>
        <v>244658</v>
      </c>
      <c r="S178" s="1" t="str">
        <f>'mk 001 10.3'!S179</f>
        <v>14/5/2569</v>
      </c>
      <c r="T178" t="str">
        <f>'mk 001 10.3'!T179</f>
        <v>H6954RMA0059232</v>
      </c>
      <c r="U178">
        <f>'mk 001 10.3'!U179</f>
        <v>23105754</v>
      </c>
      <c r="V178" t="str">
        <f>'mk 001 10.3'!V179</f>
        <v>เซพแพ็ค สามชั้นหมู กก.ละ</v>
      </c>
      <c r="W178">
        <f>'mk 001 10.3'!W179</f>
        <v>20</v>
      </c>
      <c r="X178">
        <f>'mk 001 10.3'!X179</f>
        <v>20</v>
      </c>
      <c r="Y178">
        <f t="shared" si="2"/>
        <v>20</v>
      </c>
      <c r="Z178" s="13">
        <f>IF(COUNTIFS(แปลงข้อมูล!H:H,Q178,แปลงข้อมูล!I:I,U178,แปลงข้อมูล!J:J,V178)&gt;0,SUMIFS(แปลงข้อมูล!Q:Q,แปลงข้อมูล!I:I,U178,แปลงข้อมูล!H:H,Q178,แปลงข้อมูล!J:J,V178),'mk 001 10.3'!Z179)</f>
        <v>20</v>
      </c>
      <c r="AA178">
        <f>'mk 001 10.3'!AA179</f>
        <v>0</v>
      </c>
      <c r="AB178">
        <f>'mk 001 10.3'!AB179</f>
        <v>0</v>
      </c>
      <c r="AC178">
        <f>'mk 001 10.3'!AC179</f>
        <v>0</v>
      </c>
      <c r="AD178">
        <f>'mk 001 10.3'!AD179</f>
        <v>0</v>
      </c>
      <c r="AE178">
        <f>'mk 001 10.3'!AE179</f>
        <v>20</v>
      </c>
      <c r="AF178">
        <f>'mk 001 10.3'!AF179</f>
        <v>20</v>
      </c>
      <c r="AG178">
        <f>'mk 001 10.3'!AG179</f>
        <v>0</v>
      </c>
      <c r="AH178">
        <f>'mk 001 10.3'!AH179</f>
        <v>0</v>
      </c>
      <c r="AI178" t="str">
        <f>'mk 001 10.3'!AI179</f>
        <v>OPRCD489MOPRCD00000OPRCDF213OPRCD00000OPRCD923</v>
      </c>
      <c r="AJ178" t="str">
        <f>'mk 001 10.3'!AJ179</f>
        <v>ซื้อ / ขาย</v>
      </c>
      <c r="AK178" t="str">
        <f>'mk 001 10.3'!AK179</f>
        <v>Main proudct</v>
      </c>
      <c r="AL178" t="str">
        <f>'mk 001 10.3'!AL179</f>
        <v>Bulk Normal</v>
      </c>
      <c r="AM178" t="str">
        <f>'mk 001 10.3'!AM179</f>
        <v>สุกร</v>
      </c>
      <c r="AN178" t="str">
        <f>'mk 001 10.3'!AN179</f>
        <v>OT002 CC-Makro</v>
      </c>
      <c r="AO178" t="str">
        <f>'mk 001 10.3'!AO179</f>
        <v>MT</v>
      </c>
      <c r="AP178">
        <f>'mk 001 10.3'!AP179</f>
        <v>2</v>
      </c>
      <c r="AQ178">
        <f>'mk 001 10.3'!AQ179</f>
        <v>0</v>
      </c>
      <c r="AR178">
        <f>'mk 001 10.3'!AR179</f>
        <v>0</v>
      </c>
      <c r="AS178">
        <f>'mk 001 10.3'!AS179</f>
        <v>0</v>
      </c>
      <c r="AT178" t="str">
        <f>'mk 001 10.3'!AT179</f>
        <v>System Batch</v>
      </c>
      <c r="AU178" t="str">
        <f>'mk 001 10.3'!AU179</f>
        <v>2026-05-11-13.33.46.000000</v>
      </c>
      <c r="AV178" t="str">
        <f>'mk 001 10.3'!AV179</f>
        <v>ก.ก.</v>
      </c>
      <c r="AW178" t="str">
        <f>'mk 001 10.3'!AW179</f>
        <v>ก.ก.</v>
      </c>
      <c r="AX178" t="str">
        <f>'mk 001 10.3'!AX179</f>
        <v xml:space="preserve"> </v>
      </c>
      <c r="AY178">
        <f>'mk 001 10.3'!AY179</f>
        <v>0</v>
      </c>
      <c r="AZ178" t="str">
        <f>'mk 001 10.3'!AZ179</f>
        <v>N</v>
      </c>
      <c r="BA178" s="22">
        <f>'mk 001 10.3'!BA179</f>
        <v>9044989536447</v>
      </c>
      <c r="BB178">
        <f>'mk 001 10.3'!BB179</f>
        <v>0</v>
      </c>
      <c r="BC178">
        <f>'mk 001 10.3'!BC179</f>
        <v>0</v>
      </c>
      <c r="BD178">
        <f>'mk 001 10.3'!BD179</f>
        <v>1</v>
      </c>
      <c r="BE178">
        <f>'mk 001 10.3'!BE179</f>
        <v>0</v>
      </c>
      <c r="BF178" t="str">
        <f>'mk 001 10.3'!BF179</f>
        <v>;0000</v>
      </c>
      <c r="BG178">
        <f>'mk 001 10.3'!BG179</f>
        <v>1333314600</v>
      </c>
      <c r="BH178" t="str">
        <f>'mk 001 10.3'!BH179</f>
        <v>G</v>
      </c>
      <c r="BI178">
        <f>'mk 001 10.3'!BI179</f>
        <v>20</v>
      </c>
      <c r="BJ178">
        <f>'mk 001 10.3'!BJ179</f>
        <v>20</v>
      </c>
      <c r="BK178">
        <f>'mk 001 10.3'!BK179</f>
        <v>1300</v>
      </c>
      <c r="BL178" t="str">
        <f>'mk 001 10.3'!BL179</f>
        <v>SYSBATCH</v>
      </c>
      <c r="BM178">
        <f>'mk 001 10.3'!BM179</f>
        <v>0</v>
      </c>
      <c r="BN178">
        <f>'mk 001 10.3'!BN179</f>
        <v>0</v>
      </c>
    </row>
    <row r="179" spans="1:66" x14ac:dyDescent="0.35">
      <c r="A179">
        <f>'mk 001 10.3'!A180</f>
        <v>0</v>
      </c>
      <c r="B179">
        <f>'mk 001 10.3'!B180</f>
        <v>0</v>
      </c>
      <c r="C179" s="1" t="str">
        <f>'mk 001 10.3'!C180</f>
        <v>14/5/2569</v>
      </c>
      <c r="D179" s="1" t="str">
        <f>'mk 001 10.3'!D180</f>
        <v>14/5/2569</v>
      </c>
      <c r="E179">
        <f>'mk 001 10.3'!E180</f>
        <v>0</v>
      </c>
      <c r="F179" t="str">
        <f>'mk 001 10.3'!F180</f>
        <v>489M</v>
      </c>
      <c r="G179" t="str">
        <f>'mk 001 10.3'!G180</f>
        <v>Modern Trade (Makro)</v>
      </c>
      <c r="H179">
        <f>'mk 001 10.3'!H180</f>
        <v>0</v>
      </c>
      <c r="I179" t="str">
        <f>'mk 001 10.3'!I180</f>
        <v>หน่วยงานกลาง</v>
      </c>
      <c r="J179" t="str">
        <f>'mk 001 10.3'!J180</f>
        <v>F213  DMCW-รชล-พระพุทธบาท</v>
      </c>
      <c r="K179" t="str">
        <f>'mk 001 10.3'!K180</f>
        <v>00000  หน่วยงานกลาง</v>
      </c>
      <c r="L179">
        <f>'mk 001 10.3'!L180</f>
        <v>923</v>
      </c>
      <c r="M179">
        <f>'mk 001 10.3'!M180</f>
        <v>0</v>
      </c>
      <c r="N179" t="str">
        <f>'mk 001 10.3'!N180</f>
        <v>1A53008400</v>
      </c>
      <c r="O179" t="str">
        <f>'mk 001 10.3'!O180</f>
        <v>บมจ. ซีพี แอ็กซ์ตร้า สาขานครอินทร์</v>
      </c>
      <c r="P179">
        <f>'mk 001 10.3'!P180</f>
        <v>2</v>
      </c>
      <c r="Q179" t="str">
        <f>'mk 001 10.3'!Q180</f>
        <v>MAKRO 0083 นครอินทร์</v>
      </c>
      <c r="R179" s="1">
        <f>'mk 001 10.3'!R180</f>
        <v>244658</v>
      </c>
      <c r="S179" s="1" t="str">
        <f>'mk 001 10.3'!S180</f>
        <v>14/5/2569</v>
      </c>
      <c r="T179" t="str">
        <f>'mk 001 10.3'!T180</f>
        <v>H6954RMA0059232</v>
      </c>
      <c r="U179">
        <f>'mk 001 10.3'!U180</f>
        <v>23062107</v>
      </c>
      <c r="V179" t="str">
        <f>'mk 001 10.3'!V180</f>
        <v>เลือดก้อน(M)</v>
      </c>
      <c r="W179">
        <f>'mk 001 10.3'!W180</f>
        <v>30</v>
      </c>
      <c r="X179">
        <f>'mk 001 10.3'!X180</f>
        <v>30</v>
      </c>
      <c r="Y179">
        <f t="shared" si="2"/>
        <v>30</v>
      </c>
      <c r="Z179" s="13">
        <f>IF(COUNTIFS(แปลงข้อมูล!H:H,Q179,แปลงข้อมูล!I:I,U179,แปลงข้อมูล!J:J,V179)&gt;0,SUMIFS(แปลงข้อมูล!Q:Q,แปลงข้อมูล!I:I,U179,แปลงข้อมูล!H:H,Q179,แปลงข้อมูล!J:J,V179),'mk 001 10.3'!Z180)</f>
        <v>30</v>
      </c>
      <c r="AA179">
        <f>'mk 001 10.3'!AA180</f>
        <v>0</v>
      </c>
      <c r="AB179">
        <f>'mk 001 10.3'!AB180</f>
        <v>0</v>
      </c>
      <c r="AC179">
        <f>'mk 001 10.3'!AC180</f>
        <v>0</v>
      </c>
      <c r="AD179">
        <f>'mk 001 10.3'!AD180</f>
        <v>0</v>
      </c>
      <c r="AE179">
        <f>'mk 001 10.3'!AE180</f>
        <v>30</v>
      </c>
      <c r="AF179">
        <f>'mk 001 10.3'!AF180</f>
        <v>30</v>
      </c>
      <c r="AG179">
        <f>'mk 001 10.3'!AG180</f>
        <v>0</v>
      </c>
      <c r="AH179">
        <f>'mk 001 10.3'!AH180</f>
        <v>0</v>
      </c>
      <c r="AI179" t="str">
        <f>'mk 001 10.3'!AI180</f>
        <v>OPRCD489MOPRCD00000OPRCDF213OPRCD00000OPRCD923</v>
      </c>
      <c r="AJ179" t="str">
        <f>'mk 001 10.3'!AJ180</f>
        <v>ซื้อ / ขาย</v>
      </c>
      <c r="AK179" t="str">
        <f>'mk 001 10.3'!AK180</f>
        <v>By proudct</v>
      </c>
      <c r="AL179" t="str">
        <f>'mk 001 10.3'!AL180</f>
        <v>Bulk Normal</v>
      </c>
      <c r="AM179" t="str">
        <f>'mk 001 10.3'!AM180</f>
        <v>สุกร</v>
      </c>
      <c r="AN179" t="str">
        <f>'mk 001 10.3'!AN180</f>
        <v>OT002 CC-Makro</v>
      </c>
      <c r="AO179" t="str">
        <f>'mk 001 10.3'!AO180</f>
        <v>MT</v>
      </c>
      <c r="AP179">
        <f>'mk 001 10.3'!AP180</f>
        <v>2</v>
      </c>
      <c r="AQ179">
        <f>'mk 001 10.3'!AQ180</f>
        <v>0</v>
      </c>
      <c r="AR179">
        <f>'mk 001 10.3'!AR180</f>
        <v>0</v>
      </c>
      <c r="AS179">
        <f>'mk 001 10.3'!AS180</f>
        <v>0</v>
      </c>
      <c r="AT179" t="str">
        <f>'mk 001 10.3'!AT180</f>
        <v>System Batch</v>
      </c>
      <c r="AU179" t="str">
        <f>'mk 001 10.3'!AU180</f>
        <v>2026-05-11-13.33.46.000000</v>
      </c>
      <c r="AV179" t="str">
        <f>'mk 001 10.3'!AV180</f>
        <v>ก.ก.</v>
      </c>
      <c r="AW179" t="str">
        <f>'mk 001 10.3'!AW180</f>
        <v>ก.ก.</v>
      </c>
      <c r="AX179" t="str">
        <f>'mk 001 10.3'!AX180</f>
        <v xml:space="preserve"> </v>
      </c>
      <c r="AY179">
        <f>'mk 001 10.3'!AY180</f>
        <v>0</v>
      </c>
      <c r="AZ179" t="str">
        <f>'mk 001 10.3'!AZ180</f>
        <v>N</v>
      </c>
      <c r="BA179" s="22">
        <f>'mk 001 10.3'!BA180</f>
        <v>9044989536447</v>
      </c>
      <c r="BB179">
        <f>'mk 001 10.3'!BB180</f>
        <v>0</v>
      </c>
      <c r="BC179">
        <f>'mk 001 10.3'!BC180</f>
        <v>0</v>
      </c>
      <c r="BD179">
        <f>'mk 001 10.3'!BD180</f>
        <v>1</v>
      </c>
      <c r="BE179">
        <f>'mk 001 10.3'!BE180</f>
        <v>0</v>
      </c>
      <c r="BF179" t="str">
        <f>'mk 001 10.3'!BF180</f>
        <v>;0000</v>
      </c>
      <c r="BG179">
        <f>'mk 001 10.3'!BG180</f>
        <v>1333314600</v>
      </c>
      <c r="BH179" t="str">
        <f>'mk 001 10.3'!BH180</f>
        <v>G</v>
      </c>
      <c r="BI179">
        <f>'mk 001 10.3'!BI180</f>
        <v>30</v>
      </c>
      <c r="BJ179">
        <f>'mk 001 10.3'!BJ180</f>
        <v>30</v>
      </c>
      <c r="BK179">
        <f>'mk 001 10.3'!BK180</f>
        <v>1300</v>
      </c>
      <c r="BL179" t="str">
        <f>'mk 001 10.3'!BL180</f>
        <v>SYSBATCH</v>
      </c>
      <c r="BM179">
        <f>'mk 001 10.3'!BM180</f>
        <v>0</v>
      </c>
      <c r="BN179">
        <f>'mk 001 10.3'!BN180</f>
        <v>0</v>
      </c>
    </row>
    <row r="180" spans="1:66" x14ac:dyDescent="0.35">
      <c r="A180">
        <f>'mk 001 10.3'!A181</f>
        <v>0</v>
      </c>
      <c r="B180">
        <f>'mk 001 10.3'!B181</f>
        <v>0</v>
      </c>
      <c r="C180" s="1" t="str">
        <f>'mk 001 10.3'!C181</f>
        <v>14/5/2569</v>
      </c>
      <c r="D180" s="1" t="str">
        <f>'mk 001 10.3'!D181</f>
        <v>14/5/2569</v>
      </c>
      <c r="E180">
        <f>'mk 001 10.3'!E181</f>
        <v>0</v>
      </c>
      <c r="F180" t="str">
        <f>'mk 001 10.3'!F181</f>
        <v>489M</v>
      </c>
      <c r="G180" t="str">
        <f>'mk 001 10.3'!G181</f>
        <v>Modern Trade (Makro)</v>
      </c>
      <c r="H180">
        <f>'mk 001 10.3'!H181</f>
        <v>0</v>
      </c>
      <c r="I180" t="str">
        <f>'mk 001 10.3'!I181</f>
        <v>หน่วยงานกลาง</v>
      </c>
      <c r="J180" t="str">
        <f>'mk 001 10.3'!J181</f>
        <v>F213  DMCW-รชล-พระพุทธบาท</v>
      </c>
      <c r="K180" t="str">
        <f>'mk 001 10.3'!K181</f>
        <v>00000  หน่วยงานกลาง</v>
      </c>
      <c r="L180">
        <f>'mk 001 10.3'!L181</f>
        <v>923</v>
      </c>
      <c r="M180">
        <f>'mk 001 10.3'!M181</f>
        <v>0</v>
      </c>
      <c r="N180" t="str">
        <f>'mk 001 10.3'!N181</f>
        <v>1A53008400</v>
      </c>
      <c r="O180" t="str">
        <f>'mk 001 10.3'!O181</f>
        <v>บมจ. ซีพี แอ็กซ์ตร้า สาขานครอินทร์</v>
      </c>
      <c r="P180">
        <f>'mk 001 10.3'!P181</f>
        <v>2</v>
      </c>
      <c r="Q180" t="str">
        <f>'mk 001 10.3'!Q181</f>
        <v>MAKRO 0083 นครอินทร์</v>
      </c>
      <c r="R180" s="1">
        <f>'mk 001 10.3'!R181</f>
        <v>244658</v>
      </c>
      <c r="S180" s="1" t="str">
        <f>'mk 001 10.3'!S181</f>
        <v>14/5/2569</v>
      </c>
      <c r="T180" t="str">
        <f>'mk 001 10.3'!T181</f>
        <v>H6954RMA0059232</v>
      </c>
      <c r="U180">
        <f>'mk 001 10.3'!U181</f>
        <v>23074625</v>
      </c>
      <c r="V180" t="str">
        <f>'mk 001 10.3'!V181</f>
        <v>สะโพกหมูตัดชิ้น (M)</v>
      </c>
      <c r="W180">
        <f>'mk 001 10.3'!W181</f>
        <v>40</v>
      </c>
      <c r="X180">
        <f>'mk 001 10.3'!X181</f>
        <v>40</v>
      </c>
      <c r="Y180">
        <f t="shared" si="2"/>
        <v>40</v>
      </c>
      <c r="Z180" s="13">
        <f>IF(COUNTIFS(แปลงข้อมูล!H:H,Q180,แปลงข้อมูล!I:I,U180,แปลงข้อมูล!J:J,V180)&gt;0,SUMIFS(แปลงข้อมูล!Q:Q,แปลงข้อมูล!I:I,U180,แปลงข้อมูล!H:H,Q180,แปลงข้อมูล!J:J,V180),'mk 001 10.3'!Z181)</f>
        <v>40</v>
      </c>
      <c r="AA180">
        <f>'mk 001 10.3'!AA181</f>
        <v>0</v>
      </c>
      <c r="AB180">
        <f>'mk 001 10.3'!AB181</f>
        <v>0</v>
      </c>
      <c r="AC180">
        <f>'mk 001 10.3'!AC181</f>
        <v>0</v>
      </c>
      <c r="AD180">
        <f>'mk 001 10.3'!AD181</f>
        <v>0</v>
      </c>
      <c r="AE180">
        <f>'mk 001 10.3'!AE181</f>
        <v>40</v>
      </c>
      <c r="AF180">
        <f>'mk 001 10.3'!AF181</f>
        <v>40</v>
      </c>
      <c r="AG180">
        <f>'mk 001 10.3'!AG181</f>
        <v>0</v>
      </c>
      <c r="AH180">
        <f>'mk 001 10.3'!AH181</f>
        <v>0</v>
      </c>
      <c r="AI180" t="str">
        <f>'mk 001 10.3'!AI181</f>
        <v>OPRCD489MOPRCD00000OPRCDF213OPRCD00000OPRCD923</v>
      </c>
      <c r="AJ180" t="str">
        <f>'mk 001 10.3'!AJ181</f>
        <v>ซื้อ / ขาย</v>
      </c>
      <c r="AK180" t="str">
        <f>'mk 001 10.3'!AK181</f>
        <v>Main proudct</v>
      </c>
      <c r="AL180" t="str">
        <f>'mk 001 10.3'!AL181</f>
        <v>Bulk Normal</v>
      </c>
      <c r="AM180" t="str">
        <f>'mk 001 10.3'!AM181</f>
        <v>สุกร</v>
      </c>
      <c r="AN180" t="str">
        <f>'mk 001 10.3'!AN181</f>
        <v>OT002 CC-Makro</v>
      </c>
      <c r="AO180" t="str">
        <f>'mk 001 10.3'!AO181</f>
        <v>MT</v>
      </c>
      <c r="AP180">
        <f>'mk 001 10.3'!AP181</f>
        <v>2</v>
      </c>
      <c r="AQ180">
        <f>'mk 001 10.3'!AQ181</f>
        <v>0</v>
      </c>
      <c r="AR180">
        <f>'mk 001 10.3'!AR181</f>
        <v>0</v>
      </c>
      <c r="AS180">
        <f>'mk 001 10.3'!AS181</f>
        <v>0</v>
      </c>
      <c r="AT180" t="str">
        <f>'mk 001 10.3'!AT181</f>
        <v>System Batch</v>
      </c>
      <c r="AU180" t="str">
        <f>'mk 001 10.3'!AU181</f>
        <v>2026-05-11-13.33.46.000000</v>
      </c>
      <c r="AV180" t="str">
        <f>'mk 001 10.3'!AV181</f>
        <v>ก.ก.</v>
      </c>
      <c r="AW180" t="str">
        <f>'mk 001 10.3'!AW181</f>
        <v>ก.ก.</v>
      </c>
      <c r="AX180" t="str">
        <f>'mk 001 10.3'!AX181</f>
        <v xml:space="preserve"> </v>
      </c>
      <c r="AY180">
        <f>'mk 001 10.3'!AY181</f>
        <v>0</v>
      </c>
      <c r="AZ180" t="str">
        <f>'mk 001 10.3'!AZ181</f>
        <v>N</v>
      </c>
      <c r="BA180" s="22">
        <f>'mk 001 10.3'!BA181</f>
        <v>9044989536447</v>
      </c>
      <c r="BB180">
        <f>'mk 001 10.3'!BB181</f>
        <v>0</v>
      </c>
      <c r="BC180">
        <f>'mk 001 10.3'!BC181</f>
        <v>0</v>
      </c>
      <c r="BD180">
        <f>'mk 001 10.3'!BD181</f>
        <v>1</v>
      </c>
      <c r="BE180">
        <f>'mk 001 10.3'!BE181</f>
        <v>0</v>
      </c>
      <c r="BF180" t="str">
        <f>'mk 001 10.3'!BF181</f>
        <v>;0000</v>
      </c>
      <c r="BG180">
        <f>'mk 001 10.3'!BG181</f>
        <v>1333314600</v>
      </c>
      <c r="BH180" t="str">
        <f>'mk 001 10.3'!BH181</f>
        <v>G</v>
      </c>
      <c r="BI180">
        <f>'mk 001 10.3'!BI181</f>
        <v>40</v>
      </c>
      <c r="BJ180">
        <f>'mk 001 10.3'!BJ181</f>
        <v>40</v>
      </c>
      <c r="BK180">
        <f>'mk 001 10.3'!BK181</f>
        <v>1300</v>
      </c>
      <c r="BL180" t="str">
        <f>'mk 001 10.3'!BL181</f>
        <v>SYSBATCH</v>
      </c>
      <c r="BM180">
        <f>'mk 001 10.3'!BM181</f>
        <v>0</v>
      </c>
      <c r="BN180">
        <f>'mk 001 10.3'!BN181</f>
        <v>0</v>
      </c>
    </row>
    <row r="181" spans="1:66" x14ac:dyDescent="0.35">
      <c r="A181">
        <f>'mk 001 10.3'!A182</f>
        <v>0</v>
      </c>
      <c r="B181">
        <f>'mk 001 10.3'!B182</f>
        <v>0</v>
      </c>
      <c r="C181" s="1" t="str">
        <f>'mk 001 10.3'!C182</f>
        <v>14/5/2569</v>
      </c>
      <c r="D181" s="1" t="str">
        <f>'mk 001 10.3'!D182</f>
        <v>14/5/2569</v>
      </c>
      <c r="E181">
        <f>'mk 001 10.3'!E182</f>
        <v>0</v>
      </c>
      <c r="F181" t="str">
        <f>'mk 001 10.3'!F182</f>
        <v>489M</v>
      </c>
      <c r="G181" t="str">
        <f>'mk 001 10.3'!G182</f>
        <v>Modern Trade (Makro)</v>
      </c>
      <c r="H181">
        <f>'mk 001 10.3'!H182</f>
        <v>0</v>
      </c>
      <c r="I181" t="str">
        <f>'mk 001 10.3'!I182</f>
        <v>หน่วยงานกลาง</v>
      </c>
      <c r="J181" t="str">
        <f>'mk 001 10.3'!J182</f>
        <v>F213  DMCW-รชล-พระพุทธบาท</v>
      </c>
      <c r="K181" t="str">
        <f>'mk 001 10.3'!K182</f>
        <v>00000  หน่วยงานกลาง</v>
      </c>
      <c r="L181">
        <f>'mk 001 10.3'!L182</f>
        <v>923</v>
      </c>
      <c r="M181">
        <f>'mk 001 10.3'!M182</f>
        <v>0</v>
      </c>
      <c r="N181" t="str">
        <f>'mk 001 10.3'!N182</f>
        <v>1A53008400</v>
      </c>
      <c r="O181" t="str">
        <f>'mk 001 10.3'!O182</f>
        <v>บมจ. ซีพี แอ็กซ์ตร้า สาขานครอินทร์</v>
      </c>
      <c r="P181">
        <f>'mk 001 10.3'!P182</f>
        <v>2</v>
      </c>
      <c r="Q181" t="str">
        <f>'mk 001 10.3'!Q182</f>
        <v>MAKRO 0083 นครอินทร์</v>
      </c>
      <c r="R181" s="1">
        <f>'mk 001 10.3'!R182</f>
        <v>244658</v>
      </c>
      <c r="S181" s="1" t="str">
        <f>'mk 001 10.3'!S182</f>
        <v>14/5/2569</v>
      </c>
      <c r="T181" t="str">
        <f>'mk 001 10.3'!T182</f>
        <v>H6954RMA0059232</v>
      </c>
      <c r="U181">
        <f>'mk 001 10.3'!U182</f>
        <v>23074626</v>
      </c>
      <c r="V181" t="str">
        <f>'mk 001 10.3'!V182</f>
        <v>สันคอหมูตัดชิ้น (M)</v>
      </c>
      <c r="W181">
        <f>'mk 001 10.3'!W182</f>
        <v>20</v>
      </c>
      <c r="X181">
        <f>'mk 001 10.3'!X182</f>
        <v>20</v>
      </c>
      <c r="Y181">
        <f t="shared" si="2"/>
        <v>20</v>
      </c>
      <c r="Z181" s="13">
        <f>IF(COUNTIFS(แปลงข้อมูล!H:H,Q181,แปลงข้อมูล!I:I,U181,แปลงข้อมูล!J:J,V181)&gt;0,SUMIFS(แปลงข้อมูล!Q:Q,แปลงข้อมูล!I:I,U181,แปลงข้อมูล!H:H,Q181,แปลงข้อมูล!J:J,V181),'mk 001 10.3'!Z182)</f>
        <v>20</v>
      </c>
      <c r="AA181">
        <f>'mk 001 10.3'!AA182</f>
        <v>0</v>
      </c>
      <c r="AB181">
        <f>'mk 001 10.3'!AB182</f>
        <v>0</v>
      </c>
      <c r="AC181">
        <f>'mk 001 10.3'!AC182</f>
        <v>0</v>
      </c>
      <c r="AD181">
        <f>'mk 001 10.3'!AD182</f>
        <v>0</v>
      </c>
      <c r="AE181">
        <f>'mk 001 10.3'!AE182</f>
        <v>20</v>
      </c>
      <c r="AF181">
        <f>'mk 001 10.3'!AF182</f>
        <v>20</v>
      </c>
      <c r="AG181">
        <f>'mk 001 10.3'!AG182</f>
        <v>0</v>
      </c>
      <c r="AH181">
        <f>'mk 001 10.3'!AH182</f>
        <v>0</v>
      </c>
      <c r="AI181" t="str">
        <f>'mk 001 10.3'!AI182</f>
        <v>OPRCD489MOPRCD00000OPRCDF213OPRCD00000OPRCD923</v>
      </c>
      <c r="AJ181" t="str">
        <f>'mk 001 10.3'!AJ182</f>
        <v>ซื้อ / ขาย</v>
      </c>
      <c r="AK181" t="str">
        <f>'mk 001 10.3'!AK182</f>
        <v>Main proudct</v>
      </c>
      <c r="AL181" t="str">
        <f>'mk 001 10.3'!AL182</f>
        <v>Bulk Normal</v>
      </c>
      <c r="AM181" t="str">
        <f>'mk 001 10.3'!AM182</f>
        <v>สุกร</v>
      </c>
      <c r="AN181" t="str">
        <f>'mk 001 10.3'!AN182</f>
        <v>OT002 CC-Makro</v>
      </c>
      <c r="AO181" t="str">
        <f>'mk 001 10.3'!AO182</f>
        <v>MT</v>
      </c>
      <c r="AP181">
        <f>'mk 001 10.3'!AP182</f>
        <v>2</v>
      </c>
      <c r="AQ181">
        <f>'mk 001 10.3'!AQ182</f>
        <v>0</v>
      </c>
      <c r="AR181">
        <f>'mk 001 10.3'!AR182</f>
        <v>0</v>
      </c>
      <c r="AS181">
        <f>'mk 001 10.3'!AS182</f>
        <v>0</v>
      </c>
      <c r="AT181" t="str">
        <f>'mk 001 10.3'!AT182</f>
        <v>System Batch</v>
      </c>
      <c r="AU181" t="str">
        <f>'mk 001 10.3'!AU182</f>
        <v>2026-05-11-13.33.46.000000</v>
      </c>
      <c r="AV181" t="str">
        <f>'mk 001 10.3'!AV182</f>
        <v>ก.ก.</v>
      </c>
      <c r="AW181" t="str">
        <f>'mk 001 10.3'!AW182</f>
        <v>ก.ก.</v>
      </c>
      <c r="AX181" t="str">
        <f>'mk 001 10.3'!AX182</f>
        <v xml:space="preserve"> </v>
      </c>
      <c r="AY181">
        <f>'mk 001 10.3'!AY182</f>
        <v>0</v>
      </c>
      <c r="AZ181" t="str">
        <f>'mk 001 10.3'!AZ182</f>
        <v>N</v>
      </c>
      <c r="BA181" s="22">
        <f>'mk 001 10.3'!BA182</f>
        <v>9044989536447</v>
      </c>
      <c r="BB181">
        <f>'mk 001 10.3'!BB182</f>
        <v>0</v>
      </c>
      <c r="BC181">
        <f>'mk 001 10.3'!BC182</f>
        <v>0</v>
      </c>
      <c r="BD181">
        <f>'mk 001 10.3'!BD182</f>
        <v>1</v>
      </c>
      <c r="BE181">
        <f>'mk 001 10.3'!BE182</f>
        <v>0</v>
      </c>
      <c r="BF181" t="str">
        <f>'mk 001 10.3'!BF182</f>
        <v>;0000</v>
      </c>
      <c r="BG181">
        <f>'mk 001 10.3'!BG182</f>
        <v>1333314600</v>
      </c>
      <c r="BH181" t="str">
        <f>'mk 001 10.3'!BH182</f>
        <v>G</v>
      </c>
      <c r="BI181">
        <f>'mk 001 10.3'!BI182</f>
        <v>20</v>
      </c>
      <c r="BJ181">
        <f>'mk 001 10.3'!BJ182</f>
        <v>20</v>
      </c>
      <c r="BK181">
        <f>'mk 001 10.3'!BK182</f>
        <v>1300</v>
      </c>
      <c r="BL181" t="str">
        <f>'mk 001 10.3'!BL182</f>
        <v>SYSBATCH</v>
      </c>
      <c r="BM181">
        <f>'mk 001 10.3'!BM182</f>
        <v>0</v>
      </c>
      <c r="BN181">
        <f>'mk 001 10.3'!BN182</f>
        <v>0</v>
      </c>
    </row>
    <row r="182" spans="1:66" x14ac:dyDescent="0.35">
      <c r="A182">
        <f>'mk 001 10.3'!A183</f>
        <v>0</v>
      </c>
      <c r="B182">
        <f>'mk 001 10.3'!B183</f>
        <v>0</v>
      </c>
      <c r="C182" s="1" t="str">
        <f>'mk 001 10.3'!C183</f>
        <v>14/5/2569</v>
      </c>
      <c r="D182" s="1" t="str">
        <f>'mk 001 10.3'!D183</f>
        <v>14/5/2569</v>
      </c>
      <c r="E182">
        <f>'mk 001 10.3'!E183</f>
        <v>0</v>
      </c>
      <c r="F182" t="str">
        <f>'mk 001 10.3'!F183</f>
        <v>489M</v>
      </c>
      <c r="G182" t="str">
        <f>'mk 001 10.3'!G183</f>
        <v>Modern Trade (Makro)</v>
      </c>
      <c r="H182">
        <f>'mk 001 10.3'!H183</f>
        <v>0</v>
      </c>
      <c r="I182" t="str">
        <f>'mk 001 10.3'!I183</f>
        <v>หน่วยงานกลาง</v>
      </c>
      <c r="J182" t="str">
        <f>'mk 001 10.3'!J183</f>
        <v>F213  DMCW-รชล-พระพุทธบาท</v>
      </c>
      <c r="K182" t="str">
        <f>'mk 001 10.3'!K183</f>
        <v>00000  หน่วยงานกลาง</v>
      </c>
      <c r="L182">
        <f>'mk 001 10.3'!L183</f>
        <v>923</v>
      </c>
      <c r="M182">
        <f>'mk 001 10.3'!M183</f>
        <v>0</v>
      </c>
      <c r="N182" t="str">
        <f>'mk 001 10.3'!N183</f>
        <v>1A53008400</v>
      </c>
      <c r="O182" t="str">
        <f>'mk 001 10.3'!O183</f>
        <v>บมจ. ซีพี แอ็กซ์ตร้า สาขานครอินทร์</v>
      </c>
      <c r="P182">
        <f>'mk 001 10.3'!P183</f>
        <v>2</v>
      </c>
      <c r="Q182" t="str">
        <f>'mk 001 10.3'!Q183</f>
        <v>MAKRO 0083 นครอินทร์</v>
      </c>
      <c r="R182" s="1">
        <f>'mk 001 10.3'!R183</f>
        <v>244658</v>
      </c>
      <c r="S182" s="1" t="str">
        <f>'mk 001 10.3'!S183</f>
        <v>14/5/2569</v>
      </c>
      <c r="T182" t="str">
        <f>'mk 001 10.3'!T183</f>
        <v>H6954RMA0059232</v>
      </c>
      <c r="U182">
        <f>'mk 001 10.3'!U183</f>
        <v>23074627</v>
      </c>
      <c r="V182" t="str">
        <f>'mk 001 10.3'!V183</f>
        <v>สันนอกหมูตัดชิ้น (M)</v>
      </c>
      <c r="W182">
        <f>'mk 001 10.3'!W183</f>
        <v>40</v>
      </c>
      <c r="X182">
        <f>'mk 001 10.3'!X183</f>
        <v>40</v>
      </c>
      <c r="Y182">
        <f t="shared" si="2"/>
        <v>40</v>
      </c>
      <c r="Z182" s="13">
        <f>IF(COUNTIFS(แปลงข้อมูล!H:H,Q182,แปลงข้อมูล!I:I,U182,แปลงข้อมูล!J:J,V182)&gt;0,SUMIFS(แปลงข้อมูล!Q:Q,แปลงข้อมูล!I:I,U182,แปลงข้อมูล!H:H,Q182,แปลงข้อมูล!J:J,V182),'mk 001 10.3'!Z183)</f>
        <v>40</v>
      </c>
      <c r="AA182">
        <f>'mk 001 10.3'!AA183</f>
        <v>0</v>
      </c>
      <c r="AB182">
        <f>'mk 001 10.3'!AB183</f>
        <v>0</v>
      </c>
      <c r="AC182">
        <f>'mk 001 10.3'!AC183</f>
        <v>0</v>
      </c>
      <c r="AD182">
        <f>'mk 001 10.3'!AD183</f>
        <v>0</v>
      </c>
      <c r="AE182">
        <f>'mk 001 10.3'!AE183</f>
        <v>40</v>
      </c>
      <c r="AF182">
        <f>'mk 001 10.3'!AF183</f>
        <v>40</v>
      </c>
      <c r="AG182">
        <f>'mk 001 10.3'!AG183</f>
        <v>0</v>
      </c>
      <c r="AH182">
        <f>'mk 001 10.3'!AH183</f>
        <v>0</v>
      </c>
      <c r="AI182" t="str">
        <f>'mk 001 10.3'!AI183</f>
        <v>OPRCD489MOPRCD00000OPRCDF213OPRCD00000OPRCD923</v>
      </c>
      <c r="AJ182" t="str">
        <f>'mk 001 10.3'!AJ183</f>
        <v>ซื้อ / ขาย</v>
      </c>
      <c r="AK182" t="str">
        <f>'mk 001 10.3'!AK183</f>
        <v>Main proudct</v>
      </c>
      <c r="AL182" t="str">
        <f>'mk 001 10.3'!AL183</f>
        <v>Bulk Normal</v>
      </c>
      <c r="AM182" t="str">
        <f>'mk 001 10.3'!AM183</f>
        <v>สุกร</v>
      </c>
      <c r="AN182" t="str">
        <f>'mk 001 10.3'!AN183</f>
        <v>OT002 CC-Makro</v>
      </c>
      <c r="AO182" t="str">
        <f>'mk 001 10.3'!AO183</f>
        <v>MT</v>
      </c>
      <c r="AP182">
        <f>'mk 001 10.3'!AP183</f>
        <v>2</v>
      </c>
      <c r="AQ182">
        <f>'mk 001 10.3'!AQ183</f>
        <v>0</v>
      </c>
      <c r="AR182">
        <f>'mk 001 10.3'!AR183</f>
        <v>0</v>
      </c>
      <c r="AS182">
        <f>'mk 001 10.3'!AS183</f>
        <v>0</v>
      </c>
      <c r="AT182" t="str">
        <f>'mk 001 10.3'!AT183</f>
        <v>System Batch</v>
      </c>
      <c r="AU182" t="str">
        <f>'mk 001 10.3'!AU183</f>
        <v>2026-05-11-13.33.46.000000</v>
      </c>
      <c r="AV182" t="str">
        <f>'mk 001 10.3'!AV183</f>
        <v>ก.ก.</v>
      </c>
      <c r="AW182" t="str">
        <f>'mk 001 10.3'!AW183</f>
        <v>ก.ก.</v>
      </c>
      <c r="AX182" t="str">
        <f>'mk 001 10.3'!AX183</f>
        <v xml:space="preserve"> </v>
      </c>
      <c r="AY182">
        <f>'mk 001 10.3'!AY183</f>
        <v>0</v>
      </c>
      <c r="AZ182" t="str">
        <f>'mk 001 10.3'!AZ183</f>
        <v>N</v>
      </c>
      <c r="BA182" s="22">
        <f>'mk 001 10.3'!BA183</f>
        <v>9044989536447</v>
      </c>
      <c r="BB182">
        <f>'mk 001 10.3'!BB183</f>
        <v>0</v>
      </c>
      <c r="BC182">
        <f>'mk 001 10.3'!BC183</f>
        <v>0</v>
      </c>
      <c r="BD182">
        <f>'mk 001 10.3'!BD183</f>
        <v>1</v>
      </c>
      <c r="BE182">
        <f>'mk 001 10.3'!BE183</f>
        <v>0</v>
      </c>
      <c r="BF182" t="str">
        <f>'mk 001 10.3'!BF183</f>
        <v>;0000</v>
      </c>
      <c r="BG182">
        <f>'mk 001 10.3'!BG183</f>
        <v>1333314600</v>
      </c>
      <c r="BH182" t="str">
        <f>'mk 001 10.3'!BH183</f>
        <v>G</v>
      </c>
      <c r="BI182">
        <f>'mk 001 10.3'!BI183</f>
        <v>40</v>
      </c>
      <c r="BJ182">
        <f>'mk 001 10.3'!BJ183</f>
        <v>40</v>
      </c>
      <c r="BK182">
        <f>'mk 001 10.3'!BK183</f>
        <v>1300</v>
      </c>
      <c r="BL182" t="str">
        <f>'mk 001 10.3'!BL183</f>
        <v>SYSBATCH</v>
      </c>
      <c r="BM182">
        <f>'mk 001 10.3'!BM183</f>
        <v>0</v>
      </c>
      <c r="BN182">
        <f>'mk 001 10.3'!BN183</f>
        <v>0</v>
      </c>
    </row>
    <row r="183" spans="1:66" x14ac:dyDescent="0.35">
      <c r="A183">
        <f>'mk 001 10.3'!A184</f>
        <v>0</v>
      </c>
      <c r="B183">
        <f>'mk 001 10.3'!B184</f>
        <v>0</v>
      </c>
      <c r="C183" s="1" t="str">
        <f>'mk 001 10.3'!C184</f>
        <v>14/5/2569</v>
      </c>
      <c r="D183" s="1" t="str">
        <f>'mk 001 10.3'!D184</f>
        <v>14/5/2569</v>
      </c>
      <c r="E183">
        <f>'mk 001 10.3'!E184</f>
        <v>0</v>
      </c>
      <c r="F183" t="str">
        <f>'mk 001 10.3'!F184</f>
        <v>489M</v>
      </c>
      <c r="G183" t="str">
        <f>'mk 001 10.3'!G184</f>
        <v>Modern Trade (Makro)</v>
      </c>
      <c r="H183">
        <f>'mk 001 10.3'!H184</f>
        <v>0</v>
      </c>
      <c r="I183" t="str">
        <f>'mk 001 10.3'!I184</f>
        <v>หน่วยงานกลาง</v>
      </c>
      <c r="J183" t="str">
        <f>'mk 001 10.3'!J184</f>
        <v>F213  DMCW-รชล-พระพุทธบาท</v>
      </c>
      <c r="K183" t="str">
        <f>'mk 001 10.3'!K184</f>
        <v>00000  หน่วยงานกลาง</v>
      </c>
      <c r="L183">
        <f>'mk 001 10.3'!L184</f>
        <v>923</v>
      </c>
      <c r="M183">
        <f>'mk 001 10.3'!M184</f>
        <v>0</v>
      </c>
      <c r="N183" t="str">
        <f>'mk 001 10.3'!N184</f>
        <v>1A53008400</v>
      </c>
      <c r="O183" t="str">
        <f>'mk 001 10.3'!O184</f>
        <v>บมจ. ซีพี แอ็กซ์ตร้า สาขานครอินทร์</v>
      </c>
      <c r="P183">
        <f>'mk 001 10.3'!P184</f>
        <v>2</v>
      </c>
      <c r="Q183" t="str">
        <f>'mk 001 10.3'!Q184</f>
        <v>MAKRO 0083 นครอินทร์</v>
      </c>
      <c r="R183" s="1">
        <f>'mk 001 10.3'!R184</f>
        <v>244658</v>
      </c>
      <c r="S183" s="1" t="str">
        <f>'mk 001 10.3'!S184</f>
        <v>14/5/2569</v>
      </c>
      <c r="T183" t="str">
        <f>'mk 001 10.3'!T184</f>
        <v>H6954RMA0059232</v>
      </c>
      <c r="U183">
        <f>'mk 001 10.3'!U184</f>
        <v>23105751</v>
      </c>
      <c r="V183" t="str">
        <f>'mk 001 10.3'!V184</f>
        <v>เซพแพ็ค หัวไหล่หมู กก.ละ</v>
      </c>
      <c r="W183">
        <f>'mk 001 10.3'!W184</f>
        <v>5</v>
      </c>
      <c r="X183">
        <f>'mk 001 10.3'!X184</f>
        <v>5</v>
      </c>
      <c r="Y183">
        <f t="shared" si="2"/>
        <v>5</v>
      </c>
      <c r="Z183" s="13">
        <f>IF(COUNTIFS(แปลงข้อมูล!H:H,Q183,แปลงข้อมูล!I:I,U183,แปลงข้อมูล!J:J,V183)&gt;0,SUMIFS(แปลงข้อมูล!Q:Q,แปลงข้อมูล!I:I,U183,แปลงข้อมูล!H:H,Q183,แปลงข้อมูล!J:J,V183),'mk 001 10.3'!Z184)</f>
        <v>5</v>
      </c>
      <c r="AA183">
        <f>'mk 001 10.3'!AA184</f>
        <v>0</v>
      </c>
      <c r="AB183">
        <f>'mk 001 10.3'!AB184</f>
        <v>0</v>
      </c>
      <c r="AC183">
        <f>'mk 001 10.3'!AC184</f>
        <v>0</v>
      </c>
      <c r="AD183">
        <f>'mk 001 10.3'!AD184</f>
        <v>0</v>
      </c>
      <c r="AE183">
        <f>'mk 001 10.3'!AE184</f>
        <v>5</v>
      </c>
      <c r="AF183">
        <f>'mk 001 10.3'!AF184</f>
        <v>5</v>
      </c>
      <c r="AG183">
        <f>'mk 001 10.3'!AG184</f>
        <v>0</v>
      </c>
      <c r="AH183">
        <f>'mk 001 10.3'!AH184</f>
        <v>0</v>
      </c>
      <c r="AI183" t="str">
        <f>'mk 001 10.3'!AI184</f>
        <v>OPRCD489MOPRCD00000OPRCDF213OPRCD00000OPRCD923</v>
      </c>
      <c r="AJ183" t="str">
        <f>'mk 001 10.3'!AJ184</f>
        <v>ซื้อ / ขาย</v>
      </c>
      <c r="AK183" t="str">
        <f>'mk 001 10.3'!AK184</f>
        <v>Main proudct</v>
      </c>
      <c r="AL183" t="str">
        <f>'mk 001 10.3'!AL184</f>
        <v>Bulk Normal</v>
      </c>
      <c r="AM183" t="str">
        <f>'mk 001 10.3'!AM184</f>
        <v>สุกร</v>
      </c>
      <c r="AN183" t="str">
        <f>'mk 001 10.3'!AN184</f>
        <v>OT002 CC-Makro</v>
      </c>
      <c r="AO183" t="str">
        <f>'mk 001 10.3'!AO184</f>
        <v>MT</v>
      </c>
      <c r="AP183">
        <f>'mk 001 10.3'!AP184</f>
        <v>2</v>
      </c>
      <c r="AQ183">
        <f>'mk 001 10.3'!AQ184</f>
        <v>0</v>
      </c>
      <c r="AR183">
        <f>'mk 001 10.3'!AR184</f>
        <v>0</v>
      </c>
      <c r="AS183">
        <f>'mk 001 10.3'!AS184</f>
        <v>0</v>
      </c>
      <c r="AT183" t="str">
        <f>'mk 001 10.3'!AT184</f>
        <v>System Batch</v>
      </c>
      <c r="AU183" t="str">
        <f>'mk 001 10.3'!AU184</f>
        <v>2026-05-11-13.33.46.000000</v>
      </c>
      <c r="AV183" t="str">
        <f>'mk 001 10.3'!AV184</f>
        <v>ก.ก.</v>
      </c>
      <c r="AW183" t="str">
        <f>'mk 001 10.3'!AW184</f>
        <v>ก.ก.</v>
      </c>
      <c r="AX183" t="str">
        <f>'mk 001 10.3'!AX184</f>
        <v xml:space="preserve"> </v>
      </c>
      <c r="AY183">
        <f>'mk 001 10.3'!AY184</f>
        <v>0</v>
      </c>
      <c r="AZ183" t="str">
        <f>'mk 001 10.3'!AZ184</f>
        <v>N</v>
      </c>
      <c r="BA183" s="22">
        <f>'mk 001 10.3'!BA184</f>
        <v>9044989536447</v>
      </c>
      <c r="BB183">
        <f>'mk 001 10.3'!BB184</f>
        <v>0</v>
      </c>
      <c r="BC183">
        <f>'mk 001 10.3'!BC184</f>
        <v>0</v>
      </c>
      <c r="BD183">
        <f>'mk 001 10.3'!BD184</f>
        <v>1</v>
      </c>
      <c r="BE183">
        <f>'mk 001 10.3'!BE184</f>
        <v>0</v>
      </c>
      <c r="BF183" t="str">
        <f>'mk 001 10.3'!BF184</f>
        <v>;0000</v>
      </c>
      <c r="BG183">
        <f>'mk 001 10.3'!BG184</f>
        <v>1333314600</v>
      </c>
      <c r="BH183" t="str">
        <f>'mk 001 10.3'!BH184</f>
        <v>G</v>
      </c>
      <c r="BI183">
        <f>'mk 001 10.3'!BI184</f>
        <v>5</v>
      </c>
      <c r="BJ183">
        <f>'mk 001 10.3'!BJ184</f>
        <v>5</v>
      </c>
      <c r="BK183">
        <f>'mk 001 10.3'!BK184</f>
        <v>1300</v>
      </c>
      <c r="BL183" t="str">
        <f>'mk 001 10.3'!BL184</f>
        <v>SYSBATCH</v>
      </c>
      <c r="BM183">
        <f>'mk 001 10.3'!BM184</f>
        <v>0</v>
      </c>
      <c r="BN183">
        <f>'mk 001 10.3'!BN184</f>
        <v>0</v>
      </c>
    </row>
    <row r="184" spans="1:66" x14ac:dyDescent="0.35">
      <c r="A184">
        <f>'mk 001 10.3'!A185</f>
        <v>0</v>
      </c>
      <c r="B184">
        <f>'mk 001 10.3'!B185</f>
        <v>0</v>
      </c>
      <c r="C184" s="1" t="str">
        <f>'mk 001 10.3'!C185</f>
        <v>14/5/2569</v>
      </c>
      <c r="D184" s="1" t="str">
        <f>'mk 001 10.3'!D185</f>
        <v>14/5/2569</v>
      </c>
      <c r="E184">
        <f>'mk 001 10.3'!E185</f>
        <v>0</v>
      </c>
      <c r="F184" t="str">
        <f>'mk 001 10.3'!F185</f>
        <v>489M</v>
      </c>
      <c r="G184" t="str">
        <f>'mk 001 10.3'!G185</f>
        <v>Modern Trade (Makro)</v>
      </c>
      <c r="H184">
        <f>'mk 001 10.3'!H185</f>
        <v>0</v>
      </c>
      <c r="I184" t="str">
        <f>'mk 001 10.3'!I185</f>
        <v>หน่วยงานกลาง</v>
      </c>
      <c r="J184" t="str">
        <f>'mk 001 10.3'!J185</f>
        <v>F213  DMCW-รชล-พระพุทธบาท</v>
      </c>
      <c r="K184" t="str">
        <f>'mk 001 10.3'!K185</f>
        <v>00000  หน่วยงานกลาง</v>
      </c>
      <c r="L184">
        <f>'mk 001 10.3'!L185</f>
        <v>923</v>
      </c>
      <c r="M184">
        <f>'mk 001 10.3'!M185</f>
        <v>0</v>
      </c>
      <c r="N184" t="str">
        <f>'mk 001 10.3'!N185</f>
        <v>1A53010800</v>
      </c>
      <c r="O184" t="str">
        <f>'mk 001 10.3'!O185</f>
        <v>บมจ. ซีพี แอ็กซ์ตร้า สาขาสิงห์บุรี</v>
      </c>
      <c r="P184">
        <f>'mk 001 10.3'!P185</f>
        <v>2</v>
      </c>
      <c r="Q184" t="str">
        <f>'mk 001 10.3'!Q185</f>
        <v>MAKRO 0114 สิงห์บุรี</v>
      </c>
      <c r="R184" s="1">
        <f>'mk 001 10.3'!R185</f>
        <v>244658</v>
      </c>
      <c r="S184" s="1" t="str">
        <f>'mk 001 10.3'!S185</f>
        <v>14/5/2569</v>
      </c>
      <c r="T184" t="str">
        <f>'mk 001 10.3'!T185</f>
        <v>H6954RMA0059255</v>
      </c>
      <c r="U184">
        <f>'mk 001 10.3'!U185</f>
        <v>23062105</v>
      </c>
      <c r="V184" t="str">
        <f>'mk 001 10.3'!V185</f>
        <v>ไส้ตันลวก(M)</v>
      </c>
      <c r="W184">
        <f>'mk 001 10.3'!W185</f>
        <v>5</v>
      </c>
      <c r="X184">
        <f>'mk 001 10.3'!X185</f>
        <v>5</v>
      </c>
      <c r="Y184">
        <f t="shared" si="2"/>
        <v>5</v>
      </c>
      <c r="Z184" s="13">
        <f>IF(COUNTIFS(แปลงข้อมูล!H:H,Q184,แปลงข้อมูล!I:I,U184,แปลงข้อมูล!J:J,V184)&gt;0,SUMIFS(แปลงข้อมูล!Q:Q,แปลงข้อมูล!I:I,U184,แปลงข้อมูล!H:H,Q184,แปลงข้อมูล!J:J,V184),'mk 001 10.3'!Z185)</f>
        <v>5</v>
      </c>
      <c r="AA184">
        <f>'mk 001 10.3'!AA185</f>
        <v>0</v>
      </c>
      <c r="AB184">
        <f>'mk 001 10.3'!AB185</f>
        <v>0</v>
      </c>
      <c r="AC184">
        <f>'mk 001 10.3'!AC185</f>
        <v>0</v>
      </c>
      <c r="AD184">
        <f>'mk 001 10.3'!AD185</f>
        <v>0</v>
      </c>
      <c r="AE184">
        <f>'mk 001 10.3'!AE185</f>
        <v>5</v>
      </c>
      <c r="AF184">
        <f>'mk 001 10.3'!AF185</f>
        <v>5</v>
      </c>
      <c r="AG184">
        <f>'mk 001 10.3'!AG185</f>
        <v>0</v>
      </c>
      <c r="AH184">
        <f>'mk 001 10.3'!AH185</f>
        <v>0</v>
      </c>
      <c r="AI184" t="str">
        <f>'mk 001 10.3'!AI185</f>
        <v>OPRCD489MOPRCD00000OPRCDF213OPRCD00000OPRCD923</v>
      </c>
      <c r="AJ184" t="str">
        <f>'mk 001 10.3'!AJ185</f>
        <v>ซื้อ / ขาย</v>
      </c>
      <c r="AK184" t="str">
        <f>'mk 001 10.3'!AK185</f>
        <v>By proudct</v>
      </c>
      <c r="AL184" t="str">
        <f>'mk 001 10.3'!AL185</f>
        <v>Bulk Normal</v>
      </c>
      <c r="AM184" t="str">
        <f>'mk 001 10.3'!AM185</f>
        <v>สุกร</v>
      </c>
      <c r="AN184" t="str">
        <f>'mk 001 10.3'!AN185</f>
        <v>OT002 CC-Makro</v>
      </c>
      <c r="AO184" t="str">
        <f>'mk 001 10.3'!AO185</f>
        <v>MT</v>
      </c>
      <c r="AP184">
        <f>'mk 001 10.3'!AP185</f>
        <v>2</v>
      </c>
      <c r="AQ184">
        <f>'mk 001 10.3'!AQ185</f>
        <v>0</v>
      </c>
      <c r="AR184">
        <f>'mk 001 10.3'!AR185</f>
        <v>0</v>
      </c>
      <c r="AS184">
        <f>'mk 001 10.3'!AS185</f>
        <v>0</v>
      </c>
      <c r="AT184" t="str">
        <f>'mk 001 10.3'!AT185</f>
        <v>เบญจพจน์ เพชรเหลี่ยม</v>
      </c>
      <c r="AU184" t="str">
        <f>'mk 001 10.3'!AU185</f>
        <v>2026-05-11-13.33.46.000000</v>
      </c>
      <c r="AV184" t="str">
        <f>'mk 001 10.3'!AV185</f>
        <v>ก.ก.</v>
      </c>
      <c r="AW184" t="str">
        <f>'mk 001 10.3'!AW185</f>
        <v>ก.ก.</v>
      </c>
      <c r="AX184" t="str">
        <f>'mk 001 10.3'!AX185</f>
        <v xml:space="preserve"> </v>
      </c>
      <c r="AY184">
        <f>'mk 001 10.3'!AY185</f>
        <v>0</v>
      </c>
      <c r="AZ184" t="str">
        <f>'mk 001 10.3'!AZ185</f>
        <v>N</v>
      </c>
      <c r="BA184" s="22">
        <f>'mk 001 10.3'!BA185</f>
        <v>9044989536467</v>
      </c>
      <c r="BB184">
        <f>'mk 001 10.3'!BB185</f>
        <v>0</v>
      </c>
      <c r="BC184">
        <f>'mk 001 10.3'!BC185</f>
        <v>0</v>
      </c>
      <c r="BD184">
        <f>'mk 001 10.3'!BD185</f>
        <v>1</v>
      </c>
      <c r="BE184">
        <f>'mk 001 10.3'!BE185</f>
        <v>0</v>
      </c>
      <c r="BF184" t="str">
        <f>'mk 001 10.3'!BF185</f>
        <v>;0000</v>
      </c>
      <c r="BG184">
        <f>'mk 001 10.3'!BG185</f>
        <v>1333314600</v>
      </c>
      <c r="BH184" t="str">
        <f>'mk 001 10.3'!BH185</f>
        <v>G</v>
      </c>
      <c r="BI184">
        <f>'mk 001 10.3'!BI185</f>
        <v>5</v>
      </c>
      <c r="BJ184">
        <f>'mk 001 10.3'!BJ185</f>
        <v>5</v>
      </c>
      <c r="BK184">
        <f>'mk 001 10.3'!BK185</f>
        <v>1300</v>
      </c>
      <c r="BL184" t="str">
        <f>'mk 001 10.3'!BL185</f>
        <v>SYSBATCH</v>
      </c>
      <c r="BM184">
        <f>'mk 001 10.3'!BM185</f>
        <v>0</v>
      </c>
      <c r="BN184">
        <f>'mk 001 10.3'!BN185</f>
        <v>0</v>
      </c>
    </row>
    <row r="185" spans="1:66" x14ac:dyDescent="0.35">
      <c r="A185">
        <f>'mk 001 10.3'!A186</f>
        <v>0</v>
      </c>
      <c r="B185">
        <f>'mk 001 10.3'!B186</f>
        <v>0</v>
      </c>
      <c r="C185" s="1" t="str">
        <f>'mk 001 10.3'!C186</f>
        <v>14/5/2569</v>
      </c>
      <c r="D185" s="1" t="str">
        <f>'mk 001 10.3'!D186</f>
        <v>14/5/2569</v>
      </c>
      <c r="E185">
        <f>'mk 001 10.3'!E186</f>
        <v>0</v>
      </c>
      <c r="F185" t="str">
        <f>'mk 001 10.3'!F186</f>
        <v>489M</v>
      </c>
      <c r="G185" t="str">
        <f>'mk 001 10.3'!G186</f>
        <v>Modern Trade (Makro)</v>
      </c>
      <c r="H185">
        <f>'mk 001 10.3'!H186</f>
        <v>0</v>
      </c>
      <c r="I185" t="str">
        <f>'mk 001 10.3'!I186</f>
        <v>หน่วยงานกลาง</v>
      </c>
      <c r="J185" t="str">
        <f>'mk 001 10.3'!J186</f>
        <v>F213  DMCW-รชล-พระพุทธบาท</v>
      </c>
      <c r="K185" t="str">
        <f>'mk 001 10.3'!K186</f>
        <v>00000  หน่วยงานกลาง</v>
      </c>
      <c r="L185">
        <f>'mk 001 10.3'!L186</f>
        <v>923</v>
      </c>
      <c r="M185">
        <f>'mk 001 10.3'!M186</f>
        <v>0</v>
      </c>
      <c r="N185" t="str">
        <f>'mk 001 10.3'!N186</f>
        <v>1A53010800</v>
      </c>
      <c r="O185" t="str">
        <f>'mk 001 10.3'!O186</f>
        <v>บมจ. ซีพี แอ็กซ์ตร้า สาขาสิงห์บุรี</v>
      </c>
      <c r="P185">
        <f>'mk 001 10.3'!P186</f>
        <v>2</v>
      </c>
      <c r="Q185" t="str">
        <f>'mk 001 10.3'!Q186</f>
        <v>MAKRO 0114 สิงห์บุรี</v>
      </c>
      <c r="R185" s="1">
        <f>'mk 001 10.3'!R186</f>
        <v>244658</v>
      </c>
      <c r="S185" s="1" t="str">
        <f>'mk 001 10.3'!S186</f>
        <v>14/5/2569</v>
      </c>
      <c r="T185" t="str">
        <f>'mk 001 10.3'!T186</f>
        <v>H6954RMA0059255</v>
      </c>
      <c r="U185">
        <f>'mk 001 10.3'!U186</f>
        <v>23058553</v>
      </c>
      <c r="V185" t="str">
        <f>'mk 001 10.3'!V186</f>
        <v>หนังสันหลัง (M)</v>
      </c>
      <c r="W185">
        <f>'mk 001 10.3'!W186</f>
        <v>300</v>
      </c>
      <c r="X185">
        <f>'mk 001 10.3'!X186</f>
        <v>300</v>
      </c>
      <c r="Y185">
        <f t="shared" si="2"/>
        <v>300</v>
      </c>
      <c r="Z185" s="13">
        <f>IF(COUNTIFS(แปลงข้อมูล!H:H,Q185,แปลงข้อมูล!I:I,U185,แปลงข้อมูล!J:J,V185)&gt;0,SUMIFS(แปลงข้อมูล!Q:Q,แปลงข้อมูล!I:I,U185,แปลงข้อมูล!H:H,Q185,แปลงข้อมูล!J:J,V185),'mk 001 10.3'!Z186)</f>
        <v>300</v>
      </c>
      <c r="AA185">
        <f>'mk 001 10.3'!AA186</f>
        <v>0</v>
      </c>
      <c r="AB185">
        <f>'mk 001 10.3'!AB186</f>
        <v>0</v>
      </c>
      <c r="AC185">
        <f>'mk 001 10.3'!AC186</f>
        <v>0</v>
      </c>
      <c r="AD185">
        <f>'mk 001 10.3'!AD186</f>
        <v>0</v>
      </c>
      <c r="AE185">
        <f>'mk 001 10.3'!AE186</f>
        <v>300</v>
      </c>
      <c r="AF185">
        <f>'mk 001 10.3'!AF186</f>
        <v>300</v>
      </c>
      <c r="AG185">
        <f>'mk 001 10.3'!AG186</f>
        <v>0</v>
      </c>
      <c r="AH185">
        <f>'mk 001 10.3'!AH186</f>
        <v>0</v>
      </c>
      <c r="AI185" t="str">
        <f>'mk 001 10.3'!AI186</f>
        <v>OPRCD489MOPRCD00000OPRCDF213OPRCD00000OPRCD923</v>
      </c>
      <c r="AJ185" t="str">
        <f>'mk 001 10.3'!AJ186</f>
        <v>ซื้อ / ขาย</v>
      </c>
      <c r="AK185" t="str">
        <f>'mk 001 10.3'!AK186</f>
        <v>By proudct</v>
      </c>
      <c r="AL185" t="str">
        <f>'mk 001 10.3'!AL186</f>
        <v>Bulk Normal</v>
      </c>
      <c r="AM185" t="str">
        <f>'mk 001 10.3'!AM186</f>
        <v>สุกร</v>
      </c>
      <c r="AN185" t="str">
        <f>'mk 001 10.3'!AN186</f>
        <v>OT002 CC-Makro</v>
      </c>
      <c r="AO185" t="str">
        <f>'mk 001 10.3'!AO186</f>
        <v>MT</v>
      </c>
      <c r="AP185">
        <f>'mk 001 10.3'!AP186</f>
        <v>2</v>
      </c>
      <c r="AQ185">
        <f>'mk 001 10.3'!AQ186</f>
        <v>0</v>
      </c>
      <c r="AR185">
        <f>'mk 001 10.3'!AR186</f>
        <v>0</v>
      </c>
      <c r="AS185">
        <f>'mk 001 10.3'!AS186</f>
        <v>0</v>
      </c>
      <c r="AT185" t="str">
        <f>'mk 001 10.3'!AT186</f>
        <v>เบญจพจน์ เพชรเหลี่ยม</v>
      </c>
      <c r="AU185" t="str">
        <f>'mk 001 10.3'!AU186</f>
        <v>2026-05-11-13.33.46.000000</v>
      </c>
      <c r="AV185" t="str">
        <f>'mk 001 10.3'!AV186</f>
        <v>ก.ก.</v>
      </c>
      <c r="AW185" t="str">
        <f>'mk 001 10.3'!AW186</f>
        <v>ก.ก.</v>
      </c>
      <c r="AX185" t="str">
        <f>'mk 001 10.3'!AX186</f>
        <v xml:space="preserve"> </v>
      </c>
      <c r="AY185">
        <f>'mk 001 10.3'!AY186</f>
        <v>0</v>
      </c>
      <c r="AZ185" t="str">
        <f>'mk 001 10.3'!AZ186</f>
        <v>N</v>
      </c>
      <c r="BA185" s="22">
        <f>'mk 001 10.3'!BA186</f>
        <v>9044989536467</v>
      </c>
      <c r="BB185">
        <f>'mk 001 10.3'!BB186</f>
        <v>0</v>
      </c>
      <c r="BC185">
        <f>'mk 001 10.3'!BC186</f>
        <v>0</v>
      </c>
      <c r="BD185">
        <f>'mk 001 10.3'!BD186</f>
        <v>1</v>
      </c>
      <c r="BE185">
        <f>'mk 001 10.3'!BE186</f>
        <v>0</v>
      </c>
      <c r="BF185" t="str">
        <f>'mk 001 10.3'!BF186</f>
        <v>;0000</v>
      </c>
      <c r="BG185">
        <f>'mk 001 10.3'!BG186</f>
        <v>1333314600</v>
      </c>
      <c r="BH185" t="str">
        <f>'mk 001 10.3'!BH186</f>
        <v>G</v>
      </c>
      <c r="BI185">
        <f>'mk 001 10.3'!BI186</f>
        <v>300</v>
      </c>
      <c r="BJ185">
        <f>'mk 001 10.3'!BJ186</f>
        <v>300</v>
      </c>
      <c r="BK185">
        <f>'mk 001 10.3'!BK186</f>
        <v>1300</v>
      </c>
      <c r="BL185" t="str">
        <f>'mk 001 10.3'!BL186</f>
        <v>SYSBATCH</v>
      </c>
      <c r="BM185">
        <f>'mk 001 10.3'!BM186</f>
        <v>0</v>
      </c>
      <c r="BN185">
        <f>'mk 001 10.3'!BN186</f>
        <v>0</v>
      </c>
    </row>
    <row r="186" spans="1:66" x14ac:dyDescent="0.35">
      <c r="A186">
        <f>'mk 001 10.3'!A187</f>
        <v>0</v>
      </c>
      <c r="B186">
        <f>'mk 001 10.3'!B187</f>
        <v>0</v>
      </c>
      <c r="C186" s="1" t="str">
        <f>'mk 001 10.3'!C187</f>
        <v>14/5/2569</v>
      </c>
      <c r="D186" s="1" t="str">
        <f>'mk 001 10.3'!D187</f>
        <v>14/5/2569</v>
      </c>
      <c r="E186">
        <f>'mk 001 10.3'!E187</f>
        <v>0</v>
      </c>
      <c r="F186" t="str">
        <f>'mk 001 10.3'!F187</f>
        <v>489M</v>
      </c>
      <c r="G186" t="str">
        <f>'mk 001 10.3'!G187</f>
        <v>Modern Trade (Makro)</v>
      </c>
      <c r="H186">
        <f>'mk 001 10.3'!H187</f>
        <v>0</v>
      </c>
      <c r="I186" t="str">
        <f>'mk 001 10.3'!I187</f>
        <v>หน่วยงานกลาง</v>
      </c>
      <c r="J186" t="str">
        <f>'mk 001 10.3'!J187</f>
        <v>F213  DMCW-รชล-พระพุทธบาท</v>
      </c>
      <c r="K186" t="str">
        <f>'mk 001 10.3'!K187</f>
        <v>00000  หน่วยงานกลาง</v>
      </c>
      <c r="L186">
        <f>'mk 001 10.3'!L187</f>
        <v>923</v>
      </c>
      <c r="M186">
        <f>'mk 001 10.3'!M187</f>
        <v>0</v>
      </c>
      <c r="N186" t="str">
        <f>'mk 001 10.3'!N187</f>
        <v>1A53010800</v>
      </c>
      <c r="O186" t="str">
        <f>'mk 001 10.3'!O187</f>
        <v>บมจ. ซีพี แอ็กซ์ตร้า สาขาสิงห์บุรี</v>
      </c>
      <c r="P186">
        <f>'mk 001 10.3'!P187</f>
        <v>2</v>
      </c>
      <c r="Q186" t="str">
        <f>'mk 001 10.3'!Q187</f>
        <v>MAKRO 0114 สิงห์บุรี</v>
      </c>
      <c r="R186" s="1">
        <f>'mk 001 10.3'!R187</f>
        <v>244658</v>
      </c>
      <c r="S186" s="1" t="str">
        <f>'mk 001 10.3'!S187</f>
        <v>14/5/2569</v>
      </c>
      <c r="T186" t="str">
        <f>'mk 001 10.3'!T187</f>
        <v>H6954RMA0059255</v>
      </c>
      <c r="U186">
        <f>'mk 001 10.3'!U187</f>
        <v>23058585</v>
      </c>
      <c r="V186" t="str">
        <f>'mk 001 10.3'!V187</f>
        <v>ขั้วตับ (M)</v>
      </c>
      <c r="W186">
        <f>'mk 001 10.3'!W187</f>
        <v>5</v>
      </c>
      <c r="X186">
        <f>'mk 001 10.3'!X187</f>
        <v>5</v>
      </c>
      <c r="Y186">
        <f t="shared" si="2"/>
        <v>5</v>
      </c>
      <c r="Z186" s="13">
        <f>IF(COUNTIFS(แปลงข้อมูล!H:H,Q186,แปลงข้อมูล!I:I,U186,แปลงข้อมูล!J:J,V186)&gt;0,SUMIFS(แปลงข้อมูล!Q:Q,แปลงข้อมูล!I:I,U186,แปลงข้อมูล!H:H,Q186,แปลงข้อมูล!J:J,V186),'mk 001 10.3'!Z187)</f>
        <v>5</v>
      </c>
      <c r="AA186">
        <f>'mk 001 10.3'!AA187</f>
        <v>0</v>
      </c>
      <c r="AB186">
        <f>'mk 001 10.3'!AB187</f>
        <v>0</v>
      </c>
      <c r="AC186">
        <f>'mk 001 10.3'!AC187</f>
        <v>0</v>
      </c>
      <c r="AD186">
        <f>'mk 001 10.3'!AD187</f>
        <v>0</v>
      </c>
      <c r="AE186">
        <f>'mk 001 10.3'!AE187</f>
        <v>5</v>
      </c>
      <c r="AF186">
        <f>'mk 001 10.3'!AF187</f>
        <v>5</v>
      </c>
      <c r="AG186">
        <f>'mk 001 10.3'!AG187</f>
        <v>0</v>
      </c>
      <c r="AH186">
        <f>'mk 001 10.3'!AH187</f>
        <v>0</v>
      </c>
      <c r="AI186" t="str">
        <f>'mk 001 10.3'!AI187</f>
        <v>OPRCD489MOPRCD00000OPRCDF213OPRCD00000OPRCD923</v>
      </c>
      <c r="AJ186" t="str">
        <f>'mk 001 10.3'!AJ187</f>
        <v>ซื้อ / ขาย</v>
      </c>
      <c r="AK186" t="str">
        <f>'mk 001 10.3'!AK187</f>
        <v>By proudct</v>
      </c>
      <c r="AL186" t="str">
        <f>'mk 001 10.3'!AL187</f>
        <v>Bulk Normal</v>
      </c>
      <c r="AM186" t="str">
        <f>'mk 001 10.3'!AM187</f>
        <v>สุกร</v>
      </c>
      <c r="AN186" t="str">
        <f>'mk 001 10.3'!AN187</f>
        <v>OT002 CC-Makro</v>
      </c>
      <c r="AO186" t="str">
        <f>'mk 001 10.3'!AO187</f>
        <v>MT</v>
      </c>
      <c r="AP186">
        <f>'mk 001 10.3'!AP187</f>
        <v>2</v>
      </c>
      <c r="AQ186">
        <f>'mk 001 10.3'!AQ187</f>
        <v>0</v>
      </c>
      <c r="AR186">
        <f>'mk 001 10.3'!AR187</f>
        <v>0</v>
      </c>
      <c r="AS186">
        <f>'mk 001 10.3'!AS187</f>
        <v>0</v>
      </c>
      <c r="AT186" t="str">
        <f>'mk 001 10.3'!AT187</f>
        <v>เบญจพจน์ เพชรเหลี่ยม</v>
      </c>
      <c r="AU186" t="str">
        <f>'mk 001 10.3'!AU187</f>
        <v>2026-05-11-13.33.46.000000</v>
      </c>
      <c r="AV186" t="str">
        <f>'mk 001 10.3'!AV187</f>
        <v>ก.ก.</v>
      </c>
      <c r="AW186" t="str">
        <f>'mk 001 10.3'!AW187</f>
        <v>ก.ก.</v>
      </c>
      <c r="AX186" t="str">
        <f>'mk 001 10.3'!AX187</f>
        <v xml:space="preserve"> </v>
      </c>
      <c r="AY186">
        <f>'mk 001 10.3'!AY187</f>
        <v>0</v>
      </c>
      <c r="AZ186" t="str">
        <f>'mk 001 10.3'!AZ187</f>
        <v>N</v>
      </c>
      <c r="BA186" s="22">
        <f>'mk 001 10.3'!BA187</f>
        <v>9044989536467</v>
      </c>
      <c r="BB186">
        <f>'mk 001 10.3'!BB187</f>
        <v>0</v>
      </c>
      <c r="BC186">
        <f>'mk 001 10.3'!BC187</f>
        <v>0</v>
      </c>
      <c r="BD186">
        <f>'mk 001 10.3'!BD187</f>
        <v>1</v>
      </c>
      <c r="BE186">
        <f>'mk 001 10.3'!BE187</f>
        <v>0</v>
      </c>
      <c r="BF186" t="str">
        <f>'mk 001 10.3'!BF187</f>
        <v>;0000</v>
      </c>
      <c r="BG186">
        <f>'mk 001 10.3'!BG187</f>
        <v>1333314600</v>
      </c>
      <c r="BH186" t="str">
        <f>'mk 001 10.3'!BH187</f>
        <v>G</v>
      </c>
      <c r="BI186">
        <f>'mk 001 10.3'!BI187</f>
        <v>5</v>
      </c>
      <c r="BJ186">
        <f>'mk 001 10.3'!BJ187</f>
        <v>5</v>
      </c>
      <c r="BK186">
        <f>'mk 001 10.3'!BK187</f>
        <v>1300</v>
      </c>
      <c r="BL186" t="str">
        <f>'mk 001 10.3'!BL187</f>
        <v>SYSBATCH</v>
      </c>
      <c r="BM186">
        <f>'mk 001 10.3'!BM187</f>
        <v>0</v>
      </c>
      <c r="BN186">
        <f>'mk 001 10.3'!BN187</f>
        <v>0</v>
      </c>
    </row>
    <row r="187" spans="1:66" x14ac:dyDescent="0.35">
      <c r="A187">
        <f>'mk 001 10.3'!A188</f>
        <v>0</v>
      </c>
      <c r="B187">
        <f>'mk 001 10.3'!B188</f>
        <v>0</v>
      </c>
      <c r="C187" s="1" t="str">
        <f>'mk 001 10.3'!C188</f>
        <v>14/5/2569</v>
      </c>
      <c r="D187" s="1" t="str">
        <f>'mk 001 10.3'!D188</f>
        <v>14/5/2569</v>
      </c>
      <c r="E187">
        <f>'mk 001 10.3'!E188</f>
        <v>0</v>
      </c>
      <c r="F187" t="str">
        <f>'mk 001 10.3'!F188</f>
        <v>489M</v>
      </c>
      <c r="G187" t="str">
        <f>'mk 001 10.3'!G188</f>
        <v>Modern Trade (Makro)</v>
      </c>
      <c r="H187">
        <f>'mk 001 10.3'!H188</f>
        <v>0</v>
      </c>
      <c r="I187" t="str">
        <f>'mk 001 10.3'!I188</f>
        <v>หน่วยงานกลาง</v>
      </c>
      <c r="J187" t="str">
        <f>'mk 001 10.3'!J188</f>
        <v>F213  DMCW-รชล-พระพุทธบาท</v>
      </c>
      <c r="K187" t="str">
        <f>'mk 001 10.3'!K188</f>
        <v>00000  หน่วยงานกลาง</v>
      </c>
      <c r="L187">
        <f>'mk 001 10.3'!L188</f>
        <v>923</v>
      </c>
      <c r="M187">
        <f>'mk 001 10.3'!M188</f>
        <v>0</v>
      </c>
      <c r="N187" t="str">
        <f>'mk 001 10.3'!N188</f>
        <v>1A53010800</v>
      </c>
      <c r="O187" t="str">
        <f>'mk 001 10.3'!O188</f>
        <v>บมจ. ซีพี แอ็กซ์ตร้า สาขาสิงห์บุรี</v>
      </c>
      <c r="P187">
        <f>'mk 001 10.3'!P188</f>
        <v>2</v>
      </c>
      <c r="Q187" t="str">
        <f>'mk 001 10.3'!Q188</f>
        <v>MAKRO 0114 สิงห์บุรี</v>
      </c>
      <c r="R187" s="1">
        <f>'mk 001 10.3'!R188</f>
        <v>244658</v>
      </c>
      <c r="S187" s="1" t="str">
        <f>'mk 001 10.3'!S188</f>
        <v>14/5/2569</v>
      </c>
      <c r="T187" t="str">
        <f>'mk 001 10.3'!T188</f>
        <v>H6954RMA0059255</v>
      </c>
      <c r="U187">
        <f>'mk 001 10.3'!U188</f>
        <v>23015265</v>
      </c>
      <c r="V187" t="str">
        <f>'mk 001 10.3'!V188</f>
        <v>ซี่โครงหั่นชิ้น</v>
      </c>
      <c r="W187">
        <f>'mk 001 10.3'!W188</f>
        <v>20</v>
      </c>
      <c r="X187">
        <f>'mk 001 10.3'!X188</f>
        <v>20</v>
      </c>
      <c r="Y187">
        <f t="shared" si="2"/>
        <v>20</v>
      </c>
      <c r="Z187" s="13">
        <f>IF(COUNTIFS(แปลงข้อมูล!H:H,Q187,แปลงข้อมูล!I:I,U187,แปลงข้อมูล!J:J,V187)&gt;0,SUMIFS(แปลงข้อมูล!Q:Q,แปลงข้อมูล!I:I,U187,แปลงข้อมูล!H:H,Q187,แปลงข้อมูล!J:J,V187),'mk 001 10.3'!Z188)</f>
        <v>20</v>
      </c>
      <c r="AA187">
        <f>'mk 001 10.3'!AA188</f>
        <v>0</v>
      </c>
      <c r="AB187">
        <f>'mk 001 10.3'!AB188</f>
        <v>0</v>
      </c>
      <c r="AC187">
        <f>'mk 001 10.3'!AC188</f>
        <v>0</v>
      </c>
      <c r="AD187">
        <f>'mk 001 10.3'!AD188</f>
        <v>0</v>
      </c>
      <c r="AE187">
        <f>'mk 001 10.3'!AE188</f>
        <v>20</v>
      </c>
      <c r="AF187">
        <f>'mk 001 10.3'!AF188</f>
        <v>20</v>
      </c>
      <c r="AG187">
        <f>'mk 001 10.3'!AG188</f>
        <v>0</v>
      </c>
      <c r="AH187">
        <f>'mk 001 10.3'!AH188</f>
        <v>0</v>
      </c>
      <c r="AI187" t="str">
        <f>'mk 001 10.3'!AI188</f>
        <v>OPRCD489MOPRCD00000OPRCDF213OPRCD00000OPRCD923</v>
      </c>
      <c r="AJ187" t="str">
        <f>'mk 001 10.3'!AJ188</f>
        <v>ซื้อ / ขาย</v>
      </c>
      <c r="AK187" t="str">
        <f>'mk 001 10.3'!AK188</f>
        <v>Main proudct</v>
      </c>
      <c r="AL187" t="str">
        <f>'mk 001 10.3'!AL188</f>
        <v>Bulk Normal</v>
      </c>
      <c r="AM187" t="str">
        <f>'mk 001 10.3'!AM188</f>
        <v>สุกร</v>
      </c>
      <c r="AN187" t="str">
        <f>'mk 001 10.3'!AN188</f>
        <v>OT002 CC-Makro</v>
      </c>
      <c r="AO187" t="str">
        <f>'mk 001 10.3'!AO188</f>
        <v>MT</v>
      </c>
      <c r="AP187">
        <f>'mk 001 10.3'!AP188</f>
        <v>2</v>
      </c>
      <c r="AQ187">
        <f>'mk 001 10.3'!AQ188</f>
        <v>0</v>
      </c>
      <c r="AR187">
        <f>'mk 001 10.3'!AR188</f>
        <v>0</v>
      </c>
      <c r="AS187">
        <f>'mk 001 10.3'!AS188</f>
        <v>0</v>
      </c>
      <c r="AT187" t="str">
        <f>'mk 001 10.3'!AT188</f>
        <v>เบญจพจน์ เพชรเหลี่ยม</v>
      </c>
      <c r="AU187" t="str">
        <f>'mk 001 10.3'!AU188</f>
        <v>2026-05-11-13.33.46.000000</v>
      </c>
      <c r="AV187" t="str">
        <f>'mk 001 10.3'!AV188</f>
        <v>ก.ก.</v>
      </c>
      <c r="AW187" t="str">
        <f>'mk 001 10.3'!AW188</f>
        <v>ก.ก.</v>
      </c>
      <c r="AX187" t="str">
        <f>'mk 001 10.3'!AX188</f>
        <v xml:space="preserve"> </v>
      </c>
      <c r="AY187">
        <f>'mk 001 10.3'!AY188</f>
        <v>0</v>
      </c>
      <c r="AZ187" t="str">
        <f>'mk 001 10.3'!AZ188</f>
        <v>N</v>
      </c>
      <c r="BA187" s="22">
        <f>'mk 001 10.3'!BA188</f>
        <v>9044989536467</v>
      </c>
      <c r="BB187">
        <f>'mk 001 10.3'!BB188</f>
        <v>0</v>
      </c>
      <c r="BC187">
        <f>'mk 001 10.3'!BC188</f>
        <v>0</v>
      </c>
      <c r="BD187">
        <f>'mk 001 10.3'!BD188</f>
        <v>1</v>
      </c>
      <c r="BE187">
        <f>'mk 001 10.3'!BE188</f>
        <v>0</v>
      </c>
      <c r="BF187" t="str">
        <f>'mk 001 10.3'!BF188</f>
        <v>;0000</v>
      </c>
      <c r="BG187">
        <f>'mk 001 10.3'!BG188</f>
        <v>1333314600</v>
      </c>
      <c r="BH187" t="str">
        <f>'mk 001 10.3'!BH188</f>
        <v>G</v>
      </c>
      <c r="BI187">
        <f>'mk 001 10.3'!BI188</f>
        <v>20</v>
      </c>
      <c r="BJ187">
        <f>'mk 001 10.3'!BJ188</f>
        <v>20</v>
      </c>
      <c r="BK187">
        <f>'mk 001 10.3'!BK188</f>
        <v>1300</v>
      </c>
      <c r="BL187" t="str">
        <f>'mk 001 10.3'!BL188</f>
        <v>SYSBATCH</v>
      </c>
      <c r="BM187">
        <f>'mk 001 10.3'!BM188</f>
        <v>0</v>
      </c>
      <c r="BN187">
        <f>'mk 001 10.3'!BN188</f>
        <v>0</v>
      </c>
    </row>
    <row r="188" spans="1:66" x14ac:dyDescent="0.35">
      <c r="A188">
        <f>'mk 001 10.3'!A189</f>
        <v>0</v>
      </c>
      <c r="B188">
        <f>'mk 001 10.3'!B189</f>
        <v>0</v>
      </c>
      <c r="C188" s="1" t="str">
        <f>'mk 001 10.3'!C189</f>
        <v>14/5/2569</v>
      </c>
      <c r="D188" s="1" t="str">
        <f>'mk 001 10.3'!D189</f>
        <v>14/5/2569</v>
      </c>
      <c r="E188">
        <f>'mk 001 10.3'!E189</f>
        <v>0</v>
      </c>
      <c r="F188" t="str">
        <f>'mk 001 10.3'!F189</f>
        <v>489M</v>
      </c>
      <c r="G188" t="str">
        <f>'mk 001 10.3'!G189</f>
        <v>Modern Trade (Makro)</v>
      </c>
      <c r="H188">
        <f>'mk 001 10.3'!H189</f>
        <v>0</v>
      </c>
      <c r="I188" t="str">
        <f>'mk 001 10.3'!I189</f>
        <v>หน่วยงานกลาง</v>
      </c>
      <c r="J188" t="str">
        <f>'mk 001 10.3'!J189</f>
        <v>F213  DMCW-รชล-พระพุทธบาท</v>
      </c>
      <c r="K188" t="str">
        <f>'mk 001 10.3'!K189</f>
        <v>00000  หน่วยงานกลาง</v>
      </c>
      <c r="L188">
        <f>'mk 001 10.3'!L189</f>
        <v>923</v>
      </c>
      <c r="M188">
        <f>'mk 001 10.3'!M189</f>
        <v>0</v>
      </c>
      <c r="N188" t="str">
        <f>'mk 001 10.3'!N189</f>
        <v>1A53010800</v>
      </c>
      <c r="O188" t="str">
        <f>'mk 001 10.3'!O189</f>
        <v>บมจ. ซีพี แอ็กซ์ตร้า สาขาสิงห์บุรี</v>
      </c>
      <c r="P188">
        <f>'mk 001 10.3'!P189</f>
        <v>2</v>
      </c>
      <c r="Q188" t="str">
        <f>'mk 001 10.3'!Q189</f>
        <v>MAKRO 0114 สิงห์บุรี</v>
      </c>
      <c r="R188" s="1">
        <f>'mk 001 10.3'!R189</f>
        <v>244658</v>
      </c>
      <c r="S188" s="1" t="str">
        <f>'mk 001 10.3'!S189</f>
        <v>14/5/2569</v>
      </c>
      <c r="T188" t="str">
        <f>'mk 001 10.3'!T189</f>
        <v>H6954RMA0059255</v>
      </c>
      <c r="U188">
        <f>'mk 001 10.3'!U189</f>
        <v>23062111</v>
      </c>
      <c r="V188" t="str">
        <f>'mk 001 10.3'!V189</f>
        <v>ปอด(M)</v>
      </c>
      <c r="W188">
        <f>'mk 001 10.3'!W189</f>
        <v>5</v>
      </c>
      <c r="X188">
        <f>'mk 001 10.3'!X189</f>
        <v>5</v>
      </c>
      <c r="Y188">
        <f t="shared" si="2"/>
        <v>5</v>
      </c>
      <c r="Z188" s="13">
        <f>IF(COUNTIFS(แปลงข้อมูล!H:H,Q188,แปลงข้อมูล!I:I,U188,แปลงข้อมูล!J:J,V188)&gt;0,SUMIFS(แปลงข้อมูล!Q:Q,แปลงข้อมูล!I:I,U188,แปลงข้อมูล!H:H,Q188,แปลงข้อมูล!J:J,V188),'mk 001 10.3'!Z189)</f>
        <v>5</v>
      </c>
      <c r="AA188">
        <f>'mk 001 10.3'!AA189</f>
        <v>0</v>
      </c>
      <c r="AB188">
        <f>'mk 001 10.3'!AB189</f>
        <v>0</v>
      </c>
      <c r="AC188">
        <f>'mk 001 10.3'!AC189</f>
        <v>0</v>
      </c>
      <c r="AD188">
        <f>'mk 001 10.3'!AD189</f>
        <v>0</v>
      </c>
      <c r="AE188">
        <f>'mk 001 10.3'!AE189</f>
        <v>5</v>
      </c>
      <c r="AF188">
        <f>'mk 001 10.3'!AF189</f>
        <v>5</v>
      </c>
      <c r="AG188">
        <f>'mk 001 10.3'!AG189</f>
        <v>0</v>
      </c>
      <c r="AH188">
        <f>'mk 001 10.3'!AH189</f>
        <v>0</v>
      </c>
      <c r="AI188" t="str">
        <f>'mk 001 10.3'!AI189</f>
        <v>OPRCD489MOPRCD00000OPRCDF213OPRCD00000OPRCD923</v>
      </c>
      <c r="AJ188" t="str">
        <f>'mk 001 10.3'!AJ189</f>
        <v>ซื้อ / ขาย</v>
      </c>
      <c r="AK188" t="str">
        <f>'mk 001 10.3'!AK189</f>
        <v>By proudct</v>
      </c>
      <c r="AL188" t="str">
        <f>'mk 001 10.3'!AL189</f>
        <v>Bulk Normal</v>
      </c>
      <c r="AM188" t="str">
        <f>'mk 001 10.3'!AM189</f>
        <v>สุกร</v>
      </c>
      <c r="AN188" t="str">
        <f>'mk 001 10.3'!AN189</f>
        <v>OT002 CC-Makro</v>
      </c>
      <c r="AO188" t="str">
        <f>'mk 001 10.3'!AO189</f>
        <v>MT</v>
      </c>
      <c r="AP188">
        <f>'mk 001 10.3'!AP189</f>
        <v>2</v>
      </c>
      <c r="AQ188">
        <f>'mk 001 10.3'!AQ189</f>
        <v>0</v>
      </c>
      <c r="AR188">
        <f>'mk 001 10.3'!AR189</f>
        <v>0</v>
      </c>
      <c r="AS188">
        <f>'mk 001 10.3'!AS189</f>
        <v>0</v>
      </c>
      <c r="AT188" t="str">
        <f>'mk 001 10.3'!AT189</f>
        <v>เบญจพจน์ เพชรเหลี่ยม</v>
      </c>
      <c r="AU188" t="str">
        <f>'mk 001 10.3'!AU189</f>
        <v>2026-05-11-13.33.46.000000</v>
      </c>
      <c r="AV188" t="str">
        <f>'mk 001 10.3'!AV189</f>
        <v>ก.ก.</v>
      </c>
      <c r="AW188" t="str">
        <f>'mk 001 10.3'!AW189</f>
        <v>ก.ก.</v>
      </c>
      <c r="AX188" t="str">
        <f>'mk 001 10.3'!AX189</f>
        <v xml:space="preserve"> </v>
      </c>
      <c r="AY188">
        <f>'mk 001 10.3'!AY189</f>
        <v>0</v>
      </c>
      <c r="AZ188" t="str">
        <f>'mk 001 10.3'!AZ189</f>
        <v>N</v>
      </c>
      <c r="BA188" s="22">
        <f>'mk 001 10.3'!BA189</f>
        <v>9044989536467</v>
      </c>
      <c r="BB188">
        <f>'mk 001 10.3'!BB189</f>
        <v>0</v>
      </c>
      <c r="BC188">
        <f>'mk 001 10.3'!BC189</f>
        <v>0</v>
      </c>
      <c r="BD188">
        <f>'mk 001 10.3'!BD189</f>
        <v>1</v>
      </c>
      <c r="BE188">
        <f>'mk 001 10.3'!BE189</f>
        <v>0</v>
      </c>
      <c r="BF188" t="str">
        <f>'mk 001 10.3'!BF189</f>
        <v>;0000</v>
      </c>
      <c r="BG188">
        <f>'mk 001 10.3'!BG189</f>
        <v>1333314600</v>
      </c>
      <c r="BH188" t="str">
        <f>'mk 001 10.3'!BH189</f>
        <v>G</v>
      </c>
      <c r="BI188">
        <f>'mk 001 10.3'!BI189</f>
        <v>5</v>
      </c>
      <c r="BJ188">
        <f>'mk 001 10.3'!BJ189</f>
        <v>5</v>
      </c>
      <c r="BK188">
        <f>'mk 001 10.3'!BK189</f>
        <v>1300</v>
      </c>
      <c r="BL188" t="str">
        <f>'mk 001 10.3'!BL189</f>
        <v>SYSBATCH</v>
      </c>
      <c r="BM188">
        <f>'mk 001 10.3'!BM189</f>
        <v>0</v>
      </c>
      <c r="BN188">
        <f>'mk 001 10.3'!BN189</f>
        <v>0</v>
      </c>
    </row>
    <row r="189" spans="1:66" x14ac:dyDescent="0.35">
      <c r="A189">
        <f>'mk 001 10.3'!A190</f>
        <v>0</v>
      </c>
      <c r="B189">
        <f>'mk 001 10.3'!B190</f>
        <v>0</v>
      </c>
      <c r="C189" s="1" t="str">
        <f>'mk 001 10.3'!C190</f>
        <v>14/5/2569</v>
      </c>
      <c r="D189" s="1" t="str">
        <f>'mk 001 10.3'!D190</f>
        <v>14/5/2569</v>
      </c>
      <c r="E189">
        <f>'mk 001 10.3'!E190</f>
        <v>0</v>
      </c>
      <c r="F189" t="str">
        <f>'mk 001 10.3'!F190</f>
        <v>489M</v>
      </c>
      <c r="G189" t="str">
        <f>'mk 001 10.3'!G190</f>
        <v>Modern Trade (Makro)</v>
      </c>
      <c r="H189">
        <f>'mk 001 10.3'!H190</f>
        <v>0</v>
      </c>
      <c r="I189" t="str">
        <f>'mk 001 10.3'!I190</f>
        <v>หน่วยงานกลาง</v>
      </c>
      <c r="J189" t="str">
        <f>'mk 001 10.3'!J190</f>
        <v>F213  DMCW-รชล-พระพุทธบาท</v>
      </c>
      <c r="K189" t="str">
        <f>'mk 001 10.3'!K190</f>
        <v>00000  หน่วยงานกลาง</v>
      </c>
      <c r="L189">
        <f>'mk 001 10.3'!L190</f>
        <v>923</v>
      </c>
      <c r="M189">
        <f>'mk 001 10.3'!M190</f>
        <v>0</v>
      </c>
      <c r="N189" t="str">
        <f>'mk 001 10.3'!N190</f>
        <v>1A53010800</v>
      </c>
      <c r="O189" t="str">
        <f>'mk 001 10.3'!O190</f>
        <v>บมจ. ซีพี แอ็กซ์ตร้า สาขาสิงห์บุรี</v>
      </c>
      <c r="P189">
        <f>'mk 001 10.3'!P190</f>
        <v>2</v>
      </c>
      <c r="Q189" t="str">
        <f>'mk 001 10.3'!Q190</f>
        <v>MAKRO 0114 สิงห์บุรี</v>
      </c>
      <c r="R189" s="1">
        <f>'mk 001 10.3'!R190</f>
        <v>244658</v>
      </c>
      <c r="S189" s="1" t="str">
        <f>'mk 001 10.3'!S190</f>
        <v>14/5/2569</v>
      </c>
      <c r="T189" t="str">
        <f>'mk 001 10.3'!T190</f>
        <v>H6954RMA0059255</v>
      </c>
      <c r="U189">
        <f>'mk 001 10.3'!U190</f>
        <v>23062103</v>
      </c>
      <c r="V189" t="str">
        <f>'mk 001 10.3'!V190</f>
        <v>กระเพาะหมู(M)</v>
      </c>
      <c r="W189">
        <f>'mk 001 10.3'!W190</f>
        <v>5</v>
      </c>
      <c r="X189">
        <f>'mk 001 10.3'!X190</f>
        <v>5</v>
      </c>
      <c r="Y189">
        <f t="shared" si="2"/>
        <v>5</v>
      </c>
      <c r="Z189" s="13">
        <f>IF(COUNTIFS(แปลงข้อมูล!H:H,Q189,แปลงข้อมูล!I:I,U189,แปลงข้อมูล!J:J,V189)&gt;0,SUMIFS(แปลงข้อมูล!Q:Q,แปลงข้อมูล!I:I,U189,แปลงข้อมูล!H:H,Q189,แปลงข้อมูล!J:J,V189),'mk 001 10.3'!Z190)</f>
        <v>5</v>
      </c>
      <c r="AA189">
        <f>'mk 001 10.3'!AA190</f>
        <v>0</v>
      </c>
      <c r="AB189">
        <f>'mk 001 10.3'!AB190</f>
        <v>0</v>
      </c>
      <c r="AC189">
        <f>'mk 001 10.3'!AC190</f>
        <v>0</v>
      </c>
      <c r="AD189">
        <f>'mk 001 10.3'!AD190</f>
        <v>0</v>
      </c>
      <c r="AE189">
        <f>'mk 001 10.3'!AE190</f>
        <v>5</v>
      </c>
      <c r="AF189">
        <f>'mk 001 10.3'!AF190</f>
        <v>5</v>
      </c>
      <c r="AG189">
        <f>'mk 001 10.3'!AG190</f>
        <v>0</v>
      </c>
      <c r="AH189">
        <f>'mk 001 10.3'!AH190</f>
        <v>0</v>
      </c>
      <c r="AI189" t="str">
        <f>'mk 001 10.3'!AI190</f>
        <v>OPRCD489MOPRCD00000OPRCDF213OPRCD00000OPRCD923</v>
      </c>
      <c r="AJ189" t="str">
        <f>'mk 001 10.3'!AJ190</f>
        <v>ซื้อ / ขาย</v>
      </c>
      <c r="AK189" t="str">
        <f>'mk 001 10.3'!AK190</f>
        <v>By proudct</v>
      </c>
      <c r="AL189" t="str">
        <f>'mk 001 10.3'!AL190</f>
        <v>Bulk Normal</v>
      </c>
      <c r="AM189" t="str">
        <f>'mk 001 10.3'!AM190</f>
        <v>สุกร</v>
      </c>
      <c r="AN189" t="str">
        <f>'mk 001 10.3'!AN190</f>
        <v>OT002 CC-Makro</v>
      </c>
      <c r="AO189" t="str">
        <f>'mk 001 10.3'!AO190</f>
        <v>MT</v>
      </c>
      <c r="AP189">
        <f>'mk 001 10.3'!AP190</f>
        <v>2</v>
      </c>
      <c r="AQ189">
        <f>'mk 001 10.3'!AQ190</f>
        <v>0</v>
      </c>
      <c r="AR189">
        <f>'mk 001 10.3'!AR190</f>
        <v>0</v>
      </c>
      <c r="AS189">
        <f>'mk 001 10.3'!AS190</f>
        <v>0</v>
      </c>
      <c r="AT189" t="str">
        <f>'mk 001 10.3'!AT190</f>
        <v>เบญจพจน์ เพชรเหลี่ยม</v>
      </c>
      <c r="AU189" t="str">
        <f>'mk 001 10.3'!AU190</f>
        <v>2026-05-11-13.33.46.000000</v>
      </c>
      <c r="AV189" t="str">
        <f>'mk 001 10.3'!AV190</f>
        <v>ก.ก.</v>
      </c>
      <c r="AW189" t="str">
        <f>'mk 001 10.3'!AW190</f>
        <v>ก.ก.</v>
      </c>
      <c r="AX189" t="str">
        <f>'mk 001 10.3'!AX190</f>
        <v xml:space="preserve"> </v>
      </c>
      <c r="AY189">
        <f>'mk 001 10.3'!AY190</f>
        <v>0</v>
      </c>
      <c r="AZ189" t="str">
        <f>'mk 001 10.3'!AZ190</f>
        <v>N</v>
      </c>
      <c r="BA189" s="22">
        <f>'mk 001 10.3'!BA190</f>
        <v>9044989536467</v>
      </c>
      <c r="BB189">
        <f>'mk 001 10.3'!BB190</f>
        <v>0</v>
      </c>
      <c r="BC189">
        <f>'mk 001 10.3'!BC190</f>
        <v>0</v>
      </c>
      <c r="BD189">
        <f>'mk 001 10.3'!BD190</f>
        <v>1</v>
      </c>
      <c r="BE189">
        <f>'mk 001 10.3'!BE190</f>
        <v>0</v>
      </c>
      <c r="BF189" t="str">
        <f>'mk 001 10.3'!BF190</f>
        <v>;0000</v>
      </c>
      <c r="BG189">
        <f>'mk 001 10.3'!BG190</f>
        <v>1333314600</v>
      </c>
      <c r="BH189" t="str">
        <f>'mk 001 10.3'!BH190</f>
        <v>G</v>
      </c>
      <c r="BI189">
        <f>'mk 001 10.3'!BI190</f>
        <v>5</v>
      </c>
      <c r="BJ189">
        <f>'mk 001 10.3'!BJ190</f>
        <v>5</v>
      </c>
      <c r="BK189">
        <f>'mk 001 10.3'!BK190</f>
        <v>1300</v>
      </c>
      <c r="BL189" t="str">
        <f>'mk 001 10.3'!BL190</f>
        <v>SYSBATCH</v>
      </c>
      <c r="BM189">
        <f>'mk 001 10.3'!BM190</f>
        <v>0</v>
      </c>
      <c r="BN189">
        <f>'mk 001 10.3'!BN190</f>
        <v>0</v>
      </c>
    </row>
    <row r="190" spans="1:66" x14ac:dyDescent="0.35">
      <c r="A190">
        <f>'mk 001 10.3'!A191</f>
        <v>0</v>
      </c>
      <c r="B190">
        <f>'mk 001 10.3'!B191</f>
        <v>0</v>
      </c>
      <c r="C190" s="1" t="str">
        <f>'mk 001 10.3'!C191</f>
        <v>14/5/2569</v>
      </c>
      <c r="D190" s="1" t="str">
        <f>'mk 001 10.3'!D191</f>
        <v>14/5/2569</v>
      </c>
      <c r="E190">
        <f>'mk 001 10.3'!E191</f>
        <v>0</v>
      </c>
      <c r="F190" t="str">
        <f>'mk 001 10.3'!F191</f>
        <v>489M</v>
      </c>
      <c r="G190" t="str">
        <f>'mk 001 10.3'!G191</f>
        <v>Modern Trade (Makro)</v>
      </c>
      <c r="H190">
        <f>'mk 001 10.3'!H191</f>
        <v>0</v>
      </c>
      <c r="I190" t="str">
        <f>'mk 001 10.3'!I191</f>
        <v>หน่วยงานกลาง</v>
      </c>
      <c r="J190" t="str">
        <f>'mk 001 10.3'!J191</f>
        <v>F213  DMCW-รชล-พระพุทธบาท</v>
      </c>
      <c r="K190" t="str">
        <f>'mk 001 10.3'!K191</f>
        <v>00000  หน่วยงานกลาง</v>
      </c>
      <c r="L190">
        <f>'mk 001 10.3'!L191</f>
        <v>923</v>
      </c>
      <c r="M190">
        <f>'mk 001 10.3'!M191</f>
        <v>0</v>
      </c>
      <c r="N190" t="str">
        <f>'mk 001 10.3'!N191</f>
        <v>1A53010800</v>
      </c>
      <c r="O190" t="str">
        <f>'mk 001 10.3'!O191</f>
        <v>บมจ. ซีพี แอ็กซ์ตร้า สาขาสิงห์บุรี</v>
      </c>
      <c r="P190">
        <f>'mk 001 10.3'!P191</f>
        <v>2</v>
      </c>
      <c r="Q190" t="str">
        <f>'mk 001 10.3'!Q191</f>
        <v>MAKRO 0114 สิงห์บุรี</v>
      </c>
      <c r="R190" s="1">
        <f>'mk 001 10.3'!R191</f>
        <v>244658</v>
      </c>
      <c r="S190" s="1" t="str">
        <f>'mk 001 10.3'!S191</f>
        <v>14/5/2569</v>
      </c>
      <c r="T190" t="str">
        <f>'mk 001 10.3'!T191</f>
        <v>H6954RMA0059255</v>
      </c>
      <c r="U190">
        <f>'mk 001 10.3'!U191</f>
        <v>23105754</v>
      </c>
      <c r="V190" t="str">
        <f>'mk 001 10.3'!V191</f>
        <v>เซพแพ็ค สามชั้นหมู กก.ละ</v>
      </c>
      <c r="W190">
        <f>'mk 001 10.3'!W191</f>
        <v>10</v>
      </c>
      <c r="X190">
        <f>'mk 001 10.3'!X191</f>
        <v>10</v>
      </c>
      <c r="Y190">
        <f t="shared" si="2"/>
        <v>10</v>
      </c>
      <c r="Z190" s="13">
        <f>IF(COUNTIFS(แปลงข้อมูล!H:H,Q190,แปลงข้อมูล!I:I,U190,แปลงข้อมูล!J:J,V190)&gt;0,SUMIFS(แปลงข้อมูล!Q:Q,แปลงข้อมูล!I:I,U190,แปลงข้อมูล!H:H,Q190,แปลงข้อมูล!J:J,V190),'mk 001 10.3'!Z191)</f>
        <v>10</v>
      </c>
      <c r="AA190">
        <f>'mk 001 10.3'!AA191</f>
        <v>0</v>
      </c>
      <c r="AB190">
        <f>'mk 001 10.3'!AB191</f>
        <v>0</v>
      </c>
      <c r="AC190">
        <f>'mk 001 10.3'!AC191</f>
        <v>0</v>
      </c>
      <c r="AD190">
        <f>'mk 001 10.3'!AD191</f>
        <v>0</v>
      </c>
      <c r="AE190">
        <f>'mk 001 10.3'!AE191</f>
        <v>10</v>
      </c>
      <c r="AF190">
        <f>'mk 001 10.3'!AF191</f>
        <v>10</v>
      </c>
      <c r="AG190">
        <f>'mk 001 10.3'!AG191</f>
        <v>0</v>
      </c>
      <c r="AH190">
        <f>'mk 001 10.3'!AH191</f>
        <v>0</v>
      </c>
      <c r="AI190" t="str">
        <f>'mk 001 10.3'!AI191</f>
        <v>OPRCD489MOPRCD00000OPRCDF213OPRCD00000OPRCD923</v>
      </c>
      <c r="AJ190" t="str">
        <f>'mk 001 10.3'!AJ191</f>
        <v>ซื้อ / ขาย</v>
      </c>
      <c r="AK190" t="str">
        <f>'mk 001 10.3'!AK191</f>
        <v>Main proudct</v>
      </c>
      <c r="AL190" t="str">
        <f>'mk 001 10.3'!AL191</f>
        <v>Bulk Normal</v>
      </c>
      <c r="AM190" t="str">
        <f>'mk 001 10.3'!AM191</f>
        <v>สุกร</v>
      </c>
      <c r="AN190" t="str">
        <f>'mk 001 10.3'!AN191</f>
        <v>OT002 CC-Makro</v>
      </c>
      <c r="AO190" t="str">
        <f>'mk 001 10.3'!AO191</f>
        <v>MT</v>
      </c>
      <c r="AP190">
        <f>'mk 001 10.3'!AP191</f>
        <v>2</v>
      </c>
      <c r="AQ190">
        <f>'mk 001 10.3'!AQ191</f>
        <v>0</v>
      </c>
      <c r="AR190">
        <f>'mk 001 10.3'!AR191</f>
        <v>0</v>
      </c>
      <c r="AS190">
        <f>'mk 001 10.3'!AS191</f>
        <v>0</v>
      </c>
      <c r="AT190" t="str">
        <f>'mk 001 10.3'!AT191</f>
        <v>เบญจพจน์ เพชรเหลี่ยม</v>
      </c>
      <c r="AU190" t="str">
        <f>'mk 001 10.3'!AU191</f>
        <v>2026-05-11-13.33.46.000000</v>
      </c>
      <c r="AV190" t="str">
        <f>'mk 001 10.3'!AV191</f>
        <v>ก.ก.</v>
      </c>
      <c r="AW190" t="str">
        <f>'mk 001 10.3'!AW191</f>
        <v>ก.ก.</v>
      </c>
      <c r="AX190" t="str">
        <f>'mk 001 10.3'!AX191</f>
        <v xml:space="preserve"> </v>
      </c>
      <c r="AY190">
        <f>'mk 001 10.3'!AY191</f>
        <v>0</v>
      </c>
      <c r="AZ190" t="str">
        <f>'mk 001 10.3'!AZ191</f>
        <v>N</v>
      </c>
      <c r="BA190" s="22">
        <f>'mk 001 10.3'!BA191</f>
        <v>9044989536467</v>
      </c>
      <c r="BB190">
        <f>'mk 001 10.3'!BB191</f>
        <v>0</v>
      </c>
      <c r="BC190">
        <f>'mk 001 10.3'!BC191</f>
        <v>0</v>
      </c>
      <c r="BD190">
        <f>'mk 001 10.3'!BD191</f>
        <v>1</v>
      </c>
      <c r="BE190">
        <f>'mk 001 10.3'!BE191</f>
        <v>0</v>
      </c>
      <c r="BF190" t="str">
        <f>'mk 001 10.3'!BF191</f>
        <v>;0000</v>
      </c>
      <c r="BG190">
        <f>'mk 001 10.3'!BG191</f>
        <v>1333314600</v>
      </c>
      <c r="BH190" t="str">
        <f>'mk 001 10.3'!BH191</f>
        <v>G</v>
      </c>
      <c r="BI190">
        <f>'mk 001 10.3'!BI191</f>
        <v>10</v>
      </c>
      <c r="BJ190">
        <f>'mk 001 10.3'!BJ191</f>
        <v>10</v>
      </c>
      <c r="BK190">
        <f>'mk 001 10.3'!BK191</f>
        <v>1300</v>
      </c>
      <c r="BL190" t="str">
        <f>'mk 001 10.3'!BL191</f>
        <v>SYSBATCH</v>
      </c>
      <c r="BM190">
        <f>'mk 001 10.3'!BM191</f>
        <v>0</v>
      </c>
      <c r="BN190">
        <f>'mk 001 10.3'!BN191</f>
        <v>0</v>
      </c>
    </row>
    <row r="191" spans="1:66" x14ac:dyDescent="0.35">
      <c r="A191">
        <f>'mk 001 10.3'!A192</f>
        <v>0</v>
      </c>
      <c r="B191">
        <f>'mk 001 10.3'!B192</f>
        <v>0</v>
      </c>
      <c r="C191" s="1" t="str">
        <f>'mk 001 10.3'!C192</f>
        <v>14/5/2569</v>
      </c>
      <c r="D191" s="1" t="str">
        <f>'mk 001 10.3'!D192</f>
        <v>14/5/2569</v>
      </c>
      <c r="E191">
        <f>'mk 001 10.3'!E192</f>
        <v>0</v>
      </c>
      <c r="F191" t="str">
        <f>'mk 001 10.3'!F192</f>
        <v>489M</v>
      </c>
      <c r="G191" t="str">
        <f>'mk 001 10.3'!G192</f>
        <v>Modern Trade (Makro)</v>
      </c>
      <c r="H191">
        <f>'mk 001 10.3'!H192</f>
        <v>0</v>
      </c>
      <c r="I191" t="str">
        <f>'mk 001 10.3'!I192</f>
        <v>หน่วยงานกลาง</v>
      </c>
      <c r="J191" t="str">
        <f>'mk 001 10.3'!J192</f>
        <v>F213  DMCW-รชล-พระพุทธบาท</v>
      </c>
      <c r="K191" t="str">
        <f>'mk 001 10.3'!K192</f>
        <v>00000  หน่วยงานกลาง</v>
      </c>
      <c r="L191">
        <f>'mk 001 10.3'!L192</f>
        <v>923</v>
      </c>
      <c r="M191">
        <f>'mk 001 10.3'!M192</f>
        <v>0</v>
      </c>
      <c r="N191" t="str">
        <f>'mk 001 10.3'!N192</f>
        <v>1A53010800</v>
      </c>
      <c r="O191" t="str">
        <f>'mk 001 10.3'!O192</f>
        <v>บมจ. ซีพี แอ็กซ์ตร้า สาขาสิงห์บุรี</v>
      </c>
      <c r="P191">
        <f>'mk 001 10.3'!P192</f>
        <v>2</v>
      </c>
      <c r="Q191" t="str">
        <f>'mk 001 10.3'!Q192</f>
        <v>MAKRO 0114 สิงห์บุรี</v>
      </c>
      <c r="R191" s="1">
        <f>'mk 001 10.3'!R192</f>
        <v>244658</v>
      </c>
      <c r="S191" s="1" t="str">
        <f>'mk 001 10.3'!S192</f>
        <v>14/5/2569</v>
      </c>
      <c r="T191" t="str">
        <f>'mk 001 10.3'!T192</f>
        <v>H6954RMA0059255</v>
      </c>
      <c r="U191">
        <f>'mk 001 10.3'!U192</f>
        <v>23065143</v>
      </c>
      <c r="V191" t="str">
        <f>'mk 001 10.3'!V192</f>
        <v>สามชั้นสไลด์</v>
      </c>
      <c r="W191">
        <f>'mk 001 10.3'!W192</f>
        <v>0</v>
      </c>
      <c r="X191">
        <f>'mk 001 10.3'!X192</f>
        <v>0</v>
      </c>
      <c r="Y191">
        <f t="shared" si="2"/>
        <v>0</v>
      </c>
      <c r="Z191" s="13">
        <f>IF(COUNTIFS(แปลงข้อมูล!H:H,Q191,แปลงข้อมูล!I:I,U191,แปลงข้อมูล!J:J,V191)&gt;0,SUMIFS(แปลงข้อมูล!Q:Q,แปลงข้อมูล!I:I,U191,แปลงข้อมูล!H:H,Q191,แปลงข้อมูล!J:J,V191),'mk 001 10.3'!Z192)</f>
        <v>0</v>
      </c>
      <c r="AA191">
        <f>'mk 001 10.3'!AA192</f>
        <v>0</v>
      </c>
      <c r="AB191">
        <f>'mk 001 10.3'!AB192</f>
        <v>0</v>
      </c>
      <c r="AC191">
        <f>'mk 001 10.3'!AC192</f>
        <v>0</v>
      </c>
      <c r="AD191">
        <f>'mk 001 10.3'!AD192</f>
        <v>0</v>
      </c>
      <c r="AE191">
        <f>'mk 001 10.3'!AE192</f>
        <v>0</v>
      </c>
      <c r="AF191">
        <f>'mk 001 10.3'!AF192</f>
        <v>0</v>
      </c>
      <c r="AG191">
        <f>'mk 001 10.3'!AG192</f>
        <v>0</v>
      </c>
      <c r="AH191">
        <f>'mk 001 10.3'!AH192</f>
        <v>0</v>
      </c>
      <c r="AI191" t="str">
        <f>'mk 001 10.3'!AI192</f>
        <v>OPRCD489MOPRCD00000OPRCDF213OPRCD00000OPRCD923</v>
      </c>
      <c r="AJ191" t="str">
        <f>'mk 001 10.3'!AJ192</f>
        <v>ซื้อ / ขาย</v>
      </c>
      <c r="AK191" t="str">
        <f>'mk 001 10.3'!AK192</f>
        <v>Main proudct</v>
      </c>
      <c r="AL191" t="str">
        <f>'mk 001 10.3'!AL192</f>
        <v>Bulk Normal</v>
      </c>
      <c r="AM191" t="str">
        <f>'mk 001 10.3'!AM192</f>
        <v>สุกร</v>
      </c>
      <c r="AN191" t="str">
        <f>'mk 001 10.3'!AN192</f>
        <v>OT002 CC-Makro</v>
      </c>
      <c r="AO191" t="str">
        <f>'mk 001 10.3'!AO192</f>
        <v>MT</v>
      </c>
      <c r="AP191">
        <f>'mk 001 10.3'!AP192</f>
        <v>2</v>
      </c>
      <c r="AQ191">
        <f>'mk 001 10.3'!AQ192</f>
        <v>0</v>
      </c>
      <c r="AR191">
        <f>'mk 001 10.3'!AR192</f>
        <v>0</v>
      </c>
      <c r="AS191">
        <f>'mk 001 10.3'!AS192</f>
        <v>0</v>
      </c>
      <c r="AT191" t="str">
        <f>'mk 001 10.3'!AT192</f>
        <v>เบญจพจน์ เพชรเหลี่ยม</v>
      </c>
      <c r="AU191" t="str">
        <f>'mk 001 10.3'!AU192</f>
        <v>2026-05-11-13.33.46.000000</v>
      </c>
      <c r="AV191" t="str">
        <f>'mk 001 10.3'!AV192</f>
        <v>ก.ก.</v>
      </c>
      <c r="AW191" t="str">
        <f>'mk 001 10.3'!AW192</f>
        <v>ก.ก.</v>
      </c>
      <c r="AX191" t="str">
        <f>'mk 001 10.3'!AX192</f>
        <v xml:space="preserve"> </v>
      </c>
      <c r="AY191">
        <f>'mk 001 10.3'!AY192</f>
        <v>0</v>
      </c>
      <c r="AZ191" t="str">
        <f>'mk 001 10.3'!AZ192</f>
        <v>N</v>
      </c>
      <c r="BA191" s="22">
        <f>'mk 001 10.3'!BA192</f>
        <v>9044989536467</v>
      </c>
      <c r="BB191">
        <f>'mk 001 10.3'!BB192</f>
        <v>0</v>
      </c>
      <c r="BC191">
        <f>'mk 001 10.3'!BC192</f>
        <v>0</v>
      </c>
      <c r="BD191">
        <f>'mk 001 10.3'!BD192</f>
        <v>1</v>
      </c>
      <c r="BE191">
        <f>'mk 001 10.3'!BE192</f>
        <v>0</v>
      </c>
      <c r="BF191" t="str">
        <f>'mk 001 10.3'!BF192</f>
        <v>;0000</v>
      </c>
      <c r="BG191">
        <f>'mk 001 10.3'!BG192</f>
        <v>1333314600</v>
      </c>
      <c r="BH191" t="str">
        <f>'mk 001 10.3'!BH192</f>
        <v>G</v>
      </c>
      <c r="BI191">
        <f>'mk 001 10.3'!BI192</f>
        <v>0</v>
      </c>
      <c r="BJ191">
        <f>'mk 001 10.3'!BJ192</f>
        <v>0</v>
      </c>
      <c r="BK191">
        <f>'mk 001 10.3'!BK192</f>
        <v>1300</v>
      </c>
      <c r="BL191" t="str">
        <f>'mk 001 10.3'!BL192</f>
        <v>SYSBATCH</v>
      </c>
      <c r="BM191">
        <f>'mk 001 10.3'!BM192</f>
        <v>0</v>
      </c>
      <c r="BN191">
        <f>'mk 001 10.3'!BN192</f>
        <v>0</v>
      </c>
    </row>
    <row r="192" spans="1:66" x14ac:dyDescent="0.35">
      <c r="A192">
        <f>'mk 001 10.3'!A193</f>
        <v>0</v>
      </c>
      <c r="B192">
        <f>'mk 001 10.3'!B193</f>
        <v>0</v>
      </c>
      <c r="C192" s="1" t="str">
        <f>'mk 001 10.3'!C193</f>
        <v>14/5/2569</v>
      </c>
      <c r="D192" s="1" t="str">
        <f>'mk 001 10.3'!D193</f>
        <v>14/5/2569</v>
      </c>
      <c r="E192">
        <f>'mk 001 10.3'!E193</f>
        <v>0</v>
      </c>
      <c r="F192" t="str">
        <f>'mk 001 10.3'!F193</f>
        <v>489M</v>
      </c>
      <c r="G192" t="str">
        <f>'mk 001 10.3'!G193</f>
        <v>Modern Trade (Makro)</v>
      </c>
      <c r="H192">
        <f>'mk 001 10.3'!H193</f>
        <v>0</v>
      </c>
      <c r="I192" t="str">
        <f>'mk 001 10.3'!I193</f>
        <v>หน่วยงานกลาง</v>
      </c>
      <c r="J192" t="str">
        <f>'mk 001 10.3'!J193</f>
        <v>F213  DMCW-รชล-พระพุทธบาท</v>
      </c>
      <c r="K192" t="str">
        <f>'mk 001 10.3'!K193</f>
        <v>00000  หน่วยงานกลาง</v>
      </c>
      <c r="L192">
        <f>'mk 001 10.3'!L193</f>
        <v>923</v>
      </c>
      <c r="M192">
        <f>'mk 001 10.3'!M193</f>
        <v>0</v>
      </c>
      <c r="N192" t="str">
        <f>'mk 001 10.3'!N193</f>
        <v>1A53010800</v>
      </c>
      <c r="O192" t="str">
        <f>'mk 001 10.3'!O193</f>
        <v>บมจ. ซีพี แอ็กซ์ตร้า สาขาสิงห์บุรี</v>
      </c>
      <c r="P192">
        <f>'mk 001 10.3'!P193</f>
        <v>2</v>
      </c>
      <c r="Q192" t="str">
        <f>'mk 001 10.3'!Q193</f>
        <v>MAKRO 0114 สิงห์บุรี</v>
      </c>
      <c r="R192" s="1">
        <f>'mk 001 10.3'!R193</f>
        <v>244658</v>
      </c>
      <c r="S192" s="1" t="str">
        <f>'mk 001 10.3'!S193</f>
        <v>14/5/2569</v>
      </c>
      <c r="T192" t="str">
        <f>'mk 001 10.3'!T193</f>
        <v>H6954RMA0059255</v>
      </c>
      <c r="U192">
        <f>'mk 001 10.3'!U193</f>
        <v>23058589</v>
      </c>
      <c r="V192" t="str">
        <f>'mk 001 10.3'!V193</f>
        <v>ไส้อ่อน (M)</v>
      </c>
      <c r="W192">
        <f>'mk 001 10.3'!W193</f>
        <v>10</v>
      </c>
      <c r="X192">
        <f>'mk 001 10.3'!X193</f>
        <v>10</v>
      </c>
      <c r="Y192">
        <f t="shared" si="2"/>
        <v>10</v>
      </c>
      <c r="Z192" s="13">
        <f>IF(COUNTIFS(แปลงข้อมูล!H:H,Q192,แปลงข้อมูล!I:I,U192,แปลงข้อมูล!J:J,V192)&gt;0,SUMIFS(แปลงข้อมูล!Q:Q,แปลงข้อมูล!I:I,U192,แปลงข้อมูล!H:H,Q192,แปลงข้อมูล!J:J,V192),'mk 001 10.3'!Z193)</f>
        <v>10</v>
      </c>
      <c r="AA192">
        <f>'mk 001 10.3'!AA193</f>
        <v>0</v>
      </c>
      <c r="AB192">
        <f>'mk 001 10.3'!AB193</f>
        <v>0</v>
      </c>
      <c r="AC192">
        <f>'mk 001 10.3'!AC193</f>
        <v>0</v>
      </c>
      <c r="AD192">
        <f>'mk 001 10.3'!AD193</f>
        <v>0</v>
      </c>
      <c r="AE192">
        <f>'mk 001 10.3'!AE193</f>
        <v>10</v>
      </c>
      <c r="AF192">
        <f>'mk 001 10.3'!AF193</f>
        <v>10</v>
      </c>
      <c r="AG192">
        <f>'mk 001 10.3'!AG193</f>
        <v>0</v>
      </c>
      <c r="AH192">
        <f>'mk 001 10.3'!AH193</f>
        <v>0</v>
      </c>
      <c r="AI192" t="str">
        <f>'mk 001 10.3'!AI193</f>
        <v>OPRCD489MOPRCD00000OPRCDF213OPRCD00000OPRCD923</v>
      </c>
      <c r="AJ192" t="str">
        <f>'mk 001 10.3'!AJ193</f>
        <v>ซื้อ / ขาย</v>
      </c>
      <c r="AK192" t="str">
        <f>'mk 001 10.3'!AK193</f>
        <v>By proudct</v>
      </c>
      <c r="AL192" t="str">
        <f>'mk 001 10.3'!AL193</f>
        <v>Bulk Normal</v>
      </c>
      <c r="AM192" t="str">
        <f>'mk 001 10.3'!AM193</f>
        <v>สุกร</v>
      </c>
      <c r="AN192" t="str">
        <f>'mk 001 10.3'!AN193</f>
        <v>OT002 CC-Makro</v>
      </c>
      <c r="AO192" t="str">
        <f>'mk 001 10.3'!AO193</f>
        <v>MT</v>
      </c>
      <c r="AP192">
        <f>'mk 001 10.3'!AP193</f>
        <v>2</v>
      </c>
      <c r="AQ192">
        <f>'mk 001 10.3'!AQ193</f>
        <v>0</v>
      </c>
      <c r="AR192">
        <f>'mk 001 10.3'!AR193</f>
        <v>0</v>
      </c>
      <c r="AS192">
        <f>'mk 001 10.3'!AS193</f>
        <v>0</v>
      </c>
      <c r="AT192" t="str">
        <f>'mk 001 10.3'!AT193</f>
        <v>เบญจพจน์ เพชรเหลี่ยม</v>
      </c>
      <c r="AU192" t="str">
        <f>'mk 001 10.3'!AU193</f>
        <v>2026-05-11-13.33.46.000000</v>
      </c>
      <c r="AV192" t="str">
        <f>'mk 001 10.3'!AV193</f>
        <v>ก.ก.</v>
      </c>
      <c r="AW192" t="str">
        <f>'mk 001 10.3'!AW193</f>
        <v>ก.ก.</v>
      </c>
      <c r="AX192" t="str">
        <f>'mk 001 10.3'!AX193</f>
        <v xml:space="preserve"> </v>
      </c>
      <c r="AY192">
        <f>'mk 001 10.3'!AY193</f>
        <v>0</v>
      </c>
      <c r="AZ192" t="str">
        <f>'mk 001 10.3'!AZ193</f>
        <v>N</v>
      </c>
      <c r="BA192" s="22">
        <f>'mk 001 10.3'!BA193</f>
        <v>9044989536467</v>
      </c>
      <c r="BB192">
        <f>'mk 001 10.3'!BB193</f>
        <v>0</v>
      </c>
      <c r="BC192">
        <f>'mk 001 10.3'!BC193</f>
        <v>0</v>
      </c>
      <c r="BD192">
        <f>'mk 001 10.3'!BD193</f>
        <v>1</v>
      </c>
      <c r="BE192">
        <f>'mk 001 10.3'!BE193</f>
        <v>0</v>
      </c>
      <c r="BF192" t="str">
        <f>'mk 001 10.3'!BF193</f>
        <v>;0000</v>
      </c>
      <c r="BG192">
        <f>'mk 001 10.3'!BG193</f>
        <v>1333314600</v>
      </c>
      <c r="BH192" t="str">
        <f>'mk 001 10.3'!BH193</f>
        <v>G</v>
      </c>
      <c r="BI192">
        <f>'mk 001 10.3'!BI193</f>
        <v>10</v>
      </c>
      <c r="BJ192">
        <f>'mk 001 10.3'!BJ193</f>
        <v>10</v>
      </c>
      <c r="BK192">
        <f>'mk 001 10.3'!BK193</f>
        <v>1300</v>
      </c>
      <c r="BL192" t="str">
        <f>'mk 001 10.3'!BL193</f>
        <v>SYSBATCH</v>
      </c>
      <c r="BM192">
        <f>'mk 001 10.3'!BM193</f>
        <v>0</v>
      </c>
      <c r="BN192">
        <f>'mk 001 10.3'!BN193</f>
        <v>0</v>
      </c>
    </row>
    <row r="193" spans="1:66" x14ac:dyDescent="0.35">
      <c r="A193">
        <f>'mk 001 10.3'!A194</f>
        <v>0</v>
      </c>
      <c r="B193">
        <f>'mk 001 10.3'!B194</f>
        <v>0</v>
      </c>
      <c r="C193" s="1" t="str">
        <f>'mk 001 10.3'!C194</f>
        <v>14/5/2569</v>
      </c>
      <c r="D193" s="1" t="str">
        <f>'mk 001 10.3'!D194</f>
        <v>14/5/2569</v>
      </c>
      <c r="E193">
        <f>'mk 001 10.3'!E194</f>
        <v>0</v>
      </c>
      <c r="F193" t="str">
        <f>'mk 001 10.3'!F194</f>
        <v>489M</v>
      </c>
      <c r="G193" t="str">
        <f>'mk 001 10.3'!G194</f>
        <v>Modern Trade (Makro)</v>
      </c>
      <c r="H193">
        <f>'mk 001 10.3'!H194</f>
        <v>0</v>
      </c>
      <c r="I193" t="str">
        <f>'mk 001 10.3'!I194</f>
        <v>หน่วยงานกลาง</v>
      </c>
      <c r="J193" t="str">
        <f>'mk 001 10.3'!J194</f>
        <v>F213  DMCW-รชล-พระพุทธบาท</v>
      </c>
      <c r="K193" t="str">
        <f>'mk 001 10.3'!K194</f>
        <v>00000  หน่วยงานกลาง</v>
      </c>
      <c r="L193">
        <f>'mk 001 10.3'!L194</f>
        <v>923</v>
      </c>
      <c r="M193">
        <f>'mk 001 10.3'!M194</f>
        <v>0</v>
      </c>
      <c r="N193" t="str">
        <f>'mk 001 10.3'!N194</f>
        <v>1A53010800</v>
      </c>
      <c r="O193" t="str">
        <f>'mk 001 10.3'!O194</f>
        <v>บมจ. ซีพี แอ็กซ์ตร้า สาขาสิงห์บุรี</v>
      </c>
      <c r="P193">
        <f>'mk 001 10.3'!P194</f>
        <v>2</v>
      </c>
      <c r="Q193" t="str">
        <f>'mk 001 10.3'!Q194</f>
        <v>MAKRO 0114 สิงห์บุรี</v>
      </c>
      <c r="R193" s="1">
        <f>'mk 001 10.3'!R194</f>
        <v>244658</v>
      </c>
      <c r="S193" s="1" t="str">
        <f>'mk 001 10.3'!S194</f>
        <v>14/5/2569</v>
      </c>
      <c r="T193" t="str">
        <f>'mk 001 10.3'!T194</f>
        <v>H6954RMA0059255</v>
      </c>
      <c r="U193">
        <f>'mk 001 10.3'!U194</f>
        <v>23015198</v>
      </c>
      <c r="V193" t="str">
        <f>'mk 001 10.3'!V194</f>
        <v>พอร์คช็อป</v>
      </c>
      <c r="W193">
        <f>'mk 001 10.3'!W194</f>
        <v>0</v>
      </c>
      <c r="X193">
        <f>'mk 001 10.3'!X194</f>
        <v>0</v>
      </c>
      <c r="Y193">
        <f t="shared" si="2"/>
        <v>0</v>
      </c>
      <c r="Z193" s="13">
        <f>IF(COUNTIFS(แปลงข้อมูล!H:H,Q193,แปลงข้อมูล!I:I,U193,แปลงข้อมูล!J:J,V193)&gt;0,SUMIFS(แปลงข้อมูล!Q:Q,แปลงข้อมูล!I:I,U193,แปลงข้อมูล!H:H,Q193,แปลงข้อมูล!J:J,V193),'mk 001 10.3'!Z194)</f>
        <v>0</v>
      </c>
      <c r="AA193">
        <f>'mk 001 10.3'!AA194</f>
        <v>0</v>
      </c>
      <c r="AB193">
        <f>'mk 001 10.3'!AB194</f>
        <v>0</v>
      </c>
      <c r="AC193">
        <f>'mk 001 10.3'!AC194</f>
        <v>0</v>
      </c>
      <c r="AD193">
        <f>'mk 001 10.3'!AD194</f>
        <v>0</v>
      </c>
      <c r="AE193">
        <f>'mk 001 10.3'!AE194</f>
        <v>0</v>
      </c>
      <c r="AF193">
        <f>'mk 001 10.3'!AF194</f>
        <v>0</v>
      </c>
      <c r="AG193">
        <f>'mk 001 10.3'!AG194</f>
        <v>0</v>
      </c>
      <c r="AH193">
        <f>'mk 001 10.3'!AH194</f>
        <v>0</v>
      </c>
      <c r="AI193" t="str">
        <f>'mk 001 10.3'!AI194</f>
        <v>OPRCD489MOPRCD00000OPRCDF213OPRCD00000OPRCD923</v>
      </c>
      <c r="AJ193" t="str">
        <f>'mk 001 10.3'!AJ194</f>
        <v>ซื้อ / ขาย</v>
      </c>
      <c r="AK193" t="str">
        <f>'mk 001 10.3'!AK194</f>
        <v>Main proudct</v>
      </c>
      <c r="AL193" t="str">
        <f>'mk 001 10.3'!AL194</f>
        <v>Bulk Normal</v>
      </c>
      <c r="AM193" t="str">
        <f>'mk 001 10.3'!AM194</f>
        <v>สุกร</v>
      </c>
      <c r="AN193" t="str">
        <f>'mk 001 10.3'!AN194</f>
        <v>OT002 CC-Makro</v>
      </c>
      <c r="AO193" t="str">
        <f>'mk 001 10.3'!AO194</f>
        <v>MT</v>
      </c>
      <c r="AP193">
        <f>'mk 001 10.3'!AP194</f>
        <v>2</v>
      </c>
      <c r="AQ193">
        <f>'mk 001 10.3'!AQ194</f>
        <v>0</v>
      </c>
      <c r="AR193">
        <f>'mk 001 10.3'!AR194</f>
        <v>0</v>
      </c>
      <c r="AS193">
        <f>'mk 001 10.3'!AS194</f>
        <v>0</v>
      </c>
      <c r="AT193" t="str">
        <f>'mk 001 10.3'!AT194</f>
        <v>เบญจพจน์ เพชรเหลี่ยม</v>
      </c>
      <c r="AU193" t="str">
        <f>'mk 001 10.3'!AU194</f>
        <v>2026-05-11-13.33.46.000000</v>
      </c>
      <c r="AV193" t="str">
        <f>'mk 001 10.3'!AV194</f>
        <v>ก.ก.</v>
      </c>
      <c r="AW193" t="str">
        <f>'mk 001 10.3'!AW194</f>
        <v>ก.ก.</v>
      </c>
      <c r="AX193" t="str">
        <f>'mk 001 10.3'!AX194</f>
        <v xml:space="preserve"> </v>
      </c>
      <c r="AY193">
        <f>'mk 001 10.3'!AY194</f>
        <v>0</v>
      </c>
      <c r="AZ193" t="str">
        <f>'mk 001 10.3'!AZ194</f>
        <v>N</v>
      </c>
      <c r="BA193" s="22">
        <f>'mk 001 10.3'!BA194</f>
        <v>9044989536467</v>
      </c>
      <c r="BB193">
        <f>'mk 001 10.3'!BB194</f>
        <v>0</v>
      </c>
      <c r="BC193">
        <f>'mk 001 10.3'!BC194</f>
        <v>0</v>
      </c>
      <c r="BD193">
        <f>'mk 001 10.3'!BD194</f>
        <v>1</v>
      </c>
      <c r="BE193">
        <f>'mk 001 10.3'!BE194</f>
        <v>0</v>
      </c>
      <c r="BF193" t="str">
        <f>'mk 001 10.3'!BF194</f>
        <v>;0000</v>
      </c>
      <c r="BG193">
        <f>'mk 001 10.3'!BG194</f>
        <v>1333314600</v>
      </c>
      <c r="BH193" t="str">
        <f>'mk 001 10.3'!BH194</f>
        <v>G</v>
      </c>
      <c r="BI193">
        <f>'mk 001 10.3'!BI194</f>
        <v>0</v>
      </c>
      <c r="BJ193">
        <f>'mk 001 10.3'!BJ194</f>
        <v>0</v>
      </c>
      <c r="BK193">
        <f>'mk 001 10.3'!BK194</f>
        <v>1300</v>
      </c>
      <c r="BL193" t="str">
        <f>'mk 001 10.3'!BL194</f>
        <v>SYSBATCH</v>
      </c>
      <c r="BM193">
        <f>'mk 001 10.3'!BM194</f>
        <v>0</v>
      </c>
      <c r="BN193">
        <f>'mk 001 10.3'!BN194</f>
        <v>0</v>
      </c>
    </row>
    <row r="194" spans="1:66" x14ac:dyDescent="0.35">
      <c r="A194">
        <f>'mk 001 10.3'!A195</f>
        <v>0</v>
      </c>
      <c r="B194">
        <f>'mk 001 10.3'!B195</f>
        <v>0</v>
      </c>
      <c r="C194" s="1" t="str">
        <f>'mk 001 10.3'!C195</f>
        <v>14/5/2569</v>
      </c>
      <c r="D194" s="1" t="str">
        <f>'mk 001 10.3'!D195</f>
        <v>14/5/2569</v>
      </c>
      <c r="E194">
        <f>'mk 001 10.3'!E195</f>
        <v>0</v>
      </c>
      <c r="F194" t="str">
        <f>'mk 001 10.3'!F195</f>
        <v>489M</v>
      </c>
      <c r="G194" t="str">
        <f>'mk 001 10.3'!G195</f>
        <v>Modern Trade (Makro)</v>
      </c>
      <c r="H194">
        <f>'mk 001 10.3'!H195</f>
        <v>0</v>
      </c>
      <c r="I194" t="str">
        <f>'mk 001 10.3'!I195</f>
        <v>หน่วยงานกลาง</v>
      </c>
      <c r="J194" t="str">
        <f>'mk 001 10.3'!J195</f>
        <v>F213  DMCW-รชล-พระพุทธบาท</v>
      </c>
      <c r="K194" t="str">
        <f>'mk 001 10.3'!K195</f>
        <v>00000  หน่วยงานกลาง</v>
      </c>
      <c r="L194">
        <f>'mk 001 10.3'!L195</f>
        <v>923</v>
      </c>
      <c r="M194">
        <f>'mk 001 10.3'!M195</f>
        <v>0</v>
      </c>
      <c r="N194" t="str">
        <f>'mk 001 10.3'!N195</f>
        <v>1A53010800</v>
      </c>
      <c r="O194" t="str">
        <f>'mk 001 10.3'!O195</f>
        <v>บมจ. ซีพี แอ็กซ์ตร้า สาขาสิงห์บุรี</v>
      </c>
      <c r="P194">
        <f>'mk 001 10.3'!P195</f>
        <v>2</v>
      </c>
      <c r="Q194" t="str">
        <f>'mk 001 10.3'!Q195</f>
        <v>MAKRO 0114 สิงห์บุรี</v>
      </c>
      <c r="R194" s="1">
        <f>'mk 001 10.3'!R195</f>
        <v>244658</v>
      </c>
      <c r="S194" s="1" t="str">
        <f>'mk 001 10.3'!S195</f>
        <v>14/5/2569</v>
      </c>
      <c r="T194" t="str">
        <f>'mk 001 10.3'!T195</f>
        <v>H6954RMA0059255</v>
      </c>
      <c r="U194">
        <f>'mk 001 10.3'!U195</f>
        <v>23058552</v>
      </c>
      <c r="V194" t="str">
        <f>'mk 001 10.3'!V195</f>
        <v>มันสันหลัง (M)</v>
      </c>
      <c r="W194">
        <f>'mk 001 10.3'!W195</f>
        <v>20</v>
      </c>
      <c r="X194">
        <f>'mk 001 10.3'!X195</f>
        <v>20</v>
      </c>
      <c r="Y194">
        <f t="shared" si="2"/>
        <v>20</v>
      </c>
      <c r="Z194" s="13">
        <f>IF(COUNTIFS(แปลงข้อมูล!H:H,Q194,แปลงข้อมูล!I:I,U194,แปลงข้อมูล!J:J,V194)&gt;0,SUMIFS(แปลงข้อมูล!Q:Q,แปลงข้อมูล!I:I,U194,แปลงข้อมูล!H:H,Q194,แปลงข้อมูล!J:J,V194),'mk 001 10.3'!Z195)</f>
        <v>20</v>
      </c>
      <c r="AA194">
        <f>'mk 001 10.3'!AA195</f>
        <v>0</v>
      </c>
      <c r="AB194">
        <f>'mk 001 10.3'!AB195</f>
        <v>0</v>
      </c>
      <c r="AC194">
        <f>'mk 001 10.3'!AC195</f>
        <v>0</v>
      </c>
      <c r="AD194">
        <f>'mk 001 10.3'!AD195</f>
        <v>0</v>
      </c>
      <c r="AE194">
        <f>'mk 001 10.3'!AE195</f>
        <v>20</v>
      </c>
      <c r="AF194">
        <f>'mk 001 10.3'!AF195</f>
        <v>20</v>
      </c>
      <c r="AG194">
        <f>'mk 001 10.3'!AG195</f>
        <v>0</v>
      </c>
      <c r="AH194">
        <f>'mk 001 10.3'!AH195</f>
        <v>0</v>
      </c>
      <c r="AI194" t="str">
        <f>'mk 001 10.3'!AI195</f>
        <v>OPRCD489MOPRCD00000OPRCDF213OPRCD00000OPRCD923</v>
      </c>
      <c r="AJ194" t="str">
        <f>'mk 001 10.3'!AJ195</f>
        <v>ซื้อ / ขาย</v>
      </c>
      <c r="AK194" t="str">
        <f>'mk 001 10.3'!AK195</f>
        <v>By proudct</v>
      </c>
      <c r="AL194" t="str">
        <f>'mk 001 10.3'!AL195</f>
        <v>Bulk Normal</v>
      </c>
      <c r="AM194" t="str">
        <f>'mk 001 10.3'!AM195</f>
        <v>สุกร</v>
      </c>
      <c r="AN194" t="str">
        <f>'mk 001 10.3'!AN195</f>
        <v>OT002 CC-Makro</v>
      </c>
      <c r="AO194" t="str">
        <f>'mk 001 10.3'!AO195</f>
        <v>MT</v>
      </c>
      <c r="AP194">
        <f>'mk 001 10.3'!AP195</f>
        <v>2</v>
      </c>
      <c r="AQ194">
        <f>'mk 001 10.3'!AQ195</f>
        <v>0</v>
      </c>
      <c r="AR194">
        <f>'mk 001 10.3'!AR195</f>
        <v>0</v>
      </c>
      <c r="AS194">
        <f>'mk 001 10.3'!AS195</f>
        <v>0</v>
      </c>
      <c r="AT194" t="str">
        <f>'mk 001 10.3'!AT195</f>
        <v>เบญจพจน์ เพชรเหลี่ยม</v>
      </c>
      <c r="AU194" t="str">
        <f>'mk 001 10.3'!AU195</f>
        <v>2026-05-11-13.33.46.000000</v>
      </c>
      <c r="AV194" t="str">
        <f>'mk 001 10.3'!AV195</f>
        <v>ก.ก.</v>
      </c>
      <c r="AW194" t="str">
        <f>'mk 001 10.3'!AW195</f>
        <v>ก.ก.</v>
      </c>
      <c r="AX194" t="str">
        <f>'mk 001 10.3'!AX195</f>
        <v xml:space="preserve"> </v>
      </c>
      <c r="AY194">
        <f>'mk 001 10.3'!AY195</f>
        <v>0</v>
      </c>
      <c r="AZ194" t="str">
        <f>'mk 001 10.3'!AZ195</f>
        <v>N</v>
      </c>
      <c r="BA194" s="22">
        <f>'mk 001 10.3'!BA195</f>
        <v>9044989536467</v>
      </c>
      <c r="BB194">
        <f>'mk 001 10.3'!BB195</f>
        <v>0</v>
      </c>
      <c r="BC194">
        <f>'mk 001 10.3'!BC195</f>
        <v>0</v>
      </c>
      <c r="BD194">
        <f>'mk 001 10.3'!BD195</f>
        <v>1</v>
      </c>
      <c r="BE194">
        <f>'mk 001 10.3'!BE195</f>
        <v>0</v>
      </c>
      <c r="BF194" t="str">
        <f>'mk 001 10.3'!BF195</f>
        <v>;0000</v>
      </c>
      <c r="BG194">
        <f>'mk 001 10.3'!BG195</f>
        <v>1333314600</v>
      </c>
      <c r="BH194" t="str">
        <f>'mk 001 10.3'!BH195</f>
        <v>G</v>
      </c>
      <c r="BI194">
        <f>'mk 001 10.3'!BI195</f>
        <v>20</v>
      </c>
      <c r="BJ194">
        <f>'mk 001 10.3'!BJ195</f>
        <v>20</v>
      </c>
      <c r="BK194">
        <f>'mk 001 10.3'!BK195</f>
        <v>1300</v>
      </c>
      <c r="BL194" t="str">
        <f>'mk 001 10.3'!BL195</f>
        <v>SYSBATCH</v>
      </c>
      <c r="BM194">
        <f>'mk 001 10.3'!BM195</f>
        <v>0</v>
      </c>
      <c r="BN194">
        <f>'mk 001 10.3'!BN195</f>
        <v>0</v>
      </c>
    </row>
    <row r="195" spans="1:66" x14ac:dyDescent="0.35">
      <c r="A195">
        <f>'mk 001 10.3'!A196</f>
        <v>0</v>
      </c>
      <c r="B195">
        <f>'mk 001 10.3'!B196</f>
        <v>0</v>
      </c>
      <c r="C195" s="1" t="str">
        <f>'mk 001 10.3'!C196</f>
        <v>14/5/2569</v>
      </c>
      <c r="D195" s="1" t="str">
        <f>'mk 001 10.3'!D196</f>
        <v>14/5/2569</v>
      </c>
      <c r="E195">
        <f>'mk 001 10.3'!E196</f>
        <v>0</v>
      </c>
      <c r="F195" t="str">
        <f>'mk 001 10.3'!F196</f>
        <v>489M</v>
      </c>
      <c r="G195" t="str">
        <f>'mk 001 10.3'!G196</f>
        <v>Modern Trade (Makro)</v>
      </c>
      <c r="H195">
        <f>'mk 001 10.3'!H196</f>
        <v>0</v>
      </c>
      <c r="I195" t="str">
        <f>'mk 001 10.3'!I196</f>
        <v>หน่วยงานกลาง</v>
      </c>
      <c r="J195" t="str">
        <f>'mk 001 10.3'!J196</f>
        <v>F213  DMCW-รชล-พระพุทธบาท</v>
      </c>
      <c r="K195" t="str">
        <f>'mk 001 10.3'!K196</f>
        <v>00000  หน่วยงานกลาง</v>
      </c>
      <c r="L195">
        <f>'mk 001 10.3'!L196</f>
        <v>923</v>
      </c>
      <c r="M195">
        <f>'mk 001 10.3'!M196</f>
        <v>0</v>
      </c>
      <c r="N195" t="str">
        <f>'mk 001 10.3'!N196</f>
        <v>1A53010800</v>
      </c>
      <c r="O195" t="str">
        <f>'mk 001 10.3'!O196</f>
        <v>บมจ. ซีพี แอ็กซ์ตร้า สาขาสิงห์บุรี</v>
      </c>
      <c r="P195">
        <f>'mk 001 10.3'!P196</f>
        <v>2</v>
      </c>
      <c r="Q195" t="str">
        <f>'mk 001 10.3'!Q196</f>
        <v>MAKRO 0114 สิงห์บุรี</v>
      </c>
      <c r="R195" s="1">
        <f>'mk 001 10.3'!R196</f>
        <v>244658</v>
      </c>
      <c r="S195" s="1" t="str">
        <f>'mk 001 10.3'!S196</f>
        <v>14/5/2569</v>
      </c>
      <c r="T195" t="str">
        <f>'mk 001 10.3'!T196</f>
        <v>H6954RMA0059255</v>
      </c>
      <c r="U195">
        <f>'mk 001 10.3'!U196</f>
        <v>23066879</v>
      </c>
      <c r="V195" t="str">
        <f>'mk 001 10.3'!V196</f>
        <v>กระดูกอ่อน(M)</v>
      </c>
      <c r="W195">
        <f>'mk 001 10.3'!W196</f>
        <v>10</v>
      </c>
      <c r="X195">
        <f>'mk 001 10.3'!X196</f>
        <v>10</v>
      </c>
      <c r="Y195">
        <f t="shared" ref="Y195:Y258" si="3">IFERROR(W195*Z195/X195,0)</f>
        <v>10</v>
      </c>
      <c r="Z195" s="13">
        <f>IF(COUNTIFS(แปลงข้อมูล!H:H,Q195,แปลงข้อมูล!I:I,U195,แปลงข้อมูล!J:J,V195)&gt;0,SUMIFS(แปลงข้อมูล!Q:Q,แปลงข้อมูล!I:I,U195,แปลงข้อมูล!H:H,Q195,แปลงข้อมูล!J:J,V195),'mk 001 10.3'!Z196)</f>
        <v>10</v>
      </c>
      <c r="AA195">
        <f>'mk 001 10.3'!AA196</f>
        <v>0</v>
      </c>
      <c r="AB195">
        <f>'mk 001 10.3'!AB196</f>
        <v>0</v>
      </c>
      <c r="AC195">
        <f>'mk 001 10.3'!AC196</f>
        <v>0</v>
      </c>
      <c r="AD195">
        <f>'mk 001 10.3'!AD196</f>
        <v>0</v>
      </c>
      <c r="AE195">
        <f>'mk 001 10.3'!AE196</f>
        <v>10</v>
      </c>
      <c r="AF195">
        <f>'mk 001 10.3'!AF196</f>
        <v>10</v>
      </c>
      <c r="AG195">
        <f>'mk 001 10.3'!AG196</f>
        <v>0</v>
      </c>
      <c r="AH195">
        <f>'mk 001 10.3'!AH196</f>
        <v>0</v>
      </c>
      <c r="AI195" t="str">
        <f>'mk 001 10.3'!AI196</f>
        <v>OPRCD489MOPRCD00000OPRCDF213OPRCD00000OPRCD923</v>
      </c>
      <c r="AJ195" t="str">
        <f>'mk 001 10.3'!AJ196</f>
        <v>ซื้อ / ขาย</v>
      </c>
      <c r="AK195" t="str">
        <f>'mk 001 10.3'!AK196</f>
        <v>By proudct</v>
      </c>
      <c r="AL195" t="str">
        <f>'mk 001 10.3'!AL196</f>
        <v>Bulk Normal</v>
      </c>
      <c r="AM195" t="str">
        <f>'mk 001 10.3'!AM196</f>
        <v>สุกร</v>
      </c>
      <c r="AN195" t="str">
        <f>'mk 001 10.3'!AN196</f>
        <v>OT002 CC-Makro</v>
      </c>
      <c r="AO195" t="str">
        <f>'mk 001 10.3'!AO196</f>
        <v>MT</v>
      </c>
      <c r="AP195">
        <f>'mk 001 10.3'!AP196</f>
        <v>2</v>
      </c>
      <c r="AQ195">
        <f>'mk 001 10.3'!AQ196</f>
        <v>0</v>
      </c>
      <c r="AR195">
        <f>'mk 001 10.3'!AR196</f>
        <v>0</v>
      </c>
      <c r="AS195">
        <f>'mk 001 10.3'!AS196</f>
        <v>0</v>
      </c>
      <c r="AT195" t="str">
        <f>'mk 001 10.3'!AT196</f>
        <v>เบญจพจน์ เพชรเหลี่ยม</v>
      </c>
      <c r="AU195" t="str">
        <f>'mk 001 10.3'!AU196</f>
        <v>2026-05-11-13.33.46.000000</v>
      </c>
      <c r="AV195" t="str">
        <f>'mk 001 10.3'!AV196</f>
        <v>ก.ก.</v>
      </c>
      <c r="AW195" t="str">
        <f>'mk 001 10.3'!AW196</f>
        <v>ก.ก.</v>
      </c>
      <c r="AX195" t="str">
        <f>'mk 001 10.3'!AX196</f>
        <v xml:space="preserve"> </v>
      </c>
      <c r="AY195">
        <f>'mk 001 10.3'!AY196</f>
        <v>0</v>
      </c>
      <c r="AZ195" t="str">
        <f>'mk 001 10.3'!AZ196</f>
        <v>N</v>
      </c>
      <c r="BA195" s="22">
        <f>'mk 001 10.3'!BA196</f>
        <v>9044989536467</v>
      </c>
      <c r="BB195">
        <f>'mk 001 10.3'!BB196</f>
        <v>0</v>
      </c>
      <c r="BC195">
        <f>'mk 001 10.3'!BC196</f>
        <v>0</v>
      </c>
      <c r="BD195">
        <f>'mk 001 10.3'!BD196</f>
        <v>1</v>
      </c>
      <c r="BE195">
        <f>'mk 001 10.3'!BE196</f>
        <v>0</v>
      </c>
      <c r="BF195" t="str">
        <f>'mk 001 10.3'!BF196</f>
        <v>;0000</v>
      </c>
      <c r="BG195">
        <f>'mk 001 10.3'!BG196</f>
        <v>1333314600</v>
      </c>
      <c r="BH195" t="str">
        <f>'mk 001 10.3'!BH196</f>
        <v>G</v>
      </c>
      <c r="BI195">
        <f>'mk 001 10.3'!BI196</f>
        <v>10</v>
      </c>
      <c r="BJ195">
        <f>'mk 001 10.3'!BJ196</f>
        <v>10</v>
      </c>
      <c r="BK195">
        <f>'mk 001 10.3'!BK196</f>
        <v>1300</v>
      </c>
      <c r="BL195" t="str">
        <f>'mk 001 10.3'!BL196</f>
        <v>SYSBATCH</v>
      </c>
      <c r="BM195">
        <f>'mk 001 10.3'!BM196</f>
        <v>0</v>
      </c>
      <c r="BN195">
        <f>'mk 001 10.3'!BN196</f>
        <v>0</v>
      </c>
    </row>
    <row r="196" spans="1:66" x14ac:dyDescent="0.35">
      <c r="A196">
        <f>'mk 001 10.3'!A197</f>
        <v>0</v>
      </c>
      <c r="B196">
        <f>'mk 001 10.3'!B197</f>
        <v>0</v>
      </c>
      <c r="C196" s="1" t="str">
        <f>'mk 001 10.3'!C197</f>
        <v>14/5/2569</v>
      </c>
      <c r="D196" s="1" t="str">
        <f>'mk 001 10.3'!D197</f>
        <v>14/5/2569</v>
      </c>
      <c r="E196">
        <f>'mk 001 10.3'!E197</f>
        <v>0</v>
      </c>
      <c r="F196" t="str">
        <f>'mk 001 10.3'!F197</f>
        <v>489M</v>
      </c>
      <c r="G196" t="str">
        <f>'mk 001 10.3'!G197</f>
        <v>Modern Trade (Makro)</v>
      </c>
      <c r="H196">
        <f>'mk 001 10.3'!H197</f>
        <v>0</v>
      </c>
      <c r="I196" t="str">
        <f>'mk 001 10.3'!I197</f>
        <v>หน่วยงานกลาง</v>
      </c>
      <c r="J196" t="str">
        <f>'mk 001 10.3'!J197</f>
        <v>F213  DMCW-รชล-พระพุทธบาท</v>
      </c>
      <c r="K196" t="str">
        <f>'mk 001 10.3'!K197</f>
        <v>00000  หน่วยงานกลาง</v>
      </c>
      <c r="L196">
        <f>'mk 001 10.3'!L197</f>
        <v>923</v>
      </c>
      <c r="M196">
        <f>'mk 001 10.3'!M197</f>
        <v>0</v>
      </c>
      <c r="N196" t="str">
        <f>'mk 001 10.3'!N197</f>
        <v>1A53010800</v>
      </c>
      <c r="O196" t="str">
        <f>'mk 001 10.3'!O197</f>
        <v>บมจ. ซีพี แอ็กซ์ตร้า สาขาสิงห์บุรี</v>
      </c>
      <c r="P196">
        <f>'mk 001 10.3'!P197</f>
        <v>2</v>
      </c>
      <c r="Q196" t="str">
        <f>'mk 001 10.3'!Q197</f>
        <v>MAKRO 0114 สิงห์บุรี</v>
      </c>
      <c r="R196" s="1">
        <f>'mk 001 10.3'!R197</f>
        <v>244658</v>
      </c>
      <c r="S196" s="1" t="str">
        <f>'mk 001 10.3'!S197</f>
        <v>14/5/2569</v>
      </c>
      <c r="T196" t="str">
        <f>'mk 001 10.3'!T197</f>
        <v>H6954RMA0059255</v>
      </c>
      <c r="U196">
        <f>'mk 001 10.3'!U197</f>
        <v>23088036</v>
      </c>
      <c r="V196" t="str">
        <f>'mk 001 10.3'!V197</f>
        <v>เนื้อไหล่หมูติดหนังหั่นชิ้น(M)</v>
      </c>
      <c r="W196">
        <f>'mk 001 10.3'!W197</f>
        <v>5</v>
      </c>
      <c r="X196">
        <f>'mk 001 10.3'!X197</f>
        <v>5</v>
      </c>
      <c r="Y196">
        <f t="shared" si="3"/>
        <v>5</v>
      </c>
      <c r="Z196" s="13">
        <f>IF(COUNTIFS(แปลงข้อมูล!H:H,Q196,แปลงข้อมูล!I:I,U196,แปลงข้อมูล!J:J,V196)&gt;0,SUMIFS(แปลงข้อมูล!Q:Q,แปลงข้อมูล!I:I,U196,แปลงข้อมูล!H:H,Q196,แปลงข้อมูล!J:J,V196),'mk 001 10.3'!Z197)</f>
        <v>5</v>
      </c>
      <c r="AA196">
        <f>'mk 001 10.3'!AA197</f>
        <v>0</v>
      </c>
      <c r="AB196">
        <f>'mk 001 10.3'!AB197</f>
        <v>0</v>
      </c>
      <c r="AC196">
        <f>'mk 001 10.3'!AC197</f>
        <v>0</v>
      </c>
      <c r="AD196">
        <f>'mk 001 10.3'!AD197</f>
        <v>0</v>
      </c>
      <c r="AE196">
        <f>'mk 001 10.3'!AE197</f>
        <v>5</v>
      </c>
      <c r="AF196">
        <f>'mk 001 10.3'!AF197</f>
        <v>5</v>
      </c>
      <c r="AG196">
        <f>'mk 001 10.3'!AG197</f>
        <v>0</v>
      </c>
      <c r="AH196">
        <f>'mk 001 10.3'!AH197</f>
        <v>0</v>
      </c>
      <c r="AI196" t="str">
        <f>'mk 001 10.3'!AI197</f>
        <v>OPRCD489MOPRCD00000OPRCDF213OPRCD00000OPRCD923</v>
      </c>
      <c r="AJ196" t="str">
        <f>'mk 001 10.3'!AJ197</f>
        <v>ซื้อ / ขาย</v>
      </c>
      <c r="AK196" t="str">
        <f>'mk 001 10.3'!AK197</f>
        <v>Main proudct</v>
      </c>
      <c r="AL196" t="str">
        <f>'mk 001 10.3'!AL197</f>
        <v>Bulk Normal</v>
      </c>
      <c r="AM196" t="str">
        <f>'mk 001 10.3'!AM197</f>
        <v>สุกร</v>
      </c>
      <c r="AN196" t="str">
        <f>'mk 001 10.3'!AN197</f>
        <v>OT002 CC-Makro</v>
      </c>
      <c r="AO196" t="str">
        <f>'mk 001 10.3'!AO197</f>
        <v>MT</v>
      </c>
      <c r="AP196">
        <f>'mk 001 10.3'!AP197</f>
        <v>2</v>
      </c>
      <c r="AQ196">
        <f>'mk 001 10.3'!AQ197</f>
        <v>0</v>
      </c>
      <c r="AR196">
        <f>'mk 001 10.3'!AR197</f>
        <v>0</v>
      </c>
      <c r="AS196">
        <f>'mk 001 10.3'!AS197</f>
        <v>0</v>
      </c>
      <c r="AT196" t="str">
        <f>'mk 001 10.3'!AT197</f>
        <v>เบญจพจน์ เพชรเหลี่ยม</v>
      </c>
      <c r="AU196" t="str">
        <f>'mk 001 10.3'!AU197</f>
        <v>2026-05-11-13.33.46.000000</v>
      </c>
      <c r="AV196" t="str">
        <f>'mk 001 10.3'!AV197</f>
        <v>ก.ก.</v>
      </c>
      <c r="AW196" t="str">
        <f>'mk 001 10.3'!AW197</f>
        <v>ก.ก.</v>
      </c>
      <c r="AX196" t="str">
        <f>'mk 001 10.3'!AX197</f>
        <v xml:space="preserve"> </v>
      </c>
      <c r="AY196">
        <f>'mk 001 10.3'!AY197</f>
        <v>0</v>
      </c>
      <c r="AZ196" t="str">
        <f>'mk 001 10.3'!AZ197</f>
        <v>N</v>
      </c>
      <c r="BA196" s="22">
        <f>'mk 001 10.3'!BA197</f>
        <v>9044989536467</v>
      </c>
      <c r="BB196">
        <f>'mk 001 10.3'!BB197</f>
        <v>0</v>
      </c>
      <c r="BC196">
        <f>'mk 001 10.3'!BC197</f>
        <v>0</v>
      </c>
      <c r="BD196">
        <f>'mk 001 10.3'!BD197</f>
        <v>1</v>
      </c>
      <c r="BE196">
        <f>'mk 001 10.3'!BE197</f>
        <v>0</v>
      </c>
      <c r="BF196" t="str">
        <f>'mk 001 10.3'!BF197</f>
        <v>;0000</v>
      </c>
      <c r="BG196">
        <f>'mk 001 10.3'!BG197</f>
        <v>1333314600</v>
      </c>
      <c r="BH196" t="str">
        <f>'mk 001 10.3'!BH197</f>
        <v>G</v>
      </c>
      <c r="BI196">
        <f>'mk 001 10.3'!BI197</f>
        <v>5</v>
      </c>
      <c r="BJ196">
        <f>'mk 001 10.3'!BJ197</f>
        <v>5</v>
      </c>
      <c r="BK196">
        <f>'mk 001 10.3'!BK197</f>
        <v>1300</v>
      </c>
      <c r="BL196" t="str">
        <f>'mk 001 10.3'!BL197</f>
        <v>SYSBATCH</v>
      </c>
      <c r="BM196">
        <f>'mk 001 10.3'!BM197</f>
        <v>0</v>
      </c>
      <c r="BN196">
        <f>'mk 001 10.3'!BN197</f>
        <v>0</v>
      </c>
    </row>
    <row r="197" spans="1:66" x14ac:dyDescent="0.35">
      <c r="A197">
        <f>'mk 001 10.3'!A198</f>
        <v>0</v>
      </c>
      <c r="B197">
        <f>'mk 001 10.3'!B198</f>
        <v>0</v>
      </c>
      <c r="C197" s="1" t="str">
        <f>'mk 001 10.3'!C198</f>
        <v>14/5/2569</v>
      </c>
      <c r="D197" s="1" t="str">
        <f>'mk 001 10.3'!D198</f>
        <v>14/5/2569</v>
      </c>
      <c r="E197">
        <f>'mk 001 10.3'!E198</f>
        <v>0</v>
      </c>
      <c r="F197" t="str">
        <f>'mk 001 10.3'!F198</f>
        <v>489M</v>
      </c>
      <c r="G197" t="str">
        <f>'mk 001 10.3'!G198</f>
        <v>Modern Trade (Makro)</v>
      </c>
      <c r="H197">
        <f>'mk 001 10.3'!H198</f>
        <v>0</v>
      </c>
      <c r="I197" t="str">
        <f>'mk 001 10.3'!I198</f>
        <v>หน่วยงานกลาง</v>
      </c>
      <c r="J197" t="str">
        <f>'mk 001 10.3'!J198</f>
        <v>F213  DMCW-รชล-พระพุทธบาท</v>
      </c>
      <c r="K197" t="str">
        <f>'mk 001 10.3'!K198</f>
        <v>00000  หน่วยงานกลาง</v>
      </c>
      <c r="L197">
        <f>'mk 001 10.3'!L198</f>
        <v>923</v>
      </c>
      <c r="M197">
        <f>'mk 001 10.3'!M198</f>
        <v>0</v>
      </c>
      <c r="N197" t="str">
        <f>'mk 001 10.3'!N198</f>
        <v>1A53010800</v>
      </c>
      <c r="O197" t="str">
        <f>'mk 001 10.3'!O198</f>
        <v>บมจ. ซีพี แอ็กซ์ตร้า สาขาสิงห์บุรี</v>
      </c>
      <c r="P197">
        <f>'mk 001 10.3'!P198</f>
        <v>2</v>
      </c>
      <c r="Q197" t="str">
        <f>'mk 001 10.3'!Q198</f>
        <v>MAKRO 0114 สิงห์บุรี</v>
      </c>
      <c r="R197" s="1">
        <f>'mk 001 10.3'!R198</f>
        <v>244658</v>
      </c>
      <c r="S197" s="1" t="str">
        <f>'mk 001 10.3'!S198</f>
        <v>14/5/2569</v>
      </c>
      <c r="T197" t="str">
        <f>'mk 001 10.3'!T198</f>
        <v>H6954RMA0059255</v>
      </c>
      <c r="U197">
        <f>'mk 001 10.3'!U198</f>
        <v>23106549</v>
      </c>
      <c r="V197" t="str">
        <f>'mk 001 10.3'!V198</f>
        <v>สะโพกหมูแต่งพิเศษ(แยกกล้ามเนื้อ)Spec7(M)</v>
      </c>
      <c r="W197">
        <f>'mk 001 10.3'!W198</f>
        <v>10</v>
      </c>
      <c r="X197">
        <f>'mk 001 10.3'!X198</f>
        <v>50</v>
      </c>
      <c r="Y197">
        <f t="shared" si="3"/>
        <v>10</v>
      </c>
      <c r="Z197" s="13">
        <f>IF(COUNTIFS(แปลงข้อมูล!H:H,Q197,แปลงข้อมูล!I:I,U197,แปลงข้อมูล!J:J,V197)&gt;0,SUMIFS(แปลงข้อมูล!Q:Q,แปลงข้อมูล!I:I,U197,แปลงข้อมูล!H:H,Q197,แปลงข้อมูล!J:J,V197),'mk 001 10.3'!Z198)</f>
        <v>50</v>
      </c>
      <c r="AA197">
        <f>'mk 001 10.3'!AA198</f>
        <v>0</v>
      </c>
      <c r="AB197">
        <f>'mk 001 10.3'!AB198</f>
        <v>0</v>
      </c>
      <c r="AC197">
        <f>'mk 001 10.3'!AC198</f>
        <v>0</v>
      </c>
      <c r="AD197">
        <f>'mk 001 10.3'!AD198</f>
        <v>0</v>
      </c>
      <c r="AE197">
        <f>'mk 001 10.3'!AE198</f>
        <v>10</v>
      </c>
      <c r="AF197">
        <f>'mk 001 10.3'!AF198</f>
        <v>50</v>
      </c>
      <c r="AG197">
        <f>'mk 001 10.3'!AG198</f>
        <v>0</v>
      </c>
      <c r="AH197">
        <f>'mk 001 10.3'!AH198</f>
        <v>0</v>
      </c>
      <c r="AI197" t="str">
        <f>'mk 001 10.3'!AI198</f>
        <v>OPRCD489MOPRCD00000OPRCDF213OPRCD00000OPRCD923</v>
      </c>
      <c r="AJ197" t="str">
        <f>'mk 001 10.3'!AJ198</f>
        <v>ซื้อ / ขาย</v>
      </c>
      <c r="AK197">
        <f>'mk 001 10.3'!AK198</f>
        <v>0</v>
      </c>
      <c r="AL197">
        <f>'mk 001 10.3'!AL198</f>
        <v>0</v>
      </c>
      <c r="AM197">
        <f>'mk 001 10.3'!AM198</f>
        <v>0</v>
      </c>
      <c r="AN197" t="str">
        <f>'mk 001 10.3'!AN198</f>
        <v>OT002 CC-Makro</v>
      </c>
      <c r="AO197" t="str">
        <f>'mk 001 10.3'!AO198</f>
        <v>MT</v>
      </c>
      <c r="AP197">
        <f>'mk 001 10.3'!AP198</f>
        <v>2</v>
      </c>
      <c r="AQ197">
        <f>'mk 001 10.3'!AQ198</f>
        <v>0</v>
      </c>
      <c r="AR197">
        <f>'mk 001 10.3'!AR198</f>
        <v>0</v>
      </c>
      <c r="AS197">
        <f>'mk 001 10.3'!AS198</f>
        <v>0</v>
      </c>
      <c r="AT197" t="str">
        <f>'mk 001 10.3'!AT198</f>
        <v>เบญจพจน์ เพชรเหลี่ยม</v>
      </c>
      <c r="AU197" t="str">
        <f>'mk 001 10.3'!AU198</f>
        <v>2026-05-11-13.33.46.000000</v>
      </c>
      <c r="AV197" t="str">
        <f>'mk 001 10.3'!AV198</f>
        <v>ถุง</v>
      </c>
      <c r="AW197" t="str">
        <f>'mk 001 10.3'!AW198</f>
        <v>ก.ก.</v>
      </c>
      <c r="AX197" t="str">
        <f>'mk 001 10.3'!AX198</f>
        <v xml:space="preserve"> </v>
      </c>
      <c r="AY197">
        <f>'mk 001 10.3'!AY198</f>
        <v>0</v>
      </c>
      <c r="AZ197" t="str">
        <f>'mk 001 10.3'!AZ198</f>
        <v>N</v>
      </c>
      <c r="BA197" s="22">
        <f>'mk 001 10.3'!BA198</f>
        <v>9044989536467</v>
      </c>
      <c r="BB197">
        <f>'mk 001 10.3'!BB198</f>
        <v>0</v>
      </c>
      <c r="BC197">
        <f>'mk 001 10.3'!BC198</f>
        <v>0</v>
      </c>
      <c r="BD197">
        <f>'mk 001 10.3'!BD198</f>
        <v>1</v>
      </c>
      <c r="BE197">
        <f>'mk 001 10.3'!BE198</f>
        <v>0</v>
      </c>
      <c r="BF197" t="str">
        <f>'mk 001 10.3'!BF198</f>
        <v>;0000</v>
      </c>
      <c r="BG197">
        <f>'mk 001 10.3'!BG198</f>
        <v>1333314600</v>
      </c>
      <c r="BH197" t="str">
        <f>'mk 001 10.3'!BH198</f>
        <v>G</v>
      </c>
      <c r="BI197">
        <f>'mk 001 10.3'!BI198</f>
        <v>10</v>
      </c>
      <c r="BJ197">
        <f>'mk 001 10.3'!BJ198</f>
        <v>50</v>
      </c>
      <c r="BK197">
        <f>'mk 001 10.3'!BK198</f>
        <v>1300</v>
      </c>
      <c r="BL197" t="str">
        <f>'mk 001 10.3'!BL198</f>
        <v>SYSBATCH</v>
      </c>
      <c r="BM197">
        <f>'mk 001 10.3'!BM198</f>
        <v>0</v>
      </c>
      <c r="BN197">
        <f>'mk 001 10.3'!BN198</f>
        <v>0</v>
      </c>
    </row>
    <row r="198" spans="1:66" x14ac:dyDescent="0.35">
      <c r="A198">
        <f>'mk 001 10.3'!A199</f>
        <v>0</v>
      </c>
      <c r="B198">
        <f>'mk 001 10.3'!B199</f>
        <v>0</v>
      </c>
      <c r="C198" s="1" t="str">
        <f>'mk 001 10.3'!C199</f>
        <v>14/5/2569</v>
      </c>
      <c r="D198" s="1" t="str">
        <f>'mk 001 10.3'!D199</f>
        <v>14/5/2569</v>
      </c>
      <c r="E198">
        <f>'mk 001 10.3'!E199</f>
        <v>0</v>
      </c>
      <c r="F198" t="str">
        <f>'mk 001 10.3'!F199</f>
        <v>489M</v>
      </c>
      <c r="G198" t="str">
        <f>'mk 001 10.3'!G199</f>
        <v>Modern Trade (Makro)</v>
      </c>
      <c r="H198">
        <f>'mk 001 10.3'!H199</f>
        <v>0</v>
      </c>
      <c r="I198" t="str">
        <f>'mk 001 10.3'!I199</f>
        <v>หน่วยงานกลาง</v>
      </c>
      <c r="J198" t="str">
        <f>'mk 001 10.3'!J199</f>
        <v>F213  DMCW-รชล-พระพุทธบาท</v>
      </c>
      <c r="K198" t="str">
        <f>'mk 001 10.3'!K199</f>
        <v>00000  หน่วยงานกลาง</v>
      </c>
      <c r="L198">
        <f>'mk 001 10.3'!L199</f>
        <v>923</v>
      </c>
      <c r="M198">
        <f>'mk 001 10.3'!M199</f>
        <v>0</v>
      </c>
      <c r="N198" t="str">
        <f>'mk 001 10.3'!N199</f>
        <v>1A53010800</v>
      </c>
      <c r="O198" t="str">
        <f>'mk 001 10.3'!O199</f>
        <v>บมจ. ซีพี แอ็กซ์ตร้า สาขาสิงห์บุรี</v>
      </c>
      <c r="P198">
        <f>'mk 001 10.3'!P199</f>
        <v>2</v>
      </c>
      <c r="Q198" t="str">
        <f>'mk 001 10.3'!Q199</f>
        <v>MAKRO 0114 สิงห์บุรี</v>
      </c>
      <c r="R198" s="1">
        <f>'mk 001 10.3'!R199</f>
        <v>244658</v>
      </c>
      <c r="S198" s="1" t="str">
        <f>'mk 001 10.3'!S199</f>
        <v>14/5/2569</v>
      </c>
      <c r="T198" t="str">
        <f>'mk 001 10.3'!T199</f>
        <v>H6954RMA0059255</v>
      </c>
      <c r="U198">
        <f>'mk 001 10.3'!U199</f>
        <v>23058590</v>
      </c>
      <c r="V198" t="str">
        <f>'mk 001 10.3'!V199</f>
        <v>ไส้ใหญ่(ลวก) (M)</v>
      </c>
      <c r="W198">
        <f>'mk 001 10.3'!W199</f>
        <v>120</v>
      </c>
      <c r="X198">
        <f>'mk 001 10.3'!X199</f>
        <v>120</v>
      </c>
      <c r="Y198">
        <f t="shared" si="3"/>
        <v>120</v>
      </c>
      <c r="Z198" s="13">
        <f>IF(COUNTIFS(แปลงข้อมูล!H:H,Q198,แปลงข้อมูล!I:I,U198,แปลงข้อมูล!J:J,V198)&gt;0,SUMIFS(แปลงข้อมูล!Q:Q,แปลงข้อมูล!I:I,U198,แปลงข้อมูล!H:H,Q198,แปลงข้อมูล!J:J,V198),'mk 001 10.3'!Z199)</f>
        <v>120</v>
      </c>
      <c r="AA198">
        <f>'mk 001 10.3'!AA199</f>
        <v>0</v>
      </c>
      <c r="AB198">
        <f>'mk 001 10.3'!AB199</f>
        <v>0</v>
      </c>
      <c r="AC198">
        <f>'mk 001 10.3'!AC199</f>
        <v>0</v>
      </c>
      <c r="AD198">
        <f>'mk 001 10.3'!AD199</f>
        <v>0</v>
      </c>
      <c r="AE198">
        <f>'mk 001 10.3'!AE199</f>
        <v>120</v>
      </c>
      <c r="AF198">
        <f>'mk 001 10.3'!AF199</f>
        <v>120</v>
      </c>
      <c r="AG198">
        <f>'mk 001 10.3'!AG199</f>
        <v>0</v>
      </c>
      <c r="AH198">
        <f>'mk 001 10.3'!AH199</f>
        <v>0</v>
      </c>
      <c r="AI198" t="str">
        <f>'mk 001 10.3'!AI199</f>
        <v>OPRCD489MOPRCD00000OPRCDF213OPRCD00000OPRCD923</v>
      </c>
      <c r="AJ198" t="str">
        <f>'mk 001 10.3'!AJ199</f>
        <v>ซื้อ / ขาย</v>
      </c>
      <c r="AK198" t="str">
        <f>'mk 001 10.3'!AK199</f>
        <v>By proudct</v>
      </c>
      <c r="AL198" t="str">
        <f>'mk 001 10.3'!AL199</f>
        <v>Bulk Normal</v>
      </c>
      <c r="AM198" t="str">
        <f>'mk 001 10.3'!AM199</f>
        <v>สุกร</v>
      </c>
      <c r="AN198" t="str">
        <f>'mk 001 10.3'!AN199</f>
        <v>OT002 CC-Makro</v>
      </c>
      <c r="AO198" t="str">
        <f>'mk 001 10.3'!AO199</f>
        <v>MT</v>
      </c>
      <c r="AP198">
        <f>'mk 001 10.3'!AP199</f>
        <v>2</v>
      </c>
      <c r="AQ198">
        <f>'mk 001 10.3'!AQ199</f>
        <v>0</v>
      </c>
      <c r="AR198">
        <f>'mk 001 10.3'!AR199</f>
        <v>0</v>
      </c>
      <c r="AS198">
        <f>'mk 001 10.3'!AS199</f>
        <v>0</v>
      </c>
      <c r="AT198" t="str">
        <f>'mk 001 10.3'!AT199</f>
        <v>เบญจพจน์ เพชรเหลี่ยม</v>
      </c>
      <c r="AU198" t="str">
        <f>'mk 001 10.3'!AU199</f>
        <v>2026-05-11-13.33.46.000000</v>
      </c>
      <c r="AV198" t="str">
        <f>'mk 001 10.3'!AV199</f>
        <v>ก.ก.</v>
      </c>
      <c r="AW198" t="str">
        <f>'mk 001 10.3'!AW199</f>
        <v>ก.ก.</v>
      </c>
      <c r="AX198" t="str">
        <f>'mk 001 10.3'!AX199</f>
        <v xml:space="preserve"> </v>
      </c>
      <c r="AY198">
        <f>'mk 001 10.3'!AY199</f>
        <v>0</v>
      </c>
      <c r="AZ198" t="str">
        <f>'mk 001 10.3'!AZ199</f>
        <v>N</v>
      </c>
      <c r="BA198" s="22">
        <f>'mk 001 10.3'!BA199</f>
        <v>9044989536467</v>
      </c>
      <c r="BB198">
        <f>'mk 001 10.3'!BB199</f>
        <v>0</v>
      </c>
      <c r="BC198">
        <f>'mk 001 10.3'!BC199</f>
        <v>0</v>
      </c>
      <c r="BD198">
        <f>'mk 001 10.3'!BD199</f>
        <v>1</v>
      </c>
      <c r="BE198">
        <f>'mk 001 10.3'!BE199</f>
        <v>0</v>
      </c>
      <c r="BF198" t="str">
        <f>'mk 001 10.3'!BF199</f>
        <v>;0000</v>
      </c>
      <c r="BG198">
        <f>'mk 001 10.3'!BG199</f>
        <v>1333314600</v>
      </c>
      <c r="BH198" t="str">
        <f>'mk 001 10.3'!BH199</f>
        <v>G</v>
      </c>
      <c r="BI198">
        <f>'mk 001 10.3'!BI199</f>
        <v>120</v>
      </c>
      <c r="BJ198">
        <f>'mk 001 10.3'!BJ199</f>
        <v>120</v>
      </c>
      <c r="BK198">
        <f>'mk 001 10.3'!BK199</f>
        <v>1300</v>
      </c>
      <c r="BL198" t="str">
        <f>'mk 001 10.3'!BL199</f>
        <v>SYSBATCH</v>
      </c>
      <c r="BM198">
        <f>'mk 001 10.3'!BM199</f>
        <v>0</v>
      </c>
      <c r="BN198">
        <f>'mk 001 10.3'!BN199</f>
        <v>0</v>
      </c>
    </row>
    <row r="199" spans="1:66" x14ac:dyDescent="0.35">
      <c r="A199">
        <f>'mk 001 10.3'!A200</f>
        <v>0</v>
      </c>
      <c r="B199">
        <f>'mk 001 10.3'!B200</f>
        <v>0</v>
      </c>
      <c r="C199" s="1" t="str">
        <f>'mk 001 10.3'!C200</f>
        <v>14/5/2569</v>
      </c>
      <c r="D199" s="1" t="str">
        <f>'mk 001 10.3'!D200</f>
        <v>14/5/2569</v>
      </c>
      <c r="E199">
        <f>'mk 001 10.3'!E200</f>
        <v>0</v>
      </c>
      <c r="F199" t="str">
        <f>'mk 001 10.3'!F200</f>
        <v>489M</v>
      </c>
      <c r="G199" t="str">
        <f>'mk 001 10.3'!G200</f>
        <v>Modern Trade (Makro)</v>
      </c>
      <c r="H199">
        <f>'mk 001 10.3'!H200</f>
        <v>0</v>
      </c>
      <c r="I199" t="str">
        <f>'mk 001 10.3'!I200</f>
        <v>หน่วยงานกลาง</v>
      </c>
      <c r="J199" t="str">
        <f>'mk 001 10.3'!J200</f>
        <v>F213  DMCW-รชล-พระพุทธบาท</v>
      </c>
      <c r="K199" t="str">
        <f>'mk 001 10.3'!K200</f>
        <v>00000  หน่วยงานกลาง</v>
      </c>
      <c r="L199">
        <f>'mk 001 10.3'!L200</f>
        <v>923</v>
      </c>
      <c r="M199">
        <f>'mk 001 10.3'!M200</f>
        <v>0</v>
      </c>
      <c r="N199" t="str">
        <f>'mk 001 10.3'!N200</f>
        <v>1A53010800</v>
      </c>
      <c r="O199" t="str">
        <f>'mk 001 10.3'!O200</f>
        <v>บมจ. ซีพี แอ็กซ์ตร้า สาขาสิงห์บุรี</v>
      </c>
      <c r="P199">
        <f>'mk 001 10.3'!P200</f>
        <v>2</v>
      </c>
      <c r="Q199" t="str">
        <f>'mk 001 10.3'!Q200</f>
        <v>MAKRO 0114 สิงห์บุรี</v>
      </c>
      <c r="R199" s="1">
        <f>'mk 001 10.3'!R200</f>
        <v>244658</v>
      </c>
      <c r="S199" s="1" t="str">
        <f>'mk 001 10.3'!S200</f>
        <v>14/5/2569</v>
      </c>
      <c r="T199" t="str">
        <f>'mk 001 10.3'!T200</f>
        <v>H6954RMA0059255</v>
      </c>
      <c r="U199">
        <f>'mk 001 10.3'!U200</f>
        <v>23058591</v>
      </c>
      <c r="V199" t="str">
        <f>'mk 001 10.3'!V200</f>
        <v>กระดูกข้อ(คาตั๊ง) (M)</v>
      </c>
      <c r="W199">
        <f>'mk 001 10.3'!W200</f>
        <v>20</v>
      </c>
      <c r="X199">
        <f>'mk 001 10.3'!X200</f>
        <v>20</v>
      </c>
      <c r="Y199">
        <f t="shared" si="3"/>
        <v>20</v>
      </c>
      <c r="Z199" s="13">
        <f>IF(COUNTIFS(แปลงข้อมูล!H:H,Q199,แปลงข้อมูล!I:I,U199,แปลงข้อมูล!J:J,V199)&gt;0,SUMIFS(แปลงข้อมูล!Q:Q,แปลงข้อมูล!I:I,U199,แปลงข้อมูล!H:H,Q199,แปลงข้อมูล!J:J,V199),'mk 001 10.3'!Z200)</f>
        <v>20</v>
      </c>
      <c r="AA199">
        <f>'mk 001 10.3'!AA200</f>
        <v>0</v>
      </c>
      <c r="AB199">
        <f>'mk 001 10.3'!AB200</f>
        <v>0</v>
      </c>
      <c r="AC199">
        <f>'mk 001 10.3'!AC200</f>
        <v>0</v>
      </c>
      <c r="AD199">
        <f>'mk 001 10.3'!AD200</f>
        <v>0</v>
      </c>
      <c r="AE199">
        <f>'mk 001 10.3'!AE200</f>
        <v>20</v>
      </c>
      <c r="AF199">
        <f>'mk 001 10.3'!AF200</f>
        <v>20</v>
      </c>
      <c r="AG199">
        <f>'mk 001 10.3'!AG200</f>
        <v>0</v>
      </c>
      <c r="AH199">
        <f>'mk 001 10.3'!AH200</f>
        <v>0</v>
      </c>
      <c r="AI199" t="str">
        <f>'mk 001 10.3'!AI200</f>
        <v>OPRCD489MOPRCD00000OPRCDF213OPRCD00000OPRCD923</v>
      </c>
      <c r="AJ199" t="str">
        <f>'mk 001 10.3'!AJ200</f>
        <v>ซื้อ / ขาย</v>
      </c>
      <c r="AK199" t="str">
        <f>'mk 001 10.3'!AK200</f>
        <v>By proudct</v>
      </c>
      <c r="AL199" t="str">
        <f>'mk 001 10.3'!AL200</f>
        <v>Bulk Normal</v>
      </c>
      <c r="AM199" t="str">
        <f>'mk 001 10.3'!AM200</f>
        <v>สุกร</v>
      </c>
      <c r="AN199" t="str">
        <f>'mk 001 10.3'!AN200</f>
        <v>OT002 CC-Makro</v>
      </c>
      <c r="AO199" t="str">
        <f>'mk 001 10.3'!AO200</f>
        <v>MT</v>
      </c>
      <c r="AP199">
        <f>'mk 001 10.3'!AP200</f>
        <v>2</v>
      </c>
      <c r="AQ199">
        <f>'mk 001 10.3'!AQ200</f>
        <v>0</v>
      </c>
      <c r="AR199">
        <f>'mk 001 10.3'!AR200</f>
        <v>0</v>
      </c>
      <c r="AS199">
        <f>'mk 001 10.3'!AS200</f>
        <v>0</v>
      </c>
      <c r="AT199" t="str">
        <f>'mk 001 10.3'!AT200</f>
        <v>เบญจพจน์ เพชรเหลี่ยม</v>
      </c>
      <c r="AU199" t="str">
        <f>'mk 001 10.3'!AU200</f>
        <v>2026-05-11-13.33.46.000000</v>
      </c>
      <c r="AV199" t="str">
        <f>'mk 001 10.3'!AV200</f>
        <v>ก.ก.</v>
      </c>
      <c r="AW199" t="str">
        <f>'mk 001 10.3'!AW200</f>
        <v>ก.ก.</v>
      </c>
      <c r="AX199" t="str">
        <f>'mk 001 10.3'!AX200</f>
        <v xml:space="preserve"> </v>
      </c>
      <c r="AY199">
        <f>'mk 001 10.3'!AY200</f>
        <v>0</v>
      </c>
      <c r="AZ199" t="str">
        <f>'mk 001 10.3'!AZ200</f>
        <v>N</v>
      </c>
      <c r="BA199" s="22">
        <f>'mk 001 10.3'!BA200</f>
        <v>9044989536467</v>
      </c>
      <c r="BB199">
        <f>'mk 001 10.3'!BB200</f>
        <v>0</v>
      </c>
      <c r="BC199">
        <f>'mk 001 10.3'!BC200</f>
        <v>0</v>
      </c>
      <c r="BD199">
        <f>'mk 001 10.3'!BD200</f>
        <v>1</v>
      </c>
      <c r="BE199">
        <f>'mk 001 10.3'!BE200</f>
        <v>0</v>
      </c>
      <c r="BF199" t="str">
        <f>'mk 001 10.3'!BF200</f>
        <v>;0000</v>
      </c>
      <c r="BG199">
        <f>'mk 001 10.3'!BG200</f>
        <v>1333314600</v>
      </c>
      <c r="BH199" t="str">
        <f>'mk 001 10.3'!BH200</f>
        <v>G</v>
      </c>
      <c r="BI199">
        <f>'mk 001 10.3'!BI200</f>
        <v>20</v>
      </c>
      <c r="BJ199">
        <f>'mk 001 10.3'!BJ200</f>
        <v>20</v>
      </c>
      <c r="BK199">
        <f>'mk 001 10.3'!BK200</f>
        <v>1300</v>
      </c>
      <c r="BL199" t="str">
        <f>'mk 001 10.3'!BL200</f>
        <v>SYSBATCH</v>
      </c>
      <c r="BM199">
        <f>'mk 001 10.3'!BM200</f>
        <v>0</v>
      </c>
      <c r="BN199">
        <f>'mk 001 10.3'!BN200</f>
        <v>0</v>
      </c>
    </row>
    <row r="200" spans="1:66" x14ac:dyDescent="0.35">
      <c r="A200">
        <f>'mk 001 10.3'!A201</f>
        <v>0</v>
      </c>
      <c r="B200">
        <f>'mk 001 10.3'!B201</f>
        <v>0</v>
      </c>
      <c r="C200" s="1" t="str">
        <f>'mk 001 10.3'!C201</f>
        <v>14/5/2569</v>
      </c>
      <c r="D200" s="1" t="str">
        <f>'mk 001 10.3'!D201</f>
        <v>14/5/2569</v>
      </c>
      <c r="E200">
        <f>'mk 001 10.3'!E201</f>
        <v>0</v>
      </c>
      <c r="F200" t="str">
        <f>'mk 001 10.3'!F201</f>
        <v>489M</v>
      </c>
      <c r="G200" t="str">
        <f>'mk 001 10.3'!G201</f>
        <v>Modern Trade (Makro)</v>
      </c>
      <c r="H200">
        <f>'mk 001 10.3'!H201</f>
        <v>0</v>
      </c>
      <c r="I200" t="str">
        <f>'mk 001 10.3'!I201</f>
        <v>หน่วยงานกลาง</v>
      </c>
      <c r="J200" t="str">
        <f>'mk 001 10.3'!J201</f>
        <v>F213  DMCW-รชล-พระพุทธบาท</v>
      </c>
      <c r="K200" t="str">
        <f>'mk 001 10.3'!K201</f>
        <v>00000  หน่วยงานกลาง</v>
      </c>
      <c r="L200">
        <f>'mk 001 10.3'!L201</f>
        <v>923</v>
      </c>
      <c r="M200">
        <f>'mk 001 10.3'!M201</f>
        <v>0</v>
      </c>
      <c r="N200" t="str">
        <f>'mk 001 10.3'!N201</f>
        <v>1A53010800</v>
      </c>
      <c r="O200" t="str">
        <f>'mk 001 10.3'!O201</f>
        <v>บมจ. ซีพี แอ็กซ์ตร้า สาขาสิงห์บุรี</v>
      </c>
      <c r="P200">
        <f>'mk 001 10.3'!P201</f>
        <v>2</v>
      </c>
      <c r="Q200" t="str">
        <f>'mk 001 10.3'!Q201</f>
        <v>MAKRO 0114 สิงห์บุรี</v>
      </c>
      <c r="R200" s="1">
        <f>'mk 001 10.3'!R201</f>
        <v>244658</v>
      </c>
      <c r="S200" s="1" t="str">
        <f>'mk 001 10.3'!S201</f>
        <v>14/5/2569</v>
      </c>
      <c r="T200" t="str">
        <f>'mk 001 10.3'!T201</f>
        <v>H6954RMA0059255</v>
      </c>
      <c r="U200">
        <f>'mk 001 10.3'!U201</f>
        <v>23098990</v>
      </c>
      <c r="V200" t="str">
        <f>'mk 001 10.3'!V201</f>
        <v>สามชั้นหั่นพะโล้ กก.ละ</v>
      </c>
      <c r="W200">
        <f>'mk 001 10.3'!W201</f>
        <v>5</v>
      </c>
      <c r="X200">
        <f>'mk 001 10.3'!X201</f>
        <v>5</v>
      </c>
      <c r="Y200">
        <f t="shared" si="3"/>
        <v>5</v>
      </c>
      <c r="Z200" s="13">
        <f>IF(COUNTIFS(แปลงข้อมูล!H:H,Q200,แปลงข้อมูล!I:I,U200,แปลงข้อมูล!J:J,V200)&gt;0,SUMIFS(แปลงข้อมูล!Q:Q,แปลงข้อมูล!I:I,U200,แปลงข้อมูล!H:H,Q200,แปลงข้อมูล!J:J,V200),'mk 001 10.3'!Z201)</f>
        <v>5</v>
      </c>
      <c r="AA200">
        <f>'mk 001 10.3'!AA201</f>
        <v>0</v>
      </c>
      <c r="AB200">
        <f>'mk 001 10.3'!AB201</f>
        <v>0</v>
      </c>
      <c r="AC200">
        <f>'mk 001 10.3'!AC201</f>
        <v>0</v>
      </c>
      <c r="AD200">
        <f>'mk 001 10.3'!AD201</f>
        <v>0</v>
      </c>
      <c r="AE200">
        <f>'mk 001 10.3'!AE201</f>
        <v>5</v>
      </c>
      <c r="AF200">
        <f>'mk 001 10.3'!AF201</f>
        <v>5</v>
      </c>
      <c r="AG200">
        <f>'mk 001 10.3'!AG201</f>
        <v>0</v>
      </c>
      <c r="AH200">
        <f>'mk 001 10.3'!AH201</f>
        <v>0</v>
      </c>
      <c r="AI200" t="str">
        <f>'mk 001 10.3'!AI201</f>
        <v>OPRCD489MOPRCD00000OPRCDF213OPRCD00000OPRCD923</v>
      </c>
      <c r="AJ200" t="str">
        <f>'mk 001 10.3'!AJ201</f>
        <v>ซื้อ / ขาย</v>
      </c>
      <c r="AK200" t="str">
        <f>'mk 001 10.3'!AK201</f>
        <v>Main proudct</v>
      </c>
      <c r="AL200" t="str">
        <f>'mk 001 10.3'!AL201</f>
        <v>Bulk Normal</v>
      </c>
      <c r="AM200" t="str">
        <f>'mk 001 10.3'!AM201</f>
        <v>สุกร</v>
      </c>
      <c r="AN200" t="str">
        <f>'mk 001 10.3'!AN201</f>
        <v>OT002 CC-Makro</v>
      </c>
      <c r="AO200" t="str">
        <f>'mk 001 10.3'!AO201</f>
        <v>MT</v>
      </c>
      <c r="AP200">
        <f>'mk 001 10.3'!AP201</f>
        <v>2</v>
      </c>
      <c r="AQ200">
        <f>'mk 001 10.3'!AQ201</f>
        <v>0</v>
      </c>
      <c r="AR200">
        <f>'mk 001 10.3'!AR201</f>
        <v>0</v>
      </c>
      <c r="AS200">
        <f>'mk 001 10.3'!AS201</f>
        <v>0</v>
      </c>
      <c r="AT200" t="str">
        <f>'mk 001 10.3'!AT201</f>
        <v>เบญจพจน์ เพชรเหลี่ยม</v>
      </c>
      <c r="AU200" t="str">
        <f>'mk 001 10.3'!AU201</f>
        <v>2026-05-11-13.33.46.000000</v>
      </c>
      <c r="AV200" t="str">
        <f>'mk 001 10.3'!AV201</f>
        <v>ก.ก.</v>
      </c>
      <c r="AW200" t="str">
        <f>'mk 001 10.3'!AW201</f>
        <v>ก.ก.</v>
      </c>
      <c r="AX200" t="str">
        <f>'mk 001 10.3'!AX201</f>
        <v xml:space="preserve"> </v>
      </c>
      <c r="AY200">
        <f>'mk 001 10.3'!AY201</f>
        <v>0</v>
      </c>
      <c r="AZ200" t="str">
        <f>'mk 001 10.3'!AZ201</f>
        <v>N</v>
      </c>
      <c r="BA200" s="22">
        <f>'mk 001 10.3'!BA201</f>
        <v>9044989536467</v>
      </c>
      <c r="BB200">
        <f>'mk 001 10.3'!BB201</f>
        <v>0</v>
      </c>
      <c r="BC200">
        <f>'mk 001 10.3'!BC201</f>
        <v>0</v>
      </c>
      <c r="BD200">
        <f>'mk 001 10.3'!BD201</f>
        <v>1</v>
      </c>
      <c r="BE200">
        <f>'mk 001 10.3'!BE201</f>
        <v>0</v>
      </c>
      <c r="BF200" t="str">
        <f>'mk 001 10.3'!BF201</f>
        <v>;0000</v>
      </c>
      <c r="BG200">
        <f>'mk 001 10.3'!BG201</f>
        <v>1333314600</v>
      </c>
      <c r="BH200" t="str">
        <f>'mk 001 10.3'!BH201</f>
        <v>G</v>
      </c>
      <c r="BI200">
        <f>'mk 001 10.3'!BI201</f>
        <v>5</v>
      </c>
      <c r="BJ200">
        <f>'mk 001 10.3'!BJ201</f>
        <v>5</v>
      </c>
      <c r="BK200">
        <f>'mk 001 10.3'!BK201</f>
        <v>1300</v>
      </c>
      <c r="BL200" t="str">
        <f>'mk 001 10.3'!BL201</f>
        <v>SYSBATCH</v>
      </c>
      <c r="BM200">
        <f>'mk 001 10.3'!BM201</f>
        <v>0</v>
      </c>
      <c r="BN200">
        <f>'mk 001 10.3'!BN201</f>
        <v>0</v>
      </c>
    </row>
    <row r="201" spans="1:66" x14ac:dyDescent="0.35">
      <c r="A201">
        <f>'mk 001 10.3'!A202</f>
        <v>0</v>
      </c>
      <c r="B201">
        <f>'mk 001 10.3'!B202</f>
        <v>0</v>
      </c>
      <c r="C201" s="1" t="str">
        <f>'mk 001 10.3'!C202</f>
        <v>14/5/2569</v>
      </c>
      <c r="D201" s="1" t="str">
        <f>'mk 001 10.3'!D202</f>
        <v>14/5/2569</v>
      </c>
      <c r="E201">
        <f>'mk 001 10.3'!E202</f>
        <v>0</v>
      </c>
      <c r="F201" t="str">
        <f>'mk 001 10.3'!F202</f>
        <v>489M</v>
      </c>
      <c r="G201" t="str">
        <f>'mk 001 10.3'!G202</f>
        <v>Modern Trade (Makro)</v>
      </c>
      <c r="H201">
        <f>'mk 001 10.3'!H202</f>
        <v>0</v>
      </c>
      <c r="I201" t="str">
        <f>'mk 001 10.3'!I202</f>
        <v>หน่วยงานกลาง</v>
      </c>
      <c r="J201" t="str">
        <f>'mk 001 10.3'!J202</f>
        <v>F213  DMCW-รชล-พระพุทธบาท</v>
      </c>
      <c r="K201" t="str">
        <f>'mk 001 10.3'!K202</f>
        <v>00000  หน่วยงานกลาง</v>
      </c>
      <c r="L201">
        <f>'mk 001 10.3'!L202</f>
        <v>923</v>
      </c>
      <c r="M201">
        <f>'mk 001 10.3'!M202</f>
        <v>0</v>
      </c>
      <c r="N201" t="str">
        <f>'mk 001 10.3'!N202</f>
        <v>1A53010800</v>
      </c>
      <c r="O201" t="str">
        <f>'mk 001 10.3'!O202</f>
        <v>บมจ. ซีพี แอ็กซ์ตร้า สาขาสิงห์บุรี</v>
      </c>
      <c r="P201">
        <f>'mk 001 10.3'!P202</f>
        <v>2</v>
      </c>
      <c r="Q201" t="str">
        <f>'mk 001 10.3'!Q202</f>
        <v>MAKRO 0114 สิงห์บุรี</v>
      </c>
      <c r="R201" s="1">
        <f>'mk 001 10.3'!R202</f>
        <v>244658</v>
      </c>
      <c r="S201" s="1" t="str">
        <f>'mk 001 10.3'!S202</f>
        <v>14/5/2569</v>
      </c>
      <c r="T201" t="str">
        <f>'mk 001 10.3'!T202</f>
        <v>H6954RMA0059255</v>
      </c>
      <c r="U201">
        <f>'mk 001 10.3'!U202</f>
        <v>23070475</v>
      </c>
      <c r="V201" t="str">
        <f>'mk 001 10.3'!V202</f>
        <v>สามชั้นหมูตัดเส้น 3-4 นิ้ว</v>
      </c>
      <c r="W201">
        <f>'mk 001 10.3'!W202</f>
        <v>5</v>
      </c>
      <c r="X201">
        <f>'mk 001 10.3'!X202</f>
        <v>5</v>
      </c>
      <c r="Y201">
        <f t="shared" si="3"/>
        <v>5</v>
      </c>
      <c r="Z201" s="13">
        <f>IF(COUNTIFS(แปลงข้อมูล!H:H,Q201,แปลงข้อมูล!I:I,U201,แปลงข้อมูล!J:J,V201)&gt;0,SUMIFS(แปลงข้อมูล!Q:Q,แปลงข้อมูล!I:I,U201,แปลงข้อมูล!H:H,Q201,แปลงข้อมูล!J:J,V201),'mk 001 10.3'!Z202)</f>
        <v>5</v>
      </c>
      <c r="AA201">
        <f>'mk 001 10.3'!AA202</f>
        <v>0</v>
      </c>
      <c r="AB201">
        <f>'mk 001 10.3'!AB202</f>
        <v>0</v>
      </c>
      <c r="AC201">
        <f>'mk 001 10.3'!AC202</f>
        <v>0</v>
      </c>
      <c r="AD201">
        <f>'mk 001 10.3'!AD202</f>
        <v>0</v>
      </c>
      <c r="AE201">
        <f>'mk 001 10.3'!AE202</f>
        <v>5</v>
      </c>
      <c r="AF201">
        <f>'mk 001 10.3'!AF202</f>
        <v>5</v>
      </c>
      <c r="AG201">
        <f>'mk 001 10.3'!AG202</f>
        <v>0</v>
      </c>
      <c r="AH201">
        <f>'mk 001 10.3'!AH202</f>
        <v>0</v>
      </c>
      <c r="AI201" t="str">
        <f>'mk 001 10.3'!AI202</f>
        <v>OPRCD489MOPRCD00000OPRCDF213OPRCD00000OPRCD923</v>
      </c>
      <c r="AJ201" t="str">
        <f>'mk 001 10.3'!AJ202</f>
        <v>ซื้อ / ขาย</v>
      </c>
      <c r="AK201" t="str">
        <f>'mk 001 10.3'!AK202</f>
        <v>Main proudct</v>
      </c>
      <c r="AL201" t="str">
        <f>'mk 001 10.3'!AL202</f>
        <v>Bulk Normal</v>
      </c>
      <c r="AM201" t="str">
        <f>'mk 001 10.3'!AM202</f>
        <v>สุกร</v>
      </c>
      <c r="AN201" t="str">
        <f>'mk 001 10.3'!AN202</f>
        <v>OT002 CC-Makro</v>
      </c>
      <c r="AO201" t="str">
        <f>'mk 001 10.3'!AO202</f>
        <v>MT</v>
      </c>
      <c r="AP201">
        <f>'mk 001 10.3'!AP202</f>
        <v>2</v>
      </c>
      <c r="AQ201">
        <f>'mk 001 10.3'!AQ202</f>
        <v>0</v>
      </c>
      <c r="AR201">
        <f>'mk 001 10.3'!AR202</f>
        <v>0</v>
      </c>
      <c r="AS201">
        <f>'mk 001 10.3'!AS202</f>
        <v>0</v>
      </c>
      <c r="AT201" t="str">
        <f>'mk 001 10.3'!AT202</f>
        <v>เบญจพจน์ เพชรเหลี่ยม</v>
      </c>
      <c r="AU201" t="str">
        <f>'mk 001 10.3'!AU202</f>
        <v>2026-05-11-13.33.46.000000</v>
      </c>
      <c r="AV201" t="str">
        <f>'mk 001 10.3'!AV202</f>
        <v>ก.ก.</v>
      </c>
      <c r="AW201" t="str">
        <f>'mk 001 10.3'!AW202</f>
        <v>ก.ก.</v>
      </c>
      <c r="AX201" t="str">
        <f>'mk 001 10.3'!AX202</f>
        <v xml:space="preserve"> </v>
      </c>
      <c r="AY201">
        <f>'mk 001 10.3'!AY202</f>
        <v>0</v>
      </c>
      <c r="AZ201" t="str">
        <f>'mk 001 10.3'!AZ202</f>
        <v>N</v>
      </c>
      <c r="BA201" s="22">
        <f>'mk 001 10.3'!BA202</f>
        <v>9044989536467</v>
      </c>
      <c r="BB201">
        <f>'mk 001 10.3'!BB202</f>
        <v>0</v>
      </c>
      <c r="BC201">
        <f>'mk 001 10.3'!BC202</f>
        <v>0</v>
      </c>
      <c r="BD201">
        <f>'mk 001 10.3'!BD202</f>
        <v>1</v>
      </c>
      <c r="BE201">
        <f>'mk 001 10.3'!BE202</f>
        <v>0</v>
      </c>
      <c r="BF201" t="str">
        <f>'mk 001 10.3'!BF202</f>
        <v>;0000</v>
      </c>
      <c r="BG201">
        <f>'mk 001 10.3'!BG202</f>
        <v>1333314600</v>
      </c>
      <c r="BH201" t="str">
        <f>'mk 001 10.3'!BH202</f>
        <v>G</v>
      </c>
      <c r="BI201">
        <f>'mk 001 10.3'!BI202</f>
        <v>5</v>
      </c>
      <c r="BJ201">
        <f>'mk 001 10.3'!BJ202</f>
        <v>5</v>
      </c>
      <c r="BK201">
        <f>'mk 001 10.3'!BK202</f>
        <v>1300</v>
      </c>
      <c r="BL201" t="str">
        <f>'mk 001 10.3'!BL202</f>
        <v>SYSBATCH</v>
      </c>
      <c r="BM201">
        <f>'mk 001 10.3'!BM202</f>
        <v>0</v>
      </c>
      <c r="BN201">
        <f>'mk 001 10.3'!BN202</f>
        <v>0</v>
      </c>
    </row>
    <row r="202" spans="1:66" x14ac:dyDescent="0.35">
      <c r="A202">
        <f>'mk 001 10.3'!A203</f>
        <v>0</v>
      </c>
      <c r="B202">
        <f>'mk 001 10.3'!B203</f>
        <v>0</v>
      </c>
      <c r="C202" s="1" t="str">
        <f>'mk 001 10.3'!C203</f>
        <v>14/5/2569</v>
      </c>
      <c r="D202" s="1" t="str">
        <f>'mk 001 10.3'!D203</f>
        <v>14/5/2569</v>
      </c>
      <c r="E202">
        <f>'mk 001 10.3'!E203</f>
        <v>0</v>
      </c>
      <c r="F202" t="str">
        <f>'mk 001 10.3'!F203</f>
        <v>489M</v>
      </c>
      <c r="G202" t="str">
        <f>'mk 001 10.3'!G203</f>
        <v>Modern Trade (Makro)</v>
      </c>
      <c r="H202">
        <f>'mk 001 10.3'!H203</f>
        <v>0</v>
      </c>
      <c r="I202" t="str">
        <f>'mk 001 10.3'!I203</f>
        <v>หน่วยงานกลาง</v>
      </c>
      <c r="J202" t="str">
        <f>'mk 001 10.3'!J203</f>
        <v>F213  DMCW-รชล-พระพุทธบาท</v>
      </c>
      <c r="K202" t="str">
        <f>'mk 001 10.3'!K203</f>
        <v>00000  หน่วยงานกลาง</v>
      </c>
      <c r="L202">
        <f>'mk 001 10.3'!L203</f>
        <v>923</v>
      </c>
      <c r="M202">
        <f>'mk 001 10.3'!M203</f>
        <v>0</v>
      </c>
      <c r="N202" t="str">
        <f>'mk 001 10.3'!N203</f>
        <v>1A53010800</v>
      </c>
      <c r="O202" t="str">
        <f>'mk 001 10.3'!O203</f>
        <v>บมจ. ซีพี แอ็กซ์ตร้า สาขาสิงห์บุรี</v>
      </c>
      <c r="P202">
        <f>'mk 001 10.3'!P203</f>
        <v>2</v>
      </c>
      <c r="Q202" t="str">
        <f>'mk 001 10.3'!Q203</f>
        <v>MAKRO 0114 สิงห์บุรี</v>
      </c>
      <c r="R202" s="1">
        <f>'mk 001 10.3'!R203</f>
        <v>244658</v>
      </c>
      <c r="S202" s="1" t="str">
        <f>'mk 001 10.3'!S203</f>
        <v>14/5/2569</v>
      </c>
      <c r="T202" t="str">
        <f>'mk 001 10.3'!T203</f>
        <v>H6954RMA0059255</v>
      </c>
      <c r="U202">
        <f>'mk 001 10.3'!U203</f>
        <v>23071884</v>
      </c>
      <c r="V202" t="str">
        <f>'mk 001 10.3'!V203</f>
        <v>ตับหมูสไลด์ (M)</v>
      </c>
      <c r="W202">
        <f>'mk 001 10.3'!W203</f>
        <v>0.96150000000000002</v>
      </c>
      <c r="X202">
        <f>'mk 001 10.3'!X203</f>
        <v>4.9997999999999996</v>
      </c>
      <c r="Y202">
        <f t="shared" si="3"/>
        <v>0.96150000000000002</v>
      </c>
      <c r="Z202" s="13">
        <f>IF(COUNTIFS(แปลงข้อมูล!H:H,Q202,แปลงข้อมูล!I:I,U202,แปลงข้อมูล!J:J,V202)&gt;0,SUMIFS(แปลงข้อมูล!Q:Q,แปลงข้อมูล!I:I,U202,แปลงข้อมูล!H:H,Q202,แปลงข้อมูล!J:J,V202),'mk 001 10.3'!Z203)</f>
        <v>4.9997999999999996</v>
      </c>
      <c r="AA202">
        <f>'mk 001 10.3'!AA203</f>
        <v>0</v>
      </c>
      <c r="AB202">
        <f>'mk 001 10.3'!AB203</f>
        <v>0</v>
      </c>
      <c r="AC202">
        <f>'mk 001 10.3'!AC203</f>
        <v>0</v>
      </c>
      <c r="AD202">
        <f>'mk 001 10.3'!AD203</f>
        <v>0</v>
      </c>
      <c r="AE202">
        <f>'mk 001 10.3'!AE203</f>
        <v>0.96150000000000002</v>
      </c>
      <c r="AF202">
        <f>'mk 001 10.3'!AF203</f>
        <v>4.9997999999999996</v>
      </c>
      <c r="AG202">
        <f>'mk 001 10.3'!AG203</f>
        <v>0</v>
      </c>
      <c r="AH202">
        <f>'mk 001 10.3'!AH203</f>
        <v>0</v>
      </c>
      <c r="AI202" t="str">
        <f>'mk 001 10.3'!AI203</f>
        <v>OPRCD489MOPRCD00000OPRCDF213OPRCD00000OPRCD923</v>
      </c>
      <c r="AJ202" t="str">
        <f>'mk 001 10.3'!AJ203</f>
        <v>ซื้อ / ขาย</v>
      </c>
      <c r="AK202" t="str">
        <f>'mk 001 10.3'!AK203</f>
        <v>By proudct</v>
      </c>
      <c r="AL202" t="str">
        <f>'mk 001 10.3'!AL203</f>
        <v>Bulk Normal</v>
      </c>
      <c r="AM202" t="str">
        <f>'mk 001 10.3'!AM203</f>
        <v>สุกร</v>
      </c>
      <c r="AN202" t="str">
        <f>'mk 001 10.3'!AN203</f>
        <v>OT002 CC-Makro</v>
      </c>
      <c r="AO202" t="str">
        <f>'mk 001 10.3'!AO203</f>
        <v>MT</v>
      </c>
      <c r="AP202">
        <f>'mk 001 10.3'!AP203</f>
        <v>2</v>
      </c>
      <c r="AQ202">
        <f>'mk 001 10.3'!AQ203</f>
        <v>0</v>
      </c>
      <c r="AR202">
        <f>'mk 001 10.3'!AR203</f>
        <v>0</v>
      </c>
      <c r="AS202">
        <f>'mk 001 10.3'!AS203</f>
        <v>0</v>
      </c>
      <c r="AT202" t="str">
        <f>'mk 001 10.3'!AT203</f>
        <v>เบญจพจน์ เพชรเหลี่ยม</v>
      </c>
      <c r="AU202" t="str">
        <f>'mk 001 10.3'!AU203</f>
        <v>2026-05-11-13.33.46.000000</v>
      </c>
      <c r="AV202" t="str">
        <f>'mk 001 10.3'!AV203</f>
        <v>ถุง</v>
      </c>
      <c r="AW202" t="str">
        <f>'mk 001 10.3'!AW203</f>
        <v>ก.ก.</v>
      </c>
      <c r="AX202" t="str">
        <f>'mk 001 10.3'!AX203</f>
        <v xml:space="preserve"> </v>
      </c>
      <c r="AY202">
        <f>'mk 001 10.3'!AY203</f>
        <v>0</v>
      </c>
      <c r="AZ202" t="str">
        <f>'mk 001 10.3'!AZ203</f>
        <v>N</v>
      </c>
      <c r="BA202" s="22">
        <f>'mk 001 10.3'!BA203</f>
        <v>9044989536467</v>
      </c>
      <c r="BB202">
        <f>'mk 001 10.3'!BB203</f>
        <v>0</v>
      </c>
      <c r="BC202">
        <f>'mk 001 10.3'!BC203</f>
        <v>0</v>
      </c>
      <c r="BD202">
        <f>'mk 001 10.3'!BD203</f>
        <v>1</v>
      </c>
      <c r="BE202">
        <f>'mk 001 10.3'!BE203</f>
        <v>0</v>
      </c>
      <c r="BF202" t="str">
        <f>'mk 001 10.3'!BF203</f>
        <v>;0000</v>
      </c>
      <c r="BG202">
        <f>'mk 001 10.3'!BG203</f>
        <v>1333314600</v>
      </c>
      <c r="BH202" t="str">
        <f>'mk 001 10.3'!BH203</f>
        <v>G</v>
      </c>
      <c r="BI202">
        <f>'mk 001 10.3'!BI203</f>
        <v>0.96150000000000002</v>
      </c>
      <c r="BJ202">
        <f>'mk 001 10.3'!BJ203</f>
        <v>4.9997999999999996</v>
      </c>
      <c r="BK202">
        <f>'mk 001 10.3'!BK203</f>
        <v>1300</v>
      </c>
      <c r="BL202" t="str">
        <f>'mk 001 10.3'!BL203</f>
        <v>SYSBATCH</v>
      </c>
      <c r="BM202">
        <f>'mk 001 10.3'!BM203</f>
        <v>0</v>
      </c>
      <c r="BN202">
        <f>'mk 001 10.3'!BN203</f>
        <v>0</v>
      </c>
    </row>
    <row r="203" spans="1:66" x14ac:dyDescent="0.35">
      <c r="A203">
        <f>'mk 001 10.3'!A204</f>
        <v>0</v>
      </c>
      <c r="B203">
        <f>'mk 001 10.3'!B204</f>
        <v>0</v>
      </c>
      <c r="C203" s="1" t="str">
        <f>'mk 001 10.3'!C204</f>
        <v>14/5/2569</v>
      </c>
      <c r="D203" s="1" t="str">
        <f>'mk 001 10.3'!D204</f>
        <v>14/5/2569</v>
      </c>
      <c r="E203">
        <f>'mk 001 10.3'!E204</f>
        <v>0</v>
      </c>
      <c r="F203" t="str">
        <f>'mk 001 10.3'!F204</f>
        <v>489M</v>
      </c>
      <c r="G203" t="str">
        <f>'mk 001 10.3'!G204</f>
        <v>Modern Trade (Makro)</v>
      </c>
      <c r="H203">
        <f>'mk 001 10.3'!H204</f>
        <v>0</v>
      </c>
      <c r="I203" t="str">
        <f>'mk 001 10.3'!I204</f>
        <v>หน่วยงานกลาง</v>
      </c>
      <c r="J203" t="str">
        <f>'mk 001 10.3'!J204</f>
        <v>F213  DMCW-รชล-พระพุทธบาท</v>
      </c>
      <c r="K203" t="str">
        <f>'mk 001 10.3'!K204</f>
        <v>00000  หน่วยงานกลาง</v>
      </c>
      <c r="L203">
        <f>'mk 001 10.3'!L204</f>
        <v>923</v>
      </c>
      <c r="M203">
        <f>'mk 001 10.3'!M204</f>
        <v>0</v>
      </c>
      <c r="N203" t="str">
        <f>'mk 001 10.3'!N204</f>
        <v>1A53010800</v>
      </c>
      <c r="O203" t="str">
        <f>'mk 001 10.3'!O204</f>
        <v>บมจ. ซีพี แอ็กซ์ตร้า สาขาสิงห์บุรี</v>
      </c>
      <c r="P203">
        <f>'mk 001 10.3'!P204</f>
        <v>2</v>
      </c>
      <c r="Q203" t="str">
        <f>'mk 001 10.3'!Q204</f>
        <v>MAKRO 0114 สิงห์บุรี</v>
      </c>
      <c r="R203" s="1">
        <f>'mk 001 10.3'!R204</f>
        <v>244658</v>
      </c>
      <c r="S203" s="1" t="str">
        <f>'mk 001 10.3'!S204</f>
        <v>14/5/2569</v>
      </c>
      <c r="T203" t="str">
        <f>'mk 001 10.3'!T204</f>
        <v>H6954RMA0059255</v>
      </c>
      <c r="U203">
        <f>'mk 001 10.3'!U204</f>
        <v>23065142</v>
      </c>
      <c r="V203" t="str">
        <f>'mk 001 10.3'!V204</f>
        <v>สันคอสไลด์</v>
      </c>
      <c r="W203">
        <f>'mk 001 10.3'!W204</f>
        <v>10</v>
      </c>
      <c r="X203">
        <f>'mk 001 10.3'!X204</f>
        <v>10</v>
      </c>
      <c r="Y203">
        <f t="shared" si="3"/>
        <v>10</v>
      </c>
      <c r="Z203" s="13">
        <f>IF(COUNTIFS(แปลงข้อมูล!H:H,Q203,แปลงข้อมูล!I:I,U203,แปลงข้อมูล!J:J,V203)&gt;0,SUMIFS(แปลงข้อมูล!Q:Q,แปลงข้อมูล!I:I,U203,แปลงข้อมูล!H:H,Q203,แปลงข้อมูล!J:J,V203),'mk 001 10.3'!Z204)</f>
        <v>10</v>
      </c>
      <c r="AA203">
        <f>'mk 001 10.3'!AA204</f>
        <v>0</v>
      </c>
      <c r="AB203">
        <f>'mk 001 10.3'!AB204</f>
        <v>0</v>
      </c>
      <c r="AC203">
        <f>'mk 001 10.3'!AC204</f>
        <v>0</v>
      </c>
      <c r="AD203">
        <f>'mk 001 10.3'!AD204</f>
        <v>0</v>
      </c>
      <c r="AE203">
        <f>'mk 001 10.3'!AE204</f>
        <v>10</v>
      </c>
      <c r="AF203">
        <f>'mk 001 10.3'!AF204</f>
        <v>10</v>
      </c>
      <c r="AG203">
        <f>'mk 001 10.3'!AG204</f>
        <v>0</v>
      </c>
      <c r="AH203">
        <f>'mk 001 10.3'!AH204</f>
        <v>0</v>
      </c>
      <c r="AI203" t="str">
        <f>'mk 001 10.3'!AI204</f>
        <v>OPRCD489MOPRCD00000OPRCDF213OPRCD00000OPRCD923</v>
      </c>
      <c r="AJ203" t="str">
        <f>'mk 001 10.3'!AJ204</f>
        <v>ซื้อ / ขาย</v>
      </c>
      <c r="AK203" t="str">
        <f>'mk 001 10.3'!AK204</f>
        <v>Main proudct</v>
      </c>
      <c r="AL203" t="str">
        <f>'mk 001 10.3'!AL204</f>
        <v>Bulk Normal</v>
      </c>
      <c r="AM203" t="str">
        <f>'mk 001 10.3'!AM204</f>
        <v>สุกร</v>
      </c>
      <c r="AN203" t="str">
        <f>'mk 001 10.3'!AN204</f>
        <v>OT002 CC-Makro</v>
      </c>
      <c r="AO203" t="str">
        <f>'mk 001 10.3'!AO204</f>
        <v>MT</v>
      </c>
      <c r="AP203">
        <f>'mk 001 10.3'!AP204</f>
        <v>2</v>
      </c>
      <c r="AQ203">
        <f>'mk 001 10.3'!AQ204</f>
        <v>0</v>
      </c>
      <c r="AR203">
        <f>'mk 001 10.3'!AR204</f>
        <v>0</v>
      </c>
      <c r="AS203">
        <f>'mk 001 10.3'!AS204</f>
        <v>0</v>
      </c>
      <c r="AT203" t="str">
        <f>'mk 001 10.3'!AT204</f>
        <v>เบญจพจน์ เพชรเหลี่ยม</v>
      </c>
      <c r="AU203" t="str">
        <f>'mk 001 10.3'!AU204</f>
        <v>2026-05-11-13.33.46.000000</v>
      </c>
      <c r="AV203" t="str">
        <f>'mk 001 10.3'!AV204</f>
        <v>ก.ก.</v>
      </c>
      <c r="AW203" t="str">
        <f>'mk 001 10.3'!AW204</f>
        <v>ก.ก.</v>
      </c>
      <c r="AX203" t="str">
        <f>'mk 001 10.3'!AX204</f>
        <v xml:space="preserve"> </v>
      </c>
      <c r="AY203">
        <f>'mk 001 10.3'!AY204</f>
        <v>0</v>
      </c>
      <c r="AZ203" t="str">
        <f>'mk 001 10.3'!AZ204</f>
        <v>N</v>
      </c>
      <c r="BA203" s="22">
        <f>'mk 001 10.3'!BA204</f>
        <v>9044989536467</v>
      </c>
      <c r="BB203">
        <f>'mk 001 10.3'!BB204</f>
        <v>0</v>
      </c>
      <c r="BC203">
        <f>'mk 001 10.3'!BC204</f>
        <v>0</v>
      </c>
      <c r="BD203">
        <f>'mk 001 10.3'!BD204</f>
        <v>1</v>
      </c>
      <c r="BE203">
        <f>'mk 001 10.3'!BE204</f>
        <v>0</v>
      </c>
      <c r="BF203" t="str">
        <f>'mk 001 10.3'!BF204</f>
        <v>;0000</v>
      </c>
      <c r="BG203">
        <f>'mk 001 10.3'!BG204</f>
        <v>1333314600</v>
      </c>
      <c r="BH203" t="str">
        <f>'mk 001 10.3'!BH204</f>
        <v>G</v>
      </c>
      <c r="BI203">
        <f>'mk 001 10.3'!BI204</f>
        <v>10</v>
      </c>
      <c r="BJ203">
        <f>'mk 001 10.3'!BJ204</f>
        <v>10</v>
      </c>
      <c r="BK203">
        <f>'mk 001 10.3'!BK204</f>
        <v>1300</v>
      </c>
      <c r="BL203" t="str">
        <f>'mk 001 10.3'!BL204</f>
        <v>SYSBATCH</v>
      </c>
      <c r="BM203">
        <f>'mk 001 10.3'!BM204</f>
        <v>0</v>
      </c>
      <c r="BN203">
        <f>'mk 001 10.3'!BN204</f>
        <v>0</v>
      </c>
    </row>
    <row r="204" spans="1:66" x14ac:dyDescent="0.35">
      <c r="A204">
        <f>'mk 001 10.3'!A205</f>
        <v>0</v>
      </c>
      <c r="B204">
        <f>'mk 001 10.3'!B205</f>
        <v>0</v>
      </c>
      <c r="C204" s="1" t="str">
        <f>'mk 001 10.3'!C205</f>
        <v>14/5/2569</v>
      </c>
      <c r="D204" s="1" t="str">
        <f>'mk 001 10.3'!D205</f>
        <v>14/5/2569</v>
      </c>
      <c r="E204">
        <f>'mk 001 10.3'!E205</f>
        <v>0</v>
      </c>
      <c r="F204" t="str">
        <f>'mk 001 10.3'!F205</f>
        <v>489M</v>
      </c>
      <c r="G204" t="str">
        <f>'mk 001 10.3'!G205</f>
        <v>Modern Trade (Makro)</v>
      </c>
      <c r="H204">
        <f>'mk 001 10.3'!H205</f>
        <v>0</v>
      </c>
      <c r="I204" t="str">
        <f>'mk 001 10.3'!I205</f>
        <v>หน่วยงานกลาง</v>
      </c>
      <c r="J204" t="str">
        <f>'mk 001 10.3'!J205</f>
        <v>F213  DMCW-รชล-พระพุทธบาท</v>
      </c>
      <c r="K204" t="str">
        <f>'mk 001 10.3'!K205</f>
        <v>00000  หน่วยงานกลาง</v>
      </c>
      <c r="L204">
        <f>'mk 001 10.3'!L205</f>
        <v>923</v>
      </c>
      <c r="M204">
        <f>'mk 001 10.3'!M205</f>
        <v>0</v>
      </c>
      <c r="N204" t="str">
        <f>'mk 001 10.3'!N205</f>
        <v>1A53010800</v>
      </c>
      <c r="O204" t="str">
        <f>'mk 001 10.3'!O205</f>
        <v>บมจ. ซีพี แอ็กซ์ตร้า สาขาสิงห์บุรี</v>
      </c>
      <c r="P204">
        <f>'mk 001 10.3'!P205</f>
        <v>2</v>
      </c>
      <c r="Q204" t="str">
        <f>'mk 001 10.3'!Q205</f>
        <v>MAKRO 0114 สิงห์บุรี</v>
      </c>
      <c r="R204" s="1">
        <f>'mk 001 10.3'!R205</f>
        <v>244658</v>
      </c>
      <c r="S204" s="1" t="str">
        <f>'mk 001 10.3'!S205</f>
        <v>14/5/2569</v>
      </c>
      <c r="T204" t="str">
        <f>'mk 001 10.3'!T205</f>
        <v>H6954RMA0059255</v>
      </c>
      <c r="U204">
        <f>'mk 001 10.3'!U205</f>
        <v>23109326</v>
      </c>
      <c r="V204" t="str">
        <f>'mk 001 10.3'!V205</f>
        <v>ขาหมูเผาเลาะติดหนัง กก.ละ</v>
      </c>
      <c r="W204">
        <f>'mk 001 10.3'!W205</f>
        <v>80</v>
      </c>
      <c r="X204">
        <f>'mk 001 10.3'!X205</f>
        <v>80</v>
      </c>
      <c r="Y204">
        <f t="shared" si="3"/>
        <v>80</v>
      </c>
      <c r="Z204" s="13">
        <f>IF(COUNTIFS(แปลงข้อมูล!H:H,Q204,แปลงข้อมูล!I:I,U204,แปลงข้อมูล!J:J,V204)&gt;0,SUMIFS(แปลงข้อมูล!Q:Q,แปลงข้อมูล!I:I,U204,แปลงข้อมูล!H:H,Q204,แปลงข้อมูล!J:J,V204),'mk 001 10.3'!Z205)</f>
        <v>80</v>
      </c>
      <c r="AA204">
        <f>'mk 001 10.3'!AA205</f>
        <v>0</v>
      </c>
      <c r="AB204">
        <f>'mk 001 10.3'!AB205</f>
        <v>0</v>
      </c>
      <c r="AC204">
        <f>'mk 001 10.3'!AC205</f>
        <v>0</v>
      </c>
      <c r="AD204">
        <f>'mk 001 10.3'!AD205</f>
        <v>0</v>
      </c>
      <c r="AE204">
        <f>'mk 001 10.3'!AE205</f>
        <v>80</v>
      </c>
      <c r="AF204">
        <f>'mk 001 10.3'!AF205</f>
        <v>80</v>
      </c>
      <c r="AG204">
        <f>'mk 001 10.3'!AG205</f>
        <v>0</v>
      </c>
      <c r="AH204">
        <f>'mk 001 10.3'!AH205</f>
        <v>0</v>
      </c>
      <c r="AI204" t="str">
        <f>'mk 001 10.3'!AI205</f>
        <v>OPRCD489MOPRCD00000OPRCDF213OPRCD00000OPRCD923</v>
      </c>
      <c r="AJ204" t="str">
        <f>'mk 001 10.3'!AJ205</f>
        <v>ซื้อ / ขาย</v>
      </c>
      <c r="AK204" t="str">
        <f>'mk 001 10.3'!AK205</f>
        <v>By proudct</v>
      </c>
      <c r="AL204" t="str">
        <f>'mk 001 10.3'!AL205</f>
        <v>Bulk Normal</v>
      </c>
      <c r="AM204" t="str">
        <f>'mk 001 10.3'!AM205</f>
        <v>สุกร</v>
      </c>
      <c r="AN204" t="str">
        <f>'mk 001 10.3'!AN205</f>
        <v>OT002 CC-Makro</v>
      </c>
      <c r="AO204" t="str">
        <f>'mk 001 10.3'!AO205</f>
        <v>MT</v>
      </c>
      <c r="AP204">
        <f>'mk 001 10.3'!AP205</f>
        <v>2</v>
      </c>
      <c r="AQ204">
        <f>'mk 001 10.3'!AQ205</f>
        <v>0</v>
      </c>
      <c r="AR204">
        <f>'mk 001 10.3'!AR205</f>
        <v>0</v>
      </c>
      <c r="AS204">
        <f>'mk 001 10.3'!AS205</f>
        <v>0</v>
      </c>
      <c r="AT204" t="str">
        <f>'mk 001 10.3'!AT205</f>
        <v>เบญจพจน์ เพชรเหลี่ยม</v>
      </c>
      <c r="AU204" t="str">
        <f>'mk 001 10.3'!AU205</f>
        <v>2026-05-11-13.33.46.000000</v>
      </c>
      <c r="AV204" t="str">
        <f>'mk 001 10.3'!AV205</f>
        <v>ก.ก.</v>
      </c>
      <c r="AW204" t="str">
        <f>'mk 001 10.3'!AW205</f>
        <v>ก.ก.</v>
      </c>
      <c r="AX204" t="str">
        <f>'mk 001 10.3'!AX205</f>
        <v xml:space="preserve"> </v>
      </c>
      <c r="AY204">
        <f>'mk 001 10.3'!AY205</f>
        <v>0</v>
      </c>
      <c r="AZ204" t="str">
        <f>'mk 001 10.3'!AZ205</f>
        <v>N</v>
      </c>
      <c r="BA204" s="22">
        <f>'mk 001 10.3'!BA205</f>
        <v>9044989536467</v>
      </c>
      <c r="BB204">
        <f>'mk 001 10.3'!BB205</f>
        <v>0</v>
      </c>
      <c r="BC204">
        <f>'mk 001 10.3'!BC205</f>
        <v>0</v>
      </c>
      <c r="BD204">
        <f>'mk 001 10.3'!BD205</f>
        <v>1</v>
      </c>
      <c r="BE204">
        <f>'mk 001 10.3'!BE205</f>
        <v>0</v>
      </c>
      <c r="BF204" t="str">
        <f>'mk 001 10.3'!BF205</f>
        <v>;0000</v>
      </c>
      <c r="BG204">
        <f>'mk 001 10.3'!BG205</f>
        <v>1333314600</v>
      </c>
      <c r="BH204" t="str">
        <f>'mk 001 10.3'!BH205</f>
        <v>G</v>
      </c>
      <c r="BI204">
        <f>'mk 001 10.3'!BI205</f>
        <v>80</v>
      </c>
      <c r="BJ204">
        <f>'mk 001 10.3'!BJ205</f>
        <v>80</v>
      </c>
      <c r="BK204">
        <f>'mk 001 10.3'!BK205</f>
        <v>1300</v>
      </c>
      <c r="BL204" t="str">
        <f>'mk 001 10.3'!BL205</f>
        <v>SYSBATCH</v>
      </c>
      <c r="BM204">
        <f>'mk 001 10.3'!BM205</f>
        <v>0</v>
      </c>
      <c r="BN204">
        <f>'mk 001 10.3'!BN205</f>
        <v>0</v>
      </c>
    </row>
    <row r="205" spans="1:66" x14ac:dyDescent="0.35">
      <c r="A205">
        <f>'mk 001 10.3'!A206</f>
        <v>0</v>
      </c>
      <c r="B205">
        <f>'mk 001 10.3'!B206</f>
        <v>0</v>
      </c>
      <c r="C205" s="1" t="str">
        <f>'mk 001 10.3'!C206</f>
        <v>14/5/2569</v>
      </c>
      <c r="D205" s="1" t="str">
        <f>'mk 001 10.3'!D206</f>
        <v>14/5/2569</v>
      </c>
      <c r="E205">
        <f>'mk 001 10.3'!E206</f>
        <v>0</v>
      </c>
      <c r="F205" t="str">
        <f>'mk 001 10.3'!F206</f>
        <v>489M</v>
      </c>
      <c r="G205" t="str">
        <f>'mk 001 10.3'!G206</f>
        <v>Modern Trade (Makro)</v>
      </c>
      <c r="H205">
        <f>'mk 001 10.3'!H206</f>
        <v>0</v>
      </c>
      <c r="I205" t="str">
        <f>'mk 001 10.3'!I206</f>
        <v>หน่วยงานกลาง</v>
      </c>
      <c r="J205" t="str">
        <f>'mk 001 10.3'!J206</f>
        <v>F213  DMCW-รชล-พระพุทธบาท</v>
      </c>
      <c r="K205" t="str">
        <f>'mk 001 10.3'!K206</f>
        <v>00000  หน่วยงานกลาง</v>
      </c>
      <c r="L205">
        <f>'mk 001 10.3'!L206</f>
        <v>923</v>
      </c>
      <c r="M205">
        <f>'mk 001 10.3'!M206</f>
        <v>0</v>
      </c>
      <c r="N205" t="str">
        <f>'mk 001 10.3'!N206</f>
        <v>1A53010800</v>
      </c>
      <c r="O205" t="str">
        <f>'mk 001 10.3'!O206</f>
        <v>บมจ. ซีพี แอ็กซ์ตร้า สาขาสิงห์บุรี</v>
      </c>
      <c r="P205">
        <f>'mk 001 10.3'!P206</f>
        <v>2</v>
      </c>
      <c r="Q205" t="str">
        <f>'mk 001 10.3'!Q206</f>
        <v>MAKRO 0114 สิงห์บุรี</v>
      </c>
      <c r="R205" s="1">
        <f>'mk 001 10.3'!R206</f>
        <v>244658</v>
      </c>
      <c r="S205" s="1" t="str">
        <f>'mk 001 10.3'!S206</f>
        <v>14/5/2569</v>
      </c>
      <c r="T205" t="str">
        <f>'mk 001 10.3'!T206</f>
        <v>H6954RMA0059255</v>
      </c>
      <c r="U205">
        <f>'mk 001 10.3'!U206</f>
        <v>23058584</v>
      </c>
      <c r="V205" t="str">
        <f>'mk 001 10.3'!V206</f>
        <v>ตับหมู (M)</v>
      </c>
      <c r="W205">
        <f>'mk 001 10.3'!W206</f>
        <v>20</v>
      </c>
      <c r="X205">
        <f>'mk 001 10.3'!X206</f>
        <v>20</v>
      </c>
      <c r="Y205">
        <f t="shared" si="3"/>
        <v>20</v>
      </c>
      <c r="Z205" s="13">
        <f>IF(COUNTIFS(แปลงข้อมูล!H:H,Q205,แปลงข้อมูล!I:I,U205,แปลงข้อมูล!J:J,V205)&gt;0,SUMIFS(แปลงข้อมูล!Q:Q,แปลงข้อมูล!I:I,U205,แปลงข้อมูล!H:H,Q205,แปลงข้อมูล!J:J,V205),'mk 001 10.3'!Z206)</f>
        <v>20</v>
      </c>
      <c r="AA205">
        <f>'mk 001 10.3'!AA206</f>
        <v>0</v>
      </c>
      <c r="AB205">
        <f>'mk 001 10.3'!AB206</f>
        <v>0</v>
      </c>
      <c r="AC205">
        <f>'mk 001 10.3'!AC206</f>
        <v>0</v>
      </c>
      <c r="AD205">
        <f>'mk 001 10.3'!AD206</f>
        <v>0</v>
      </c>
      <c r="AE205">
        <f>'mk 001 10.3'!AE206</f>
        <v>20</v>
      </c>
      <c r="AF205">
        <f>'mk 001 10.3'!AF206</f>
        <v>20</v>
      </c>
      <c r="AG205">
        <f>'mk 001 10.3'!AG206</f>
        <v>0</v>
      </c>
      <c r="AH205">
        <f>'mk 001 10.3'!AH206</f>
        <v>0</v>
      </c>
      <c r="AI205" t="str">
        <f>'mk 001 10.3'!AI206</f>
        <v>OPRCD489MOPRCD00000OPRCDF213OPRCD00000OPRCD923</v>
      </c>
      <c r="AJ205" t="str">
        <f>'mk 001 10.3'!AJ206</f>
        <v>ซื้อ / ขาย</v>
      </c>
      <c r="AK205" t="str">
        <f>'mk 001 10.3'!AK206</f>
        <v>By proudct</v>
      </c>
      <c r="AL205" t="str">
        <f>'mk 001 10.3'!AL206</f>
        <v>Bulk Normal</v>
      </c>
      <c r="AM205" t="str">
        <f>'mk 001 10.3'!AM206</f>
        <v>สุกร</v>
      </c>
      <c r="AN205" t="str">
        <f>'mk 001 10.3'!AN206</f>
        <v>OT002 CC-Makro</v>
      </c>
      <c r="AO205" t="str">
        <f>'mk 001 10.3'!AO206</f>
        <v>MT</v>
      </c>
      <c r="AP205">
        <f>'mk 001 10.3'!AP206</f>
        <v>2</v>
      </c>
      <c r="AQ205">
        <f>'mk 001 10.3'!AQ206</f>
        <v>0</v>
      </c>
      <c r="AR205">
        <f>'mk 001 10.3'!AR206</f>
        <v>0</v>
      </c>
      <c r="AS205">
        <f>'mk 001 10.3'!AS206</f>
        <v>0</v>
      </c>
      <c r="AT205" t="str">
        <f>'mk 001 10.3'!AT206</f>
        <v>เบญจพจน์ เพชรเหลี่ยม</v>
      </c>
      <c r="AU205" t="str">
        <f>'mk 001 10.3'!AU206</f>
        <v>2026-05-11-13.33.46.000000</v>
      </c>
      <c r="AV205" t="str">
        <f>'mk 001 10.3'!AV206</f>
        <v>ก.ก.</v>
      </c>
      <c r="AW205" t="str">
        <f>'mk 001 10.3'!AW206</f>
        <v>ก.ก.</v>
      </c>
      <c r="AX205" t="str">
        <f>'mk 001 10.3'!AX206</f>
        <v xml:space="preserve"> </v>
      </c>
      <c r="AY205">
        <f>'mk 001 10.3'!AY206</f>
        <v>0</v>
      </c>
      <c r="AZ205" t="str">
        <f>'mk 001 10.3'!AZ206</f>
        <v>N</v>
      </c>
      <c r="BA205" s="22">
        <f>'mk 001 10.3'!BA206</f>
        <v>9044989536467</v>
      </c>
      <c r="BB205">
        <f>'mk 001 10.3'!BB206</f>
        <v>0</v>
      </c>
      <c r="BC205">
        <f>'mk 001 10.3'!BC206</f>
        <v>0</v>
      </c>
      <c r="BD205">
        <f>'mk 001 10.3'!BD206</f>
        <v>1</v>
      </c>
      <c r="BE205">
        <f>'mk 001 10.3'!BE206</f>
        <v>0</v>
      </c>
      <c r="BF205" t="str">
        <f>'mk 001 10.3'!BF206</f>
        <v>;0000</v>
      </c>
      <c r="BG205">
        <f>'mk 001 10.3'!BG206</f>
        <v>1333314600</v>
      </c>
      <c r="BH205" t="str">
        <f>'mk 001 10.3'!BH206</f>
        <v>G</v>
      </c>
      <c r="BI205">
        <f>'mk 001 10.3'!BI206</f>
        <v>20</v>
      </c>
      <c r="BJ205">
        <f>'mk 001 10.3'!BJ206</f>
        <v>20</v>
      </c>
      <c r="BK205">
        <f>'mk 001 10.3'!BK206</f>
        <v>1300</v>
      </c>
      <c r="BL205" t="str">
        <f>'mk 001 10.3'!BL206</f>
        <v>SYSBATCH</v>
      </c>
      <c r="BM205">
        <f>'mk 001 10.3'!BM206</f>
        <v>0</v>
      </c>
      <c r="BN205">
        <f>'mk 001 10.3'!BN206</f>
        <v>0</v>
      </c>
    </row>
    <row r="206" spans="1:66" x14ac:dyDescent="0.35">
      <c r="A206">
        <f>'mk 001 10.3'!A207</f>
        <v>0</v>
      </c>
      <c r="B206">
        <f>'mk 001 10.3'!B207</f>
        <v>0</v>
      </c>
      <c r="C206" s="1" t="str">
        <f>'mk 001 10.3'!C207</f>
        <v>14/5/2569</v>
      </c>
      <c r="D206" s="1" t="str">
        <f>'mk 001 10.3'!D207</f>
        <v>14/5/2569</v>
      </c>
      <c r="E206">
        <f>'mk 001 10.3'!E207</f>
        <v>0</v>
      </c>
      <c r="F206" t="str">
        <f>'mk 001 10.3'!F207</f>
        <v>489M</v>
      </c>
      <c r="G206" t="str">
        <f>'mk 001 10.3'!G207</f>
        <v>Modern Trade (Makro)</v>
      </c>
      <c r="H206">
        <f>'mk 001 10.3'!H207</f>
        <v>0</v>
      </c>
      <c r="I206" t="str">
        <f>'mk 001 10.3'!I207</f>
        <v>หน่วยงานกลาง</v>
      </c>
      <c r="J206" t="str">
        <f>'mk 001 10.3'!J207</f>
        <v>F213  DMCW-รชล-พระพุทธบาท</v>
      </c>
      <c r="K206" t="str">
        <f>'mk 001 10.3'!K207</f>
        <v>00000  หน่วยงานกลาง</v>
      </c>
      <c r="L206">
        <f>'mk 001 10.3'!L207</f>
        <v>923</v>
      </c>
      <c r="M206">
        <f>'mk 001 10.3'!M207</f>
        <v>0</v>
      </c>
      <c r="N206" t="str">
        <f>'mk 001 10.3'!N207</f>
        <v>1A53010800</v>
      </c>
      <c r="O206" t="str">
        <f>'mk 001 10.3'!O207</f>
        <v>บมจ. ซีพี แอ็กซ์ตร้า สาขาสิงห์บุรี</v>
      </c>
      <c r="P206">
        <f>'mk 001 10.3'!P207</f>
        <v>2</v>
      </c>
      <c r="Q206" t="str">
        <f>'mk 001 10.3'!Q207</f>
        <v>MAKRO 0114 สิงห์บุรี</v>
      </c>
      <c r="R206" s="1">
        <f>'mk 001 10.3'!R207</f>
        <v>244658</v>
      </c>
      <c r="S206" s="1" t="str">
        <f>'mk 001 10.3'!S207</f>
        <v>14/5/2569</v>
      </c>
      <c r="T206" t="str">
        <f>'mk 001 10.3'!T207</f>
        <v>H6954RMA0059255</v>
      </c>
      <c r="U206">
        <f>'mk 001 10.3'!U207</f>
        <v>23058587</v>
      </c>
      <c r="V206" t="str">
        <f>'mk 001 10.3'!V207</f>
        <v>หัวใจหมู (M)</v>
      </c>
      <c r="W206">
        <f>'mk 001 10.3'!W207</f>
        <v>5</v>
      </c>
      <c r="X206">
        <f>'mk 001 10.3'!X207</f>
        <v>5</v>
      </c>
      <c r="Y206">
        <f t="shared" si="3"/>
        <v>5</v>
      </c>
      <c r="Z206" s="13">
        <f>IF(COUNTIFS(แปลงข้อมูล!H:H,Q206,แปลงข้อมูล!I:I,U206,แปลงข้อมูล!J:J,V206)&gt;0,SUMIFS(แปลงข้อมูล!Q:Q,แปลงข้อมูล!I:I,U206,แปลงข้อมูล!H:H,Q206,แปลงข้อมูล!J:J,V206),'mk 001 10.3'!Z207)</f>
        <v>5</v>
      </c>
      <c r="AA206">
        <f>'mk 001 10.3'!AA207</f>
        <v>0</v>
      </c>
      <c r="AB206">
        <f>'mk 001 10.3'!AB207</f>
        <v>0</v>
      </c>
      <c r="AC206">
        <f>'mk 001 10.3'!AC207</f>
        <v>0</v>
      </c>
      <c r="AD206">
        <f>'mk 001 10.3'!AD207</f>
        <v>0</v>
      </c>
      <c r="AE206">
        <f>'mk 001 10.3'!AE207</f>
        <v>5</v>
      </c>
      <c r="AF206">
        <f>'mk 001 10.3'!AF207</f>
        <v>5</v>
      </c>
      <c r="AG206">
        <f>'mk 001 10.3'!AG207</f>
        <v>0</v>
      </c>
      <c r="AH206">
        <f>'mk 001 10.3'!AH207</f>
        <v>0</v>
      </c>
      <c r="AI206" t="str">
        <f>'mk 001 10.3'!AI207</f>
        <v>OPRCD489MOPRCD00000OPRCDF213OPRCD00000OPRCD923</v>
      </c>
      <c r="AJ206" t="str">
        <f>'mk 001 10.3'!AJ207</f>
        <v>ซื้อ / ขาย</v>
      </c>
      <c r="AK206" t="str">
        <f>'mk 001 10.3'!AK207</f>
        <v>By proudct</v>
      </c>
      <c r="AL206" t="str">
        <f>'mk 001 10.3'!AL207</f>
        <v>Bulk Normal</v>
      </c>
      <c r="AM206" t="str">
        <f>'mk 001 10.3'!AM207</f>
        <v>สุกร</v>
      </c>
      <c r="AN206" t="str">
        <f>'mk 001 10.3'!AN207</f>
        <v>OT002 CC-Makro</v>
      </c>
      <c r="AO206" t="str">
        <f>'mk 001 10.3'!AO207</f>
        <v>MT</v>
      </c>
      <c r="AP206">
        <f>'mk 001 10.3'!AP207</f>
        <v>2</v>
      </c>
      <c r="AQ206">
        <f>'mk 001 10.3'!AQ207</f>
        <v>0</v>
      </c>
      <c r="AR206">
        <f>'mk 001 10.3'!AR207</f>
        <v>0</v>
      </c>
      <c r="AS206">
        <f>'mk 001 10.3'!AS207</f>
        <v>0</v>
      </c>
      <c r="AT206" t="str">
        <f>'mk 001 10.3'!AT207</f>
        <v>เบญจพจน์ เพชรเหลี่ยม</v>
      </c>
      <c r="AU206" t="str">
        <f>'mk 001 10.3'!AU207</f>
        <v>2026-05-11-13.33.46.000000</v>
      </c>
      <c r="AV206" t="str">
        <f>'mk 001 10.3'!AV207</f>
        <v>ก.ก.</v>
      </c>
      <c r="AW206" t="str">
        <f>'mk 001 10.3'!AW207</f>
        <v>ก.ก.</v>
      </c>
      <c r="AX206" t="str">
        <f>'mk 001 10.3'!AX207</f>
        <v xml:space="preserve"> </v>
      </c>
      <c r="AY206">
        <f>'mk 001 10.3'!AY207</f>
        <v>0</v>
      </c>
      <c r="AZ206" t="str">
        <f>'mk 001 10.3'!AZ207</f>
        <v>N</v>
      </c>
      <c r="BA206" s="22">
        <f>'mk 001 10.3'!BA207</f>
        <v>9044989536467</v>
      </c>
      <c r="BB206">
        <f>'mk 001 10.3'!BB207</f>
        <v>0</v>
      </c>
      <c r="BC206">
        <f>'mk 001 10.3'!BC207</f>
        <v>0</v>
      </c>
      <c r="BD206">
        <f>'mk 001 10.3'!BD207</f>
        <v>1</v>
      </c>
      <c r="BE206">
        <f>'mk 001 10.3'!BE207</f>
        <v>0</v>
      </c>
      <c r="BF206" t="str">
        <f>'mk 001 10.3'!BF207</f>
        <v>;0000</v>
      </c>
      <c r="BG206">
        <f>'mk 001 10.3'!BG207</f>
        <v>1333314600</v>
      </c>
      <c r="BH206" t="str">
        <f>'mk 001 10.3'!BH207</f>
        <v>G</v>
      </c>
      <c r="BI206">
        <f>'mk 001 10.3'!BI207</f>
        <v>5</v>
      </c>
      <c r="BJ206">
        <f>'mk 001 10.3'!BJ207</f>
        <v>5</v>
      </c>
      <c r="BK206">
        <f>'mk 001 10.3'!BK207</f>
        <v>1300</v>
      </c>
      <c r="BL206" t="str">
        <f>'mk 001 10.3'!BL207</f>
        <v>SYSBATCH</v>
      </c>
      <c r="BM206">
        <f>'mk 001 10.3'!BM207</f>
        <v>0</v>
      </c>
      <c r="BN206">
        <f>'mk 001 10.3'!BN207</f>
        <v>0</v>
      </c>
    </row>
    <row r="207" spans="1:66" x14ac:dyDescent="0.35">
      <c r="A207">
        <f>'mk 001 10.3'!A208</f>
        <v>0</v>
      </c>
      <c r="B207">
        <f>'mk 001 10.3'!B208</f>
        <v>0</v>
      </c>
      <c r="C207" s="1" t="str">
        <f>'mk 001 10.3'!C208</f>
        <v>14/5/2569</v>
      </c>
      <c r="D207" s="1" t="str">
        <f>'mk 001 10.3'!D208</f>
        <v>14/5/2569</v>
      </c>
      <c r="E207">
        <f>'mk 001 10.3'!E208</f>
        <v>0</v>
      </c>
      <c r="F207" t="str">
        <f>'mk 001 10.3'!F208</f>
        <v>489M</v>
      </c>
      <c r="G207" t="str">
        <f>'mk 001 10.3'!G208</f>
        <v>Modern Trade (Makro)</v>
      </c>
      <c r="H207">
        <f>'mk 001 10.3'!H208</f>
        <v>0</v>
      </c>
      <c r="I207" t="str">
        <f>'mk 001 10.3'!I208</f>
        <v>หน่วยงานกลาง</v>
      </c>
      <c r="J207" t="str">
        <f>'mk 001 10.3'!J208</f>
        <v>F213  DMCW-รชล-พระพุทธบาท</v>
      </c>
      <c r="K207" t="str">
        <f>'mk 001 10.3'!K208</f>
        <v>00000  หน่วยงานกลาง</v>
      </c>
      <c r="L207">
        <f>'mk 001 10.3'!L208</f>
        <v>923</v>
      </c>
      <c r="M207">
        <f>'mk 001 10.3'!M208</f>
        <v>0</v>
      </c>
      <c r="N207" t="str">
        <f>'mk 001 10.3'!N208</f>
        <v>1A53010800</v>
      </c>
      <c r="O207" t="str">
        <f>'mk 001 10.3'!O208</f>
        <v>บมจ. ซีพี แอ็กซ์ตร้า สาขาสิงห์บุรี</v>
      </c>
      <c r="P207">
        <f>'mk 001 10.3'!P208</f>
        <v>2</v>
      </c>
      <c r="Q207" t="str">
        <f>'mk 001 10.3'!Q208</f>
        <v>MAKRO 0114 สิงห์บุรี</v>
      </c>
      <c r="R207" s="1">
        <f>'mk 001 10.3'!R208</f>
        <v>244658</v>
      </c>
      <c r="S207" s="1" t="str">
        <f>'mk 001 10.3'!S208</f>
        <v>14/5/2569</v>
      </c>
      <c r="T207" t="str">
        <f>'mk 001 10.3'!T208</f>
        <v>H6954RMA0059255</v>
      </c>
      <c r="U207">
        <f>'mk 001 10.3'!U208</f>
        <v>23057815</v>
      </c>
      <c r="V207" t="str">
        <f>'mk 001 10.3'!V208</f>
        <v>สันนอก(M)</v>
      </c>
      <c r="W207">
        <f>'mk 001 10.3'!W208</f>
        <v>200</v>
      </c>
      <c r="X207">
        <f>'mk 001 10.3'!X208</f>
        <v>200</v>
      </c>
      <c r="Y207">
        <f t="shared" si="3"/>
        <v>200</v>
      </c>
      <c r="Z207" s="13">
        <f>IF(COUNTIFS(แปลงข้อมูล!H:H,Q207,แปลงข้อมูล!I:I,U207,แปลงข้อมูล!J:J,V207)&gt;0,SUMIFS(แปลงข้อมูล!Q:Q,แปลงข้อมูล!I:I,U207,แปลงข้อมูล!H:H,Q207,แปลงข้อมูล!J:J,V207),'mk 001 10.3'!Z208)</f>
        <v>200</v>
      </c>
      <c r="AA207">
        <f>'mk 001 10.3'!AA208</f>
        <v>0</v>
      </c>
      <c r="AB207">
        <f>'mk 001 10.3'!AB208</f>
        <v>0</v>
      </c>
      <c r="AC207">
        <f>'mk 001 10.3'!AC208</f>
        <v>0</v>
      </c>
      <c r="AD207">
        <f>'mk 001 10.3'!AD208</f>
        <v>0</v>
      </c>
      <c r="AE207">
        <f>'mk 001 10.3'!AE208</f>
        <v>200</v>
      </c>
      <c r="AF207">
        <f>'mk 001 10.3'!AF208</f>
        <v>200</v>
      </c>
      <c r="AG207">
        <f>'mk 001 10.3'!AG208</f>
        <v>0</v>
      </c>
      <c r="AH207">
        <f>'mk 001 10.3'!AH208</f>
        <v>0</v>
      </c>
      <c r="AI207" t="str">
        <f>'mk 001 10.3'!AI208</f>
        <v>OPRCD489MOPRCD00000OPRCDF213OPRCD00000OPRCD923</v>
      </c>
      <c r="AJ207" t="str">
        <f>'mk 001 10.3'!AJ208</f>
        <v>ซื้อ / ขาย</v>
      </c>
      <c r="AK207" t="str">
        <f>'mk 001 10.3'!AK208</f>
        <v>Main proudct</v>
      </c>
      <c r="AL207" t="str">
        <f>'mk 001 10.3'!AL208</f>
        <v>Bulk Normal</v>
      </c>
      <c r="AM207" t="str">
        <f>'mk 001 10.3'!AM208</f>
        <v>สุกร</v>
      </c>
      <c r="AN207" t="str">
        <f>'mk 001 10.3'!AN208</f>
        <v>OT002 CC-Makro</v>
      </c>
      <c r="AO207" t="str">
        <f>'mk 001 10.3'!AO208</f>
        <v>MT</v>
      </c>
      <c r="AP207">
        <f>'mk 001 10.3'!AP208</f>
        <v>2</v>
      </c>
      <c r="AQ207">
        <f>'mk 001 10.3'!AQ208</f>
        <v>0</v>
      </c>
      <c r="AR207">
        <f>'mk 001 10.3'!AR208</f>
        <v>0</v>
      </c>
      <c r="AS207">
        <f>'mk 001 10.3'!AS208</f>
        <v>0</v>
      </c>
      <c r="AT207" t="str">
        <f>'mk 001 10.3'!AT208</f>
        <v>เบญจพจน์ เพชรเหลี่ยม</v>
      </c>
      <c r="AU207" t="str">
        <f>'mk 001 10.3'!AU208</f>
        <v>2026-05-11-13.33.46.000000</v>
      </c>
      <c r="AV207" t="str">
        <f>'mk 001 10.3'!AV208</f>
        <v>ก.ก.</v>
      </c>
      <c r="AW207" t="str">
        <f>'mk 001 10.3'!AW208</f>
        <v>ก.ก.</v>
      </c>
      <c r="AX207" t="str">
        <f>'mk 001 10.3'!AX208</f>
        <v xml:space="preserve"> </v>
      </c>
      <c r="AY207">
        <f>'mk 001 10.3'!AY208</f>
        <v>0</v>
      </c>
      <c r="AZ207" t="str">
        <f>'mk 001 10.3'!AZ208</f>
        <v>N</v>
      </c>
      <c r="BA207" s="22">
        <f>'mk 001 10.3'!BA208</f>
        <v>9044989536467</v>
      </c>
      <c r="BB207">
        <f>'mk 001 10.3'!BB208</f>
        <v>0</v>
      </c>
      <c r="BC207">
        <f>'mk 001 10.3'!BC208</f>
        <v>0</v>
      </c>
      <c r="BD207">
        <f>'mk 001 10.3'!BD208</f>
        <v>1</v>
      </c>
      <c r="BE207">
        <f>'mk 001 10.3'!BE208</f>
        <v>0</v>
      </c>
      <c r="BF207" t="str">
        <f>'mk 001 10.3'!BF208</f>
        <v>;0000</v>
      </c>
      <c r="BG207">
        <f>'mk 001 10.3'!BG208</f>
        <v>1333314600</v>
      </c>
      <c r="BH207" t="str">
        <f>'mk 001 10.3'!BH208</f>
        <v>G</v>
      </c>
      <c r="BI207">
        <f>'mk 001 10.3'!BI208</f>
        <v>200</v>
      </c>
      <c r="BJ207">
        <f>'mk 001 10.3'!BJ208</f>
        <v>200</v>
      </c>
      <c r="BK207">
        <f>'mk 001 10.3'!BK208</f>
        <v>1300</v>
      </c>
      <c r="BL207" t="str">
        <f>'mk 001 10.3'!BL208</f>
        <v>SYSBATCH</v>
      </c>
      <c r="BM207">
        <f>'mk 001 10.3'!BM208</f>
        <v>0</v>
      </c>
      <c r="BN207">
        <f>'mk 001 10.3'!BN208</f>
        <v>0</v>
      </c>
    </row>
    <row r="208" spans="1:66" x14ac:dyDescent="0.35">
      <c r="A208">
        <f>'mk 001 10.3'!A209</f>
        <v>0</v>
      </c>
      <c r="B208">
        <f>'mk 001 10.3'!B209</f>
        <v>0</v>
      </c>
      <c r="C208" s="1" t="str">
        <f>'mk 001 10.3'!C209</f>
        <v>14/5/2569</v>
      </c>
      <c r="D208" s="1" t="str">
        <f>'mk 001 10.3'!D209</f>
        <v>14/5/2569</v>
      </c>
      <c r="E208">
        <f>'mk 001 10.3'!E209</f>
        <v>0</v>
      </c>
      <c r="F208" t="str">
        <f>'mk 001 10.3'!F209</f>
        <v>489M</v>
      </c>
      <c r="G208" t="str">
        <f>'mk 001 10.3'!G209</f>
        <v>Modern Trade (Makro)</v>
      </c>
      <c r="H208">
        <f>'mk 001 10.3'!H209</f>
        <v>0</v>
      </c>
      <c r="I208" t="str">
        <f>'mk 001 10.3'!I209</f>
        <v>หน่วยงานกลาง</v>
      </c>
      <c r="J208" t="str">
        <f>'mk 001 10.3'!J209</f>
        <v>F213  DMCW-รชล-พระพุทธบาท</v>
      </c>
      <c r="K208" t="str">
        <f>'mk 001 10.3'!K209</f>
        <v>00000  หน่วยงานกลาง</v>
      </c>
      <c r="L208">
        <f>'mk 001 10.3'!L209</f>
        <v>923</v>
      </c>
      <c r="M208">
        <f>'mk 001 10.3'!M209</f>
        <v>0</v>
      </c>
      <c r="N208" t="str">
        <f>'mk 001 10.3'!N209</f>
        <v>1A53010800</v>
      </c>
      <c r="O208" t="str">
        <f>'mk 001 10.3'!O209</f>
        <v>บมจ. ซีพี แอ็กซ์ตร้า สาขาสิงห์บุรี</v>
      </c>
      <c r="P208">
        <f>'mk 001 10.3'!P209</f>
        <v>2</v>
      </c>
      <c r="Q208" t="str">
        <f>'mk 001 10.3'!Q209</f>
        <v>MAKRO 0114 สิงห์บุรี</v>
      </c>
      <c r="R208" s="1">
        <f>'mk 001 10.3'!R209</f>
        <v>244658</v>
      </c>
      <c r="S208" s="1" t="str">
        <f>'mk 001 10.3'!S209</f>
        <v>14/5/2569</v>
      </c>
      <c r="T208" t="str">
        <f>'mk 001 10.3'!T209</f>
        <v>H6954RMA0059255</v>
      </c>
      <c r="U208">
        <f>'mk 001 10.3'!U209</f>
        <v>23105820</v>
      </c>
      <c r="V208" t="str">
        <f>'mk 001 10.3'!V209</f>
        <v>สะโพกหมูสไลซ์(M)</v>
      </c>
      <c r="W208">
        <f>'mk 001 10.3'!W209</f>
        <v>10</v>
      </c>
      <c r="X208">
        <f>'mk 001 10.3'!X209</f>
        <v>50</v>
      </c>
      <c r="Y208">
        <f t="shared" si="3"/>
        <v>10</v>
      </c>
      <c r="Z208" s="13">
        <f>IF(COUNTIFS(แปลงข้อมูล!H:H,Q208,แปลงข้อมูล!I:I,U208,แปลงข้อมูล!J:J,V208)&gt;0,SUMIFS(แปลงข้อมูล!Q:Q,แปลงข้อมูล!I:I,U208,แปลงข้อมูล!H:H,Q208,แปลงข้อมูล!J:J,V208),'mk 001 10.3'!Z209)</f>
        <v>50</v>
      </c>
      <c r="AA208">
        <f>'mk 001 10.3'!AA209</f>
        <v>0</v>
      </c>
      <c r="AB208">
        <f>'mk 001 10.3'!AB209</f>
        <v>0</v>
      </c>
      <c r="AC208">
        <f>'mk 001 10.3'!AC209</f>
        <v>0</v>
      </c>
      <c r="AD208">
        <f>'mk 001 10.3'!AD209</f>
        <v>0</v>
      </c>
      <c r="AE208">
        <f>'mk 001 10.3'!AE209</f>
        <v>10</v>
      </c>
      <c r="AF208">
        <f>'mk 001 10.3'!AF209</f>
        <v>50</v>
      </c>
      <c r="AG208">
        <f>'mk 001 10.3'!AG209</f>
        <v>0</v>
      </c>
      <c r="AH208">
        <f>'mk 001 10.3'!AH209</f>
        <v>0</v>
      </c>
      <c r="AI208" t="str">
        <f>'mk 001 10.3'!AI209</f>
        <v>OPRCD489MOPRCD00000OPRCDF213OPRCD00000OPRCD923</v>
      </c>
      <c r="AJ208" t="str">
        <f>'mk 001 10.3'!AJ209</f>
        <v>ซื้อ / ขาย</v>
      </c>
      <c r="AK208" t="str">
        <f>'mk 001 10.3'!AK209</f>
        <v>Main proudct</v>
      </c>
      <c r="AL208" t="str">
        <f>'mk 001 10.3'!AL209</f>
        <v>Bulk Normal</v>
      </c>
      <c r="AM208" t="str">
        <f>'mk 001 10.3'!AM209</f>
        <v>สุกร</v>
      </c>
      <c r="AN208" t="str">
        <f>'mk 001 10.3'!AN209</f>
        <v>OT002 CC-Makro</v>
      </c>
      <c r="AO208" t="str">
        <f>'mk 001 10.3'!AO209</f>
        <v>MT</v>
      </c>
      <c r="AP208">
        <f>'mk 001 10.3'!AP209</f>
        <v>2</v>
      </c>
      <c r="AQ208">
        <f>'mk 001 10.3'!AQ209</f>
        <v>0</v>
      </c>
      <c r="AR208">
        <f>'mk 001 10.3'!AR209</f>
        <v>0</v>
      </c>
      <c r="AS208">
        <f>'mk 001 10.3'!AS209</f>
        <v>0</v>
      </c>
      <c r="AT208" t="str">
        <f>'mk 001 10.3'!AT209</f>
        <v>เบญจพจน์ เพชรเหลี่ยม</v>
      </c>
      <c r="AU208" t="str">
        <f>'mk 001 10.3'!AU209</f>
        <v>2026-05-11-13.33.46.000000</v>
      </c>
      <c r="AV208" t="str">
        <f>'mk 001 10.3'!AV209</f>
        <v>ถุง</v>
      </c>
      <c r="AW208" t="str">
        <f>'mk 001 10.3'!AW209</f>
        <v>ก.ก.</v>
      </c>
      <c r="AX208" t="str">
        <f>'mk 001 10.3'!AX209</f>
        <v xml:space="preserve"> </v>
      </c>
      <c r="AY208">
        <f>'mk 001 10.3'!AY209</f>
        <v>0</v>
      </c>
      <c r="AZ208" t="str">
        <f>'mk 001 10.3'!AZ209</f>
        <v>N</v>
      </c>
      <c r="BA208" s="22">
        <f>'mk 001 10.3'!BA209</f>
        <v>9044989536467</v>
      </c>
      <c r="BB208">
        <f>'mk 001 10.3'!BB209</f>
        <v>0</v>
      </c>
      <c r="BC208">
        <f>'mk 001 10.3'!BC209</f>
        <v>0</v>
      </c>
      <c r="BD208">
        <f>'mk 001 10.3'!BD209</f>
        <v>1</v>
      </c>
      <c r="BE208">
        <f>'mk 001 10.3'!BE209</f>
        <v>0</v>
      </c>
      <c r="BF208" t="str">
        <f>'mk 001 10.3'!BF209</f>
        <v>;0000</v>
      </c>
      <c r="BG208">
        <f>'mk 001 10.3'!BG209</f>
        <v>1333314600</v>
      </c>
      <c r="BH208" t="str">
        <f>'mk 001 10.3'!BH209</f>
        <v>G</v>
      </c>
      <c r="BI208">
        <f>'mk 001 10.3'!BI209</f>
        <v>10</v>
      </c>
      <c r="BJ208">
        <f>'mk 001 10.3'!BJ209</f>
        <v>50</v>
      </c>
      <c r="BK208">
        <f>'mk 001 10.3'!BK209</f>
        <v>1300</v>
      </c>
      <c r="BL208" t="str">
        <f>'mk 001 10.3'!BL209</f>
        <v>SYSBATCH</v>
      </c>
      <c r="BM208">
        <f>'mk 001 10.3'!BM209</f>
        <v>0</v>
      </c>
      <c r="BN208">
        <f>'mk 001 10.3'!BN209</f>
        <v>0</v>
      </c>
    </row>
    <row r="209" spans="1:66" x14ac:dyDescent="0.35">
      <c r="A209">
        <f>'mk 001 10.3'!A210</f>
        <v>0</v>
      </c>
      <c r="B209">
        <f>'mk 001 10.3'!B210</f>
        <v>0</v>
      </c>
      <c r="C209" s="1" t="str">
        <f>'mk 001 10.3'!C210</f>
        <v>14/5/2569</v>
      </c>
      <c r="D209" s="1" t="str">
        <f>'mk 001 10.3'!D210</f>
        <v>14/5/2569</v>
      </c>
      <c r="E209">
        <f>'mk 001 10.3'!E210</f>
        <v>0</v>
      </c>
      <c r="F209" t="str">
        <f>'mk 001 10.3'!F210</f>
        <v>489M</v>
      </c>
      <c r="G209" t="str">
        <f>'mk 001 10.3'!G210</f>
        <v>Modern Trade (Makro)</v>
      </c>
      <c r="H209">
        <f>'mk 001 10.3'!H210</f>
        <v>0</v>
      </c>
      <c r="I209" t="str">
        <f>'mk 001 10.3'!I210</f>
        <v>หน่วยงานกลาง</v>
      </c>
      <c r="J209" t="str">
        <f>'mk 001 10.3'!J210</f>
        <v>F213  DMCW-รชล-พระพุทธบาท</v>
      </c>
      <c r="K209" t="str">
        <f>'mk 001 10.3'!K210</f>
        <v>00000  หน่วยงานกลาง</v>
      </c>
      <c r="L209">
        <f>'mk 001 10.3'!L210</f>
        <v>923</v>
      </c>
      <c r="M209">
        <f>'mk 001 10.3'!M210</f>
        <v>0</v>
      </c>
      <c r="N209" t="str">
        <f>'mk 001 10.3'!N210</f>
        <v>1A53010800</v>
      </c>
      <c r="O209" t="str">
        <f>'mk 001 10.3'!O210</f>
        <v>บมจ. ซีพี แอ็กซ์ตร้า สาขาสิงห์บุรี</v>
      </c>
      <c r="P209">
        <f>'mk 001 10.3'!P210</f>
        <v>2</v>
      </c>
      <c r="Q209" t="str">
        <f>'mk 001 10.3'!Q210</f>
        <v>MAKRO 0114 สิงห์บุรี</v>
      </c>
      <c r="R209" s="1">
        <f>'mk 001 10.3'!R210</f>
        <v>244658</v>
      </c>
      <c r="S209" s="1" t="str">
        <f>'mk 001 10.3'!S210</f>
        <v>14/5/2569</v>
      </c>
      <c r="T209" t="str">
        <f>'mk 001 10.3'!T210</f>
        <v>H6954RMA0059255</v>
      </c>
      <c r="U209">
        <f>'mk 001 10.3'!U210</f>
        <v>23057821</v>
      </c>
      <c r="V209" t="str">
        <f>'mk 001 10.3'!V210</f>
        <v>สันคอ(M)</v>
      </c>
      <c r="W209">
        <f>'mk 001 10.3'!W210</f>
        <v>0</v>
      </c>
      <c r="X209">
        <f>'mk 001 10.3'!X210</f>
        <v>0</v>
      </c>
      <c r="Y209">
        <f t="shared" si="3"/>
        <v>0</v>
      </c>
      <c r="Z209" s="13">
        <f>IF(COUNTIFS(แปลงข้อมูล!H:H,Q209,แปลงข้อมูล!I:I,U209,แปลงข้อมูล!J:J,V209)&gt;0,SUMIFS(แปลงข้อมูล!Q:Q,แปลงข้อมูล!I:I,U209,แปลงข้อมูล!H:H,Q209,แปลงข้อมูล!J:J,V209),'mk 001 10.3'!Z210)</f>
        <v>0</v>
      </c>
      <c r="AA209">
        <f>'mk 001 10.3'!AA210</f>
        <v>0</v>
      </c>
      <c r="AB209">
        <f>'mk 001 10.3'!AB210</f>
        <v>0</v>
      </c>
      <c r="AC209">
        <f>'mk 001 10.3'!AC210</f>
        <v>0</v>
      </c>
      <c r="AD209">
        <f>'mk 001 10.3'!AD210</f>
        <v>0</v>
      </c>
      <c r="AE209">
        <f>'mk 001 10.3'!AE210</f>
        <v>0</v>
      </c>
      <c r="AF209">
        <f>'mk 001 10.3'!AF210</f>
        <v>0</v>
      </c>
      <c r="AG209">
        <f>'mk 001 10.3'!AG210</f>
        <v>0</v>
      </c>
      <c r="AH209">
        <f>'mk 001 10.3'!AH210</f>
        <v>0</v>
      </c>
      <c r="AI209" t="str">
        <f>'mk 001 10.3'!AI210</f>
        <v>OPRCD489MOPRCD00000OPRCDF213OPRCD00000OPRCD923</v>
      </c>
      <c r="AJ209" t="str">
        <f>'mk 001 10.3'!AJ210</f>
        <v>ซื้อ / ขาย</v>
      </c>
      <c r="AK209" t="str">
        <f>'mk 001 10.3'!AK210</f>
        <v>Main proudct</v>
      </c>
      <c r="AL209" t="str">
        <f>'mk 001 10.3'!AL210</f>
        <v>Bulk Normal</v>
      </c>
      <c r="AM209" t="str">
        <f>'mk 001 10.3'!AM210</f>
        <v>สุกร</v>
      </c>
      <c r="AN209" t="str">
        <f>'mk 001 10.3'!AN210</f>
        <v>OT002 CC-Makro</v>
      </c>
      <c r="AO209" t="str">
        <f>'mk 001 10.3'!AO210</f>
        <v>MT</v>
      </c>
      <c r="AP209">
        <f>'mk 001 10.3'!AP210</f>
        <v>2</v>
      </c>
      <c r="AQ209">
        <f>'mk 001 10.3'!AQ210</f>
        <v>0</v>
      </c>
      <c r="AR209">
        <f>'mk 001 10.3'!AR210</f>
        <v>0</v>
      </c>
      <c r="AS209">
        <f>'mk 001 10.3'!AS210</f>
        <v>0</v>
      </c>
      <c r="AT209" t="str">
        <f>'mk 001 10.3'!AT210</f>
        <v>เบญจพจน์ เพชรเหลี่ยม</v>
      </c>
      <c r="AU209" t="str">
        <f>'mk 001 10.3'!AU210</f>
        <v>2026-05-11-13.33.46.000000</v>
      </c>
      <c r="AV209" t="str">
        <f>'mk 001 10.3'!AV210</f>
        <v>ก.ก.</v>
      </c>
      <c r="AW209" t="str">
        <f>'mk 001 10.3'!AW210</f>
        <v>ก.ก.</v>
      </c>
      <c r="AX209" t="str">
        <f>'mk 001 10.3'!AX210</f>
        <v xml:space="preserve"> </v>
      </c>
      <c r="AY209">
        <f>'mk 001 10.3'!AY210</f>
        <v>0</v>
      </c>
      <c r="AZ209" t="str">
        <f>'mk 001 10.3'!AZ210</f>
        <v>N</v>
      </c>
      <c r="BA209" s="22">
        <f>'mk 001 10.3'!BA210</f>
        <v>9044989536467</v>
      </c>
      <c r="BB209">
        <f>'mk 001 10.3'!BB210</f>
        <v>0</v>
      </c>
      <c r="BC209">
        <f>'mk 001 10.3'!BC210</f>
        <v>0</v>
      </c>
      <c r="BD209">
        <f>'mk 001 10.3'!BD210</f>
        <v>1</v>
      </c>
      <c r="BE209">
        <f>'mk 001 10.3'!BE210</f>
        <v>0</v>
      </c>
      <c r="BF209" t="str">
        <f>'mk 001 10.3'!BF210</f>
        <v>;0000</v>
      </c>
      <c r="BG209">
        <f>'mk 001 10.3'!BG210</f>
        <v>1333314600</v>
      </c>
      <c r="BH209" t="str">
        <f>'mk 001 10.3'!BH210</f>
        <v>G</v>
      </c>
      <c r="BI209">
        <f>'mk 001 10.3'!BI210</f>
        <v>0</v>
      </c>
      <c r="BJ209">
        <f>'mk 001 10.3'!BJ210</f>
        <v>0</v>
      </c>
      <c r="BK209">
        <f>'mk 001 10.3'!BK210</f>
        <v>1300</v>
      </c>
      <c r="BL209" t="str">
        <f>'mk 001 10.3'!BL210</f>
        <v>SYSBATCH</v>
      </c>
      <c r="BM209">
        <f>'mk 001 10.3'!BM210</f>
        <v>0</v>
      </c>
      <c r="BN209">
        <f>'mk 001 10.3'!BN210</f>
        <v>0</v>
      </c>
    </row>
    <row r="210" spans="1:66" x14ac:dyDescent="0.35">
      <c r="A210">
        <f>'mk 001 10.3'!A211</f>
        <v>0</v>
      </c>
      <c r="B210">
        <f>'mk 001 10.3'!B211</f>
        <v>0</v>
      </c>
      <c r="C210" s="1" t="str">
        <f>'mk 001 10.3'!C211</f>
        <v>14/5/2569</v>
      </c>
      <c r="D210" s="1" t="str">
        <f>'mk 001 10.3'!D211</f>
        <v>14/5/2569</v>
      </c>
      <c r="E210">
        <f>'mk 001 10.3'!E211</f>
        <v>0</v>
      </c>
      <c r="F210" t="str">
        <f>'mk 001 10.3'!F211</f>
        <v>489M</v>
      </c>
      <c r="G210" t="str">
        <f>'mk 001 10.3'!G211</f>
        <v>Modern Trade (Makro)</v>
      </c>
      <c r="H210">
        <f>'mk 001 10.3'!H211</f>
        <v>0</v>
      </c>
      <c r="I210" t="str">
        <f>'mk 001 10.3'!I211</f>
        <v>หน่วยงานกลาง</v>
      </c>
      <c r="J210" t="str">
        <f>'mk 001 10.3'!J211</f>
        <v>F213  DMCW-รชล-พระพุทธบาท</v>
      </c>
      <c r="K210" t="str">
        <f>'mk 001 10.3'!K211</f>
        <v>00000  หน่วยงานกลาง</v>
      </c>
      <c r="L210">
        <f>'mk 001 10.3'!L211</f>
        <v>923</v>
      </c>
      <c r="M210">
        <f>'mk 001 10.3'!M211</f>
        <v>0</v>
      </c>
      <c r="N210" t="str">
        <f>'mk 001 10.3'!N211</f>
        <v>1A53010800</v>
      </c>
      <c r="O210" t="str">
        <f>'mk 001 10.3'!O211</f>
        <v>บมจ. ซีพี แอ็กซ์ตร้า สาขาสิงห์บุรี</v>
      </c>
      <c r="P210">
        <f>'mk 001 10.3'!P211</f>
        <v>2</v>
      </c>
      <c r="Q210" t="str">
        <f>'mk 001 10.3'!Q211</f>
        <v>MAKRO 0114 สิงห์บุรี</v>
      </c>
      <c r="R210" s="1">
        <f>'mk 001 10.3'!R211</f>
        <v>244658</v>
      </c>
      <c r="S210" s="1" t="str">
        <f>'mk 001 10.3'!S211</f>
        <v>14/5/2569</v>
      </c>
      <c r="T210" t="str">
        <f>'mk 001 10.3'!T211</f>
        <v>H6954RMA0059255</v>
      </c>
      <c r="U210">
        <f>'mk 001 10.3'!U211</f>
        <v>23057809</v>
      </c>
      <c r="V210" t="str">
        <f>'mk 001 10.3'!V211</f>
        <v>เนื้อไหล่(M)</v>
      </c>
      <c r="W210">
        <f>'mk 001 10.3'!W211</f>
        <v>100</v>
      </c>
      <c r="X210">
        <f>'mk 001 10.3'!X211</f>
        <v>100</v>
      </c>
      <c r="Y210">
        <f t="shared" si="3"/>
        <v>100</v>
      </c>
      <c r="Z210" s="13">
        <f>IF(COUNTIFS(แปลงข้อมูล!H:H,Q210,แปลงข้อมูล!I:I,U210,แปลงข้อมูล!J:J,V210)&gt;0,SUMIFS(แปลงข้อมูล!Q:Q,แปลงข้อมูล!I:I,U210,แปลงข้อมูล!H:H,Q210,แปลงข้อมูล!J:J,V210),'mk 001 10.3'!Z211)</f>
        <v>100</v>
      </c>
      <c r="AA210">
        <f>'mk 001 10.3'!AA211</f>
        <v>0</v>
      </c>
      <c r="AB210">
        <f>'mk 001 10.3'!AB211</f>
        <v>0</v>
      </c>
      <c r="AC210">
        <f>'mk 001 10.3'!AC211</f>
        <v>0</v>
      </c>
      <c r="AD210">
        <f>'mk 001 10.3'!AD211</f>
        <v>0</v>
      </c>
      <c r="AE210">
        <f>'mk 001 10.3'!AE211</f>
        <v>100</v>
      </c>
      <c r="AF210">
        <f>'mk 001 10.3'!AF211</f>
        <v>100</v>
      </c>
      <c r="AG210">
        <f>'mk 001 10.3'!AG211</f>
        <v>0</v>
      </c>
      <c r="AH210">
        <f>'mk 001 10.3'!AH211</f>
        <v>0</v>
      </c>
      <c r="AI210" t="str">
        <f>'mk 001 10.3'!AI211</f>
        <v>OPRCD489MOPRCD00000OPRCDF213OPRCD00000OPRCD923</v>
      </c>
      <c r="AJ210" t="str">
        <f>'mk 001 10.3'!AJ211</f>
        <v>ซื้อ / ขาย</v>
      </c>
      <c r="AK210" t="str">
        <f>'mk 001 10.3'!AK211</f>
        <v>Main proudct</v>
      </c>
      <c r="AL210" t="str">
        <f>'mk 001 10.3'!AL211</f>
        <v>Bulk Normal</v>
      </c>
      <c r="AM210" t="str">
        <f>'mk 001 10.3'!AM211</f>
        <v>สุกร</v>
      </c>
      <c r="AN210" t="str">
        <f>'mk 001 10.3'!AN211</f>
        <v>OT002 CC-Makro</v>
      </c>
      <c r="AO210" t="str">
        <f>'mk 001 10.3'!AO211</f>
        <v>MT</v>
      </c>
      <c r="AP210">
        <f>'mk 001 10.3'!AP211</f>
        <v>2</v>
      </c>
      <c r="AQ210">
        <f>'mk 001 10.3'!AQ211</f>
        <v>0</v>
      </c>
      <c r="AR210">
        <f>'mk 001 10.3'!AR211</f>
        <v>0</v>
      </c>
      <c r="AS210">
        <f>'mk 001 10.3'!AS211</f>
        <v>0</v>
      </c>
      <c r="AT210" t="str">
        <f>'mk 001 10.3'!AT211</f>
        <v>เบญจพจน์ เพชรเหลี่ยม</v>
      </c>
      <c r="AU210" t="str">
        <f>'mk 001 10.3'!AU211</f>
        <v>2026-05-11-13.33.46.000000</v>
      </c>
      <c r="AV210" t="str">
        <f>'mk 001 10.3'!AV211</f>
        <v>ก.ก.</v>
      </c>
      <c r="AW210" t="str">
        <f>'mk 001 10.3'!AW211</f>
        <v>ก.ก.</v>
      </c>
      <c r="AX210" t="str">
        <f>'mk 001 10.3'!AX211</f>
        <v xml:space="preserve"> </v>
      </c>
      <c r="AY210">
        <f>'mk 001 10.3'!AY211</f>
        <v>0</v>
      </c>
      <c r="AZ210" t="str">
        <f>'mk 001 10.3'!AZ211</f>
        <v>N</v>
      </c>
      <c r="BA210" s="22">
        <f>'mk 001 10.3'!BA211</f>
        <v>9044989536467</v>
      </c>
      <c r="BB210">
        <f>'mk 001 10.3'!BB211</f>
        <v>0</v>
      </c>
      <c r="BC210">
        <f>'mk 001 10.3'!BC211</f>
        <v>0</v>
      </c>
      <c r="BD210">
        <f>'mk 001 10.3'!BD211</f>
        <v>1</v>
      </c>
      <c r="BE210">
        <f>'mk 001 10.3'!BE211</f>
        <v>0</v>
      </c>
      <c r="BF210" t="str">
        <f>'mk 001 10.3'!BF211</f>
        <v>;0000</v>
      </c>
      <c r="BG210">
        <f>'mk 001 10.3'!BG211</f>
        <v>1333314600</v>
      </c>
      <c r="BH210" t="str">
        <f>'mk 001 10.3'!BH211</f>
        <v>G</v>
      </c>
      <c r="BI210">
        <f>'mk 001 10.3'!BI211</f>
        <v>100</v>
      </c>
      <c r="BJ210">
        <f>'mk 001 10.3'!BJ211</f>
        <v>100</v>
      </c>
      <c r="BK210">
        <f>'mk 001 10.3'!BK211</f>
        <v>1300</v>
      </c>
      <c r="BL210" t="str">
        <f>'mk 001 10.3'!BL211</f>
        <v>SYSBATCH</v>
      </c>
      <c r="BM210">
        <f>'mk 001 10.3'!BM211</f>
        <v>0</v>
      </c>
      <c r="BN210">
        <f>'mk 001 10.3'!BN211</f>
        <v>0</v>
      </c>
    </row>
    <row r="211" spans="1:66" x14ac:dyDescent="0.35">
      <c r="A211">
        <f>'mk 001 10.3'!A212</f>
        <v>0</v>
      </c>
      <c r="B211">
        <f>'mk 001 10.3'!B212</f>
        <v>0</v>
      </c>
      <c r="C211" s="1" t="str">
        <f>'mk 001 10.3'!C212</f>
        <v>14/5/2569</v>
      </c>
      <c r="D211" s="1" t="str">
        <f>'mk 001 10.3'!D212</f>
        <v>14/5/2569</v>
      </c>
      <c r="E211">
        <f>'mk 001 10.3'!E212</f>
        <v>0</v>
      </c>
      <c r="F211" t="str">
        <f>'mk 001 10.3'!F212</f>
        <v>489M</v>
      </c>
      <c r="G211" t="str">
        <f>'mk 001 10.3'!G212</f>
        <v>Modern Trade (Makro)</v>
      </c>
      <c r="H211">
        <f>'mk 001 10.3'!H212</f>
        <v>0</v>
      </c>
      <c r="I211" t="str">
        <f>'mk 001 10.3'!I212</f>
        <v>หน่วยงานกลาง</v>
      </c>
      <c r="J211" t="str">
        <f>'mk 001 10.3'!J212</f>
        <v>F213  DMCW-รชล-พระพุทธบาท</v>
      </c>
      <c r="K211" t="str">
        <f>'mk 001 10.3'!K212</f>
        <v>00000  หน่วยงานกลาง</v>
      </c>
      <c r="L211">
        <f>'mk 001 10.3'!L212</f>
        <v>923</v>
      </c>
      <c r="M211">
        <f>'mk 001 10.3'!M212</f>
        <v>0</v>
      </c>
      <c r="N211" t="str">
        <f>'mk 001 10.3'!N212</f>
        <v>1A53010800</v>
      </c>
      <c r="O211" t="str">
        <f>'mk 001 10.3'!O212</f>
        <v>บมจ. ซีพี แอ็กซ์ตร้า สาขาสิงห์บุรี</v>
      </c>
      <c r="P211">
        <f>'mk 001 10.3'!P212</f>
        <v>2</v>
      </c>
      <c r="Q211" t="str">
        <f>'mk 001 10.3'!Q212</f>
        <v>MAKRO 0114 สิงห์บุรี</v>
      </c>
      <c r="R211" s="1">
        <f>'mk 001 10.3'!R212</f>
        <v>244658</v>
      </c>
      <c r="S211" s="1" t="str">
        <f>'mk 001 10.3'!S212</f>
        <v>14/5/2569</v>
      </c>
      <c r="T211" t="str">
        <f>'mk 001 10.3'!T212</f>
        <v>H6954RMA0059255</v>
      </c>
      <c r="U211">
        <f>'mk 001 10.3'!U212</f>
        <v>23058555</v>
      </c>
      <c r="V211" t="str">
        <f>'mk 001 10.3'!V212</f>
        <v>กระดูกซุป (M)</v>
      </c>
      <c r="W211">
        <f>'mk 001 10.3'!W212</f>
        <v>0</v>
      </c>
      <c r="X211">
        <f>'mk 001 10.3'!X212</f>
        <v>0</v>
      </c>
      <c r="Y211">
        <f t="shared" si="3"/>
        <v>0</v>
      </c>
      <c r="Z211" s="13">
        <f>IF(COUNTIFS(แปลงข้อมูล!H:H,Q211,แปลงข้อมูล!I:I,U211,แปลงข้อมูล!J:J,V211)&gt;0,SUMIFS(แปลงข้อมูล!Q:Q,แปลงข้อมูล!I:I,U211,แปลงข้อมูล!H:H,Q211,แปลงข้อมูล!J:J,V211),'mk 001 10.3'!Z212)</f>
        <v>0</v>
      </c>
      <c r="AA211">
        <f>'mk 001 10.3'!AA212</f>
        <v>0</v>
      </c>
      <c r="AB211">
        <f>'mk 001 10.3'!AB212</f>
        <v>0</v>
      </c>
      <c r="AC211">
        <f>'mk 001 10.3'!AC212</f>
        <v>0</v>
      </c>
      <c r="AD211">
        <f>'mk 001 10.3'!AD212</f>
        <v>0</v>
      </c>
      <c r="AE211">
        <f>'mk 001 10.3'!AE212</f>
        <v>0</v>
      </c>
      <c r="AF211">
        <f>'mk 001 10.3'!AF212</f>
        <v>0</v>
      </c>
      <c r="AG211">
        <f>'mk 001 10.3'!AG212</f>
        <v>0</v>
      </c>
      <c r="AH211">
        <f>'mk 001 10.3'!AH212</f>
        <v>0</v>
      </c>
      <c r="AI211" t="str">
        <f>'mk 001 10.3'!AI212</f>
        <v>OPRCD489MOPRCD00000OPRCDF213OPRCD00000OPRCD923</v>
      </c>
      <c r="AJ211" t="str">
        <f>'mk 001 10.3'!AJ212</f>
        <v>ซื้อ / ขาย</v>
      </c>
      <c r="AK211" t="str">
        <f>'mk 001 10.3'!AK212</f>
        <v>By proudct</v>
      </c>
      <c r="AL211" t="str">
        <f>'mk 001 10.3'!AL212</f>
        <v>Bulk Normal</v>
      </c>
      <c r="AM211" t="str">
        <f>'mk 001 10.3'!AM212</f>
        <v>สุกร</v>
      </c>
      <c r="AN211" t="str">
        <f>'mk 001 10.3'!AN212</f>
        <v>OT002 CC-Makro</v>
      </c>
      <c r="AO211" t="str">
        <f>'mk 001 10.3'!AO212</f>
        <v>MT</v>
      </c>
      <c r="AP211">
        <f>'mk 001 10.3'!AP212</f>
        <v>2</v>
      </c>
      <c r="AQ211">
        <f>'mk 001 10.3'!AQ212</f>
        <v>0</v>
      </c>
      <c r="AR211">
        <f>'mk 001 10.3'!AR212</f>
        <v>0</v>
      </c>
      <c r="AS211">
        <f>'mk 001 10.3'!AS212</f>
        <v>0</v>
      </c>
      <c r="AT211" t="str">
        <f>'mk 001 10.3'!AT212</f>
        <v>เบญจพจน์ เพชรเหลี่ยม</v>
      </c>
      <c r="AU211" t="str">
        <f>'mk 001 10.3'!AU212</f>
        <v>2026-05-11-13.33.46.000000</v>
      </c>
      <c r="AV211" t="str">
        <f>'mk 001 10.3'!AV212</f>
        <v>ก.ก.</v>
      </c>
      <c r="AW211" t="str">
        <f>'mk 001 10.3'!AW212</f>
        <v>ก.ก.</v>
      </c>
      <c r="AX211" t="str">
        <f>'mk 001 10.3'!AX212</f>
        <v xml:space="preserve"> </v>
      </c>
      <c r="AY211">
        <f>'mk 001 10.3'!AY212</f>
        <v>0</v>
      </c>
      <c r="AZ211" t="str">
        <f>'mk 001 10.3'!AZ212</f>
        <v>N</v>
      </c>
      <c r="BA211" s="22">
        <f>'mk 001 10.3'!BA212</f>
        <v>9044989536467</v>
      </c>
      <c r="BB211">
        <f>'mk 001 10.3'!BB212</f>
        <v>0</v>
      </c>
      <c r="BC211">
        <f>'mk 001 10.3'!BC212</f>
        <v>0</v>
      </c>
      <c r="BD211">
        <f>'mk 001 10.3'!BD212</f>
        <v>1</v>
      </c>
      <c r="BE211">
        <f>'mk 001 10.3'!BE212</f>
        <v>0</v>
      </c>
      <c r="BF211" t="str">
        <f>'mk 001 10.3'!BF212</f>
        <v>;0000</v>
      </c>
      <c r="BG211">
        <f>'mk 001 10.3'!BG212</f>
        <v>1333314600</v>
      </c>
      <c r="BH211" t="str">
        <f>'mk 001 10.3'!BH212</f>
        <v>G</v>
      </c>
      <c r="BI211">
        <f>'mk 001 10.3'!BI212</f>
        <v>0</v>
      </c>
      <c r="BJ211">
        <f>'mk 001 10.3'!BJ212</f>
        <v>0</v>
      </c>
      <c r="BK211">
        <f>'mk 001 10.3'!BK212</f>
        <v>1300</v>
      </c>
      <c r="BL211" t="str">
        <f>'mk 001 10.3'!BL212</f>
        <v>SYSBATCH</v>
      </c>
      <c r="BM211">
        <f>'mk 001 10.3'!BM212</f>
        <v>0</v>
      </c>
      <c r="BN211">
        <f>'mk 001 10.3'!BN212</f>
        <v>0</v>
      </c>
    </row>
    <row r="212" spans="1:66" x14ac:dyDescent="0.35">
      <c r="A212">
        <f>'mk 001 10.3'!A213</f>
        <v>0</v>
      </c>
      <c r="B212">
        <f>'mk 001 10.3'!B213</f>
        <v>0</v>
      </c>
      <c r="C212" s="1" t="str">
        <f>'mk 001 10.3'!C213</f>
        <v>14/5/2569</v>
      </c>
      <c r="D212" s="1" t="str">
        <f>'mk 001 10.3'!D213</f>
        <v>14/5/2569</v>
      </c>
      <c r="E212">
        <f>'mk 001 10.3'!E213</f>
        <v>0</v>
      </c>
      <c r="F212" t="str">
        <f>'mk 001 10.3'!F213</f>
        <v>489M</v>
      </c>
      <c r="G212" t="str">
        <f>'mk 001 10.3'!G213</f>
        <v>Modern Trade (Makro)</v>
      </c>
      <c r="H212">
        <f>'mk 001 10.3'!H213</f>
        <v>0</v>
      </c>
      <c r="I212" t="str">
        <f>'mk 001 10.3'!I213</f>
        <v>หน่วยงานกลาง</v>
      </c>
      <c r="J212" t="str">
        <f>'mk 001 10.3'!J213</f>
        <v>F213  DMCW-รชล-พระพุทธบาท</v>
      </c>
      <c r="K212" t="str">
        <f>'mk 001 10.3'!K213</f>
        <v>00000  หน่วยงานกลาง</v>
      </c>
      <c r="L212">
        <f>'mk 001 10.3'!L213</f>
        <v>923</v>
      </c>
      <c r="M212">
        <f>'mk 001 10.3'!M213</f>
        <v>0</v>
      </c>
      <c r="N212" t="str">
        <f>'mk 001 10.3'!N213</f>
        <v>1A53010800</v>
      </c>
      <c r="O212" t="str">
        <f>'mk 001 10.3'!O213</f>
        <v>บมจ. ซีพี แอ็กซ์ตร้า สาขาสิงห์บุรี</v>
      </c>
      <c r="P212">
        <f>'mk 001 10.3'!P213</f>
        <v>2</v>
      </c>
      <c r="Q212" t="str">
        <f>'mk 001 10.3'!Q213</f>
        <v>MAKRO 0114 สิงห์บุรี</v>
      </c>
      <c r="R212" s="1">
        <f>'mk 001 10.3'!R213</f>
        <v>244658</v>
      </c>
      <c r="S212" s="1" t="str">
        <f>'mk 001 10.3'!S213</f>
        <v>14/5/2569</v>
      </c>
      <c r="T212" t="str">
        <f>'mk 001 10.3'!T213</f>
        <v>H6954RMA0059255</v>
      </c>
      <c r="U212">
        <f>'mk 001 10.3'!U213</f>
        <v>23088348</v>
      </c>
      <c r="V212" t="str">
        <f>'mk 001 10.3'!V213</f>
        <v>ขาหมูเผาเลาะกระดูกหั่นชิ้นSpec-1(M)</v>
      </c>
      <c r="W212">
        <f>'mk 001 10.3'!W213</f>
        <v>50</v>
      </c>
      <c r="X212">
        <f>'mk 001 10.3'!X213</f>
        <v>50</v>
      </c>
      <c r="Y212">
        <f t="shared" si="3"/>
        <v>50</v>
      </c>
      <c r="Z212" s="13">
        <f>IF(COUNTIFS(แปลงข้อมูล!H:H,Q212,แปลงข้อมูล!I:I,U212,แปลงข้อมูล!J:J,V212)&gt;0,SUMIFS(แปลงข้อมูล!Q:Q,แปลงข้อมูล!I:I,U212,แปลงข้อมูล!H:H,Q212,แปลงข้อมูล!J:J,V212),'mk 001 10.3'!Z213)</f>
        <v>50</v>
      </c>
      <c r="AA212">
        <f>'mk 001 10.3'!AA213</f>
        <v>0</v>
      </c>
      <c r="AB212">
        <f>'mk 001 10.3'!AB213</f>
        <v>0</v>
      </c>
      <c r="AC212">
        <f>'mk 001 10.3'!AC213</f>
        <v>0</v>
      </c>
      <c r="AD212">
        <f>'mk 001 10.3'!AD213</f>
        <v>0</v>
      </c>
      <c r="AE212">
        <f>'mk 001 10.3'!AE213</f>
        <v>50</v>
      </c>
      <c r="AF212">
        <f>'mk 001 10.3'!AF213</f>
        <v>50</v>
      </c>
      <c r="AG212">
        <f>'mk 001 10.3'!AG213</f>
        <v>0</v>
      </c>
      <c r="AH212">
        <f>'mk 001 10.3'!AH213</f>
        <v>0</v>
      </c>
      <c r="AI212" t="str">
        <f>'mk 001 10.3'!AI213</f>
        <v>OPRCD489MOPRCD00000OPRCDF213OPRCD00000OPRCD923</v>
      </c>
      <c r="AJ212" t="str">
        <f>'mk 001 10.3'!AJ213</f>
        <v>ซื้อ / ขาย</v>
      </c>
      <c r="AK212" t="str">
        <f>'mk 001 10.3'!AK213</f>
        <v>By proudct</v>
      </c>
      <c r="AL212" t="str">
        <f>'mk 001 10.3'!AL213</f>
        <v>Bulk Normal</v>
      </c>
      <c r="AM212" t="str">
        <f>'mk 001 10.3'!AM213</f>
        <v>สุกร</v>
      </c>
      <c r="AN212" t="str">
        <f>'mk 001 10.3'!AN213</f>
        <v>OT002 CC-Makro</v>
      </c>
      <c r="AO212" t="str">
        <f>'mk 001 10.3'!AO213</f>
        <v>MT</v>
      </c>
      <c r="AP212">
        <f>'mk 001 10.3'!AP213</f>
        <v>2</v>
      </c>
      <c r="AQ212">
        <f>'mk 001 10.3'!AQ213</f>
        <v>0</v>
      </c>
      <c r="AR212">
        <f>'mk 001 10.3'!AR213</f>
        <v>0</v>
      </c>
      <c r="AS212">
        <f>'mk 001 10.3'!AS213</f>
        <v>0</v>
      </c>
      <c r="AT212" t="str">
        <f>'mk 001 10.3'!AT213</f>
        <v>เบญจพจน์ เพชรเหลี่ยม</v>
      </c>
      <c r="AU212" t="str">
        <f>'mk 001 10.3'!AU213</f>
        <v>2026-05-11-13.33.46.000000</v>
      </c>
      <c r="AV212" t="str">
        <f>'mk 001 10.3'!AV213</f>
        <v>ก.ก.</v>
      </c>
      <c r="AW212" t="str">
        <f>'mk 001 10.3'!AW213</f>
        <v>ก.ก.</v>
      </c>
      <c r="AX212" t="str">
        <f>'mk 001 10.3'!AX213</f>
        <v xml:space="preserve"> </v>
      </c>
      <c r="AY212">
        <f>'mk 001 10.3'!AY213</f>
        <v>0</v>
      </c>
      <c r="AZ212" t="str">
        <f>'mk 001 10.3'!AZ213</f>
        <v>N</v>
      </c>
      <c r="BA212" s="22">
        <f>'mk 001 10.3'!BA213</f>
        <v>9044989536467</v>
      </c>
      <c r="BB212">
        <f>'mk 001 10.3'!BB213</f>
        <v>0</v>
      </c>
      <c r="BC212">
        <f>'mk 001 10.3'!BC213</f>
        <v>0</v>
      </c>
      <c r="BD212">
        <f>'mk 001 10.3'!BD213</f>
        <v>1</v>
      </c>
      <c r="BE212">
        <f>'mk 001 10.3'!BE213</f>
        <v>0</v>
      </c>
      <c r="BF212" t="str">
        <f>'mk 001 10.3'!BF213</f>
        <v>;0000</v>
      </c>
      <c r="BG212">
        <f>'mk 001 10.3'!BG213</f>
        <v>1333314600</v>
      </c>
      <c r="BH212" t="str">
        <f>'mk 001 10.3'!BH213</f>
        <v>G</v>
      </c>
      <c r="BI212">
        <f>'mk 001 10.3'!BI213</f>
        <v>50</v>
      </c>
      <c r="BJ212">
        <f>'mk 001 10.3'!BJ213</f>
        <v>50</v>
      </c>
      <c r="BK212">
        <f>'mk 001 10.3'!BK213</f>
        <v>1300</v>
      </c>
      <c r="BL212" t="str">
        <f>'mk 001 10.3'!BL213</f>
        <v>SYSBATCH</v>
      </c>
      <c r="BM212">
        <f>'mk 001 10.3'!BM213</f>
        <v>0</v>
      </c>
      <c r="BN212">
        <f>'mk 001 10.3'!BN213</f>
        <v>0</v>
      </c>
    </row>
    <row r="213" spans="1:66" x14ac:dyDescent="0.35">
      <c r="A213">
        <f>'mk 001 10.3'!A214</f>
        <v>0</v>
      </c>
      <c r="B213">
        <f>'mk 001 10.3'!B214</f>
        <v>0</v>
      </c>
      <c r="C213" s="1" t="str">
        <f>'mk 001 10.3'!C214</f>
        <v>14/5/2569</v>
      </c>
      <c r="D213" s="1" t="str">
        <f>'mk 001 10.3'!D214</f>
        <v>14/5/2569</v>
      </c>
      <c r="E213">
        <f>'mk 001 10.3'!E214</f>
        <v>0</v>
      </c>
      <c r="F213" t="str">
        <f>'mk 001 10.3'!F214</f>
        <v>489M</v>
      </c>
      <c r="G213" t="str">
        <f>'mk 001 10.3'!G214</f>
        <v>Modern Trade (Makro)</v>
      </c>
      <c r="H213">
        <f>'mk 001 10.3'!H214</f>
        <v>0</v>
      </c>
      <c r="I213" t="str">
        <f>'mk 001 10.3'!I214</f>
        <v>หน่วยงานกลาง</v>
      </c>
      <c r="J213" t="str">
        <f>'mk 001 10.3'!J214</f>
        <v>F213  DMCW-รชล-พระพุทธบาท</v>
      </c>
      <c r="K213" t="str">
        <f>'mk 001 10.3'!K214</f>
        <v>00000  หน่วยงานกลาง</v>
      </c>
      <c r="L213">
        <f>'mk 001 10.3'!L214</f>
        <v>923</v>
      </c>
      <c r="M213">
        <f>'mk 001 10.3'!M214</f>
        <v>0</v>
      </c>
      <c r="N213" t="str">
        <f>'mk 001 10.3'!N214</f>
        <v>1A53010800</v>
      </c>
      <c r="O213" t="str">
        <f>'mk 001 10.3'!O214</f>
        <v>บมจ. ซีพี แอ็กซ์ตร้า สาขาสิงห์บุรี</v>
      </c>
      <c r="P213">
        <f>'mk 001 10.3'!P214</f>
        <v>2</v>
      </c>
      <c r="Q213" t="str">
        <f>'mk 001 10.3'!Q214</f>
        <v>MAKRO 0114 สิงห์บุรี</v>
      </c>
      <c r="R213" s="1">
        <f>'mk 001 10.3'!R214</f>
        <v>244658</v>
      </c>
      <c r="S213" s="1" t="str">
        <f>'mk 001 10.3'!S214</f>
        <v>14/5/2569</v>
      </c>
      <c r="T213" t="str">
        <f>'mk 001 10.3'!T214</f>
        <v>H6954RMA0059255</v>
      </c>
      <c r="U213">
        <f>'mk 001 10.3'!U214</f>
        <v>23088112</v>
      </c>
      <c r="V213" t="str">
        <f>'mk 001 10.3'!V214</f>
        <v>เครื่องในหมูรวมหั่นชิ้น (M)</v>
      </c>
      <c r="W213">
        <f>'mk 001 10.3'!W214</f>
        <v>5</v>
      </c>
      <c r="X213">
        <f>'mk 001 10.3'!X214</f>
        <v>5</v>
      </c>
      <c r="Y213">
        <f t="shared" si="3"/>
        <v>5</v>
      </c>
      <c r="Z213" s="13">
        <f>IF(COUNTIFS(แปลงข้อมูล!H:H,Q213,แปลงข้อมูล!I:I,U213,แปลงข้อมูล!J:J,V213)&gt;0,SUMIFS(แปลงข้อมูล!Q:Q,แปลงข้อมูล!I:I,U213,แปลงข้อมูล!H:H,Q213,แปลงข้อมูล!J:J,V213),'mk 001 10.3'!Z214)</f>
        <v>5</v>
      </c>
      <c r="AA213">
        <f>'mk 001 10.3'!AA214</f>
        <v>0</v>
      </c>
      <c r="AB213">
        <f>'mk 001 10.3'!AB214</f>
        <v>0</v>
      </c>
      <c r="AC213">
        <f>'mk 001 10.3'!AC214</f>
        <v>0</v>
      </c>
      <c r="AD213">
        <f>'mk 001 10.3'!AD214</f>
        <v>0</v>
      </c>
      <c r="AE213">
        <f>'mk 001 10.3'!AE214</f>
        <v>5</v>
      </c>
      <c r="AF213">
        <f>'mk 001 10.3'!AF214</f>
        <v>5</v>
      </c>
      <c r="AG213">
        <f>'mk 001 10.3'!AG214</f>
        <v>0</v>
      </c>
      <c r="AH213">
        <f>'mk 001 10.3'!AH214</f>
        <v>0</v>
      </c>
      <c r="AI213" t="str">
        <f>'mk 001 10.3'!AI214</f>
        <v>OPRCD489MOPRCD00000OPRCDF213OPRCD00000OPRCD923</v>
      </c>
      <c r="AJ213" t="str">
        <f>'mk 001 10.3'!AJ214</f>
        <v>ซื้อ / ขาย</v>
      </c>
      <c r="AK213" t="str">
        <f>'mk 001 10.3'!AK214</f>
        <v>By proudct</v>
      </c>
      <c r="AL213" t="str">
        <f>'mk 001 10.3'!AL214</f>
        <v>Bulk Normal</v>
      </c>
      <c r="AM213" t="str">
        <f>'mk 001 10.3'!AM214</f>
        <v>สุกร</v>
      </c>
      <c r="AN213" t="str">
        <f>'mk 001 10.3'!AN214</f>
        <v>OT002 CC-Makro</v>
      </c>
      <c r="AO213" t="str">
        <f>'mk 001 10.3'!AO214</f>
        <v>MT</v>
      </c>
      <c r="AP213">
        <f>'mk 001 10.3'!AP214</f>
        <v>2</v>
      </c>
      <c r="AQ213">
        <f>'mk 001 10.3'!AQ214</f>
        <v>0</v>
      </c>
      <c r="AR213">
        <f>'mk 001 10.3'!AR214</f>
        <v>0</v>
      </c>
      <c r="AS213">
        <f>'mk 001 10.3'!AS214</f>
        <v>0</v>
      </c>
      <c r="AT213" t="str">
        <f>'mk 001 10.3'!AT214</f>
        <v>เบญจพจน์ เพชรเหลี่ยม</v>
      </c>
      <c r="AU213" t="str">
        <f>'mk 001 10.3'!AU214</f>
        <v>2026-05-11-13.33.46.000000</v>
      </c>
      <c r="AV213" t="str">
        <f>'mk 001 10.3'!AV214</f>
        <v>ก.ก.</v>
      </c>
      <c r="AW213" t="str">
        <f>'mk 001 10.3'!AW214</f>
        <v>ก.ก.</v>
      </c>
      <c r="AX213" t="str">
        <f>'mk 001 10.3'!AX214</f>
        <v xml:space="preserve"> </v>
      </c>
      <c r="AY213">
        <f>'mk 001 10.3'!AY214</f>
        <v>0</v>
      </c>
      <c r="AZ213" t="str">
        <f>'mk 001 10.3'!AZ214</f>
        <v>N</v>
      </c>
      <c r="BA213" s="22">
        <f>'mk 001 10.3'!BA214</f>
        <v>9044989536467</v>
      </c>
      <c r="BB213">
        <f>'mk 001 10.3'!BB214</f>
        <v>0</v>
      </c>
      <c r="BC213">
        <f>'mk 001 10.3'!BC214</f>
        <v>0</v>
      </c>
      <c r="BD213">
        <f>'mk 001 10.3'!BD214</f>
        <v>1</v>
      </c>
      <c r="BE213">
        <f>'mk 001 10.3'!BE214</f>
        <v>0</v>
      </c>
      <c r="BF213" t="str">
        <f>'mk 001 10.3'!BF214</f>
        <v>;0000</v>
      </c>
      <c r="BG213">
        <f>'mk 001 10.3'!BG214</f>
        <v>1333314600</v>
      </c>
      <c r="BH213" t="str">
        <f>'mk 001 10.3'!BH214</f>
        <v>G</v>
      </c>
      <c r="BI213">
        <f>'mk 001 10.3'!BI214</f>
        <v>5</v>
      </c>
      <c r="BJ213">
        <f>'mk 001 10.3'!BJ214</f>
        <v>5</v>
      </c>
      <c r="BK213">
        <f>'mk 001 10.3'!BK214</f>
        <v>1300</v>
      </c>
      <c r="BL213" t="str">
        <f>'mk 001 10.3'!BL214</f>
        <v>SYSBATCH</v>
      </c>
      <c r="BM213">
        <f>'mk 001 10.3'!BM214</f>
        <v>0</v>
      </c>
      <c r="BN213">
        <f>'mk 001 10.3'!BN214</f>
        <v>0</v>
      </c>
    </row>
    <row r="214" spans="1:66" x14ac:dyDescent="0.35">
      <c r="A214">
        <f>'mk 001 10.3'!A215</f>
        <v>0</v>
      </c>
      <c r="B214">
        <f>'mk 001 10.3'!B215</f>
        <v>0</v>
      </c>
      <c r="C214" s="1" t="str">
        <f>'mk 001 10.3'!C215</f>
        <v>14/5/2569</v>
      </c>
      <c r="D214" s="1" t="str">
        <f>'mk 001 10.3'!D215</f>
        <v>14/5/2569</v>
      </c>
      <c r="E214">
        <f>'mk 001 10.3'!E215</f>
        <v>0</v>
      </c>
      <c r="F214" t="str">
        <f>'mk 001 10.3'!F215</f>
        <v>489M</v>
      </c>
      <c r="G214" t="str">
        <f>'mk 001 10.3'!G215</f>
        <v>Modern Trade (Makro)</v>
      </c>
      <c r="H214">
        <f>'mk 001 10.3'!H215</f>
        <v>0</v>
      </c>
      <c r="I214" t="str">
        <f>'mk 001 10.3'!I215</f>
        <v>หน่วยงานกลาง</v>
      </c>
      <c r="J214" t="str">
        <f>'mk 001 10.3'!J215</f>
        <v>F213  DMCW-รชล-พระพุทธบาท</v>
      </c>
      <c r="K214" t="str">
        <f>'mk 001 10.3'!K215</f>
        <v>00000  หน่วยงานกลาง</v>
      </c>
      <c r="L214">
        <f>'mk 001 10.3'!L215</f>
        <v>923</v>
      </c>
      <c r="M214">
        <f>'mk 001 10.3'!M215</f>
        <v>0</v>
      </c>
      <c r="N214" t="str">
        <f>'mk 001 10.3'!N215</f>
        <v>1A53010800</v>
      </c>
      <c r="O214" t="str">
        <f>'mk 001 10.3'!O215</f>
        <v>บมจ. ซีพี แอ็กซ์ตร้า สาขาสิงห์บุรี</v>
      </c>
      <c r="P214">
        <f>'mk 001 10.3'!P215</f>
        <v>2</v>
      </c>
      <c r="Q214" t="str">
        <f>'mk 001 10.3'!Q215</f>
        <v>MAKRO 0114 สิงห์บุรี</v>
      </c>
      <c r="R214" s="1">
        <f>'mk 001 10.3'!R215</f>
        <v>244658</v>
      </c>
      <c r="S214" s="1" t="str">
        <f>'mk 001 10.3'!S215</f>
        <v>14/5/2569</v>
      </c>
      <c r="T214" t="str">
        <f>'mk 001 10.3'!T215</f>
        <v>H6954RMA0059255</v>
      </c>
      <c r="U214">
        <f>'mk 001 10.3'!U215</f>
        <v>23058551</v>
      </c>
      <c r="V214" t="str">
        <f>'mk 001 10.3'!V215</f>
        <v>คอหมูย่าง (M)</v>
      </c>
      <c r="W214">
        <f>'mk 001 10.3'!W215</f>
        <v>20</v>
      </c>
      <c r="X214">
        <f>'mk 001 10.3'!X215</f>
        <v>20</v>
      </c>
      <c r="Y214">
        <f t="shared" si="3"/>
        <v>20</v>
      </c>
      <c r="Z214" s="13">
        <f>IF(COUNTIFS(แปลงข้อมูล!H:H,Q214,แปลงข้อมูล!I:I,U214,แปลงข้อมูล!J:J,V214)&gt;0,SUMIFS(แปลงข้อมูล!Q:Q,แปลงข้อมูล!I:I,U214,แปลงข้อมูล!H:H,Q214,แปลงข้อมูล!J:J,V214),'mk 001 10.3'!Z215)</f>
        <v>20</v>
      </c>
      <c r="AA214">
        <f>'mk 001 10.3'!AA215</f>
        <v>0</v>
      </c>
      <c r="AB214">
        <f>'mk 001 10.3'!AB215</f>
        <v>0</v>
      </c>
      <c r="AC214">
        <f>'mk 001 10.3'!AC215</f>
        <v>0</v>
      </c>
      <c r="AD214">
        <f>'mk 001 10.3'!AD215</f>
        <v>0</v>
      </c>
      <c r="AE214">
        <f>'mk 001 10.3'!AE215</f>
        <v>20</v>
      </c>
      <c r="AF214">
        <f>'mk 001 10.3'!AF215</f>
        <v>20</v>
      </c>
      <c r="AG214">
        <f>'mk 001 10.3'!AG215</f>
        <v>0</v>
      </c>
      <c r="AH214">
        <f>'mk 001 10.3'!AH215</f>
        <v>0</v>
      </c>
      <c r="AI214" t="str">
        <f>'mk 001 10.3'!AI215</f>
        <v>OPRCD489MOPRCD00000OPRCDF213OPRCD00000OPRCD923</v>
      </c>
      <c r="AJ214" t="str">
        <f>'mk 001 10.3'!AJ215</f>
        <v>ซื้อ / ขาย</v>
      </c>
      <c r="AK214" t="str">
        <f>'mk 001 10.3'!AK215</f>
        <v>Main proudct</v>
      </c>
      <c r="AL214" t="str">
        <f>'mk 001 10.3'!AL215</f>
        <v>Bulk Normal</v>
      </c>
      <c r="AM214" t="str">
        <f>'mk 001 10.3'!AM215</f>
        <v>สุกร</v>
      </c>
      <c r="AN214" t="str">
        <f>'mk 001 10.3'!AN215</f>
        <v>OT002 CC-Makro</v>
      </c>
      <c r="AO214" t="str">
        <f>'mk 001 10.3'!AO215</f>
        <v>MT</v>
      </c>
      <c r="AP214">
        <f>'mk 001 10.3'!AP215</f>
        <v>2</v>
      </c>
      <c r="AQ214">
        <f>'mk 001 10.3'!AQ215</f>
        <v>0</v>
      </c>
      <c r="AR214">
        <f>'mk 001 10.3'!AR215</f>
        <v>0</v>
      </c>
      <c r="AS214">
        <f>'mk 001 10.3'!AS215</f>
        <v>0</v>
      </c>
      <c r="AT214" t="str">
        <f>'mk 001 10.3'!AT215</f>
        <v>เบญจพจน์ เพชรเหลี่ยม</v>
      </c>
      <c r="AU214" t="str">
        <f>'mk 001 10.3'!AU215</f>
        <v>2026-05-11-13.33.46.000000</v>
      </c>
      <c r="AV214" t="str">
        <f>'mk 001 10.3'!AV215</f>
        <v>ก.ก.</v>
      </c>
      <c r="AW214" t="str">
        <f>'mk 001 10.3'!AW215</f>
        <v>ก.ก.</v>
      </c>
      <c r="AX214" t="str">
        <f>'mk 001 10.3'!AX215</f>
        <v xml:space="preserve"> </v>
      </c>
      <c r="AY214">
        <f>'mk 001 10.3'!AY215</f>
        <v>0</v>
      </c>
      <c r="AZ214" t="str">
        <f>'mk 001 10.3'!AZ215</f>
        <v>N</v>
      </c>
      <c r="BA214" s="22">
        <f>'mk 001 10.3'!BA215</f>
        <v>9044989536467</v>
      </c>
      <c r="BB214">
        <f>'mk 001 10.3'!BB215</f>
        <v>0</v>
      </c>
      <c r="BC214">
        <f>'mk 001 10.3'!BC215</f>
        <v>0</v>
      </c>
      <c r="BD214">
        <f>'mk 001 10.3'!BD215</f>
        <v>1</v>
      </c>
      <c r="BE214">
        <f>'mk 001 10.3'!BE215</f>
        <v>0</v>
      </c>
      <c r="BF214" t="str">
        <f>'mk 001 10.3'!BF215</f>
        <v>;0000</v>
      </c>
      <c r="BG214">
        <f>'mk 001 10.3'!BG215</f>
        <v>1333314600</v>
      </c>
      <c r="BH214" t="str">
        <f>'mk 001 10.3'!BH215</f>
        <v>G</v>
      </c>
      <c r="BI214">
        <f>'mk 001 10.3'!BI215</f>
        <v>20</v>
      </c>
      <c r="BJ214">
        <f>'mk 001 10.3'!BJ215</f>
        <v>20</v>
      </c>
      <c r="BK214">
        <f>'mk 001 10.3'!BK215</f>
        <v>1300</v>
      </c>
      <c r="BL214" t="str">
        <f>'mk 001 10.3'!BL215</f>
        <v>SYSBATCH</v>
      </c>
      <c r="BM214">
        <f>'mk 001 10.3'!BM215</f>
        <v>0</v>
      </c>
      <c r="BN214">
        <f>'mk 001 10.3'!BN215</f>
        <v>0</v>
      </c>
    </row>
    <row r="215" spans="1:66" x14ac:dyDescent="0.35">
      <c r="A215">
        <f>'mk 001 10.3'!A216</f>
        <v>0</v>
      </c>
      <c r="B215">
        <f>'mk 001 10.3'!B216</f>
        <v>0</v>
      </c>
      <c r="C215" s="1" t="str">
        <f>'mk 001 10.3'!C216</f>
        <v>14/5/2569</v>
      </c>
      <c r="D215" s="1" t="str">
        <f>'mk 001 10.3'!D216</f>
        <v>14/5/2569</v>
      </c>
      <c r="E215">
        <f>'mk 001 10.3'!E216</f>
        <v>0</v>
      </c>
      <c r="F215" t="str">
        <f>'mk 001 10.3'!F216</f>
        <v>489M</v>
      </c>
      <c r="G215" t="str">
        <f>'mk 001 10.3'!G216</f>
        <v>Modern Trade (Makro)</v>
      </c>
      <c r="H215">
        <f>'mk 001 10.3'!H216</f>
        <v>0</v>
      </c>
      <c r="I215" t="str">
        <f>'mk 001 10.3'!I216</f>
        <v>หน่วยงานกลาง</v>
      </c>
      <c r="J215" t="str">
        <f>'mk 001 10.3'!J216</f>
        <v>F213  DMCW-รชล-พระพุทธบาท</v>
      </c>
      <c r="K215" t="str">
        <f>'mk 001 10.3'!K216</f>
        <v>00000  หน่วยงานกลาง</v>
      </c>
      <c r="L215">
        <f>'mk 001 10.3'!L216</f>
        <v>923</v>
      </c>
      <c r="M215">
        <f>'mk 001 10.3'!M216</f>
        <v>0</v>
      </c>
      <c r="N215" t="str">
        <f>'mk 001 10.3'!N216</f>
        <v>1A53010800</v>
      </c>
      <c r="O215" t="str">
        <f>'mk 001 10.3'!O216</f>
        <v>บมจ. ซีพี แอ็กซ์ตร้า สาขาสิงห์บุรี</v>
      </c>
      <c r="P215">
        <f>'mk 001 10.3'!P216</f>
        <v>2</v>
      </c>
      <c r="Q215" t="str">
        <f>'mk 001 10.3'!Q216</f>
        <v>MAKRO 0114 สิงห์บุรี</v>
      </c>
      <c r="R215" s="1">
        <f>'mk 001 10.3'!R216</f>
        <v>244658</v>
      </c>
      <c r="S215" s="1" t="str">
        <f>'mk 001 10.3'!S216</f>
        <v>14/5/2569</v>
      </c>
      <c r="T215" t="str">
        <f>'mk 001 10.3'!T216</f>
        <v>H6954RMA0059255</v>
      </c>
      <c r="U215">
        <f>'mk 001 10.3'!U216</f>
        <v>23098995</v>
      </c>
      <c r="V215" t="str">
        <f>'mk 001 10.3'!V216</f>
        <v>มันหั่นเต๋า กก ละ</v>
      </c>
      <c r="W215">
        <f>'mk 001 10.3'!W216</f>
        <v>0</v>
      </c>
      <c r="X215">
        <f>'mk 001 10.3'!X216</f>
        <v>0</v>
      </c>
      <c r="Y215">
        <f t="shared" si="3"/>
        <v>0</v>
      </c>
      <c r="Z215" s="13">
        <f>IF(COUNTIFS(แปลงข้อมูล!H:H,Q215,แปลงข้อมูล!I:I,U215,แปลงข้อมูล!J:J,V215)&gt;0,SUMIFS(แปลงข้อมูล!Q:Q,แปลงข้อมูล!I:I,U215,แปลงข้อมูล!H:H,Q215,แปลงข้อมูล!J:J,V215),'mk 001 10.3'!Z216)</f>
        <v>0</v>
      </c>
      <c r="AA215">
        <f>'mk 001 10.3'!AA216</f>
        <v>0</v>
      </c>
      <c r="AB215">
        <f>'mk 001 10.3'!AB216</f>
        <v>0</v>
      </c>
      <c r="AC215">
        <f>'mk 001 10.3'!AC216</f>
        <v>0</v>
      </c>
      <c r="AD215">
        <f>'mk 001 10.3'!AD216</f>
        <v>0</v>
      </c>
      <c r="AE215">
        <f>'mk 001 10.3'!AE216</f>
        <v>0</v>
      </c>
      <c r="AF215">
        <f>'mk 001 10.3'!AF216</f>
        <v>0</v>
      </c>
      <c r="AG215">
        <f>'mk 001 10.3'!AG216</f>
        <v>0</v>
      </c>
      <c r="AH215">
        <f>'mk 001 10.3'!AH216</f>
        <v>0</v>
      </c>
      <c r="AI215" t="str">
        <f>'mk 001 10.3'!AI216</f>
        <v>OPRCD489MOPRCD00000OPRCDF213OPRCD00000OPRCD923</v>
      </c>
      <c r="AJ215" t="str">
        <f>'mk 001 10.3'!AJ216</f>
        <v>ซื้อ / ขาย</v>
      </c>
      <c r="AK215" t="str">
        <f>'mk 001 10.3'!AK216</f>
        <v>By proudct</v>
      </c>
      <c r="AL215" t="str">
        <f>'mk 001 10.3'!AL216</f>
        <v>Bulk Normal</v>
      </c>
      <c r="AM215" t="str">
        <f>'mk 001 10.3'!AM216</f>
        <v>สุกร</v>
      </c>
      <c r="AN215" t="str">
        <f>'mk 001 10.3'!AN216</f>
        <v>OT002 CC-Makro</v>
      </c>
      <c r="AO215" t="str">
        <f>'mk 001 10.3'!AO216</f>
        <v>MT</v>
      </c>
      <c r="AP215">
        <f>'mk 001 10.3'!AP216</f>
        <v>2</v>
      </c>
      <c r="AQ215">
        <f>'mk 001 10.3'!AQ216</f>
        <v>0</v>
      </c>
      <c r="AR215">
        <f>'mk 001 10.3'!AR216</f>
        <v>0</v>
      </c>
      <c r="AS215">
        <f>'mk 001 10.3'!AS216</f>
        <v>0</v>
      </c>
      <c r="AT215" t="str">
        <f>'mk 001 10.3'!AT216</f>
        <v>เบญจพจน์ เพชรเหลี่ยม</v>
      </c>
      <c r="AU215" t="str">
        <f>'mk 001 10.3'!AU216</f>
        <v>2026-05-11-13.33.46.000000</v>
      </c>
      <c r="AV215" t="str">
        <f>'mk 001 10.3'!AV216</f>
        <v>ก.ก.</v>
      </c>
      <c r="AW215" t="str">
        <f>'mk 001 10.3'!AW216</f>
        <v>ก.ก.</v>
      </c>
      <c r="AX215" t="str">
        <f>'mk 001 10.3'!AX216</f>
        <v xml:space="preserve"> </v>
      </c>
      <c r="AY215">
        <f>'mk 001 10.3'!AY216</f>
        <v>0</v>
      </c>
      <c r="AZ215" t="str">
        <f>'mk 001 10.3'!AZ216</f>
        <v>N</v>
      </c>
      <c r="BA215" s="22">
        <f>'mk 001 10.3'!BA216</f>
        <v>9044989536467</v>
      </c>
      <c r="BB215">
        <f>'mk 001 10.3'!BB216</f>
        <v>0</v>
      </c>
      <c r="BC215">
        <f>'mk 001 10.3'!BC216</f>
        <v>0</v>
      </c>
      <c r="BD215">
        <f>'mk 001 10.3'!BD216</f>
        <v>1</v>
      </c>
      <c r="BE215">
        <f>'mk 001 10.3'!BE216</f>
        <v>0</v>
      </c>
      <c r="BF215" t="str">
        <f>'mk 001 10.3'!BF216</f>
        <v>;0000</v>
      </c>
      <c r="BG215">
        <f>'mk 001 10.3'!BG216</f>
        <v>1333314600</v>
      </c>
      <c r="BH215" t="str">
        <f>'mk 001 10.3'!BH216</f>
        <v>G</v>
      </c>
      <c r="BI215">
        <f>'mk 001 10.3'!BI216</f>
        <v>0</v>
      </c>
      <c r="BJ215">
        <f>'mk 001 10.3'!BJ216</f>
        <v>0</v>
      </c>
      <c r="BK215">
        <f>'mk 001 10.3'!BK216</f>
        <v>1300</v>
      </c>
      <c r="BL215" t="str">
        <f>'mk 001 10.3'!BL216</f>
        <v>SYSBATCH</v>
      </c>
      <c r="BM215">
        <f>'mk 001 10.3'!BM216</f>
        <v>0</v>
      </c>
      <c r="BN215">
        <f>'mk 001 10.3'!BN216</f>
        <v>0</v>
      </c>
    </row>
    <row r="216" spans="1:66" x14ac:dyDescent="0.35">
      <c r="A216">
        <f>'mk 001 10.3'!A217</f>
        <v>0</v>
      </c>
      <c r="B216">
        <f>'mk 001 10.3'!B217</f>
        <v>0</v>
      </c>
      <c r="C216" s="1" t="str">
        <f>'mk 001 10.3'!C217</f>
        <v>14/5/2569</v>
      </c>
      <c r="D216" s="1" t="str">
        <f>'mk 001 10.3'!D217</f>
        <v>14/5/2569</v>
      </c>
      <c r="E216">
        <f>'mk 001 10.3'!E217</f>
        <v>0</v>
      </c>
      <c r="F216" t="str">
        <f>'mk 001 10.3'!F217</f>
        <v>489M</v>
      </c>
      <c r="G216" t="str">
        <f>'mk 001 10.3'!G217</f>
        <v>Modern Trade (Makro)</v>
      </c>
      <c r="H216">
        <f>'mk 001 10.3'!H217</f>
        <v>0</v>
      </c>
      <c r="I216" t="str">
        <f>'mk 001 10.3'!I217</f>
        <v>หน่วยงานกลาง</v>
      </c>
      <c r="J216" t="str">
        <f>'mk 001 10.3'!J217</f>
        <v>F213  DMCW-รชล-พระพุทธบาท</v>
      </c>
      <c r="K216" t="str">
        <f>'mk 001 10.3'!K217</f>
        <v>00000  หน่วยงานกลาง</v>
      </c>
      <c r="L216">
        <f>'mk 001 10.3'!L217</f>
        <v>923</v>
      </c>
      <c r="M216">
        <f>'mk 001 10.3'!M217</f>
        <v>0</v>
      </c>
      <c r="N216" t="str">
        <f>'mk 001 10.3'!N217</f>
        <v>1A53010800</v>
      </c>
      <c r="O216" t="str">
        <f>'mk 001 10.3'!O217</f>
        <v>บมจ. ซีพี แอ็กซ์ตร้า สาขาสิงห์บุรี</v>
      </c>
      <c r="P216">
        <f>'mk 001 10.3'!P217</f>
        <v>2</v>
      </c>
      <c r="Q216" t="str">
        <f>'mk 001 10.3'!Q217</f>
        <v>MAKRO 0114 สิงห์บุรี</v>
      </c>
      <c r="R216" s="1">
        <f>'mk 001 10.3'!R217</f>
        <v>244658</v>
      </c>
      <c r="S216" s="1" t="str">
        <f>'mk 001 10.3'!S217</f>
        <v>14/5/2569</v>
      </c>
      <c r="T216" t="str">
        <f>'mk 001 10.3'!T217</f>
        <v>H6954RMA0059255</v>
      </c>
      <c r="U216">
        <f>'mk 001 10.3'!U217</f>
        <v>23105753</v>
      </c>
      <c r="V216" t="str">
        <f>'mk 001 10.3'!V217</f>
        <v>เซพแพ็ค สะโพกหมู กก.ละ</v>
      </c>
      <c r="W216">
        <f>'mk 001 10.3'!W217</f>
        <v>30</v>
      </c>
      <c r="X216">
        <f>'mk 001 10.3'!X217</f>
        <v>30</v>
      </c>
      <c r="Y216">
        <f t="shared" si="3"/>
        <v>30</v>
      </c>
      <c r="Z216" s="13">
        <f>IF(COUNTIFS(แปลงข้อมูล!H:H,Q216,แปลงข้อมูล!I:I,U216,แปลงข้อมูล!J:J,V216)&gt;0,SUMIFS(แปลงข้อมูล!Q:Q,แปลงข้อมูล!I:I,U216,แปลงข้อมูล!H:H,Q216,แปลงข้อมูล!J:J,V216),'mk 001 10.3'!Z217)</f>
        <v>30</v>
      </c>
      <c r="AA216">
        <f>'mk 001 10.3'!AA217</f>
        <v>0</v>
      </c>
      <c r="AB216">
        <f>'mk 001 10.3'!AB217</f>
        <v>0</v>
      </c>
      <c r="AC216">
        <f>'mk 001 10.3'!AC217</f>
        <v>0</v>
      </c>
      <c r="AD216">
        <f>'mk 001 10.3'!AD217</f>
        <v>0</v>
      </c>
      <c r="AE216">
        <f>'mk 001 10.3'!AE217</f>
        <v>30</v>
      </c>
      <c r="AF216">
        <f>'mk 001 10.3'!AF217</f>
        <v>30</v>
      </c>
      <c r="AG216">
        <f>'mk 001 10.3'!AG217</f>
        <v>0</v>
      </c>
      <c r="AH216">
        <f>'mk 001 10.3'!AH217</f>
        <v>0</v>
      </c>
      <c r="AI216" t="str">
        <f>'mk 001 10.3'!AI217</f>
        <v>OPRCD489MOPRCD00000OPRCDF213OPRCD00000OPRCD923</v>
      </c>
      <c r="AJ216" t="str">
        <f>'mk 001 10.3'!AJ217</f>
        <v>ซื้อ / ขาย</v>
      </c>
      <c r="AK216" t="str">
        <f>'mk 001 10.3'!AK217</f>
        <v>Main proudct</v>
      </c>
      <c r="AL216" t="str">
        <f>'mk 001 10.3'!AL217</f>
        <v>Bulk Normal</v>
      </c>
      <c r="AM216" t="str">
        <f>'mk 001 10.3'!AM217</f>
        <v>สุกร</v>
      </c>
      <c r="AN216" t="str">
        <f>'mk 001 10.3'!AN217</f>
        <v>OT002 CC-Makro</v>
      </c>
      <c r="AO216" t="str">
        <f>'mk 001 10.3'!AO217</f>
        <v>MT</v>
      </c>
      <c r="AP216">
        <f>'mk 001 10.3'!AP217</f>
        <v>2</v>
      </c>
      <c r="AQ216">
        <f>'mk 001 10.3'!AQ217</f>
        <v>0</v>
      </c>
      <c r="AR216">
        <f>'mk 001 10.3'!AR217</f>
        <v>0</v>
      </c>
      <c r="AS216">
        <f>'mk 001 10.3'!AS217</f>
        <v>0</v>
      </c>
      <c r="AT216" t="str">
        <f>'mk 001 10.3'!AT217</f>
        <v>เบญจพจน์ เพชรเหลี่ยม</v>
      </c>
      <c r="AU216" t="str">
        <f>'mk 001 10.3'!AU217</f>
        <v>2026-05-11-13.33.46.000000</v>
      </c>
      <c r="AV216" t="str">
        <f>'mk 001 10.3'!AV217</f>
        <v>ก.ก.</v>
      </c>
      <c r="AW216" t="str">
        <f>'mk 001 10.3'!AW217</f>
        <v>ก.ก.</v>
      </c>
      <c r="AX216" t="str">
        <f>'mk 001 10.3'!AX217</f>
        <v xml:space="preserve"> </v>
      </c>
      <c r="AY216">
        <f>'mk 001 10.3'!AY217</f>
        <v>0</v>
      </c>
      <c r="AZ216" t="str">
        <f>'mk 001 10.3'!AZ217</f>
        <v>N</v>
      </c>
      <c r="BA216" s="22">
        <f>'mk 001 10.3'!BA217</f>
        <v>9044989536467</v>
      </c>
      <c r="BB216">
        <f>'mk 001 10.3'!BB217</f>
        <v>0</v>
      </c>
      <c r="BC216">
        <f>'mk 001 10.3'!BC217</f>
        <v>0</v>
      </c>
      <c r="BD216">
        <f>'mk 001 10.3'!BD217</f>
        <v>1</v>
      </c>
      <c r="BE216">
        <f>'mk 001 10.3'!BE217</f>
        <v>0</v>
      </c>
      <c r="BF216" t="str">
        <f>'mk 001 10.3'!BF217</f>
        <v>;0000</v>
      </c>
      <c r="BG216">
        <f>'mk 001 10.3'!BG217</f>
        <v>1333314600</v>
      </c>
      <c r="BH216" t="str">
        <f>'mk 001 10.3'!BH217</f>
        <v>G</v>
      </c>
      <c r="BI216">
        <f>'mk 001 10.3'!BI217</f>
        <v>30</v>
      </c>
      <c r="BJ216">
        <f>'mk 001 10.3'!BJ217</f>
        <v>30</v>
      </c>
      <c r="BK216">
        <f>'mk 001 10.3'!BK217</f>
        <v>1300</v>
      </c>
      <c r="BL216" t="str">
        <f>'mk 001 10.3'!BL217</f>
        <v>SYSBATCH</v>
      </c>
      <c r="BM216">
        <f>'mk 001 10.3'!BM217</f>
        <v>0</v>
      </c>
      <c r="BN216">
        <f>'mk 001 10.3'!BN217</f>
        <v>0</v>
      </c>
    </row>
    <row r="217" spans="1:66" x14ac:dyDescent="0.35">
      <c r="A217">
        <f>'mk 001 10.3'!A218</f>
        <v>0</v>
      </c>
      <c r="B217">
        <f>'mk 001 10.3'!B218</f>
        <v>0</v>
      </c>
      <c r="C217" s="1" t="str">
        <f>'mk 001 10.3'!C218</f>
        <v>14/5/2569</v>
      </c>
      <c r="D217" s="1" t="str">
        <f>'mk 001 10.3'!D218</f>
        <v>14/5/2569</v>
      </c>
      <c r="E217">
        <f>'mk 001 10.3'!E218</f>
        <v>0</v>
      </c>
      <c r="F217" t="str">
        <f>'mk 001 10.3'!F218</f>
        <v>489M</v>
      </c>
      <c r="G217" t="str">
        <f>'mk 001 10.3'!G218</f>
        <v>Modern Trade (Makro)</v>
      </c>
      <c r="H217">
        <f>'mk 001 10.3'!H218</f>
        <v>0</v>
      </c>
      <c r="I217" t="str">
        <f>'mk 001 10.3'!I218</f>
        <v>หน่วยงานกลาง</v>
      </c>
      <c r="J217" t="str">
        <f>'mk 001 10.3'!J218</f>
        <v>F213  DMCW-รชล-พระพุทธบาท</v>
      </c>
      <c r="K217" t="str">
        <f>'mk 001 10.3'!K218</f>
        <v>00000  หน่วยงานกลาง</v>
      </c>
      <c r="L217">
        <f>'mk 001 10.3'!L218</f>
        <v>923</v>
      </c>
      <c r="M217">
        <f>'mk 001 10.3'!M218</f>
        <v>0</v>
      </c>
      <c r="N217" t="str">
        <f>'mk 001 10.3'!N218</f>
        <v>1A53010800</v>
      </c>
      <c r="O217" t="str">
        <f>'mk 001 10.3'!O218</f>
        <v>บมจ. ซีพี แอ็กซ์ตร้า สาขาสิงห์บุรี</v>
      </c>
      <c r="P217">
        <f>'mk 001 10.3'!P218</f>
        <v>2</v>
      </c>
      <c r="Q217" t="str">
        <f>'mk 001 10.3'!Q218</f>
        <v>MAKRO 0114 สิงห์บุรี</v>
      </c>
      <c r="R217" s="1">
        <f>'mk 001 10.3'!R218</f>
        <v>244658</v>
      </c>
      <c r="S217" s="1" t="str">
        <f>'mk 001 10.3'!S218</f>
        <v>14/5/2569</v>
      </c>
      <c r="T217" t="str">
        <f>'mk 001 10.3'!T218</f>
        <v>H6954RMA0059255</v>
      </c>
      <c r="U217">
        <f>'mk 001 10.3'!U218</f>
        <v>23071881</v>
      </c>
      <c r="V217" t="str">
        <f>'mk 001 10.3'!V218</f>
        <v>หมูบด (M)</v>
      </c>
      <c r="W217">
        <f>'mk 001 10.3'!W218</f>
        <v>1</v>
      </c>
      <c r="X217">
        <f>'mk 001 10.3'!X218</f>
        <v>5</v>
      </c>
      <c r="Y217">
        <f t="shared" si="3"/>
        <v>1</v>
      </c>
      <c r="Z217" s="13">
        <f>IF(COUNTIFS(แปลงข้อมูล!H:H,Q217,แปลงข้อมูล!I:I,U217,แปลงข้อมูล!J:J,V217)&gt;0,SUMIFS(แปลงข้อมูล!Q:Q,แปลงข้อมูล!I:I,U217,แปลงข้อมูล!H:H,Q217,แปลงข้อมูล!J:J,V217),'mk 001 10.3'!Z218)</f>
        <v>5</v>
      </c>
      <c r="AA217">
        <f>'mk 001 10.3'!AA218</f>
        <v>0</v>
      </c>
      <c r="AB217">
        <f>'mk 001 10.3'!AB218</f>
        <v>0</v>
      </c>
      <c r="AC217">
        <f>'mk 001 10.3'!AC218</f>
        <v>0</v>
      </c>
      <c r="AD217">
        <f>'mk 001 10.3'!AD218</f>
        <v>0</v>
      </c>
      <c r="AE217">
        <f>'mk 001 10.3'!AE218</f>
        <v>1</v>
      </c>
      <c r="AF217">
        <f>'mk 001 10.3'!AF218</f>
        <v>5</v>
      </c>
      <c r="AG217">
        <f>'mk 001 10.3'!AG218</f>
        <v>0</v>
      </c>
      <c r="AH217">
        <f>'mk 001 10.3'!AH218</f>
        <v>0</v>
      </c>
      <c r="AI217" t="str">
        <f>'mk 001 10.3'!AI218</f>
        <v>OPRCD489MOPRCD00000OPRCDF213OPRCD00000OPRCD923</v>
      </c>
      <c r="AJ217" t="str">
        <f>'mk 001 10.3'!AJ218</f>
        <v>ซื้อ / ขาย</v>
      </c>
      <c r="AK217" t="str">
        <f>'mk 001 10.3'!AK218</f>
        <v>Main proudct</v>
      </c>
      <c r="AL217" t="str">
        <f>'mk 001 10.3'!AL218</f>
        <v>Bulk Normal</v>
      </c>
      <c r="AM217" t="str">
        <f>'mk 001 10.3'!AM218</f>
        <v>สุกร</v>
      </c>
      <c r="AN217" t="str">
        <f>'mk 001 10.3'!AN218</f>
        <v>OT002 CC-Makro</v>
      </c>
      <c r="AO217" t="str">
        <f>'mk 001 10.3'!AO218</f>
        <v>MT</v>
      </c>
      <c r="AP217">
        <f>'mk 001 10.3'!AP218</f>
        <v>2</v>
      </c>
      <c r="AQ217">
        <f>'mk 001 10.3'!AQ218</f>
        <v>0</v>
      </c>
      <c r="AR217">
        <f>'mk 001 10.3'!AR218</f>
        <v>0</v>
      </c>
      <c r="AS217">
        <f>'mk 001 10.3'!AS218</f>
        <v>0</v>
      </c>
      <c r="AT217" t="str">
        <f>'mk 001 10.3'!AT218</f>
        <v>เบญจพจน์ เพชรเหลี่ยม</v>
      </c>
      <c r="AU217" t="str">
        <f>'mk 001 10.3'!AU218</f>
        <v>2026-05-11-13.33.46.000000</v>
      </c>
      <c r="AV217" t="str">
        <f>'mk 001 10.3'!AV218</f>
        <v>ถุง</v>
      </c>
      <c r="AW217" t="str">
        <f>'mk 001 10.3'!AW218</f>
        <v>ก.ก.</v>
      </c>
      <c r="AX217" t="str">
        <f>'mk 001 10.3'!AX218</f>
        <v xml:space="preserve"> </v>
      </c>
      <c r="AY217">
        <f>'mk 001 10.3'!AY218</f>
        <v>0</v>
      </c>
      <c r="AZ217" t="str">
        <f>'mk 001 10.3'!AZ218</f>
        <v>N</v>
      </c>
      <c r="BA217" s="22">
        <f>'mk 001 10.3'!BA218</f>
        <v>9044989536467</v>
      </c>
      <c r="BB217">
        <f>'mk 001 10.3'!BB218</f>
        <v>0</v>
      </c>
      <c r="BC217">
        <f>'mk 001 10.3'!BC218</f>
        <v>0</v>
      </c>
      <c r="BD217">
        <f>'mk 001 10.3'!BD218</f>
        <v>1</v>
      </c>
      <c r="BE217">
        <f>'mk 001 10.3'!BE218</f>
        <v>0</v>
      </c>
      <c r="BF217" t="str">
        <f>'mk 001 10.3'!BF218</f>
        <v>;0000</v>
      </c>
      <c r="BG217">
        <f>'mk 001 10.3'!BG218</f>
        <v>1333314600</v>
      </c>
      <c r="BH217" t="str">
        <f>'mk 001 10.3'!BH218</f>
        <v>G</v>
      </c>
      <c r="BI217">
        <f>'mk 001 10.3'!BI218</f>
        <v>1</v>
      </c>
      <c r="BJ217">
        <f>'mk 001 10.3'!BJ218</f>
        <v>5</v>
      </c>
      <c r="BK217">
        <f>'mk 001 10.3'!BK218</f>
        <v>1300</v>
      </c>
      <c r="BL217" t="str">
        <f>'mk 001 10.3'!BL218</f>
        <v>SYSBATCH</v>
      </c>
      <c r="BM217">
        <f>'mk 001 10.3'!BM218</f>
        <v>0</v>
      </c>
      <c r="BN217">
        <f>'mk 001 10.3'!BN218</f>
        <v>0</v>
      </c>
    </row>
    <row r="218" spans="1:66" x14ac:dyDescent="0.35">
      <c r="A218">
        <f>'mk 001 10.3'!A219</f>
        <v>0</v>
      </c>
      <c r="B218">
        <f>'mk 001 10.3'!B219</f>
        <v>0</v>
      </c>
      <c r="C218" s="1" t="str">
        <f>'mk 001 10.3'!C219</f>
        <v>14/5/2569</v>
      </c>
      <c r="D218" s="1" t="str">
        <f>'mk 001 10.3'!D219</f>
        <v>14/5/2569</v>
      </c>
      <c r="E218">
        <f>'mk 001 10.3'!E219</f>
        <v>0</v>
      </c>
      <c r="F218" t="str">
        <f>'mk 001 10.3'!F219</f>
        <v>489M</v>
      </c>
      <c r="G218" t="str">
        <f>'mk 001 10.3'!G219</f>
        <v>Modern Trade (Makro)</v>
      </c>
      <c r="H218">
        <f>'mk 001 10.3'!H219</f>
        <v>0</v>
      </c>
      <c r="I218" t="str">
        <f>'mk 001 10.3'!I219</f>
        <v>หน่วยงานกลาง</v>
      </c>
      <c r="J218" t="str">
        <f>'mk 001 10.3'!J219</f>
        <v>F213  DMCW-รชล-พระพุทธบาท</v>
      </c>
      <c r="K218" t="str">
        <f>'mk 001 10.3'!K219</f>
        <v>00000  หน่วยงานกลาง</v>
      </c>
      <c r="L218">
        <f>'mk 001 10.3'!L219</f>
        <v>923</v>
      </c>
      <c r="M218">
        <f>'mk 001 10.3'!M219</f>
        <v>0</v>
      </c>
      <c r="N218" t="str">
        <f>'mk 001 10.3'!N219</f>
        <v>1A53010800</v>
      </c>
      <c r="O218" t="str">
        <f>'mk 001 10.3'!O219</f>
        <v>บมจ. ซีพี แอ็กซ์ตร้า สาขาสิงห์บุรี</v>
      </c>
      <c r="P218">
        <f>'mk 001 10.3'!P219</f>
        <v>2</v>
      </c>
      <c r="Q218" t="str">
        <f>'mk 001 10.3'!Q219</f>
        <v>MAKRO 0114 สิงห์บุรี</v>
      </c>
      <c r="R218" s="1">
        <f>'mk 001 10.3'!R219</f>
        <v>244658</v>
      </c>
      <c r="S218" s="1" t="str">
        <f>'mk 001 10.3'!S219</f>
        <v>14/5/2569</v>
      </c>
      <c r="T218" t="str">
        <f>'mk 001 10.3'!T219</f>
        <v>H6954RMA0059255</v>
      </c>
      <c r="U218">
        <f>'mk 001 10.3'!U219</f>
        <v>23087034</v>
      </c>
      <c r="V218" t="str">
        <f>'mk 001 10.3'!V219</f>
        <v>สะโพกหมูตัดเส้น(M)</v>
      </c>
      <c r="W218">
        <f>'mk 001 10.3'!W219</f>
        <v>0</v>
      </c>
      <c r="X218">
        <f>'mk 001 10.3'!X219</f>
        <v>0</v>
      </c>
      <c r="Y218">
        <f t="shared" si="3"/>
        <v>0</v>
      </c>
      <c r="Z218" s="13">
        <f>IF(COUNTIFS(แปลงข้อมูล!H:H,Q218,แปลงข้อมูล!I:I,U218,แปลงข้อมูล!J:J,V218)&gt;0,SUMIFS(แปลงข้อมูล!Q:Q,แปลงข้อมูล!I:I,U218,แปลงข้อมูล!H:H,Q218,แปลงข้อมูล!J:J,V218),'mk 001 10.3'!Z219)</f>
        <v>0</v>
      </c>
      <c r="AA218">
        <f>'mk 001 10.3'!AA219</f>
        <v>0</v>
      </c>
      <c r="AB218">
        <f>'mk 001 10.3'!AB219</f>
        <v>0</v>
      </c>
      <c r="AC218">
        <f>'mk 001 10.3'!AC219</f>
        <v>0</v>
      </c>
      <c r="AD218">
        <f>'mk 001 10.3'!AD219</f>
        <v>0</v>
      </c>
      <c r="AE218">
        <f>'mk 001 10.3'!AE219</f>
        <v>0</v>
      </c>
      <c r="AF218">
        <f>'mk 001 10.3'!AF219</f>
        <v>0</v>
      </c>
      <c r="AG218">
        <f>'mk 001 10.3'!AG219</f>
        <v>0</v>
      </c>
      <c r="AH218">
        <f>'mk 001 10.3'!AH219</f>
        <v>0</v>
      </c>
      <c r="AI218" t="str">
        <f>'mk 001 10.3'!AI219</f>
        <v>OPRCD489MOPRCD00000OPRCDF213OPRCD00000OPRCD923</v>
      </c>
      <c r="AJ218" t="str">
        <f>'mk 001 10.3'!AJ219</f>
        <v>ซื้อ / ขาย</v>
      </c>
      <c r="AK218" t="str">
        <f>'mk 001 10.3'!AK219</f>
        <v>Main proudct</v>
      </c>
      <c r="AL218" t="str">
        <f>'mk 001 10.3'!AL219</f>
        <v>Bulk Normal</v>
      </c>
      <c r="AM218" t="str">
        <f>'mk 001 10.3'!AM219</f>
        <v>สุกร</v>
      </c>
      <c r="AN218" t="str">
        <f>'mk 001 10.3'!AN219</f>
        <v>OT002 CC-Makro</v>
      </c>
      <c r="AO218" t="str">
        <f>'mk 001 10.3'!AO219</f>
        <v>MT</v>
      </c>
      <c r="AP218">
        <f>'mk 001 10.3'!AP219</f>
        <v>2</v>
      </c>
      <c r="AQ218">
        <f>'mk 001 10.3'!AQ219</f>
        <v>0</v>
      </c>
      <c r="AR218">
        <f>'mk 001 10.3'!AR219</f>
        <v>0</v>
      </c>
      <c r="AS218">
        <f>'mk 001 10.3'!AS219</f>
        <v>0</v>
      </c>
      <c r="AT218" t="str">
        <f>'mk 001 10.3'!AT219</f>
        <v>เบญจพจน์ เพชรเหลี่ยม</v>
      </c>
      <c r="AU218" t="str">
        <f>'mk 001 10.3'!AU219</f>
        <v>2026-05-11-13.33.46.000000</v>
      </c>
      <c r="AV218" t="str">
        <f>'mk 001 10.3'!AV219</f>
        <v>ก.ก.</v>
      </c>
      <c r="AW218" t="str">
        <f>'mk 001 10.3'!AW219</f>
        <v>ก.ก.</v>
      </c>
      <c r="AX218" t="str">
        <f>'mk 001 10.3'!AX219</f>
        <v xml:space="preserve"> </v>
      </c>
      <c r="AY218">
        <f>'mk 001 10.3'!AY219</f>
        <v>0</v>
      </c>
      <c r="AZ218" t="str">
        <f>'mk 001 10.3'!AZ219</f>
        <v>N</v>
      </c>
      <c r="BA218" s="22">
        <f>'mk 001 10.3'!BA219</f>
        <v>9044989536467</v>
      </c>
      <c r="BB218">
        <f>'mk 001 10.3'!BB219</f>
        <v>0</v>
      </c>
      <c r="BC218">
        <f>'mk 001 10.3'!BC219</f>
        <v>0</v>
      </c>
      <c r="BD218">
        <f>'mk 001 10.3'!BD219</f>
        <v>1</v>
      </c>
      <c r="BE218">
        <f>'mk 001 10.3'!BE219</f>
        <v>0</v>
      </c>
      <c r="BF218" t="str">
        <f>'mk 001 10.3'!BF219</f>
        <v>;0000</v>
      </c>
      <c r="BG218">
        <f>'mk 001 10.3'!BG219</f>
        <v>1333314600</v>
      </c>
      <c r="BH218" t="str">
        <f>'mk 001 10.3'!BH219</f>
        <v>G</v>
      </c>
      <c r="BI218">
        <f>'mk 001 10.3'!BI219</f>
        <v>0</v>
      </c>
      <c r="BJ218">
        <f>'mk 001 10.3'!BJ219</f>
        <v>0</v>
      </c>
      <c r="BK218">
        <f>'mk 001 10.3'!BK219</f>
        <v>1300</v>
      </c>
      <c r="BL218" t="str">
        <f>'mk 001 10.3'!BL219</f>
        <v>SYSBATCH</v>
      </c>
      <c r="BM218">
        <f>'mk 001 10.3'!BM219</f>
        <v>0</v>
      </c>
      <c r="BN218">
        <f>'mk 001 10.3'!BN219</f>
        <v>0</v>
      </c>
    </row>
    <row r="219" spans="1:66" x14ac:dyDescent="0.35">
      <c r="A219">
        <f>'mk 001 10.3'!A220</f>
        <v>0</v>
      </c>
      <c r="B219">
        <f>'mk 001 10.3'!B220</f>
        <v>0</v>
      </c>
      <c r="C219" s="1" t="str">
        <f>'mk 001 10.3'!C220</f>
        <v>14/5/2569</v>
      </c>
      <c r="D219" s="1" t="str">
        <f>'mk 001 10.3'!D220</f>
        <v>14/5/2569</v>
      </c>
      <c r="E219">
        <f>'mk 001 10.3'!E220</f>
        <v>0</v>
      </c>
      <c r="F219" t="str">
        <f>'mk 001 10.3'!F220</f>
        <v>489M</v>
      </c>
      <c r="G219" t="str">
        <f>'mk 001 10.3'!G220</f>
        <v>Modern Trade (Makro)</v>
      </c>
      <c r="H219">
        <f>'mk 001 10.3'!H220</f>
        <v>0</v>
      </c>
      <c r="I219" t="str">
        <f>'mk 001 10.3'!I220</f>
        <v>หน่วยงานกลาง</v>
      </c>
      <c r="J219" t="str">
        <f>'mk 001 10.3'!J220</f>
        <v>F213  DMCW-รชล-พระพุทธบาท</v>
      </c>
      <c r="K219" t="str">
        <f>'mk 001 10.3'!K220</f>
        <v>00000  หน่วยงานกลาง</v>
      </c>
      <c r="L219">
        <f>'mk 001 10.3'!L220</f>
        <v>923</v>
      </c>
      <c r="M219">
        <f>'mk 001 10.3'!M220</f>
        <v>0</v>
      </c>
      <c r="N219" t="str">
        <f>'mk 001 10.3'!N220</f>
        <v>1A53010800</v>
      </c>
      <c r="O219" t="str">
        <f>'mk 001 10.3'!O220</f>
        <v>บมจ. ซีพี แอ็กซ์ตร้า สาขาสิงห์บุรี</v>
      </c>
      <c r="P219">
        <f>'mk 001 10.3'!P220</f>
        <v>2</v>
      </c>
      <c r="Q219" t="str">
        <f>'mk 001 10.3'!Q220</f>
        <v>MAKRO 0114 สิงห์บุรี</v>
      </c>
      <c r="R219" s="1">
        <f>'mk 001 10.3'!R220</f>
        <v>244658</v>
      </c>
      <c r="S219" s="1" t="str">
        <f>'mk 001 10.3'!S220</f>
        <v>14/5/2569</v>
      </c>
      <c r="T219" t="str">
        <f>'mk 001 10.3'!T220</f>
        <v>H6954RMA0059255</v>
      </c>
      <c r="U219">
        <f>'mk 001 10.3'!U220</f>
        <v>23057818</v>
      </c>
      <c r="V219" t="str">
        <f>'mk 001 10.3'!V220</f>
        <v>สันใน(M)</v>
      </c>
      <c r="W219">
        <f>'mk 001 10.3'!W220</f>
        <v>10</v>
      </c>
      <c r="X219">
        <f>'mk 001 10.3'!X220</f>
        <v>10</v>
      </c>
      <c r="Y219">
        <f t="shared" si="3"/>
        <v>10</v>
      </c>
      <c r="Z219" s="13">
        <f>IF(COUNTIFS(แปลงข้อมูล!H:H,Q219,แปลงข้อมูล!I:I,U219,แปลงข้อมูล!J:J,V219)&gt;0,SUMIFS(แปลงข้อมูล!Q:Q,แปลงข้อมูล!I:I,U219,แปลงข้อมูล!H:H,Q219,แปลงข้อมูล!J:J,V219),'mk 001 10.3'!Z220)</f>
        <v>10</v>
      </c>
      <c r="AA219">
        <f>'mk 001 10.3'!AA220</f>
        <v>0</v>
      </c>
      <c r="AB219">
        <f>'mk 001 10.3'!AB220</f>
        <v>0</v>
      </c>
      <c r="AC219">
        <f>'mk 001 10.3'!AC220</f>
        <v>0</v>
      </c>
      <c r="AD219">
        <f>'mk 001 10.3'!AD220</f>
        <v>0</v>
      </c>
      <c r="AE219">
        <f>'mk 001 10.3'!AE220</f>
        <v>10</v>
      </c>
      <c r="AF219">
        <f>'mk 001 10.3'!AF220</f>
        <v>10</v>
      </c>
      <c r="AG219">
        <f>'mk 001 10.3'!AG220</f>
        <v>0</v>
      </c>
      <c r="AH219">
        <f>'mk 001 10.3'!AH220</f>
        <v>0</v>
      </c>
      <c r="AI219" t="str">
        <f>'mk 001 10.3'!AI220</f>
        <v>OPRCD489MOPRCD00000OPRCDF213OPRCD00000OPRCD923</v>
      </c>
      <c r="AJ219" t="str">
        <f>'mk 001 10.3'!AJ220</f>
        <v>ซื้อ / ขาย</v>
      </c>
      <c r="AK219" t="str">
        <f>'mk 001 10.3'!AK220</f>
        <v>Main proudct</v>
      </c>
      <c r="AL219" t="str">
        <f>'mk 001 10.3'!AL220</f>
        <v>Bulk Normal</v>
      </c>
      <c r="AM219" t="str">
        <f>'mk 001 10.3'!AM220</f>
        <v>สุกร</v>
      </c>
      <c r="AN219" t="str">
        <f>'mk 001 10.3'!AN220</f>
        <v>OT002 CC-Makro</v>
      </c>
      <c r="AO219" t="str">
        <f>'mk 001 10.3'!AO220</f>
        <v>MT</v>
      </c>
      <c r="AP219">
        <f>'mk 001 10.3'!AP220</f>
        <v>2</v>
      </c>
      <c r="AQ219">
        <f>'mk 001 10.3'!AQ220</f>
        <v>0</v>
      </c>
      <c r="AR219">
        <f>'mk 001 10.3'!AR220</f>
        <v>0</v>
      </c>
      <c r="AS219">
        <f>'mk 001 10.3'!AS220</f>
        <v>0</v>
      </c>
      <c r="AT219" t="str">
        <f>'mk 001 10.3'!AT220</f>
        <v>เบญจพจน์ เพชรเหลี่ยม</v>
      </c>
      <c r="AU219" t="str">
        <f>'mk 001 10.3'!AU220</f>
        <v>2026-05-11-13.33.46.000000</v>
      </c>
      <c r="AV219" t="str">
        <f>'mk 001 10.3'!AV220</f>
        <v>ก.ก.</v>
      </c>
      <c r="AW219" t="str">
        <f>'mk 001 10.3'!AW220</f>
        <v>ก.ก.</v>
      </c>
      <c r="AX219" t="str">
        <f>'mk 001 10.3'!AX220</f>
        <v xml:space="preserve"> </v>
      </c>
      <c r="AY219">
        <f>'mk 001 10.3'!AY220</f>
        <v>0</v>
      </c>
      <c r="AZ219" t="str">
        <f>'mk 001 10.3'!AZ220</f>
        <v>N</v>
      </c>
      <c r="BA219" s="22">
        <f>'mk 001 10.3'!BA220</f>
        <v>9044989536467</v>
      </c>
      <c r="BB219">
        <f>'mk 001 10.3'!BB220</f>
        <v>0</v>
      </c>
      <c r="BC219">
        <f>'mk 001 10.3'!BC220</f>
        <v>0</v>
      </c>
      <c r="BD219">
        <f>'mk 001 10.3'!BD220</f>
        <v>1</v>
      </c>
      <c r="BE219">
        <f>'mk 001 10.3'!BE220</f>
        <v>0</v>
      </c>
      <c r="BF219" t="str">
        <f>'mk 001 10.3'!BF220</f>
        <v>;0000</v>
      </c>
      <c r="BG219">
        <f>'mk 001 10.3'!BG220</f>
        <v>1333314600</v>
      </c>
      <c r="BH219" t="str">
        <f>'mk 001 10.3'!BH220</f>
        <v>G</v>
      </c>
      <c r="BI219">
        <f>'mk 001 10.3'!BI220</f>
        <v>10</v>
      </c>
      <c r="BJ219">
        <f>'mk 001 10.3'!BJ220</f>
        <v>10</v>
      </c>
      <c r="BK219">
        <f>'mk 001 10.3'!BK220</f>
        <v>1300</v>
      </c>
      <c r="BL219" t="str">
        <f>'mk 001 10.3'!BL220</f>
        <v>SYSBATCH</v>
      </c>
      <c r="BM219">
        <f>'mk 001 10.3'!BM220</f>
        <v>0</v>
      </c>
      <c r="BN219">
        <f>'mk 001 10.3'!BN220</f>
        <v>0</v>
      </c>
    </row>
    <row r="220" spans="1:66" x14ac:dyDescent="0.35">
      <c r="A220">
        <f>'mk 001 10.3'!A221</f>
        <v>0</v>
      </c>
      <c r="B220">
        <f>'mk 001 10.3'!B221</f>
        <v>0</v>
      </c>
      <c r="C220" s="1" t="str">
        <f>'mk 001 10.3'!C221</f>
        <v>14/5/2569</v>
      </c>
      <c r="D220" s="1" t="str">
        <f>'mk 001 10.3'!D221</f>
        <v>14/5/2569</v>
      </c>
      <c r="E220">
        <f>'mk 001 10.3'!E221</f>
        <v>0</v>
      </c>
      <c r="F220" t="str">
        <f>'mk 001 10.3'!F221</f>
        <v>489M</v>
      </c>
      <c r="G220" t="str">
        <f>'mk 001 10.3'!G221</f>
        <v>Modern Trade (Makro)</v>
      </c>
      <c r="H220">
        <f>'mk 001 10.3'!H221</f>
        <v>0</v>
      </c>
      <c r="I220" t="str">
        <f>'mk 001 10.3'!I221</f>
        <v>หน่วยงานกลาง</v>
      </c>
      <c r="J220" t="str">
        <f>'mk 001 10.3'!J221</f>
        <v>F213  DMCW-รชล-พระพุทธบาท</v>
      </c>
      <c r="K220" t="str">
        <f>'mk 001 10.3'!K221</f>
        <v>00000  หน่วยงานกลาง</v>
      </c>
      <c r="L220">
        <f>'mk 001 10.3'!L221</f>
        <v>923</v>
      </c>
      <c r="M220">
        <f>'mk 001 10.3'!M221</f>
        <v>0</v>
      </c>
      <c r="N220" t="str">
        <f>'mk 001 10.3'!N221</f>
        <v>1A53010800</v>
      </c>
      <c r="O220" t="str">
        <f>'mk 001 10.3'!O221</f>
        <v>บมจ. ซีพี แอ็กซ์ตร้า สาขาสิงห์บุรี</v>
      </c>
      <c r="P220">
        <f>'mk 001 10.3'!P221</f>
        <v>2</v>
      </c>
      <c r="Q220" t="str">
        <f>'mk 001 10.3'!Q221</f>
        <v>MAKRO 0114 สิงห์บุรี</v>
      </c>
      <c r="R220" s="1">
        <f>'mk 001 10.3'!R221</f>
        <v>244658</v>
      </c>
      <c r="S220" s="1" t="str">
        <f>'mk 001 10.3'!S221</f>
        <v>14/5/2569</v>
      </c>
      <c r="T220" t="str">
        <f>'mk 001 10.3'!T221</f>
        <v>H6954RMA0059255</v>
      </c>
      <c r="U220">
        <f>'mk 001 10.3'!U221</f>
        <v>23058588</v>
      </c>
      <c r="V220" t="str">
        <f>'mk 001 10.3'!V221</f>
        <v>ม้าม (M)</v>
      </c>
      <c r="W220">
        <f>'mk 001 10.3'!W221</f>
        <v>5</v>
      </c>
      <c r="X220">
        <f>'mk 001 10.3'!X221</f>
        <v>5</v>
      </c>
      <c r="Y220">
        <f t="shared" si="3"/>
        <v>5</v>
      </c>
      <c r="Z220" s="13">
        <f>IF(COUNTIFS(แปลงข้อมูล!H:H,Q220,แปลงข้อมูล!I:I,U220,แปลงข้อมูล!J:J,V220)&gt;0,SUMIFS(แปลงข้อมูล!Q:Q,แปลงข้อมูล!I:I,U220,แปลงข้อมูล!H:H,Q220,แปลงข้อมูล!J:J,V220),'mk 001 10.3'!Z221)</f>
        <v>5</v>
      </c>
      <c r="AA220">
        <f>'mk 001 10.3'!AA221</f>
        <v>0</v>
      </c>
      <c r="AB220">
        <f>'mk 001 10.3'!AB221</f>
        <v>0</v>
      </c>
      <c r="AC220">
        <f>'mk 001 10.3'!AC221</f>
        <v>0</v>
      </c>
      <c r="AD220">
        <f>'mk 001 10.3'!AD221</f>
        <v>0</v>
      </c>
      <c r="AE220">
        <f>'mk 001 10.3'!AE221</f>
        <v>5</v>
      </c>
      <c r="AF220">
        <f>'mk 001 10.3'!AF221</f>
        <v>5</v>
      </c>
      <c r="AG220">
        <f>'mk 001 10.3'!AG221</f>
        <v>0</v>
      </c>
      <c r="AH220">
        <f>'mk 001 10.3'!AH221</f>
        <v>0</v>
      </c>
      <c r="AI220" t="str">
        <f>'mk 001 10.3'!AI221</f>
        <v>OPRCD489MOPRCD00000OPRCDF213OPRCD00000OPRCD923</v>
      </c>
      <c r="AJ220" t="str">
        <f>'mk 001 10.3'!AJ221</f>
        <v>ซื้อ / ขาย</v>
      </c>
      <c r="AK220" t="str">
        <f>'mk 001 10.3'!AK221</f>
        <v>By proudct</v>
      </c>
      <c r="AL220" t="str">
        <f>'mk 001 10.3'!AL221</f>
        <v>Bulk Normal</v>
      </c>
      <c r="AM220" t="str">
        <f>'mk 001 10.3'!AM221</f>
        <v>สุกร</v>
      </c>
      <c r="AN220" t="str">
        <f>'mk 001 10.3'!AN221</f>
        <v>OT002 CC-Makro</v>
      </c>
      <c r="AO220" t="str">
        <f>'mk 001 10.3'!AO221</f>
        <v>MT</v>
      </c>
      <c r="AP220">
        <f>'mk 001 10.3'!AP221</f>
        <v>2</v>
      </c>
      <c r="AQ220">
        <f>'mk 001 10.3'!AQ221</f>
        <v>0</v>
      </c>
      <c r="AR220">
        <f>'mk 001 10.3'!AR221</f>
        <v>0</v>
      </c>
      <c r="AS220">
        <f>'mk 001 10.3'!AS221</f>
        <v>0</v>
      </c>
      <c r="AT220" t="str">
        <f>'mk 001 10.3'!AT221</f>
        <v>เบญจพจน์ เพชรเหลี่ยม</v>
      </c>
      <c r="AU220" t="str">
        <f>'mk 001 10.3'!AU221</f>
        <v>2026-05-11-13.33.46.000000</v>
      </c>
      <c r="AV220" t="str">
        <f>'mk 001 10.3'!AV221</f>
        <v>ก.ก.</v>
      </c>
      <c r="AW220" t="str">
        <f>'mk 001 10.3'!AW221</f>
        <v>ก.ก.</v>
      </c>
      <c r="AX220" t="str">
        <f>'mk 001 10.3'!AX221</f>
        <v xml:space="preserve"> </v>
      </c>
      <c r="AY220">
        <f>'mk 001 10.3'!AY221</f>
        <v>0</v>
      </c>
      <c r="AZ220" t="str">
        <f>'mk 001 10.3'!AZ221</f>
        <v>N</v>
      </c>
      <c r="BA220" s="22">
        <f>'mk 001 10.3'!BA221</f>
        <v>9044989536467</v>
      </c>
      <c r="BB220">
        <f>'mk 001 10.3'!BB221</f>
        <v>0</v>
      </c>
      <c r="BC220">
        <f>'mk 001 10.3'!BC221</f>
        <v>0</v>
      </c>
      <c r="BD220">
        <f>'mk 001 10.3'!BD221</f>
        <v>1</v>
      </c>
      <c r="BE220">
        <f>'mk 001 10.3'!BE221</f>
        <v>0</v>
      </c>
      <c r="BF220" t="str">
        <f>'mk 001 10.3'!BF221</f>
        <v>;0000</v>
      </c>
      <c r="BG220">
        <f>'mk 001 10.3'!BG221</f>
        <v>1333314600</v>
      </c>
      <c r="BH220" t="str">
        <f>'mk 001 10.3'!BH221</f>
        <v>G</v>
      </c>
      <c r="BI220">
        <f>'mk 001 10.3'!BI221</f>
        <v>5</v>
      </c>
      <c r="BJ220">
        <f>'mk 001 10.3'!BJ221</f>
        <v>5</v>
      </c>
      <c r="BK220">
        <f>'mk 001 10.3'!BK221</f>
        <v>1300</v>
      </c>
      <c r="BL220" t="str">
        <f>'mk 001 10.3'!BL221</f>
        <v>SYSBATCH</v>
      </c>
      <c r="BM220">
        <f>'mk 001 10.3'!BM221</f>
        <v>0</v>
      </c>
      <c r="BN220">
        <f>'mk 001 10.3'!BN221</f>
        <v>0</v>
      </c>
    </row>
    <row r="221" spans="1:66" x14ac:dyDescent="0.35">
      <c r="A221">
        <f>'mk 001 10.3'!A222</f>
        <v>0</v>
      </c>
      <c r="B221">
        <f>'mk 001 10.3'!B222</f>
        <v>0</v>
      </c>
      <c r="C221" s="1" t="str">
        <f>'mk 001 10.3'!C222</f>
        <v>14/5/2569</v>
      </c>
      <c r="D221" s="1" t="str">
        <f>'mk 001 10.3'!D222</f>
        <v>14/5/2569</v>
      </c>
      <c r="E221">
        <f>'mk 001 10.3'!E222</f>
        <v>0</v>
      </c>
      <c r="F221" t="str">
        <f>'mk 001 10.3'!F222</f>
        <v>489M</v>
      </c>
      <c r="G221" t="str">
        <f>'mk 001 10.3'!G222</f>
        <v>Modern Trade (Makro)</v>
      </c>
      <c r="H221">
        <f>'mk 001 10.3'!H222</f>
        <v>0</v>
      </c>
      <c r="I221" t="str">
        <f>'mk 001 10.3'!I222</f>
        <v>หน่วยงานกลาง</v>
      </c>
      <c r="J221" t="str">
        <f>'mk 001 10.3'!J222</f>
        <v>F213  DMCW-รชล-พระพุทธบาท</v>
      </c>
      <c r="K221" t="str">
        <f>'mk 001 10.3'!K222</f>
        <v>00000  หน่วยงานกลาง</v>
      </c>
      <c r="L221">
        <f>'mk 001 10.3'!L222</f>
        <v>923</v>
      </c>
      <c r="M221">
        <f>'mk 001 10.3'!M222</f>
        <v>0</v>
      </c>
      <c r="N221" t="str">
        <f>'mk 001 10.3'!N222</f>
        <v>1A53010800</v>
      </c>
      <c r="O221" t="str">
        <f>'mk 001 10.3'!O222</f>
        <v>บมจ. ซีพี แอ็กซ์ตร้า สาขาสิงห์บุรี</v>
      </c>
      <c r="P221">
        <f>'mk 001 10.3'!P222</f>
        <v>2</v>
      </c>
      <c r="Q221" t="str">
        <f>'mk 001 10.3'!Q222</f>
        <v>MAKRO 0114 สิงห์บุรี</v>
      </c>
      <c r="R221" s="1">
        <f>'mk 001 10.3'!R222</f>
        <v>244658</v>
      </c>
      <c r="S221" s="1" t="str">
        <f>'mk 001 10.3'!S222</f>
        <v>14/5/2569</v>
      </c>
      <c r="T221" t="str">
        <f>'mk 001 10.3'!T222</f>
        <v>H6954RMA0059255</v>
      </c>
      <c r="U221">
        <f>'mk 001 10.3'!U222</f>
        <v>23062107</v>
      </c>
      <c r="V221" t="str">
        <f>'mk 001 10.3'!V222</f>
        <v>เลือดก้อน(M)</v>
      </c>
      <c r="W221">
        <f>'mk 001 10.3'!W222</f>
        <v>10</v>
      </c>
      <c r="X221">
        <f>'mk 001 10.3'!X222</f>
        <v>10</v>
      </c>
      <c r="Y221">
        <f t="shared" si="3"/>
        <v>10</v>
      </c>
      <c r="Z221" s="13">
        <f>IF(COUNTIFS(แปลงข้อมูล!H:H,Q221,แปลงข้อมูล!I:I,U221,แปลงข้อมูล!J:J,V221)&gt;0,SUMIFS(แปลงข้อมูล!Q:Q,แปลงข้อมูล!I:I,U221,แปลงข้อมูล!H:H,Q221,แปลงข้อมูล!J:J,V221),'mk 001 10.3'!Z222)</f>
        <v>10</v>
      </c>
      <c r="AA221">
        <f>'mk 001 10.3'!AA222</f>
        <v>0</v>
      </c>
      <c r="AB221">
        <f>'mk 001 10.3'!AB222</f>
        <v>0</v>
      </c>
      <c r="AC221">
        <f>'mk 001 10.3'!AC222</f>
        <v>0</v>
      </c>
      <c r="AD221">
        <f>'mk 001 10.3'!AD222</f>
        <v>0</v>
      </c>
      <c r="AE221">
        <f>'mk 001 10.3'!AE222</f>
        <v>10</v>
      </c>
      <c r="AF221">
        <f>'mk 001 10.3'!AF222</f>
        <v>10</v>
      </c>
      <c r="AG221">
        <f>'mk 001 10.3'!AG222</f>
        <v>0</v>
      </c>
      <c r="AH221">
        <f>'mk 001 10.3'!AH222</f>
        <v>0</v>
      </c>
      <c r="AI221" t="str">
        <f>'mk 001 10.3'!AI222</f>
        <v>OPRCD489MOPRCD00000OPRCDF213OPRCD00000OPRCD923</v>
      </c>
      <c r="AJ221" t="str">
        <f>'mk 001 10.3'!AJ222</f>
        <v>ซื้อ / ขาย</v>
      </c>
      <c r="AK221" t="str">
        <f>'mk 001 10.3'!AK222</f>
        <v>By proudct</v>
      </c>
      <c r="AL221" t="str">
        <f>'mk 001 10.3'!AL222</f>
        <v>Bulk Normal</v>
      </c>
      <c r="AM221" t="str">
        <f>'mk 001 10.3'!AM222</f>
        <v>สุกร</v>
      </c>
      <c r="AN221" t="str">
        <f>'mk 001 10.3'!AN222</f>
        <v>OT002 CC-Makro</v>
      </c>
      <c r="AO221" t="str">
        <f>'mk 001 10.3'!AO222</f>
        <v>MT</v>
      </c>
      <c r="AP221">
        <f>'mk 001 10.3'!AP222</f>
        <v>2</v>
      </c>
      <c r="AQ221">
        <f>'mk 001 10.3'!AQ222</f>
        <v>0</v>
      </c>
      <c r="AR221">
        <f>'mk 001 10.3'!AR222</f>
        <v>0</v>
      </c>
      <c r="AS221">
        <f>'mk 001 10.3'!AS222</f>
        <v>0</v>
      </c>
      <c r="AT221" t="str">
        <f>'mk 001 10.3'!AT222</f>
        <v>เบญจพจน์ เพชรเหลี่ยม</v>
      </c>
      <c r="AU221" t="str">
        <f>'mk 001 10.3'!AU222</f>
        <v>2026-05-11-13.33.46.000000</v>
      </c>
      <c r="AV221" t="str">
        <f>'mk 001 10.3'!AV222</f>
        <v>ก.ก.</v>
      </c>
      <c r="AW221" t="str">
        <f>'mk 001 10.3'!AW222</f>
        <v>ก.ก.</v>
      </c>
      <c r="AX221" t="str">
        <f>'mk 001 10.3'!AX222</f>
        <v xml:space="preserve"> </v>
      </c>
      <c r="AY221">
        <f>'mk 001 10.3'!AY222</f>
        <v>0</v>
      </c>
      <c r="AZ221" t="str">
        <f>'mk 001 10.3'!AZ222</f>
        <v>N</v>
      </c>
      <c r="BA221" s="22">
        <f>'mk 001 10.3'!BA222</f>
        <v>9044989536467</v>
      </c>
      <c r="BB221">
        <f>'mk 001 10.3'!BB222</f>
        <v>0</v>
      </c>
      <c r="BC221">
        <f>'mk 001 10.3'!BC222</f>
        <v>0</v>
      </c>
      <c r="BD221">
        <f>'mk 001 10.3'!BD222</f>
        <v>1</v>
      </c>
      <c r="BE221">
        <f>'mk 001 10.3'!BE222</f>
        <v>0</v>
      </c>
      <c r="BF221" t="str">
        <f>'mk 001 10.3'!BF222</f>
        <v>;0000</v>
      </c>
      <c r="BG221">
        <f>'mk 001 10.3'!BG222</f>
        <v>1333314600</v>
      </c>
      <c r="BH221" t="str">
        <f>'mk 001 10.3'!BH222</f>
        <v>G</v>
      </c>
      <c r="BI221">
        <f>'mk 001 10.3'!BI222</f>
        <v>10</v>
      </c>
      <c r="BJ221">
        <f>'mk 001 10.3'!BJ222</f>
        <v>10</v>
      </c>
      <c r="BK221">
        <f>'mk 001 10.3'!BK222</f>
        <v>1300</v>
      </c>
      <c r="BL221" t="str">
        <f>'mk 001 10.3'!BL222</f>
        <v>SYSBATCH</v>
      </c>
      <c r="BM221">
        <f>'mk 001 10.3'!BM222</f>
        <v>0</v>
      </c>
      <c r="BN221">
        <f>'mk 001 10.3'!BN222</f>
        <v>0</v>
      </c>
    </row>
    <row r="222" spans="1:66" x14ac:dyDescent="0.35">
      <c r="A222">
        <f>'mk 001 10.3'!A223</f>
        <v>0</v>
      </c>
      <c r="B222">
        <f>'mk 001 10.3'!B223</f>
        <v>0</v>
      </c>
      <c r="C222" s="1" t="str">
        <f>'mk 001 10.3'!C223</f>
        <v>14/5/2569</v>
      </c>
      <c r="D222" s="1" t="str">
        <f>'mk 001 10.3'!D223</f>
        <v>14/5/2569</v>
      </c>
      <c r="E222">
        <f>'mk 001 10.3'!E223</f>
        <v>0</v>
      </c>
      <c r="F222" t="str">
        <f>'mk 001 10.3'!F223</f>
        <v>489M</v>
      </c>
      <c r="G222" t="str">
        <f>'mk 001 10.3'!G223</f>
        <v>Modern Trade (Makro)</v>
      </c>
      <c r="H222">
        <f>'mk 001 10.3'!H223</f>
        <v>0</v>
      </c>
      <c r="I222" t="str">
        <f>'mk 001 10.3'!I223</f>
        <v>หน่วยงานกลาง</v>
      </c>
      <c r="J222" t="str">
        <f>'mk 001 10.3'!J223</f>
        <v>F213  DMCW-รชล-พระพุทธบาท</v>
      </c>
      <c r="K222" t="str">
        <f>'mk 001 10.3'!K223</f>
        <v>00000  หน่วยงานกลาง</v>
      </c>
      <c r="L222">
        <f>'mk 001 10.3'!L223</f>
        <v>923</v>
      </c>
      <c r="M222">
        <f>'mk 001 10.3'!M223</f>
        <v>0</v>
      </c>
      <c r="N222" t="str">
        <f>'mk 001 10.3'!N223</f>
        <v>1A53010800</v>
      </c>
      <c r="O222" t="str">
        <f>'mk 001 10.3'!O223</f>
        <v>บมจ. ซีพี แอ็กซ์ตร้า สาขาสิงห์บุรี</v>
      </c>
      <c r="P222">
        <f>'mk 001 10.3'!P223</f>
        <v>2</v>
      </c>
      <c r="Q222" t="str">
        <f>'mk 001 10.3'!Q223</f>
        <v>MAKRO 0114 สิงห์บุรี</v>
      </c>
      <c r="R222" s="1">
        <f>'mk 001 10.3'!R223</f>
        <v>244658</v>
      </c>
      <c r="S222" s="1" t="str">
        <f>'mk 001 10.3'!S223</f>
        <v>14/5/2569</v>
      </c>
      <c r="T222" t="str">
        <f>'mk 001 10.3'!T223</f>
        <v>H6954RMA0059255</v>
      </c>
      <c r="U222">
        <f>'mk 001 10.3'!U223</f>
        <v>23057812</v>
      </c>
      <c r="V222" t="str">
        <f>'mk 001 10.3'!V223</f>
        <v>สะโพก(M)</v>
      </c>
      <c r="W222">
        <f>'mk 001 10.3'!W223</f>
        <v>300</v>
      </c>
      <c r="X222">
        <f>'mk 001 10.3'!X223</f>
        <v>300</v>
      </c>
      <c r="Y222">
        <f t="shared" si="3"/>
        <v>300</v>
      </c>
      <c r="Z222" s="13">
        <f>IF(COUNTIFS(แปลงข้อมูล!H:H,Q222,แปลงข้อมูล!I:I,U222,แปลงข้อมูล!J:J,V222)&gt;0,SUMIFS(แปลงข้อมูล!Q:Q,แปลงข้อมูล!I:I,U222,แปลงข้อมูล!H:H,Q222,แปลงข้อมูล!J:J,V222),'mk 001 10.3'!Z223)</f>
        <v>300</v>
      </c>
      <c r="AA222">
        <f>'mk 001 10.3'!AA223</f>
        <v>0</v>
      </c>
      <c r="AB222">
        <f>'mk 001 10.3'!AB223</f>
        <v>0</v>
      </c>
      <c r="AC222">
        <f>'mk 001 10.3'!AC223</f>
        <v>0</v>
      </c>
      <c r="AD222">
        <f>'mk 001 10.3'!AD223</f>
        <v>0</v>
      </c>
      <c r="AE222">
        <f>'mk 001 10.3'!AE223</f>
        <v>300</v>
      </c>
      <c r="AF222">
        <f>'mk 001 10.3'!AF223</f>
        <v>300</v>
      </c>
      <c r="AG222">
        <f>'mk 001 10.3'!AG223</f>
        <v>0</v>
      </c>
      <c r="AH222">
        <f>'mk 001 10.3'!AH223</f>
        <v>0</v>
      </c>
      <c r="AI222" t="str">
        <f>'mk 001 10.3'!AI223</f>
        <v>OPRCD489MOPRCD00000OPRCDF213OPRCD00000OPRCD923</v>
      </c>
      <c r="AJ222" t="str">
        <f>'mk 001 10.3'!AJ223</f>
        <v>ซื้อ / ขาย</v>
      </c>
      <c r="AK222" t="str">
        <f>'mk 001 10.3'!AK223</f>
        <v>Main proudct</v>
      </c>
      <c r="AL222" t="str">
        <f>'mk 001 10.3'!AL223</f>
        <v>Bulk Normal</v>
      </c>
      <c r="AM222" t="str">
        <f>'mk 001 10.3'!AM223</f>
        <v>สุกร</v>
      </c>
      <c r="AN222" t="str">
        <f>'mk 001 10.3'!AN223</f>
        <v>OT002 CC-Makro</v>
      </c>
      <c r="AO222" t="str">
        <f>'mk 001 10.3'!AO223</f>
        <v>MT</v>
      </c>
      <c r="AP222">
        <f>'mk 001 10.3'!AP223</f>
        <v>2</v>
      </c>
      <c r="AQ222">
        <f>'mk 001 10.3'!AQ223</f>
        <v>0</v>
      </c>
      <c r="AR222">
        <f>'mk 001 10.3'!AR223</f>
        <v>0</v>
      </c>
      <c r="AS222">
        <f>'mk 001 10.3'!AS223</f>
        <v>0</v>
      </c>
      <c r="AT222" t="str">
        <f>'mk 001 10.3'!AT223</f>
        <v>เบญจพจน์ เพชรเหลี่ยม</v>
      </c>
      <c r="AU222" t="str">
        <f>'mk 001 10.3'!AU223</f>
        <v>2026-05-11-13.33.46.000000</v>
      </c>
      <c r="AV222" t="str">
        <f>'mk 001 10.3'!AV223</f>
        <v>ก.ก.</v>
      </c>
      <c r="AW222" t="str">
        <f>'mk 001 10.3'!AW223</f>
        <v>ก.ก.</v>
      </c>
      <c r="AX222" t="str">
        <f>'mk 001 10.3'!AX223</f>
        <v xml:space="preserve"> </v>
      </c>
      <c r="AY222">
        <f>'mk 001 10.3'!AY223</f>
        <v>0</v>
      </c>
      <c r="AZ222" t="str">
        <f>'mk 001 10.3'!AZ223</f>
        <v>N</v>
      </c>
      <c r="BA222" s="22">
        <f>'mk 001 10.3'!BA223</f>
        <v>9044989536467</v>
      </c>
      <c r="BB222">
        <f>'mk 001 10.3'!BB223</f>
        <v>0</v>
      </c>
      <c r="BC222">
        <f>'mk 001 10.3'!BC223</f>
        <v>0</v>
      </c>
      <c r="BD222">
        <f>'mk 001 10.3'!BD223</f>
        <v>1</v>
      </c>
      <c r="BE222">
        <f>'mk 001 10.3'!BE223</f>
        <v>0</v>
      </c>
      <c r="BF222" t="str">
        <f>'mk 001 10.3'!BF223</f>
        <v>;0000</v>
      </c>
      <c r="BG222">
        <f>'mk 001 10.3'!BG223</f>
        <v>1333314600</v>
      </c>
      <c r="BH222" t="str">
        <f>'mk 001 10.3'!BH223</f>
        <v>G</v>
      </c>
      <c r="BI222">
        <f>'mk 001 10.3'!BI223</f>
        <v>300</v>
      </c>
      <c r="BJ222">
        <f>'mk 001 10.3'!BJ223</f>
        <v>300</v>
      </c>
      <c r="BK222">
        <f>'mk 001 10.3'!BK223</f>
        <v>1300</v>
      </c>
      <c r="BL222" t="str">
        <f>'mk 001 10.3'!BL223</f>
        <v>SYSBATCH</v>
      </c>
      <c r="BM222">
        <f>'mk 001 10.3'!BM223</f>
        <v>0</v>
      </c>
      <c r="BN222">
        <f>'mk 001 10.3'!BN223</f>
        <v>0</v>
      </c>
    </row>
    <row r="223" spans="1:66" x14ac:dyDescent="0.35">
      <c r="A223">
        <f>'mk 001 10.3'!A224</f>
        <v>0</v>
      </c>
      <c r="B223">
        <f>'mk 001 10.3'!B224</f>
        <v>0</v>
      </c>
      <c r="C223" s="1" t="str">
        <f>'mk 001 10.3'!C224</f>
        <v>14/5/2569</v>
      </c>
      <c r="D223" s="1" t="str">
        <f>'mk 001 10.3'!D224</f>
        <v>14/5/2569</v>
      </c>
      <c r="E223">
        <f>'mk 001 10.3'!E224</f>
        <v>0</v>
      </c>
      <c r="F223" t="str">
        <f>'mk 001 10.3'!F224</f>
        <v>489M</v>
      </c>
      <c r="G223" t="str">
        <f>'mk 001 10.3'!G224</f>
        <v>Modern Trade (Makro)</v>
      </c>
      <c r="H223">
        <f>'mk 001 10.3'!H224</f>
        <v>0</v>
      </c>
      <c r="I223" t="str">
        <f>'mk 001 10.3'!I224</f>
        <v>หน่วยงานกลาง</v>
      </c>
      <c r="J223" t="str">
        <f>'mk 001 10.3'!J224</f>
        <v>F213  DMCW-รชล-พระพุทธบาท</v>
      </c>
      <c r="K223" t="str">
        <f>'mk 001 10.3'!K224</f>
        <v>00000  หน่วยงานกลาง</v>
      </c>
      <c r="L223">
        <f>'mk 001 10.3'!L224</f>
        <v>923</v>
      </c>
      <c r="M223">
        <f>'mk 001 10.3'!M224</f>
        <v>0</v>
      </c>
      <c r="N223" t="str">
        <f>'mk 001 10.3'!N224</f>
        <v>1A53010800</v>
      </c>
      <c r="O223" t="str">
        <f>'mk 001 10.3'!O224</f>
        <v>บมจ. ซีพี แอ็กซ์ตร้า สาขาสิงห์บุรี</v>
      </c>
      <c r="P223">
        <f>'mk 001 10.3'!P224</f>
        <v>2</v>
      </c>
      <c r="Q223" t="str">
        <f>'mk 001 10.3'!Q224</f>
        <v>MAKRO 0114 สิงห์บุรี</v>
      </c>
      <c r="R223" s="1">
        <f>'mk 001 10.3'!R224</f>
        <v>244658</v>
      </c>
      <c r="S223" s="1" t="str">
        <f>'mk 001 10.3'!S224</f>
        <v>14/5/2569</v>
      </c>
      <c r="T223" t="str">
        <f>'mk 001 10.3'!T224</f>
        <v>H6954RMA0059255</v>
      </c>
      <c r="U223">
        <f>'mk 001 10.3'!U224</f>
        <v>23065141</v>
      </c>
      <c r="V223" t="str">
        <f>'mk 001 10.3'!V224</f>
        <v>สันนอกสไลด์</v>
      </c>
      <c r="W223">
        <f>'mk 001 10.3'!W224</f>
        <v>10</v>
      </c>
      <c r="X223">
        <f>'mk 001 10.3'!X224</f>
        <v>10</v>
      </c>
      <c r="Y223">
        <f t="shared" si="3"/>
        <v>10</v>
      </c>
      <c r="Z223" s="13">
        <f>IF(COUNTIFS(แปลงข้อมูล!H:H,Q223,แปลงข้อมูล!I:I,U223,แปลงข้อมูล!J:J,V223)&gt;0,SUMIFS(แปลงข้อมูล!Q:Q,แปลงข้อมูล!I:I,U223,แปลงข้อมูล!H:H,Q223,แปลงข้อมูล!J:J,V223),'mk 001 10.3'!Z224)</f>
        <v>10</v>
      </c>
      <c r="AA223">
        <f>'mk 001 10.3'!AA224</f>
        <v>0</v>
      </c>
      <c r="AB223">
        <f>'mk 001 10.3'!AB224</f>
        <v>0</v>
      </c>
      <c r="AC223">
        <f>'mk 001 10.3'!AC224</f>
        <v>0</v>
      </c>
      <c r="AD223">
        <f>'mk 001 10.3'!AD224</f>
        <v>0</v>
      </c>
      <c r="AE223">
        <f>'mk 001 10.3'!AE224</f>
        <v>10</v>
      </c>
      <c r="AF223">
        <f>'mk 001 10.3'!AF224</f>
        <v>10</v>
      </c>
      <c r="AG223">
        <f>'mk 001 10.3'!AG224</f>
        <v>0</v>
      </c>
      <c r="AH223">
        <f>'mk 001 10.3'!AH224</f>
        <v>0</v>
      </c>
      <c r="AI223" t="str">
        <f>'mk 001 10.3'!AI224</f>
        <v>OPRCD489MOPRCD00000OPRCDF213OPRCD00000OPRCD923</v>
      </c>
      <c r="AJ223" t="str">
        <f>'mk 001 10.3'!AJ224</f>
        <v>ซื้อ / ขาย</v>
      </c>
      <c r="AK223" t="str">
        <f>'mk 001 10.3'!AK224</f>
        <v>Main proudct</v>
      </c>
      <c r="AL223" t="str">
        <f>'mk 001 10.3'!AL224</f>
        <v>Bulk Normal</v>
      </c>
      <c r="AM223" t="str">
        <f>'mk 001 10.3'!AM224</f>
        <v>สุกร</v>
      </c>
      <c r="AN223" t="str">
        <f>'mk 001 10.3'!AN224</f>
        <v>OT002 CC-Makro</v>
      </c>
      <c r="AO223" t="str">
        <f>'mk 001 10.3'!AO224</f>
        <v>MT</v>
      </c>
      <c r="AP223">
        <f>'mk 001 10.3'!AP224</f>
        <v>2</v>
      </c>
      <c r="AQ223">
        <f>'mk 001 10.3'!AQ224</f>
        <v>0</v>
      </c>
      <c r="AR223">
        <f>'mk 001 10.3'!AR224</f>
        <v>0</v>
      </c>
      <c r="AS223">
        <f>'mk 001 10.3'!AS224</f>
        <v>0</v>
      </c>
      <c r="AT223" t="str">
        <f>'mk 001 10.3'!AT224</f>
        <v>เบญจพจน์ เพชรเหลี่ยม</v>
      </c>
      <c r="AU223" t="str">
        <f>'mk 001 10.3'!AU224</f>
        <v>2026-05-11-13.33.46.000000</v>
      </c>
      <c r="AV223" t="str">
        <f>'mk 001 10.3'!AV224</f>
        <v>ก.ก.</v>
      </c>
      <c r="AW223" t="str">
        <f>'mk 001 10.3'!AW224</f>
        <v>ก.ก.</v>
      </c>
      <c r="AX223" t="str">
        <f>'mk 001 10.3'!AX224</f>
        <v xml:space="preserve"> </v>
      </c>
      <c r="AY223">
        <f>'mk 001 10.3'!AY224</f>
        <v>0</v>
      </c>
      <c r="AZ223" t="str">
        <f>'mk 001 10.3'!AZ224</f>
        <v>N</v>
      </c>
      <c r="BA223" s="22">
        <f>'mk 001 10.3'!BA224</f>
        <v>9044989536467</v>
      </c>
      <c r="BB223">
        <f>'mk 001 10.3'!BB224</f>
        <v>0</v>
      </c>
      <c r="BC223">
        <f>'mk 001 10.3'!BC224</f>
        <v>0</v>
      </c>
      <c r="BD223">
        <f>'mk 001 10.3'!BD224</f>
        <v>1</v>
      </c>
      <c r="BE223">
        <f>'mk 001 10.3'!BE224</f>
        <v>0</v>
      </c>
      <c r="BF223" t="str">
        <f>'mk 001 10.3'!BF224</f>
        <v>;0000</v>
      </c>
      <c r="BG223">
        <f>'mk 001 10.3'!BG224</f>
        <v>1333314600</v>
      </c>
      <c r="BH223" t="str">
        <f>'mk 001 10.3'!BH224</f>
        <v>G</v>
      </c>
      <c r="BI223">
        <f>'mk 001 10.3'!BI224</f>
        <v>10</v>
      </c>
      <c r="BJ223">
        <f>'mk 001 10.3'!BJ224</f>
        <v>10</v>
      </c>
      <c r="BK223">
        <f>'mk 001 10.3'!BK224</f>
        <v>1300</v>
      </c>
      <c r="BL223" t="str">
        <f>'mk 001 10.3'!BL224</f>
        <v>SYSBATCH</v>
      </c>
      <c r="BM223">
        <f>'mk 001 10.3'!BM224</f>
        <v>0</v>
      </c>
      <c r="BN223">
        <f>'mk 001 10.3'!BN224</f>
        <v>0</v>
      </c>
    </row>
    <row r="224" spans="1:66" x14ac:dyDescent="0.35">
      <c r="A224">
        <f>'mk 001 10.3'!A225</f>
        <v>0</v>
      </c>
      <c r="B224">
        <f>'mk 001 10.3'!B225</f>
        <v>0</v>
      </c>
      <c r="C224" s="1" t="str">
        <f>'mk 001 10.3'!C225</f>
        <v>14/5/2569</v>
      </c>
      <c r="D224" s="1" t="str">
        <f>'mk 001 10.3'!D225</f>
        <v>14/5/2569</v>
      </c>
      <c r="E224">
        <f>'mk 001 10.3'!E225</f>
        <v>0</v>
      </c>
      <c r="F224" t="str">
        <f>'mk 001 10.3'!F225</f>
        <v>489M</v>
      </c>
      <c r="G224" t="str">
        <f>'mk 001 10.3'!G225</f>
        <v>Modern Trade (Makro)</v>
      </c>
      <c r="H224">
        <f>'mk 001 10.3'!H225</f>
        <v>0</v>
      </c>
      <c r="I224" t="str">
        <f>'mk 001 10.3'!I225</f>
        <v>หน่วยงานกลาง</v>
      </c>
      <c r="J224" t="str">
        <f>'mk 001 10.3'!J225</f>
        <v>F213  DMCW-รชล-พระพุทธบาท</v>
      </c>
      <c r="K224" t="str">
        <f>'mk 001 10.3'!K225</f>
        <v>00000  หน่วยงานกลาง</v>
      </c>
      <c r="L224">
        <f>'mk 001 10.3'!L225</f>
        <v>923</v>
      </c>
      <c r="M224">
        <f>'mk 001 10.3'!M225</f>
        <v>0</v>
      </c>
      <c r="N224" t="str">
        <f>'mk 001 10.3'!N225</f>
        <v>1A53010800</v>
      </c>
      <c r="O224" t="str">
        <f>'mk 001 10.3'!O225</f>
        <v>บมจ. ซีพี แอ็กซ์ตร้า สาขาสิงห์บุรี</v>
      </c>
      <c r="P224">
        <f>'mk 001 10.3'!P225</f>
        <v>2</v>
      </c>
      <c r="Q224" t="str">
        <f>'mk 001 10.3'!Q225</f>
        <v>MAKRO 0114 สิงห์บุรี</v>
      </c>
      <c r="R224" s="1">
        <f>'mk 001 10.3'!R225</f>
        <v>244658</v>
      </c>
      <c r="S224" s="1" t="str">
        <f>'mk 001 10.3'!S225</f>
        <v>14/5/2569</v>
      </c>
      <c r="T224" t="str">
        <f>'mk 001 10.3'!T225</f>
        <v>H6954RMA0059255</v>
      </c>
      <c r="U224">
        <f>'mk 001 10.3'!U225</f>
        <v>23105751</v>
      </c>
      <c r="V224" t="str">
        <f>'mk 001 10.3'!V225</f>
        <v>เซพแพ็ค หัวไหล่หมู กก.ละ</v>
      </c>
      <c r="W224">
        <f>'mk 001 10.3'!W225</f>
        <v>10</v>
      </c>
      <c r="X224">
        <f>'mk 001 10.3'!X225</f>
        <v>10</v>
      </c>
      <c r="Y224">
        <f t="shared" si="3"/>
        <v>10</v>
      </c>
      <c r="Z224" s="13">
        <f>IF(COUNTIFS(แปลงข้อมูล!H:H,Q224,แปลงข้อมูล!I:I,U224,แปลงข้อมูล!J:J,V224)&gt;0,SUMIFS(แปลงข้อมูล!Q:Q,แปลงข้อมูล!I:I,U224,แปลงข้อมูล!H:H,Q224,แปลงข้อมูล!J:J,V224),'mk 001 10.3'!Z225)</f>
        <v>10</v>
      </c>
      <c r="AA224">
        <f>'mk 001 10.3'!AA225</f>
        <v>0</v>
      </c>
      <c r="AB224">
        <f>'mk 001 10.3'!AB225</f>
        <v>0</v>
      </c>
      <c r="AC224">
        <f>'mk 001 10.3'!AC225</f>
        <v>0</v>
      </c>
      <c r="AD224">
        <f>'mk 001 10.3'!AD225</f>
        <v>0</v>
      </c>
      <c r="AE224">
        <f>'mk 001 10.3'!AE225</f>
        <v>10</v>
      </c>
      <c r="AF224">
        <f>'mk 001 10.3'!AF225</f>
        <v>10</v>
      </c>
      <c r="AG224">
        <f>'mk 001 10.3'!AG225</f>
        <v>0</v>
      </c>
      <c r="AH224">
        <f>'mk 001 10.3'!AH225</f>
        <v>0</v>
      </c>
      <c r="AI224" t="str">
        <f>'mk 001 10.3'!AI225</f>
        <v>OPRCD489MOPRCD00000OPRCDF213OPRCD00000OPRCD923</v>
      </c>
      <c r="AJ224" t="str">
        <f>'mk 001 10.3'!AJ225</f>
        <v>ซื้อ / ขาย</v>
      </c>
      <c r="AK224" t="str">
        <f>'mk 001 10.3'!AK225</f>
        <v>Main proudct</v>
      </c>
      <c r="AL224" t="str">
        <f>'mk 001 10.3'!AL225</f>
        <v>Bulk Normal</v>
      </c>
      <c r="AM224" t="str">
        <f>'mk 001 10.3'!AM225</f>
        <v>สุกร</v>
      </c>
      <c r="AN224" t="str">
        <f>'mk 001 10.3'!AN225</f>
        <v>OT002 CC-Makro</v>
      </c>
      <c r="AO224" t="str">
        <f>'mk 001 10.3'!AO225</f>
        <v>MT</v>
      </c>
      <c r="AP224">
        <f>'mk 001 10.3'!AP225</f>
        <v>2</v>
      </c>
      <c r="AQ224">
        <f>'mk 001 10.3'!AQ225</f>
        <v>0</v>
      </c>
      <c r="AR224">
        <f>'mk 001 10.3'!AR225</f>
        <v>0</v>
      </c>
      <c r="AS224">
        <f>'mk 001 10.3'!AS225</f>
        <v>0</v>
      </c>
      <c r="AT224" t="str">
        <f>'mk 001 10.3'!AT225</f>
        <v>เบญจพจน์ เพชรเหลี่ยม</v>
      </c>
      <c r="AU224" t="str">
        <f>'mk 001 10.3'!AU225</f>
        <v>2026-05-11-13.33.46.000000</v>
      </c>
      <c r="AV224" t="str">
        <f>'mk 001 10.3'!AV225</f>
        <v>ก.ก.</v>
      </c>
      <c r="AW224" t="str">
        <f>'mk 001 10.3'!AW225</f>
        <v>ก.ก.</v>
      </c>
      <c r="AX224" t="str">
        <f>'mk 001 10.3'!AX225</f>
        <v xml:space="preserve"> </v>
      </c>
      <c r="AY224">
        <f>'mk 001 10.3'!AY225</f>
        <v>0</v>
      </c>
      <c r="AZ224" t="str">
        <f>'mk 001 10.3'!AZ225</f>
        <v>N</v>
      </c>
      <c r="BA224" s="22">
        <f>'mk 001 10.3'!BA225</f>
        <v>9044989536467</v>
      </c>
      <c r="BB224">
        <f>'mk 001 10.3'!BB225</f>
        <v>0</v>
      </c>
      <c r="BC224">
        <f>'mk 001 10.3'!BC225</f>
        <v>0</v>
      </c>
      <c r="BD224">
        <f>'mk 001 10.3'!BD225</f>
        <v>1</v>
      </c>
      <c r="BE224">
        <f>'mk 001 10.3'!BE225</f>
        <v>0</v>
      </c>
      <c r="BF224" t="str">
        <f>'mk 001 10.3'!BF225</f>
        <v>;0000</v>
      </c>
      <c r="BG224">
        <f>'mk 001 10.3'!BG225</f>
        <v>1333314600</v>
      </c>
      <c r="BH224" t="str">
        <f>'mk 001 10.3'!BH225</f>
        <v>G</v>
      </c>
      <c r="BI224">
        <f>'mk 001 10.3'!BI225</f>
        <v>10</v>
      </c>
      <c r="BJ224">
        <f>'mk 001 10.3'!BJ225</f>
        <v>10</v>
      </c>
      <c r="BK224">
        <f>'mk 001 10.3'!BK225</f>
        <v>1300</v>
      </c>
      <c r="BL224" t="str">
        <f>'mk 001 10.3'!BL225</f>
        <v>SYSBATCH</v>
      </c>
      <c r="BM224">
        <f>'mk 001 10.3'!BM225</f>
        <v>0</v>
      </c>
      <c r="BN224">
        <f>'mk 001 10.3'!BN225</f>
        <v>0</v>
      </c>
    </row>
    <row r="225" spans="1:66" x14ac:dyDescent="0.35">
      <c r="A225">
        <f>'mk 001 10.3'!A226</f>
        <v>0</v>
      </c>
      <c r="B225">
        <f>'mk 001 10.3'!B226</f>
        <v>0</v>
      </c>
      <c r="C225" s="1" t="str">
        <f>'mk 001 10.3'!C226</f>
        <v>14/5/2569</v>
      </c>
      <c r="D225" s="1" t="str">
        <f>'mk 001 10.3'!D226</f>
        <v>14/5/2569</v>
      </c>
      <c r="E225">
        <f>'mk 001 10.3'!E226</f>
        <v>0</v>
      </c>
      <c r="F225" t="str">
        <f>'mk 001 10.3'!F226</f>
        <v>489M</v>
      </c>
      <c r="G225" t="str">
        <f>'mk 001 10.3'!G226</f>
        <v>Modern Trade (Makro)</v>
      </c>
      <c r="H225">
        <f>'mk 001 10.3'!H226</f>
        <v>0</v>
      </c>
      <c r="I225" t="str">
        <f>'mk 001 10.3'!I226</f>
        <v>หน่วยงานกลาง</v>
      </c>
      <c r="J225" t="str">
        <f>'mk 001 10.3'!J226</f>
        <v>F213  DMCW-รชล-พระพุทธบาท</v>
      </c>
      <c r="K225" t="str">
        <f>'mk 001 10.3'!K226</f>
        <v>00000  หน่วยงานกลาง</v>
      </c>
      <c r="L225">
        <f>'mk 001 10.3'!L226</f>
        <v>923</v>
      </c>
      <c r="M225">
        <f>'mk 001 10.3'!M226</f>
        <v>0</v>
      </c>
      <c r="N225" t="str">
        <f>'mk 001 10.3'!N226</f>
        <v>1A53004800</v>
      </c>
      <c r="O225" t="str">
        <f>'mk 001 10.3'!O226</f>
        <v>บมจ. ซีพี แอ็กซ์ตร้า สาขาลพบุรี</v>
      </c>
      <c r="P225">
        <f>'mk 001 10.3'!P226</f>
        <v>2</v>
      </c>
      <c r="Q225" t="str">
        <f>'mk 001 10.3'!Q226</f>
        <v>MAKRO 0047 ลพบุรี</v>
      </c>
      <c r="R225" s="1">
        <f>'mk 001 10.3'!R226</f>
        <v>244688</v>
      </c>
      <c r="S225" s="1" t="str">
        <f>'mk 001 10.3'!S226</f>
        <v>14/5/2569</v>
      </c>
      <c r="T225" t="str">
        <f>'mk 001 10.3'!T226</f>
        <v>H6954RMA0059669</v>
      </c>
      <c r="U225">
        <f>'mk 001 10.3'!U226</f>
        <v>23084674</v>
      </c>
      <c r="V225" t="str">
        <f>'mk 001 10.3'!V226</f>
        <v>เลือดหมูก้อนปรุงรสพาสเจอร์ไรซ์400กรัม-C</v>
      </c>
      <c r="W225">
        <f>'mk 001 10.3'!W226</f>
        <v>28</v>
      </c>
      <c r="X225">
        <f>'mk 001 10.3'!X226</f>
        <v>11.2</v>
      </c>
      <c r="Y225">
        <f t="shared" si="3"/>
        <v>28</v>
      </c>
      <c r="Z225" s="13">
        <f>IF(COUNTIFS(แปลงข้อมูล!H:H,Q225,แปลงข้อมูล!I:I,U225,แปลงข้อมูล!J:J,V225)&gt;0,SUMIFS(แปลงข้อมูล!Q:Q,แปลงข้อมูล!I:I,U225,แปลงข้อมูล!H:H,Q225,แปลงข้อมูล!J:J,V225),'mk 001 10.3'!Z226)</f>
        <v>11.2</v>
      </c>
      <c r="AA225">
        <f>'mk 001 10.3'!AA226</f>
        <v>0</v>
      </c>
      <c r="AB225">
        <f>'mk 001 10.3'!AB226</f>
        <v>0</v>
      </c>
      <c r="AC225">
        <f>'mk 001 10.3'!AC226</f>
        <v>0</v>
      </c>
      <c r="AD225">
        <f>'mk 001 10.3'!AD226</f>
        <v>0</v>
      </c>
      <c r="AE225">
        <f>'mk 001 10.3'!AE226</f>
        <v>28</v>
      </c>
      <c r="AF225">
        <f>'mk 001 10.3'!AF226</f>
        <v>11.2</v>
      </c>
      <c r="AG225">
        <f>'mk 001 10.3'!AG226</f>
        <v>0</v>
      </c>
      <c r="AH225">
        <f>'mk 001 10.3'!AH226</f>
        <v>0</v>
      </c>
      <c r="AI225" t="str">
        <f>'mk 001 10.3'!AI226</f>
        <v>OPRCD489MOPRCD00000OPRCDF213OPRCD00000OPRCD923</v>
      </c>
      <c r="AJ225" t="str">
        <f>'mk 001 10.3'!AJ226</f>
        <v>ซื้อ / ขาย</v>
      </c>
      <c r="AK225" t="str">
        <f>'mk 001 10.3'!AK226</f>
        <v>By proudct</v>
      </c>
      <c r="AL225" t="str">
        <f>'mk 001 10.3'!AL226</f>
        <v>Wrap</v>
      </c>
      <c r="AM225" t="str">
        <f>'mk 001 10.3'!AM226</f>
        <v>สุกร</v>
      </c>
      <c r="AN225" t="str">
        <f>'mk 001 10.3'!AN226</f>
        <v>OT002 CC-Makro</v>
      </c>
      <c r="AO225" t="str">
        <f>'mk 001 10.3'!AO226</f>
        <v>MT</v>
      </c>
      <c r="AP225">
        <f>'mk 001 10.3'!AP226</f>
        <v>2</v>
      </c>
      <c r="AQ225">
        <f>'mk 001 10.3'!AQ226</f>
        <v>0</v>
      </c>
      <c r="AR225">
        <f>'mk 001 10.3'!AR226</f>
        <v>0</v>
      </c>
      <c r="AS225">
        <f>'mk 001 10.3'!AS226</f>
        <v>0</v>
      </c>
      <c r="AT225" t="str">
        <f>'mk 001 10.3'!AT226</f>
        <v>สุภาวดี มีแทน</v>
      </c>
      <c r="AU225" t="str">
        <f>'mk 001 10.3'!AU226</f>
        <v>2026-05-12-08.48.58.000000</v>
      </c>
      <c r="AV225" t="str">
        <f>'mk 001 10.3'!AV226</f>
        <v>ถาด</v>
      </c>
      <c r="AW225" t="str">
        <f>'mk 001 10.3'!AW226</f>
        <v>ก.ก.</v>
      </c>
      <c r="AX225" t="str">
        <f>'mk 001 10.3'!AX226</f>
        <v xml:space="preserve"> </v>
      </c>
      <c r="AY225">
        <f>'mk 001 10.3'!AY226</f>
        <v>0</v>
      </c>
      <c r="AZ225" t="str">
        <f>'mk 001 10.3'!AZ226</f>
        <v>N</v>
      </c>
      <c r="BA225" s="22">
        <f>'mk 001 10.3'!BA226</f>
        <v>9045089556849</v>
      </c>
      <c r="BB225">
        <f>'mk 001 10.3'!BB226</f>
        <v>0</v>
      </c>
      <c r="BC225">
        <f>'mk 001 10.3'!BC226</f>
        <v>0</v>
      </c>
      <c r="BD225">
        <f>'mk 001 10.3'!BD226</f>
        <v>1</v>
      </c>
      <c r="BE225">
        <f>'mk 001 10.3'!BE226</f>
        <v>0</v>
      </c>
      <c r="BF225">
        <f>'mk 001 10.3'!BF226</f>
        <v>0</v>
      </c>
      <c r="BG225">
        <f>'mk 001 10.3'!BG226</f>
        <v>1333314600</v>
      </c>
      <c r="BH225" t="str">
        <f>'mk 001 10.3'!BH226</f>
        <v>G</v>
      </c>
      <c r="BI225">
        <f>'mk 001 10.3'!BI226</f>
        <v>28</v>
      </c>
      <c r="BJ225">
        <f>'mk 001 10.3'!BJ226</f>
        <v>11.2</v>
      </c>
      <c r="BK225">
        <f>'mk 001 10.3'!BK226</f>
        <v>1300</v>
      </c>
      <c r="BL225" t="str">
        <f>'mk 001 10.3'!BL226</f>
        <v>SYSBATCH</v>
      </c>
      <c r="BM225">
        <f>'mk 001 10.3'!BM226</f>
        <v>0</v>
      </c>
      <c r="BN225">
        <f>'mk 001 10.3'!BN226</f>
        <v>0</v>
      </c>
    </row>
    <row r="226" spans="1:66" x14ac:dyDescent="0.35">
      <c r="A226">
        <f>'mk 001 10.3'!A227</f>
        <v>0</v>
      </c>
      <c r="B226">
        <f>'mk 001 10.3'!B227</f>
        <v>0</v>
      </c>
      <c r="C226" s="1" t="str">
        <f>'mk 001 10.3'!C227</f>
        <v>14/5/2569</v>
      </c>
      <c r="D226" s="1" t="str">
        <f>'mk 001 10.3'!D227</f>
        <v>14/5/2569</v>
      </c>
      <c r="E226">
        <f>'mk 001 10.3'!E227</f>
        <v>0</v>
      </c>
      <c r="F226" t="str">
        <f>'mk 001 10.3'!F227</f>
        <v>489M</v>
      </c>
      <c r="G226" t="str">
        <f>'mk 001 10.3'!G227</f>
        <v>Modern Trade (Makro)</v>
      </c>
      <c r="H226">
        <f>'mk 001 10.3'!H227</f>
        <v>0</v>
      </c>
      <c r="I226" t="str">
        <f>'mk 001 10.3'!I227</f>
        <v>หน่วยงานกลาง</v>
      </c>
      <c r="J226" t="str">
        <f>'mk 001 10.3'!J227</f>
        <v>F213  DMCW-รชล-พระพุทธบาท</v>
      </c>
      <c r="K226" t="str">
        <f>'mk 001 10.3'!K227</f>
        <v>00000  หน่วยงานกลาง</v>
      </c>
      <c r="L226">
        <f>'mk 001 10.3'!L227</f>
        <v>923</v>
      </c>
      <c r="M226">
        <f>'mk 001 10.3'!M227</f>
        <v>0</v>
      </c>
      <c r="N226" t="str">
        <f>'mk 001 10.3'!N227</f>
        <v>1A53005200</v>
      </c>
      <c r="O226" t="str">
        <f>'mk 001 10.3'!O227</f>
        <v>บมจ. ซีพี แอ็กซ์ตร้า สาขาอยุธยา</v>
      </c>
      <c r="P226">
        <f>'mk 001 10.3'!P227</f>
        <v>2</v>
      </c>
      <c r="Q226" t="str">
        <f>'mk 001 10.3'!Q227</f>
        <v>MAKRO 0051 อยุธยา</v>
      </c>
      <c r="R226" s="1">
        <f>'mk 001 10.3'!R227</f>
        <v>244688</v>
      </c>
      <c r="S226" s="1" t="str">
        <f>'mk 001 10.3'!S227</f>
        <v>14/5/2569</v>
      </c>
      <c r="T226" t="str">
        <f>'mk 001 10.3'!T227</f>
        <v>H6954RMA0059671</v>
      </c>
      <c r="U226">
        <f>'mk 001 10.3'!U227</f>
        <v>23084674</v>
      </c>
      <c r="V226" t="str">
        <f>'mk 001 10.3'!V227</f>
        <v>เลือดหมูก้อนปรุงรสพาสเจอร์ไรซ์400กรัม-C</v>
      </c>
      <c r="W226">
        <f>'mk 001 10.3'!W227</f>
        <v>28</v>
      </c>
      <c r="X226">
        <f>'mk 001 10.3'!X227</f>
        <v>11.2</v>
      </c>
      <c r="Y226">
        <f t="shared" si="3"/>
        <v>28</v>
      </c>
      <c r="Z226" s="13">
        <f>IF(COUNTIFS(แปลงข้อมูล!H:H,Q226,แปลงข้อมูล!I:I,U226,แปลงข้อมูล!J:J,V226)&gt;0,SUMIFS(แปลงข้อมูล!Q:Q,แปลงข้อมูล!I:I,U226,แปลงข้อมูล!H:H,Q226,แปลงข้อมูล!J:J,V226),'mk 001 10.3'!Z227)</f>
        <v>11.2</v>
      </c>
      <c r="AA226">
        <f>'mk 001 10.3'!AA227</f>
        <v>0</v>
      </c>
      <c r="AB226">
        <f>'mk 001 10.3'!AB227</f>
        <v>0</v>
      </c>
      <c r="AC226">
        <f>'mk 001 10.3'!AC227</f>
        <v>0</v>
      </c>
      <c r="AD226">
        <f>'mk 001 10.3'!AD227</f>
        <v>0</v>
      </c>
      <c r="AE226">
        <f>'mk 001 10.3'!AE227</f>
        <v>28</v>
      </c>
      <c r="AF226">
        <f>'mk 001 10.3'!AF227</f>
        <v>11.2</v>
      </c>
      <c r="AG226">
        <f>'mk 001 10.3'!AG227</f>
        <v>0</v>
      </c>
      <c r="AH226">
        <f>'mk 001 10.3'!AH227</f>
        <v>0</v>
      </c>
      <c r="AI226" t="str">
        <f>'mk 001 10.3'!AI227</f>
        <v>OPRCD489MOPRCD00000OPRCDF213OPRCD00000OPRCD923</v>
      </c>
      <c r="AJ226" t="str">
        <f>'mk 001 10.3'!AJ227</f>
        <v>ซื้อ / ขาย</v>
      </c>
      <c r="AK226" t="str">
        <f>'mk 001 10.3'!AK227</f>
        <v>By proudct</v>
      </c>
      <c r="AL226" t="str">
        <f>'mk 001 10.3'!AL227</f>
        <v>Wrap</v>
      </c>
      <c r="AM226" t="str">
        <f>'mk 001 10.3'!AM227</f>
        <v>สุกร</v>
      </c>
      <c r="AN226" t="str">
        <f>'mk 001 10.3'!AN227</f>
        <v>OT002 CC-Makro</v>
      </c>
      <c r="AO226" t="str">
        <f>'mk 001 10.3'!AO227</f>
        <v>MT</v>
      </c>
      <c r="AP226">
        <f>'mk 001 10.3'!AP227</f>
        <v>2</v>
      </c>
      <c r="AQ226">
        <f>'mk 001 10.3'!AQ227</f>
        <v>0</v>
      </c>
      <c r="AR226">
        <f>'mk 001 10.3'!AR227</f>
        <v>0</v>
      </c>
      <c r="AS226">
        <f>'mk 001 10.3'!AS227</f>
        <v>0</v>
      </c>
      <c r="AT226" t="str">
        <f>'mk 001 10.3'!AT227</f>
        <v>สุภาวดี มีแทน</v>
      </c>
      <c r="AU226" t="str">
        <f>'mk 001 10.3'!AU227</f>
        <v>2026-05-12-08.48.58.000000</v>
      </c>
      <c r="AV226" t="str">
        <f>'mk 001 10.3'!AV227</f>
        <v>ถาด</v>
      </c>
      <c r="AW226" t="str">
        <f>'mk 001 10.3'!AW227</f>
        <v>ก.ก.</v>
      </c>
      <c r="AX226" t="str">
        <f>'mk 001 10.3'!AX227</f>
        <v xml:space="preserve"> </v>
      </c>
      <c r="AY226">
        <f>'mk 001 10.3'!AY227</f>
        <v>0</v>
      </c>
      <c r="AZ226" t="str">
        <f>'mk 001 10.3'!AZ227</f>
        <v>N</v>
      </c>
      <c r="BA226" s="22">
        <f>'mk 001 10.3'!BA227</f>
        <v>9045089556851</v>
      </c>
      <c r="BB226">
        <f>'mk 001 10.3'!BB227</f>
        <v>0</v>
      </c>
      <c r="BC226">
        <f>'mk 001 10.3'!BC227</f>
        <v>0</v>
      </c>
      <c r="BD226">
        <f>'mk 001 10.3'!BD227</f>
        <v>1</v>
      </c>
      <c r="BE226">
        <f>'mk 001 10.3'!BE227</f>
        <v>0</v>
      </c>
      <c r="BF226">
        <f>'mk 001 10.3'!BF227</f>
        <v>0</v>
      </c>
      <c r="BG226">
        <f>'mk 001 10.3'!BG227</f>
        <v>1333314600</v>
      </c>
      <c r="BH226" t="str">
        <f>'mk 001 10.3'!BH227</f>
        <v>G</v>
      </c>
      <c r="BI226">
        <f>'mk 001 10.3'!BI227</f>
        <v>28</v>
      </c>
      <c r="BJ226">
        <f>'mk 001 10.3'!BJ227</f>
        <v>11.2</v>
      </c>
      <c r="BK226">
        <f>'mk 001 10.3'!BK227</f>
        <v>1300</v>
      </c>
      <c r="BL226" t="str">
        <f>'mk 001 10.3'!BL227</f>
        <v>SYSBATCH</v>
      </c>
      <c r="BM226">
        <f>'mk 001 10.3'!BM227</f>
        <v>0</v>
      </c>
      <c r="BN226">
        <f>'mk 001 10.3'!BN227</f>
        <v>0</v>
      </c>
    </row>
    <row r="227" spans="1:66" x14ac:dyDescent="0.35">
      <c r="A227">
        <f>'mk 001 10.3'!A228</f>
        <v>0</v>
      </c>
      <c r="B227">
        <f>'mk 001 10.3'!B228</f>
        <v>0</v>
      </c>
      <c r="C227" s="1" t="str">
        <f>'mk 001 10.3'!C228</f>
        <v>14/5/2569</v>
      </c>
      <c r="D227" s="1" t="str">
        <f>'mk 001 10.3'!D228</f>
        <v>14/5/2569</v>
      </c>
      <c r="E227">
        <f>'mk 001 10.3'!E228</f>
        <v>0</v>
      </c>
      <c r="F227" t="str">
        <f>'mk 001 10.3'!F228</f>
        <v>489M</v>
      </c>
      <c r="G227" t="str">
        <f>'mk 001 10.3'!G228</f>
        <v>Modern Trade (Makro)</v>
      </c>
      <c r="H227">
        <f>'mk 001 10.3'!H228</f>
        <v>0</v>
      </c>
      <c r="I227" t="str">
        <f>'mk 001 10.3'!I228</f>
        <v>หน่วยงานกลาง</v>
      </c>
      <c r="J227" t="str">
        <f>'mk 001 10.3'!J228</f>
        <v>F213  DMCW-รชล-พระพุทธบาท</v>
      </c>
      <c r="K227" t="str">
        <f>'mk 001 10.3'!K228</f>
        <v>00000  หน่วยงานกลาง</v>
      </c>
      <c r="L227">
        <f>'mk 001 10.3'!L228</f>
        <v>923</v>
      </c>
      <c r="M227">
        <f>'mk 001 10.3'!M228</f>
        <v>0</v>
      </c>
      <c r="N227" t="str">
        <f>'mk 001 10.3'!N228</f>
        <v>1A53010800</v>
      </c>
      <c r="O227" t="str">
        <f>'mk 001 10.3'!O228</f>
        <v>บมจ. ซีพี แอ็กซ์ตร้า สาขาสิงห์บุรี</v>
      </c>
      <c r="P227">
        <f>'mk 001 10.3'!P228</f>
        <v>2</v>
      </c>
      <c r="Q227" t="str">
        <f>'mk 001 10.3'!Q228</f>
        <v>MAKRO 0114 สิงห์บุรี</v>
      </c>
      <c r="R227" s="1">
        <f>'mk 001 10.3'!R228</f>
        <v>244688</v>
      </c>
      <c r="S227" s="1" t="str">
        <f>'mk 001 10.3'!S228</f>
        <v>14/5/2569</v>
      </c>
      <c r="T227" t="str">
        <f>'mk 001 10.3'!T228</f>
        <v>H6954RMA0059681</v>
      </c>
      <c r="U227">
        <f>'mk 001 10.3'!U228</f>
        <v>23084674</v>
      </c>
      <c r="V227" t="str">
        <f>'mk 001 10.3'!V228</f>
        <v>เลือดหมูก้อนปรุงรสพาสเจอร์ไรซ์400กรัม-C</v>
      </c>
      <c r="W227">
        <f>'mk 001 10.3'!W228</f>
        <v>14</v>
      </c>
      <c r="X227">
        <f>'mk 001 10.3'!X228</f>
        <v>5.6</v>
      </c>
      <c r="Y227">
        <f t="shared" si="3"/>
        <v>14</v>
      </c>
      <c r="Z227" s="13">
        <f>IF(COUNTIFS(แปลงข้อมูล!H:H,Q227,แปลงข้อมูล!I:I,U227,แปลงข้อมูล!J:J,V227)&gt;0,SUMIFS(แปลงข้อมูล!Q:Q,แปลงข้อมูล!I:I,U227,แปลงข้อมูล!H:H,Q227,แปลงข้อมูล!J:J,V227),'mk 001 10.3'!Z228)</f>
        <v>5.6</v>
      </c>
      <c r="AA227">
        <f>'mk 001 10.3'!AA228</f>
        <v>0</v>
      </c>
      <c r="AB227">
        <f>'mk 001 10.3'!AB228</f>
        <v>0</v>
      </c>
      <c r="AC227">
        <f>'mk 001 10.3'!AC228</f>
        <v>0</v>
      </c>
      <c r="AD227">
        <f>'mk 001 10.3'!AD228</f>
        <v>0</v>
      </c>
      <c r="AE227">
        <f>'mk 001 10.3'!AE228</f>
        <v>14</v>
      </c>
      <c r="AF227">
        <f>'mk 001 10.3'!AF228</f>
        <v>5.6</v>
      </c>
      <c r="AG227">
        <f>'mk 001 10.3'!AG228</f>
        <v>0</v>
      </c>
      <c r="AH227">
        <f>'mk 001 10.3'!AH228</f>
        <v>0</v>
      </c>
      <c r="AI227" t="str">
        <f>'mk 001 10.3'!AI228</f>
        <v>OPRCD489MOPRCD00000OPRCDF213OPRCD00000OPRCD923</v>
      </c>
      <c r="AJ227" t="str">
        <f>'mk 001 10.3'!AJ228</f>
        <v>ซื้อ / ขาย</v>
      </c>
      <c r="AK227" t="str">
        <f>'mk 001 10.3'!AK228</f>
        <v>By proudct</v>
      </c>
      <c r="AL227" t="str">
        <f>'mk 001 10.3'!AL228</f>
        <v>Wrap</v>
      </c>
      <c r="AM227" t="str">
        <f>'mk 001 10.3'!AM228</f>
        <v>สุกร</v>
      </c>
      <c r="AN227" t="str">
        <f>'mk 001 10.3'!AN228</f>
        <v>OT002 CC-Makro</v>
      </c>
      <c r="AO227" t="str">
        <f>'mk 001 10.3'!AO228</f>
        <v>MT</v>
      </c>
      <c r="AP227">
        <f>'mk 001 10.3'!AP228</f>
        <v>2</v>
      </c>
      <c r="AQ227">
        <f>'mk 001 10.3'!AQ228</f>
        <v>0</v>
      </c>
      <c r="AR227">
        <f>'mk 001 10.3'!AR228</f>
        <v>0</v>
      </c>
      <c r="AS227">
        <f>'mk 001 10.3'!AS228</f>
        <v>0</v>
      </c>
      <c r="AT227" t="str">
        <f>'mk 001 10.3'!AT228</f>
        <v>สุภาวดี มีแทน</v>
      </c>
      <c r="AU227" t="str">
        <f>'mk 001 10.3'!AU228</f>
        <v>2026-05-12-08.48.58.000000</v>
      </c>
      <c r="AV227" t="str">
        <f>'mk 001 10.3'!AV228</f>
        <v>ถาด</v>
      </c>
      <c r="AW227" t="str">
        <f>'mk 001 10.3'!AW228</f>
        <v>ก.ก.</v>
      </c>
      <c r="AX227" t="str">
        <f>'mk 001 10.3'!AX228</f>
        <v xml:space="preserve"> </v>
      </c>
      <c r="AY227">
        <f>'mk 001 10.3'!AY228</f>
        <v>0</v>
      </c>
      <c r="AZ227" t="str">
        <f>'mk 001 10.3'!AZ228</f>
        <v>N</v>
      </c>
      <c r="BA227" s="22">
        <f>'mk 001 10.3'!BA228</f>
        <v>9045089556861</v>
      </c>
      <c r="BB227">
        <f>'mk 001 10.3'!BB228</f>
        <v>0</v>
      </c>
      <c r="BC227">
        <f>'mk 001 10.3'!BC228</f>
        <v>0</v>
      </c>
      <c r="BD227">
        <f>'mk 001 10.3'!BD228</f>
        <v>1</v>
      </c>
      <c r="BE227">
        <f>'mk 001 10.3'!BE228</f>
        <v>0</v>
      </c>
      <c r="BF227">
        <f>'mk 001 10.3'!BF228</f>
        <v>0</v>
      </c>
      <c r="BG227">
        <f>'mk 001 10.3'!BG228</f>
        <v>1333314600</v>
      </c>
      <c r="BH227" t="str">
        <f>'mk 001 10.3'!BH228</f>
        <v>G</v>
      </c>
      <c r="BI227">
        <f>'mk 001 10.3'!BI228</f>
        <v>14</v>
      </c>
      <c r="BJ227">
        <f>'mk 001 10.3'!BJ228</f>
        <v>5.6</v>
      </c>
      <c r="BK227">
        <f>'mk 001 10.3'!BK228</f>
        <v>1300</v>
      </c>
      <c r="BL227" t="str">
        <f>'mk 001 10.3'!BL228</f>
        <v>SYSBATCH</v>
      </c>
      <c r="BM227">
        <f>'mk 001 10.3'!BM228</f>
        <v>0</v>
      </c>
      <c r="BN227">
        <f>'mk 001 10.3'!BN228</f>
        <v>0</v>
      </c>
    </row>
    <row r="228" spans="1:66" x14ac:dyDescent="0.35">
      <c r="A228">
        <f>'mk 001 10.3'!A229</f>
        <v>0</v>
      </c>
      <c r="B228">
        <f>'mk 001 10.3'!B229</f>
        <v>0</v>
      </c>
      <c r="C228" s="1" t="str">
        <f>'mk 001 10.3'!C229</f>
        <v>14/5/2569</v>
      </c>
      <c r="D228" s="1" t="str">
        <f>'mk 001 10.3'!D229</f>
        <v>14/5/2569</v>
      </c>
      <c r="E228">
        <f>'mk 001 10.3'!E229</f>
        <v>0</v>
      </c>
      <c r="F228" t="str">
        <f>'mk 001 10.3'!F229</f>
        <v>489M</v>
      </c>
      <c r="G228" t="str">
        <f>'mk 001 10.3'!G229</f>
        <v>Modern Trade (Makro)</v>
      </c>
      <c r="H228">
        <f>'mk 001 10.3'!H229</f>
        <v>0</v>
      </c>
      <c r="I228" t="str">
        <f>'mk 001 10.3'!I229</f>
        <v>หน่วยงานกลาง</v>
      </c>
      <c r="J228" t="str">
        <f>'mk 001 10.3'!J229</f>
        <v>F213  DMCW-รชล-พระพุทธบาท</v>
      </c>
      <c r="K228" t="str">
        <f>'mk 001 10.3'!K229</f>
        <v>00000  หน่วยงานกลาง</v>
      </c>
      <c r="L228">
        <f>'mk 001 10.3'!L229</f>
        <v>923</v>
      </c>
      <c r="M228">
        <f>'mk 001 10.3'!M229</f>
        <v>0</v>
      </c>
      <c r="N228" t="str">
        <f>'mk 001 10.3'!N229</f>
        <v>1A53017200</v>
      </c>
      <c r="O228" t="str">
        <f>'mk 001 10.3'!O229</f>
        <v>บมจ. ซีพี แอ็กซ์ตร้า สาขาชัยนาท</v>
      </c>
      <c r="P228">
        <f>'mk 001 10.3'!P229</f>
        <v>2</v>
      </c>
      <c r="Q228" t="str">
        <f>'mk 001 10.3'!Q229</f>
        <v>MAKRO 0164 สาขาชัยนาท</v>
      </c>
      <c r="R228" s="1">
        <f>'mk 001 10.3'!R229</f>
        <v>244688</v>
      </c>
      <c r="S228" s="1" t="str">
        <f>'mk 001 10.3'!S229</f>
        <v>14/5/2569</v>
      </c>
      <c r="T228" t="str">
        <f>'mk 001 10.3'!T229</f>
        <v>H6954RMA0059701</v>
      </c>
      <c r="U228">
        <f>'mk 001 10.3'!U229</f>
        <v>23084674</v>
      </c>
      <c r="V228" t="str">
        <f>'mk 001 10.3'!V229</f>
        <v>เลือดหมูก้อนปรุงรสพาสเจอร์ไรซ์400กรัม-C</v>
      </c>
      <c r="W228">
        <f>'mk 001 10.3'!W229</f>
        <v>14</v>
      </c>
      <c r="X228">
        <f>'mk 001 10.3'!X229</f>
        <v>5.6</v>
      </c>
      <c r="Y228">
        <f t="shared" si="3"/>
        <v>14</v>
      </c>
      <c r="Z228" s="13">
        <f>IF(COUNTIFS(แปลงข้อมูล!H:H,Q228,แปลงข้อมูล!I:I,U228,แปลงข้อมูล!J:J,V228)&gt;0,SUMIFS(แปลงข้อมูล!Q:Q,แปลงข้อมูล!I:I,U228,แปลงข้อมูล!H:H,Q228,แปลงข้อมูล!J:J,V228),'mk 001 10.3'!Z229)</f>
        <v>5.6</v>
      </c>
      <c r="AA228">
        <f>'mk 001 10.3'!AA229</f>
        <v>0</v>
      </c>
      <c r="AB228">
        <f>'mk 001 10.3'!AB229</f>
        <v>0</v>
      </c>
      <c r="AC228">
        <f>'mk 001 10.3'!AC229</f>
        <v>0</v>
      </c>
      <c r="AD228">
        <f>'mk 001 10.3'!AD229</f>
        <v>0</v>
      </c>
      <c r="AE228">
        <f>'mk 001 10.3'!AE229</f>
        <v>14</v>
      </c>
      <c r="AF228">
        <f>'mk 001 10.3'!AF229</f>
        <v>5.6</v>
      </c>
      <c r="AG228">
        <f>'mk 001 10.3'!AG229</f>
        <v>0</v>
      </c>
      <c r="AH228">
        <f>'mk 001 10.3'!AH229</f>
        <v>0</v>
      </c>
      <c r="AI228" t="str">
        <f>'mk 001 10.3'!AI229</f>
        <v>OPRCD489MOPRCD00000OPRCDF213OPRCD00000OPRCD923</v>
      </c>
      <c r="AJ228" t="str">
        <f>'mk 001 10.3'!AJ229</f>
        <v>ซื้อ / ขาย</v>
      </c>
      <c r="AK228" t="str">
        <f>'mk 001 10.3'!AK229</f>
        <v>By proudct</v>
      </c>
      <c r="AL228" t="str">
        <f>'mk 001 10.3'!AL229</f>
        <v>Wrap</v>
      </c>
      <c r="AM228" t="str">
        <f>'mk 001 10.3'!AM229</f>
        <v>สุกร</v>
      </c>
      <c r="AN228" t="str">
        <f>'mk 001 10.3'!AN229</f>
        <v>MT2001 SUPER MK.-Makro</v>
      </c>
      <c r="AO228" t="str">
        <f>'mk 001 10.3'!AO229</f>
        <v>MT</v>
      </c>
      <c r="AP228">
        <f>'mk 001 10.3'!AP229</f>
        <v>20</v>
      </c>
      <c r="AQ228">
        <f>'mk 001 10.3'!AQ229</f>
        <v>1</v>
      </c>
      <c r="AR228">
        <f>'mk 001 10.3'!AR229</f>
        <v>0</v>
      </c>
      <c r="AS228">
        <f>'mk 001 10.3'!AS229</f>
        <v>0</v>
      </c>
      <c r="AT228" t="str">
        <f>'mk 001 10.3'!AT229</f>
        <v>สุภาวดี มีแทน</v>
      </c>
      <c r="AU228" t="str">
        <f>'mk 001 10.3'!AU229</f>
        <v>2026-05-12-08.48.58.000000</v>
      </c>
      <c r="AV228" t="str">
        <f>'mk 001 10.3'!AV229</f>
        <v>ถาด</v>
      </c>
      <c r="AW228" t="str">
        <f>'mk 001 10.3'!AW229</f>
        <v>ก.ก.</v>
      </c>
      <c r="AX228" t="str">
        <f>'mk 001 10.3'!AX229</f>
        <v xml:space="preserve"> </v>
      </c>
      <c r="AY228">
        <f>'mk 001 10.3'!AY229</f>
        <v>0</v>
      </c>
      <c r="AZ228" t="str">
        <f>'mk 001 10.3'!AZ229</f>
        <v>N</v>
      </c>
      <c r="BA228" s="22">
        <f>'mk 001 10.3'!BA229</f>
        <v>9045089556881</v>
      </c>
      <c r="BB228">
        <f>'mk 001 10.3'!BB229</f>
        <v>0</v>
      </c>
      <c r="BC228">
        <f>'mk 001 10.3'!BC229</f>
        <v>0</v>
      </c>
      <c r="BD228">
        <f>'mk 001 10.3'!BD229</f>
        <v>1</v>
      </c>
      <c r="BE228">
        <f>'mk 001 10.3'!BE229</f>
        <v>0</v>
      </c>
      <c r="BF228">
        <f>'mk 001 10.3'!BF229</f>
        <v>0</v>
      </c>
      <c r="BG228">
        <f>'mk 001 10.3'!BG229</f>
        <v>1333314600</v>
      </c>
      <c r="BH228" t="str">
        <f>'mk 001 10.3'!BH229</f>
        <v>G</v>
      </c>
      <c r="BI228">
        <f>'mk 001 10.3'!BI229</f>
        <v>14</v>
      </c>
      <c r="BJ228">
        <f>'mk 001 10.3'!BJ229</f>
        <v>5.6</v>
      </c>
      <c r="BK228">
        <f>'mk 001 10.3'!BK229</f>
        <v>0</v>
      </c>
      <c r="BL228" t="str">
        <f>'mk 001 10.3'!BL229</f>
        <v>SYSBATCH</v>
      </c>
      <c r="BM228">
        <f>'mk 001 10.3'!BM229</f>
        <v>0</v>
      </c>
      <c r="BN228">
        <f>'mk 001 10.3'!BN229</f>
        <v>0</v>
      </c>
    </row>
    <row r="229" spans="1:66" x14ac:dyDescent="0.35">
      <c r="A229">
        <f>'mk 001 10.3'!A230</f>
        <v>0</v>
      </c>
      <c r="B229">
        <f>'mk 001 10.3'!B230</f>
        <v>0</v>
      </c>
      <c r="C229" s="1" t="str">
        <f>'mk 001 10.3'!C230</f>
        <v>14/5/2569</v>
      </c>
      <c r="D229" s="1" t="str">
        <f>'mk 001 10.3'!D230</f>
        <v>14/5/2569</v>
      </c>
      <c r="E229">
        <f>'mk 001 10.3'!E230</f>
        <v>0</v>
      </c>
      <c r="F229" t="str">
        <f>'mk 001 10.3'!F230</f>
        <v>489M</v>
      </c>
      <c r="G229" t="str">
        <f>'mk 001 10.3'!G230</f>
        <v>Modern Trade (Makro)</v>
      </c>
      <c r="H229">
        <f>'mk 001 10.3'!H230</f>
        <v>0</v>
      </c>
      <c r="I229" t="str">
        <f>'mk 001 10.3'!I230</f>
        <v>หน่วยงานกลาง</v>
      </c>
      <c r="J229" t="str">
        <f>'mk 001 10.3'!J230</f>
        <v>F213  DMCW-รชล-พระพุทธบาท</v>
      </c>
      <c r="K229" t="str">
        <f>'mk 001 10.3'!K230</f>
        <v>00000  หน่วยงานกลาง</v>
      </c>
      <c r="L229">
        <f>'mk 001 10.3'!L230</f>
        <v>923</v>
      </c>
      <c r="M229">
        <f>'mk 001 10.3'!M230</f>
        <v>0</v>
      </c>
      <c r="N229" t="str">
        <f>'mk 001 10.3'!N230</f>
        <v>1A53008400</v>
      </c>
      <c r="O229" t="str">
        <f>'mk 001 10.3'!O230</f>
        <v>บมจ. ซีพี แอ็กซ์ตร้า สาขานครอินทร์</v>
      </c>
      <c r="P229">
        <f>'mk 001 10.3'!P230</f>
        <v>2</v>
      </c>
      <c r="Q229" t="str">
        <f>'mk 001 10.3'!Q230</f>
        <v>MAKRO 0083 นครอินทร์</v>
      </c>
      <c r="R229" s="1">
        <f>'mk 001 10.3'!R230</f>
        <v>244688</v>
      </c>
      <c r="S229" s="1" t="str">
        <f>'mk 001 10.3'!S230</f>
        <v>14/5/2569</v>
      </c>
      <c r="T229" t="str">
        <f>'mk 001 10.3'!T230</f>
        <v>H6954RMA0059738</v>
      </c>
      <c r="U229">
        <f>'mk 001 10.3'!U230</f>
        <v>23083450</v>
      </c>
      <c r="V229" t="str">
        <f>'mk 001 10.3'!V230</f>
        <v>น้ำมันหมู (ตรา ซีพี)</v>
      </c>
      <c r="W229">
        <f>'mk 001 10.3'!W230</f>
        <v>16</v>
      </c>
      <c r="X229">
        <f>'mk 001 10.3'!X230</f>
        <v>16</v>
      </c>
      <c r="Y229">
        <f t="shared" si="3"/>
        <v>16</v>
      </c>
      <c r="Z229" s="13">
        <f>IF(COUNTIFS(แปลงข้อมูล!H:H,Q229,แปลงข้อมูล!I:I,U229,แปลงข้อมูล!J:J,V229)&gt;0,SUMIFS(แปลงข้อมูล!Q:Q,แปลงข้อมูล!I:I,U229,แปลงข้อมูล!H:H,Q229,แปลงข้อมูล!J:J,V229),'mk 001 10.3'!Z230)</f>
        <v>16</v>
      </c>
      <c r="AA229">
        <f>'mk 001 10.3'!AA230</f>
        <v>0</v>
      </c>
      <c r="AB229">
        <f>'mk 001 10.3'!AB230</f>
        <v>0</v>
      </c>
      <c r="AC229">
        <f>'mk 001 10.3'!AC230</f>
        <v>0</v>
      </c>
      <c r="AD229">
        <f>'mk 001 10.3'!AD230</f>
        <v>0</v>
      </c>
      <c r="AE229">
        <f>'mk 001 10.3'!AE230</f>
        <v>16</v>
      </c>
      <c r="AF229">
        <f>'mk 001 10.3'!AF230</f>
        <v>16</v>
      </c>
      <c r="AG229">
        <f>'mk 001 10.3'!AG230</f>
        <v>0</v>
      </c>
      <c r="AH229">
        <f>'mk 001 10.3'!AH230</f>
        <v>0</v>
      </c>
      <c r="AI229" t="str">
        <f>'mk 001 10.3'!AI230</f>
        <v>OPRCD489MOPRCD00000OPRCDF213OPRCD00000OPRCD923</v>
      </c>
      <c r="AJ229" t="str">
        <f>'mk 001 10.3'!AJ230</f>
        <v>ซื้อ / ขาย</v>
      </c>
      <c r="AK229" t="str">
        <f>'mk 001 10.3'!AK230</f>
        <v>By proudct</v>
      </c>
      <c r="AL229" t="str">
        <f>'mk 001 10.3'!AL230</f>
        <v>CP Brand(ซอง)</v>
      </c>
      <c r="AM229" t="str">
        <f>'mk 001 10.3'!AM230</f>
        <v>สุกร</v>
      </c>
      <c r="AN229" t="str">
        <f>'mk 001 10.3'!AN230</f>
        <v>OT002 CC-Makro</v>
      </c>
      <c r="AO229" t="str">
        <f>'mk 001 10.3'!AO230</f>
        <v>MT</v>
      </c>
      <c r="AP229">
        <f>'mk 001 10.3'!AP230</f>
        <v>2</v>
      </c>
      <c r="AQ229">
        <f>'mk 001 10.3'!AQ230</f>
        <v>0</v>
      </c>
      <c r="AR229">
        <f>'mk 001 10.3'!AR230</f>
        <v>0</v>
      </c>
      <c r="AS229">
        <f>'mk 001 10.3'!AS230</f>
        <v>0</v>
      </c>
      <c r="AT229" t="str">
        <f>'mk 001 10.3'!AT230</f>
        <v>สุภาวดี มีแทน</v>
      </c>
      <c r="AU229" t="str">
        <f>'mk 001 10.3'!AU230</f>
        <v>2026-05-12-11.01.14.000000</v>
      </c>
      <c r="AV229" t="str">
        <f>'mk 001 10.3'!AV230</f>
        <v>แพ็ค</v>
      </c>
      <c r="AW229" t="str">
        <f>'mk 001 10.3'!AW230</f>
        <v>ก.ก.</v>
      </c>
      <c r="AX229" t="str">
        <f>'mk 001 10.3'!AX230</f>
        <v xml:space="preserve"> </v>
      </c>
      <c r="AY229">
        <f>'mk 001 10.3'!AY230</f>
        <v>0</v>
      </c>
      <c r="AZ229" t="str">
        <f>'mk 001 10.3'!AZ230</f>
        <v>N</v>
      </c>
      <c r="BA229" s="22">
        <f>'mk 001 10.3'!BA230</f>
        <v>9045089567219</v>
      </c>
      <c r="BB229">
        <f>'mk 001 10.3'!BB230</f>
        <v>0</v>
      </c>
      <c r="BC229">
        <f>'mk 001 10.3'!BC230</f>
        <v>0</v>
      </c>
      <c r="BD229">
        <f>'mk 001 10.3'!BD230</f>
        <v>1</v>
      </c>
      <c r="BE229">
        <f>'mk 001 10.3'!BE230</f>
        <v>0</v>
      </c>
      <c r="BF229">
        <f>'mk 001 10.3'!BF230</f>
        <v>0</v>
      </c>
      <c r="BG229">
        <f>'mk 001 10.3'!BG230</f>
        <v>1333314600</v>
      </c>
      <c r="BH229" t="str">
        <f>'mk 001 10.3'!BH230</f>
        <v>G</v>
      </c>
      <c r="BI229">
        <f>'mk 001 10.3'!BI230</f>
        <v>16</v>
      </c>
      <c r="BJ229">
        <f>'mk 001 10.3'!BJ230</f>
        <v>16</v>
      </c>
      <c r="BK229">
        <f>'mk 001 10.3'!BK230</f>
        <v>1300</v>
      </c>
      <c r="BL229" t="str">
        <f>'mk 001 10.3'!BL230</f>
        <v>SYSBATCH</v>
      </c>
      <c r="BM229">
        <f>'mk 001 10.3'!BM230</f>
        <v>0</v>
      </c>
      <c r="BN229">
        <f>'mk 001 10.3'!BN230</f>
        <v>0</v>
      </c>
    </row>
    <row r="230" spans="1:66" x14ac:dyDescent="0.35">
      <c r="A230">
        <f>'mk 001 10.3'!A231</f>
        <v>0</v>
      </c>
      <c r="B230">
        <f>'mk 001 10.3'!B231</f>
        <v>0</v>
      </c>
      <c r="C230" s="1" t="str">
        <f>'mk 001 10.3'!C231</f>
        <v>14/5/2569</v>
      </c>
      <c r="D230" s="1" t="str">
        <f>'mk 001 10.3'!D231</f>
        <v>14/5/2569</v>
      </c>
      <c r="E230">
        <f>'mk 001 10.3'!E231</f>
        <v>0</v>
      </c>
      <c r="F230" t="str">
        <f>'mk 001 10.3'!F231</f>
        <v>489M</v>
      </c>
      <c r="G230" t="str">
        <f>'mk 001 10.3'!G231</f>
        <v>Modern Trade (Makro)</v>
      </c>
      <c r="H230">
        <f>'mk 001 10.3'!H231</f>
        <v>0</v>
      </c>
      <c r="I230" t="str">
        <f>'mk 001 10.3'!I231</f>
        <v>หน่วยงานกลาง</v>
      </c>
      <c r="J230" t="str">
        <f>'mk 001 10.3'!J231</f>
        <v>F213  DMCW-รชล-พระพุทธบาท</v>
      </c>
      <c r="K230" t="str">
        <f>'mk 001 10.3'!K231</f>
        <v>00000  หน่วยงานกลาง</v>
      </c>
      <c r="L230">
        <f>'mk 001 10.3'!L231</f>
        <v>923</v>
      </c>
      <c r="M230">
        <f>'mk 001 10.3'!M231</f>
        <v>0</v>
      </c>
      <c r="N230" t="str">
        <f>'mk 001 10.3'!N231</f>
        <v>1A53008400</v>
      </c>
      <c r="O230" t="str">
        <f>'mk 001 10.3'!O231</f>
        <v>บมจ. ซีพี แอ็กซ์ตร้า สาขานครอินทร์</v>
      </c>
      <c r="P230">
        <f>'mk 001 10.3'!P231</f>
        <v>2</v>
      </c>
      <c r="Q230" t="str">
        <f>'mk 001 10.3'!Q231</f>
        <v>MAKRO 0083 นครอินทร์</v>
      </c>
      <c r="R230" s="1">
        <f>'mk 001 10.3'!R231</f>
        <v>244688</v>
      </c>
      <c r="S230" s="1" t="str">
        <f>'mk 001 10.3'!S231</f>
        <v>14/5/2569</v>
      </c>
      <c r="T230" t="str">
        <f>'mk 001 10.3'!T231</f>
        <v>H6954RMA0059738</v>
      </c>
      <c r="U230">
        <f>'mk 001 10.3'!U231</f>
        <v>23084674</v>
      </c>
      <c r="V230" t="str">
        <f>'mk 001 10.3'!V231</f>
        <v>เลือดหมูก้อนปรุงรสพาสเจอร์ไรซ์400กรัม-C</v>
      </c>
      <c r="W230">
        <f>'mk 001 10.3'!W231</f>
        <v>14</v>
      </c>
      <c r="X230">
        <f>'mk 001 10.3'!X231</f>
        <v>5.6</v>
      </c>
      <c r="Y230">
        <f t="shared" si="3"/>
        <v>14</v>
      </c>
      <c r="Z230" s="13">
        <f>IF(COUNTIFS(แปลงข้อมูล!H:H,Q230,แปลงข้อมูล!I:I,U230,แปลงข้อมูล!J:J,V230)&gt;0,SUMIFS(แปลงข้อมูล!Q:Q,แปลงข้อมูล!I:I,U230,แปลงข้อมูล!H:H,Q230,แปลงข้อมูล!J:J,V230),'mk 001 10.3'!Z231)</f>
        <v>5.6</v>
      </c>
      <c r="AA230">
        <f>'mk 001 10.3'!AA231</f>
        <v>0</v>
      </c>
      <c r="AB230">
        <f>'mk 001 10.3'!AB231</f>
        <v>0</v>
      </c>
      <c r="AC230">
        <f>'mk 001 10.3'!AC231</f>
        <v>0</v>
      </c>
      <c r="AD230">
        <f>'mk 001 10.3'!AD231</f>
        <v>0</v>
      </c>
      <c r="AE230">
        <f>'mk 001 10.3'!AE231</f>
        <v>14</v>
      </c>
      <c r="AF230">
        <f>'mk 001 10.3'!AF231</f>
        <v>5.6</v>
      </c>
      <c r="AG230">
        <f>'mk 001 10.3'!AG231</f>
        <v>0</v>
      </c>
      <c r="AH230">
        <f>'mk 001 10.3'!AH231</f>
        <v>0</v>
      </c>
      <c r="AI230" t="str">
        <f>'mk 001 10.3'!AI231</f>
        <v>OPRCD489MOPRCD00000OPRCDF213OPRCD00000OPRCD923</v>
      </c>
      <c r="AJ230" t="str">
        <f>'mk 001 10.3'!AJ231</f>
        <v>ซื้อ / ขาย</v>
      </c>
      <c r="AK230" t="str">
        <f>'mk 001 10.3'!AK231</f>
        <v>By proudct</v>
      </c>
      <c r="AL230" t="str">
        <f>'mk 001 10.3'!AL231</f>
        <v>Wrap</v>
      </c>
      <c r="AM230" t="str">
        <f>'mk 001 10.3'!AM231</f>
        <v>สุกร</v>
      </c>
      <c r="AN230" t="str">
        <f>'mk 001 10.3'!AN231</f>
        <v>OT002 CC-Makro</v>
      </c>
      <c r="AO230" t="str">
        <f>'mk 001 10.3'!AO231</f>
        <v>MT</v>
      </c>
      <c r="AP230">
        <f>'mk 001 10.3'!AP231</f>
        <v>2</v>
      </c>
      <c r="AQ230">
        <f>'mk 001 10.3'!AQ231</f>
        <v>0</v>
      </c>
      <c r="AR230">
        <f>'mk 001 10.3'!AR231</f>
        <v>0</v>
      </c>
      <c r="AS230">
        <f>'mk 001 10.3'!AS231</f>
        <v>0</v>
      </c>
      <c r="AT230" t="str">
        <f>'mk 001 10.3'!AT231</f>
        <v>สุภาวดี มีแทน</v>
      </c>
      <c r="AU230" t="str">
        <f>'mk 001 10.3'!AU231</f>
        <v>2026-05-12-11.01.14.000000</v>
      </c>
      <c r="AV230" t="str">
        <f>'mk 001 10.3'!AV231</f>
        <v>ถาด</v>
      </c>
      <c r="AW230" t="str">
        <f>'mk 001 10.3'!AW231</f>
        <v>ก.ก.</v>
      </c>
      <c r="AX230" t="str">
        <f>'mk 001 10.3'!AX231</f>
        <v xml:space="preserve"> </v>
      </c>
      <c r="AY230">
        <f>'mk 001 10.3'!AY231</f>
        <v>0</v>
      </c>
      <c r="AZ230" t="str">
        <f>'mk 001 10.3'!AZ231</f>
        <v>N</v>
      </c>
      <c r="BA230" s="22">
        <f>'mk 001 10.3'!BA231</f>
        <v>9045089567219</v>
      </c>
      <c r="BB230">
        <f>'mk 001 10.3'!BB231</f>
        <v>0</v>
      </c>
      <c r="BC230">
        <f>'mk 001 10.3'!BC231</f>
        <v>0</v>
      </c>
      <c r="BD230">
        <f>'mk 001 10.3'!BD231</f>
        <v>1</v>
      </c>
      <c r="BE230">
        <f>'mk 001 10.3'!BE231</f>
        <v>0</v>
      </c>
      <c r="BF230">
        <f>'mk 001 10.3'!BF231</f>
        <v>0</v>
      </c>
      <c r="BG230">
        <f>'mk 001 10.3'!BG231</f>
        <v>1333314600</v>
      </c>
      <c r="BH230" t="str">
        <f>'mk 001 10.3'!BH231</f>
        <v>G</v>
      </c>
      <c r="BI230">
        <f>'mk 001 10.3'!BI231</f>
        <v>14</v>
      </c>
      <c r="BJ230">
        <f>'mk 001 10.3'!BJ231</f>
        <v>5.6</v>
      </c>
      <c r="BK230">
        <f>'mk 001 10.3'!BK231</f>
        <v>1300</v>
      </c>
      <c r="BL230" t="str">
        <f>'mk 001 10.3'!BL231</f>
        <v>SYSBATCH</v>
      </c>
      <c r="BM230">
        <f>'mk 001 10.3'!BM231</f>
        <v>0</v>
      </c>
      <c r="BN230">
        <f>'mk 001 10.3'!BN231</f>
        <v>0</v>
      </c>
    </row>
    <row r="231" spans="1:66" x14ac:dyDescent="0.35">
      <c r="A231">
        <f>'mk 001 10.3'!A232</f>
        <v>0</v>
      </c>
      <c r="B231">
        <f>'mk 001 10.3'!B232</f>
        <v>0</v>
      </c>
      <c r="C231" s="1" t="str">
        <f>'mk 001 10.3'!C232</f>
        <v>14/5/2569</v>
      </c>
      <c r="D231" s="1" t="str">
        <f>'mk 001 10.3'!D232</f>
        <v>14/5/2569</v>
      </c>
      <c r="E231">
        <f>'mk 001 10.3'!E232</f>
        <v>0</v>
      </c>
      <c r="F231" t="str">
        <f>'mk 001 10.3'!F232</f>
        <v>489M</v>
      </c>
      <c r="G231" t="str">
        <f>'mk 001 10.3'!G232</f>
        <v>Modern Trade (Makro)</v>
      </c>
      <c r="H231">
        <f>'mk 001 10.3'!H232</f>
        <v>0</v>
      </c>
      <c r="I231" t="str">
        <f>'mk 001 10.3'!I232</f>
        <v>หน่วยงานกลาง</v>
      </c>
      <c r="J231" t="str">
        <f>'mk 001 10.3'!J232</f>
        <v>F213  DMCW-รชล-พระพุทธบาท</v>
      </c>
      <c r="K231" t="str">
        <f>'mk 001 10.3'!K232</f>
        <v>00000  หน่วยงานกลาง</v>
      </c>
      <c r="L231">
        <f>'mk 001 10.3'!L232</f>
        <v>923</v>
      </c>
      <c r="M231">
        <f>'mk 001 10.3'!M232</f>
        <v>0</v>
      </c>
      <c r="N231" t="str">
        <f>'mk 001 10.3'!N232</f>
        <v>1A53009300</v>
      </c>
      <c r="O231" t="str">
        <f>'mk 001 10.3'!O232</f>
        <v>บมจ. ซีพี แอ็กซ์ตร้า สาขาทาวน์ อิน ทาวน์</v>
      </c>
      <c r="P231">
        <f>'mk 001 10.3'!P232</f>
        <v>2</v>
      </c>
      <c r="Q231" t="str">
        <f>'mk 001 10.3'!Q232</f>
        <v>MAKRO 0096 ทาวน์ อิน ทาวน์</v>
      </c>
      <c r="R231" s="1">
        <f>'mk 001 10.3'!R232</f>
        <v>244688</v>
      </c>
      <c r="S231" s="1" t="str">
        <f>'mk 001 10.3'!S232</f>
        <v>14/5/2569</v>
      </c>
      <c r="T231" t="str">
        <f>'mk 001 10.3'!T232</f>
        <v>H6954RMA0059841</v>
      </c>
      <c r="U231">
        <f>'mk 001 10.3'!U232</f>
        <v>23058552</v>
      </c>
      <c r="V231" t="str">
        <f>'mk 001 10.3'!V232</f>
        <v>มันสันหลัง (M)</v>
      </c>
      <c r="W231">
        <f>'mk 001 10.3'!W232</f>
        <v>10</v>
      </c>
      <c r="X231">
        <f>'mk 001 10.3'!X232</f>
        <v>10</v>
      </c>
      <c r="Y231">
        <f t="shared" si="3"/>
        <v>10</v>
      </c>
      <c r="Z231" s="13">
        <f>IF(COUNTIFS(แปลงข้อมูล!H:H,Q231,แปลงข้อมูล!I:I,U231,แปลงข้อมูล!J:J,V231)&gt;0,SUMIFS(แปลงข้อมูล!Q:Q,แปลงข้อมูล!I:I,U231,แปลงข้อมูล!H:H,Q231,แปลงข้อมูล!J:J,V231),'mk 001 10.3'!Z232)</f>
        <v>10</v>
      </c>
      <c r="AA231">
        <f>'mk 001 10.3'!AA232</f>
        <v>0</v>
      </c>
      <c r="AB231">
        <f>'mk 001 10.3'!AB232</f>
        <v>0</v>
      </c>
      <c r="AC231">
        <f>'mk 001 10.3'!AC232</f>
        <v>0</v>
      </c>
      <c r="AD231">
        <f>'mk 001 10.3'!AD232</f>
        <v>0</v>
      </c>
      <c r="AE231">
        <f>'mk 001 10.3'!AE232</f>
        <v>10</v>
      </c>
      <c r="AF231">
        <f>'mk 001 10.3'!AF232</f>
        <v>10</v>
      </c>
      <c r="AG231">
        <f>'mk 001 10.3'!AG232</f>
        <v>0</v>
      </c>
      <c r="AH231">
        <f>'mk 001 10.3'!AH232</f>
        <v>0</v>
      </c>
      <c r="AI231" t="str">
        <f>'mk 001 10.3'!AI232</f>
        <v>OPRCD489MOPRCD00000OPRCDF213OPRCD00000OPRCD923</v>
      </c>
      <c r="AJ231" t="str">
        <f>'mk 001 10.3'!AJ232</f>
        <v>ซื้อ / ขาย</v>
      </c>
      <c r="AK231" t="str">
        <f>'mk 001 10.3'!AK232</f>
        <v>By proudct</v>
      </c>
      <c r="AL231" t="str">
        <f>'mk 001 10.3'!AL232</f>
        <v>Bulk Normal</v>
      </c>
      <c r="AM231" t="str">
        <f>'mk 001 10.3'!AM232</f>
        <v>สุกร</v>
      </c>
      <c r="AN231" t="str">
        <f>'mk 001 10.3'!AN232</f>
        <v>OT002 CC-Makro</v>
      </c>
      <c r="AO231" t="str">
        <f>'mk 001 10.3'!AO232</f>
        <v>MT</v>
      </c>
      <c r="AP231">
        <f>'mk 001 10.3'!AP232</f>
        <v>2</v>
      </c>
      <c r="AQ231">
        <f>'mk 001 10.3'!AQ232</f>
        <v>0</v>
      </c>
      <c r="AR231">
        <f>'mk 001 10.3'!AR232</f>
        <v>0</v>
      </c>
      <c r="AS231">
        <f>'mk 001 10.3'!AS232</f>
        <v>0</v>
      </c>
      <c r="AT231" t="str">
        <f>'mk 001 10.3'!AT232</f>
        <v>System Batch</v>
      </c>
      <c r="AU231" t="str">
        <f>'mk 001 10.3'!AU232</f>
        <v>2026-05-12-12.55.46.000000</v>
      </c>
      <c r="AV231" t="str">
        <f>'mk 001 10.3'!AV232</f>
        <v>ก.ก.</v>
      </c>
      <c r="AW231" t="str">
        <f>'mk 001 10.3'!AW232</f>
        <v>ก.ก.</v>
      </c>
      <c r="AX231" t="str">
        <f>'mk 001 10.3'!AX232</f>
        <v xml:space="preserve"> </v>
      </c>
      <c r="AY231">
        <f>'mk 001 10.3'!AY232</f>
        <v>0</v>
      </c>
      <c r="AZ231" t="str">
        <f>'mk 001 10.3'!AZ232</f>
        <v>N</v>
      </c>
      <c r="BA231" s="22">
        <f>'mk 001 10.3'!BA232</f>
        <v>9044989567153</v>
      </c>
      <c r="BB231">
        <f>'mk 001 10.3'!BB232</f>
        <v>0</v>
      </c>
      <c r="BC231">
        <f>'mk 001 10.3'!BC232</f>
        <v>0</v>
      </c>
      <c r="BD231">
        <f>'mk 001 10.3'!BD232</f>
        <v>1</v>
      </c>
      <c r="BE231">
        <f>'mk 001 10.3'!BE232</f>
        <v>0</v>
      </c>
      <c r="BF231" t="str">
        <f>'mk 001 10.3'!BF232</f>
        <v>;0000</v>
      </c>
      <c r="BG231">
        <f>'mk 001 10.3'!BG232</f>
        <v>1333314600</v>
      </c>
      <c r="BH231" t="str">
        <f>'mk 001 10.3'!BH232</f>
        <v>G</v>
      </c>
      <c r="BI231">
        <f>'mk 001 10.3'!BI232</f>
        <v>10</v>
      </c>
      <c r="BJ231">
        <f>'mk 001 10.3'!BJ232</f>
        <v>10</v>
      </c>
      <c r="BK231">
        <f>'mk 001 10.3'!BK232</f>
        <v>1300</v>
      </c>
      <c r="BL231" t="str">
        <f>'mk 001 10.3'!BL232</f>
        <v>SYSBATCH</v>
      </c>
      <c r="BM231">
        <f>'mk 001 10.3'!BM232</f>
        <v>0</v>
      </c>
      <c r="BN231">
        <f>'mk 001 10.3'!BN232</f>
        <v>0</v>
      </c>
    </row>
    <row r="232" spans="1:66" x14ac:dyDescent="0.35">
      <c r="A232">
        <f>'mk 001 10.3'!A233</f>
        <v>0</v>
      </c>
      <c r="B232">
        <f>'mk 001 10.3'!B233</f>
        <v>0</v>
      </c>
      <c r="C232" s="1" t="str">
        <f>'mk 001 10.3'!C233</f>
        <v>14/5/2569</v>
      </c>
      <c r="D232" s="1" t="str">
        <f>'mk 001 10.3'!D233</f>
        <v>14/5/2569</v>
      </c>
      <c r="E232">
        <f>'mk 001 10.3'!E233</f>
        <v>0</v>
      </c>
      <c r="F232" t="str">
        <f>'mk 001 10.3'!F233</f>
        <v>489M</v>
      </c>
      <c r="G232" t="str">
        <f>'mk 001 10.3'!G233</f>
        <v>Modern Trade (Makro)</v>
      </c>
      <c r="H232">
        <f>'mk 001 10.3'!H233</f>
        <v>0</v>
      </c>
      <c r="I232" t="str">
        <f>'mk 001 10.3'!I233</f>
        <v>หน่วยงานกลาง</v>
      </c>
      <c r="J232" t="str">
        <f>'mk 001 10.3'!J233</f>
        <v>F213  DMCW-รชล-พระพุทธบาท</v>
      </c>
      <c r="K232" t="str">
        <f>'mk 001 10.3'!K233</f>
        <v>00000  หน่วยงานกลาง</v>
      </c>
      <c r="L232">
        <f>'mk 001 10.3'!L233</f>
        <v>923</v>
      </c>
      <c r="M232">
        <f>'mk 001 10.3'!M233</f>
        <v>0</v>
      </c>
      <c r="N232" t="str">
        <f>'mk 001 10.3'!N233</f>
        <v>1A53009300</v>
      </c>
      <c r="O232" t="str">
        <f>'mk 001 10.3'!O233</f>
        <v>บมจ. ซีพี แอ็กซ์ตร้า สาขาทาวน์ อิน ทาวน์</v>
      </c>
      <c r="P232">
        <f>'mk 001 10.3'!P233</f>
        <v>2</v>
      </c>
      <c r="Q232" t="str">
        <f>'mk 001 10.3'!Q233</f>
        <v>MAKRO 0096 ทาวน์ อิน ทาวน์</v>
      </c>
      <c r="R232" s="1">
        <f>'mk 001 10.3'!R233</f>
        <v>244688</v>
      </c>
      <c r="S232" s="1" t="str">
        <f>'mk 001 10.3'!S233</f>
        <v>14/5/2569</v>
      </c>
      <c r="T232" t="str">
        <f>'mk 001 10.3'!T233</f>
        <v>H6954RMA0059841</v>
      </c>
      <c r="U232">
        <f>'mk 001 10.3'!U233</f>
        <v>23065143</v>
      </c>
      <c r="V232" t="str">
        <f>'mk 001 10.3'!V233</f>
        <v>สามชั้นสไลด์</v>
      </c>
      <c r="W232">
        <f>'mk 001 10.3'!W233</f>
        <v>20</v>
      </c>
      <c r="X232">
        <f>'mk 001 10.3'!X233</f>
        <v>20</v>
      </c>
      <c r="Y232">
        <f t="shared" si="3"/>
        <v>20</v>
      </c>
      <c r="Z232" s="13">
        <f>IF(COUNTIFS(แปลงข้อมูล!H:H,Q232,แปลงข้อมูล!I:I,U232,แปลงข้อมูล!J:J,V232)&gt;0,SUMIFS(แปลงข้อมูล!Q:Q,แปลงข้อมูล!I:I,U232,แปลงข้อมูล!H:H,Q232,แปลงข้อมูล!J:J,V232),'mk 001 10.3'!Z233)</f>
        <v>20</v>
      </c>
      <c r="AA232">
        <f>'mk 001 10.3'!AA233</f>
        <v>0</v>
      </c>
      <c r="AB232">
        <f>'mk 001 10.3'!AB233</f>
        <v>0</v>
      </c>
      <c r="AC232">
        <f>'mk 001 10.3'!AC233</f>
        <v>0</v>
      </c>
      <c r="AD232">
        <f>'mk 001 10.3'!AD233</f>
        <v>0</v>
      </c>
      <c r="AE232">
        <f>'mk 001 10.3'!AE233</f>
        <v>20</v>
      </c>
      <c r="AF232">
        <f>'mk 001 10.3'!AF233</f>
        <v>20</v>
      </c>
      <c r="AG232">
        <f>'mk 001 10.3'!AG233</f>
        <v>0</v>
      </c>
      <c r="AH232">
        <f>'mk 001 10.3'!AH233</f>
        <v>0</v>
      </c>
      <c r="AI232" t="str">
        <f>'mk 001 10.3'!AI233</f>
        <v>OPRCD489MOPRCD00000OPRCDF213OPRCD00000OPRCD923</v>
      </c>
      <c r="AJ232" t="str">
        <f>'mk 001 10.3'!AJ233</f>
        <v>ซื้อ / ขาย</v>
      </c>
      <c r="AK232" t="str">
        <f>'mk 001 10.3'!AK233</f>
        <v>Main proudct</v>
      </c>
      <c r="AL232" t="str">
        <f>'mk 001 10.3'!AL233</f>
        <v>Bulk Normal</v>
      </c>
      <c r="AM232" t="str">
        <f>'mk 001 10.3'!AM233</f>
        <v>สุกร</v>
      </c>
      <c r="AN232" t="str">
        <f>'mk 001 10.3'!AN233</f>
        <v>OT002 CC-Makro</v>
      </c>
      <c r="AO232" t="str">
        <f>'mk 001 10.3'!AO233</f>
        <v>MT</v>
      </c>
      <c r="AP232">
        <f>'mk 001 10.3'!AP233</f>
        <v>2</v>
      </c>
      <c r="AQ232">
        <f>'mk 001 10.3'!AQ233</f>
        <v>0</v>
      </c>
      <c r="AR232">
        <f>'mk 001 10.3'!AR233</f>
        <v>0</v>
      </c>
      <c r="AS232">
        <f>'mk 001 10.3'!AS233</f>
        <v>0</v>
      </c>
      <c r="AT232" t="str">
        <f>'mk 001 10.3'!AT233</f>
        <v>System Batch</v>
      </c>
      <c r="AU232" t="str">
        <f>'mk 001 10.3'!AU233</f>
        <v>2026-05-12-12.55.46.000000</v>
      </c>
      <c r="AV232" t="str">
        <f>'mk 001 10.3'!AV233</f>
        <v>ก.ก.</v>
      </c>
      <c r="AW232" t="str">
        <f>'mk 001 10.3'!AW233</f>
        <v>ก.ก.</v>
      </c>
      <c r="AX232" t="str">
        <f>'mk 001 10.3'!AX233</f>
        <v xml:space="preserve"> </v>
      </c>
      <c r="AY232">
        <f>'mk 001 10.3'!AY233</f>
        <v>0</v>
      </c>
      <c r="AZ232" t="str">
        <f>'mk 001 10.3'!AZ233</f>
        <v>N</v>
      </c>
      <c r="BA232" s="22">
        <f>'mk 001 10.3'!BA233</f>
        <v>9044989567153</v>
      </c>
      <c r="BB232">
        <f>'mk 001 10.3'!BB233</f>
        <v>0</v>
      </c>
      <c r="BC232">
        <f>'mk 001 10.3'!BC233</f>
        <v>0</v>
      </c>
      <c r="BD232">
        <f>'mk 001 10.3'!BD233</f>
        <v>1</v>
      </c>
      <c r="BE232">
        <f>'mk 001 10.3'!BE233</f>
        <v>0</v>
      </c>
      <c r="BF232" t="str">
        <f>'mk 001 10.3'!BF233</f>
        <v>;0000</v>
      </c>
      <c r="BG232">
        <f>'mk 001 10.3'!BG233</f>
        <v>1333314600</v>
      </c>
      <c r="BH232" t="str">
        <f>'mk 001 10.3'!BH233</f>
        <v>G</v>
      </c>
      <c r="BI232">
        <f>'mk 001 10.3'!BI233</f>
        <v>20</v>
      </c>
      <c r="BJ232">
        <f>'mk 001 10.3'!BJ233</f>
        <v>20</v>
      </c>
      <c r="BK232">
        <f>'mk 001 10.3'!BK233</f>
        <v>1300</v>
      </c>
      <c r="BL232" t="str">
        <f>'mk 001 10.3'!BL233</f>
        <v>SYSBATCH</v>
      </c>
      <c r="BM232">
        <f>'mk 001 10.3'!BM233</f>
        <v>0</v>
      </c>
      <c r="BN232">
        <f>'mk 001 10.3'!BN233</f>
        <v>0</v>
      </c>
    </row>
    <row r="233" spans="1:66" x14ac:dyDescent="0.35">
      <c r="A233">
        <f>'mk 001 10.3'!A234</f>
        <v>0</v>
      </c>
      <c r="B233">
        <f>'mk 001 10.3'!B234</f>
        <v>0</v>
      </c>
      <c r="C233" s="1" t="str">
        <f>'mk 001 10.3'!C234</f>
        <v>14/5/2569</v>
      </c>
      <c r="D233" s="1" t="str">
        <f>'mk 001 10.3'!D234</f>
        <v>14/5/2569</v>
      </c>
      <c r="E233">
        <f>'mk 001 10.3'!E234</f>
        <v>0</v>
      </c>
      <c r="F233" t="str">
        <f>'mk 001 10.3'!F234</f>
        <v>489M</v>
      </c>
      <c r="G233" t="str">
        <f>'mk 001 10.3'!G234</f>
        <v>Modern Trade (Makro)</v>
      </c>
      <c r="H233">
        <f>'mk 001 10.3'!H234</f>
        <v>0</v>
      </c>
      <c r="I233" t="str">
        <f>'mk 001 10.3'!I234</f>
        <v>หน่วยงานกลาง</v>
      </c>
      <c r="J233" t="str">
        <f>'mk 001 10.3'!J234</f>
        <v>F213  DMCW-รชล-พระพุทธบาท</v>
      </c>
      <c r="K233" t="str">
        <f>'mk 001 10.3'!K234</f>
        <v>00000  หน่วยงานกลาง</v>
      </c>
      <c r="L233">
        <f>'mk 001 10.3'!L234</f>
        <v>923</v>
      </c>
      <c r="M233">
        <f>'mk 001 10.3'!M234</f>
        <v>0</v>
      </c>
      <c r="N233" t="str">
        <f>'mk 001 10.3'!N234</f>
        <v>1A53009300</v>
      </c>
      <c r="O233" t="str">
        <f>'mk 001 10.3'!O234</f>
        <v>บมจ. ซีพี แอ็กซ์ตร้า สาขาทาวน์ อิน ทาวน์</v>
      </c>
      <c r="P233">
        <f>'mk 001 10.3'!P234</f>
        <v>2</v>
      </c>
      <c r="Q233" t="str">
        <f>'mk 001 10.3'!Q234</f>
        <v>MAKRO 0096 ทาวน์ อิน ทาวน์</v>
      </c>
      <c r="R233" s="1">
        <f>'mk 001 10.3'!R234</f>
        <v>244688</v>
      </c>
      <c r="S233" s="1" t="str">
        <f>'mk 001 10.3'!S234</f>
        <v>14/5/2569</v>
      </c>
      <c r="T233" t="str">
        <f>'mk 001 10.3'!T234</f>
        <v>H6954RMA0059841</v>
      </c>
      <c r="U233">
        <f>'mk 001 10.3'!U234</f>
        <v>23065142</v>
      </c>
      <c r="V233" t="str">
        <f>'mk 001 10.3'!V234</f>
        <v>สันคอสไลด์</v>
      </c>
      <c r="W233">
        <f>'mk 001 10.3'!W234</f>
        <v>10</v>
      </c>
      <c r="X233">
        <f>'mk 001 10.3'!X234</f>
        <v>10</v>
      </c>
      <c r="Y233">
        <f t="shared" si="3"/>
        <v>10</v>
      </c>
      <c r="Z233" s="13">
        <f>IF(COUNTIFS(แปลงข้อมูล!H:H,Q233,แปลงข้อมูล!I:I,U233,แปลงข้อมูล!J:J,V233)&gt;0,SUMIFS(แปลงข้อมูล!Q:Q,แปลงข้อมูล!I:I,U233,แปลงข้อมูล!H:H,Q233,แปลงข้อมูล!J:J,V233),'mk 001 10.3'!Z234)</f>
        <v>10</v>
      </c>
      <c r="AA233">
        <f>'mk 001 10.3'!AA234</f>
        <v>0</v>
      </c>
      <c r="AB233">
        <f>'mk 001 10.3'!AB234</f>
        <v>0</v>
      </c>
      <c r="AC233">
        <f>'mk 001 10.3'!AC234</f>
        <v>0</v>
      </c>
      <c r="AD233">
        <f>'mk 001 10.3'!AD234</f>
        <v>0</v>
      </c>
      <c r="AE233">
        <f>'mk 001 10.3'!AE234</f>
        <v>10</v>
      </c>
      <c r="AF233">
        <f>'mk 001 10.3'!AF234</f>
        <v>10</v>
      </c>
      <c r="AG233">
        <f>'mk 001 10.3'!AG234</f>
        <v>0</v>
      </c>
      <c r="AH233">
        <f>'mk 001 10.3'!AH234</f>
        <v>0</v>
      </c>
      <c r="AI233" t="str">
        <f>'mk 001 10.3'!AI234</f>
        <v>OPRCD489MOPRCD00000OPRCDF213OPRCD00000OPRCD923</v>
      </c>
      <c r="AJ233" t="str">
        <f>'mk 001 10.3'!AJ234</f>
        <v>ซื้อ / ขาย</v>
      </c>
      <c r="AK233" t="str">
        <f>'mk 001 10.3'!AK234</f>
        <v>Main proudct</v>
      </c>
      <c r="AL233" t="str">
        <f>'mk 001 10.3'!AL234</f>
        <v>Bulk Normal</v>
      </c>
      <c r="AM233" t="str">
        <f>'mk 001 10.3'!AM234</f>
        <v>สุกร</v>
      </c>
      <c r="AN233" t="str">
        <f>'mk 001 10.3'!AN234</f>
        <v>OT002 CC-Makro</v>
      </c>
      <c r="AO233" t="str">
        <f>'mk 001 10.3'!AO234</f>
        <v>MT</v>
      </c>
      <c r="AP233">
        <f>'mk 001 10.3'!AP234</f>
        <v>2</v>
      </c>
      <c r="AQ233">
        <f>'mk 001 10.3'!AQ234</f>
        <v>0</v>
      </c>
      <c r="AR233">
        <f>'mk 001 10.3'!AR234</f>
        <v>0</v>
      </c>
      <c r="AS233">
        <f>'mk 001 10.3'!AS234</f>
        <v>0</v>
      </c>
      <c r="AT233" t="str">
        <f>'mk 001 10.3'!AT234</f>
        <v>System Batch</v>
      </c>
      <c r="AU233" t="str">
        <f>'mk 001 10.3'!AU234</f>
        <v>2026-05-12-12.55.46.000000</v>
      </c>
      <c r="AV233" t="str">
        <f>'mk 001 10.3'!AV234</f>
        <v>ก.ก.</v>
      </c>
      <c r="AW233" t="str">
        <f>'mk 001 10.3'!AW234</f>
        <v>ก.ก.</v>
      </c>
      <c r="AX233" t="str">
        <f>'mk 001 10.3'!AX234</f>
        <v xml:space="preserve"> </v>
      </c>
      <c r="AY233">
        <f>'mk 001 10.3'!AY234</f>
        <v>0</v>
      </c>
      <c r="AZ233" t="str">
        <f>'mk 001 10.3'!AZ234</f>
        <v>N</v>
      </c>
      <c r="BA233" s="22">
        <f>'mk 001 10.3'!BA234</f>
        <v>9044989567153</v>
      </c>
      <c r="BB233">
        <f>'mk 001 10.3'!BB234</f>
        <v>0</v>
      </c>
      <c r="BC233">
        <f>'mk 001 10.3'!BC234</f>
        <v>0</v>
      </c>
      <c r="BD233">
        <f>'mk 001 10.3'!BD234</f>
        <v>1</v>
      </c>
      <c r="BE233">
        <f>'mk 001 10.3'!BE234</f>
        <v>0</v>
      </c>
      <c r="BF233" t="str">
        <f>'mk 001 10.3'!BF234</f>
        <v>;0000</v>
      </c>
      <c r="BG233">
        <f>'mk 001 10.3'!BG234</f>
        <v>1333314600</v>
      </c>
      <c r="BH233" t="str">
        <f>'mk 001 10.3'!BH234</f>
        <v>G</v>
      </c>
      <c r="BI233">
        <f>'mk 001 10.3'!BI234</f>
        <v>10</v>
      </c>
      <c r="BJ233">
        <f>'mk 001 10.3'!BJ234</f>
        <v>10</v>
      </c>
      <c r="BK233">
        <f>'mk 001 10.3'!BK234</f>
        <v>1300</v>
      </c>
      <c r="BL233" t="str">
        <f>'mk 001 10.3'!BL234</f>
        <v>SYSBATCH</v>
      </c>
      <c r="BM233">
        <f>'mk 001 10.3'!BM234</f>
        <v>0</v>
      </c>
      <c r="BN233">
        <f>'mk 001 10.3'!BN234</f>
        <v>0</v>
      </c>
    </row>
    <row r="234" spans="1:66" x14ac:dyDescent="0.35">
      <c r="A234">
        <f>'mk 001 10.3'!A235</f>
        <v>0</v>
      </c>
      <c r="B234">
        <f>'mk 001 10.3'!B235</f>
        <v>0</v>
      </c>
      <c r="C234" s="1" t="str">
        <f>'mk 001 10.3'!C235</f>
        <v>14/5/2569</v>
      </c>
      <c r="D234" s="1" t="str">
        <f>'mk 001 10.3'!D235</f>
        <v>14/5/2569</v>
      </c>
      <c r="E234">
        <f>'mk 001 10.3'!E235</f>
        <v>0</v>
      </c>
      <c r="F234" t="str">
        <f>'mk 001 10.3'!F235</f>
        <v>489M</v>
      </c>
      <c r="G234" t="str">
        <f>'mk 001 10.3'!G235</f>
        <v>Modern Trade (Makro)</v>
      </c>
      <c r="H234">
        <f>'mk 001 10.3'!H235</f>
        <v>0</v>
      </c>
      <c r="I234" t="str">
        <f>'mk 001 10.3'!I235</f>
        <v>หน่วยงานกลาง</v>
      </c>
      <c r="J234" t="str">
        <f>'mk 001 10.3'!J235</f>
        <v>F213  DMCW-รชล-พระพุทธบาท</v>
      </c>
      <c r="K234" t="str">
        <f>'mk 001 10.3'!K235</f>
        <v>00000  หน่วยงานกลาง</v>
      </c>
      <c r="L234">
        <f>'mk 001 10.3'!L235</f>
        <v>923</v>
      </c>
      <c r="M234">
        <f>'mk 001 10.3'!M235</f>
        <v>0</v>
      </c>
      <c r="N234" t="str">
        <f>'mk 001 10.3'!N235</f>
        <v>1A53009300</v>
      </c>
      <c r="O234" t="str">
        <f>'mk 001 10.3'!O235</f>
        <v>บมจ. ซีพี แอ็กซ์ตร้า สาขาทาวน์ อิน ทาวน์</v>
      </c>
      <c r="P234">
        <f>'mk 001 10.3'!P235</f>
        <v>2</v>
      </c>
      <c r="Q234" t="str">
        <f>'mk 001 10.3'!Q235</f>
        <v>MAKRO 0096 ทาวน์ อิน ทาวน์</v>
      </c>
      <c r="R234" s="1">
        <f>'mk 001 10.3'!R235</f>
        <v>244688</v>
      </c>
      <c r="S234" s="1" t="str">
        <f>'mk 001 10.3'!S235</f>
        <v>14/5/2569</v>
      </c>
      <c r="T234" t="str">
        <f>'mk 001 10.3'!T235</f>
        <v>H6954RMA0059841</v>
      </c>
      <c r="U234">
        <f>'mk 001 10.3'!U235</f>
        <v>23066879</v>
      </c>
      <c r="V234" t="str">
        <f>'mk 001 10.3'!V235</f>
        <v>กระดูกอ่อน(M)</v>
      </c>
      <c r="W234">
        <f>'mk 001 10.3'!W235</f>
        <v>5</v>
      </c>
      <c r="X234">
        <f>'mk 001 10.3'!X235</f>
        <v>5</v>
      </c>
      <c r="Y234">
        <f t="shared" si="3"/>
        <v>5</v>
      </c>
      <c r="Z234" s="13">
        <f>IF(COUNTIFS(แปลงข้อมูล!H:H,Q234,แปลงข้อมูล!I:I,U234,แปลงข้อมูล!J:J,V234)&gt;0,SUMIFS(แปลงข้อมูล!Q:Q,แปลงข้อมูล!I:I,U234,แปลงข้อมูล!H:H,Q234,แปลงข้อมูล!J:J,V234),'mk 001 10.3'!Z235)</f>
        <v>5</v>
      </c>
      <c r="AA234">
        <f>'mk 001 10.3'!AA235</f>
        <v>0</v>
      </c>
      <c r="AB234">
        <f>'mk 001 10.3'!AB235</f>
        <v>0</v>
      </c>
      <c r="AC234">
        <f>'mk 001 10.3'!AC235</f>
        <v>0</v>
      </c>
      <c r="AD234">
        <f>'mk 001 10.3'!AD235</f>
        <v>0</v>
      </c>
      <c r="AE234">
        <f>'mk 001 10.3'!AE235</f>
        <v>5</v>
      </c>
      <c r="AF234">
        <f>'mk 001 10.3'!AF235</f>
        <v>5</v>
      </c>
      <c r="AG234">
        <f>'mk 001 10.3'!AG235</f>
        <v>0</v>
      </c>
      <c r="AH234">
        <f>'mk 001 10.3'!AH235</f>
        <v>0</v>
      </c>
      <c r="AI234" t="str">
        <f>'mk 001 10.3'!AI235</f>
        <v>OPRCD489MOPRCD00000OPRCDF213OPRCD00000OPRCD923</v>
      </c>
      <c r="AJ234" t="str">
        <f>'mk 001 10.3'!AJ235</f>
        <v>ซื้อ / ขาย</v>
      </c>
      <c r="AK234" t="str">
        <f>'mk 001 10.3'!AK235</f>
        <v>By proudct</v>
      </c>
      <c r="AL234" t="str">
        <f>'mk 001 10.3'!AL235</f>
        <v>Bulk Normal</v>
      </c>
      <c r="AM234" t="str">
        <f>'mk 001 10.3'!AM235</f>
        <v>สุกร</v>
      </c>
      <c r="AN234" t="str">
        <f>'mk 001 10.3'!AN235</f>
        <v>OT002 CC-Makro</v>
      </c>
      <c r="AO234" t="str">
        <f>'mk 001 10.3'!AO235</f>
        <v>MT</v>
      </c>
      <c r="AP234">
        <f>'mk 001 10.3'!AP235</f>
        <v>2</v>
      </c>
      <c r="AQ234">
        <f>'mk 001 10.3'!AQ235</f>
        <v>0</v>
      </c>
      <c r="AR234">
        <f>'mk 001 10.3'!AR235</f>
        <v>0</v>
      </c>
      <c r="AS234">
        <f>'mk 001 10.3'!AS235</f>
        <v>0</v>
      </c>
      <c r="AT234" t="str">
        <f>'mk 001 10.3'!AT235</f>
        <v>System Batch</v>
      </c>
      <c r="AU234" t="str">
        <f>'mk 001 10.3'!AU235</f>
        <v>2026-05-12-12.55.46.000000</v>
      </c>
      <c r="AV234" t="str">
        <f>'mk 001 10.3'!AV235</f>
        <v>ก.ก.</v>
      </c>
      <c r="AW234" t="str">
        <f>'mk 001 10.3'!AW235</f>
        <v>ก.ก.</v>
      </c>
      <c r="AX234" t="str">
        <f>'mk 001 10.3'!AX235</f>
        <v xml:space="preserve"> </v>
      </c>
      <c r="AY234">
        <f>'mk 001 10.3'!AY235</f>
        <v>0</v>
      </c>
      <c r="AZ234" t="str">
        <f>'mk 001 10.3'!AZ235</f>
        <v>N</v>
      </c>
      <c r="BA234" s="22">
        <f>'mk 001 10.3'!BA235</f>
        <v>9044989567153</v>
      </c>
      <c r="BB234">
        <f>'mk 001 10.3'!BB235</f>
        <v>0</v>
      </c>
      <c r="BC234">
        <f>'mk 001 10.3'!BC235</f>
        <v>0</v>
      </c>
      <c r="BD234">
        <f>'mk 001 10.3'!BD235</f>
        <v>1</v>
      </c>
      <c r="BE234">
        <f>'mk 001 10.3'!BE235</f>
        <v>0</v>
      </c>
      <c r="BF234" t="str">
        <f>'mk 001 10.3'!BF235</f>
        <v>;0000</v>
      </c>
      <c r="BG234">
        <f>'mk 001 10.3'!BG235</f>
        <v>1333314600</v>
      </c>
      <c r="BH234" t="str">
        <f>'mk 001 10.3'!BH235</f>
        <v>G</v>
      </c>
      <c r="BI234">
        <f>'mk 001 10.3'!BI235</f>
        <v>5</v>
      </c>
      <c r="BJ234">
        <f>'mk 001 10.3'!BJ235</f>
        <v>5</v>
      </c>
      <c r="BK234">
        <f>'mk 001 10.3'!BK235</f>
        <v>1300</v>
      </c>
      <c r="BL234" t="str">
        <f>'mk 001 10.3'!BL235</f>
        <v>SYSBATCH</v>
      </c>
      <c r="BM234">
        <f>'mk 001 10.3'!BM235</f>
        <v>0</v>
      </c>
      <c r="BN234">
        <f>'mk 001 10.3'!BN235</f>
        <v>0</v>
      </c>
    </row>
    <row r="235" spans="1:66" x14ac:dyDescent="0.35">
      <c r="A235">
        <f>'mk 001 10.3'!A236</f>
        <v>0</v>
      </c>
      <c r="B235">
        <f>'mk 001 10.3'!B236</f>
        <v>0</v>
      </c>
      <c r="C235" s="1" t="str">
        <f>'mk 001 10.3'!C236</f>
        <v>14/5/2569</v>
      </c>
      <c r="D235" s="1" t="str">
        <f>'mk 001 10.3'!D236</f>
        <v>14/5/2569</v>
      </c>
      <c r="E235">
        <f>'mk 001 10.3'!E236</f>
        <v>0</v>
      </c>
      <c r="F235" t="str">
        <f>'mk 001 10.3'!F236</f>
        <v>489M</v>
      </c>
      <c r="G235" t="str">
        <f>'mk 001 10.3'!G236</f>
        <v>Modern Trade (Makro)</v>
      </c>
      <c r="H235">
        <f>'mk 001 10.3'!H236</f>
        <v>0</v>
      </c>
      <c r="I235" t="str">
        <f>'mk 001 10.3'!I236</f>
        <v>หน่วยงานกลาง</v>
      </c>
      <c r="J235" t="str">
        <f>'mk 001 10.3'!J236</f>
        <v>F213  DMCW-รชล-พระพุทธบาท</v>
      </c>
      <c r="K235" t="str">
        <f>'mk 001 10.3'!K236</f>
        <v>00000  หน่วยงานกลาง</v>
      </c>
      <c r="L235">
        <f>'mk 001 10.3'!L236</f>
        <v>923</v>
      </c>
      <c r="M235">
        <f>'mk 001 10.3'!M236</f>
        <v>0</v>
      </c>
      <c r="N235" t="str">
        <f>'mk 001 10.3'!N236</f>
        <v>1A53009300</v>
      </c>
      <c r="O235" t="str">
        <f>'mk 001 10.3'!O236</f>
        <v>บมจ. ซีพี แอ็กซ์ตร้า สาขาทาวน์ อิน ทาวน์</v>
      </c>
      <c r="P235">
        <f>'mk 001 10.3'!P236</f>
        <v>2</v>
      </c>
      <c r="Q235" t="str">
        <f>'mk 001 10.3'!Q236</f>
        <v>MAKRO 0096 ทาวน์ อิน ทาวน์</v>
      </c>
      <c r="R235" s="1">
        <f>'mk 001 10.3'!R236</f>
        <v>244688</v>
      </c>
      <c r="S235" s="1" t="str">
        <f>'mk 001 10.3'!S236</f>
        <v>14/5/2569</v>
      </c>
      <c r="T235" t="str">
        <f>'mk 001 10.3'!T236</f>
        <v>H6954RMA0059841</v>
      </c>
      <c r="U235">
        <f>'mk 001 10.3'!U236</f>
        <v>23105753</v>
      </c>
      <c r="V235" t="str">
        <f>'mk 001 10.3'!V236</f>
        <v>เซพแพ็ค สะโพกหมู กก.ละ</v>
      </c>
      <c r="W235">
        <f>'mk 001 10.3'!W236</f>
        <v>10</v>
      </c>
      <c r="X235">
        <f>'mk 001 10.3'!X236</f>
        <v>10</v>
      </c>
      <c r="Y235">
        <f t="shared" si="3"/>
        <v>10</v>
      </c>
      <c r="Z235" s="13">
        <f>IF(COUNTIFS(แปลงข้อมูล!H:H,Q235,แปลงข้อมูล!I:I,U235,แปลงข้อมูล!J:J,V235)&gt;0,SUMIFS(แปลงข้อมูล!Q:Q,แปลงข้อมูล!I:I,U235,แปลงข้อมูล!H:H,Q235,แปลงข้อมูล!J:J,V235),'mk 001 10.3'!Z236)</f>
        <v>10</v>
      </c>
      <c r="AA235">
        <f>'mk 001 10.3'!AA236</f>
        <v>0</v>
      </c>
      <c r="AB235">
        <f>'mk 001 10.3'!AB236</f>
        <v>0</v>
      </c>
      <c r="AC235">
        <f>'mk 001 10.3'!AC236</f>
        <v>0</v>
      </c>
      <c r="AD235">
        <f>'mk 001 10.3'!AD236</f>
        <v>0</v>
      </c>
      <c r="AE235">
        <f>'mk 001 10.3'!AE236</f>
        <v>10</v>
      </c>
      <c r="AF235">
        <f>'mk 001 10.3'!AF236</f>
        <v>10</v>
      </c>
      <c r="AG235">
        <f>'mk 001 10.3'!AG236</f>
        <v>0</v>
      </c>
      <c r="AH235">
        <f>'mk 001 10.3'!AH236</f>
        <v>0</v>
      </c>
      <c r="AI235" t="str">
        <f>'mk 001 10.3'!AI236</f>
        <v>OPRCD489MOPRCD00000OPRCDF213OPRCD00000OPRCD923</v>
      </c>
      <c r="AJ235" t="str">
        <f>'mk 001 10.3'!AJ236</f>
        <v>ซื้อ / ขาย</v>
      </c>
      <c r="AK235" t="str">
        <f>'mk 001 10.3'!AK236</f>
        <v>Main proudct</v>
      </c>
      <c r="AL235" t="str">
        <f>'mk 001 10.3'!AL236</f>
        <v>Bulk Normal</v>
      </c>
      <c r="AM235" t="str">
        <f>'mk 001 10.3'!AM236</f>
        <v>สุกร</v>
      </c>
      <c r="AN235" t="str">
        <f>'mk 001 10.3'!AN236</f>
        <v>OT002 CC-Makro</v>
      </c>
      <c r="AO235" t="str">
        <f>'mk 001 10.3'!AO236</f>
        <v>MT</v>
      </c>
      <c r="AP235">
        <f>'mk 001 10.3'!AP236</f>
        <v>2</v>
      </c>
      <c r="AQ235">
        <f>'mk 001 10.3'!AQ236</f>
        <v>0</v>
      </c>
      <c r="AR235">
        <f>'mk 001 10.3'!AR236</f>
        <v>0</v>
      </c>
      <c r="AS235">
        <f>'mk 001 10.3'!AS236</f>
        <v>0</v>
      </c>
      <c r="AT235" t="str">
        <f>'mk 001 10.3'!AT236</f>
        <v>System Batch</v>
      </c>
      <c r="AU235" t="str">
        <f>'mk 001 10.3'!AU236</f>
        <v>2026-05-12-12.55.46.000000</v>
      </c>
      <c r="AV235" t="str">
        <f>'mk 001 10.3'!AV236</f>
        <v>ก.ก.</v>
      </c>
      <c r="AW235" t="str">
        <f>'mk 001 10.3'!AW236</f>
        <v>ก.ก.</v>
      </c>
      <c r="AX235" t="str">
        <f>'mk 001 10.3'!AX236</f>
        <v xml:space="preserve"> </v>
      </c>
      <c r="AY235">
        <f>'mk 001 10.3'!AY236</f>
        <v>0</v>
      </c>
      <c r="AZ235" t="str">
        <f>'mk 001 10.3'!AZ236</f>
        <v>N</v>
      </c>
      <c r="BA235" s="22">
        <f>'mk 001 10.3'!BA236</f>
        <v>9044989567153</v>
      </c>
      <c r="BB235">
        <f>'mk 001 10.3'!BB236</f>
        <v>0</v>
      </c>
      <c r="BC235">
        <f>'mk 001 10.3'!BC236</f>
        <v>0</v>
      </c>
      <c r="BD235">
        <f>'mk 001 10.3'!BD236</f>
        <v>1</v>
      </c>
      <c r="BE235">
        <f>'mk 001 10.3'!BE236</f>
        <v>0</v>
      </c>
      <c r="BF235" t="str">
        <f>'mk 001 10.3'!BF236</f>
        <v>;0000</v>
      </c>
      <c r="BG235">
        <f>'mk 001 10.3'!BG236</f>
        <v>1333314600</v>
      </c>
      <c r="BH235" t="str">
        <f>'mk 001 10.3'!BH236</f>
        <v>G</v>
      </c>
      <c r="BI235">
        <f>'mk 001 10.3'!BI236</f>
        <v>10</v>
      </c>
      <c r="BJ235">
        <f>'mk 001 10.3'!BJ236</f>
        <v>10</v>
      </c>
      <c r="BK235">
        <f>'mk 001 10.3'!BK236</f>
        <v>1300</v>
      </c>
      <c r="BL235" t="str">
        <f>'mk 001 10.3'!BL236</f>
        <v>SYSBATCH</v>
      </c>
      <c r="BM235">
        <f>'mk 001 10.3'!BM236</f>
        <v>0</v>
      </c>
      <c r="BN235">
        <f>'mk 001 10.3'!BN236</f>
        <v>0</v>
      </c>
    </row>
    <row r="236" spans="1:66" x14ac:dyDescent="0.35">
      <c r="A236">
        <f>'mk 001 10.3'!A237</f>
        <v>0</v>
      </c>
      <c r="B236">
        <f>'mk 001 10.3'!B237</f>
        <v>0</v>
      </c>
      <c r="C236" s="1" t="str">
        <f>'mk 001 10.3'!C237</f>
        <v>14/5/2569</v>
      </c>
      <c r="D236" s="1" t="str">
        <f>'mk 001 10.3'!D237</f>
        <v>14/5/2569</v>
      </c>
      <c r="E236">
        <f>'mk 001 10.3'!E237</f>
        <v>0</v>
      </c>
      <c r="F236" t="str">
        <f>'mk 001 10.3'!F237</f>
        <v>489M</v>
      </c>
      <c r="G236" t="str">
        <f>'mk 001 10.3'!G237</f>
        <v>Modern Trade (Makro)</v>
      </c>
      <c r="H236">
        <f>'mk 001 10.3'!H237</f>
        <v>0</v>
      </c>
      <c r="I236" t="str">
        <f>'mk 001 10.3'!I237</f>
        <v>หน่วยงานกลาง</v>
      </c>
      <c r="J236" t="str">
        <f>'mk 001 10.3'!J237</f>
        <v>F213  DMCW-รชล-พระพุทธบาท</v>
      </c>
      <c r="K236" t="str">
        <f>'mk 001 10.3'!K237</f>
        <v>00000  หน่วยงานกลาง</v>
      </c>
      <c r="L236">
        <f>'mk 001 10.3'!L237</f>
        <v>923</v>
      </c>
      <c r="M236">
        <f>'mk 001 10.3'!M237</f>
        <v>0</v>
      </c>
      <c r="N236" t="str">
        <f>'mk 001 10.3'!N237</f>
        <v>1A53009300</v>
      </c>
      <c r="O236" t="str">
        <f>'mk 001 10.3'!O237</f>
        <v>บมจ. ซีพี แอ็กซ์ตร้า สาขาทาวน์ อิน ทาวน์</v>
      </c>
      <c r="P236">
        <f>'mk 001 10.3'!P237</f>
        <v>2</v>
      </c>
      <c r="Q236" t="str">
        <f>'mk 001 10.3'!Q237</f>
        <v>MAKRO 0096 ทาวน์ อิน ทาวน์</v>
      </c>
      <c r="R236" s="1">
        <f>'mk 001 10.3'!R237</f>
        <v>244688</v>
      </c>
      <c r="S236" s="1" t="str">
        <f>'mk 001 10.3'!S237</f>
        <v>14/5/2569</v>
      </c>
      <c r="T236" t="str">
        <f>'mk 001 10.3'!T237</f>
        <v>H6954RMA0059841</v>
      </c>
      <c r="U236">
        <f>'mk 001 10.3'!U237</f>
        <v>23057818</v>
      </c>
      <c r="V236" t="str">
        <f>'mk 001 10.3'!V237</f>
        <v>สันใน(M)</v>
      </c>
      <c r="W236">
        <f>'mk 001 10.3'!W237</f>
        <v>5</v>
      </c>
      <c r="X236">
        <f>'mk 001 10.3'!X237</f>
        <v>5</v>
      </c>
      <c r="Y236">
        <f t="shared" si="3"/>
        <v>5</v>
      </c>
      <c r="Z236" s="13">
        <f>IF(COUNTIFS(แปลงข้อมูล!H:H,Q236,แปลงข้อมูล!I:I,U236,แปลงข้อมูล!J:J,V236)&gt;0,SUMIFS(แปลงข้อมูล!Q:Q,แปลงข้อมูล!I:I,U236,แปลงข้อมูล!H:H,Q236,แปลงข้อมูล!J:J,V236),'mk 001 10.3'!Z237)</f>
        <v>5</v>
      </c>
      <c r="AA236">
        <f>'mk 001 10.3'!AA237</f>
        <v>0</v>
      </c>
      <c r="AB236">
        <f>'mk 001 10.3'!AB237</f>
        <v>0</v>
      </c>
      <c r="AC236">
        <f>'mk 001 10.3'!AC237</f>
        <v>0</v>
      </c>
      <c r="AD236">
        <f>'mk 001 10.3'!AD237</f>
        <v>0</v>
      </c>
      <c r="AE236">
        <f>'mk 001 10.3'!AE237</f>
        <v>5</v>
      </c>
      <c r="AF236">
        <f>'mk 001 10.3'!AF237</f>
        <v>5</v>
      </c>
      <c r="AG236">
        <f>'mk 001 10.3'!AG237</f>
        <v>0</v>
      </c>
      <c r="AH236">
        <f>'mk 001 10.3'!AH237</f>
        <v>0</v>
      </c>
      <c r="AI236" t="str">
        <f>'mk 001 10.3'!AI237</f>
        <v>OPRCD489MOPRCD00000OPRCDF213OPRCD00000OPRCD923</v>
      </c>
      <c r="AJ236" t="str">
        <f>'mk 001 10.3'!AJ237</f>
        <v>ซื้อ / ขาย</v>
      </c>
      <c r="AK236" t="str">
        <f>'mk 001 10.3'!AK237</f>
        <v>Main proudct</v>
      </c>
      <c r="AL236" t="str">
        <f>'mk 001 10.3'!AL237</f>
        <v>Bulk Normal</v>
      </c>
      <c r="AM236" t="str">
        <f>'mk 001 10.3'!AM237</f>
        <v>สุกร</v>
      </c>
      <c r="AN236" t="str">
        <f>'mk 001 10.3'!AN237</f>
        <v>OT002 CC-Makro</v>
      </c>
      <c r="AO236" t="str">
        <f>'mk 001 10.3'!AO237</f>
        <v>MT</v>
      </c>
      <c r="AP236">
        <f>'mk 001 10.3'!AP237</f>
        <v>2</v>
      </c>
      <c r="AQ236">
        <f>'mk 001 10.3'!AQ237</f>
        <v>0</v>
      </c>
      <c r="AR236">
        <f>'mk 001 10.3'!AR237</f>
        <v>0</v>
      </c>
      <c r="AS236">
        <f>'mk 001 10.3'!AS237</f>
        <v>0</v>
      </c>
      <c r="AT236" t="str">
        <f>'mk 001 10.3'!AT237</f>
        <v>System Batch</v>
      </c>
      <c r="AU236" t="str">
        <f>'mk 001 10.3'!AU237</f>
        <v>2026-05-12-12.55.46.000000</v>
      </c>
      <c r="AV236" t="str">
        <f>'mk 001 10.3'!AV237</f>
        <v>ก.ก.</v>
      </c>
      <c r="AW236" t="str">
        <f>'mk 001 10.3'!AW237</f>
        <v>ก.ก.</v>
      </c>
      <c r="AX236" t="str">
        <f>'mk 001 10.3'!AX237</f>
        <v xml:space="preserve"> </v>
      </c>
      <c r="AY236">
        <f>'mk 001 10.3'!AY237</f>
        <v>0</v>
      </c>
      <c r="AZ236" t="str">
        <f>'mk 001 10.3'!AZ237</f>
        <v>N</v>
      </c>
      <c r="BA236" s="22">
        <f>'mk 001 10.3'!BA237</f>
        <v>9044989567153</v>
      </c>
      <c r="BB236">
        <f>'mk 001 10.3'!BB237</f>
        <v>0</v>
      </c>
      <c r="BC236">
        <f>'mk 001 10.3'!BC237</f>
        <v>0</v>
      </c>
      <c r="BD236">
        <f>'mk 001 10.3'!BD237</f>
        <v>1</v>
      </c>
      <c r="BE236">
        <f>'mk 001 10.3'!BE237</f>
        <v>0</v>
      </c>
      <c r="BF236" t="str">
        <f>'mk 001 10.3'!BF237</f>
        <v>;0000</v>
      </c>
      <c r="BG236">
        <f>'mk 001 10.3'!BG237</f>
        <v>1333314600</v>
      </c>
      <c r="BH236" t="str">
        <f>'mk 001 10.3'!BH237</f>
        <v>G</v>
      </c>
      <c r="BI236">
        <f>'mk 001 10.3'!BI237</f>
        <v>5</v>
      </c>
      <c r="BJ236">
        <f>'mk 001 10.3'!BJ237</f>
        <v>5</v>
      </c>
      <c r="BK236">
        <f>'mk 001 10.3'!BK237</f>
        <v>1300</v>
      </c>
      <c r="BL236" t="str">
        <f>'mk 001 10.3'!BL237</f>
        <v>SYSBATCH</v>
      </c>
      <c r="BM236">
        <f>'mk 001 10.3'!BM237</f>
        <v>0</v>
      </c>
      <c r="BN236">
        <f>'mk 001 10.3'!BN237</f>
        <v>0</v>
      </c>
    </row>
    <row r="237" spans="1:66" x14ac:dyDescent="0.35">
      <c r="A237">
        <f>'mk 001 10.3'!A238</f>
        <v>0</v>
      </c>
      <c r="B237">
        <f>'mk 001 10.3'!B238</f>
        <v>0</v>
      </c>
      <c r="C237" s="1" t="str">
        <f>'mk 001 10.3'!C238</f>
        <v>14/5/2569</v>
      </c>
      <c r="D237" s="1" t="str">
        <f>'mk 001 10.3'!D238</f>
        <v>14/5/2569</v>
      </c>
      <c r="E237">
        <f>'mk 001 10.3'!E238</f>
        <v>0</v>
      </c>
      <c r="F237" t="str">
        <f>'mk 001 10.3'!F238</f>
        <v>489M</v>
      </c>
      <c r="G237" t="str">
        <f>'mk 001 10.3'!G238</f>
        <v>Modern Trade (Makro)</v>
      </c>
      <c r="H237">
        <f>'mk 001 10.3'!H238</f>
        <v>0</v>
      </c>
      <c r="I237" t="str">
        <f>'mk 001 10.3'!I238</f>
        <v>หน่วยงานกลาง</v>
      </c>
      <c r="J237" t="str">
        <f>'mk 001 10.3'!J238</f>
        <v>F213  DMCW-รชล-พระพุทธบาท</v>
      </c>
      <c r="K237" t="str">
        <f>'mk 001 10.3'!K238</f>
        <v>00000  หน่วยงานกลาง</v>
      </c>
      <c r="L237">
        <f>'mk 001 10.3'!L238</f>
        <v>923</v>
      </c>
      <c r="M237">
        <f>'mk 001 10.3'!M238</f>
        <v>0</v>
      </c>
      <c r="N237" t="str">
        <f>'mk 001 10.3'!N238</f>
        <v>1A53009300</v>
      </c>
      <c r="O237" t="str">
        <f>'mk 001 10.3'!O238</f>
        <v>บมจ. ซีพี แอ็กซ์ตร้า สาขาทาวน์ อิน ทาวน์</v>
      </c>
      <c r="P237">
        <f>'mk 001 10.3'!P238</f>
        <v>2</v>
      </c>
      <c r="Q237" t="str">
        <f>'mk 001 10.3'!Q238</f>
        <v>MAKRO 0096 ทาวน์ อิน ทาวน์</v>
      </c>
      <c r="R237" s="1">
        <f>'mk 001 10.3'!R238</f>
        <v>244688</v>
      </c>
      <c r="S237" s="1" t="str">
        <f>'mk 001 10.3'!S238</f>
        <v>14/5/2569</v>
      </c>
      <c r="T237" t="str">
        <f>'mk 001 10.3'!T238</f>
        <v>H6954RMA0059841</v>
      </c>
      <c r="U237">
        <f>'mk 001 10.3'!U238</f>
        <v>23057815</v>
      </c>
      <c r="V237" t="str">
        <f>'mk 001 10.3'!V238</f>
        <v>สันนอก(M)</v>
      </c>
      <c r="W237">
        <f>'mk 001 10.3'!W238</f>
        <v>40</v>
      </c>
      <c r="X237">
        <f>'mk 001 10.3'!X238</f>
        <v>40</v>
      </c>
      <c r="Y237">
        <f t="shared" si="3"/>
        <v>40</v>
      </c>
      <c r="Z237" s="13">
        <f>IF(COUNTIFS(แปลงข้อมูล!H:H,Q237,แปลงข้อมูล!I:I,U237,แปลงข้อมูล!J:J,V237)&gt;0,SUMIFS(แปลงข้อมูล!Q:Q,แปลงข้อมูล!I:I,U237,แปลงข้อมูล!H:H,Q237,แปลงข้อมูล!J:J,V237),'mk 001 10.3'!Z238)</f>
        <v>40</v>
      </c>
      <c r="AA237">
        <f>'mk 001 10.3'!AA238</f>
        <v>0</v>
      </c>
      <c r="AB237">
        <f>'mk 001 10.3'!AB238</f>
        <v>0</v>
      </c>
      <c r="AC237">
        <f>'mk 001 10.3'!AC238</f>
        <v>0</v>
      </c>
      <c r="AD237">
        <f>'mk 001 10.3'!AD238</f>
        <v>0</v>
      </c>
      <c r="AE237">
        <f>'mk 001 10.3'!AE238</f>
        <v>40</v>
      </c>
      <c r="AF237">
        <f>'mk 001 10.3'!AF238</f>
        <v>40</v>
      </c>
      <c r="AG237">
        <f>'mk 001 10.3'!AG238</f>
        <v>0</v>
      </c>
      <c r="AH237">
        <f>'mk 001 10.3'!AH238</f>
        <v>0</v>
      </c>
      <c r="AI237" t="str">
        <f>'mk 001 10.3'!AI238</f>
        <v>OPRCD489MOPRCD00000OPRCDF213OPRCD00000OPRCD923</v>
      </c>
      <c r="AJ237" t="str">
        <f>'mk 001 10.3'!AJ238</f>
        <v>ซื้อ / ขาย</v>
      </c>
      <c r="AK237" t="str">
        <f>'mk 001 10.3'!AK238</f>
        <v>Main proudct</v>
      </c>
      <c r="AL237" t="str">
        <f>'mk 001 10.3'!AL238</f>
        <v>Bulk Normal</v>
      </c>
      <c r="AM237" t="str">
        <f>'mk 001 10.3'!AM238</f>
        <v>สุกร</v>
      </c>
      <c r="AN237" t="str">
        <f>'mk 001 10.3'!AN238</f>
        <v>OT002 CC-Makro</v>
      </c>
      <c r="AO237" t="str">
        <f>'mk 001 10.3'!AO238</f>
        <v>MT</v>
      </c>
      <c r="AP237">
        <f>'mk 001 10.3'!AP238</f>
        <v>2</v>
      </c>
      <c r="AQ237">
        <f>'mk 001 10.3'!AQ238</f>
        <v>0</v>
      </c>
      <c r="AR237">
        <f>'mk 001 10.3'!AR238</f>
        <v>0</v>
      </c>
      <c r="AS237">
        <f>'mk 001 10.3'!AS238</f>
        <v>0</v>
      </c>
      <c r="AT237" t="str">
        <f>'mk 001 10.3'!AT238</f>
        <v>System Batch</v>
      </c>
      <c r="AU237" t="str">
        <f>'mk 001 10.3'!AU238</f>
        <v>2026-05-12-12.55.46.000000</v>
      </c>
      <c r="AV237" t="str">
        <f>'mk 001 10.3'!AV238</f>
        <v>ก.ก.</v>
      </c>
      <c r="AW237" t="str">
        <f>'mk 001 10.3'!AW238</f>
        <v>ก.ก.</v>
      </c>
      <c r="AX237" t="str">
        <f>'mk 001 10.3'!AX238</f>
        <v xml:space="preserve"> </v>
      </c>
      <c r="AY237">
        <f>'mk 001 10.3'!AY238</f>
        <v>0</v>
      </c>
      <c r="AZ237" t="str">
        <f>'mk 001 10.3'!AZ238</f>
        <v>N</v>
      </c>
      <c r="BA237" s="22">
        <f>'mk 001 10.3'!BA238</f>
        <v>9044989567153</v>
      </c>
      <c r="BB237">
        <f>'mk 001 10.3'!BB238</f>
        <v>0</v>
      </c>
      <c r="BC237">
        <f>'mk 001 10.3'!BC238</f>
        <v>0</v>
      </c>
      <c r="BD237">
        <f>'mk 001 10.3'!BD238</f>
        <v>1</v>
      </c>
      <c r="BE237">
        <f>'mk 001 10.3'!BE238</f>
        <v>0</v>
      </c>
      <c r="BF237" t="str">
        <f>'mk 001 10.3'!BF238</f>
        <v>;0000</v>
      </c>
      <c r="BG237">
        <f>'mk 001 10.3'!BG238</f>
        <v>1333314600</v>
      </c>
      <c r="BH237" t="str">
        <f>'mk 001 10.3'!BH238</f>
        <v>G</v>
      </c>
      <c r="BI237">
        <f>'mk 001 10.3'!BI238</f>
        <v>40</v>
      </c>
      <c r="BJ237">
        <f>'mk 001 10.3'!BJ238</f>
        <v>40</v>
      </c>
      <c r="BK237">
        <f>'mk 001 10.3'!BK238</f>
        <v>1300</v>
      </c>
      <c r="BL237" t="str">
        <f>'mk 001 10.3'!BL238</f>
        <v>SYSBATCH</v>
      </c>
      <c r="BM237">
        <f>'mk 001 10.3'!BM238</f>
        <v>0</v>
      </c>
      <c r="BN237">
        <f>'mk 001 10.3'!BN238</f>
        <v>0</v>
      </c>
    </row>
    <row r="238" spans="1:66" x14ac:dyDescent="0.35">
      <c r="A238">
        <f>'mk 001 10.3'!A239</f>
        <v>0</v>
      </c>
      <c r="B238">
        <f>'mk 001 10.3'!B239</f>
        <v>0</v>
      </c>
      <c r="C238" s="1" t="str">
        <f>'mk 001 10.3'!C239</f>
        <v>14/5/2569</v>
      </c>
      <c r="D238" s="1" t="str">
        <f>'mk 001 10.3'!D239</f>
        <v>14/5/2569</v>
      </c>
      <c r="E238">
        <f>'mk 001 10.3'!E239</f>
        <v>0</v>
      </c>
      <c r="F238" t="str">
        <f>'mk 001 10.3'!F239</f>
        <v>489M</v>
      </c>
      <c r="G238" t="str">
        <f>'mk 001 10.3'!G239</f>
        <v>Modern Trade (Makro)</v>
      </c>
      <c r="H238">
        <f>'mk 001 10.3'!H239</f>
        <v>0</v>
      </c>
      <c r="I238" t="str">
        <f>'mk 001 10.3'!I239</f>
        <v>หน่วยงานกลาง</v>
      </c>
      <c r="J238" t="str">
        <f>'mk 001 10.3'!J239</f>
        <v>F213  DMCW-รชล-พระพุทธบาท</v>
      </c>
      <c r="K238" t="str">
        <f>'mk 001 10.3'!K239</f>
        <v>00000  หน่วยงานกลาง</v>
      </c>
      <c r="L238">
        <f>'mk 001 10.3'!L239</f>
        <v>923</v>
      </c>
      <c r="M238">
        <f>'mk 001 10.3'!M239</f>
        <v>0</v>
      </c>
      <c r="N238" t="str">
        <f>'mk 001 10.3'!N239</f>
        <v>1A53009300</v>
      </c>
      <c r="O238" t="str">
        <f>'mk 001 10.3'!O239</f>
        <v>บมจ. ซีพี แอ็กซ์ตร้า สาขาทาวน์ อิน ทาวน์</v>
      </c>
      <c r="P238">
        <f>'mk 001 10.3'!P239</f>
        <v>2</v>
      </c>
      <c r="Q238" t="str">
        <f>'mk 001 10.3'!Q239</f>
        <v>MAKRO 0096 ทาวน์ อิน ทาวน์</v>
      </c>
      <c r="R238" s="1">
        <f>'mk 001 10.3'!R239</f>
        <v>244688</v>
      </c>
      <c r="S238" s="1" t="str">
        <f>'mk 001 10.3'!S239</f>
        <v>14/5/2569</v>
      </c>
      <c r="T238" t="str">
        <f>'mk 001 10.3'!T239</f>
        <v>H6954RMA0059841</v>
      </c>
      <c r="U238">
        <f>'mk 001 10.3'!U239</f>
        <v>23057821</v>
      </c>
      <c r="V238" t="str">
        <f>'mk 001 10.3'!V239</f>
        <v>สันคอ(M)</v>
      </c>
      <c r="W238">
        <f>'mk 001 10.3'!W239</f>
        <v>5</v>
      </c>
      <c r="X238">
        <f>'mk 001 10.3'!X239</f>
        <v>5</v>
      </c>
      <c r="Y238">
        <f t="shared" si="3"/>
        <v>5</v>
      </c>
      <c r="Z238" s="13">
        <f>IF(COUNTIFS(แปลงข้อมูล!H:H,Q238,แปลงข้อมูล!I:I,U238,แปลงข้อมูล!J:J,V238)&gt;0,SUMIFS(แปลงข้อมูล!Q:Q,แปลงข้อมูล!I:I,U238,แปลงข้อมูล!H:H,Q238,แปลงข้อมูล!J:J,V238),'mk 001 10.3'!Z239)</f>
        <v>5</v>
      </c>
      <c r="AA238">
        <f>'mk 001 10.3'!AA239</f>
        <v>0</v>
      </c>
      <c r="AB238">
        <f>'mk 001 10.3'!AB239</f>
        <v>0</v>
      </c>
      <c r="AC238">
        <f>'mk 001 10.3'!AC239</f>
        <v>0</v>
      </c>
      <c r="AD238">
        <f>'mk 001 10.3'!AD239</f>
        <v>0</v>
      </c>
      <c r="AE238">
        <f>'mk 001 10.3'!AE239</f>
        <v>5</v>
      </c>
      <c r="AF238">
        <f>'mk 001 10.3'!AF239</f>
        <v>5</v>
      </c>
      <c r="AG238">
        <f>'mk 001 10.3'!AG239</f>
        <v>0</v>
      </c>
      <c r="AH238">
        <f>'mk 001 10.3'!AH239</f>
        <v>0</v>
      </c>
      <c r="AI238" t="str">
        <f>'mk 001 10.3'!AI239</f>
        <v>OPRCD489MOPRCD00000OPRCDF213OPRCD00000OPRCD923</v>
      </c>
      <c r="AJ238" t="str">
        <f>'mk 001 10.3'!AJ239</f>
        <v>ซื้อ / ขาย</v>
      </c>
      <c r="AK238" t="str">
        <f>'mk 001 10.3'!AK239</f>
        <v>Main proudct</v>
      </c>
      <c r="AL238" t="str">
        <f>'mk 001 10.3'!AL239</f>
        <v>Bulk Normal</v>
      </c>
      <c r="AM238" t="str">
        <f>'mk 001 10.3'!AM239</f>
        <v>สุกร</v>
      </c>
      <c r="AN238" t="str">
        <f>'mk 001 10.3'!AN239</f>
        <v>OT002 CC-Makro</v>
      </c>
      <c r="AO238" t="str">
        <f>'mk 001 10.3'!AO239</f>
        <v>MT</v>
      </c>
      <c r="AP238">
        <f>'mk 001 10.3'!AP239</f>
        <v>2</v>
      </c>
      <c r="AQ238">
        <f>'mk 001 10.3'!AQ239</f>
        <v>0</v>
      </c>
      <c r="AR238">
        <f>'mk 001 10.3'!AR239</f>
        <v>0</v>
      </c>
      <c r="AS238">
        <f>'mk 001 10.3'!AS239</f>
        <v>0</v>
      </c>
      <c r="AT238" t="str">
        <f>'mk 001 10.3'!AT239</f>
        <v>System Batch</v>
      </c>
      <c r="AU238" t="str">
        <f>'mk 001 10.3'!AU239</f>
        <v>2026-05-12-12.55.46.000000</v>
      </c>
      <c r="AV238" t="str">
        <f>'mk 001 10.3'!AV239</f>
        <v>ก.ก.</v>
      </c>
      <c r="AW238" t="str">
        <f>'mk 001 10.3'!AW239</f>
        <v>ก.ก.</v>
      </c>
      <c r="AX238" t="str">
        <f>'mk 001 10.3'!AX239</f>
        <v xml:space="preserve"> </v>
      </c>
      <c r="AY238">
        <f>'mk 001 10.3'!AY239</f>
        <v>0</v>
      </c>
      <c r="AZ238" t="str">
        <f>'mk 001 10.3'!AZ239</f>
        <v>N</v>
      </c>
      <c r="BA238" s="22">
        <f>'mk 001 10.3'!BA239</f>
        <v>9044989567153</v>
      </c>
      <c r="BB238">
        <f>'mk 001 10.3'!BB239</f>
        <v>0</v>
      </c>
      <c r="BC238">
        <f>'mk 001 10.3'!BC239</f>
        <v>0</v>
      </c>
      <c r="BD238">
        <f>'mk 001 10.3'!BD239</f>
        <v>1</v>
      </c>
      <c r="BE238">
        <f>'mk 001 10.3'!BE239</f>
        <v>0</v>
      </c>
      <c r="BF238" t="str">
        <f>'mk 001 10.3'!BF239</f>
        <v>;0000</v>
      </c>
      <c r="BG238">
        <f>'mk 001 10.3'!BG239</f>
        <v>1333314600</v>
      </c>
      <c r="BH238" t="str">
        <f>'mk 001 10.3'!BH239</f>
        <v>G</v>
      </c>
      <c r="BI238">
        <f>'mk 001 10.3'!BI239</f>
        <v>5</v>
      </c>
      <c r="BJ238">
        <f>'mk 001 10.3'!BJ239</f>
        <v>5</v>
      </c>
      <c r="BK238">
        <f>'mk 001 10.3'!BK239</f>
        <v>1300</v>
      </c>
      <c r="BL238" t="str">
        <f>'mk 001 10.3'!BL239</f>
        <v>SYSBATCH</v>
      </c>
      <c r="BM238">
        <f>'mk 001 10.3'!BM239</f>
        <v>0</v>
      </c>
      <c r="BN238">
        <f>'mk 001 10.3'!BN239</f>
        <v>0</v>
      </c>
    </row>
    <row r="239" spans="1:66" x14ac:dyDescent="0.35">
      <c r="A239">
        <f>'mk 001 10.3'!A240</f>
        <v>0</v>
      </c>
      <c r="B239">
        <f>'mk 001 10.3'!B240</f>
        <v>0</v>
      </c>
      <c r="C239" s="1" t="str">
        <f>'mk 001 10.3'!C240</f>
        <v>14/5/2569</v>
      </c>
      <c r="D239" s="1" t="str">
        <f>'mk 001 10.3'!D240</f>
        <v>14/5/2569</v>
      </c>
      <c r="E239">
        <f>'mk 001 10.3'!E240</f>
        <v>0</v>
      </c>
      <c r="F239" t="str">
        <f>'mk 001 10.3'!F240</f>
        <v>489M</v>
      </c>
      <c r="G239" t="str">
        <f>'mk 001 10.3'!G240</f>
        <v>Modern Trade (Makro)</v>
      </c>
      <c r="H239">
        <f>'mk 001 10.3'!H240</f>
        <v>0</v>
      </c>
      <c r="I239" t="str">
        <f>'mk 001 10.3'!I240</f>
        <v>หน่วยงานกลาง</v>
      </c>
      <c r="J239" t="str">
        <f>'mk 001 10.3'!J240</f>
        <v>F213  DMCW-รชล-พระพุทธบาท</v>
      </c>
      <c r="K239" t="str">
        <f>'mk 001 10.3'!K240</f>
        <v>00000  หน่วยงานกลาง</v>
      </c>
      <c r="L239">
        <f>'mk 001 10.3'!L240</f>
        <v>923</v>
      </c>
      <c r="M239">
        <f>'mk 001 10.3'!M240</f>
        <v>0</v>
      </c>
      <c r="N239" t="str">
        <f>'mk 001 10.3'!N240</f>
        <v>1A53009300</v>
      </c>
      <c r="O239" t="str">
        <f>'mk 001 10.3'!O240</f>
        <v>บมจ. ซีพี แอ็กซ์ตร้า สาขาทาวน์ อิน ทาวน์</v>
      </c>
      <c r="P239">
        <f>'mk 001 10.3'!P240</f>
        <v>2</v>
      </c>
      <c r="Q239" t="str">
        <f>'mk 001 10.3'!Q240</f>
        <v>MAKRO 0096 ทาวน์ อิน ทาวน์</v>
      </c>
      <c r="R239" s="1">
        <f>'mk 001 10.3'!R240</f>
        <v>244688</v>
      </c>
      <c r="S239" s="1" t="str">
        <f>'mk 001 10.3'!S240</f>
        <v>14/5/2569</v>
      </c>
      <c r="T239" t="str">
        <f>'mk 001 10.3'!T240</f>
        <v>H6954RMA0059841</v>
      </c>
      <c r="U239">
        <f>'mk 001 10.3'!U240</f>
        <v>23058555</v>
      </c>
      <c r="V239" t="str">
        <f>'mk 001 10.3'!V240</f>
        <v>กระดูกซุป (M)</v>
      </c>
      <c r="W239">
        <f>'mk 001 10.3'!W240</f>
        <v>50</v>
      </c>
      <c r="X239">
        <f>'mk 001 10.3'!X240</f>
        <v>50</v>
      </c>
      <c r="Y239">
        <f t="shared" si="3"/>
        <v>50</v>
      </c>
      <c r="Z239" s="13">
        <f>IF(COUNTIFS(แปลงข้อมูล!H:H,Q239,แปลงข้อมูล!I:I,U239,แปลงข้อมูล!J:J,V239)&gt;0,SUMIFS(แปลงข้อมูล!Q:Q,แปลงข้อมูล!I:I,U239,แปลงข้อมูล!H:H,Q239,แปลงข้อมูล!J:J,V239),'mk 001 10.3'!Z240)</f>
        <v>50</v>
      </c>
      <c r="AA239">
        <f>'mk 001 10.3'!AA240</f>
        <v>0</v>
      </c>
      <c r="AB239">
        <f>'mk 001 10.3'!AB240</f>
        <v>0</v>
      </c>
      <c r="AC239">
        <f>'mk 001 10.3'!AC240</f>
        <v>0</v>
      </c>
      <c r="AD239">
        <f>'mk 001 10.3'!AD240</f>
        <v>0</v>
      </c>
      <c r="AE239">
        <f>'mk 001 10.3'!AE240</f>
        <v>50</v>
      </c>
      <c r="AF239">
        <f>'mk 001 10.3'!AF240</f>
        <v>50</v>
      </c>
      <c r="AG239">
        <f>'mk 001 10.3'!AG240</f>
        <v>0</v>
      </c>
      <c r="AH239">
        <f>'mk 001 10.3'!AH240</f>
        <v>0</v>
      </c>
      <c r="AI239" t="str">
        <f>'mk 001 10.3'!AI240</f>
        <v>OPRCD489MOPRCD00000OPRCDF213OPRCD00000OPRCD923</v>
      </c>
      <c r="AJ239" t="str">
        <f>'mk 001 10.3'!AJ240</f>
        <v>ซื้อ / ขาย</v>
      </c>
      <c r="AK239" t="str">
        <f>'mk 001 10.3'!AK240</f>
        <v>By proudct</v>
      </c>
      <c r="AL239" t="str">
        <f>'mk 001 10.3'!AL240</f>
        <v>Bulk Normal</v>
      </c>
      <c r="AM239" t="str">
        <f>'mk 001 10.3'!AM240</f>
        <v>สุกร</v>
      </c>
      <c r="AN239" t="str">
        <f>'mk 001 10.3'!AN240</f>
        <v>OT002 CC-Makro</v>
      </c>
      <c r="AO239" t="str">
        <f>'mk 001 10.3'!AO240</f>
        <v>MT</v>
      </c>
      <c r="AP239">
        <f>'mk 001 10.3'!AP240</f>
        <v>2</v>
      </c>
      <c r="AQ239">
        <f>'mk 001 10.3'!AQ240</f>
        <v>0</v>
      </c>
      <c r="AR239">
        <f>'mk 001 10.3'!AR240</f>
        <v>0</v>
      </c>
      <c r="AS239">
        <f>'mk 001 10.3'!AS240</f>
        <v>0</v>
      </c>
      <c r="AT239" t="str">
        <f>'mk 001 10.3'!AT240</f>
        <v>System Batch</v>
      </c>
      <c r="AU239" t="str">
        <f>'mk 001 10.3'!AU240</f>
        <v>2026-05-12-12.55.46.000000</v>
      </c>
      <c r="AV239" t="str">
        <f>'mk 001 10.3'!AV240</f>
        <v>ก.ก.</v>
      </c>
      <c r="AW239" t="str">
        <f>'mk 001 10.3'!AW240</f>
        <v>ก.ก.</v>
      </c>
      <c r="AX239" t="str">
        <f>'mk 001 10.3'!AX240</f>
        <v xml:space="preserve"> </v>
      </c>
      <c r="AY239">
        <f>'mk 001 10.3'!AY240</f>
        <v>0</v>
      </c>
      <c r="AZ239" t="str">
        <f>'mk 001 10.3'!AZ240</f>
        <v>N</v>
      </c>
      <c r="BA239" s="22">
        <f>'mk 001 10.3'!BA240</f>
        <v>9044989567153</v>
      </c>
      <c r="BB239">
        <f>'mk 001 10.3'!BB240</f>
        <v>0</v>
      </c>
      <c r="BC239">
        <f>'mk 001 10.3'!BC240</f>
        <v>0</v>
      </c>
      <c r="BD239">
        <f>'mk 001 10.3'!BD240</f>
        <v>1</v>
      </c>
      <c r="BE239">
        <f>'mk 001 10.3'!BE240</f>
        <v>0</v>
      </c>
      <c r="BF239" t="str">
        <f>'mk 001 10.3'!BF240</f>
        <v>;0000</v>
      </c>
      <c r="BG239">
        <f>'mk 001 10.3'!BG240</f>
        <v>1333314600</v>
      </c>
      <c r="BH239" t="str">
        <f>'mk 001 10.3'!BH240</f>
        <v>G</v>
      </c>
      <c r="BI239">
        <f>'mk 001 10.3'!BI240</f>
        <v>50</v>
      </c>
      <c r="BJ239">
        <f>'mk 001 10.3'!BJ240</f>
        <v>50</v>
      </c>
      <c r="BK239">
        <f>'mk 001 10.3'!BK240</f>
        <v>1300</v>
      </c>
      <c r="BL239" t="str">
        <f>'mk 001 10.3'!BL240</f>
        <v>SYSBATCH</v>
      </c>
      <c r="BM239">
        <f>'mk 001 10.3'!BM240</f>
        <v>0</v>
      </c>
      <c r="BN239">
        <f>'mk 001 10.3'!BN240</f>
        <v>0</v>
      </c>
    </row>
    <row r="240" spans="1:66" x14ac:dyDescent="0.35">
      <c r="A240">
        <f>'mk 001 10.3'!A241</f>
        <v>0</v>
      </c>
      <c r="B240">
        <f>'mk 001 10.3'!B241</f>
        <v>0</v>
      </c>
      <c r="C240" s="1" t="str">
        <f>'mk 001 10.3'!C241</f>
        <v>14/5/2569</v>
      </c>
      <c r="D240" s="1" t="str">
        <f>'mk 001 10.3'!D241</f>
        <v>14/5/2569</v>
      </c>
      <c r="E240">
        <f>'mk 001 10.3'!E241</f>
        <v>0</v>
      </c>
      <c r="F240" t="str">
        <f>'mk 001 10.3'!F241</f>
        <v>489M</v>
      </c>
      <c r="G240" t="str">
        <f>'mk 001 10.3'!G241</f>
        <v>Modern Trade (Makro)</v>
      </c>
      <c r="H240">
        <f>'mk 001 10.3'!H241</f>
        <v>0</v>
      </c>
      <c r="I240" t="str">
        <f>'mk 001 10.3'!I241</f>
        <v>หน่วยงานกลาง</v>
      </c>
      <c r="J240" t="str">
        <f>'mk 001 10.3'!J241</f>
        <v>F213  DMCW-รชล-พระพุทธบาท</v>
      </c>
      <c r="K240" t="str">
        <f>'mk 001 10.3'!K241</f>
        <v>00000  หน่วยงานกลาง</v>
      </c>
      <c r="L240">
        <f>'mk 001 10.3'!L241</f>
        <v>923</v>
      </c>
      <c r="M240">
        <f>'mk 001 10.3'!M241</f>
        <v>0</v>
      </c>
      <c r="N240" t="str">
        <f>'mk 001 10.3'!N241</f>
        <v>1A53009300</v>
      </c>
      <c r="O240" t="str">
        <f>'mk 001 10.3'!O241</f>
        <v>บมจ. ซีพี แอ็กซ์ตร้า สาขาทาวน์ อิน ทาวน์</v>
      </c>
      <c r="P240">
        <f>'mk 001 10.3'!P241</f>
        <v>2</v>
      </c>
      <c r="Q240" t="str">
        <f>'mk 001 10.3'!Q241</f>
        <v>MAKRO 0096 ทาวน์ อิน ทาวน์</v>
      </c>
      <c r="R240" s="1">
        <f>'mk 001 10.3'!R241</f>
        <v>244688</v>
      </c>
      <c r="S240" s="1" t="str">
        <f>'mk 001 10.3'!S241</f>
        <v>14/5/2569</v>
      </c>
      <c r="T240" t="str">
        <f>'mk 001 10.3'!T241</f>
        <v>H6954RMA0059841</v>
      </c>
      <c r="U240">
        <f>'mk 001 10.3'!U241</f>
        <v>23071882</v>
      </c>
      <c r="V240" t="str">
        <f>'mk 001 10.3'!V241</f>
        <v>ซี่โครงหมูสไลด์รวม (M)</v>
      </c>
      <c r="W240">
        <f>'mk 001 10.3'!W241</f>
        <v>8</v>
      </c>
      <c r="X240">
        <f>'mk 001 10.3'!X241</f>
        <v>40</v>
      </c>
      <c r="Y240">
        <f t="shared" si="3"/>
        <v>8</v>
      </c>
      <c r="Z240" s="13">
        <f>IF(COUNTIFS(แปลงข้อมูล!H:H,Q240,แปลงข้อมูล!I:I,U240,แปลงข้อมูล!J:J,V240)&gt;0,SUMIFS(แปลงข้อมูล!Q:Q,แปลงข้อมูล!I:I,U240,แปลงข้อมูล!H:H,Q240,แปลงข้อมูล!J:J,V240),'mk 001 10.3'!Z241)</f>
        <v>40</v>
      </c>
      <c r="AA240">
        <f>'mk 001 10.3'!AA241</f>
        <v>0</v>
      </c>
      <c r="AB240">
        <f>'mk 001 10.3'!AB241</f>
        <v>0</v>
      </c>
      <c r="AC240">
        <f>'mk 001 10.3'!AC241</f>
        <v>0</v>
      </c>
      <c r="AD240">
        <f>'mk 001 10.3'!AD241</f>
        <v>0</v>
      </c>
      <c r="AE240">
        <f>'mk 001 10.3'!AE241</f>
        <v>8</v>
      </c>
      <c r="AF240">
        <f>'mk 001 10.3'!AF241</f>
        <v>40</v>
      </c>
      <c r="AG240">
        <f>'mk 001 10.3'!AG241</f>
        <v>0</v>
      </c>
      <c r="AH240">
        <f>'mk 001 10.3'!AH241</f>
        <v>0</v>
      </c>
      <c r="AI240" t="str">
        <f>'mk 001 10.3'!AI241</f>
        <v>OPRCD489MOPRCD00000OPRCDF213OPRCD00000OPRCD923</v>
      </c>
      <c r="AJ240" t="str">
        <f>'mk 001 10.3'!AJ241</f>
        <v>ซื้อ / ขาย</v>
      </c>
      <c r="AK240" t="str">
        <f>'mk 001 10.3'!AK241</f>
        <v>Main proudct</v>
      </c>
      <c r="AL240" t="str">
        <f>'mk 001 10.3'!AL241</f>
        <v>Bulk Normal</v>
      </c>
      <c r="AM240" t="str">
        <f>'mk 001 10.3'!AM241</f>
        <v>สุกร</v>
      </c>
      <c r="AN240" t="str">
        <f>'mk 001 10.3'!AN241</f>
        <v>OT002 CC-Makro</v>
      </c>
      <c r="AO240" t="str">
        <f>'mk 001 10.3'!AO241</f>
        <v>MT</v>
      </c>
      <c r="AP240">
        <f>'mk 001 10.3'!AP241</f>
        <v>2</v>
      </c>
      <c r="AQ240">
        <f>'mk 001 10.3'!AQ241</f>
        <v>0</v>
      </c>
      <c r="AR240">
        <f>'mk 001 10.3'!AR241</f>
        <v>0</v>
      </c>
      <c r="AS240">
        <f>'mk 001 10.3'!AS241</f>
        <v>0</v>
      </c>
      <c r="AT240" t="str">
        <f>'mk 001 10.3'!AT241</f>
        <v>System Batch</v>
      </c>
      <c r="AU240" t="str">
        <f>'mk 001 10.3'!AU241</f>
        <v>2026-05-12-12.55.46.000000</v>
      </c>
      <c r="AV240" t="str">
        <f>'mk 001 10.3'!AV241</f>
        <v>ถุง</v>
      </c>
      <c r="AW240" t="str">
        <f>'mk 001 10.3'!AW241</f>
        <v>ก.ก.</v>
      </c>
      <c r="AX240" t="str">
        <f>'mk 001 10.3'!AX241</f>
        <v xml:space="preserve"> </v>
      </c>
      <c r="AY240">
        <f>'mk 001 10.3'!AY241</f>
        <v>0</v>
      </c>
      <c r="AZ240" t="str">
        <f>'mk 001 10.3'!AZ241</f>
        <v>N</v>
      </c>
      <c r="BA240" s="22">
        <f>'mk 001 10.3'!BA241</f>
        <v>9044989567153</v>
      </c>
      <c r="BB240">
        <f>'mk 001 10.3'!BB241</f>
        <v>0</v>
      </c>
      <c r="BC240">
        <f>'mk 001 10.3'!BC241</f>
        <v>0</v>
      </c>
      <c r="BD240">
        <f>'mk 001 10.3'!BD241</f>
        <v>1</v>
      </c>
      <c r="BE240">
        <f>'mk 001 10.3'!BE241</f>
        <v>0</v>
      </c>
      <c r="BF240" t="str">
        <f>'mk 001 10.3'!BF241</f>
        <v>;0000</v>
      </c>
      <c r="BG240">
        <f>'mk 001 10.3'!BG241</f>
        <v>1333314600</v>
      </c>
      <c r="BH240" t="str">
        <f>'mk 001 10.3'!BH241</f>
        <v>G</v>
      </c>
      <c r="BI240">
        <f>'mk 001 10.3'!BI241</f>
        <v>8</v>
      </c>
      <c r="BJ240">
        <f>'mk 001 10.3'!BJ241</f>
        <v>40</v>
      </c>
      <c r="BK240">
        <f>'mk 001 10.3'!BK241</f>
        <v>1300</v>
      </c>
      <c r="BL240" t="str">
        <f>'mk 001 10.3'!BL241</f>
        <v>SYSBATCH</v>
      </c>
      <c r="BM240">
        <f>'mk 001 10.3'!BM241</f>
        <v>0</v>
      </c>
      <c r="BN240">
        <f>'mk 001 10.3'!BN241</f>
        <v>0</v>
      </c>
    </row>
    <row r="241" spans="1:66" x14ac:dyDescent="0.35">
      <c r="A241">
        <f>'mk 001 10.3'!A242</f>
        <v>0</v>
      </c>
      <c r="B241">
        <f>'mk 001 10.3'!B242</f>
        <v>0</v>
      </c>
      <c r="C241" s="1" t="str">
        <f>'mk 001 10.3'!C242</f>
        <v>14/5/2569</v>
      </c>
      <c r="D241" s="1" t="str">
        <f>'mk 001 10.3'!D242</f>
        <v>14/5/2569</v>
      </c>
      <c r="E241">
        <f>'mk 001 10.3'!E242</f>
        <v>0</v>
      </c>
      <c r="F241" t="str">
        <f>'mk 001 10.3'!F242</f>
        <v>489M</v>
      </c>
      <c r="G241" t="str">
        <f>'mk 001 10.3'!G242</f>
        <v>Modern Trade (Makro)</v>
      </c>
      <c r="H241">
        <f>'mk 001 10.3'!H242</f>
        <v>0</v>
      </c>
      <c r="I241" t="str">
        <f>'mk 001 10.3'!I242</f>
        <v>หน่วยงานกลาง</v>
      </c>
      <c r="J241" t="str">
        <f>'mk 001 10.3'!J242</f>
        <v>F213  DMCW-รชล-พระพุทธบาท</v>
      </c>
      <c r="K241" t="str">
        <f>'mk 001 10.3'!K242</f>
        <v>00000  หน่วยงานกลาง</v>
      </c>
      <c r="L241">
        <f>'mk 001 10.3'!L242</f>
        <v>923</v>
      </c>
      <c r="M241">
        <f>'mk 001 10.3'!M242</f>
        <v>0</v>
      </c>
      <c r="N241" t="str">
        <f>'mk 001 10.3'!N242</f>
        <v>1A53009300</v>
      </c>
      <c r="O241" t="str">
        <f>'mk 001 10.3'!O242</f>
        <v>บมจ. ซีพี แอ็กซ์ตร้า สาขาทาวน์ อิน ทาวน์</v>
      </c>
      <c r="P241">
        <f>'mk 001 10.3'!P242</f>
        <v>2</v>
      </c>
      <c r="Q241" t="str">
        <f>'mk 001 10.3'!Q242</f>
        <v>MAKRO 0096 ทาวน์ อิน ทาวน์</v>
      </c>
      <c r="R241" s="1">
        <f>'mk 001 10.3'!R242</f>
        <v>244688</v>
      </c>
      <c r="S241" s="1" t="str">
        <f>'mk 001 10.3'!S242</f>
        <v>14/5/2569</v>
      </c>
      <c r="T241" t="str">
        <f>'mk 001 10.3'!T242</f>
        <v>H6954RMA0059841</v>
      </c>
      <c r="U241">
        <f>'mk 001 10.3'!U242</f>
        <v>23071881</v>
      </c>
      <c r="V241" t="str">
        <f>'mk 001 10.3'!V242</f>
        <v>หมูบด (M)</v>
      </c>
      <c r="W241">
        <f>'mk 001 10.3'!W242</f>
        <v>12</v>
      </c>
      <c r="X241">
        <f>'mk 001 10.3'!X242</f>
        <v>60</v>
      </c>
      <c r="Y241">
        <f t="shared" si="3"/>
        <v>12</v>
      </c>
      <c r="Z241" s="13">
        <f>IF(COUNTIFS(แปลงข้อมูล!H:H,Q241,แปลงข้อมูล!I:I,U241,แปลงข้อมูล!J:J,V241)&gt;0,SUMIFS(แปลงข้อมูล!Q:Q,แปลงข้อมูล!I:I,U241,แปลงข้อมูล!H:H,Q241,แปลงข้อมูล!J:J,V241),'mk 001 10.3'!Z242)</f>
        <v>60</v>
      </c>
      <c r="AA241">
        <f>'mk 001 10.3'!AA242</f>
        <v>0</v>
      </c>
      <c r="AB241">
        <f>'mk 001 10.3'!AB242</f>
        <v>0</v>
      </c>
      <c r="AC241">
        <f>'mk 001 10.3'!AC242</f>
        <v>0</v>
      </c>
      <c r="AD241">
        <f>'mk 001 10.3'!AD242</f>
        <v>0</v>
      </c>
      <c r="AE241">
        <f>'mk 001 10.3'!AE242</f>
        <v>12</v>
      </c>
      <c r="AF241">
        <f>'mk 001 10.3'!AF242</f>
        <v>60</v>
      </c>
      <c r="AG241">
        <f>'mk 001 10.3'!AG242</f>
        <v>0</v>
      </c>
      <c r="AH241">
        <f>'mk 001 10.3'!AH242</f>
        <v>0</v>
      </c>
      <c r="AI241" t="str">
        <f>'mk 001 10.3'!AI242</f>
        <v>OPRCD489MOPRCD00000OPRCDF213OPRCD00000OPRCD923</v>
      </c>
      <c r="AJ241" t="str">
        <f>'mk 001 10.3'!AJ242</f>
        <v>ซื้อ / ขาย</v>
      </c>
      <c r="AK241" t="str">
        <f>'mk 001 10.3'!AK242</f>
        <v>Main proudct</v>
      </c>
      <c r="AL241" t="str">
        <f>'mk 001 10.3'!AL242</f>
        <v>Bulk Normal</v>
      </c>
      <c r="AM241" t="str">
        <f>'mk 001 10.3'!AM242</f>
        <v>สุกร</v>
      </c>
      <c r="AN241" t="str">
        <f>'mk 001 10.3'!AN242</f>
        <v>OT002 CC-Makro</v>
      </c>
      <c r="AO241" t="str">
        <f>'mk 001 10.3'!AO242</f>
        <v>MT</v>
      </c>
      <c r="AP241">
        <f>'mk 001 10.3'!AP242</f>
        <v>2</v>
      </c>
      <c r="AQ241">
        <f>'mk 001 10.3'!AQ242</f>
        <v>0</v>
      </c>
      <c r="AR241">
        <f>'mk 001 10.3'!AR242</f>
        <v>0</v>
      </c>
      <c r="AS241">
        <f>'mk 001 10.3'!AS242</f>
        <v>0</v>
      </c>
      <c r="AT241" t="str">
        <f>'mk 001 10.3'!AT242</f>
        <v>System Batch</v>
      </c>
      <c r="AU241" t="str">
        <f>'mk 001 10.3'!AU242</f>
        <v>2026-05-12-12.55.46.000000</v>
      </c>
      <c r="AV241" t="str">
        <f>'mk 001 10.3'!AV242</f>
        <v>ถุง</v>
      </c>
      <c r="AW241" t="str">
        <f>'mk 001 10.3'!AW242</f>
        <v>ก.ก.</v>
      </c>
      <c r="AX241" t="str">
        <f>'mk 001 10.3'!AX242</f>
        <v xml:space="preserve"> </v>
      </c>
      <c r="AY241">
        <f>'mk 001 10.3'!AY242</f>
        <v>0</v>
      </c>
      <c r="AZ241" t="str">
        <f>'mk 001 10.3'!AZ242</f>
        <v>N</v>
      </c>
      <c r="BA241" s="22">
        <f>'mk 001 10.3'!BA242</f>
        <v>9044989567153</v>
      </c>
      <c r="BB241">
        <f>'mk 001 10.3'!BB242</f>
        <v>0</v>
      </c>
      <c r="BC241">
        <f>'mk 001 10.3'!BC242</f>
        <v>0</v>
      </c>
      <c r="BD241">
        <f>'mk 001 10.3'!BD242</f>
        <v>1</v>
      </c>
      <c r="BE241">
        <f>'mk 001 10.3'!BE242</f>
        <v>0</v>
      </c>
      <c r="BF241" t="str">
        <f>'mk 001 10.3'!BF242</f>
        <v>;0000</v>
      </c>
      <c r="BG241">
        <f>'mk 001 10.3'!BG242</f>
        <v>1333314600</v>
      </c>
      <c r="BH241" t="str">
        <f>'mk 001 10.3'!BH242</f>
        <v>G</v>
      </c>
      <c r="BI241">
        <f>'mk 001 10.3'!BI242</f>
        <v>12</v>
      </c>
      <c r="BJ241">
        <f>'mk 001 10.3'!BJ242</f>
        <v>60</v>
      </c>
      <c r="BK241">
        <f>'mk 001 10.3'!BK242</f>
        <v>1300</v>
      </c>
      <c r="BL241" t="str">
        <f>'mk 001 10.3'!BL242</f>
        <v>SYSBATCH</v>
      </c>
      <c r="BM241">
        <f>'mk 001 10.3'!BM242</f>
        <v>0</v>
      </c>
      <c r="BN241">
        <f>'mk 001 10.3'!BN242</f>
        <v>0</v>
      </c>
    </row>
    <row r="242" spans="1:66" x14ac:dyDescent="0.35">
      <c r="A242">
        <f>'mk 001 10.3'!A243</f>
        <v>0</v>
      </c>
      <c r="B242">
        <f>'mk 001 10.3'!B243</f>
        <v>0</v>
      </c>
      <c r="C242" s="1" t="str">
        <f>'mk 001 10.3'!C243</f>
        <v>14/5/2569</v>
      </c>
      <c r="D242" s="1" t="str">
        <f>'mk 001 10.3'!D243</f>
        <v>14/5/2569</v>
      </c>
      <c r="E242">
        <f>'mk 001 10.3'!E243</f>
        <v>0</v>
      </c>
      <c r="F242" t="str">
        <f>'mk 001 10.3'!F243</f>
        <v>489M</v>
      </c>
      <c r="G242" t="str">
        <f>'mk 001 10.3'!G243</f>
        <v>Modern Trade (Makro)</v>
      </c>
      <c r="H242">
        <f>'mk 001 10.3'!H243</f>
        <v>0</v>
      </c>
      <c r="I242" t="str">
        <f>'mk 001 10.3'!I243</f>
        <v>หน่วยงานกลาง</v>
      </c>
      <c r="J242" t="str">
        <f>'mk 001 10.3'!J243</f>
        <v>F213  DMCW-รชล-พระพุทธบาท</v>
      </c>
      <c r="K242" t="str">
        <f>'mk 001 10.3'!K243</f>
        <v>00000  หน่วยงานกลาง</v>
      </c>
      <c r="L242">
        <f>'mk 001 10.3'!L243</f>
        <v>923</v>
      </c>
      <c r="M242">
        <f>'mk 001 10.3'!M243</f>
        <v>0</v>
      </c>
      <c r="N242" t="str">
        <f>'mk 001 10.3'!N243</f>
        <v>1A53009300</v>
      </c>
      <c r="O242" t="str">
        <f>'mk 001 10.3'!O243</f>
        <v>บมจ. ซีพี แอ็กซ์ตร้า สาขาทาวน์ อิน ทาวน์</v>
      </c>
      <c r="P242">
        <f>'mk 001 10.3'!P243</f>
        <v>2</v>
      </c>
      <c r="Q242" t="str">
        <f>'mk 001 10.3'!Q243</f>
        <v>MAKRO 0096 ทาวน์ อิน ทาวน์</v>
      </c>
      <c r="R242" s="1">
        <f>'mk 001 10.3'!R243</f>
        <v>244688</v>
      </c>
      <c r="S242" s="1" t="str">
        <f>'mk 001 10.3'!S243</f>
        <v>14/5/2569</v>
      </c>
      <c r="T242" t="str">
        <f>'mk 001 10.3'!T243</f>
        <v>H6954RMA0059841</v>
      </c>
      <c r="U242">
        <f>'mk 001 10.3'!U243</f>
        <v>23105754</v>
      </c>
      <c r="V242" t="str">
        <f>'mk 001 10.3'!V243</f>
        <v>เซพแพ็ค สามชั้นหมู กก.ละ</v>
      </c>
      <c r="W242">
        <f>'mk 001 10.3'!W243</f>
        <v>10</v>
      </c>
      <c r="X242">
        <f>'mk 001 10.3'!X243</f>
        <v>10</v>
      </c>
      <c r="Y242">
        <f t="shared" si="3"/>
        <v>10</v>
      </c>
      <c r="Z242" s="13">
        <f>IF(COUNTIFS(แปลงข้อมูล!H:H,Q242,แปลงข้อมูล!I:I,U242,แปลงข้อมูล!J:J,V242)&gt;0,SUMIFS(แปลงข้อมูล!Q:Q,แปลงข้อมูล!I:I,U242,แปลงข้อมูล!H:H,Q242,แปลงข้อมูล!J:J,V242),'mk 001 10.3'!Z243)</f>
        <v>10</v>
      </c>
      <c r="AA242">
        <f>'mk 001 10.3'!AA243</f>
        <v>0</v>
      </c>
      <c r="AB242">
        <f>'mk 001 10.3'!AB243</f>
        <v>0</v>
      </c>
      <c r="AC242">
        <f>'mk 001 10.3'!AC243</f>
        <v>0</v>
      </c>
      <c r="AD242">
        <f>'mk 001 10.3'!AD243</f>
        <v>0</v>
      </c>
      <c r="AE242">
        <f>'mk 001 10.3'!AE243</f>
        <v>10</v>
      </c>
      <c r="AF242">
        <f>'mk 001 10.3'!AF243</f>
        <v>10</v>
      </c>
      <c r="AG242">
        <f>'mk 001 10.3'!AG243</f>
        <v>0</v>
      </c>
      <c r="AH242">
        <f>'mk 001 10.3'!AH243</f>
        <v>0</v>
      </c>
      <c r="AI242" t="str">
        <f>'mk 001 10.3'!AI243</f>
        <v>OPRCD489MOPRCD00000OPRCDF213OPRCD00000OPRCD923</v>
      </c>
      <c r="AJ242" t="str">
        <f>'mk 001 10.3'!AJ243</f>
        <v>ซื้อ / ขาย</v>
      </c>
      <c r="AK242" t="str">
        <f>'mk 001 10.3'!AK243</f>
        <v>Main proudct</v>
      </c>
      <c r="AL242" t="str">
        <f>'mk 001 10.3'!AL243</f>
        <v>Bulk Normal</v>
      </c>
      <c r="AM242" t="str">
        <f>'mk 001 10.3'!AM243</f>
        <v>สุกร</v>
      </c>
      <c r="AN242" t="str">
        <f>'mk 001 10.3'!AN243</f>
        <v>OT002 CC-Makro</v>
      </c>
      <c r="AO242" t="str">
        <f>'mk 001 10.3'!AO243</f>
        <v>MT</v>
      </c>
      <c r="AP242">
        <f>'mk 001 10.3'!AP243</f>
        <v>2</v>
      </c>
      <c r="AQ242">
        <f>'mk 001 10.3'!AQ243</f>
        <v>0</v>
      </c>
      <c r="AR242">
        <f>'mk 001 10.3'!AR243</f>
        <v>0</v>
      </c>
      <c r="AS242">
        <f>'mk 001 10.3'!AS243</f>
        <v>0</v>
      </c>
      <c r="AT242" t="str">
        <f>'mk 001 10.3'!AT243</f>
        <v>System Batch</v>
      </c>
      <c r="AU242" t="str">
        <f>'mk 001 10.3'!AU243</f>
        <v>2026-05-12-12.55.46.000000</v>
      </c>
      <c r="AV242" t="str">
        <f>'mk 001 10.3'!AV243</f>
        <v>ก.ก.</v>
      </c>
      <c r="AW242" t="str">
        <f>'mk 001 10.3'!AW243</f>
        <v>ก.ก.</v>
      </c>
      <c r="AX242" t="str">
        <f>'mk 001 10.3'!AX243</f>
        <v xml:space="preserve"> </v>
      </c>
      <c r="AY242">
        <f>'mk 001 10.3'!AY243</f>
        <v>0</v>
      </c>
      <c r="AZ242" t="str">
        <f>'mk 001 10.3'!AZ243</f>
        <v>N</v>
      </c>
      <c r="BA242" s="22">
        <f>'mk 001 10.3'!BA243</f>
        <v>9044989567153</v>
      </c>
      <c r="BB242">
        <f>'mk 001 10.3'!BB243</f>
        <v>0</v>
      </c>
      <c r="BC242">
        <f>'mk 001 10.3'!BC243</f>
        <v>0</v>
      </c>
      <c r="BD242">
        <f>'mk 001 10.3'!BD243</f>
        <v>1</v>
      </c>
      <c r="BE242">
        <f>'mk 001 10.3'!BE243</f>
        <v>0</v>
      </c>
      <c r="BF242" t="str">
        <f>'mk 001 10.3'!BF243</f>
        <v>;0000</v>
      </c>
      <c r="BG242">
        <f>'mk 001 10.3'!BG243</f>
        <v>1333314600</v>
      </c>
      <c r="BH242" t="str">
        <f>'mk 001 10.3'!BH243</f>
        <v>G</v>
      </c>
      <c r="BI242">
        <f>'mk 001 10.3'!BI243</f>
        <v>10</v>
      </c>
      <c r="BJ242">
        <f>'mk 001 10.3'!BJ243</f>
        <v>10</v>
      </c>
      <c r="BK242">
        <f>'mk 001 10.3'!BK243</f>
        <v>1300</v>
      </c>
      <c r="BL242" t="str">
        <f>'mk 001 10.3'!BL243</f>
        <v>SYSBATCH</v>
      </c>
      <c r="BM242">
        <f>'mk 001 10.3'!BM243</f>
        <v>0</v>
      </c>
      <c r="BN242">
        <f>'mk 001 10.3'!BN243</f>
        <v>0</v>
      </c>
    </row>
    <row r="243" spans="1:66" x14ac:dyDescent="0.35">
      <c r="A243">
        <f>'mk 001 10.3'!A244</f>
        <v>0</v>
      </c>
      <c r="B243">
        <f>'mk 001 10.3'!B244</f>
        <v>0</v>
      </c>
      <c r="C243" s="1" t="str">
        <f>'mk 001 10.3'!C244</f>
        <v>14/5/2569</v>
      </c>
      <c r="D243" s="1" t="str">
        <f>'mk 001 10.3'!D244</f>
        <v>14/5/2569</v>
      </c>
      <c r="E243">
        <f>'mk 001 10.3'!E244</f>
        <v>0</v>
      </c>
      <c r="F243" t="str">
        <f>'mk 001 10.3'!F244</f>
        <v>489M</v>
      </c>
      <c r="G243" t="str">
        <f>'mk 001 10.3'!G244</f>
        <v>Modern Trade (Makro)</v>
      </c>
      <c r="H243">
        <f>'mk 001 10.3'!H244</f>
        <v>0</v>
      </c>
      <c r="I243" t="str">
        <f>'mk 001 10.3'!I244</f>
        <v>หน่วยงานกลาง</v>
      </c>
      <c r="J243" t="str">
        <f>'mk 001 10.3'!J244</f>
        <v>F213  DMCW-รชล-พระพุทธบาท</v>
      </c>
      <c r="K243" t="str">
        <f>'mk 001 10.3'!K244</f>
        <v>00000  หน่วยงานกลาง</v>
      </c>
      <c r="L243">
        <f>'mk 001 10.3'!L244</f>
        <v>923</v>
      </c>
      <c r="M243">
        <f>'mk 001 10.3'!M244</f>
        <v>0</v>
      </c>
      <c r="N243" t="str">
        <f>'mk 001 10.3'!N244</f>
        <v>1A53009300</v>
      </c>
      <c r="O243" t="str">
        <f>'mk 001 10.3'!O244</f>
        <v>บมจ. ซีพี แอ็กซ์ตร้า สาขาทาวน์ อิน ทาวน์</v>
      </c>
      <c r="P243">
        <f>'mk 001 10.3'!P244</f>
        <v>2</v>
      </c>
      <c r="Q243" t="str">
        <f>'mk 001 10.3'!Q244</f>
        <v>MAKRO 0096 ทาวน์ อิน ทาวน์</v>
      </c>
      <c r="R243" s="1">
        <f>'mk 001 10.3'!R244</f>
        <v>244688</v>
      </c>
      <c r="S243" s="1" t="str">
        <f>'mk 001 10.3'!S244</f>
        <v>14/5/2569</v>
      </c>
      <c r="T243" t="str">
        <f>'mk 001 10.3'!T244</f>
        <v>H6954RMA0059841</v>
      </c>
      <c r="U243">
        <f>'mk 001 10.3'!U244</f>
        <v>23058584</v>
      </c>
      <c r="V243" t="str">
        <f>'mk 001 10.3'!V244</f>
        <v>ตับหมู (M)</v>
      </c>
      <c r="W243">
        <f>'mk 001 10.3'!W244</f>
        <v>10</v>
      </c>
      <c r="X243">
        <f>'mk 001 10.3'!X244</f>
        <v>10</v>
      </c>
      <c r="Y243">
        <f t="shared" si="3"/>
        <v>10</v>
      </c>
      <c r="Z243" s="13">
        <f>IF(COUNTIFS(แปลงข้อมูล!H:H,Q243,แปลงข้อมูล!I:I,U243,แปลงข้อมูล!J:J,V243)&gt;0,SUMIFS(แปลงข้อมูล!Q:Q,แปลงข้อมูล!I:I,U243,แปลงข้อมูล!H:H,Q243,แปลงข้อมูล!J:J,V243),'mk 001 10.3'!Z244)</f>
        <v>10</v>
      </c>
      <c r="AA243">
        <f>'mk 001 10.3'!AA244</f>
        <v>0</v>
      </c>
      <c r="AB243">
        <f>'mk 001 10.3'!AB244</f>
        <v>0</v>
      </c>
      <c r="AC243">
        <f>'mk 001 10.3'!AC244</f>
        <v>0</v>
      </c>
      <c r="AD243">
        <f>'mk 001 10.3'!AD244</f>
        <v>0</v>
      </c>
      <c r="AE243">
        <f>'mk 001 10.3'!AE244</f>
        <v>10</v>
      </c>
      <c r="AF243">
        <f>'mk 001 10.3'!AF244</f>
        <v>10</v>
      </c>
      <c r="AG243">
        <f>'mk 001 10.3'!AG244</f>
        <v>0</v>
      </c>
      <c r="AH243">
        <f>'mk 001 10.3'!AH244</f>
        <v>0</v>
      </c>
      <c r="AI243" t="str">
        <f>'mk 001 10.3'!AI244</f>
        <v>OPRCD489MOPRCD00000OPRCDF213OPRCD00000OPRCD923</v>
      </c>
      <c r="AJ243" t="str">
        <f>'mk 001 10.3'!AJ244</f>
        <v>ซื้อ / ขาย</v>
      </c>
      <c r="AK243" t="str">
        <f>'mk 001 10.3'!AK244</f>
        <v>By proudct</v>
      </c>
      <c r="AL243" t="str">
        <f>'mk 001 10.3'!AL244</f>
        <v>Bulk Normal</v>
      </c>
      <c r="AM243" t="str">
        <f>'mk 001 10.3'!AM244</f>
        <v>สุกร</v>
      </c>
      <c r="AN243" t="str">
        <f>'mk 001 10.3'!AN244</f>
        <v>OT002 CC-Makro</v>
      </c>
      <c r="AO243" t="str">
        <f>'mk 001 10.3'!AO244</f>
        <v>MT</v>
      </c>
      <c r="AP243">
        <f>'mk 001 10.3'!AP244</f>
        <v>2</v>
      </c>
      <c r="AQ243">
        <f>'mk 001 10.3'!AQ244</f>
        <v>0</v>
      </c>
      <c r="AR243">
        <f>'mk 001 10.3'!AR244</f>
        <v>0</v>
      </c>
      <c r="AS243">
        <f>'mk 001 10.3'!AS244</f>
        <v>0</v>
      </c>
      <c r="AT243" t="str">
        <f>'mk 001 10.3'!AT244</f>
        <v>System Batch</v>
      </c>
      <c r="AU243" t="str">
        <f>'mk 001 10.3'!AU244</f>
        <v>2026-05-12-12.55.46.000000</v>
      </c>
      <c r="AV243" t="str">
        <f>'mk 001 10.3'!AV244</f>
        <v>ก.ก.</v>
      </c>
      <c r="AW243" t="str">
        <f>'mk 001 10.3'!AW244</f>
        <v>ก.ก.</v>
      </c>
      <c r="AX243" t="str">
        <f>'mk 001 10.3'!AX244</f>
        <v xml:space="preserve"> </v>
      </c>
      <c r="AY243">
        <f>'mk 001 10.3'!AY244</f>
        <v>0</v>
      </c>
      <c r="AZ243" t="str">
        <f>'mk 001 10.3'!AZ244</f>
        <v>N</v>
      </c>
      <c r="BA243" s="22">
        <f>'mk 001 10.3'!BA244</f>
        <v>9044989567153</v>
      </c>
      <c r="BB243">
        <f>'mk 001 10.3'!BB244</f>
        <v>0</v>
      </c>
      <c r="BC243">
        <f>'mk 001 10.3'!BC244</f>
        <v>0</v>
      </c>
      <c r="BD243">
        <f>'mk 001 10.3'!BD244</f>
        <v>1</v>
      </c>
      <c r="BE243">
        <f>'mk 001 10.3'!BE244</f>
        <v>0</v>
      </c>
      <c r="BF243" t="str">
        <f>'mk 001 10.3'!BF244</f>
        <v>;0000</v>
      </c>
      <c r="BG243">
        <f>'mk 001 10.3'!BG244</f>
        <v>1333314600</v>
      </c>
      <c r="BH243" t="str">
        <f>'mk 001 10.3'!BH244</f>
        <v>G</v>
      </c>
      <c r="BI243">
        <f>'mk 001 10.3'!BI244</f>
        <v>10</v>
      </c>
      <c r="BJ243">
        <f>'mk 001 10.3'!BJ244</f>
        <v>10</v>
      </c>
      <c r="BK243">
        <f>'mk 001 10.3'!BK244</f>
        <v>1300</v>
      </c>
      <c r="BL243" t="str">
        <f>'mk 001 10.3'!BL244</f>
        <v>SYSBATCH</v>
      </c>
      <c r="BM243">
        <f>'mk 001 10.3'!BM244</f>
        <v>0</v>
      </c>
      <c r="BN243">
        <f>'mk 001 10.3'!BN244</f>
        <v>0</v>
      </c>
    </row>
    <row r="244" spans="1:66" x14ac:dyDescent="0.35">
      <c r="A244">
        <f>'mk 001 10.3'!A245</f>
        <v>0</v>
      </c>
      <c r="B244">
        <f>'mk 001 10.3'!B245</f>
        <v>0</v>
      </c>
      <c r="C244" s="1" t="str">
        <f>'mk 001 10.3'!C245</f>
        <v>14/5/2569</v>
      </c>
      <c r="D244" s="1" t="str">
        <f>'mk 001 10.3'!D245</f>
        <v>14/5/2569</v>
      </c>
      <c r="E244">
        <f>'mk 001 10.3'!E245</f>
        <v>0</v>
      </c>
      <c r="F244" t="str">
        <f>'mk 001 10.3'!F245</f>
        <v>489M</v>
      </c>
      <c r="G244" t="str">
        <f>'mk 001 10.3'!G245</f>
        <v>Modern Trade (Makro)</v>
      </c>
      <c r="H244">
        <f>'mk 001 10.3'!H245</f>
        <v>0</v>
      </c>
      <c r="I244" t="str">
        <f>'mk 001 10.3'!I245</f>
        <v>หน่วยงานกลาง</v>
      </c>
      <c r="J244" t="str">
        <f>'mk 001 10.3'!J245</f>
        <v>F213  DMCW-รชล-พระพุทธบาท</v>
      </c>
      <c r="K244" t="str">
        <f>'mk 001 10.3'!K245</f>
        <v>00000  หน่วยงานกลาง</v>
      </c>
      <c r="L244">
        <f>'mk 001 10.3'!L245</f>
        <v>923</v>
      </c>
      <c r="M244">
        <f>'mk 001 10.3'!M245</f>
        <v>0</v>
      </c>
      <c r="N244" t="str">
        <f>'mk 001 10.3'!N245</f>
        <v>1A53009300</v>
      </c>
      <c r="O244" t="str">
        <f>'mk 001 10.3'!O245</f>
        <v>บมจ. ซีพี แอ็กซ์ตร้า สาขาทาวน์ อิน ทาวน์</v>
      </c>
      <c r="P244">
        <f>'mk 001 10.3'!P245</f>
        <v>2</v>
      </c>
      <c r="Q244" t="str">
        <f>'mk 001 10.3'!Q245</f>
        <v>MAKRO 0096 ทาวน์ อิน ทาวน์</v>
      </c>
      <c r="R244" s="1">
        <f>'mk 001 10.3'!R245</f>
        <v>244688</v>
      </c>
      <c r="S244" s="1" t="str">
        <f>'mk 001 10.3'!S245</f>
        <v>14/5/2569</v>
      </c>
      <c r="T244" t="str">
        <f>'mk 001 10.3'!T245</f>
        <v>H6954RMA0059841</v>
      </c>
      <c r="U244">
        <f>'mk 001 10.3'!U245</f>
        <v>23058551</v>
      </c>
      <c r="V244" t="str">
        <f>'mk 001 10.3'!V245</f>
        <v>คอหมูย่าง (M)</v>
      </c>
      <c r="W244">
        <f>'mk 001 10.3'!W245</f>
        <v>5</v>
      </c>
      <c r="X244">
        <f>'mk 001 10.3'!X245</f>
        <v>5</v>
      </c>
      <c r="Y244">
        <f t="shared" si="3"/>
        <v>5</v>
      </c>
      <c r="Z244" s="13">
        <f>IF(COUNTIFS(แปลงข้อมูล!H:H,Q244,แปลงข้อมูล!I:I,U244,แปลงข้อมูล!J:J,V244)&gt;0,SUMIFS(แปลงข้อมูล!Q:Q,แปลงข้อมูล!I:I,U244,แปลงข้อมูล!H:H,Q244,แปลงข้อมูล!J:J,V244),'mk 001 10.3'!Z245)</f>
        <v>5</v>
      </c>
      <c r="AA244">
        <f>'mk 001 10.3'!AA245</f>
        <v>0</v>
      </c>
      <c r="AB244">
        <f>'mk 001 10.3'!AB245</f>
        <v>0</v>
      </c>
      <c r="AC244">
        <f>'mk 001 10.3'!AC245</f>
        <v>0</v>
      </c>
      <c r="AD244">
        <f>'mk 001 10.3'!AD245</f>
        <v>0</v>
      </c>
      <c r="AE244">
        <f>'mk 001 10.3'!AE245</f>
        <v>5</v>
      </c>
      <c r="AF244">
        <f>'mk 001 10.3'!AF245</f>
        <v>5</v>
      </c>
      <c r="AG244">
        <f>'mk 001 10.3'!AG245</f>
        <v>0</v>
      </c>
      <c r="AH244">
        <f>'mk 001 10.3'!AH245</f>
        <v>0</v>
      </c>
      <c r="AI244" t="str">
        <f>'mk 001 10.3'!AI245</f>
        <v>OPRCD489MOPRCD00000OPRCDF213OPRCD00000OPRCD923</v>
      </c>
      <c r="AJ244" t="str">
        <f>'mk 001 10.3'!AJ245</f>
        <v>ซื้อ / ขาย</v>
      </c>
      <c r="AK244" t="str">
        <f>'mk 001 10.3'!AK245</f>
        <v>Main proudct</v>
      </c>
      <c r="AL244" t="str">
        <f>'mk 001 10.3'!AL245</f>
        <v>Bulk Normal</v>
      </c>
      <c r="AM244" t="str">
        <f>'mk 001 10.3'!AM245</f>
        <v>สุกร</v>
      </c>
      <c r="AN244" t="str">
        <f>'mk 001 10.3'!AN245</f>
        <v>OT002 CC-Makro</v>
      </c>
      <c r="AO244" t="str">
        <f>'mk 001 10.3'!AO245</f>
        <v>MT</v>
      </c>
      <c r="AP244">
        <f>'mk 001 10.3'!AP245</f>
        <v>2</v>
      </c>
      <c r="AQ244">
        <f>'mk 001 10.3'!AQ245</f>
        <v>0</v>
      </c>
      <c r="AR244">
        <f>'mk 001 10.3'!AR245</f>
        <v>0</v>
      </c>
      <c r="AS244">
        <f>'mk 001 10.3'!AS245</f>
        <v>0</v>
      </c>
      <c r="AT244" t="str">
        <f>'mk 001 10.3'!AT245</f>
        <v>System Batch</v>
      </c>
      <c r="AU244" t="str">
        <f>'mk 001 10.3'!AU245</f>
        <v>2026-05-12-12.55.46.000000</v>
      </c>
      <c r="AV244" t="str">
        <f>'mk 001 10.3'!AV245</f>
        <v>ก.ก.</v>
      </c>
      <c r="AW244" t="str">
        <f>'mk 001 10.3'!AW245</f>
        <v>ก.ก.</v>
      </c>
      <c r="AX244" t="str">
        <f>'mk 001 10.3'!AX245</f>
        <v xml:space="preserve"> </v>
      </c>
      <c r="AY244">
        <f>'mk 001 10.3'!AY245</f>
        <v>0</v>
      </c>
      <c r="AZ244" t="str">
        <f>'mk 001 10.3'!AZ245</f>
        <v>N</v>
      </c>
      <c r="BA244" s="22">
        <f>'mk 001 10.3'!BA245</f>
        <v>9044989567153</v>
      </c>
      <c r="BB244">
        <f>'mk 001 10.3'!BB245</f>
        <v>0</v>
      </c>
      <c r="BC244">
        <f>'mk 001 10.3'!BC245</f>
        <v>0</v>
      </c>
      <c r="BD244">
        <f>'mk 001 10.3'!BD245</f>
        <v>1</v>
      </c>
      <c r="BE244">
        <f>'mk 001 10.3'!BE245</f>
        <v>0</v>
      </c>
      <c r="BF244" t="str">
        <f>'mk 001 10.3'!BF245</f>
        <v>;0000</v>
      </c>
      <c r="BG244">
        <f>'mk 001 10.3'!BG245</f>
        <v>1333314600</v>
      </c>
      <c r="BH244" t="str">
        <f>'mk 001 10.3'!BH245</f>
        <v>G</v>
      </c>
      <c r="BI244">
        <f>'mk 001 10.3'!BI245</f>
        <v>5</v>
      </c>
      <c r="BJ244">
        <f>'mk 001 10.3'!BJ245</f>
        <v>5</v>
      </c>
      <c r="BK244">
        <f>'mk 001 10.3'!BK245</f>
        <v>1300</v>
      </c>
      <c r="BL244" t="str">
        <f>'mk 001 10.3'!BL245</f>
        <v>SYSBATCH</v>
      </c>
      <c r="BM244">
        <f>'mk 001 10.3'!BM245</f>
        <v>0</v>
      </c>
      <c r="BN244">
        <f>'mk 001 10.3'!BN245</f>
        <v>0</v>
      </c>
    </row>
    <row r="245" spans="1:66" x14ac:dyDescent="0.35">
      <c r="A245">
        <f>'mk 001 10.3'!A246</f>
        <v>0</v>
      </c>
      <c r="B245">
        <f>'mk 001 10.3'!B246</f>
        <v>0</v>
      </c>
      <c r="C245" s="1" t="str">
        <f>'mk 001 10.3'!C246</f>
        <v>14/5/2569</v>
      </c>
      <c r="D245" s="1" t="str">
        <f>'mk 001 10.3'!D246</f>
        <v>14/5/2569</v>
      </c>
      <c r="E245">
        <f>'mk 001 10.3'!E246</f>
        <v>0</v>
      </c>
      <c r="F245" t="str">
        <f>'mk 001 10.3'!F246</f>
        <v>489M</v>
      </c>
      <c r="G245" t="str">
        <f>'mk 001 10.3'!G246</f>
        <v>Modern Trade (Makro)</v>
      </c>
      <c r="H245">
        <f>'mk 001 10.3'!H246</f>
        <v>0</v>
      </c>
      <c r="I245" t="str">
        <f>'mk 001 10.3'!I246</f>
        <v>หน่วยงานกลาง</v>
      </c>
      <c r="J245" t="str">
        <f>'mk 001 10.3'!J246</f>
        <v>F213  DMCW-รชล-พระพุทธบาท</v>
      </c>
      <c r="K245" t="str">
        <f>'mk 001 10.3'!K246</f>
        <v>00000  หน่วยงานกลาง</v>
      </c>
      <c r="L245">
        <f>'mk 001 10.3'!L246</f>
        <v>923</v>
      </c>
      <c r="M245">
        <f>'mk 001 10.3'!M246</f>
        <v>0</v>
      </c>
      <c r="N245" t="str">
        <f>'mk 001 10.3'!N246</f>
        <v>1A53009300</v>
      </c>
      <c r="O245" t="str">
        <f>'mk 001 10.3'!O246</f>
        <v>บมจ. ซีพี แอ็กซ์ตร้า สาขาทาวน์ อิน ทาวน์</v>
      </c>
      <c r="P245">
        <f>'mk 001 10.3'!P246</f>
        <v>2</v>
      </c>
      <c r="Q245" t="str">
        <f>'mk 001 10.3'!Q246</f>
        <v>MAKRO 0096 ทาวน์ อิน ทาวน์</v>
      </c>
      <c r="R245" s="1">
        <f>'mk 001 10.3'!R246</f>
        <v>244688</v>
      </c>
      <c r="S245" s="1" t="str">
        <f>'mk 001 10.3'!S246</f>
        <v>14/5/2569</v>
      </c>
      <c r="T245" t="str">
        <f>'mk 001 10.3'!T246</f>
        <v>H6954RMA0059841</v>
      </c>
      <c r="U245">
        <f>'mk 001 10.3'!U246</f>
        <v>23058589</v>
      </c>
      <c r="V245" t="str">
        <f>'mk 001 10.3'!V246</f>
        <v>ไส้อ่อน (M)</v>
      </c>
      <c r="W245">
        <f>'mk 001 10.3'!W246</f>
        <v>5</v>
      </c>
      <c r="X245">
        <f>'mk 001 10.3'!X246</f>
        <v>5</v>
      </c>
      <c r="Y245">
        <f t="shared" si="3"/>
        <v>5</v>
      </c>
      <c r="Z245" s="13">
        <f>IF(COUNTIFS(แปลงข้อมูล!H:H,Q245,แปลงข้อมูล!I:I,U245,แปลงข้อมูล!J:J,V245)&gt;0,SUMIFS(แปลงข้อมูล!Q:Q,แปลงข้อมูล!I:I,U245,แปลงข้อมูล!H:H,Q245,แปลงข้อมูล!J:J,V245),'mk 001 10.3'!Z246)</f>
        <v>5</v>
      </c>
      <c r="AA245">
        <f>'mk 001 10.3'!AA246</f>
        <v>0</v>
      </c>
      <c r="AB245">
        <f>'mk 001 10.3'!AB246</f>
        <v>0</v>
      </c>
      <c r="AC245">
        <f>'mk 001 10.3'!AC246</f>
        <v>0</v>
      </c>
      <c r="AD245">
        <f>'mk 001 10.3'!AD246</f>
        <v>0</v>
      </c>
      <c r="AE245">
        <f>'mk 001 10.3'!AE246</f>
        <v>5</v>
      </c>
      <c r="AF245">
        <f>'mk 001 10.3'!AF246</f>
        <v>5</v>
      </c>
      <c r="AG245">
        <f>'mk 001 10.3'!AG246</f>
        <v>0</v>
      </c>
      <c r="AH245">
        <f>'mk 001 10.3'!AH246</f>
        <v>0</v>
      </c>
      <c r="AI245" t="str">
        <f>'mk 001 10.3'!AI246</f>
        <v>OPRCD489MOPRCD00000OPRCDF213OPRCD00000OPRCD923</v>
      </c>
      <c r="AJ245" t="str">
        <f>'mk 001 10.3'!AJ246</f>
        <v>ซื้อ / ขาย</v>
      </c>
      <c r="AK245" t="str">
        <f>'mk 001 10.3'!AK246</f>
        <v>By proudct</v>
      </c>
      <c r="AL245" t="str">
        <f>'mk 001 10.3'!AL246</f>
        <v>Bulk Normal</v>
      </c>
      <c r="AM245" t="str">
        <f>'mk 001 10.3'!AM246</f>
        <v>สุกร</v>
      </c>
      <c r="AN245" t="str">
        <f>'mk 001 10.3'!AN246</f>
        <v>OT002 CC-Makro</v>
      </c>
      <c r="AO245" t="str">
        <f>'mk 001 10.3'!AO246</f>
        <v>MT</v>
      </c>
      <c r="AP245">
        <f>'mk 001 10.3'!AP246</f>
        <v>2</v>
      </c>
      <c r="AQ245">
        <f>'mk 001 10.3'!AQ246</f>
        <v>0</v>
      </c>
      <c r="AR245">
        <f>'mk 001 10.3'!AR246</f>
        <v>0</v>
      </c>
      <c r="AS245">
        <f>'mk 001 10.3'!AS246</f>
        <v>0</v>
      </c>
      <c r="AT245" t="str">
        <f>'mk 001 10.3'!AT246</f>
        <v>System Batch</v>
      </c>
      <c r="AU245" t="str">
        <f>'mk 001 10.3'!AU246</f>
        <v>2026-05-12-12.55.46.000000</v>
      </c>
      <c r="AV245" t="str">
        <f>'mk 001 10.3'!AV246</f>
        <v>ก.ก.</v>
      </c>
      <c r="AW245" t="str">
        <f>'mk 001 10.3'!AW246</f>
        <v>ก.ก.</v>
      </c>
      <c r="AX245" t="str">
        <f>'mk 001 10.3'!AX246</f>
        <v xml:space="preserve"> </v>
      </c>
      <c r="AY245">
        <f>'mk 001 10.3'!AY246</f>
        <v>0</v>
      </c>
      <c r="AZ245" t="str">
        <f>'mk 001 10.3'!AZ246</f>
        <v>N</v>
      </c>
      <c r="BA245" s="22">
        <f>'mk 001 10.3'!BA246</f>
        <v>9044989567153</v>
      </c>
      <c r="BB245">
        <f>'mk 001 10.3'!BB246</f>
        <v>0</v>
      </c>
      <c r="BC245">
        <f>'mk 001 10.3'!BC246</f>
        <v>0</v>
      </c>
      <c r="BD245">
        <f>'mk 001 10.3'!BD246</f>
        <v>1</v>
      </c>
      <c r="BE245">
        <f>'mk 001 10.3'!BE246</f>
        <v>0</v>
      </c>
      <c r="BF245" t="str">
        <f>'mk 001 10.3'!BF246</f>
        <v>;0000</v>
      </c>
      <c r="BG245">
        <f>'mk 001 10.3'!BG246</f>
        <v>1333314600</v>
      </c>
      <c r="BH245" t="str">
        <f>'mk 001 10.3'!BH246</f>
        <v>G</v>
      </c>
      <c r="BI245">
        <f>'mk 001 10.3'!BI246</f>
        <v>5</v>
      </c>
      <c r="BJ245">
        <f>'mk 001 10.3'!BJ246</f>
        <v>5</v>
      </c>
      <c r="BK245">
        <f>'mk 001 10.3'!BK246</f>
        <v>1300</v>
      </c>
      <c r="BL245" t="str">
        <f>'mk 001 10.3'!BL246</f>
        <v>SYSBATCH</v>
      </c>
      <c r="BM245">
        <f>'mk 001 10.3'!BM246</f>
        <v>0</v>
      </c>
      <c r="BN245">
        <f>'mk 001 10.3'!BN246</f>
        <v>0</v>
      </c>
    </row>
    <row r="246" spans="1:66" x14ac:dyDescent="0.35">
      <c r="A246">
        <f>'mk 001 10.3'!A247</f>
        <v>0</v>
      </c>
      <c r="B246">
        <f>'mk 001 10.3'!B247</f>
        <v>0</v>
      </c>
      <c r="C246" s="1" t="str">
        <f>'mk 001 10.3'!C247</f>
        <v>14/5/2569</v>
      </c>
      <c r="D246" s="1" t="str">
        <f>'mk 001 10.3'!D247</f>
        <v>14/5/2569</v>
      </c>
      <c r="E246">
        <f>'mk 001 10.3'!E247</f>
        <v>0</v>
      </c>
      <c r="F246" t="str">
        <f>'mk 001 10.3'!F247</f>
        <v>489M</v>
      </c>
      <c r="G246" t="str">
        <f>'mk 001 10.3'!G247</f>
        <v>Modern Trade (Makro)</v>
      </c>
      <c r="H246">
        <f>'mk 001 10.3'!H247</f>
        <v>0</v>
      </c>
      <c r="I246" t="str">
        <f>'mk 001 10.3'!I247</f>
        <v>หน่วยงานกลาง</v>
      </c>
      <c r="J246" t="str">
        <f>'mk 001 10.3'!J247</f>
        <v>F213  DMCW-รชล-พระพุทธบาท</v>
      </c>
      <c r="K246" t="str">
        <f>'mk 001 10.3'!K247</f>
        <v>00000  หน่วยงานกลาง</v>
      </c>
      <c r="L246">
        <f>'mk 001 10.3'!L247</f>
        <v>923</v>
      </c>
      <c r="M246">
        <f>'mk 001 10.3'!M247</f>
        <v>0</v>
      </c>
      <c r="N246" t="str">
        <f>'mk 001 10.3'!N247</f>
        <v>1A53009300</v>
      </c>
      <c r="O246" t="str">
        <f>'mk 001 10.3'!O247</f>
        <v>บมจ. ซีพี แอ็กซ์ตร้า สาขาทาวน์ อิน ทาวน์</v>
      </c>
      <c r="P246">
        <f>'mk 001 10.3'!P247</f>
        <v>2</v>
      </c>
      <c r="Q246" t="str">
        <f>'mk 001 10.3'!Q247</f>
        <v>MAKRO 0096 ทาวน์ อิน ทาวน์</v>
      </c>
      <c r="R246" s="1">
        <f>'mk 001 10.3'!R247</f>
        <v>244688</v>
      </c>
      <c r="S246" s="1" t="str">
        <f>'mk 001 10.3'!S247</f>
        <v>14/5/2569</v>
      </c>
      <c r="T246" t="str">
        <f>'mk 001 10.3'!T247</f>
        <v>H6954RMA0059841</v>
      </c>
      <c r="U246">
        <f>'mk 001 10.3'!U247</f>
        <v>23063759</v>
      </c>
      <c r="V246" t="str">
        <f>'mk 001 10.3'!V247</f>
        <v>ขาหลังเผา(M)</v>
      </c>
      <c r="W246">
        <f>'mk 001 10.3'!W247</f>
        <v>160</v>
      </c>
      <c r="X246">
        <f>'mk 001 10.3'!X247</f>
        <v>160</v>
      </c>
      <c r="Y246">
        <f t="shared" si="3"/>
        <v>160</v>
      </c>
      <c r="Z246" s="13">
        <f>IF(COUNTIFS(แปลงข้อมูล!H:H,Q246,แปลงข้อมูล!I:I,U246,แปลงข้อมูล!J:J,V246)&gt;0,SUMIFS(แปลงข้อมูล!Q:Q,แปลงข้อมูล!I:I,U246,แปลงข้อมูล!H:H,Q246,แปลงข้อมูล!J:J,V246),'mk 001 10.3'!Z247)</f>
        <v>160</v>
      </c>
      <c r="AA246">
        <f>'mk 001 10.3'!AA247</f>
        <v>0</v>
      </c>
      <c r="AB246">
        <f>'mk 001 10.3'!AB247</f>
        <v>0</v>
      </c>
      <c r="AC246">
        <f>'mk 001 10.3'!AC247</f>
        <v>0</v>
      </c>
      <c r="AD246">
        <f>'mk 001 10.3'!AD247</f>
        <v>0</v>
      </c>
      <c r="AE246">
        <f>'mk 001 10.3'!AE247</f>
        <v>160</v>
      </c>
      <c r="AF246">
        <f>'mk 001 10.3'!AF247</f>
        <v>160</v>
      </c>
      <c r="AG246">
        <f>'mk 001 10.3'!AG247</f>
        <v>0</v>
      </c>
      <c r="AH246">
        <f>'mk 001 10.3'!AH247</f>
        <v>0</v>
      </c>
      <c r="AI246" t="str">
        <f>'mk 001 10.3'!AI247</f>
        <v>OPRCD489MOPRCD00000OPRCDF213OPRCD00000OPRCD923</v>
      </c>
      <c r="AJ246" t="str">
        <f>'mk 001 10.3'!AJ247</f>
        <v>ซื้อ / ขาย</v>
      </c>
      <c r="AK246" t="str">
        <f>'mk 001 10.3'!AK247</f>
        <v>By proudct</v>
      </c>
      <c r="AL246" t="str">
        <f>'mk 001 10.3'!AL247</f>
        <v>Bulk Normal</v>
      </c>
      <c r="AM246" t="str">
        <f>'mk 001 10.3'!AM247</f>
        <v>สุกร</v>
      </c>
      <c r="AN246" t="str">
        <f>'mk 001 10.3'!AN247</f>
        <v>OT002 CC-Makro</v>
      </c>
      <c r="AO246" t="str">
        <f>'mk 001 10.3'!AO247</f>
        <v>MT</v>
      </c>
      <c r="AP246">
        <f>'mk 001 10.3'!AP247</f>
        <v>2</v>
      </c>
      <c r="AQ246">
        <f>'mk 001 10.3'!AQ247</f>
        <v>0</v>
      </c>
      <c r="AR246">
        <f>'mk 001 10.3'!AR247</f>
        <v>0</v>
      </c>
      <c r="AS246">
        <f>'mk 001 10.3'!AS247</f>
        <v>0</v>
      </c>
      <c r="AT246" t="str">
        <f>'mk 001 10.3'!AT247</f>
        <v>System Batch</v>
      </c>
      <c r="AU246" t="str">
        <f>'mk 001 10.3'!AU247</f>
        <v>2026-05-12-12.55.46.000000</v>
      </c>
      <c r="AV246" t="str">
        <f>'mk 001 10.3'!AV247</f>
        <v>ก.ก.</v>
      </c>
      <c r="AW246" t="str">
        <f>'mk 001 10.3'!AW247</f>
        <v>ก.ก.</v>
      </c>
      <c r="AX246" t="str">
        <f>'mk 001 10.3'!AX247</f>
        <v xml:space="preserve"> </v>
      </c>
      <c r="AY246">
        <f>'mk 001 10.3'!AY247</f>
        <v>0</v>
      </c>
      <c r="AZ246" t="str">
        <f>'mk 001 10.3'!AZ247</f>
        <v>N</v>
      </c>
      <c r="BA246" s="22">
        <f>'mk 001 10.3'!BA247</f>
        <v>9044989567153</v>
      </c>
      <c r="BB246">
        <f>'mk 001 10.3'!BB247</f>
        <v>0</v>
      </c>
      <c r="BC246">
        <f>'mk 001 10.3'!BC247</f>
        <v>0</v>
      </c>
      <c r="BD246">
        <f>'mk 001 10.3'!BD247</f>
        <v>1</v>
      </c>
      <c r="BE246">
        <f>'mk 001 10.3'!BE247</f>
        <v>0</v>
      </c>
      <c r="BF246" t="str">
        <f>'mk 001 10.3'!BF247</f>
        <v>;0000</v>
      </c>
      <c r="BG246">
        <f>'mk 001 10.3'!BG247</f>
        <v>1333314600</v>
      </c>
      <c r="BH246" t="str">
        <f>'mk 001 10.3'!BH247</f>
        <v>G</v>
      </c>
      <c r="BI246">
        <f>'mk 001 10.3'!BI247</f>
        <v>160</v>
      </c>
      <c r="BJ246">
        <f>'mk 001 10.3'!BJ247</f>
        <v>160</v>
      </c>
      <c r="BK246">
        <f>'mk 001 10.3'!BK247</f>
        <v>1300</v>
      </c>
      <c r="BL246" t="str">
        <f>'mk 001 10.3'!BL247</f>
        <v>SYSBATCH</v>
      </c>
      <c r="BM246">
        <f>'mk 001 10.3'!BM247</f>
        <v>0</v>
      </c>
      <c r="BN246">
        <f>'mk 001 10.3'!BN247</f>
        <v>0</v>
      </c>
    </row>
    <row r="247" spans="1:66" x14ac:dyDescent="0.35">
      <c r="A247">
        <f>'mk 001 10.3'!A248</f>
        <v>0</v>
      </c>
      <c r="B247">
        <f>'mk 001 10.3'!B248</f>
        <v>0</v>
      </c>
      <c r="C247" s="1" t="str">
        <f>'mk 001 10.3'!C248</f>
        <v>14/5/2569</v>
      </c>
      <c r="D247" s="1" t="str">
        <f>'mk 001 10.3'!D248</f>
        <v>14/5/2569</v>
      </c>
      <c r="E247">
        <f>'mk 001 10.3'!E248</f>
        <v>0</v>
      </c>
      <c r="F247" t="str">
        <f>'mk 001 10.3'!F248</f>
        <v>489M</v>
      </c>
      <c r="G247" t="str">
        <f>'mk 001 10.3'!G248</f>
        <v>Modern Trade (Makro)</v>
      </c>
      <c r="H247">
        <f>'mk 001 10.3'!H248</f>
        <v>0</v>
      </c>
      <c r="I247" t="str">
        <f>'mk 001 10.3'!I248</f>
        <v>หน่วยงานกลาง</v>
      </c>
      <c r="J247" t="str">
        <f>'mk 001 10.3'!J248</f>
        <v>F213  DMCW-รชล-พระพุทธบาท</v>
      </c>
      <c r="K247" t="str">
        <f>'mk 001 10.3'!K248</f>
        <v>00000  หน่วยงานกลาง</v>
      </c>
      <c r="L247">
        <f>'mk 001 10.3'!L248</f>
        <v>923</v>
      </c>
      <c r="M247">
        <f>'mk 001 10.3'!M248</f>
        <v>0</v>
      </c>
      <c r="N247" t="str">
        <f>'mk 001 10.3'!N248</f>
        <v>1A53009300</v>
      </c>
      <c r="O247" t="str">
        <f>'mk 001 10.3'!O248</f>
        <v>บมจ. ซีพี แอ็กซ์ตร้า สาขาทาวน์ อิน ทาวน์</v>
      </c>
      <c r="P247">
        <f>'mk 001 10.3'!P248</f>
        <v>2</v>
      </c>
      <c r="Q247" t="str">
        <f>'mk 001 10.3'!Q248</f>
        <v>MAKRO 0096 ทาวน์ อิน ทาวน์</v>
      </c>
      <c r="R247" s="1">
        <f>'mk 001 10.3'!R248</f>
        <v>244688</v>
      </c>
      <c r="S247" s="1" t="str">
        <f>'mk 001 10.3'!S248</f>
        <v>14/5/2569</v>
      </c>
      <c r="T247" t="str">
        <f>'mk 001 10.3'!T248</f>
        <v>H6954RMA0059841</v>
      </c>
      <c r="U247">
        <f>'mk 001 10.3'!U248</f>
        <v>23057812</v>
      </c>
      <c r="V247" t="str">
        <f>'mk 001 10.3'!V248</f>
        <v>สะโพก(M)</v>
      </c>
      <c r="W247">
        <f>'mk 001 10.3'!W248</f>
        <v>100</v>
      </c>
      <c r="X247">
        <f>'mk 001 10.3'!X248</f>
        <v>100</v>
      </c>
      <c r="Y247">
        <f t="shared" si="3"/>
        <v>100</v>
      </c>
      <c r="Z247" s="13">
        <f>IF(COUNTIFS(แปลงข้อมูล!H:H,Q247,แปลงข้อมูล!I:I,U247,แปลงข้อมูล!J:J,V247)&gt;0,SUMIFS(แปลงข้อมูล!Q:Q,แปลงข้อมูล!I:I,U247,แปลงข้อมูล!H:H,Q247,แปลงข้อมูล!J:J,V247),'mk 001 10.3'!Z248)</f>
        <v>100</v>
      </c>
      <c r="AA247">
        <f>'mk 001 10.3'!AA248</f>
        <v>0</v>
      </c>
      <c r="AB247">
        <f>'mk 001 10.3'!AB248</f>
        <v>0</v>
      </c>
      <c r="AC247">
        <f>'mk 001 10.3'!AC248</f>
        <v>0</v>
      </c>
      <c r="AD247">
        <f>'mk 001 10.3'!AD248</f>
        <v>0</v>
      </c>
      <c r="AE247">
        <f>'mk 001 10.3'!AE248</f>
        <v>100</v>
      </c>
      <c r="AF247">
        <f>'mk 001 10.3'!AF248</f>
        <v>100</v>
      </c>
      <c r="AG247">
        <f>'mk 001 10.3'!AG248</f>
        <v>0</v>
      </c>
      <c r="AH247">
        <f>'mk 001 10.3'!AH248</f>
        <v>0</v>
      </c>
      <c r="AI247" t="str">
        <f>'mk 001 10.3'!AI248</f>
        <v>OPRCD489MOPRCD00000OPRCDF213OPRCD00000OPRCD923</v>
      </c>
      <c r="AJ247" t="str">
        <f>'mk 001 10.3'!AJ248</f>
        <v>ซื้อ / ขาย</v>
      </c>
      <c r="AK247" t="str">
        <f>'mk 001 10.3'!AK248</f>
        <v>Main proudct</v>
      </c>
      <c r="AL247" t="str">
        <f>'mk 001 10.3'!AL248</f>
        <v>Bulk Normal</v>
      </c>
      <c r="AM247" t="str">
        <f>'mk 001 10.3'!AM248</f>
        <v>สุกร</v>
      </c>
      <c r="AN247" t="str">
        <f>'mk 001 10.3'!AN248</f>
        <v>OT002 CC-Makro</v>
      </c>
      <c r="AO247" t="str">
        <f>'mk 001 10.3'!AO248</f>
        <v>MT</v>
      </c>
      <c r="AP247">
        <f>'mk 001 10.3'!AP248</f>
        <v>2</v>
      </c>
      <c r="AQ247">
        <f>'mk 001 10.3'!AQ248</f>
        <v>0</v>
      </c>
      <c r="AR247">
        <f>'mk 001 10.3'!AR248</f>
        <v>0</v>
      </c>
      <c r="AS247">
        <f>'mk 001 10.3'!AS248</f>
        <v>0</v>
      </c>
      <c r="AT247" t="str">
        <f>'mk 001 10.3'!AT248</f>
        <v>System Batch</v>
      </c>
      <c r="AU247" t="str">
        <f>'mk 001 10.3'!AU248</f>
        <v>2026-05-12-12.55.46.000000</v>
      </c>
      <c r="AV247" t="str">
        <f>'mk 001 10.3'!AV248</f>
        <v>ก.ก.</v>
      </c>
      <c r="AW247" t="str">
        <f>'mk 001 10.3'!AW248</f>
        <v>ก.ก.</v>
      </c>
      <c r="AX247" t="str">
        <f>'mk 001 10.3'!AX248</f>
        <v xml:space="preserve"> </v>
      </c>
      <c r="AY247">
        <f>'mk 001 10.3'!AY248</f>
        <v>0</v>
      </c>
      <c r="AZ247" t="str">
        <f>'mk 001 10.3'!AZ248</f>
        <v>N</v>
      </c>
      <c r="BA247" s="22">
        <f>'mk 001 10.3'!BA248</f>
        <v>9044989567153</v>
      </c>
      <c r="BB247">
        <f>'mk 001 10.3'!BB248</f>
        <v>0</v>
      </c>
      <c r="BC247">
        <f>'mk 001 10.3'!BC248</f>
        <v>0</v>
      </c>
      <c r="BD247">
        <f>'mk 001 10.3'!BD248</f>
        <v>1</v>
      </c>
      <c r="BE247">
        <f>'mk 001 10.3'!BE248</f>
        <v>0</v>
      </c>
      <c r="BF247" t="str">
        <f>'mk 001 10.3'!BF248</f>
        <v>;0000</v>
      </c>
      <c r="BG247">
        <f>'mk 001 10.3'!BG248</f>
        <v>1333314600</v>
      </c>
      <c r="BH247" t="str">
        <f>'mk 001 10.3'!BH248</f>
        <v>G</v>
      </c>
      <c r="BI247">
        <f>'mk 001 10.3'!BI248</f>
        <v>100</v>
      </c>
      <c r="BJ247">
        <f>'mk 001 10.3'!BJ248</f>
        <v>100</v>
      </c>
      <c r="BK247">
        <f>'mk 001 10.3'!BK248</f>
        <v>1300</v>
      </c>
      <c r="BL247" t="str">
        <f>'mk 001 10.3'!BL248</f>
        <v>SYSBATCH</v>
      </c>
      <c r="BM247">
        <f>'mk 001 10.3'!BM248</f>
        <v>0</v>
      </c>
      <c r="BN247">
        <f>'mk 001 10.3'!BN248</f>
        <v>0</v>
      </c>
    </row>
    <row r="248" spans="1:66" x14ac:dyDescent="0.35">
      <c r="A248">
        <f>'mk 001 10.3'!A249</f>
        <v>0</v>
      </c>
      <c r="B248">
        <f>'mk 001 10.3'!B249</f>
        <v>0</v>
      </c>
      <c r="C248" s="1" t="str">
        <f>'mk 001 10.3'!C249</f>
        <v>14/5/2569</v>
      </c>
      <c r="D248" s="1" t="str">
        <f>'mk 001 10.3'!D249</f>
        <v>14/5/2569</v>
      </c>
      <c r="E248">
        <f>'mk 001 10.3'!E249</f>
        <v>0</v>
      </c>
      <c r="F248" t="str">
        <f>'mk 001 10.3'!F249</f>
        <v>489M</v>
      </c>
      <c r="G248" t="str">
        <f>'mk 001 10.3'!G249</f>
        <v>Modern Trade (Makro)</v>
      </c>
      <c r="H248">
        <f>'mk 001 10.3'!H249</f>
        <v>0</v>
      </c>
      <c r="I248" t="str">
        <f>'mk 001 10.3'!I249</f>
        <v>หน่วยงานกลาง</v>
      </c>
      <c r="J248" t="str">
        <f>'mk 001 10.3'!J249</f>
        <v>F213  DMCW-รชล-พระพุทธบาท</v>
      </c>
      <c r="K248" t="str">
        <f>'mk 001 10.3'!K249</f>
        <v>00000  หน่วยงานกลาง</v>
      </c>
      <c r="L248">
        <f>'mk 001 10.3'!L249</f>
        <v>923</v>
      </c>
      <c r="M248">
        <f>'mk 001 10.3'!M249</f>
        <v>0</v>
      </c>
      <c r="N248" t="str">
        <f>'mk 001 10.3'!N249</f>
        <v>1A53009300</v>
      </c>
      <c r="O248" t="str">
        <f>'mk 001 10.3'!O249</f>
        <v>บมจ. ซีพี แอ็กซ์ตร้า สาขาทาวน์ อิน ทาวน์</v>
      </c>
      <c r="P248">
        <f>'mk 001 10.3'!P249</f>
        <v>2</v>
      </c>
      <c r="Q248" t="str">
        <f>'mk 001 10.3'!Q249</f>
        <v>MAKRO 0096 ทาวน์ อิน ทาวน์</v>
      </c>
      <c r="R248" s="1">
        <f>'mk 001 10.3'!R249</f>
        <v>244688</v>
      </c>
      <c r="S248" s="1" t="str">
        <f>'mk 001 10.3'!S249</f>
        <v>14/5/2569</v>
      </c>
      <c r="T248" t="str">
        <f>'mk 001 10.3'!T249</f>
        <v>H6954RMA0059841</v>
      </c>
      <c r="U248">
        <f>'mk 001 10.3'!U249</f>
        <v>23065140</v>
      </c>
      <c r="V248" t="str">
        <f>'mk 001 10.3'!V249</f>
        <v>สะโพกสไลด์</v>
      </c>
      <c r="W248">
        <f>'mk 001 10.3'!W249</f>
        <v>30</v>
      </c>
      <c r="X248">
        <f>'mk 001 10.3'!X249</f>
        <v>30</v>
      </c>
      <c r="Y248">
        <f t="shared" si="3"/>
        <v>30</v>
      </c>
      <c r="Z248" s="13">
        <f>IF(COUNTIFS(แปลงข้อมูล!H:H,Q248,แปลงข้อมูล!I:I,U248,แปลงข้อมูล!J:J,V248)&gt;0,SUMIFS(แปลงข้อมูล!Q:Q,แปลงข้อมูล!I:I,U248,แปลงข้อมูล!H:H,Q248,แปลงข้อมูล!J:J,V248),'mk 001 10.3'!Z249)</f>
        <v>30</v>
      </c>
      <c r="AA248">
        <f>'mk 001 10.3'!AA249</f>
        <v>0</v>
      </c>
      <c r="AB248">
        <f>'mk 001 10.3'!AB249</f>
        <v>0</v>
      </c>
      <c r="AC248">
        <f>'mk 001 10.3'!AC249</f>
        <v>0</v>
      </c>
      <c r="AD248">
        <f>'mk 001 10.3'!AD249</f>
        <v>0</v>
      </c>
      <c r="AE248">
        <f>'mk 001 10.3'!AE249</f>
        <v>30</v>
      </c>
      <c r="AF248">
        <f>'mk 001 10.3'!AF249</f>
        <v>30</v>
      </c>
      <c r="AG248">
        <f>'mk 001 10.3'!AG249</f>
        <v>0</v>
      </c>
      <c r="AH248">
        <f>'mk 001 10.3'!AH249</f>
        <v>0</v>
      </c>
      <c r="AI248" t="str">
        <f>'mk 001 10.3'!AI249</f>
        <v>OPRCD489MOPRCD00000OPRCDF213OPRCD00000OPRCD923</v>
      </c>
      <c r="AJ248" t="str">
        <f>'mk 001 10.3'!AJ249</f>
        <v>ซื้อ / ขาย</v>
      </c>
      <c r="AK248" t="str">
        <f>'mk 001 10.3'!AK249</f>
        <v>Main proudct</v>
      </c>
      <c r="AL248" t="str">
        <f>'mk 001 10.3'!AL249</f>
        <v>Bulk Normal</v>
      </c>
      <c r="AM248" t="str">
        <f>'mk 001 10.3'!AM249</f>
        <v>สุกร</v>
      </c>
      <c r="AN248" t="str">
        <f>'mk 001 10.3'!AN249</f>
        <v>OT002 CC-Makro</v>
      </c>
      <c r="AO248" t="str">
        <f>'mk 001 10.3'!AO249</f>
        <v>MT</v>
      </c>
      <c r="AP248">
        <f>'mk 001 10.3'!AP249</f>
        <v>2</v>
      </c>
      <c r="AQ248">
        <f>'mk 001 10.3'!AQ249</f>
        <v>0</v>
      </c>
      <c r="AR248">
        <f>'mk 001 10.3'!AR249</f>
        <v>0</v>
      </c>
      <c r="AS248">
        <f>'mk 001 10.3'!AS249</f>
        <v>0</v>
      </c>
      <c r="AT248" t="str">
        <f>'mk 001 10.3'!AT249</f>
        <v>System Batch</v>
      </c>
      <c r="AU248" t="str">
        <f>'mk 001 10.3'!AU249</f>
        <v>2026-05-12-12.55.46.000000</v>
      </c>
      <c r="AV248" t="str">
        <f>'mk 001 10.3'!AV249</f>
        <v>ก.ก.</v>
      </c>
      <c r="AW248" t="str">
        <f>'mk 001 10.3'!AW249</f>
        <v>ก.ก.</v>
      </c>
      <c r="AX248" t="str">
        <f>'mk 001 10.3'!AX249</f>
        <v xml:space="preserve"> </v>
      </c>
      <c r="AY248">
        <f>'mk 001 10.3'!AY249</f>
        <v>0</v>
      </c>
      <c r="AZ248" t="str">
        <f>'mk 001 10.3'!AZ249</f>
        <v>N</v>
      </c>
      <c r="BA248" s="22">
        <f>'mk 001 10.3'!BA249</f>
        <v>9044989567153</v>
      </c>
      <c r="BB248">
        <f>'mk 001 10.3'!BB249</f>
        <v>0</v>
      </c>
      <c r="BC248">
        <f>'mk 001 10.3'!BC249</f>
        <v>0</v>
      </c>
      <c r="BD248">
        <f>'mk 001 10.3'!BD249</f>
        <v>1</v>
      </c>
      <c r="BE248">
        <f>'mk 001 10.3'!BE249</f>
        <v>0</v>
      </c>
      <c r="BF248" t="str">
        <f>'mk 001 10.3'!BF249</f>
        <v>;0000</v>
      </c>
      <c r="BG248">
        <f>'mk 001 10.3'!BG249</f>
        <v>1333314600</v>
      </c>
      <c r="BH248" t="str">
        <f>'mk 001 10.3'!BH249</f>
        <v>G</v>
      </c>
      <c r="BI248">
        <f>'mk 001 10.3'!BI249</f>
        <v>30</v>
      </c>
      <c r="BJ248">
        <f>'mk 001 10.3'!BJ249</f>
        <v>30</v>
      </c>
      <c r="BK248">
        <f>'mk 001 10.3'!BK249</f>
        <v>1300</v>
      </c>
      <c r="BL248" t="str">
        <f>'mk 001 10.3'!BL249</f>
        <v>SYSBATCH</v>
      </c>
      <c r="BM248">
        <f>'mk 001 10.3'!BM249</f>
        <v>0</v>
      </c>
      <c r="BN248">
        <f>'mk 001 10.3'!BN249</f>
        <v>0</v>
      </c>
    </row>
    <row r="249" spans="1:66" x14ac:dyDescent="0.35">
      <c r="A249">
        <f>'mk 001 10.3'!A250</f>
        <v>0</v>
      </c>
      <c r="B249">
        <f>'mk 001 10.3'!B250</f>
        <v>0</v>
      </c>
      <c r="C249" s="1" t="str">
        <f>'mk 001 10.3'!C250</f>
        <v>14/5/2569</v>
      </c>
      <c r="D249" s="1" t="str">
        <f>'mk 001 10.3'!D250</f>
        <v>14/5/2569</v>
      </c>
      <c r="E249">
        <f>'mk 001 10.3'!E250</f>
        <v>0</v>
      </c>
      <c r="F249" t="str">
        <f>'mk 001 10.3'!F250</f>
        <v>489M</v>
      </c>
      <c r="G249" t="str">
        <f>'mk 001 10.3'!G250</f>
        <v>Modern Trade (Makro)</v>
      </c>
      <c r="H249">
        <f>'mk 001 10.3'!H250</f>
        <v>0</v>
      </c>
      <c r="I249" t="str">
        <f>'mk 001 10.3'!I250</f>
        <v>หน่วยงานกลาง</v>
      </c>
      <c r="J249" t="str">
        <f>'mk 001 10.3'!J250</f>
        <v>F213  DMCW-รชล-พระพุทธบาท</v>
      </c>
      <c r="K249" t="str">
        <f>'mk 001 10.3'!K250</f>
        <v>00000  หน่วยงานกลาง</v>
      </c>
      <c r="L249">
        <f>'mk 001 10.3'!L250</f>
        <v>923</v>
      </c>
      <c r="M249">
        <f>'mk 001 10.3'!M250</f>
        <v>0</v>
      </c>
      <c r="N249" t="str">
        <f>'mk 001 10.3'!N250</f>
        <v>1A53009300</v>
      </c>
      <c r="O249" t="str">
        <f>'mk 001 10.3'!O250</f>
        <v>บมจ. ซีพี แอ็กซ์ตร้า สาขาทาวน์ อิน ทาวน์</v>
      </c>
      <c r="P249">
        <f>'mk 001 10.3'!P250</f>
        <v>2</v>
      </c>
      <c r="Q249" t="str">
        <f>'mk 001 10.3'!Q250</f>
        <v>MAKRO 0096 ทาวน์ อิน ทาวน์</v>
      </c>
      <c r="R249" s="1">
        <f>'mk 001 10.3'!R250</f>
        <v>244688</v>
      </c>
      <c r="S249" s="1" t="str">
        <f>'mk 001 10.3'!S250</f>
        <v>14/5/2569</v>
      </c>
      <c r="T249" t="str">
        <f>'mk 001 10.3'!T250</f>
        <v>H6954RMA0059841</v>
      </c>
      <c r="U249">
        <f>'mk 001 10.3'!U250</f>
        <v>23057809</v>
      </c>
      <c r="V249" t="str">
        <f>'mk 001 10.3'!V250</f>
        <v>เนื้อไหล่(M)</v>
      </c>
      <c r="W249">
        <f>'mk 001 10.3'!W250</f>
        <v>70</v>
      </c>
      <c r="X249">
        <f>'mk 001 10.3'!X250</f>
        <v>70</v>
      </c>
      <c r="Y249">
        <f t="shared" si="3"/>
        <v>70</v>
      </c>
      <c r="Z249" s="13">
        <f>IF(COUNTIFS(แปลงข้อมูล!H:H,Q249,แปลงข้อมูล!I:I,U249,แปลงข้อมูล!J:J,V249)&gt;0,SUMIFS(แปลงข้อมูล!Q:Q,แปลงข้อมูล!I:I,U249,แปลงข้อมูล!H:H,Q249,แปลงข้อมูล!J:J,V249),'mk 001 10.3'!Z250)</f>
        <v>70</v>
      </c>
      <c r="AA249">
        <f>'mk 001 10.3'!AA250</f>
        <v>0</v>
      </c>
      <c r="AB249">
        <f>'mk 001 10.3'!AB250</f>
        <v>0</v>
      </c>
      <c r="AC249">
        <f>'mk 001 10.3'!AC250</f>
        <v>0</v>
      </c>
      <c r="AD249">
        <f>'mk 001 10.3'!AD250</f>
        <v>0</v>
      </c>
      <c r="AE249">
        <f>'mk 001 10.3'!AE250</f>
        <v>70</v>
      </c>
      <c r="AF249">
        <f>'mk 001 10.3'!AF250</f>
        <v>70</v>
      </c>
      <c r="AG249">
        <f>'mk 001 10.3'!AG250</f>
        <v>0</v>
      </c>
      <c r="AH249">
        <f>'mk 001 10.3'!AH250</f>
        <v>0</v>
      </c>
      <c r="AI249" t="str">
        <f>'mk 001 10.3'!AI250</f>
        <v>OPRCD489MOPRCD00000OPRCDF213OPRCD00000OPRCD923</v>
      </c>
      <c r="AJ249" t="str">
        <f>'mk 001 10.3'!AJ250</f>
        <v>ซื้อ / ขาย</v>
      </c>
      <c r="AK249" t="str">
        <f>'mk 001 10.3'!AK250</f>
        <v>Main proudct</v>
      </c>
      <c r="AL249" t="str">
        <f>'mk 001 10.3'!AL250</f>
        <v>Bulk Normal</v>
      </c>
      <c r="AM249" t="str">
        <f>'mk 001 10.3'!AM250</f>
        <v>สุกร</v>
      </c>
      <c r="AN249" t="str">
        <f>'mk 001 10.3'!AN250</f>
        <v>OT002 CC-Makro</v>
      </c>
      <c r="AO249" t="str">
        <f>'mk 001 10.3'!AO250</f>
        <v>MT</v>
      </c>
      <c r="AP249">
        <f>'mk 001 10.3'!AP250</f>
        <v>2</v>
      </c>
      <c r="AQ249">
        <f>'mk 001 10.3'!AQ250</f>
        <v>0</v>
      </c>
      <c r="AR249">
        <f>'mk 001 10.3'!AR250</f>
        <v>0</v>
      </c>
      <c r="AS249">
        <f>'mk 001 10.3'!AS250</f>
        <v>0</v>
      </c>
      <c r="AT249" t="str">
        <f>'mk 001 10.3'!AT250</f>
        <v>System Batch</v>
      </c>
      <c r="AU249" t="str">
        <f>'mk 001 10.3'!AU250</f>
        <v>2026-05-12-12.55.46.000000</v>
      </c>
      <c r="AV249" t="str">
        <f>'mk 001 10.3'!AV250</f>
        <v>ก.ก.</v>
      </c>
      <c r="AW249" t="str">
        <f>'mk 001 10.3'!AW250</f>
        <v>ก.ก.</v>
      </c>
      <c r="AX249" t="str">
        <f>'mk 001 10.3'!AX250</f>
        <v xml:space="preserve"> </v>
      </c>
      <c r="AY249">
        <f>'mk 001 10.3'!AY250</f>
        <v>0</v>
      </c>
      <c r="AZ249" t="str">
        <f>'mk 001 10.3'!AZ250</f>
        <v>N</v>
      </c>
      <c r="BA249" s="22">
        <f>'mk 001 10.3'!BA250</f>
        <v>9044989567153</v>
      </c>
      <c r="BB249">
        <f>'mk 001 10.3'!BB250</f>
        <v>0</v>
      </c>
      <c r="BC249">
        <f>'mk 001 10.3'!BC250</f>
        <v>0</v>
      </c>
      <c r="BD249">
        <f>'mk 001 10.3'!BD250</f>
        <v>1</v>
      </c>
      <c r="BE249">
        <f>'mk 001 10.3'!BE250</f>
        <v>0</v>
      </c>
      <c r="BF249" t="str">
        <f>'mk 001 10.3'!BF250</f>
        <v>;0000</v>
      </c>
      <c r="BG249">
        <f>'mk 001 10.3'!BG250</f>
        <v>1333314600</v>
      </c>
      <c r="BH249" t="str">
        <f>'mk 001 10.3'!BH250</f>
        <v>G</v>
      </c>
      <c r="BI249">
        <f>'mk 001 10.3'!BI250</f>
        <v>70</v>
      </c>
      <c r="BJ249">
        <f>'mk 001 10.3'!BJ250</f>
        <v>70</v>
      </c>
      <c r="BK249">
        <f>'mk 001 10.3'!BK250</f>
        <v>1300</v>
      </c>
      <c r="BL249" t="str">
        <f>'mk 001 10.3'!BL250</f>
        <v>SYSBATCH</v>
      </c>
      <c r="BM249">
        <f>'mk 001 10.3'!BM250</f>
        <v>0</v>
      </c>
      <c r="BN249">
        <f>'mk 001 10.3'!BN250</f>
        <v>0</v>
      </c>
    </row>
    <row r="250" spans="1:66" x14ac:dyDescent="0.35">
      <c r="A250">
        <f>'mk 001 10.3'!A251</f>
        <v>0</v>
      </c>
      <c r="B250">
        <f>'mk 001 10.3'!B251</f>
        <v>0</v>
      </c>
      <c r="C250" s="1" t="str">
        <f>'mk 001 10.3'!C251</f>
        <v>14/5/2569</v>
      </c>
      <c r="D250" s="1" t="str">
        <f>'mk 001 10.3'!D251</f>
        <v>14/5/2569</v>
      </c>
      <c r="E250">
        <f>'mk 001 10.3'!E251</f>
        <v>0</v>
      </c>
      <c r="F250" t="str">
        <f>'mk 001 10.3'!F251</f>
        <v>489M</v>
      </c>
      <c r="G250" t="str">
        <f>'mk 001 10.3'!G251</f>
        <v>Modern Trade (Makro)</v>
      </c>
      <c r="H250">
        <f>'mk 001 10.3'!H251</f>
        <v>0</v>
      </c>
      <c r="I250" t="str">
        <f>'mk 001 10.3'!I251</f>
        <v>หน่วยงานกลาง</v>
      </c>
      <c r="J250" t="str">
        <f>'mk 001 10.3'!J251</f>
        <v>F213  DMCW-รชล-พระพุทธบาท</v>
      </c>
      <c r="K250" t="str">
        <f>'mk 001 10.3'!K251</f>
        <v>00000  หน่วยงานกลาง</v>
      </c>
      <c r="L250">
        <f>'mk 001 10.3'!L251</f>
        <v>923</v>
      </c>
      <c r="M250">
        <f>'mk 001 10.3'!M251</f>
        <v>0</v>
      </c>
      <c r="N250" t="str">
        <f>'mk 001 10.3'!N251</f>
        <v>1A53009300</v>
      </c>
      <c r="O250" t="str">
        <f>'mk 001 10.3'!O251</f>
        <v>บมจ. ซีพี แอ็กซ์ตร้า สาขาทาวน์ อิน ทาวน์</v>
      </c>
      <c r="P250">
        <f>'mk 001 10.3'!P251</f>
        <v>2</v>
      </c>
      <c r="Q250" t="str">
        <f>'mk 001 10.3'!Q251</f>
        <v>MAKRO 0096 ทาวน์ อิน ทาวน์</v>
      </c>
      <c r="R250" s="1">
        <f>'mk 001 10.3'!R251</f>
        <v>244688</v>
      </c>
      <c r="S250" s="1" t="str">
        <f>'mk 001 10.3'!S251</f>
        <v>14/5/2569</v>
      </c>
      <c r="T250" t="str">
        <f>'mk 001 10.3'!T251</f>
        <v>H6954RMA0059841</v>
      </c>
      <c r="U250">
        <f>'mk 001 10.3'!U251</f>
        <v>23070475</v>
      </c>
      <c r="V250" t="str">
        <f>'mk 001 10.3'!V251</f>
        <v>สามชั้นหมูตัดเส้น 3-4 นิ้ว</v>
      </c>
      <c r="W250">
        <f>'mk 001 10.3'!W251</f>
        <v>60</v>
      </c>
      <c r="X250">
        <f>'mk 001 10.3'!X251</f>
        <v>60</v>
      </c>
      <c r="Y250">
        <f t="shared" si="3"/>
        <v>60</v>
      </c>
      <c r="Z250" s="13">
        <f>IF(COUNTIFS(แปลงข้อมูล!H:H,Q250,แปลงข้อมูล!I:I,U250,แปลงข้อมูล!J:J,V250)&gt;0,SUMIFS(แปลงข้อมูล!Q:Q,แปลงข้อมูล!I:I,U250,แปลงข้อมูล!H:H,Q250,แปลงข้อมูล!J:J,V250),'mk 001 10.3'!Z251)</f>
        <v>60</v>
      </c>
      <c r="AA250">
        <f>'mk 001 10.3'!AA251</f>
        <v>0</v>
      </c>
      <c r="AB250">
        <f>'mk 001 10.3'!AB251</f>
        <v>0</v>
      </c>
      <c r="AC250">
        <f>'mk 001 10.3'!AC251</f>
        <v>0</v>
      </c>
      <c r="AD250">
        <f>'mk 001 10.3'!AD251</f>
        <v>0</v>
      </c>
      <c r="AE250">
        <f>'mk 001 10.3'!AE251</f>
        <v>60</v>
      </c>
      <c r="AF250">
        <f>'mk 001 10.3'!AF251</f>
        <v>60</v>
      </c>
      <c r="AG250">
        <f>'mk 001 10.3'!AG251</f>
        <v>0</v>
      </c>
      <c r="AH250">
        <f>'mk 001 10.3'!AH251</f>
        <v>0</v>
      </c>
      <c r="AI250" t="str">
        <f>'mk 001 10.3'!AI251</f>
        <v>OPRCD489MOPRCD00000OPRCDF213OPRCD00000OPRCD923</v>
      </c>
      <c r="AJ250" t="str">
        <f>'mk 001 10.3'!AJ251</f>
        <v>ซื้อ / ขาย</v>
      </c>
      <c r="AK250" t="str">
        <f>'mk 001 10.3'!AK251</f>
        <v>Main proudct</v>
      </c>
      <c r="AL250" t="str">
        <f>'mk 001 10.3'!AL251</f>
        <v>Bulk Normal</v>
      </c>
      <c r="AM250" t="str">
        <f>'mk 001 10.3'!AM251</f>
        <v>สุกร</v>
      </c>
      <c r="AN250" t="str">
        <f>'mk 001 10.3'!AN251</f>
        <v>OT002 CC-Makro</v>
      </c>
      <c r="AO250" t="str">
        <f>'mk 001 10.3'!AO251</f>
        <v>MT</v>
      </c>
      <c r="AP250">
        <f>'mk 001 10.3'!AP251</f>
        <v>2</v>
      </c>
      <c r="AQ250">
        <f>'mk 001 10.3'!AQ251</f>
        <v>0</v>
      </c>
      <c r="AR250">
        <f>'mk 001 10.3'!AR251</f>
        <v>0</v>
      </c>
      <c r="AS250">
        <f>'mk 001 10.3'!AS251</f>
        <v>0</v>
      </c>
      <c r="AT250" t="str">
        <f>'mk 001 10.3'!AT251</f>
        <v>System Batch</v>
      </c>
      <c r="AU250" t="str">
        <f>'mk 001 10.3'!AU251</f>
        <v>2026-05-12-12.55.46.000000</v>
      </c>
      <c r="AV250" t="str">
        <f>'mk 001 10.3'!AV251</f>
        <v>ก.ก.</v>
      </c>
      <c r="AW250" t="str">
        <f>'mk 001 10.3'!AW251</f>
        <v>ก.ก.</v>
      </c>
      <c r="AX250" t="str">
        <f>'mk 001 10.3'!AX251</f>
        <v xml:space="preserve"> </v>
      </c>
      <c r="AY250">
        <f>'mk 001 10.3'!AY251</f>
        <v>0</v>
      </c>
      <c r="AZ250" t="str">
        <f>'mk 001 10.3'!AZ251</f>
        <v>N</v>
      </c>
      <c r="BA250" s="22">
        <f>'mk 001 10.3'!BA251</f>
        <v>9044989567153</v>
      </c>
      <c r="BB250">
        <f>'mk 001 10.3'!BB251</f>
        <v>0</v>
      </c>
      <c r="BC250">
        <f>'mk 001 10.3'!BC251</f>
        <v>0</v>
      </c>
      <c r="BD250">
        <f>'mk 001 10.3'!BD251</f>
        <v>1</v>
      </c>
      <c r="BE250">
        <f>'mk 001 10.3'!BE251</f>
        <v>0</v>
      </c>
      <c r="BF250" t="str">
        <f>'mk 001 10.3'!BF251</f>
        <v>;0000</v>
      </c>
      <c r="BG250">
        <f>'mk 001 10.3'!BG251</f>
        <v>1333314600</v>
      </c>
      <c r="BH250" t="str">
        <f>'mk 001 10.3'!BH251</f>
        <v>G</v>
      </c>
      <c r="BI250">
        <f>'mk 001 10.3'!BI251</f>
        <v>60</v>
      </c>
      <c r="BJ250">
        <f>'mk 001 10.3'!BJ251</f>
        <v>60</v>
      </c>
      <c r="BK250">
        <f>'mk 001 10.3'!BK251</f>
        <v>1300</v>
      </c>
      <c r="BL250" t="str">
        <f>'mk 001 10.3'!BL251</f>
        <v>SYSBATCH</v>
      </c>
      <c r="BM250">
        <f>'mk 001 10.3'!BM251</f>
        <v>0</v>
      </c>
      <c r="BN250">
        <f>'mk 001 10.3'!BN251</f>
        <v>0</v>
      </c>
    </row>
    <row r="251" spans="1:66" x14ac:dyDescent="0.35">
      <c r="A251">
        <f>'mk 001 10.3'!A252</f>
        <v>0</v>
      </c>
      <c r="B251">
        <f>'mk 001 10.3'!B252</f>
        <v>0</v>
      </c>
      <c r="C251" s="1">
        <f>'mk 001 10.3'!C252</f>
        <v>0</v>
      </c>
      <c r="D251" s="1">
        <f>'mk 001 10.3'!D252</f>
        <v>0</v>
      </c>
      <c r="E251">
        <f>'mk 001 10.3'!E252</f>
        <v>0</v>
      </c>
      <c r="F251">
        <f>'mk 001 10.3'!F252</f>
        <v>0</v>
      </c>
      <c r="G251">
        <f>'mk 001 10.3'!G252</f>
        <v>0</v>
      </c>
      <c r="H251">
        <f>'mk 001 10.3'!H252</f>
        <v>0</v>
      </c>
      <c r="I251">
        <f>'mk 001 10.3'!I252</f>
        <v>0</v>
      </c>
      <c r="J251">
        <f>'mk 001 10.3'!J252</f>
        <v>0</v>
      </c>
      <c r="K251">
        <f>'mk 001 10.3'!K252</f>
        <v>0</v>
      </c>
      <c r="L251">
        <f>'mk 001 10.3'!L252</f>
        <v>0</v>
      </c>
      <c r="M251">
        <f>'mk 001 10.3'!M252</f>
        <v>0</v>
      </c>
      <c r="N251">
        <f>'mk 001 10.3'!N252</f>
        <v>0</v>
      </c>
      <c r="O251">
        <f>'mk 001 10.3'!O252</f>
        <v>0</v>
      </c>
      <c r="P251">
        <f>'mk 001 10.3'!P252</f>
        <v>0</v>
      </c>
      <c r="Q251">
        <f>'mk 001 10.3'!Q252</f>
        <v>0</v>
      </c>
      <c r="R251" s="1">
        <f>'mk 001 10.3'!R252</f>
        <v>0</v>
      </c>
      <c r="S251" s="1">
        <f>'mk 001 10.3'!S252</f>
        <v>0</v>
      </c>
      <c r="T251">
        <f>'mk 001 10.3'!T252</f>
        <v>0</v>
      </c>
      <c r="U251">
        <f>'mk 001 10.3'!U252</f>
        <v>0</v>
      </c>
      <c r="V251">
        <f>'mk 001 10.3'!V252</f>
        <v>0</v>
      </c>
      <c r="W251">
        <f>'mk 001 10.3'!W252</f>
        <v>0</v>
      </c>
      <c r="X251">
        <f>'mk 001 10.3'!X252</f>
        <v>0</v>
      </c>
      <c r="Y251">
        <f t="shared" si="3"/>
        <v>0</v>
      </c>
      <c r="Z251" s="13">
        <f>IF(COUNTIFS(แปลงข้อมูล!H:H,Q251,แปลงข้อมูล!I:I,U251,แปลงข้อมูล!J:J,V251)&gt;0,SUMIFS(แปลงข้อมูล!Q:Q,แปลงข้อมูล!I:I,U251,แปลงข้อมูล!H:H,Q251,แปลงข้อมูล!J:J,V251),'mk 001 10.3'!Z252)</f>
        <v>0</v>
      </c>
      <c r="AA251">
        <f>'mk 001 10.3'!AA252</f>
        <v>0</v>
      </c>
      <c r="AB251">
        <f>'mk 001 10.3'!AB252</f>
        <v>0</v>
      </c>
      <c r="AC251">
        <f>'mk 001 10.3'!AC252</f>
        <v>0</v>
      </c>
      <c r="AD251">
        <f>'mk 001 10.3'!AD252</f>
        <v>0</v>
      </c>
      <c r="AE251">
        <f>'mk 001 10.3'!AE252</f>
        <v>0</v>
      </c>
      <c r="AF251">
        <f>'mk 001 10.3'!AF252</f>
        <v>0</v>
      </c>
      <c r="AG251">
        <f>'mk 001 10.3'!AG252</f>
        <v>0</v>
      </c>
      <c r="AH251">
        <f>'mk 001 10.3'!AH252</f>
        <v>0</v>
      </c>
      <c r="AI251">
        <f>'mk 001 10.3'!AI252</f>
        <v>0</v>
      </c>
      <c r="AJ251">
        <f>'mk 001 10.3'!AJ252</f>
        <v>0</v>
      </c>
      <c r="AK251">
        <f>'mk 001 10.3'!AK252</f>
        <v>0</v>
      </c>
      <c r="AL251">
        <f>'mk 001 10.3'!AL252</f>
        <v>0</v>
      </c>
      <c r="AM251">
        <f>'mk 001 10.3'!AM252</f>
        <v>0</v>
      </c>
      <c r="AN251">
        <f>'mk 001 10.3'!AN252</f>
        <v>0</v>
      </c>
      <c r="AO251">
        <f>'mk 001 10.3'!AO252</f>
        <v>0</v>
      </c>
      <c r="AP251">
        <f>'mk 001 10.3'!AP252</f>
        <v>0</v>
      </c>
      <c r="AQ251">
        <f>'mk 001 10.3'!AQ252</f>
        <v>0</v>
      </c>
      <c r="AR251">
        <f>'mk 001 10.3'!AR252</f>
        <v>0</v>
      </c>
      <c r="AS251">
        <f>'mk 001 10.3'!AS252</f>
        <v>0</v>
      </c>
      <c r="AT251">
        <f>'mk 001 10.3'!AT252</f>
        <v>0</v>
      </c>
      <c r="AU251">
        <f>'mk 001 10.3'!AU252</f>
        <v>0</v>
      </c>
      <c r="AV251">
        <f>'mk 001 10.3'!AV252</f>
        <v>0</v>
      </c>
      <c r="AW251">
        <f>'mk 001 10.3'!AW252</f>
        <v>0</v>
      </c>
      <c r="AX251">
        <f>'mk 001 10.3'!AX252</f>
        <v>0</v>
      </c>
      <c r="AY251">
        <f>'mk 001 10.3'!AY252</f>
        <v>0</v>
      </c>
      <c r="AZ251">
        <f>'mk 001 10.3'!AZ252</f>
        <v>0</v>
      </c>
      <c r="BA251" s="22">
        <f>'mk 001 10.3'!BA252</f>
        <v>0</v>
      </c>
      <c r="BB251">
        <f>'mk 001 10.3'!BB252</f>
        <v>0</v>
      </c>
      <c r="BC251">
        <f>'mk 001 10.3'!BC252</f>
        <v>0</v>
      </c>
      <c r="BD251">
        <f>'mk 001 10.3'!BD252</f>
        <v>0</v>
      </c>
      <c r="BE251">
        <f>'mk 001 10.3'!BE252</f>
        <v>0</v>
      </c>
      <c r="BF251">
        <f>'mk 001 10.3'!BF252</f>
        <v>0</v>
      </c>
      <c r="BG251">
        <f>'mk 001 10.3'!BG252</f>
        <v>0</v>
      </c>
      <c r="BH251">
        <f>'mk 001 10.3'!BH252</f>
        <v>0</v>
      </c>
      <c r="BI251">
        <f>'mk 001 10.3'!BI252</f>
        <v>0</v>
      </c>
      <c r="BJ251">
        <f>'mk 001 10.3'!BJ252</f>
        <v>0</v>
      </c>
      <c r="BK251">
        <f>'mk 001 10.3'!BK252</f>
        <v>0</v>
      </c>
      <c r="BL251">
        <f>'mk 001 10.3'!BL252</f>
        <v>0</v>
      </c>
      <c r="BM251">
        <f>'mk 001 10.3'!BM252</f>
        <v>0</v>
      </c>
      <c r="BN251">
        <f>'mk 001 10.3'!BN252</f>
        <v>0</v>
      </c>
    </row>
    <row r="252" spans="1:66" x14ac:dyDescent="0.35">
      <c r="A252">
        <f>'mk 001 10.3'!A253</f>
        <v>0</v>
      </c>
      <c r="B252">
        <f>'mk 001 10.3'!B253</f>
        <v>0</v>
      </c>
      <c r="C252" s="1">
        <f>'mk 001 10.3'!C253</f>
        <v>0</v>
      </c>
      <c r="D252" s="1">
        <f>'mk 001 10.3'!D253</f>
        <v>0</v>
      </c>
      <c r="E252">
        <f>'mk 001 10.3'!E253</f>
        <v>0</v>
      </c>
      <c r="F252">
        <f>'mk 001 10.3'!F253</f>
        <v>0</v>
      </c>
      <c r="G252">
        <f>'mk 001 10.3'!G253</f>
        <v>0</v>
      </c>
      <c r="H252">
        <f>'mk 001 10.3'!H253</f>
        <v>0</v>
      </c>
      <c r="I252">
        <f>'mk 001 10.3'!I253</f>
        <v>0</v>
      </c>
      <c r="J252">
        <f>'mk 001 10.3'!J253</f>
        <v>0</v>
      </c>
      <c r="K252">
        <f>'mk 001 10.3'!K253</f>
        <v>0</v>
      </c>
      <c r="L252">
        <f>'mk 001 10.3'!L253</f>
        <v>0</v>
      </c>
      <c r="M252">
        <f>'mk 001 10.3'!M253</f>
        <v>0</v>
      </c>
      <c r="N252">
        <f>'mk 001 10.3'!N253</f>
        <v>0</v>
      </c>
      <c r="O252">
        <f>'mk 001 10.3'!O253</f>
        <v>0</v>
      </c>
      <c r="P252">
        <f>'mk 001 10.3'!P253</f>
        <v>0</v>
      </c>
      <c r="Q252">
        <f>'mk 001 10.3'!Q253</f>
        <v>0</v>
      </c>
      <c r="R252" s="1">
        <f>'mk 001 10.3'!R253</f>
        <v>0</v>
      </c>
      <c r="S252" s="1">
        <f>'mk 001 10.3'!S253</f>
        <v>0</v>
      </c>
      <c r="T252">
        <f>'mk 001 10.3'!T253</f>
        <v>0</v>
      </c>
      <c r="U252">
        <f>'mk 001 10.3'!U253</f>
        <v>0</v>
      </c>
      <c r="V252">
        <f>'mk 001 10.3'!V253</f>
        <v>0</v>
      </c>
      <c r="W252">
        <f>'mk 001 10.3'!W253</f>
        <v>0</v>
      </c>
      <c r="X252">
        <f>'mk 001 10.3'!X253</f>
        <v>0</v>
      </c>
      <c r="Y252">
        <f t="shared" si="3"/>
        <v>0</v>
      </c>
      <c r="Z252" s="13">
        <f>IF(COUNTIFS(แปลงข้อมูล!H:H,Q252,แปลงข้อมูล!I:I,U252,แปลงข้อมูล!J:J,V252)&gt;0,SUMIFS(แปลงข้อมูล!Q:Q,แปลงข้อมูล!I:I,U252,แปลงข้อมูล!H:H,Q252,แปลงข้อมูล!J:J,V252),'mk 001 10.3'!Z253)</f>
        <v>0</v>
      </c>
      <c r="AA252">
        <f>'mk 001 10.3'!AA253</f>
        <v>0</v>
      </c>
      <c r="AB252">
        <f>'mk 001 10.3'!AB253</f>
        <v>0</v>
      </c>
      <c r="AC252">
        <f>'mk 001 10.3'!AC253</f>
        <v>0</v>
      </c>
      <c r="AD252">
        <f>'mk 001 10.3'!AD253</f>
        <v>0</v>
      </c>
      <c r="AE252">
        <f>'mk 001 10.3'!AE253</f>
        <v>0</v>
      </c>
      <c r="AF252">
        <f>'mk 001 10.3'!AF253</f>
        <v>0</v>
      </c>
      <c r="AG252">
        <f>'mk 001 10.3'!AG253</f>
        <v>0</v>
      </c>
      <c r="AH252">
        <f>'mk 001 10.3'!AH253</f>
        <v>0</v>
      </c>
      <c r="AI252">
        <f>'mk 001 10.3'!AI253</f>
        <v>0</v>
      </c>
      <c r="AJ252">
        <f>'mk 001 10.3'!AJ253</f>
        <v>0</v>
      </c>
      <c r="AK252">
        <f>'mk 001 10.3'!AK253</f>
        <v>0</v>
      </c>
      <c r="AL252">
        <f>'mk 001 10.3'!AL253</f>
        <v>0</v>
      </c>
      <c r="AM252">
        <f>'mk 001 10.3'!AM253</f>
        <v>0</v>
      </c>
      <c r="AN252">
        <f>'mk 001 10.3'!AN253</f>
        <v>0</v>
      </c>
      <c r="AO252">
        <f>'mk 001 10.3'!AO253</f>
        <v>0</v>
      </c>
      <c r="AP252">
        <f>'mk 001 10.3'!AP253</f>
        <v>0</v>
      </c>
      <c r="AQ252">
        <f>'mk 001 10.3'!AQ253</f>
        <v>0</v>
      </c>
      <c r="AR252">
        <f>'mk 001 10.3'!AR253</f>
        <v>0</v>
      </c>
      <c r="AS252">
        <f>'mk 001 10.3'!AS253</f>
        <v>0</v>
      </c>
      <c r="AT252">
        <f>'mk 001 10.3'!AT253</f>
        <v>0</v>
      </c>
      <c r="AU252">
        <f>'mk 001 10.3'!AU253</f>
        <v>0</v>
      </c>
      <c r="AV252">
        <f>'mk 001 10.3'!AV253</f>
        <v>0</v>
      </c>
      <c r="AW252">
        <f>'mk 001 10.3'!AW253</f>
        <v>0</v>
      </c>
      <c r="AX252">
        <f>'mk 001 10.3'!AX253</f>
        <v>0</v>
      </c>
      <c r="AY252">
        <f>'mk 001 10.3'!AY253</f>
        <v>0</v>
      </c>
      <c r="AZ252">
        <f>'mk 001 10.3'!AZ253</f>
        <v>0</v>
      </c>
      <c r="BA252" s="22">
        <f>'mk 001 10.3'!BA253</f>
        <v>0</v>
      </c>
      <c r="BB252">
        <f>'mk 001 10.3'!BB253</f>
        <v>0</v>
      </c>
      <c r="BC252">
        <f>'mk 001 10.3'!BC253</f>
        <v>0</v>
      </c>
      <c r="BD252">
        <f>'mk 001 10.3'!BD253</f>
        <v>0</v>
      </c>
      <c r="BE252">
        <f>'mk 001 10.3'!BE253</f>
        <v>0</v>
      </c>
      <c r="BF252">
        <f>'mk 001 10.3'!BF253</f>
        <v>0</v>
      </c>
      <c r="BG252">
        <f>'mk 001 10.3'!BG253</f>
        <v>0</v>
      </c>
      <c r="BH252">
        <f>'mk 001 10.3'!BH253</f>
        <v>0</v>
      </c>
      <c r="BI252">
        <f>'mk 001 10.3'!BI253</f>
        <v>0</v>
      </c>
      <c r="BJ252">
        <f>'mk 001 10.3'!BJ253</f>
        <v>0</v>
      </c>
      <c r="BK252">
        <f>'mk 001 10.3'!BK253</f>
        <v>0</v>
      </c>
      <c r="BL252">
        <f>'mk 001 10.3'!BL253</f>
        <v>0</v>
      </c>
      <c r="BM252">
        <f>'mk 001 10.3'!BM253</f>
        <v>0</v>
      </c>
      <c r="BN252">
        <f>'mk 001 10.3'!BN253</f>
        <v>0</v>
      </c>
    </row>
    <row r="253" spans="1:66" x14ac:dyDescent="0.35">
      <c r="A253">
        <f>'mk 001 10.3'!A254</f>
        <v>0</v>
      </c>
      <c r="B253">
        <f>'mk 001 10.3'!B254</f>
        <v>0</v>
      </c>
      <c r="C253" s="1">
        <f>'mk 001 10.3'!C254</f>
        <v>0</v>
      </c>
      <c r="D253" s="1">
        <f>'mk 001 10.3'!D254</f>
        <v>0</v>
      </c>
      <c r="E253">
        <f>'mk 001 10.3'!E254</f>
        <v>0</v>
      </c>
      <c r="F253">
        <f>'mk 001 10.3'!F254</f>
        <v>0</v>
      </c>
      <c r="G253">
        <f>'mk 001 10.3'!G254</f>
        <v>0</v>
      </c>
      <c r="H253">
        <f>'mk 001 10.3'!H254</f>
        <v>0</v>
      </c>
      <c r="I253">
        <f>'mk 001 10.3'!I254</f>
        <v>0</v>
      </c>
      <c r="J253">
        <f>'mk 001 10.3'!J254</f>
        <v>0</v>
      </c>
      <c r="K253">
        <f>'mk 001 10.3'!K254</f>
        <v>0</v>
      </c>
      <c r="L253">
        <f>'mk 001 10.3'!L254</f>
        <v>0</v>
      </c>
      <c r="M253">
        <f>'mk 001 10.3'!M254</f>
        <v>0</v>
      </c>
      <c r="N253">
        <f>'mk 001 10.3'!N254</f>
        <v>0</v>
      </c>
      <c r="O253">
        <f>'mk 001 10.3'!O254</f>
        <v>0</v>
      </c>
      <c r="P253">
        <f>'mk 001 10.3'!P254</f>
        <v>0</v>
      </c>
      <c r="Q253">
        <f>'mk 001 10.3'!Q254</f>
        <v>0</v>
      </c>
      <c r="R253" s="1">
        <f>'mk 001 10.3'!R254</f>
        <v>0</v>
      </c>
      <c r="S253" s="1">
        <f>'mk 001 10.3'!S254</f>
        <v>0</v>
      </c>
      <c r="T253">
        <f>'mk 001 10.3'!T254</f>
        <v>0</v>
      </c>
      <c r="U253">
        <f>'mk 001 10.3'!U254</f>
        <v>0</v>
      </c>
      <c r="V253">
        <f>'mk 001 10.3'!V254</f>
        <v>0</v>
      </c>
      <c r="W253">
        <f>'mk 001 10.3'!W254</f>
        <v>0</v>
      </c>
      <c r="X253">
        <f>'mk 001 10.3'!X254</f>
        <v>0</v>
      </c>
      <c r="Y253">
        <f t="shared" si="3"/>
        <v>0</v>
      </c>
      <c r="Z253" s="13">
        <f>IF(COUNTIFS(แปลงข้อมูล!H:H,Q253,แปลงข้อมูล!I:I,U253,แปลงข้อมูล!J:J,V253)&gt;0,SUMIFS(แปลงข้อมูล!Q:Q,แปลงข้อมูล!I:I,U253,แปลงข้อมูล!H:H,Q253,แปลงข้อมูล!J:J,V253),'mk 001 10.3'!Z254)</f>
        <v>0</v>
      </c>
      <c r="AA253">
        <f>'mk 001 10.3'!AA254</f>
        <v>0</v>
      </c>
      <c r="AB253">
        <f>'mk 001 10.3'!AB254</f>
        <v>0</v>
      </c>
      <c r="AC253">
        <f>'mk 001 10.3'!AC254</f>
        <v>0</v>
      </c>
      <c r="AD253">
        <f>'mk 001 10.3'!AD254</f>
        <v>0</v>
      </c>
      <c r="AE253">
        <f>'mk 001 10.3'!AE254</f>
        <v>0</v>
      </c>
      <c r="AF253">
        <f>'mk 001 10.3'!AF254</f>
        <v>0</v>
      </c>
      <c r="AG253">
        <f>'mk 001 10.3'!AG254</f>
        <v>0</v>
      </c>
      <c r="AH253">
        <f>'mk 001 10.3'!AH254</f>
        <v>0</v>
      </c>
      <c r="AI253">
        <f>'mk 001 10.3'!AI254</f>
        <v>0</v>
      </c>
      <c r="AJ253">
        <f>'mk 001 10.3'!AJ254</f>
        <v>0</v>
      </c>
      <c r="AK253">
        <f>'mk 001 10.3'!AK254</f>
        <v>0</v>
      </c>
      <c r="AL253">
        <f>'mk 001 10.3'!AL254</f>
        <v>0</v>
      </c>
      <c r="AM253">
        <f>'mk 001 10.3'!AM254</f>
        <v>0</v>
      </c>
      <c r="AN253">
        <f>'mk 001 10.3'!AN254</f>
        <v>0</v>
      </c>
      <c r="AO253">
        <f>'mk 001 10.3'!AO254</f>
        <v>0</v>
      </c>
      <c r="AP253">
        <f>'mk 001 10.3'!AP254</f>
        <v>0</v>
      </c>
      <c r="AQ253">
        <f>'mk 001 10.3'!AQ254</f>
        <v>0</v>
      </c>
      <c r="AR253">
        <f>'mk 001 10.3'!AR254</f>
        <v>0</v>
      </c>
      <c r="AS253">
        <f>'mk 001 10.3'!AS254</f>
        <v>0</v>
      </c>
      <c r="AT253">
        <f>'mk 001 10.3'!AT254</f>
        <v>0</v>
      </c>
      <c r="AU253">
        <f>'mk 001 10.3'!AU254</f>
        <v>0</v>
      </c>
      <c r="AV253">
        <f>'mk 001 10.3'!AV254</f>
        <v>0</v>
      </c>
      <c r="AW253">
        <f>'mk 001 10.3'!AW254</f>
        <v>0</v>
      </c>
      <c r="AX253">
        <f>'mk 001 10.3'!AX254</f>
        <v>0</v>
      </c>
      <c r="AY253">
        <f>'mk 001 10.3'!AY254</f>
        <v>0</v>
      </c>
      <c r="AZ253">
        <f>'mk 001 10.3'!AZ254</f>
        <v>0</v>
      </c>
      <c r="BA253" s="22">
        <f>'mk 001 10.3'!BA254</f>
        <v>0</v>
      </c>
      <c r="BB253">
        <f>'mk 001 10.3'!BB254</f>
        <v>0</v>
      </c>
      <c r="BC253">
        <f>'mk 001 10.3'!BC254</f>
        <v>0</v>
      </c>
      <c r="BD253">
        <f>'mk 001 10.3'!BD254</f>
        <v>0</v>
      </c>
      <c r="BE253">
        <f>'mk 001 10.3'!BE254</f>
        <v>0</v>
      </c>
      <c r="BF253">
        <f>'mk 001 10.3'!BF254</f>
        <v>0</v>
      </c>
      <c r="BG253">
        <f>'mk 001 10.3'!BG254</f>
        <v>0</v>
      </c>
      <c r="BH253">
        <f>'mk 001 10.3'!BH254</f>
        <v>0</v>
      </c>
      <c r="BI253">
        <f>'mk 001 10.3'!BI254</f>
        <v>0</v>
      </c>
      <c r="BJ253">
        <f>'mk 001 10.3'!BJ254</f>
        <v>0</v>
      </c>
      <c r="BK253">
        <f>'mk 001 10.3'!BK254</f>
        <v>0</v>
      </c>
      <c r="BL253">
        <f>'mk 001 10.3'!BL254</f>
        <v>0</v>
      </c>
      <c r="BM253">
        <f>'mk 001 10.3'!BM254</f>
        <v>0</v>
      </c>
      <c r="BN253">
        <f>'mk 001 10.3'!BN254</f>
        <v>0</v>
      </c>
    </row>
    <row r="254" spans="1:66" x14ac:dyDescent="0.35">
      <c r="A254">
        <f>'mk 001 10.3'!A255</f>
        <v>0</v>
      </c>
      <c r="B254">
        <f>'mk 001 10.3'!B255</f>
        <v>0</v>
      </c>
      <c r="C254" s="1">
        <f>'mk 001 10.3'!C255</f>
        <v>0</v>
      </c>
      <c r="D254" s="1">
        <f>'mk 001 10.3'!D255</f>
        <v>0</v>
      </c>
      <c r="E254">
        <f>'mk 001 10.3'!E255</f>
        <v>0</v>
      </c>
      <c r="F254">
        <f>'mk 001 10.3'!F255</f>
        <v>0</v>
      </c>
      <c r="G254">
        <f>'mk 001 10.3'!G255</f>
        <v>0</v>
      </c>
      <c r="H254">
        <f>'mk 001 10.3'!H255</f>
        <v>0</v>
      </c>
      <c r="I254">
        <f>'mk 001 10.3'!I255</f>
        <v>0</v>
      </c>
      <c r="J254">
        <f>'mk 001 10.3'!J255</f>
        <v>0</v>
      </c>
      <c r="K254">
        <f>'mk 001 10.3'!K255</f>
        <v>0</v>
      </c>
      <c r="L254">
        <f>'mk 001 10.3'!L255</f>
        <v>0</v>
      </c>
      <c r="M254">
        <f>'mk 001 10.3'!M255</f>
        <v>0</v>
      </c>
      <c r="N254">
        <f>'mk 001 10.3'!N255</f>
        <v>0</v>
      </c>
      <c r="O254">
        <f>'mk 001 10.3'!O255</f>
        <v>0</v>
      </c>
      <c r="P254">
        <f>'mk 001 10.3'!P255</f>
        <v>0</v>
      </c>
      <c r="Q254">
        <f>'mk 001 10.3'!Q255</f>
        <v>0</v>
      </c>
      <c r="R254" s="1">
        <f>'mk 001 10.3'!R255</f>
        <v>0</v>
      </c>
      <c r="S254" s="1">
        <f>'mk 001 10.3'!S255</f>
        <v>0</v>
      </c>
      <c r="T254">
        <f>'mk 001 10.3'!T255</f>
        <v>0</v>
      </c>
      <c r="U254">
        <f>'mk 001 10.3'!U255</f>
        <v>0</v>
      </c>
      <c r="V254">
        <f>'mk 001 10.3'!V255</f>
        <v>0</v>
      </c>
      <c r="W254">
        <f>'mk 001 10.3'!W255</f>
        <v>0</v>
      </c>
      <c r="X254">
        <f>'mk 001 10.3'!X255</f>
        <v>0</v>
      </c>
      <c r="Y254">
        <f t="shared" si="3"/>
        <v>0</v>
      </c>
      <c r="Z254" s="13">
        <f>IF(COUNTIFS(แปลงข้อมูล!H:H,Q254,แปลงข้อมูล!I:I,U254,แปลงข้อมูล!J:J,V254)&gt;0,SUMIFS(แปลงข้อมูล!Q:Q,แปลงข้อมูล!I:I,U254,แปลงข้อมูล!H:H,Q254,แปลงข้อมูล!J:J,V254),'mk 001 10.3'!Z255)</f>
        <v>0</v>
      </c>
      <c r="AA254">
        <f>'mk 001 10.3'!AA255</f>
        <v>0</v>
      </c>
      <c r="AB254">
        <f>'mk 001 10.3'!AB255</f>
        <v>0</v>
      </c>
      <c r="AC254">
        <f>'mk 001 10.3'!AC255</f>
        <v>0</v>
      </c>
      <c r="AD254">
        <f>'mk 001 10.3'!AD255</f>
        <v>0</v>
      </c>
      <c r="AE254">
        <f>'mk 001 10.3'!AE255</f>
        <v>0</v>
      </c>
      <c r="AF254">
        <f>'mk 001 10.3'!AF255</f>
        <v>0</v>
      </c>
      <c r="AG254">
        <f>'mk 001 10.3'!AG255</f>
        <v>0</v>
      </c>
      <c r="AH254">
        <f>'mk 001 10.3'!AH255</f>
        <v>0</v>
      </c>
      <c r="AI254">
        <f>'mk 001 10.3'!AI255</f>
        <v>0</v>
      </c>
      <c r="AJ254">
        <f>'mk 001 10.3'!AJ255</f>
        <v>0</v>
      </c>
      <c r="AK254">
        <f>'mk 001 10.3'!AK255</f>
        <v>0</v>
      </c>
      <c r="AL254">
        <f>'mk 001 10.3'!AL255</f>
        <v>0</v>
      </c>
      <c r="AM254">
        <f>'mk 001 10.3'!AM255</f>
        <v>0</v>
      </c>
      <c r="AN254">
        <f>'mk 001 10.3'!AN255</f>
        <v>0</v>
      </c>
      <c r="AO254">
        <f>'mk 001 10.3'!AO255</f>
        <v>0</v>
      </c>
      <c r="AP254">
        <f>'mk 001 10.3'!AP255</f>
        <v>0</v>
      </c>
      <c r="AQ254">
        <f>'mk 001 10.3'!AQ255</f>
        <v>0</v>
      </c>
      <c r="AR254">
        <f>'mk 001 10.3'!AR255</f>
        <v>0</v>
      </c>
      <c r="AS254">
        <f>'mk 001 10.3'!AS255</f>
        <v>0</v>
      </c>
      <c r="AT254">
        <f>'mk 001 10.3'!AT255</f>
        <v>0</v>
      </c>
      <c r="AU254">
        <f>'mk 001 10.3'!AU255</f>
        <v>0</v>
      </c>
      <c r="AV254">
        <f>'mk 001 10.3'!AV255</f>
        <v>0</v>
      </c>
      <c r="AW254">
        <f>'mk 001 10.3'!AW255</f>
        <v>0</v>
      </c>
      <c r="AX254">
        <f>'mk 001 10.3'!AX255</f>
        <v>0</v>
      </c>
      <c r="AY254">
        <f>'mk 001 10.3'!AY255</f>
        <v>0</v>
      </c>
      <c r="AZ254">
        <f>'mk 001 10.3'!AZ255</f>
        <v>0</v>
      </c>
      <c r="BA254" s="22">
        <f>'mk 001 10.3'!BA255</f>
        <v>0</v>
      </c>
      <c r="BB254">
        <f>'mk 001 10.3'!BB255</f>
        <v>0</v>
      </c>
      <c r="BC254">
        <f>'mk 001 10.3'!BC255</f>
        <v>0</v>
      </c>
      <c r="BD254">
        <f>'mk 001 10.3'!BD255</f>
        <v>0</v>
      </c>
      <c r="BE254">
        <f>'mk 001 10.3'!BE255</f>
        <v>0</v>
      </c>
      <c r="BF254">
        <f>'mk 001 10.3'!BF255</f>
        <v>0</v>
      </c>
      <c r="BG254">
        <f>'mk 001 10.3'!BG255</f>
        <v>0</v>
      </c>
      <c r="BH254">
        <f>'mk 001 10.3'!BH255</f>
        <v>0</v>
      </c>
      <c r="BI254">
        <f>'mk 001 10.3'!BI255</f>
        <v>0</v>
      </c>
      <c r="BJ254">
        <f>'mk 001 10.3'!BJ255</f>
        <v>0</v>
      </c>
      <c r="BK254">
        <f>'mk 001 10.3'!BK255</f>
        <v>0</v>
      </c>
      <c r="BL254">
        <f>'mk 001 10.3'!BL255</f>
        <v>0</v>
      </c>
      <c r="BM254">
        <f>'mk 001 10.3'!BM255</f>
        <v>0</v>
      </c>
      <c r="BN254">
        <f>'mk 001 10.3'!BN255</f>
        <v>0</v>
      </c>
    </row>
    <row r="255" spans="1:66" x14ac:dyDescent="0.35">
      <c r="A255">
        <f>'mk 001 10.3'!A256</f>
        <v>0</v>
      </c>
      <c r="B255">
        <f>'mk 001 10.3'!B256</f>
        <v>0</v>
      </c>
      <c r="C255" s="1">
        <f>'mk 001 10.3'!C256</f>
        <v>0</v>
      </c>
      <c r="D255" s="1">
        <f>'mk 001 10.3'!D256</f>
        <v>0</v>
      </c>
      <c r="E255">
        <f>'mk 001 10.3'!E256</f>
        <v>0</v>
      </c>
      <c r="F255">
        <f>'mk 001 10.3'!F256</f>
        <v>0</v>
      </c>
      <c r="G255">
        <f>'mk 001 10.3'!G256</f>
        <v>0</v>
      </c>
      <c r="H255">
        <f>'mk 001 10.3'!H256</f>
        <v>0</v>
      </c>
      <c r="I255">
        <f>'mk 001 10.3'!I256</f>
        <v>0</v>
      </c>
      <c r="J255">
        <f>'mk 001 10.3'!J256</f>
        <v>0</v>
      </c>
      <c r="K255">
        <f>'mk 001 10.3'!K256</f>
        <v>0</v>
      </c>
      <c r="L255">
        <f>'mk 001 10.3'!L256</f>
        <v>0</v>
      </c>
      <c r="M255">
        <f>'mk 001 10.3'!M256</f>
        <v>0</v>
      </c>
      <c r="N255">
        <f>'mk 001 10.3'!N256</f>
        <v>0</v>
      </c>
      <c r="O255">
        <f>'mk 001 10.3'!O256</f>
        <v>0</v>
      </c>
      <c r="P255">
        <f>'mk 001 10.3'!P256</f>
        <v>0</v>
      </c>
      <c r="Q255">
        <f>'mk 001 10.3'!Q256</f>
        <v>0</v>
      </c>
      <c r="R255" s="1">
        <f>'mk 001 10.3'!R256</f>
        <v>0</v>
      </c>
      <c r="S255" s="1">
        <f>'mk 001 10.3'!S256</f>
        <v>0</v>
      </c>
      <c r="T255">
        <f>'mk 001 10.3'!T256</f>
        <v>0</v>
      </c>
      <c r="U255">
        <f>'mk 001 10.3'!U256</f>
        <v>0</v>
      </c>
      <c r="V255">
        <f>'mk 001 10.3'!V256</f>
        <v>0</v>
      </c>
      <c r="W255">
        <f>'mk 001 10.3'!W256</f>
        <v>0</v>
      </c>
      <c r="X255">
        <f>'mk 001 10.3'!X256</f>
        <v>0</v>
      </c>
      <c r="Y255">
        <f t="shared" si="3"/>
        <v>0</v>
      </c>
      <c r="Z255" s="13">
        <f>IF(COUNTIFS(แปลงข้อมูล!H:H,Q255,แปลงข้อมูล!I:I,U255,แปลงข้อมูล!J:J,V255)&gt;0,SUMIFS(แปลงข้อมูล!Q:Q,แปลงข้อมูล!I:I,U255,แปลงข้อมูล!H:H,Q255,แปลงข้อมูล!J:J,V255),'mk 001 10.3'!Z256)</f>
        <v>0</v>
      </c>
      <c r="AA255">
        <f>'mk 001 10.3'!AA256</f>
        <v>0</v>
      </c>
      <c r="AB255">
        <f>'mk 001 10.3'!AB256</f>
        <v>0</v>
      </c>
      <c r="AC255">
        <f>'mk 001 10.3'!AC256</f>
        <v>0</v>
      </c>
      <c r="AD255">
        <f>'mk 001 10.3'!AD256</f>
        <v>0</v>
      </c>
      <c r="AE255">
        <f>'mk 001 10.3'!AE256</f>
        <v>0</v>
      </c>
      <c r="AF255">
        <f>'mk 001 10.3'!AF256</f>
        <v>0</v>
      </c>
      <c r="AG255">
        <f>'mk 001 10.3'!AG256</f>
        <v>0</v>
      </c>
      <c r="AH255">
        <f>'mk 001 10.3'!AH256</f>
        <v>0</v>
      </c>
      <c r="AI255">
        <f>'mk 001 10.3'!AI256</f>
        <v>0</v>
      </c>
      <c r="AJ255">
        <f>'mk 001 10.3'!AJ256</f>
        <v>0</v>
      </c>
      <c r="AK255">
        <f>'mk 001 10.3'!AK256</f>
        <v>0</v>
      </c>
      <c r="AL255">
        <f>'mk 001 10.3'!AL256</f>
        <v>0</v>
      </c>
      <c r="AM255">
        <f>'mk 001 10.3'!AM256</f>
        <v>0</v>
      </c>
      <c r="AN255">
        <f>'mk 001 10.3'!AN256</f>
        <v>0</v>
      </c>
      <c r="AO255">
        <f>'mk 001 10.3'!AO256</f>
        <v>0</v>
      </c>
      <c r="AP255">
        <f>'mk 001 10.3'!AP256</f>
        <v>0</v>
      </c>
      <c r="AQ255">
        <f>'mk 001 10.3'!AQ256</f>
        <v>0</v>
      </c>
      <c r="AR255">
        <f>'mk 001 10.3'!AR256</f>
        <v>0</v>
      </c>
      <c r="AS255">
        <f>'mk 001 10.3'!AS256</f>
        <v>0</v>
      </c>
      <c r="AT255">
        <f>'mk 001 10.3'!AT256</f>
        <v>0</v>
      </c>
      <c r="AU255">
        <f>'mk 001 10.3'!AU256</f>
        <v>0</v>
      </c>
      <c r="AV255">
        <f>'mk 001 10.3'!AV256</f>
        <v>0</v>
      </c>
      <c r="AW255">
        <f>'mk 001 10.3'!AW256</f>
        <v>0</v>
      </c>
      <c r="AX255">
        <f>'mk 001 10.3'!AX256</f>
        <v>0</v>
      </c>
      <c r="AY255">
        <f>'mk 001 10.3'!AY256</f>
        <v>0</v>
      </c>
      <c r="AZ255">
        <f>'mk 001 10.3'!AZ256</f>
        <v>0</v>
      </c>
      <c r="BA255" s="22">
        <f>'mk 001 10.3'!BA256</f>
        <v>0</v>
      </c>
      <c r="BB255">
        <f>'mk 001 10.3'!BB256</f>
        <v>0</v>
      </c>
      <c r="BC255">
        <f>'mk 001 10.3'!BC256</f>
        <v>0</v>
      </c>
      <c r="BD255">
        <f>'mk 001 10.3'!BD256</f>
        <v>0</v>
      </c>
      <c r="BE255">
        <f>'mk 001 10.3'!BE256</f>
        <v>0</v>
      </c>
      <c r="BF255">
        <f>'mk 001 10.3'!BF256</f>
        <v>0</v>
      </c>
      <c r="BG255">
        <f>'mk 001 10.3'!BG256</f>
        <v>0</v>
      </c>
      <c r="BH255">
        <f>'mk 001 10.3'!BH256</f>
        <v>0</v>
      </c>
      <c r="BI255">
        <f>'mk 001 10.3'!BI256</f>
        <v>0</v>
      </c>
      <c r="BJ255">
        <f>'mk 001 10.3'!BJ256</f>
        <v>0</v>
      </c>
      <c r="BK255">
        <f>'mk 001 10.3'!BK256</f>
        <v>0</v>
      </c>
      <c r="BL255">
        <f>'mk 001 10.3'!BL256</f>
        <v>0</v>
      </c>
      <c r="BM255">
        <f>'mk 001 10.3'!BM256</f>
        <v>0</v>
      </c>
      <c r="BN255">
        <f>'mk 001 10.3'!BN256</f>
        <v>0</v>
      </c>
    </row>
    <row r="256" spans="1:66" x14ac:dyDescent="0.35">
      <c r="A256">
        <f>'mk 001 10.3'!A257</f>
        <v>0</v>
      </c>
      <c r="B256">
        <f>'mk 001 10.3'!B257</f>
        <v>0</v>
      </c>
      <c r="C256" s="1">
        <f>'mk 001 10.3'!C257</f>
        <v>0</v>
      </c>
      <c r="D256" s="1">
        <f>'mk 001 10.3'!D257</f>
        <v>0</v>
      </c>
      <c r="E256">
        <f>'mk 001 10.3'!E257</f>
        <v>0</v>
      </c>
      <c r="F256">
        <f>'mk 001 10.3'!F257</f>
        <v>0</v>
      </c>
      <c r="G256">
        <f>'mk 001 10.3'!G257</f>
        <v>0</v>
      </c>
      <c r="H256">
        <f>'mk 001 10.3'!H257</f>
        <v>0</v>
      </c>
      <c r="I256">
        <f>'mk 001 10.3'!I257</f>
        <v>0</v>
      </c>
      <c r="J256">
        <f>'mk 001 10.3'!J257</f>
        <v>0</v>
      </c>
      <c r="K256">
        <f>'mk 001 10.3'!K257</f>
        <v>0</v>
      </c>
      <c r="L256">
        <f>'mk 001 10.3'!L257</f>
        <v>0</v>
      </c>
      <c r="M256">
        <f>'mk 001 10.3'!M257</f>
        <v>0</v>
      </c>
      <c r="N256">
        <f>'mk 001 10.3'!N257</f>
        <v>0</v>
      </c>
      <c r="O256">
        <f>'mk 001 10.3'!O257</f>
        <v>0</v>
      </c>
      <c r="P256">
        <f>'mk 001 10.3'!P257</f>
        <v>0</v>
      </c>
      <c r="Q256">
        <f>'mk 001 10.3'!Q257</f>
        <v>0</v>
      </c>
      <c r="R256" s="1">
        <f>'mk 001 10.3'!R257</f>
        <v>0</v>
      </c>
      <c r="S256" s="1">
        <f>'mk 001 10.3'!S257</f>
        <v>0</v>
      </c>
      <c r="T256">
        <f>'mk 001 10.3'!T257</f>
        <v>0</v>
      </c>
      <c r="U256">
        <f>'mk 001 10.3'!U257</f>
        <v>0</v>
      </c>
      <c r="V256">
        <f>'mk 001 10.3'!V257</f>
        <v>0</v>
      </c>
      <c r="W256">
        <f>'mk 001 10.3'!W257</f>
        <v>0</v>
      </c>
      <c r="X256">
        <f>'mk 001 10.3'!X257</f>
        <v>0</v>
      </c>
      <c r="Y256">
        <f t="shared" si="3"/>
        <v>0</v>
      </c>
      <c r="Z256" s="13">
        <f>IF(COUNTIFS(แปลงข้อมูล!H:H,Q256,แปลงข้อมูล!I:I,U256,แปลงข้อมูล!J:J,V256)&gt;0,SUMIFS(แปลงข้อมูล!Q:Q,แปลงข้อมูล!I:I,U256,แปลงข้อมูล!H:H,Q256,แปลงข้อมูล!J:J,V256),'mk 001 10.3'!Z257)</f>
        <v>0</v>
      </c>
      <c r="AA256">
        <f>'mk 001 10.3'!AA257</f>
        <v>0</v>
      </c>
      <c r="AB256">
        <f>'mk 001 10.3'!AB257</f>
        <v>0</v>
      </c>
      <c r="AC256">
        <f>'mk 001 10.3'!AC257</f>
        <v>0</v>
      </c>
      <c r="AD256">
        <f>'mk 001 10.3'!AD257</f>
        <v>0</v>
      </c>
      <c r="AE256">
        <f>'mk 001 10.3'!AE257</f>
        <v>0</v>
      </c>
      <c r="AF256">
        <f>'mk 001 10.3'!AF257</f>
        <v>0</v>
      </c>
      <c r="AG256">
        <f>'mk 001 10.3'!AG257</f>
        <v>0</v>
      </c>
      <c r="AH256">
        <f>'mk 001 10.3'!AH257</f>
        <v>0</v>
      </c>
      <c r="AI256">
        <f>'mk 001 10.3'!AI257</f>
        <v>0</v>
      </c>
      <c r="AJ256">
        <f>'mk 001 10.3'!AJ257</f>
        <v>0</v>
      </c>
      <c r="AK256">
        <f>'mk 001 10.3'!AK257</f>
        <v>0</v>
      </c>
      <c r="AL256">
        <f>'mk 001 10.3'!AL257</f>
        <v>0</v>
      </c>
      <c r="AM256">
        <f>'mk 001 10.3'!AM257</f>
        <v>0</v>
      </c>
      <c r="AN256">
        <f>'mk 001 10.3'!AN257</f>
        <v>0</v>
      </c>
      <c r="AO256">
        <f>'mk 001 10.3'!AO257</f>
        <v>0</v>
      </c>
      <c r="AP256">
        <f>'mk 001 10.3'!AP257</f>
        <v>0</v>
      </c>
      <c r="AQ256">
        <f>'mk 001 10.3'!AQ257</f>
        <v>0</v>
      </c>
      <c r="AR256">
        <f>'mk 001 10.3'!AR257</f>
        <v>0</v>
      </c>
      <c r="AS256">
        <f>'mk 001 10.3'!AS257</f>
        <v>0</v>
      </c>
      <c r="AT256">
        <f>'mk 001 10.3'!AT257</f>
        <v>0</v>
      </c>
      <c r="AU256">
        <f>'mk 001 10.3'!AU257</f>
        <v>0</v>
      </c>
      <c r="AV256">
        <f>'mk 001 10.3'!AV257</f>
        <v>0</v>
      </c>
      <c r="AW256">
        <f>'mk 001 10.3'!AW257</f>
        <v>0</v>
      </c>
      <c r="AX256">
        <f>'mk 001 10.3'!AX257</f>
        <v>0</v>
      </c>
      <c r="AY256">
        <f>'mk 001 10.3'!AY257</f>
        <v>0</v>
      </c>
      <c r="AZ256">
        <f>'mk 001 10.3'!AZ257</f>
        <v>0</v>
      </c>
      <c r="BA256" s="22">
        <f>'mk 001 10.3'!BA257</f>
        <v>0</v>
      </c>
      <c r="BB256">
        <f>'mk 001 10.3'!BB257</f>
        <v>0</v>
      </c>
      <c r="BC256">
        <f>'mk 001 10.3'!BC257</f>
        <v>0</v>
      </c>
      <c r="BD256">
        <f>'mk 001 10.3'!BD257</f>
        <v>0</v>
      </c>
      <c r="BE256">
        <f>'mk 001 10.3'!BE257</f>
        <v>0</v>
      </c>
      <c r="BF256">
        <f>'mk 001 10.3'!BF257</f>
        <v>0</v>
      </c>
      <c r="BG256">
        <f>'mk 001 10.3'!BG257</f>
        <v>0</v>
      </c>
      <c r="BH256">
        <f>'mk 001 10.3'!BH257</f>
        <v>0</v>
      </c>
      <c r="BI256">
        <f>'mk 001 10.3'!BI257</f>
        <v>0</v>
      </c>
      <c r="BJ256">
        <f>'mk 001 10.3'!BJ257</f>
        <v>0</v>
      </c>
      <c r="BK256">
        <f>'mk 001 10.3'!BK257</f>
        <v>0</v>
      </c>
      <c r="BL256">
        <f>'mk 001 10.3'!BL257</f>
        <v>0</v>
      </c>
      <c r="BM256">
        <f>'mk 001 10.3'!BM257</f>
        <v>0</v>
      </c>
      <c r="BN256">
        <f>'mk 001 10.3'!BN257</f>
        <v>0</v>
      </c>
    </row>
    <row r="257" spans="1:66" x14ac:dyDescent="0.35">
      <c r="A257">
        <f>'mk 001 10.3'!A258</f>
        <v>0</v>
      </c>
      <c r="B257">
        <f>'mk 001 10.3'!B258</f>
        <v>0</v>
      </c>
      <c r="C257" s="1">
        <f>'mk 001 10.3'!C258</f>
        <v>0</v>
      </c>
      <c r="D257" s="1">
        <f>'mk 001 10.3'!D258</f>
        <v>0</v>
      </c>
      <c r="E257">
        <f>'mk 001 10.3'!E258</f>
        <v>0</v>
      </c>
      <c r="F257">
        <f>'mk 001 10.3'!F258</f>
        <v>0</v>
      </c>
      <c r="G257">
        <f>'mk 001 10.3'!G258</f>
        <v>0</v>
      </c>
      <c r="H257">
        <f>'mk 001 10.3'!H258</f>
        <v>0</v>
      </c>
      <c r="I257">
        <f>'mk 001 10.3'!I258</f>
        <v>0</v>
      </c>
      <c r="J257">
        <f>'mk 001 10.3'!J258</f>
        <v>0</v>
      </c>
      <c r="K257">
        <f>'mk 001 10.3'!K258</f>
        <v>0</v>
      </c>
      <c r="L257">
        <f>'mk 001 10.3'!L258</f>
        <v>0</v>
      </c>
      <c r="M257">
        <f>'mk 001 10.3'!M258</f>
        <v>0</v>
      </c>
      <c r="N257">
        <f>'mk 001 10.3'!N258</f>
        <v>0</v>
      </c>
      <c r="O257">
        <f>'mk 001 10.3'!O258</f>
        <v>0</v>
      </c>
      <c r="P257">
        <f>'mk 001 10.3'!P258</f>
        <v>0</v>
      </c>
      <c r="Q257">
        <f>'mk 001 10.3'!Q258</f>
        <v>0</v>
      </c>
      <c r="R257" s="1">
        <f>'mk 001 10.3'!R258</f>
        <v>0</v>
      </c>
      <c r="S257" s="1">
        <f>'mk 001 10.3'!S258</f>
        <v>0</v>
      </c>
      <c r="T257">
        <f>'mk 001 10.3'!T258</f>
        <v>0</v>
      </c>
      <c r="U257">
        <f>'mk 001 10.3'!U258</f>
        <v>0</v>
      </c>
      <c r="V257">
        <f>'mk 001 10.3'!V258</f>
        <v>0</v>
      </c>
      <c r="W257">
        <f>'mk 001 10.3'!W258</f>
        <v>0</v>
      </c>
      <c r="X257">
        <f>'mk 001 10.3'!X258</f>
        <v>0</v>
      </c>
      <c r="Y257">
        <f t="shared" si="3"/>
        <v>0</v>
      </c>
      <c r="Z257" s="13">
        <f>IF(COUNTIFS(แปลงข้อมูล!H:H,Q257,แปลงข้อมูล!I:I,U257,แปลงข้อมูล!J:J,V257)&gt;0,SUMIFS(แปลงข้อมูล!Q:Q,แปลงข้อมูล!I:I,U257,แปลงข้อมูล!H:H,Q257,แปลงข้อมูล!J:J,V257),'mk 001 10.3'!Z258)</f>
        <v>0</v>
      </c>
      <c r="AA257">
        <f>'mk 001 10.3'!AA258</f>
        <v>0</v>
      </c>
      <c r="AB257">
        <f>'mk 001 10.3'!AB258</f>
        <v>0</v>
      </c>
      <c r="AC257">
        <f>'mk 001 10.3'!AC258</f>
        <v>0</v>
      </c>
      <c r="AD257">
        <f>'mk 001 10.3'!AD258</f>
        <v>0</v>
      </c>
      <c r="AE257">
        <f>'mk 001 10.3'!AE258</f>
        <v>0</v>
      </c>
      <c r="AF257">
        <f>'mk 001 10.3'!AF258</f>
        <v>0</v>
      </c>
      <c r="AG257">
        <f>'mk 001 10.3'!AG258</f>
        <v>0</v>
      </c>
      <c r="AH257">
        <f>'mk 001 10.3'!AH258</f>
        <v>0</v>
      </c>
      <c r="AI257">
        <f>'mk 001 10.3'!AI258</f>
        <v>0</v>
      </c>
      <c r="AJ257">
        <f>'mk 001 10.3'!AJ258</f>
        <v>0</v>
      </c>
      <c r="AK257">
        <f>'mk 001 10.3'!AK258</f>
        <v>0</v>
      </c>
      <c r="AL257">
        <f>'mk 001 10.3'!AL258</f>
        <v>0</v>
      </c>
      <c r="AM257">
        <f>'mk 001 10.3'!AM258</f>
        <v>0</v>
      </c>
      <c r="AN257">
        <f>'mk 001 10.3'!AN258</f>
        <v>0</v>
      </c>
      <c r="AO257">
        <f>'mk 001 10.3'!AO258</f>
        <v>0</v>
      </c>
      <c r="AP257">
        <f>'mk 001 10.3'!AP258</f>
        <v>0</v>
      </c>
      <c r="AQ257">
        <f>'mk 001 10.3'!AQ258</f>
        <v>0</v>
      </c>
      <c r="AR257">
        <f>'mk 001 10.3'!AR258</f>
        <v>0</v>
      </c>
      <c r="AS257">
        <f>'mk 001 10.3'!AS258</f>
        <v>0</v>
      </c>
      <c r="AT257">
        <f>'mk 001 10.3'!AT258</f>
        <v>0</v>
      </c>
      <c r="AU257">
        <f>'mk 001 10.3'!AU258</f>
        <v>0</v>
      </c>
      <c r="AV257">
        <f>'mk 001 10.3'!AV258</f>
        <v>0</v>
      </c>
      <c r="AW257">
        <f>'mk 001 10.3'!AW258</f>
        <v>0</v>
      </c>
      <c r="AX257">
        <f>'mk 001 10.3'!AX258</f>
        <v>0</v>
      </c>
      <c r="AY257">
        <f>'mk 001 10.3'!AY258</f>
        <v>0</v>
      </c>
      <c r="AZ257">
        <f>'mk 001 10.3'!AZ258</f>
        <v>0</v>
      </c>
      <c r="BA257" s="22">
        <f>'mk 001 10.3'!BA258</f>
        <v>0</v>
      </c>
      <c r="BB257">
        <f>'mk 001 10.3'!BB258</f>
        <v>0</v>
      </c>
      <c r="BC257">
        <f>'mk 001 10.3'!BC258</f>
        <v>0</v>
      </c>
      <c r="BD257">
        <f>'mk 001 10.3'!BD258</f>
        <v>0</v>
      </c>
      <c r="BE257">
        <f>'mk 001 10.3'!BE258</f>
        <v>0</v>
      </c>
      <c r="BF257">
        <f>'mk 001 10.3'!BF258</f>
        <v>0</v>
      </c>
      <c r="BG257">
        <f>'mk 001 10.3'!BG258</f>
        <v>0</v>
      </c>
      <c r="BH257">
        <f>'mk 001 10.3'!BH258</f>
        <v>0</v>
      </c>
      <c r="BI257">
        <f>'mk 001 10.3'!BI258</f>
        <v>0</v>
      </c>
      <c r="BJ257">
        <f>'mk 001 10.3'!BJ258</f>
        <v>0</v>
      </c>
      <c r="BK257">
        <f>'mk 001 10.3'!BK258</f>
        <v>0</v>
      </c>
      <c r="BL257">
        <f>'mk 001 10.3'!BL258</f>
        <v>0</v>
      </c>
      <c r="BM257">
        <f>'mk 001 10.3'!BM258</f>
        <v>0</v>
      </c>
      <c r="BN257">
        <f>'mk 001 10.3'!BN258</f>
        <v>0</v>
      </c>
    </row>
    <row r="258" spans="1:66" x14ac:dyDescent="0.35">
      <c r="A258">
        <f>'mk 001 10.3'!A259</f>
        <v>0</v>
      </c>
      <c r="B258">
        <f>'mk 001 10.3'!B259</f>
        <v>0</v>
      </c>
      <c r="C258" s="1">
        <f>'mk 001 10.3'!C259</f>
        <v>0</v>
      </c>
      <c r="D258" s="1">
        <f>'mk 001 10.3'!D259</f>
        <v>0</v>
      </c>
      <c r="E258">
        <f>'mk 001 10.3'!E259</f>
        <v>0</v>
      </c>
      <c r="F258">
        <f>'mk 001 10.3'!F259</f>
        <v>0</v>
      </c>
      <c r="G258">
        <f>'mk 001 10.3'!G259</f>
        <v>0</v>
      </c>
      <c r="H258">
        <f>'mk 001 10.3'!H259</f>
        <v>0</v>
      </c>
      <c r="I258">
        <f>'mk 001 10.3'!I259</f>
        <v>0</v>
      </c>
      <c r="J258">
        <f>'mk 001 10.3'!J259</f>
        <v>0</v>
      </c>
      <c r="K258">
        <f>'mk 001 10.3'!K259</f>
        <v>0</v>
      </c>
      <c r="L258">
        <f>'mk 001 10.3'!L259</f>
        <v>0</v>
      </c>
      <c r="M258">
        <f>'mk 001 10.3'!M259</f>
        <v>0</v>
      </c>
      <c r="N258">
        <f>'mk 001 10.3'!N259</f>
        <v>0</v>
      </c>
      <c r="O258">
        <f>'mk 001 10.3'!O259</f>
        <v>0</v>
      </c>
      <c r="P258">
        <f>'mk 001 10.3'!P259</f>
        <v>0</v>
      </c>
      <c r="Q258">
        <f>'mk 001 10.3'!Q259</f>
        <v>0</v>
      </c>
      <c r="R258" s="1">
        <f>'mk 001 10.3'!R259</f>
        <v>0</v>
      </c>
      <c r="S258" s="1">
        <f>'mk 001 10.3'!S259</f>
        <v>0</v>
      </c>
      <c r="T258">
        <f>'mk 001 10.3'!T259</f>
        <v>0</v>
      </c>
      <c r="U258">
        <f>'mk 001 10.3'!U259</f>
        <v>0</v>
      </c>
      <c r="V258">
        <f>'mk 001 10.3'!V259</f>
        <v>0</v>
      </c>
      <c r="W258">
        <f>'mk 001 10.3'!W259</f>
        <v>0</v>
      </c>
      <c r="X258">
        <f>'mk 001 10.3'!X259</f>
        <v>0</v>
      </c>
      <c r="Y258">
        <f t="shared" si="3"/>
        <v>0</v>
      </c>
      <c r="Z258" s="13">
        <f>IF(COUNTIFS(แปลงข้อมูล!H:H,Q258,แปลงข้อมูล!I:I,U258,แปลงข้อมูล!J:J,V258)&gt;0,SUMIFS(แปลงข้อมูล!Q:Q,แปลงข้อมูล!I:I,U258,แปลงข้อมูล!H:H,Q258,แปลงข้อมูล!J:J,V258),'mk 001 10.3'!Z259)</f>
        <v>0</v>
      </c>
      <c r="AA258">
        <f>'mk 001 10.3'!AA259</f>
        <v>0</v>
      </c>
      <c r="AB258">
        <f>'mk 001 10.3'!AB259</f>
        <v>0</v>
      </c>
      <c r="AC258">
        <f>'mk 001 10.3'!AC259</f>
        <v>0</v>
      </c>
      <c r="AD258">
        <f>'mk 001 10.3'!AD259</f>
        <v>0</v>
      </c>
      <c r="AE258">
        <f>'mk 001 10.3'!AE259</f>
        <v>0</v>
      </c>
      <c r="AF258">
        <f>'mk 001 10.3'!AF259</f>
        <v>0</v>
      </c>
      <c r="AG258">
        <f>'mk 001 10.3'!AG259</f>
        <v>0</v>
      </c>
      <c r="AH258">
        <f>'mk 001 10.3'!AH259</f>
        <v>0</v>
      </c>
      <c r="AI258">
        <f>'mk 001 10.3'!AI259</f>
        <v>0</v>
      </c>
      <c r="AJ258">
        <f>'mk 001 10.3'!AJ259</f>
        <v>0</v>
      </c>
      <c r="AK258">
        <f>'mk 001 10.3'!AK259</f>
        <v>0</v>
      </c>
      <c r="AL258">
        <f>'mk 001 10.3'!AL259</f>
        <v>0</v>
      </c>
      <c r="AM258">
        <f>'mk 001 10.3'!AM259</f>
        <v>0</v>
      </c>
      <c r="AN258">
        <f>'mk 001 10.3'!AN259</f>
        <v>0</v>
      </c>
      <c r="AO258">
        <f>'mk 001 10.3'!AO259</f>
        <v>0</v>
      </c>
      <c r="AP258">
        <f>'mk 001 10.3'!AP259</f>
        <v>0</v>
      </c>
      <c r="AQ258">
        <f>'mk 001 10.3'!AQ259</f>
        <v>0</v>
      </c>
      <c r="AR258">
        <f>'mk 001 10.3'!AR259</f>
        <v>0</v>
      </c>
      <c r="AS258">
        <f>'mk 001 10.3'!AS259</f>
        <v>0</v>
      </c>
      <c r="AT258">
        <f>'mk 001 10.3'!AT259</f>
        <v>0</v>
      </c>
      <c r="AU258">
        <f>'mk 001 10.3'!AU259</f>
        <v>0</v>
      </c>
      <c r="AV258">
        <f>'mk 001 10.3'!AV259</f>
        <v>0</v>
      </c>
      <c r="AW258">
        <f>'mk 001 10.3'!AW259</f>
        <v>0</v>
      </c>
      <c r="AX258">
        <f>'mk 001 10.3'!AX259</f>
        <v>0</v>
      </c>
      <c r="AY258">
        <f>'mk 001 10.3'!AY259</f>
        <v>0</v>
      </c>
      <c r="AZ258">
        <f>'mk 001 10.3'!AZ259</f>
        <v>0</v>
      </c>
      <c r="BA258" s="22">
        <f>'mk 001 10.3'!BA259</f>
        <v>0</v>
      </c>
      <c r="BB258">
        <f>'mk 001 10.3'!BB259</f>
        <v>0</v>
      </c>
      <c r="BC258">
        <f>'mk 001 10.3'!BC259</f>
        <v>0</v>
      </c>
      <c r="BD258">
        <f>'mk 001 10.3'!BD259</f>
        <v>0</v>
      </c>
      <c r="BE258">
        <f>'mk 001 10.3'!BE259</f>
        <v>0</v>
      </c>
      <c r="BF258">
        <f>'mk 001 10.3'!BF259</f>
        <v>0</v>
      </c>
      <c r="BG258">
        <f>'mk 001 10.3'!BG259</f>
        <v>0</v>
      </c>
      <c r="BH258">
        <f>'mk 001 10.3'!BH259</f>
        <v>0</v>
      </c>
      <c r="BI258">
        <f>'mk 001 10.3'!BI259</f>
        <v>0</v>
      </c>
      <c r="BJ258">
        <f>'mk 001 10.3'!BJ259</f>
        <v>0</v>
      </c>
      <c r="BK258">
        <f>'mk 001 10.3'!BK259</f>
        <v>0</v>
      </c>
      <c r="BL258">
        <f>'mk 001 10.3'!BL259</f>
        <v>0</v>
      </c>
      <c r="BM258">
        <f>'mk 001 10.3'!BM259</f>
        <v>0</v>
      </c>
      <c r="BN258">
        <f>'mk 001 10.3'!BN259</f>
        <v>0</v>
      </c>
    </row>
    <row r="259" spans="1:66" x14ac:dyDescent="0.35">
      <c r="A259">
        <f>'mk 001 10.3'!A260</f>
        <v>0</v>
      </c>
      <c r="B259">
        <f>'mk 001 10.3'!B260</f>
        <v>0</v>
      </c>
      <c r="C259" s="1">
        <f>'mk 001 10.3'!C260</f>
        <v>0</v>
      </c>
      <c r="D259" s="1">
        <f>'mk 001 10.3'!D260</f>
        <v>0</v>
      </c>
      <c r="E259">
        <f>'mk 001 10.3'!E260</f>
        <v>0</v>
      </c>
      <c r="F259">
        <f>'mk 001 10.3'!F260</f>
        <v>0</v>
      </c>
      <c r="G259">
        <f>'mk 001 10.3'!G260</f>
        <v>0</v>
      </c>
      <c r="H259">
        <f>'mk 001 10.3'!H260</f>
        <v>0</v>
      </c>
      <c r="I259">
        <f>'mk 001 10.3'!I260</f>
        <v>0</v>
      </c>
      <c r="J259">
        <f>'mk 001 10.3'!J260</f>
        <v>0</v>
      </c>
      <c r="K259">
        <f>'mk 001 10.3'!K260</f>
        <v>0</v>
      </c>
      <c r="L259">
        <f>'mk 001 10.3'!L260</f>
        <v>0</v>
      </c>
      <c r="M259">
        <f>'mk 001 10.3'!M260</f>
        <v>0</v>
      </c>
      <c r="N259">
        <f>'mk 001 10.3'!N260</f>
        <v>0</v>
      </c>
      <c r="O259">
        <f>'mk 001 10.3'!O260</f>
        <v>0</v>
      </c>
      <c r="P259">
        <f>'mk 001 10.3'!P260</f>
        <v>0</v>
      </c>
      <c r="Q259">
        <f>'mk 001 10.3'!Q260</f>
        <v>0</v>
      </c>
      <c r="R259" s="1">
        <f>'mk 001 10.3'!R260</f>
        <v>0</v>
      </c>
      <c r="S259" s="1">
        <f>'mk 001 10.3'!S260</f>
        <v>0</v>
      </c>
      <c r="T259">
        <f>'mk 001 10.3'!T260</f>
        <v>0</v>
      </c>
      <c r="U259">
        <f>'mk 001 10.3'!U260</f>
        <v>0</v>
      </c>
      <c r="V259">
        <f>'mk 001 10.3'!V260</f>
        <v>0</v>
      </c>
      <c r="W259">
        <f>'mk 001 10.3'!W260</f>
        <v>0</v>
      </c>
      <c r="X259">
        <f>'mk 001 10.3'!X260</f>
        <v>0</v>
      </c>
      <c r="Y259">
        <f t="shared" ref="Y259:Y322" si="4">IFERROR(W259*Z259/X259,0)</f>
        <v>0</v>
      </c>
      <c r="Z259" s="13">
        <f>IF(COUNTIFS(แปลงข้อมูล!H:H,Q259,แปลงข้อมูล!I:I,U259,แปลงข้อมูล!J:J,V259)&gt;0,SUMIFS(แปลงข้อมูล!Q:Q,แปลงข้อมูล!I:I,U259,แปลงข้อมูล!H:H,Q259,แปลงข้อมูล!J:J,V259),'mk 001 10.3'!Z260)</f>
        <v>0</v>
      </c>
      <c r="AA259">
        <f>'mk 001 10.3'!AA260</f>
        <v>0</v>
      </c>
      <c r="AB259">
        <f>'mk 001 10.3'!AB260</f>
        <v>0</v>
      </c>
      <c r="AC259">
        <f>'mk 001 10.3'!AC260</f>
        <v>0</v>
      </c>
      <c r="AD259">
        <f>'mk 001 10.3'!AD260</f>
        <v>0</v>
      </c>
      <c r="AE259">
        <f>'mk 001 10.3'!AE260</f>
        <v>0</v>
      </c>
      <c r="AF259">
        <f>'mk 001 10.3'!AF260</f>
        <v>0</v>
      </c>
      <c r="AG259">
        <f>'mk 001 10.3'!AG260</f>
        <v>0</v>
      </c>
      <c r="AH259">
        <f>'mk 001 10.3'!AH260</f>
        <v>0</v>
      </c>
      <c r="AI259">
        <f>'mk 001 10.3'!AI260</f>
        <v>0</v>
      </c>
      <c r="AJ259">
        <f>'mk 001 10.3'!AJ260</f>
        <v>0</v>
      </c>
      <c r="AK259">
        <f>'mk 001 10.3'!AK260</f>
        <v>0</v>
      </c>
      <c r="AL259">
        <f>'mk 001 10.3'!AL260</f>
        <v>0</v>
      </c>
      <c r="AM259">
        <f>'mk 001 10.3'!AM260</f>
        <v>0</v>
      </c>
      <c r="AN259">
        <f>'mk 001 10.3'!AN260</f>
        <v>0</v>
      </c>
      <c r="AO259">
        <f>'mk 001 10.3'!AO260</f>
        <v>0</v>
      </c>
      <c r="AP259">
        <f>'mk 001 10.3'!AP260</f>
        <v>0</v>
      </c>
      <c r="AQ259">
        <f>'mk 001 10.3'!AQ260</f>
        <v>0</v>
      </c>
      <c r="AR259">
        <f>'mk 001 10.3'!AR260</f>
        <v>0</v>
      </c>
      <c r="AS259">
        <f>'mk 001 10.3'!AS260</f>
        <v>0</v>
      </c>
      <c r="AT259">
        <f>'mk 001 10.3'!AT260</f>
        <v>0</v>
      </c>
      <c r="AU259">
        <f>'mk 001 10.3'!AU260</f>
        <v>0</v>
      </c>
      <c r="AV259">
        <f>'mk 001 10.3'!AV260</f>
        <v>0</v>
      </c>
      <c r="AW259">
        <f>'mk 001 10.3'!AW260</f>
        <v>0</v>
      </c>
      <c r="AX259">
        <f>'mk 001 10.3'!AX260</f>
        <v>0</v>
      </c>
      <c r="AY259">
        <f>'mk 001 10.3'!AY260</f>
        <v>0</v>
      </c>
      <c r="AZ259">
        <f>'mk 001 10.3'!AZ260</f>
        <v>0</v>
      </c>
      <c r="BA259" s="22">
        <f>'mk 001 10.3'!BA260</f>
        <v>0</v>
      </c>
      <c r="BB259">
        <f>'mk 001 10.3'!BB260</f>
        <v>0</v>
      </c>
      <c r="BC259">
        <f>'mk 001 10.3'!BC260</f>
        <v>0</v>
      </c>
      <c r="BD259">
        <f>'mk 001 10.3'!BD260</f>
        <v>0</v>
      </c>
      <c r="BE259">
        <f>'mk 001 10.3'!BE260</f>
        <v>0</v>
      </c>
      <c r="BF259">
        <f>'mk 001 10.3'!BF260</f>
        <v>0</v>
      </c>
      <c r="BG259">
        <f>'mk 001 10.3'!BG260</f>
        <v>0</v>
      </c>
      <c r="BH259">
        <f>'mk 001 10.3'!BH260</f>
        <v>0</v>
      </c>
      <c r="BI259">
        <f>'mk 001 10.3'!BI260</f>
        <v>0</v>
      </c>
      <c r="BJ259">
        <f>'mk 001 10.3'!BJ260</f>
        <v>0</v>
      </c>
      <c r="BK259">
        <f>'mk 001 10.3'!BK260</f>
        <v>0</v>
      </c>
      <c r="BL259">
        <f>'mk 001 10.3'!BL260</f>
        <v>0</v>
      </c>
      <c r="BM259">
        <f>'mk 001 10.3'!BM260</f>
        <v>0</v>
      </c>
      <c r="BN259">
        <f>'mk 001 10.3'!BN260</f>
        <v>0</v>
      </c>
    </row>
    <row r="260" spans="1:66" x14ac:dyDescent="0.35">
      <c r="A260">
        <f>'mk 001 10.3'!A261</f>
        <v>0</v>
      </c>
      <c r="B260">
        <f>'mk 001 10.3'!B261</f>
        <v>0</v>
      </c>
      <c r="C260" s="1">
        <f>'mk 001 10.3'!C261</f>
        <v>0</v>
      </c>
      <c r="D260" s="1">
        <f>'mk 001 10.3'!D261</f>
        <v>0</v>
      </c>
      <c r="E260">
        <f>'mk 001 10.3'!E261</f>
        <v>0</v>
      </c>
      <c r="F260">
        <f>'mk 001 10.3'!F261</f>
        <v>0</v>
      </c>
      <c r="G260">
        <f>'mk 001 10.3'!G261</f>
        <v>0</v>
      </c>
      <c r="H260">
        <f>'mk 001 10.3'!H261</f>
        <v>0</v>
      </c>
      <c r="I260">
        <f>'mk 001 10.3'!I261</f>
        <v>0</v>
      </c>
      <c r="J260">
        <f>'mk 001 10.3'!J261</f>
        <v>0</v>
      </c>
      <c r="K260">
        <f>'mk 001 10.3'!K261</f>
        <v>0</v>
      </c>
      <c r="L260">
        <f>'mk 001 10.3'!L261</f>
        <v>0</v>
      </c>
      <c r="M260">
        <f>'mk 001 10.3'!M261</f>
        <v>0</v>
      </c>
      <c r="N260">
        <f>'mk 001 10.3'!N261</f>
        <v>0</v>
      </c>
      <c r="O260">
        <f>'mk 001 10.3'!O261</f>
        <v>0</v>
      </c>
      <c r="P260">
        <f>'mk 001 10.3'!P261</f>
        <v>0</v>
      </c>
      <c r="Q260">
        <f>'mk 001 10.3'!Q261</f>
        <v>0</v>
      </c>
      <c r="R260" s="1">
        <f>'mk 001 10.3'!R261</f>
        <v>0</v>
      </c>
      <c r="S260" s="1">
        <f>'mk 001 10.3'!S261</f>
        <v>0</v>
      </c>
      <c r="T260">
        <f>'mk 001 10.3'!T261</f>
        <v>0</v>
      </c>
      <c r="U260">
        <f>'mk 001 10.3'!U261</f>
        <v>0</v>
      </c>
      <c r="V260">
        <f>'mk 001 10.3'!V261</f>
        <v>0</v>
      </c>
      <c r="W260">
        <f>'mk 001 10.3'!W261</f>
        <v>0</v>
      </c>
      <c r="X260">
        <f>'mk 001 10.3'!X261</f>
        <v>0</v>
      </c>
      <c r="Y260">
        <f t="shared" si="4"/>
        <v>0</v>
      </c>
      <c r="Z260" s="13">
        <f>IF(COUNTIFS(แปลงข้อมูล!H:H,Q260,แปลงข้อมูล!I:I,U260,แปลงข้อมูล!J:J,V260)&gt;0,SUMIFS(แปลงข้อมูล!Q:Q,แปลงข้อมูล!I:I,U260,แปลงข้อมูล!H:H,Q260,แปลงข้อมูล!J:J,V260),'mk 001 10.3'!Z261)</f>
        <v>0</v>
      </c>
      <c r="AA260">
        <f>'mk 001 10.3'!AA261</f>
        <v>0</v>
      </c>
      <c r="AB260">
        <f>'mk 001 10.3'!AB261</f>
        <v>0</v>
      </c>
      <c r="AC260">
        <f>'mk 001 10.3'!AC261</f>
        <v>0</v>
      </c>
      <c r="AD260">
        <f>'mk 001 10.3'!AD261</f>
        <v>0</v>
      </c>
      <c r="AE260">
        <f>'mk 001 10.3'!AE261</f>
        <v>0</v>
      </c>
      <c r="AF260">
        <f>'mk 001 10.3'!AF261</f>
        <v>0</v>
      </c>
      <c r="AG260">
        <f>'mk 001 10.3'!AG261</f>
        <v>0</v>
      </c>
      <c r="AH260">
        <f>'mk 001 10.3'!AH261</f>
        <v>0</v>
      </c>
      <c r="AI260">
        <f>'mk 001 10.3'!AI261</f>
        <v>0</v>
      </c>
      <c r="AJ260">
        <f>'mk 001 10.3'!AJ261</f>
        <v>0</v>
      </c>
      <c r="AK260">
        <f>'mk 001 10.3'!AK261</f>
        <v>0</v>
      </c>
      <c r="AL260">
        <f>'mk 001 10.3'!AL261</f>
        <v>0</v>
      </c>
      <c r="AM260">
        <f>'mk 001 10.3'!AM261</f>
        <v>0</v>
      </c>
      <c r="AN260">
        <f>'mk 001 10.3'!AN261</f>
        <v>0</v>
      </c>
      <c r="AO260">
        <f>'mk 001 10.3'!AO261</f>
        <v>0</v>
      </c>
      <c r="AP260">
        <f>'mk 001 10.3'!AP261</f>
        <v>0</v>
      </c>
      <c r="AQ260">
        <f>'mk 001 10.3'!AQ261</f>
        <v>0</v>
      </c>
      <c r="AR260">
        <f>'mk 001 10.3'!AR261</f>
        <v>0</v>
      </c>
      <c r="AS260">
        <f>'mk 001 10.3'!AS261</f>
        <v>0</v>
      </c>
      <c r="AT260">
        <f>'mk 001 10.3'!AT261</f>
        <v>0</v>
      </c>
      <c r="AU260">
        <f>'mk 001 10.3'!AU261</f>
        <v>0</v>
      </c>
      <c r="AV260">
        <f>'mk 001 10.3'!AV261</f>
        <v>0</v>
      </c>
      <c r="AW260">
        <f>'mk 001 10.3'!AW261</f>
        <v>0</v>
      </c>
      <c r="AX260">
        <f>'mk 001 10.3'!AX261</f>
        <v>0</v>
      </c>
      <c r="AY260">
        <f>'mk 001 10.3'!AY261</f>
        <v>0</v>
      </c>
      <c r="AZ260">
        <f>'mk 001 10.3'!AZ261</f>
        <v>0</v>
      </c>
      <c r="BA260" s="22">
        <f>'mk 001 10.3'!BA261</f>
        <v>0</v>
      </c>
      <c r="BB260">
        <f>'mk 001 10.3'!BB261</f>
        <v>0</v>
      </c>
      <c r="BC260">
        <f>'mk 001 10.3'!BC261</f>
        <v>0</v>
      </c>
      <c r="BD260">
        <f>'mk 001 10.3'!BD261</f>
        <v>0</v>
      </c>
      <c r="BE260">
        <f>'mk 001 10.3'!BE261</f>
        <v>0</v>
      </c>
      <c r="BF260">
        <f>'mk 001 10.3'!BF261</f>
        <v>0</v>
      </c>
      <c r="BG260">
        <f>'mk 001 10.3'!BG261</f>
        <v>0</v>
      </c>
      <c r="BH260">
        <f>'mk 001 10.3'!BH261</f>
        <v>0</v>
      </c>
      <c r="BI260">
        <f>'mk 001 10.3'!BI261</f>
        <v>0</v>
      </c>
      <c r="BJ260">
        <f>'mk 001 10.3'!BJ261</f>
        <v>0</v>
      </c>
      <c r="BK260">
        <f>'mk 001 10.3'!BK261</f>
        <v>0</v>
      </c>
      <c r="BL260">
        <f>'mk 001 10.3'!BL261</f>
        <v>0</v>
      </c>
      <c r="BM260">
        <f>'mk 001 10.3'!BM261</f>
        <v>0</v>
      </c>
      <c r="BN260">
        <f>'mk 001 10.3'!BN261</f>
        <v>0</v>
      </c>
    </row>
    <row r="261" spans="1:66" x14ac:dyDescent="0.35">
      <c r="A261">
        <f>'mk 001 10.3'!A262</f>
        <v>0</v>
      </c>
      <c r="B261">
        <f>'mk 001 10.3'!B262</f>
        <v>0</v>
      </c>
      <c r="C261" s="1">
        <f>'mk 001 10.3'!C262</f>
        <v>0</v>
      </c>
      <c r="D261" s="1">
        <f>'mk 001 10.3'!D262</f>
        <v>0</v>
      </c>
      <c r="E261">
        <f>'mk 001 10.3'!E262</f>
        <v>0</v>
      </c>
      <c r="F261">
        <f>'mk 001 10.3'!F262</f>
        <v>0</v>
      </c>
      <c r="G261">
        <f>'mk 001 10.3'!G262</f>
        <v>0</v>
      </c>
      <c r="H261">
        <f>'mk 001 10.3'!H262</f>
        <v>0</v>
      </c>
      <c r="I261">
        <f>'mk 001 10.3'!I262</f>
        <v>0</v>
      </c>
      <c r="J261">
        <f>'mk 001 10.3'!J262</f>
        <v>0</v>
      </c>
      <c r="K261">
        <f>'mk 001 10.3'!K262</f>
        <v>0</v>
      </c>
      <c r="L261">
        <f>'mk 001 10.3'!L262</f>
        <v>0</v>
      </c>
      <c r="M261">
        <f>'mk 001 10.3'!M262</f>
        <v>0</v>
      </c>
      <c r="N261">
        <f>'mk 001 10.3'!N262</f>
        <v>0</v>
      </c>
      <c r="O261">
        <f>'mk 001 10.3'!O262</f>
        <v>0</v>
      </c>
      <c r="P261">
        <f>'mk 001 10.3'!P262</f>
        <v>0</v>
      </c>
      <c r="Q261">
        <f>'mk 001 10.3'!Q262</f>
        <v>0</v>
      </c>
      <c r="R261" s="1">
        <f>'mk 001 10.3'!R262</f>
        <v>0</v>
      </c>
      <c r="S261" s="1">
        <f>'mk 001 10.3'!S262</f>
        <v>0</v>
      </c>
      <c r="T261">
        <f>'mk 001 10.3'!T262</f>
        <v>0</v>
      </c>
      <c r="U261">
        <f>'mk 001 10.3'!U262</f>
        <v>0</v>
      </c>
      <c r="V261">
        <f>'mk 001 10.3'!V262</f>
        <v>0</v>
      </c>
      <c r="W261">
        <f>'mk 001 10.3'!W262</f>
        <v>0</v>
      </c>
      <c r="X261">
        <f>'mk 001 10.3'!X262</f>
        <v>0</v>
      </c>
      <c r="Y261">
        <f t="shared" si="4"/>
        <v>0</v>
      </c>
      <c r="Z261" s="13">
        <f>IF(COUNTIFS(แปลงข้อมูล!H:H,Q261,แปลงข้อมูล!I:I,U261,แปลงข้อมูล!J:J,V261)&gt;0,SUMIFS(แปลงข้อมูล!Q:Q,แปลงข้อมูล!I:I,U261,แปลงข้อมูล!H:H,Q261,แปลงข้อมูล!J:J,V261),'mk 001 10.3'!Z262)</f>
        <v>0</v>
      </c>
      <c r="AA261">
        <f>'mk 001 10.3'!AA262</f>
        <v>0</v>
      </c>
      <c r="AB261">
        <f>'mk 001 10.3'!AB262</f>
        <v>0</v>
      </c>
      <c r="AC261">
        <f>'mk 001 10.3'!AC262</f>
        <v>0</v>
      </c>
      <c r="AD261">
        <f>'mk 001 10.3'!AD262</f>
        <v>0</v>
      </c>
      <c r="AE261">
        <f>'mk 001 10.3'!AE262</f>
        <v>0</v>
      </c>
      <c r="AF261">
        <f>'mk 001 10.3'!AF262</f>
        <v>0</v>
      </c>
      <c r="AG261">
        <f>'mk 001 10.3'!AG262</f>
        <v>0</v>
      </c>
      <c r="AH261">
        <f>'mk 001 10.3'!AH262</f>
        <v>0</v>
      </c>
      <c r="AI261">
        <f>'mk 001 10.3'!AI262</f>
        <v>0</v>
      </c>
      <c r="AJ261">
        <f>'mk 001 10.3'!AJ262</f>
        <v>0</v>
      </c>
      <c r="AK261">
        <f>'mk 001 10.3'!AK262</f>
        <v>0</v>
      </c>
      <c r="AL261">
        <f>'mk 001 10.3'!AL262</f>
        <v>0</v>
      </c>
      <c r="AM261">
        <f>'mk 001 10.3'!AM262</f>
        <v>0</v>
      </c>
      <c r="AN261">
        <f>'mk 001 10.3'!AN262</f>
        <v>0</v>
      </c>
      <c r="AO261">
        <f>'mk 001 10.3'!AO262</f>
        <v>0</v>
      </c>
      <c r="AP261">
        <f>'mk 001 10.3'!AP262</f>
        <v>0</v>
      </c>
      <c r="AQ261">
        <f>'mk 001 10.3'!AQ262</f>
        <v>0</v>
      </c>
      <c r="AR261">
        <f>'mk 001 10.3'!AR262</f>
        <v>0</v>
      </c>
      <c r="AS261">
        <f>'mk 001 10.3'!AS262</f>
        <v>0</v>
      </c>
      <c r="AT261">
        <f>'mk 001 10.3'!AT262</f>
        <v>0</v>
      </c>
      <c r="AU261">
        <f>'mk 001 10.3'!AU262</f>
        <v>0</v>
      </c>
      <c r="AV261">
        <f>'mk 001 10.3'!AV262</f>
        <v>0</v>
      </c>
      <c r="AW261">
        <f>'mk 001 10.3'!AW262</f>
        <v>0</v>
      </c>
      <c r="AX261">
        <f>'mk 001 10.3'!AX262</f>
        <v>0</v>
      </c>
      <c r="AY261">
        <f>'mk 001 10.3'!AY262</f>
        <v>0</v>
      </c>
      <c r="AZ261">
        <f>'mk 001 10.3'!AZ262</f>
        <v>0</v>
      </c>
      <c r="BA261" s="22">
        <f>'mk 001 10.3'!BA262</f>
        <v>0</v>
      </c>
      <c r="BB261">
        <f>'mk 001 10.3'!BB262</f>
        <v>0</v>
      </c>
      <c r="BC261">
        <f>'mk 001 10.3'!BC262</f>
        <v>0</v>
      </c>
      <c r="BD261">
        <f>'mk 001 10.3'!BD262</f>
        <v>0</v>
      </c>
      <c r="BE261">
        <f>'mk 001 10.3'!BE262</f>
        <v>0</v>
      </c>
      <c r="BF261">
        <f>'mk 001 10.3'!BF262</f>
        <v>0</v>
      </c>
      <c r="BG261">
        <f>'mk 001 10.3'!BG262</f>
        <v>0</v>
      </c>
      <c r="BH261">
        <f>'mk 001 10.3'!BH262</f>
        <v>0</v>
      </c>
      <c r="BI261">
        <f>'mk 001 10.3'!BI262</f>
        <v>0</v>
      </c>
      <c r="BJ261">
        <f>'mk 001 10.3'!BJ262</f>
        <v>0</v>
      </c>
      <c r="BK261">
        <f>'mk 001 10.3'!BK262</f>
        <v>0</v>
      </c>
      <c r="BL261">
        <f>'mk 001 10.3'!BL262</f>
        <v>0</v>
      </c>
      <c r="BM261">
        <f>'mk 001 10.3'!BM262</f>
        <v>0</v>
      </c>
      <c r="BN261">
        <f>'mk 001 10.3'!BN262</f>
        <v>0</v>
      </c>
    </row>
    <row r="262" spans="1:66" x14ac:dyDescent="0.35">
      <c r="A262">
        <f>'mk 001 10.3'!A263</f>
        <v>0</v>
      </c>
      <c r="B262">
        <f>'mk 001 10.3'!B263</f>
        <v>0</v>
      </c>
      <c r="C262" s="1">
        <f>'mk 001 10.3'!C263</f>
        <v>0</v>
      </c>
      <c r="D262" s="1">
        <f>'mk 001 10.3'!D263</f>
        <v>0</v>
      </c>
      <c r="E262">
        <f>'mk 001 10.3'!E263</f>
        <v>0</v>
      </c>
      <c r="F262">
        <f>'mk 001 10.3'!F263</f>
        <v>0</v>
      </c>
      <c r="G262">
        <f>'mk 001 10.3'!G263</f>
        <v>0</v>
      </c>
      <c r="H262">
        <f>'mk 001 10.3'!H263</f>
        <v>0</v>
      </c>
      <c r="I262">
        <f>'mk 001 10.3'!I263</f>
        <v>0</v>
      </c>
      <c r="J262">
        <f>'mk 001 10.3'!J263</f>
        <v>0</v>
      </c>
      <c r="K262">
        <f>'mk 001 10.3'!K263</f>
        <v>0</v>
      </c>
      <c r="L262">
        <f>'mk 001 10.3'!L263</f>
        <v>0</v>
      </c>
      <c r="M262">
        <f>'mk 001 10.3'!M263</f>
        <v>0</v>
      </c>
      <c r="N262">
        <f>'mk 001 10.3'!N263</f>
        <v>0</v>
      </c>
      <c r="O262">
        <f>'mk 001 10.3'!O263</f>
        <v>0</v>
      </c>
      <c r="P262">
        <f>'mk 001 10.3'!P263</f>
        <v>0</v>
      </c>
      <c r="Q262">
        <f>'mk 001 10.3'!Q263</f>
        <v>0</v>
      </c>
      <c r="R262" s="1">
        <f>'mk 001 10.3'!R263</f>
        <v>0</v>
      </c>
      <c r="S262" s="1">
        <f>'mk 001 10.3'!S263</f>
        <v>0</v>
      </c>
      <c r="T262">
        <f>'mk 001 10.3'!T263</f>
        <v>0</v>
      </c>
      <c r="U262">
        <f>'mk 001 10.3'!U263</f>
        <v>0</v>
      </c>
      <c r="V262">
        <f>'mk 001 10.3'!V263</f>
        <v>0</v>
      </c>
      <c r="W262">
        <f>'mk 001 10.3'!W263</f>
        <v>0</v>
      </c>
      <c r="X262">
        <f>'mk 001 10.3'!X263</f>
        <v>0</v>
      </c>
      <c r="Y262">
        <f t="shared" si="4"/>
        <v>0</v>
      </c>
      <c r="Z262" s="13">
        <f>IF(COUNTIFS(แปลงข้อมูล!H:H,Q262,แปลงข้อมูล!I:I,U262,แปลงข้อมูล!J:J,V262)&gt;0,SUMIFS(แปลงข้อมูล!Q:Q,แปลงข้อมูล!I:I,U262,แปลงข้อมูล!H:H,Q262,แปลงข้อมูล!J:J,V262),'mk 001 10.3'!Z263)</f>
        <v>0</v>
      </c>
      <c r="AA262">
        <f>'mk 001 10.3'!AA263</f>
        <v>0</v>
      </c>
      <c r="AB262">
        <f>'mk 001 10.3'!AB263</f>
        <v>0</v>
      </c>
      <c r="AC262">
        <f>'mk 001 10.3'!AC263</f>
        <v>0</v>
      </c>
      <c r="AD262">
        <f>'mk 001 10.3'!AD263</f>
        <v>0</v>
      </c>
      <c r="AE262">
        <f>'mk 001 10.3'!AE263</f>
        <v>0</v>
      </c>
      <c r="AF262">
        <f>'mk 001 10.3'!AF263</f>
        <v>0</v>
      </c>
      <c r="AG262">
        <f>'mk 001 10.3'!AG263</f>
        <v>0</v>
      </c>
      <c r="AH262">
        <f>'mk 001 10.3'!AH263</f>
        <v>0</v>
      </c>
      <c r="AI262">
        <f>'mk 001 10.3'!AI263</f>
        <v>0</v>
      </c>
      <c r="AJ262">
        <f>'mk 001 10.3'!AJ263</f>
        <v>0</v>
      </c>
      <c r="AK262">
        <f>'mk 001 10.3'!AK263</f>
        <v>0</v>
      </c>
      <c r="AL262">
        <f>'mk 001 10.3'!AL263</f>
        <v>0</v>
      </c>
      <c r="AM262">
        <f>'mk 001 10.3'!AM263</f>
        <v>0</v>
      </c>
      <c r="AN262">
        <f>'mk 001 10.3'!AN263</f>
        <v>0</v>
      </c>
      <c r="AO262">
        <f>'mk 001 10.3'!AO263</f>
        <v>0</v>
      </c>
      <c r="AP262">
        <f>'mk 001 10.3'!AP263</f>
        <v>0</v>
      </c>
      <c r="AQ262">
        <f>'mk 001 10.3'!AQ263</f>
        <v>0</v>
      </c>
      <c r="AR262">
        <f>'mk 001 10.3'!AR263</f>
        <v>0</v>
      </c>
      <c r="AS262">
        <f>'mk 001 10.3'!AS263</f>
        <v>0</v>
      </c>
      <c r="AT262">
        <f>'mk 001 10.3'!AT263</f>
        <v>0</v>
      </c>
      <c r="AU262">
        <f>'mk 001 10.3'!AU263</f>
        <v>0</v>
      </c>
      <c r="AV262">
        <f>'mk 001 10.3'!AV263</f>
        <v>0</v>
      </c>
      <c r="AW262">
        <f>'mk 001 10.3'!AW263</f>
        <v>0</v>
      </c>
      <c r="AX262">
        <f>'mk 001 10.3'!AX263</f>
        <v>0</v>
      </c>
      <c r="AY262">
        <f>'mk 001 10.3'!AY263</f>
        <v>0</v>
      </c>
      <c r="AZ262">
        <f>'mk 001 10.3'!AZ263</f>
        <v>0</v>
      </c>
      <c r="BA262" s="22">
        <f>'mk 001 10.3'!BA263</f>
        <v>0</v>
      </c>
      <c r="BB262">
        <f>'mk 001 10.3'!BB263</f>
        <v>0</v>
      </c>
      <c r="BC262">
        <f>'mk 001 10.3'!BC263</f>
        <v>0</v>
      </c>
      <c r="BD262">
        <f>'mk 001 10.3'!BD263</f>
        <v>0</v>
      </c>
      <c r="BE262">
        <f>'mk 001 10.3'!BE263</f>
        <v>0</v>
      </c>
      <c r="BF262">
        <f>'mk 001 10.3'!BF263</f>
        <v>0</v>
      </c>
      <c r="BG262">
        <f>'mk 001 10.3'!BG263</f>
        <v>0</v>
      </c>
      <c r="BH262">
        <f>'mk 001 10.3'!BH263</f>
        <v>0</v>
      </c>
      <c r="BI262">
        <f>'mk 001 10.3'!BI263</f>
        <v>0</v>
      </c>
      <c r="BJ262">
        <f>'mk 001 10.3'!BJ263</f>
        <v>0</v>
      </c>
      <c r="BK262">
        <f>'mk 001 10.3'!BK263</f>
        <v>0</v>
      </c>
      <c r="BL262">
        <f>'mk 001 10.3'!BL263</f>
        <v>0</v>
      </c>
      <c r="BM262">
        <f>'mk 001 10.3'!BM263</f>
        <v>0</v>
      </c>
      <c r="BN262">
        <f>'mk 001 10.3'!BN263</f>
        <v>0</v>
      </c>
    </row>
    <row r="263" spans="1:66" x14ac:dyDescent="0.35">
      <c r="A263">
        <f>'mk 001 10.3'!A264</f>
        <v>0</v>
      </c>
      <c r="B263">
        <f>'mk 001 10.3'!B264</f>
        <v>0</v>
      </c>
      <c r="C263" s="1">
        <f>'mk 001 10.3'!C264</f>
        <v>0</v>
      </c>
      <c r="D263" s="1">
        <f>'mk 001 10.3'!D264</f>
        <v>0</v>
      </c>
      <c r="E263">
        <f>'mk 001 10.3'!E264</f>
        <v>0</v>
      </c>
      <c r="F263">
        <f>'mk 001 10.3'!F264</f>
        <v>0</v>
      </c>
      <c r="G263">
        <f>'mk 001 10.3'!G264</f>
        <v>0</v>
      </c>
      <c r="H263">
        <f>'mk 001 10.3'!H264</f>
        <v>0</v>
      </c>
      <c r="I263">
        <f>'mk 001 10.3'!I264</f>
        <v>0</v>
      </c>
      <c r="J263">
        <f>'mk 001 10.3'!J264</f>
        <v>0</v>
      </c>
      <c r="K263">
        <f>'mk 001 10.3'!K264</f>
        <v>0</v>
      </c>
      <c r="L263">
        <f>'mk 001 10.3'!L264</f>
        <v>0</v>
      </c>
      <c r="M263">
        <f>'mk 001 10.3'!M264</f>
        <v>0</v>
      </c>
      <c r="N263">
        <f>'mk 001 10.3'!N264</f>
        <v>0</v>
      </c>
      <c r="O263">
        <f>'mk 001 10.3'!O264</f>
        <v>0</v>
      </c>
      <c r="P263">
        <f>'mk 001 10.3'!P264</f>
        <v>0</v>
      </c>
      <c r="Q263">
        <f>'mk 001 10.3'!Q264</f>
        <v>0</v>
      </c>
      <c r="R263" s="1">
        <f>'mk 001 10.3'!R264</f>
        <v>0</v>
      </c>
      <c r="S263" s="1">
        <f>'mk 001 10.3'!S264</f>
        <v>0</v>
      </c>
      <c r="T263">
        <f>'mk 001 10.3'!T264</f>
        <v>0</v>
      </c>
      <c r="U263">
        <f>'mk 001 10.3'!U264</f>
        <v>0</v>
      </c>
      <c r="V263">
        <f>'mk 001 10.3'!V264</f>
        <v>0</v>
      </c>
      <c r="W263">
        <f>'mk 001 10.3'!W264</f>
        <v>0</v>
      </c>
      <c r="X263">
        <f>'mk 001 10.3'!X264</f>
        <v>0</v>
      </c>
      <c r="Y263">
        <f t="shared" si="4"/>
        <v>0</v>
      </c>
      <c r="Z263" s="13">
        <f>IF(COUNTIFS(แปลงข้อมูล!H:H,Q263,แปลงข้อมูล!I:I,U263,แปลงข้อมูล!J:J,V263)&gt;0,SUMIFS(แปลงข้อมูล!Q:Q,แปลงข้อมูล!I:I,U263,แปลงข้อมูล!H:H,Q263,แปลงข้อมูล!J:J,V263),'mk 001 10.3'!Z264)</f>
        <v>0</v>
      </c>
      <c r="AA263">
        <f>'mk 001 10.3'!AA264</f>
        <v>0</v>
      </c>
      <c r="AB263">
        <f>'mk 001 10.3'!AB264</f>
        <v>0</v>
      </c>
      <c r="AC263">
        <f>'mk 001 10.3'!AC264</f>
        <v>0</v>
      </c>
      <c r="AD263">
        <f>'mk 001 10.3'!AD264</f>
        <v>0</v>
      </c>
      <c r="AE263">
        <f>'mk 001 10.3'!AE264</f>
        <v>0</v>
      </c>
      <c r="AF263">
        <f>'mk 001 10.3'!AF264</f>
        <v>0</v>
      </c>
      <c r="AG263">
        <f>'mk 001 10.3'!AG264</f>
        <v>0</v>
      </c>
      <c r="AH263">
        <f>'mk 001 10.3'!AH264</f>
        <v>0</v>
      </c>
      <c r="AI263">
        <f>'mk 001 10.3'!AI264</f>
        <v>0</v>
      </c>
      <c r="AJ263">
        <f>'mk 001 10.3'!AJ264</f>
        <v>0</v>
      </c>
      <c r="AK263">
        <f>'mk 001 10.3'!AK264</f>
        <v>0</v>
      </c>
      <c r="AL263">
        <f>'mk 001 10.3'!AL264</f>
        <v>0</v>
      </c>
      <c r="AM263">
        <f>'mk 001 10.3'!AM264</f>
        <v>0</v>
      </c>
      <c r="AN263">
        <f>'mk 001 10.3'!AN264</f>
        <v>0</v>
      </c>
      <c r="AO263">
        <f>'mk 001 10.3'!AO264</f>
        <v>0</v>
      </c>
      <c r="AP263">
        <f>'mk 001 10.3'!AP264</f>
        <v>0</v>
      </c>
      <c r="AQ263">
        <f>'mk 001 10.3'!AQ264</f>
        <v>0</v>
      </c>
      <c r="AR263">
        <f>'mk 001 10.3'!AR264</f>
        <v>0</v>
      </c>
      <c r="AS263">
        <f>'mk 001 10.3'!AS264</f>
        <v>0</v>
      </c>
      <c r="AT263">
        <f>'mk 001 10.3'!AT264</f>
        <v>0</v>
      </c>
      <c r="AU263">
        <f>'mk 001 10.3'!AU264</f>
        <v>0</v>
      </c>
      <c r="AV263">
        <f>'mk 001 10.3'!AV264</f>
        <v>0</v>
      </c>
      <c r="AW263">
        <f>'mk 001 10.3'!AW264</f>
        <v>0</v>
      </c>
      <c r="AX263">
        <f>'mk 001 10.3'!AX264</f>
        <v>0</v>
      </c>
      <c r="AY263">
        <f>'mk 001 10.3'!AY264</f>
        <v>0</v>
      </c>
      <c r="AZ263">
        <f>'mk 001 10.3'!AZ264</f>
        <v>0</v>
      </c>
      <c r="BA263" s="22">
        <f>'mk 001 10.3'!BA264</f>
        <v>0</v>
      </c>
      <c r="BB263">
        <f>'mk 001 10.3'!BB264</f>
        <v>0</v>
      </c>
      <c r="BC263">
        <f>'mk 001 10.3'!BC264</f>
        <v>0</v>
      </c>
      <c r="BD263">
        <f>'mk 001 10.3'!BD264</f>
        <v>0</v>
      </c>
      <c r="BE263">
        <f>'mk 001 10.3'!BE264</f>
        <v>0</v>
      </c>
      <c r="BF263">
        <f>'mk 001 10.3'!BF264</f>
        <v>0</v>
      </c>
      <c r="BG263">
        <f>'mk 001 10.3'!BG264</f>
        <v>0</v>
      </c>
      <c r="BH263">
        <f>'mk 001 10.3'!BH264</f>
        <v>0</v>
      </c>
      <c r="BI263">
        <f>'mk 001 10.3'!BI264</f>
        <v>0</v>
      </c>
      <c r="BJ263">
        <f>'mk 001 10.3'!BJ264</f>
        <v>0</v>
      </c>
      <c r="BK263">
        <f>'mk 001 10.3'!BK264</f>
        <v>0</v>
      </c>
      <c r="BL263">
        <f>'mk 001 10.3'!BL264</f>
        <v>0</v>
      </c>
      <c r="BM263">
        <f>'mk 001 10.3'!BM264</f>
        <v>0</v>
      </c>
      <c r="BN263">
        <f>'mk 001 10.3'!BN264</f>
        <v>0</v>
      </c>
    </row>
    <row r="264" spans="1:66" x14ac:dyDescent="0.35">
      <c r="A264">
        <f>'mk 001 10.3'!A265</f>
        <v>0</v>
      </c>
      <c r="B264">
        <f>'mk 001 10.3'!B265</f>
        <v>0</v>
      </c>
      <c r="C264" s="1">
        <f>'mk 001 10.3'!C265</f>
        <v>0</v>
      </c>
      <c r="D264" s="1">
        <f>'mk 001 10.3'!D265</f>
        <v>0</v>
      </c>
      <c r="E264">
        <f>'mk 001 10.3'!E265</f>
        <v>0</v>
      </c>
      <c r="F264">
        <f>'mk 001 10.3'!F265</f>
        <v>0</v>
      </c>
      <c r="G264">
        <f>'mk 001 10.3'!G265</f>
        <v>0</v>
      </c>
      <c r="H264">
        <f>'mk 001 10.3'!H265</f>
        <v>0</v>
      </c>
      <c r="I264">
        <f>'mk 001 10.3'!I265</f>
        <v>0</v>
      </c>
      <c r="J264">
        <f>'mk 001 10.3'!J265</f>
        <v>0</v>
      </c>
      <c r="K264">
        <f>'mk 001 10.3'!K265</f>
        <v>0</v>
      </c>
      <c r="L264">
        <f>'mk 001 10.3'!L265</f>
        <v>0</v>
      </c>
      <c r="M264">
        <f>'mk 001 10.3'!M265</f>
        <v>0</v>
      </c>
      <c r="N264">
        <f>'mk 001 10.3'!N265</f>
        <v>0</v>
      </c>
      <c r="O264">
        <f>'mk 001 10.3'!O265</f>
        <v>0</v>
      </c>
      <c r="P264">
        <f>'mk 001 10.3'!P265</f>
        <v>0</v>
      </c>
      <c r="Q264">
        <f>'mk 001 10.3'!Q265</f>
        <v>0</v>
      </c>
      <c r="R264" s="1">
        <f>'mk 001 10.3'!R265</f>
        <v>0</v>
      </c>
      <c r="S264" s="1">
        <f>'mk 001 10.3'!S265</f>
        <v>0</v>
      </c>
      <c r="T264">
        <f>'mk 001 10.3'!T265</f>
        <v>0</v>
      </c>
      <c r="U264">
        <f>'mk 001 10.3'!U265</f>
        <v>0</v>
      </c>
      <c r="V264">
        <f>'mk 001 10.3'!V265</f>
        <v>0</v>
      </c>
      <c r="W264">
        <f>'mk 001 10.3'!W265</f>
        <v>0</v>
      </c>
      <c r="X264">
        <f>'mk 001 10.3'!X265</f>
        <v>0</v>
      </c>
      <c r="Y264">
        <f t="shared" si="4"/>
        <v>0</v>
      </c>
      <c r="Z264" s="13">
        <f>IF(COUNTIFS(แปลงข้อมูล!H:H,Q264,แปลงข้อมูล!I:I,U264,แปลงข้อมูล!J:J,V264)&gt;0,SUMIFS(แปลงข้อมูล!Q:Q,แปลงข้อมูล!I:I,U264,แปลงข้อมูล!H:H,Q264,แปลงข้อมูล!J:J,V264),'mk 001 10.3'!Z265)</f>
        <v>0</v>
      </c>
      <c r="AA264">
        <f>'mk 001 10.3'!AA265</f>
        <v>0</v>
      </c>
      <c r="AB264">
        <f>'mk 001 10.3'!AB265</f>
        <v>0</v>
      </c>
      <c r="AC264">
        <f>'mk 001 10.3'!AC265</f>
        <v>0</v>
      </c>
      <c r="AD264">
        <f>'mk 001 10.3'!AD265</f>
        <v>0</v>
      </c>
      <c r="AE264">
        <f>'mk 001 10.3'!AE265</f>
        <v>0</v>
      </c>
      <c r="AF264">
        <f>'mk 001 10.3'!AF265</f>
        <v>0</v>
      </c>
      <c r="AG264">
        <f>'mk 001 10.3'!AG265</f>
        <v>0</v>
      </c>
      <c r="AH264">
        <f>'mk 001 10.3'!AH265</f>
        <v>0</v>
      </c>
      <c r="AI264">
        <f>'mk 001 10.3'!AI265</f>
        <v>0</v>
      </c>
      <c r="AJ264">
        <f>'mk 001 10.3'!AJ265</f>
        <v>0</v>
      </c>
      <c r="AK264">
        <f>'mk 001 10.3'!AK265</f>
        <v>0</v>
      </c>
      <c r="AL264">
        <f>'mk 001 10.3'!AL265</f>
        <v>0</v>
      </c>
      <c r="AM264">
        <f>'mk 001 10.3'!AM265</f>
        <v>0</v>
      </c>
      <c r="AN264">
        <f>'mk 001 10.3'!AN265</f>
        <v>0</v>
      </c>
      <c r="AO264">
        <f>'mk 001 10.3'!AO265</f>
        <v>0</v>
      </c>
      <c r="AP264">
        <f>'mk 001 10.3'!AP265</f>
        <v>0</v>
      </c>
      <c r="AQ264">
        <f>'mk 001 10.3'!AQ265</f>
        <v>0</v>
      </c>
      <c r="AR264">
        <f>'mk 001 10.3'!AR265</f>
        <v>0</v>
      </c>
      <c r="AS264">
        <f>'mk 001 10.3'!AS265</f>
        <v>0</v>
      </c>
      <c r="AT264">
        <f>'mk 001 10.3'!AT265</f>
        <v>0</v>
      </c>
      <c r="AU264">
        <f>'mk 001 10.3'!AU265</f>
        <v>0</v>
      </c>
      <c r="AV264">
        <f>'mk 001 10.3'!AV265</f>
        <v>0</v>
      </c>
      <c r="AW264">
        <f>'mk 001 10.3'!AW265</f>
        <v>0</v>
      </c>
      <c r="AX264">
        <f>'mk 001 10.3'!AX265</f>
        <v>0</v>
      </c>
      <c r="AY264">
        <f>'mk 001 10.3'!AY265</f>
        <v>0</v>
      </c>
      <c r="AZ264">
        <f>'mk 001 10.3'!AZ265</f>
        <v>0</v>
      </c>
      <c r="BA264" s="22">
        <f>'mk 001 10.3'!BA265</f>
        <v>0</v>
      </c>
      <c r="BB264">
        <f>'mk 001 10.3'!BB265</f>
        <v>0</v>
      </c>
      <c r="BC264">
        <f>'mk 001 10.3'!BC265</f>
        <v>0</v>
      </c>
      <c r="BD264">
        <f>'mk 001 10.3'!BD265</f>
        <v>0</v>
      </c>
      <c r="BE264">
        <f>'mk 001 10.3'!BE265</f>
        <v>0</v>
      </c>
      <c r="BF264">
        <f>'mk 001 10.3'!BF265</f>
        <v>0</v>
      </c>
      <c r="BG264">
        <f>'mk 001 10.3'!BG265</f>
        <v>0</v>
      </c>
      <c r="BH264">
        <f>'mk 001 10.3'!BH265</f>
        <v>0</v>
      </c>
      <c r="BI264">
        <f>'mk 001 10.3'!BI265</f>
        <v>0</v>
      </c>
      <c r="BJ264">
        <f>'mk 001 10.3'!BJ265</f>
        <v>0</v>
      </c>
      <c r="BK264">
        <f>'mk 001 10.3'!BK265</f>
        <v>0</v>
      </c>
      <c r="BL264">
        <f>'mk 001 10.3'!BL265</f>
        <v>0</v>
      </c>
      <c r="BM264">
        <f>'mk 001 10.3'!BM265</f>
        <v>0</v>
      </c>
      <c r="BN264">
        <f>'mk 001 10.3'!BN265</f>
        <v>0</v>
      </c>
    </row>
    <row r="265" spans="1:66" x14ac:dyDescent="0.35">
      <c r="A265">
        <f>'mk 001 10.3'!A266</f>
        <v>0</v>
      </c>
      <c r="B265">
        <f>'mk 001 10.3'!B266</f>
        <v>0</v>
      </c>
      <c r="C265" s="1">
        <f>'mk 001 10.3'!C266</f>
        <v>0</v>
      </c>
      <c r="D265" s="1">
        <f>'mk 001 10.3'!D266</f>
        <v>0</v>
      </c>
      <c r="E265">
        <f>'mk 001 10.3'!E266</f>
        <v>0</v>
      </c>
      <c r="F265">
        <f>'mk 001 10.3'!F266</f>
        <v>0</v>
      </c>
      <c r="G265">
        <f>'mk 001 10.3'!G266</f>
        <v>0</v>
      </c>
      <c r="H265">
        <f>'mk 001 10.3'!H266</f>
        <v>0</v>
      </c>
      <c r="I265">
        <f>'mk 001 10.3'!I266</f>
        <v>0</v>
      </c>
      <c r="J265">
        <f>'mk 001 10.3'!J266</f>
        <v>0</v>
      </c>
      <c r="K265">
        <f>'mk 001 10.3'!K266</f>
        <v>0</v>
      </c>
      <c r="L265">
        <f>'mk 001 10.3'!L266</f>
        <v>0</v>
      </c>
      <c r="M265">
        <f>'mk 001 10.3'!M266</f>
        <v>0</v>
      </c>
      <c r="N265">
        <f>'mk 001 10.3'!N266</f>
        <v>0</v>
      </c>
      <c r="O265">
        <f>'mk 001 10.3'!O266</f>
        <v>0</v>
      </c>
      <c r="P265">
        <f>'mk 001 10.3'!P266</f>
        <v>0</v>
      </c>
      <c r="Q265">
        <f>'mk 001 10.3'!Q266</f>
        <v>0</v>
      </c>
      <c r="R265" s="1">
        <f>'mk 001 10.3'!R266</f>
        <v>0</v>
      </c>
      <c r="S265" s="1">
        <f>'mk 001 10.3'!S266</f>
        <v>0</v>
      </c>
      <c r="T265">
        <f>'mk 001 10.3'!T266</f>
        <v>0</v>
      </c>
      <c r="U265">
        <f>'mk 001 10.3'!U266</f>
        <v>0</v>
      </c>
      <c r="V265">
        <f>'mk 001 10.3'!V266</f>
        <v>0</v>
      </c>
      <c r="W265">
        <f>'mk 001 10.3'!W266</f>
        <v>0</v>
      </c>
      <c r="X265">
        <f>'mk 001 10.3'!X266</f>
        <v>0</v>
      </c>
      <c r="Y265">
        <f t="shared" si="4"/>
        <v>0</v>
      </c>
      <c r="Z265" s="13">
        <f>IF(COUNTIFS(แปลงข้อมูล!H:H,Q265,แปลงข้อมูล!I:I,U265,แปลงข้อมูล!J:J,V265)&gt;0,SUMIFS(แปลงข้อมูล!Q:Q,แปลงข้อมูล!I:I,U265,แปลงข้อมูล!H:H,Q265,แปลงข้อมูล!J:J,V265),'mk 001 10.3'!Z266)</f>
        <v>0</v>
      </c>
      <c r="AA265">
        <f>'mk 001 10.3'!AA266</f>
        <v>0</v>
      </c>
      <c r="AB265">
        <f>'mk 001 10.3'!AB266</f>
        <v>0</v>
      </c>
      <c r="AC265">
        <f>'mk 001 10.3'!AC266</f>
        <v>0</v>
      </c>
      <c r="AD265">
        <f>'mk 001 10.3'!AD266</f>
        <v>0</v>
      </c>
      <c r="AE265">
        <f>'mk 001 10.3'!AE266</f>
        <v>0</v>
      </c>
      <c r="AF265">
        <f>'mk 001 10.3'!AF266</f>
        <v>0</v>
      </c>
      <c r="AG265">
        <f>'mk 001 10.3'!AG266</f>
        <v>0</v>
      </c>
      <c r="AH265">
        <f>'mk 001 10.3'!AH266</f>
        <v>0</v>
      </c>
      <c r="AI265">
        <f>'mk 001 10.3'!AI266</f>
        <v>0</v>
      </c>
      <c r="AJ265">
        <f>'mk 001 10.3'!AJ266</f>
        <v>0</v>
      </c>
      <c r="AK265">
        <f>'mk 001 10.3'!AK266</f>
        <v>0</v>
      </c>
      <c r="AL265">
        <f>'mk 001 10.3'!AL266</f>
        <v>0</v>
      </c>
      <c r="AM265">
        <f>'mk 001 10.3'!AM266</f>
        <v>0</v>
      </c>
      <c r="AN265">
        <f>'mk 001 10.3'!AN266</f>
        <v>0</v>
      </c>
      <c r="AO265">
        <f>'mk 001 10.3'!AO266</f>
        <v>0</v>
      </c>
      <c r="AP265">
        <f>'mk 001 10.3'!AP266</f>
        <v>0</v>
      </c>
      <c r="AQ265">
        <f>'mk 001 10.3'!AQ266</f>
        <v>0</v>
      </c>
      <c r="AR265">
        <f>'mk 001 10.3'!AR266</f>
        <v>0</v>
      </c>
      <c r="AS265">
        <f>'mk 001 10.3'!AS266</f>
        <v>0</v>
      </c>
      <c r="AT265">
        <f>'mk 001 10.3'!AT266</f>
        <v>0</v>
      </c>
      <c r="AU265">
        <f>'mk 001 10.3'!AU266</f>
        <v>0</v>
      </c>
      <c r="AV265">
        <f>'mk 001 10.3'!AV266</f>
        <v>0</v>
      </c>
      <c r="AW265">
        <f>'mk 001 10.3'!AW266</f>
        <v>0</v>
      </c>
      <c r="AX265">
        <f>'mk 001 10.3'!AX266</f>
        <v>0</v>
      </c>
      <c r="AY265">
        <f>'mk 001 10.3'!AY266</f>
        <v>0</v>
      </c>
      <c r="AZ265">
        <f>'mk 001 10.3'!AZ266</f>
        <v>0</v>
      </c>
      <c r="BA265" s="22">
        <f>'mk 001 10.3'!BA266</f>
        <v>0</v>
      </c>
      <c r="BB265">
        <f>'mk 001 10.3'!BB266</f>
        <v>0</v>
      </c>
      <c r="BC265">
        <f>'mk 001 10.3'!BC266</f>
        <v>0</v>
      </c>
      <c r="BD265">
        <f>'mk 001 10.3'!BD266</f>
        <v>0</v>
      </c>
      <c r="BE265">
        <f>'mk 001 10.3'!BE266</f>
        <v>0</v>
      </c>
      <c r="BF265">
        <f>'mk 001 10.3'!BF266</f>
        <v>0</v>
      </c>
      <c r="BG265">
        <f>'mk 001 10.3'!BG266</f>
        <v>0</v>
      </c>
      <c r="BH265">
        <f>'mk 001 10.3'!BH266</f>
        <v>0</v>
      </c>
      <c r="BI265">
        <f>'mk 001 10.3'!BI266</f>
        <v>0</v>
      </c>
      <c r="BJ265">
        <f>'mk 001 10.3'!BJ266</f>
        <v>0</v>
      </c>
      <c r="BK265">
        <f>'mk 001 10.3'!BK266</f>
        <v>0</v>
      </c>
      <c r="BL265">
        <f>'mk 001 10.3'!BL266</f>
        <v>0</v>
      </c>
      <c r="BM265">
        <f>'mk 001 10.3'!BM266</f>
        <v>0</v>
      </c>
      <c r="BN265">
        <f>'mk 001 10.3'!BN266</f>
        <v>0</v>
      </c>
    </row>
    <row r="266" spans="1:66" x14ac:dyDescent="0.35">
      <c r="A266">
        <f>'mk 001 10.3'!A267</f>
        <v>0</v>
      </c>
      <c r="B266">
        <f>'mk 001 10.3'!B267</f>
        <v>0</v>
      </c>
      <c r="C266" s="1">
        <f>'mk 001 10.3'!C267</f>
        <v>0</v>
      </c>
      <c r="D266" s="1">
        <f>'mk 001 10.3'!D267</f>
        <v>0</v>
      </c>
      <c r="E266">
        <f>'mk 001 10.3'!E267</f>
        <v>0</v>
      </c>
      <c r="F266">
        <f>'mk 001 10.3'!F267</f>
        <v>0</v>
      </c>
      <c r="G266">
        <f>'mk 001 10.3'!G267</f>
        <v>0</v>
      </c>
      <c r="H266">
        <f>'mk 001 10.3'!H267</f>
        <v>0</v>
      </c>
      <c r="I266">
        <f>'mk 001 10.3'!I267</f>
        <v>0</v>
      </c>
      <c r="J266">
        <f>'mk 001 10.3'!J267</f>
        <v>0</v>
      </c>
      <c r="K266">
        <f>'mk 001 10.3'!K267</f>
        <v>0</v>
      </c>
      <c r="L266">
        <f>'mk 001 10.3'!L267</f>
        <v>0</v>
      </c>
      <c r="M266">
        <f>'mk 001 10.3'!M267</f>
        <v>0</v>
      </c>
      <c r="N266">
        <f>'mk 001 10.3'!N267</f>
        <v>0</v>
      </c>
      <c r="O266">
        <f>'mk 001 10.3'!O267</f>
        <v>0</v>
      </c>
      <c r="P266">
        <f>'mk 001 10.3'!P267</f>
        <v>0</v>
      </c>
      <c r="Q266">
        <f>'mk 001 10.3'!Q267</f>
        <v>0</v>
      </c>
      <c r="R266" s="1">
        <f>'mk 001 10.3'!R267</f>
        <v>0</v>
      </c>
      <c r="S266" s="1">
        <f>'mk 001 10.3'!S267</f>
        <v>0</v>
      </c>
      <c r="T266">
        <f>'mk 001 10.3'!T267</f>
        <v>0</v>
      </c>
      <c r="U266">
        <f>'mk 001 10.3'!U267</f>
        <v>0</v>
      </c>
      <c r="V266">
        <f>'mk 001 10.3'!V267</f>
        <v>0</v>
      </c>
      <c r="W266">
        <f>'mk 001 10.3'!W267</f>
        <v>0</v>
      </c>
      <c r="X266">
        <f>'mk 001 10.3'!X267</f>
        <v>0</v>
      </c>
      <c r="Y266">
        <f t="shared" si="4"/>
        <v>0</v>
      </c>
      <c r="Z266" s="13">
        <f>IF(COUNTIFS(แปลงข้อมูล!H:H,Q266,แปลงข้อมูล!I:I,U266,แปลงข้อมูล!J:J,V266)&gt;0,SUMIFS(แปลงข้อมูล!Q:Q,แปลงข้อมูล!I:I,U266,แปลงข้อมูล!H:H,Q266,แปลงข้อมูล!J:J,V266),'mk 001 10.3'!Z267)</f>
        <v>0</v>
      </c>
      <c r="AA266">
        <f>'mk 001 10.3'!AA267</f>
        <v>0</v>
      </c>
      <c r="AB266">
        <f>'mk 001 10.3'!AB267</f>
        <v>0</v>
      </c>
      <c r="AC266">
        <f>'mk 001 10.3'!AC267</f>
        <v>0</v>
      </c>
      <c r="AD266">
        <f>'mk 001 10.3'!AD267</f>
        <v>0</v>
      </c>
      <c r="AE266">
        <f>'mk 001 10.3'!AE267</f>
        <v>0</v>
      </c>
      <c r="AF266">
        <f>'mk 001 10.3'!AF267</f>
        <v>0</v>
      </c>
      <c r="AG266">
        <f>'mk 001 10.3'!AG267</f>
        <v>0</v>
      </c>
      <c r="AH266">
        <f>'mk 001 10.3'!AH267</f>
        <v>0</v>
      </c>
      <c r="AI266">
        <f>'mk 001 10.3'!AI267</f>
        <v>0</v>
      </c>
      <c r="AJ266">
        <f>'mk 001 10.3'!AJ267</f>
        <v>0</v>
      </c>
      <c r="AK266">
        <f>'mk 001 10.3'!AK267</f>
        <v>0</v>
      </c>
      <c r="AL266">
        <f>'mk 001 10.3'!AL267</f>
        <v>0</v>
      </c>
      <c r="AM266">
        <f>'mk 001 10.3'!AM267</f>
        <v>0</v>
      </c>
      <c r="AN266">
        <f>'mk 001 10.3'!AN267</f>
        <v>0</v>
      </c>
      <c r="AO266">
        <f>'mk 001 10.3'!AO267</f>
        <v>0</v>
      </c>
      <c r="AP266">
        <f>'mk 001 10.3'!AP267</f>
        <v>0</v>
      </c>
      <c r="AQ266">
        <f>'mk 001 10.3'!AQ267</f>
        <v>0</v>
      </c>
      <c r="AR266">
        <f>'mk 001 10.3'!AR267</f>
        <v>0</v>
      </c>
      <c r="AS266">
        <f>'mk 001 10.3'!AS267</f>
        <v>0</v>
      </c>
      <c r="AT266">
        <f>'mk 001 10.3'!AT267</f>
        <v>0</v>
      </c>
      <c r="AU266">
        <f>'mk 001 10.3'!AU267</f>
        <v>0</v>
      </c>
      <c r="AV266">
        <f>'mk 001 10.3'!AV267</f>
        <v>0</v>
      </c>
      <c r="AW266">
        <f>'mk 001 10.3'!AW267</f>
        <v>0</v>
      </c>
      <c r="AX266">
        <f>'mk 001 10.3'!AX267</f>
        <v>0</v>
      </c>
      <c r="AY266">
        <f>'mk 001 10.3'!AY267</f>
        <v>0</v>
      </c>
      <c r="AZ266">
        <f>'mk 001 10.3'!AZ267</f>
        <v>0</v>
      </c>
      <c r="BA266" s="22">
        <f>'mk 001 10.3'!BA267</f>
        <v>0</v>
      </c>
      <c r="BB266">
        <f>'mk 001 10.3'!BB267</f>
        <v>0</v>
      </c>
      <c r="BC266">
        <f>'mk 001 10.3'!BC267</f>
        <v>0</v>
      </c>
      <c r="BD266">
        <f>'mk 001 10.3'!BD267</f>
        <v>0</v>
      </c>
      <c r="BE266">
        <f>'mk 001 10.3'!BE267</f>
        <v>0</v>
      </c>
      <c r="BF266">
        <f>'mk 001 10.3'!BF267</f>
        <v>0</v>
      </c>
      <c r="BG266">
        <f>'mk 001 10.3'!BG267</f>
        <v>0</v>
      </c>
      <c r="BH266">
        <f>'mk 001 10.3'!BH267</f>
        <v>0</v>
      </c>
      <c r="BI266">
        <f>'mk 001 10.3'!BI267</f>
        <v>0</v>
      </c>
      <c r="BJ266">
        <f>'mk 001 10.3'!BJ267</f>
        <v>0</v>
      </c>
      <c r="BK266">
        <f>'mk 001 10.3'!BK267</f>
        <v>0</v>
      </c>
      <c r="BL266">
        <f>'mk 001 10.3'!BL267</f>
        <v>0</v>
      </c>
      <c r="BM266">
        <f>'mk 001 10.3'!BM267</f>
        <v>0</v>
      </c>
      <c r="BN266">
        <f>'mk 001 10.3'!BN267</f>
        <v>0</v>
      </c>
    </row>
    <row r="267" spans="1:66" x14ac:dyDescent="0.35">
      <c r="A267">
        <f>'mk 001 10.3'!A268</f>
        <v>0</v>
      </c>
      <c r="B267">
        <f>'mk 001 10.3'!B268</f>
        <v>0</v>
      </c>
      <c r="C267" s="1">
        <f>'mk 001 10.3'!C268</f>
        <v>0</v>
      </c>
      <c r="D267" s="1">
        <f>'mk 001 10.3'!D268</f>
        <v>0</v>
      </c>
      <c r="E267">
        <f>'mk 001 10.3'!E268</f>
        <v>0</v>
      </c>
      <c r="F267">
        <f>'mk 001 10.3'!F268</f>
        <v>0</v>
      </c>
      <c r="G267">
        <f>'mk 001 10.3'!G268</f>
        <v>0</v>
      </c>
      <c r="H267">
        <f>'mk 001 10.3'!H268</f>
        <v>0</v>
      </c>
      <c r="I267">
        <f>'mk 001 10.3'!I268</f>
        <v>0</v>
      </c>
      <c r="J267">
        <f>'mk 001 10.3'!J268</f>
        <v>0</v>
      </c>
      <c r="K267">
        <f>'mk 001 10.3'!K268</f>
        <v>0</v>
      </c>
      <c r="L267">
        <f>'mk 001 10.3'!L268</f>
        <v>0</v>
      </c>
      <c r="M267">
        <f>'mk 001 10.3'!M268</f>
        <v>0</v>
      </c>
      <c r="N267">
        <f>'mk 001 10.3'!N268</f>
        <v>0</v>
      </c>
      <c r="O267">
        <f>'mk 001 10.3'!O268</f>
        <v>0</v>
      </c>
      <c r="P267">
        <f>'mk 001 10.3'!P268</f>
        <v>0</v>
      </c>
      <c r="Q267">
        <f>'mk 001 10.3'!Q268</f>
        <v>0</v>
      </c>
      <c r="R267" s="1">
        <f>'mk 001 10.3'!R268</f>
        <v>0</v>
      </c>
      <c r="S267" s="1">
        <f>'mk 001 10.3'!S268</f>
        <v>0</v>
      </c>
      <c r="T267">
        <f>'mk 001 10.3'!T268</f>
        <v>0</v>
      </c>
      <c r="U267">
        <f>'mk 001 10.3'!U268</f>
        <v>0</v>
      </c>
      <c r="V267">
        <f>'mk 001 10.3'!V268</f>
        <v>0</v>
      </c>
      <c r="W267">
        <f>'mk 001 10.3'!W268</f>
        <v>0</v>
      </c>
      <c r="X267">
        <f>'mk 001 10.3'!X268</f>
        <v>0</v>
      </c>
      <c r="Y267">
        <f t="shared" si="4"/>
        <v>0</v>
      </c>
      <c r="Z267" s="13">
        <f>IF(COUNTIFS(แปลงข้อมูล!H:H,Q267,แปลงข้อมูล!I:I,U267,แปลงข้อมูล!J:J,V267)&gt;0,SUMIFS(แปลงข้อมูล!Q:Q,แปลงข้อมูล!I:I,U267,แปลงข้อมูล!H:H,Q267,แปลงข้อมูล!J:J,V267),'mk 001 10.3'!Z268)</f>
        <v>0</v>
      </c>
      <c r="AA267">
        <f>'mk 001 10.3'!AA268</f>
        <v>0</v>
      </c>
      <c r="AB267">
        <f>'mk 001 10.3'!AB268</f>
        <v>0</v>
      </c>
      <c r="AC267">
        <f>'mk 001 10.3'!AC268</f>
        <v>0</v>
      </c>
      <c r="AD267">
        <f>'mk 001 10.3'!AD268</f>
        <v>0</v>
      </c>
      <c r="AE267">
        <f>'mk 001 10.3'!AE268</f>
        <v>0</v>
      </c>
      <c r="AF267">
        <f>'mk 001 10.3'!AF268</f>
        <v>0</v>
      </c>
      <c r="AG267">
        <f>'mk 001 10.3'!AG268</f>
        <v>0</v>
      </c>
      <c r="AH267">
        <f>'mk 001 10.3'!AH268</f>
        <v>0</v>
      </c>
      <c r="AI267">
        <f>'mk 001 10.3'!AI268</f>
        <v>0</v>
      </c>
      <c r="AJ267">
        <f>'mk 001 10.3'!AJ268</f>
        <v>0</v>
      </c>
      <c r="AK267">
        <f>'mk 001 10.3'!AK268</f>
        <v>0</v>
      </c>
      <c r="AL267">
        <f>'mk 001 10.3'!AL268</f>
        <v>0</v>
      </c>
      <c r="AM267">
        <f>'mk 001 10.3'!AM268</f>
        <v>0</v>
      </c>
      <c r="AN267">
        <f>'mk 001 10.3'!AN268</f>
        <v>0</v>
      </c>
      <c r="AO267">
        <f>'mk 001 10.3'!AO268</f>
        <v>0</v>
      </c>
      <c r="AP267">
        <f>'mk 001 10.3'!AP268</f>
        <v>0</v>
      </c>
      <c r="AQ267">
        <f>'mk 001 10.3'!AQ268</f>
        <v>0</v>
      </c>
      <c r="AR267">
        <f>'mk 001 10.3'!AR268</f>
        <v>0</v>
      </c>
      <c r="AS267">
        <f>'mk 001 10.3'!AS268</f>
        <v>0</v>
      </c>
      <c r="AT267">
        <f>'mk 001 10.3'!AT268</f>
        <v>0</v>
      </c>
      <c r="AU267">
        <f>'mk 001 10.3'!AU268</f>
        <v>0</v>
      </c>
      <c r="AV267">
        <f>'mk 001 10.3'!AV268</f>
        <v>0</v>
      </c>
      <c r="AW267">
        <f>'mk 001 10.3'!AW268</f>
        <v>0</v>
      </c>
      <c r="AX267">
        <f>'mk 001 10.3'!AX268</f>
        <v>0</v>
      </c>
      <c r="AY267">
        <f>'mk 001 10.3'!AY268</f>
        <v>0</v>
      </c>
      <c r="AZ267">
        <f>'mk 001 10.3'!AZ268</f>
        <v>0</v>
      </c>
      <c r="BA267" s="22">
        <f>'mk 001 10.3'!BA268</f>
        <v>0</v>
      </c>
      <c r="BB267">
        <f>'mk 001 10.3'!BB268</f>
        <v>0</v>
      </c>
      <c r="BC267">
        <f>'mk 001 10.3'!BC268</f>
        <v>0</v>
      </c>
      <c r="BD267">
        <f>'mk 001 10.3'!BD268</f>
        <v>0</v>
      </c>
      <c r="BE267">
        <f>'mk 001 10.3'!BE268</f>
        <v>0</v>
      </c>
      <c r="BF267">
        <f>'mk 001 10.3'!BF268</f>
        <v>0</v>
      </c>
      <c r="BG267">
        <f>'mk 001 10.3'!BG268</f>
        <v>0</v>
      </c>
      <c r="BH267">
        <f>'mk 001 10.3'!BH268</f>
        <v>0</v>
      </c>
      <c r="BI267">
        <f>'mk 001 10.3'!BI268</f>
        <v>0</v>
      </c>
      <c r="BJ267">
        <f>'mk 001 10.3'!BJ268</f>
        <v>0</v>
      </c>
      <c r="BK267">
        <f>'mk 001 10.3'!BK268</f>
        <v>0</v>
      </c>
      <c r="BL267">
        <f>'mk 001 10.3'!BL268</f>
        <v>0</v>
      </c>
      <c r="BM267">
        <f>'mk 001 10.3'!BM268</f>
        <v>0</v>
      </c>
      <c r="BN267">
        <f>'mk 001 10.3'!BN268</f>
        <v>0</v>
      </c>
    </row>
    <row r="268" spans="1:66" x14ac:dyDescent="0.35">
      <c r="A268">
        <f>'mk 001 10.3'!A269</f>
        <v>0</v>
      </c>
      <c r="B268">
        <f>'mk 001 10.3'!B269</f>
        <v>0</v>
      </c>
      <c r="C268" s="1">
        <f>'mk 001 10.3'!C269</f>
        <v>0</v>
      </c>
      <c r="D268" s="1">
        <f>'mk 001 10.3'!D269</f>
        <v>0</v>
      </c>
      <c r="E268">
        <f>'mk 001 10.3'!E269</f>
        <v>0</v>
      </c>
      <c r="F268">
        <f>'mk 001 10.3'!F269</f>
        <v>0</v>
      </c>
      <c r="G268">
        <f>'mk 001 10.3'!G269</f>
        <v>0</v>
      </c>
      <c r="H268">
        <f>'mk 001 10.3'!H269</f>
        <v>0</v>
      </c>
      <c r="I268">
        <f>'mk 001 10.3'!I269</f>
        <v>0</v>
      </c>
      <c r="J268">
        <f>'mk 001 10.3'!J269</f>
        <v>0</v>
      </c>
      <c r="K268">
        <f>'mk 001 10.3'!K269</f>
        <v>0</v>
      </c>
      <c r="L268">
        <f>'mk 001 10.3'!L269</f>
        <v>0</v>
      </c>
      <c r="M268">
        <f>'mk 001 10.3'!M269</f>
        <v>0</v>
      </c>
      <c r="N268">
        <f>'mk 001 10.3'!N269</f>
        <v>0</v>
      </c>
      <c r="O268">
        <f>'mk 001 10.3'!O269</f>
        <v>0</v>
      </c>
      <c r="P268">
        <f>'mk 001 10.3'!P269</f>
        <v>0</v>
      </c>
      <c r="Q268">
        <f>'mk 001 10.3'!Q269</f>
        <v>0</v>
      </c>
      <c r="R268" s="1">
        <f>'mk 001 10.3'!R269</f>
        <v>0</v>
      </c>
      <c r="S268" s="1">
        <f>'mk 001 10.3'!S269</f>
        <v>0</v>
      </c>
      <c r="T268">
        <f>'mk 001 10.3'!T269</f>
        <v>0</v>
      </c>
      <c r="U268">
        <f>'mk 001 10.3'!U269</f>
        <v>0</v>
      </c>
      <c r="V268">
        <f>'mk 001 10.3'!V269</f>
        <v>0</v>
      </c>
      <c r="W268">
        <f>'mk 001 10.3'!W269</f>
        <v>0</v>
      </c>
      <c r="X268">
        <f>'mk 001 10.3'!X269</f>
        <v>0</v>
      </c>
      <c r="Y268">
        <f t="shared" si="4"/>
        <v>0</v>
      </c>
      <c r="Z268" s="13">
        <f>IF(COUNTIFS(แปลงข้อมูล!H:H,Q268,แปลงข้อมูล!I:I,U268,แปลงข้อมูล!J:J,V268)&gt;0,SUMIFS(แปลงข้อมูล!Q:Q,แปลงข้อมูล!I:I,U268,แปลงข้อมูล!H:H,Q268,แปลงข้อมูล!J:J,V268),'mk 001 10.3'!Z269)</f>
        <v>0</v>
      </c>
      <c r="AA268">
        <f>'mk 001 10.3'!AA269</f>
        <v>0</v>
      </c>
      <c r="AB268">
        <f>'mk 001 10.3'!AB269</f>
        <v>0</v>
      </c>
      <c r="AC268">
        <f>'mk 001 10.3'!AC269</f>
        <v>0</v>
      </c>
      <c r="AD268">
        <f>'mk 001 10.3'!AD269</f>
        <v>0</v>
      </c>
      <c r="AE268">
        <f>'mk 001 10.3'!AE269</f>
        <v>0</v>
      </c>
      <c r="AF268">
        <f>'mk 001 10.3'!AF269</f>
        <v>0</v>
      </c>
      <c r="AG268">
        <f>'mk 001 10.3'!AG269</f>
        <v>0</v>
      </c>
      <c r="AH268">
        <f>'mk 001 10.3'!AH269</f>
        <v>0</v>
      </c>
      <c r="AI268">
        <f>'mk 001 10.3'!AI269</f>
        <v>0</v>
      </c>
      <c r="AJ268">
        <f>'mk 001 10.3'!AJ269</f>
        <v>0</v>
      </c>
      <c r="AK268">
        <f>'mk 001 10.3'!AK269</f>
        <v>0</v>
      </c>
      <c r="AL268">
        <f>'mk 001 10.3'!AL269</f>
        <v>0</v>
      </c>
      <c r="AM268">
        <f>'mk 001 10.3'!AM269</f>
        <v>0</v>
      </c>
      <c r="AN268">
        <f>'mk 001 10.3'!AN269</f>
        <v>0</v>
      </c>
      <c r="AO268">
        <f>'mk 001 10.3'!AO269</f>
        <v>0</v>
      </c>
      <c r="AP268">
        <f>'mk 001 10.3'!AP269</f>
        <v>0</v>
      </c>
      <c r="AQ268">
        <f>'mk 001 10.3'!AQ269</f>
        <v>0</v>
      </c>
      <c r="AR268">
        <f>'mk 001 10.3'!AR269</f>
        <v>0</v>
      </c>
      <c r="AS268">
        <f>'mk 001 10.3'!AS269</f>
        <v>0</v>
      </c>
      <c r="AT268">
        <f>'mk 001 10.3'!AT269</f>
        <v>0</v>
      </c>
      <c r="AU268">
        <f>'mk 001 10.3'!AU269</f>
        <v>0</v>
      </c>
      <c r="AV268">
        <f>'mk 001 10.3'!AV269</f>
        <v>0</v>
      </c>
      <c r="AW268">
        <f>'mk 001 10.3'!AW269</f>
        <v>0</v>
      </c>
      <c r="AX268">
        <f>'mk 001 10.3'!AX269</f>
        <v>0</v>
      </c>
      <c r="AY268">
        <f>'mk 001 10.3'!AY269</f>
        <v>0</v>
      </c>
      <c r="AZ268">
        <f>'mk 001 10.3'!AZ269</f>
        <v>0</v>
      </c>
      <c r="BA268" s="22">
        <f>'mk 001 10.3'!BA269</f>
        <v>0</v>
      </c>
      <c r="BB268">
        <f>'mk 001 10.3'!BB269</f>
        <v>0</v>
      </c>
      <c r="BC268">
        <f>'mk 001 10.3'!BC269</f>
        <v>0</v>
      </c>
      <c r="BD268">
        <f>'mk 001 10.3'!BD269</f>
        <v>0</v>
      </c>
      <c r="BE268">
        <f>'mk 001 10.3'!BE269</f>
        <v>0</v>
      </c>
      <c r="BF268">
        <f>'mk 001 10.3'!BF269</f>
        <v>0</v>
      </c>
      <c r="BG268">
        <f>'mk 001 10.3'!BG269</f>
        <v>0</v>
      </c>
      <c r="BH268">
        <f>'mk 001 10.3'!BH269</f>
        <v>0</v>
      </c>
      <c r="BI268">
        <f>'mk 001 10.3'!BI269</f>
        <v>0</v>
      </c>
      <c r="BJ268">
        <f>'mk 001 10.3'!BJ269</f>
        <v>0</v>
      </c>
      <c r="BK268">
        <f>'mk 001 10.3'!BK269</f>
        <v>0</v>
      </c>
      <c r="BL268">
        <f>'mk 001 10.3'!BL269</f>
        <v>0</v>
      </c>
      <c r="BM268">
        <f>'mk 001 10.3'!BM269</f>
        <v>0</v>
      </c>
      <c r="BN268">
        <f>'mk 001 10.3'!BN269</f>
        <v>0</v>
      </c>
    </row>
    <row r="269" spans="1:66" x14ac:dyDescent="0.35">
      <c r="A269">
        <f>'mk 001 10.3'!A270</f>
        <v>0</v>
      </c>
      <c r="B269">
        <f>'mk 001 10.3'!B270</f>
        <v>0</v>
      </c>
      <c r="C269" s="1">
        <f>'mk 001 10.3'!C270</f>
        <v>0</v>
      </c>
      <c r="D269" s="1">
        <f>'mk 001 10.3'!D270</f>
        <v>0</v>
      </c>
      <c r="E269">
        <f>'mk 001 10.3'!E270</f>
        <v>0</v>
      </c>
      <c r="F269">
        <f>'mk 001 10.3'!F270</f>
        <v>0</v>
      </c>
      <c r="G269">
        <f>'mk 001 10.3'!G270</f>
        <v>0</v>
      </c>
      <c r="H269">
        <f>'mk 001 10.3'!H270</f>
        <v>0</v>
      </c>
      <c r="I269">
        <f>'mk 001 10.3'!I270</f>
        <v>0</v>
      </c>
      <c r="J269">
        <f>'mk 001 10.3'!J270</f>
        <v>0</v>
      </c>
      <c r="K269">
        <f>'mk 001 10.3'!K270</f>
        <v>0</v>
      </c>
      <c r="L269">
        <f>'mk 001 10.3'!L270</f>
        <v>0</v>
      </c>
      <c r="M269">
        <f>'mk 001 10.3'!M270</f>
        <v>0</v>
      </c>
      <c r="N269">
        <f>'mk 001 10.3'!N270</f>
        <v>0</v>
      </c>
      <c r="O269">
        <f>'mk 001 10.3'!O270</f>
        <v>0</v>
      </c>
      <c r="P269">
        <f>'mk 001 10.3'!P270</f>
        <v>0</v>
      </c>
      <c r="Q269">
        <f>'mk 001 10.3'!Q270</f>
        <v>0</v>
      </c>
      <c r="R269" s="1">
        <f>'mk 001 10.3'!R270</f>
        <v>0</v>
      </c>
      <c r="S269" s="1">
        <f>'mk 001 10.3'!S270</f>
        <v>0</v>
      </c>
      <c r="T269">
        <f>'mk 001 10.3'!T270</f>
        <v>0</v>
      </c>
      <c r="U269">
        <f>'mk 001 10.3'!U270</f>
        <v>0</v>
      </c>
      <c r="V269">
        <f>'mk 001 10.3'!V270</f>
        <v>0</v>
      </c>
      <c r="W269">
        <f>'mk 001 10.3'!W270</f>
        <v>0</v>
      </c>
      <c r="X269">
        <f>'mk 001 10.3'!X270</f>
        <v>0</v>
      </c>
      <c r="Y269">
        <f t="shared" si="4"/>
        <v>0</v>
      </c>
      <c r="Z269" s="13">
        <f>IF(COUNTIFS(แปลงข้อมูล!H:H,Q269,แปลงข้อมูล!I:I,U269,แปลงข้อมูล!J:J,V269)&gt;0,SUMIFS(แปลงข้อมูล!Q:Q,แปลงข้อมูล!I:I,U269,แปลงข้อมูล!H:H,Q269,แปลงข้อมูล!J:J,V269),'mk 001 10.3'!Z270)</f>
        <v>0</v>
      </c>
      <c r="AA269">
        <f>'mk 001 10.3'!AA270</f>
        <v>0</v>
      </c>
      <c r="AB269">
        <f>'mk 001 10.3'!AB270</f>
        <v>0</v>
      </c>
      <c r="AC269">
        <f>'mk 001 10.3'!AC270</f>
        <v>0</v>
      </c>
      <c r="AD269">
        <f>'mk 001 10.3'!AD270</f>
        <v>0</v>
      </c>
      <c r="AE269">
        <f>'mk 001 10.3'!AE270</f>
        <v>0</v>
      </c>
      <c r="AF269">
        <f>'mk 001 10.3'!AF270</f>
        <v>0</v>
      </c>
      <c r="AG269">
        <f>'mk 001 10.3'!AG270</f>
        <v>0</v>
      </c>
      <c r="AH269">
        <f>'mk 001 10.3'!AH270</f>
        <v>0</v>
      </c>
      <c r="AI269">
        <f>'mk 001 10.3'!AI270</f>
        <v>0</v>
      </c>
      <c r="AJ269">
        <f>'mk 001 10.3'!AJ270</f>
        <v>0</v>
      </c>
      <c r="AK269">
        <f>'mk 001 10.3'!AK270</f>
        <v>0</v>
      </c>
      <c r="AL269">
        <f>'mk 001 10.3'!AL270</f>
        <v>0</v>
      </c>
      <c r="AM269">
        <f>'mk 001 10.3'!AM270</f>
        <v>0</v>
      </c>
      <c r="AN269">
        <f>'mk 001 10.3'!AN270</f>
        <v>0</v>
      </c>
      <c r="AO269">
        <f>'mk 001 10.3'!AO270</f>
        <v>0</v>
      </c>
      <c r="AP269">
        <f>'mk 001 10.3'!AP270</f>
        <v>0</v>
      </c>
      <c r="AQ269">
        <f>'mk 001 10.3'!AQ270</f>
        <v>0</v>
      </c>
      <c r="AR269">
        <f>'mk 001 10.3'!AR270</f>
        <v>0</v>
      </c>
      <c r="AS269">
        <f>'mk 001 10.3'!AS270</f>
        <v>0</v>
      </c>
      <c r="AT269">
        <f>'mk 001 10.3'!AT270</f>
        <v>0</v>
      </c>
      <c r="AU269">
        <f>'mk 001 10.3'!AU270</f>
        <v>0</v>
      </c>
      <c r="AV269">
        <f>'mk 001 10.3'!AV270</f>
        <v>0</v>
      </c>
      <c r="AW269">
        <f>'mk 001 10.3'!AW270</f>
        <v>0</v>
      </c>
      <c r="AX269">
        <f>'mk 001 10.3'!AX270</f>
        <v>0</v>
      </c>
      <c r="AY269">
        <f>'mk 001 10.3'!AY270</f>
        <v>0</v>
      </c>
      <c r="AZ269">
        <f>'mk 001 10.3'!AZ270</f>
        <v>0</v>
      </c>
      <c r="BA269" s="22">
        <f>'mk 001 10.3'!BA270</f>
        <v>0</v>
      </c>
      <c r="BB269">
        <f>'mk 001 10.3'!BB270</f>
        <v>0</v>
      </c>
      <c r="BC269">
        <f>'mk 001 10.3'!BC270</f>
        <v>0</v>
      </c>
      <c r="BD269">
        <f>'mk 001 10.3'!BD270</f>
        <v>0</v>
      </c>
      <c r="BE269">
        <f>'mk 001 10.3'!BE270</f>
        <v>0</v>
      </c>
      <c r="BF269">
        <f>'mk 001 10.3'!BF270</f>
        <v>0</v>
      </c>
      <c r="BG269">
        <f>'mk 001 10.3'!BG270</f>
        <v>0</v>
      </c>
      <c r="BH269">
        <f>'mk 001 10.3'!BH270</f>
        <v>0</v>
      </c>
      <c r="BI269">
        <f>'mk 001 10.3'!BI270</f>
        <v>0</v>
      </c>
      <c r="BJ269">
        <f>'mk 001 10.3'!BJ270</f>
        <v>0</v>
      </c>
      <c r="BK269">
        <f>'mk 001 10.3'!BK270</f>
        <v>0</v>
      </c>
      <c r="BL269">
        <f>'mk 001 10.3'!BL270</f>
        <v>0</v>
      </c>
      <c r="BM269">
        <f>'mk 001 10.3'!BM270</f>
        <v>0</v>
      </c>
      <c r="BN269">
        <f>'mk 001 10.3'!BN270</f>
        <v>0</v>
      </c>
    </row>
    <row r="270" spans="1:66" x14ac:dyDescent="0.35">
      <c r="A270">
        <f>'mk 001 10.3'!A271</f>
        <v>0</v>
      </c>
      <c r="B270">
        <f>'mk 001 10.3'!B271</f>
        <v>0</v>
      </c>
      <c r="C270" s="1">
        <f>'mk 001 10.3'!C271</f>
        <v>0</v>
      </c>
      <c r="D270" s="1">
        <f>'mk 001 10.3'!D271</f>
        <v>0</v>
      </c>
      <c r="E270">
        <f>'mk 001 10.3'!E271</f>
        <v>0</v>
      </c>
      <c r="F270">
        <f>'mk 001 10.3'!F271</f>
        <v>0</v>
      </c>
      <c r="G270">
        <f>'mk 001 10.3'!G271</f>
        <v>0</v>
      </c>
      <c r="H270">
        <f>'mk 001 10.3'!H271</f>
        <v>0</v>
      </c>
      <c r="I270">
        <f>'mk 001 10.3'!I271</f>
        <v>0</v>
      </c>
      <c r="J270">
        <f>'mk 001 10.3'!J271</f>
        <v>0</v>
      </c>
      <c r="K270">
        <f>'mk 001 10.3'!K271</f>
        <v>0</v>
      </c>
      <c r="L270">
        <f>'mk 001 10.3'!L271</f>
        <v>0</v>
      </c>
      <c r="M270">
        <f>'mk 001 10.3'!M271</f>
        <v>0</v>
      </c>
      <c r="N270">
        <f>'mk 001 10.3'!N271</f>
        <v>0</v>
      </c>
      <c r="O270">
        <f>'mk 001 10.3'!O271</f>
        <v>0</v>
      </c>
      <c r="P270">
        <f>'mk 001 10.3'!P271</f>
        <v>0</v>
      </c>
      <c r="Q270">
        <f>'mk 001 10.3'!Q271</f>
        <v>0</v>
      </c>
      <c r="R270" s="1">
        <f>'mk 001 10.3'!R271</f>
        <v>0</v>
      </c>
      <c r="S270" s="1">
        <f>'mk 001 10.3'!S271</f>
        <v>0</v>
      </c>
      <c r="T270">
        <f>'mk 001 10.3'!T271</f>
        <v>0</v>
      </c>
      <c r="U270">
        <f>'mk 001 10.3'!U271</f>
        <v>0</v>
      </c>
      <c r="V270">
        <f>'mk 001 10.3'!V271</f>
        <v>0</v>
      </c>
      <c r="W270">
        <f>'mk 001 10.3'!W271</f>
        <v>0</v>
      </c>
      <c r="X270">
        <f>'mk 001 10.3'!X271</f>
        <v>0</v>
      </c>
      <c r="Y270">
        <f t="shared" si="4"/>
        <v>0</v>
      </c>
      <c r="Z270" s="13">
        <f>IF(COUNTIFS(แปลงข้อมูล!H:H,Q270,แปลงข้อมูล!I:I,U270,แปลงข้อมูล!J:J,V270)&gt;0,SUMIFS(แปลงข้อมูล!Q:Q,แปลงข้อมูล!I:I,U270,แปลงข้อมูล!H:H,Q270,แปลงข้อมูล!J:J,V270),'mk 001 10.3'!Z271)</f>
        <v>0</v>
      </c>
      <c r="AA270">
        <f>'mk 001 10.3'!AA271</f>
        <v>0</v>
      </c>
      <c r="AB270">
        <f>'mk 001 10.3'!AB271</f>
        <v>0</v>
      </c>
      <c r="AC270">
        <f>'mk 001 10.3'!AC271</f>
        <v>0</v>
      </c>
      <c r="AD270">
        <f>'mk 001 10.3'!AD271</f>
        <v>0</v>
      </c>
      <c r="AE270">
        <f>'mk 001 10.3'!AE271</f>
        <v>0</v>
      </c>
      <c r="AF270">
        <f>'mk 001 10.3'!AF271</f>
        <v>0</v>
      </c>
      <c r="AG270">
        <f>'mk 001 10.3'!AG271</f>
        <v>0</v>
      </c>
      <c r="AH270">
        <f>'mk 001 10.3'!AH271</f>
        <v>0</v>
      </c>
      <c r="AI270">
        <f>'mk 001 10.3'!AI271</f>
        <v>0</v>
      </c>
      <c r="AJ270">
        <f>'mk 001 10.3'!AJ271</f>
        <v>0</v>
      </c>
      <c r="AK270">
        <f>'mk 001 10.3'!AK271</f>
        <v>0</v>
      </c>
      <c r="AL270">
        <f>'mk 001 10.3'!AL271</f>
        <v>0</v>
      </c>
      <c r="AM270">
        <f>'mk 001 10.3'!AM271</f>
        <v>0</v>
      </c>
      <c r="AN270">
        <f>'mk 001 10.3'!AN271</f>
        <v>0</v>
      </c>
      <c r="AO270">
        <f>'mk 001 10.3'!AO271</f>
        <v>0</v>
      </c>
      <c r="AP270">
        <f>'mk 001 10.3'!AP271</f>
        <v>0</v>
      </c>
      <c r="AQ270">
        <f>'mk 001 10.3'!AQ271</f>
        <v>0</v>
      </c>
      <c r="AR270">
        <f>'mk 001 10.3'!AR271</f>
        <v>0</v>
      </c>
      <c r="AS270">
        <f>'mk 001 10.3'!AS271</f>
        <v>0</v>
      </c>
      <c r="AT270">
        <f>'mk 001 10.3'!AT271</f>
        <v>0</v>
      </c>
      <c r="AU270">
        <f>'mk 001 10.3'!AU271</f>
        <v>0</v>
      </c>
      <c r="AV270">
        <f>'mk 001 10.3'!AV271</f>
        <v>0</v>
      </c>
      <c r="AW270">
        <f>'mk 001 10.3'!AW271</f>
        <v>0</v>
      </c>
      <c r="AX270">
        <f>'mk 001 10.3'!AX271</f>
        <v>0</v>
      </c>
      <c r="AY270">
        <f>'mk 001 10.3'!AY271</f>
        <v>0</v>
      </c>
      <c r="AZ270">
        <f>'mk 001 10.3'!AZ271</f>
        <v>0</v>
      </c>
      <c r="BA270" s="22">
        <f>'mk 001 10.3'!BA271</f>
        <v>0</v>
      </c>
      <c r="BB270">
        <f>'mk 001 10.3'!BB271</f>
        <v>0</v>
      </c>
      <c r="BC270">
        <f>'mk 001 10.3'!BC271</f>
        <v>0</v>
      </c>
      <c r="BD270">
        <f>'mk 001 10.3'!BD271</f>
        <v>0</v>
      </c>
      <c r="BE270">
        <f>'mk 001 10.3'!BE271</f>
        <v>0</v>
      </c>
      <c r="BF270">
        <f>'mk 001 10.3'!BF271</f>
        <v>0</v>
      </c>
      <c r="BG270">
        <f>'mk 001 10.3'!BG271</f>
        <v>0</v>
      </c>
      <c r="BH270">
        <f>'mk 001 10.3'!BH271</f>
        <v>0</v>
      </c>
      <c r="BI270">
        <f>'mk 001 10.3'!BI271</f>
        <v>0</v>
      </c>
      <c r="BJ270">
        <f>'mk 001 10.3'!BJ271</f>
        <v>0</v>
      </c>
      <c r="BK270">
        <f>'mk 001 10.3'!BK271</f>
        <v>0</v>
      </c>
      <c r="BL270">
        <f>'mk 001 10.3'!BL271</f>
        <v>0</v>
      </c>
      <c r="BM270">
        <f>'mk 001 10.3'!BM271</f>
        <v>0</v>
      </c>
      <c r="BN270">
        <f>'mk 001 10.3'!BN271</f>
        <v>0</v>
      </c>
    </row>
    <row r="271" spans="1:66" x14ac:dyDescent="0.35">
      <c r="A271">
        <f>'mk 001 10.3'!A272</f>
        <v>0</v>
      </c>
      <c r="B271">
        <f>'mk 001 10.3'!B272</f>
        <v>0</v>
      </c>
      <c r="C271" s="1">
        <f>'mk 001 10.3'!C272</f>
        <v>0</v>
      </c>
      <c r="D271" s="1">
        <f>'mk 001 10.3'!D272</f>
        <v>0</v>
      </c>
      <c r="E271">
        <f>'mk 001 10.3'!E272</f>
        <v>0</v>
      </c>
      <c r="F271">
        <f>'mk 001 10.3'!F272</f>
        <v>0</v>
      </c>
      <c r="G271">
        <f>'mk 001 10.3'!G272</f>
        <v>0</v>
      </c>
      <c r="H271">
        <f>'mk 001 10.3'!H272</f>
        <v>0</v>
      </c>
      <c r="I271">
        <f>'mk 001 10.3'!I272</f>
        <v>0</v>
      </c>
      <c r="J271">
        <f>'mk 001 10.3'!J272</f>
        <v>0</v>
      </c>
      <c r="K271">
        <f>'mk 001 10.3'!K272</f>
        <v>0</v>
      </c>
      <c r="L271">
        <f>'mk 001 10.3'!L272</f>
        <v>0</v>
      </c>
      <c r="M271">
        <f>'mk 001 10.3'!M272</f>
        <v>0</v>
      </c>
      <c r="N271">
        <f>'mk 001 10.3'!N272</f>
        <v>0</v>
      </c>
      <c r="O271">
        <f>'mk 001 10.3'!O272</f>
        <v>0</v>
      </c>
      <c r="P271">
        <f>'mk 001 10.3'!P272</f>
        <v>0</v>
      </c>
      <c r="Q271">
        <f>'mk 001 10.3'!Q272</f>
        <v>0</v>
      </c>
      <c r="R271" s="1">
        <f>'mk 001 10.3'!R272</f>
        <v>0</v>
      </c>
      <c r="S271" s="1">
        <f>'mk 001 10.3'!S272</f>
        <v>0</v>
      </c>
      <c r="T271">
        <f>'mk 001 10.3'!T272</f>
        <v>0</v>
      </c>
      <c r="U271">
        <f>'mk 001 10.3'!U272</f>
        <v>0</v>
      </c>
      <c r="V271">
        <f>'mk 001 10.3'!V272</f>
        <v>0</v>
      </c>
      <c r="W271">
        <f>'mk 001 10.3'!W272</f>
        <v>0</v>
      </c>
      <c r="X271">
        <f>'mk 001 10.3'!X272</f>
        <v>0</v>
      </c>
      <c r="Y271">
        <f t="shared" si="4"/>
        <v>0</v>
      </c>
      <c r="Z271" s="13">
        <f>IF(COUNTIFS(แปลงข้อมูล!H:H,Q271,แปลงข้อมูล!I:I,U271,แปลงข้อมูล!J:J,V271)&gt;0,SUMIFS(แปลงข้อมูล!Q:Q,แปลงข้อมูล!I:I,U271,แปลงข้อมูล!H:H,Q271,แปลงข้อมูล!J:J,V271),'mk 001 10.3'!Z272)</f>
        <v>0</v>
      </c>
      <c r="AA271">
        <f>'mk 001 10.3'!AA272</f>
        <v>0</v>
      </c>
      <c r="AB271">
        <f>'mk 001 10.3'!AB272</f>
        <v>0</v>
      </c>
      <c r="AC271">
        <f>'mk 001 10.3'!AC272</f>
        <v>0</v>
      </c>
      <c r="AD271">
        <f>'mk 001 10.3'!AD272</f>
        <v>0</v>
      </c>
      <c r="AE271">
        <f>'mk 001 10.3'!AE272</f>
        <v>0</v>
      </c>
      <c r="AF271">
        <f>'mk 001 10.3'!AF272</f>
        <v>0</v>
      </c>
      <c r="AG271">
        <f>'mk 001 10.3'!AG272</f>
        <v>0</v>
      </c>
      <c r="AH271">
        <f>'mk 001 10.3'!AH272</f>
        <v>0</v>
      </c>
      <c r="AI271">
        <f>'mk 001 10.3'!AI272</f>
        <v>0</v>
      </c>
      <c r="AJ271">
        <f>'mk 001 10.3'!AJ272</f>
        <v>0</v>
      </c>
      <c r="AK271">
        <f>'mk 001 10.3'!AK272</f>
        <v>0</v>
      </c>
      <c r="AL271">
        <f>'mk 001 10.3'!AL272</f>
        <v>0</v>
      </c>
      <c r="AM271">
        <f>'mk 001 10.3'!AM272</f>
        <v>0</v>
      </c>
      <c r="AN271">
        <f>'mk 001 10.3'!AN272</f>
        <v>0</v>
      </c>
      <c r="AO271">
        <f>'mk 001 10.3'!AO272</f>
        <v>0</v>
      </c>
      <c r="AP271">
        <f>'mk 001 10.3'!AP272</f>
        <v>0</v>
      </c>
      <c r="AQ271">
        <f>'mk 001 10.3'!AQ272</f>
        <v>0</v>
      </c>
      <c r="AR271">
        <f>'mk 001 10.3'!AR272</f>
        <v>0</v>
      </c>
      <c r="AS271">
        <f>'mk 001 10.3'!AS272</f>
        <v>0</v>
      </c>
      <c r="AT271">
        <f>'mk 001 10.3'!AT272</f>
        <v>0</v>
      </c>
      <c r="AU271">
        <f>'mk 001 10.3'!AU272</f>
        <v>0</v>
      </c>
      <c r="AV271">
        <f>'mk 001 10.3'!AV272</f>
        <v>0</v>
      </c>
      <c r="AW271">
        <f>'mk 001 10.3'!AW272</f>
        <v>0</v>
      </c>
      <c r="AX271">
        <f>'mk 001 10.3'!AX272</f>
        <v>0</v>
      </c>
      <c r="AY271">
        <f>'mk 001 10.3'!AY272</f>
        <v>0</v>
      </c>
      <c r="AZ271">
        <f>'mk 001 10.3'!AZ272</f>
        <v>0</v>
      </c>
      <c r="BA271" s="22">
        <f>'mk 001 10.3'!BA272</f>
        <v>0</v>
      </c>
      <c r="BB271">
        <f>'mk 001 10.3'!BB272</f>
        <v>0</v>
      </c>
      <c r="BC271">
        <f>'mk 001 10.3'!BC272</f>
        <v>0</v>
      </c>
      <c r="BD271">
        <f>'mk 001 10.3'!BD272</f>
        <v>0</v>
      </c>
      <c r="BE271">
        <f>'mk 001 10.3'!BE272</f>
        <v>0</v>
      </c>
      <c r="BF271">
        <f>'mk 001 10.3'!BF272</f>
        <v>0</v>
      </c>
      <c r="BG271">
        <f>'mk 001 10.3'!BG272</f>
        <v>0</v>
      </c>
      <c r="BH271">
        <f>'mk 001 10.3'!BH272</f>
        <v>0</v>
      </c>
      <c r="BI271">
        <f>'mk 001 10.3'!BI272</f>
        <v>0</v>
      </c>
      <c r="BJ271">
        <f>'mk 001 10.3'!BJ272</f>
        <v>0</v>
      </c>
      <c r="BK271">
        <f>'mk 001 10.3'!BK272</f>
        <v>0</v>
      </c>
      <c r="BL271">
        <f>'mk 001 10.3'!BL272</f>
        <v>0</v>
      </c>
      <c r="BM271">
        <f>'mk 001 10.3'!BM272</f>
        <v>0</v>
      </c>
      <c r="BN271">
        <f>'mk 001 10.3'!BN272</f>
        <v>0</v>
      </c>
    </row>
    <row r="272" spans="1:66" x14ac:dyDescent="0.35">
      <c r="A272">
        <f>'mk 001 10.3'!A273</f>
        <v>0</v>
      </c>
      <c r="B272">
        <f>'mk 001 10.3'!B273</f>
        <v>0</v>
      </c>
      <c r="C272" s="1">
        <f>'mk 001 10.3'!C273</f>
        <v>0</v>
      </c>
      <c r="D272" s="1">
        <f>'mk 001 10.3'!D273</f>
        <v>0</v>
      </c>
      <c r="E272">
        <f>'mk 001 10.3'!E273</f>
        <v>0</v>
      </c>
      <c r="F272">
        <f>'mk 001 10.3'!F273</f>
        <v>0</v>
      </c>
      <c r="G272">
        <f>'mk 001 10.3'!G273</f>
        <v>0</v>
      </c>
      <c r="H272">
        <f>'mk 001 10.3'!H273</f>
        <v>0</v>
      </c>
      <c r="I272">
        <f>'mk 001 10.3'!I273</f>
        <v>0</v>
      </c>
      <c r="J272">
        <f>'mk 001 10.3'!J273</f>
        <v>0</v>
      </c>
      <c r="K272">
        <f>'mk 001 10.3'!K273</f>
        <v>0</v>
      </c>
      <c r="L272">
        <f>'mk 001 10.3'!L273</f>
        <v>0</v>
      </c>
      <c r="M272">
        <f>'mk 001 10.3'!M273</f>
        <v>0</v>
      </c>
      <c r="N272">
        <f>'mk 001 10.3'!N273</f>
        <v>0</v>
      </c>
      <c r="O272">
        <f>'mk 001 10.3'!O273</f>
        <v>0</v>
      </c>
      <c r="P272">
        <f>'mk 001 10.3'!P273</f>
        <v>0</v>
      </c>
      <c r="Q272">
        <f>'mk 001 10.3'!Q273</f>
        <v>0</v>
      </c>
      <c r="R272" s="1">
        <f>'mk 001 10.3'!R273</f>
        <v>0</v>
      </c>
      <c r="S272" s="1">
        <f>'mk 001 10.3'!S273</f>
        <v>0</v>
      </c>
      <c r="T272">
        <f>'mk 001 10.3'!T273</f>
        <v>0</v>
      </c>
      <c r="U272">
        <f>'mk 001 10.3'!U273</f>
        <v>0</v>
      </c>
      <c r="V272">
        <f>'mk 001 10.3'!V273</f>
        <v>0</v>
      </c>
      <c r="W272">
        <f>'mk 001 10.3'!W273</f>
        <v>0</v>
      </c>
      <c r="X272">
        <f>'mk 001 10.3'!X273</f>
        <v>0</v>
      </c>
      <c r="Y272">
        <f t="shared" si="4"/>
        <v>0</v>
      </c>
      <c r="Z272" s="13">
        <f>IF(COUNTIFS(แปลงข้อมูล!H:H,Q272,แปลงข้อมูล!I:I,U272,แปลงข้อมูล!J:J,V272)&gt;0,SUMIFS(แปลงข้อมูล!Q:Q,แปลงข้อมูล!I:I,U272,แปลงข้อมูล!H:H,Q272,แปลงข้อมูล!J:J,V272),'mk 001 10.3'!Z273)</f>
        <v>0</v>
      </c>
      <c r="AA272">
        <f>'mk 001 10.3'!AA273</f>
        <v>0</v>
      </c>
      <c r="AB272">
        <f>'mk 001 10.3'!AB273</f>
        <v>0</v>
      </c>
      <c r="AC272">
        <f>'mk 001 10.3'!AC273</f>
        <v>0</v>
      </c>
      <c r="AD272">
        <f>'mk 001 10.3'!AD273</f>
        <v>0</v>
      </c>
      <c r="AE272">
        <f>'mk 001 10.3'!AE273</f>
        <v>0</v>
      </c>
      <c r="AF272">
        <f>'mk 001 10.3'!AF273</f>
        <v>0</v>
      </c>
      <c r="AG272">
        <f>'mk 001 10.3'!AG273</f>
        <v>0</v>
      </c>
      <c r="AH272">
        <f>'mk 001 10.3'!AH273</f>
        <v>0</v>
      </c>
      <c r="AI272">
        <f>'mk 001 10.3'!AI273</f>
        <v>0</v>
      </c>
      <c r="AJ272">
        <f>'mk 001 10.3'!AJ273</f>
        <v>0</v>
      </c>
      <c r="AK272">
        <f>'mk 001 10.3'!AK273</f>
        <v>0</v>
      </c>
      <c r="AL272">
        <f>'mk 001 10.3'!AL273</f>
        <v>0</v>
      </c>
      <c r="AM272">
        <f>'mk 001 10.3'!AM273</f>
        <v>0</v>
      </c>
      <c r="AN272">
        <f>'mk 001 10.3'!AN273</f>
        <v>0</v>
      </c>
      <c r="AO272">
        <f>'mk 001 10.3'!AO273</f>
        <v>0</v>
      </c>
      <c r="AP272">
        <f>'mk 001 10.3'!AP273</f>
        <v>0</v>
      </c>
      <c r="AQ272">
        <f>'mk 001 10.3'!AQ273</f>
        <v>0</v>
      </c>
      <c r="AR272">
        <f>'mk 001 10.3'!AR273</f>
        <v>0</v>
      </c>
      <c r="AS272">
        <f>'mk 001 10.3'!AS273</f>
        <v>0</v>
      </c>
      <c r="AT272">
        <f>'mk 001 10.3'!AT273</f>
        <v>0</v>
      </c>
      <c r="AU272">
        <f>'mk 001 10.3'!AU273</f>
        <v>0</v>
      </c>
      <c r="AV272">
        <f>'mk 001 10.3'!AV273</f>
        <v>0</v>
      </c>
      <c r="AW272">
        <f>'mk 001 10.3'!AW273</f>
        <v>0</v>
      </c>
      <c r="AX272">
        <f>'mk 001 10.3'!AX273</f>
        <v>0</v>
      </c>
      <c r="AY272">
        <f>'mk 001 10.3'!AY273</f>
        <v>0</v>
      </c>
      <c r="AZ272">
        <f>'mk 001 10.3'!AZ273</f>
        <v>0</v>
      </c>
      <c r="BA272" s="22">
        <f>'mk 001 10.3'!BA273</f>
        <v>0</v>
      </c>
      <c r="BB272">
        <f>'mk 001 10.3'!BB273</f>
        <v>0</v>
      </c>
      <c r="BC272">
        <f>'mk 001 10.3'!BC273</f>
        <v>0</v>
      </c>
      <c r="BD272">
        <f>'mk 001 10.3'!BD273</f>
        <v>0</v>
      </c>
      <c r="BE272">
        <f>'mk 001 10.3'!BE273</f>
        <v>0</v>
      </c>
      <c r="BF272">
        <f>'mk 001 10.3'!BF273</f>
        <v>0</v>
      </c>
      <c r="BG272">
        <f>'mk 001 10.3'!BG273</f>
        <v>0</v>
      </c>
      <c r="BH272">
        <f>'mk 001 10.3'!BH273</f>
        <v>0</v>
      </c>
      <c r="BI272">
        <f>'mk 001 10.3'!BI273</f>
        <v>0</v>
      </c>
      <c r="BJ272">
        <f>'mk 001 10.3'!BJ273</f>
        <v>0</v>
      </c>
      <c r="BK272">
        <f>'mk 001 10.3'!BK273</f>
        <v>0</v>
      </c>
      <c r="BL272">
        <f>'mk 001 10.3'!BL273</f>
        <v>0</v>
      </c>
      <c r="BM272">
        <f>'mk 001 10.3'!BM273</f>
        <v>0</v>
      </c>
      <c r="BN272">
        <f>'mk 001 10.3'!BN273</f>
        <v>0</v>
      </c>
    </row>
    <row r="273" spans="1:66" x14ac:dyDescent="0.35">
      <c r="A273">
        <f>'mk 001 10.3'!A274</f>
        <v>0</v>
      </c>
      <c r="B273">
        <f>'mk 001 10.3'!B274</f>
        <v>0</v>
      </c>
      <c r="C273" s="1">
        <f>'mk 001 10.3'!C274</f>
        <v>0</v>
      </c>
      <c r="D273" s="1">
        <f>'mk 001 10.3'!D274</f>
        <v>0</v>
      </c>
      <c r="E273">
        <f>'mk 001 10.3'!E274</f>
        <v>0</v>
      </c>
      <c r="F273">
        <f>'mk 001 10.3'!F274</f>
        <v>0</v>
      </c>
      <c r="G273">
        <f>'mk 001 10.3'!G274</f>
        <v>0</v>
      </c>
      <c r="H273">
        <f>'mk 001 10.3'!H274</f>
        <v>0</v>
      </c>
      <c r="I273">
        <f>'mk 001 10.3'!I274</f>
        <v>0</v>
      </c>
      <c r="J273">
        <f>'mk 001 10.3'!J274</f>
        <v>0</v>
      </c>
      <c r="K273">
        <f>'mk 001 10.3'!K274</f>
        <v>0</v>
      </c>
      <c r="L273">
        <f>'mk 001 10.3'!L274</f>
        <v>0</v>
      </c>
      <c r="M273">
        <f>'mk 001 10.3'!M274</f>
        <v>0</v>
      </c>
      <c r="N273">
        <f>'mk 001 10.3'!N274</f>
        <v>0</v>
      </c>
      <c r="O273">
        <f>'mk 001 10.3'!O274</f>
        <v>0</v>
      </c>
      <c r="P273">
        <f>'mk 001 10.3'!P274</f>
        <v>0</v>
      </c>
      <c r="Q273">
        <f>'mk 001 10.3'!Q274</f>
        <v>0</v>
      </c>
      <c r="R273" s="1">
        <f>'mk 001 10.3'!R274</f>
        <v>0</v>
      </c>
      <c r="S273" s="1">
        <f>'mk 001 10.3'!S274</f>
        <v>0</v>
      </c>
      <c r="T273">
        <f>'mk 001 10.3'!T274</f>
        <v>0</v>
      </c>
      <c r="U273">
        <f>'mk 001 10.3'!U274</f>
        <v>0</v>
      </c>
      <c r="V273">
        <f>'mk 001 10.3'!V274</f>
        <v>0</v>
      </c>
      <c r="W273">
        <f>'mk 001 10.3'!W274</f>
        <v>0</v>
      </c>
      <c r="X273">
        <f>'mk 001 10.3'!X274</f>
        <v>0</v>
      </c>
      <c r="Y273">
        <f t="shared" si="4"/>
        <v>0</v>
      </c>
      <c r="Z273" s="13">
        <f>IF(COUNTIFS(แปลงข้อมูล!H:H,Q273,แปลงข้อมูล!I:I,U273,แปลงข้อมูล!J:J,V273)&gt;0,SUMIFS(แปลงข้อมูล!Q:Q,แปลงข้อมูล!I:I,U273,แปลงข้อมูล!H:H,Q273,แปลงข้อมูล!J:J,V273),'mk 001 10.3'!Z274)</f>
        <v>0</v>
      </c>
      <c r="AA273">
        <f>'mk 001 10.3'!AA274</f>
        <v>0</v>
      </c>
      <c r="AB273">
        <f>'mk 001 10.3'!AB274</f>
        <v>0</v>
      </c>
      <c r="AC273">
        <f>'mk 001 10.3'!AC274</f>
        <v>0</v>
      </c>
      <c r="AD273">
        <f>'mk 001 10.3'!AD274</f>
        <v>0</v>
      </c>
      <c r="AE273">
        <f>'mk 001 10.3'!AE274</f>
        <v>0</v>
      </c>
      <c r="AF273">
        <f>'mk 001 10.3'!AF274</f>
        <v>0</v>
      </c>
      <c r="AG273">
        <f>'mk 001 10.3'!AG274</f>
        <v>0</v>
      </c>
      <c r="AH273">
        <f>'mk 001 10.3'!AH274</f>
        <v>0</v>
      </c>
      <c r="AI273">
        <f>'mk 001 10.3'!AI274</f>
        <v>0</v>
      </c>
      <c r="AJ273">
        <f>'mk 001 10.3'!AJ274</f>
        <v>0</v>
      </c>
      <c r="AK273">
        <f>'mk 001 10.3'!AK274</f>
        <v>0</v>
      </c>
      <c r="AL273">
        <f>'mk 001 10.3'!AL274</f>
        <v>0</v>
      </c>
      <c r="AM273">
        <f>'mk 001 10.3'!AM274</f>
        <v>0</v>
      </c>
      <c r="AN273">
        <f>'mk 001 10.3'!AN274</f>
        <v>0</v>
      </c>
      <c r="AO273">
        <f>'mk 001 10.3'!AO274</f>
        <v>0</v>
      </c>
      <c r="AP273">
        <f>'mk 001 10.3'!AP274</f>
        <v>0</v>
      </c>
      <c r="AQ273">
        <f>'mk 001 10.3'!AQ274</f>
        <v>0</v>
      </c>
      <c r="AR273">
        <f>'mk 001 10.3'!AR274</f>
        <v>0</v>
      </c>
      <c r="AS273">
        <f>'mk 001 10.3'!AS274</f>
        <v>0</v>
      </c>
      <c r="AT273">
        <f>'mk 001 10.3'!AT274</f>
        <v>0</v>
      </c>
      <c r="AU273">
        <f>'mk 001 10.3'!AU274</f>
        <v>0</v>
      </c>
      <c r="AV273">
        <f>'mk 001 10.3'!AV274</f>
        <v>0</v>
      </c>
      <c r="AW273">
        <f>'mk 001 10.3'!AW274</f>
        <v>0</v>
      </c>
      <c r="AX273">
        <f>'mk 001 10.3'!AX274</f>
        <v>0</v>
      </c>
      <c r="AY273">
        <f>'mk 001 10.3'!AY274</f>
        <v>0</v>
      </c>
      <c r="AZ273">
        <f>'mk 001 10.3'!AZ274</f>
        <v>0</v>
      </c>
      <c r="BA273" s="22">
        <f>'mk 001 10.3'!BA274</f>
        <v>0</v>
      </c>
      <c r="BB273">
        <f>'mk 001 10.3'!BB274</f>
        <v>0</v>
      </c>
      <c r="BC273">
        <f>'mk 001 10.3'!BC274</f>
        <v>0</v>
      </c>
      <c r="BD273">
        <f>'mk 001 10.3'!BD274</f>
        <v>0</v>
      </c>
      <c r="BE273">
        <f>'mk 001 10.3'!BE274</f>
        <v>0</v>
      </c>
      <c r="BF273">
        <f>'mk 001 10.3'!BF274</f>
        <v>0</v>
      </c>
      <c r="BG273">
        <f>'mk 001 10.3'!BG274</f>
        <v>0</v>
      </c>
      <c r="BH273">
        <f>'mk 001 10.3'!BH274</f>
        <v>0</v>
      </c>
      <c r="BI273">
        <f>'mk 001 10.3'!BI274</f>
        <v>0</v>
      </c>
      <c r="BJ273">
        <f>'mk 001 10.3'!BJ274</f>
        <v>0</v>
      </c>
      <c r="BK273">
        <f>'mk 001 10.3'!BK274</f>
        <v>0</v>
      </c>
      <c r="BL273">
        <f>'mk 001 10.3'!BL274</f>
        <v>0</v>
      </c>
      <c r="BM273">
        <f>'mk 001 10.3'!BM274</f>
        <v>0</v>
      </c>
      <c r="BN273">
        <f>'mk 001 10.3'!BN274</f>
        <v>0</v>
      </c>
    </row>
    <row r="274" spans="1:66" x14ac:dyDescent="0.35">
      <c r="A274">
        <f>'mk 001 10.3'!A275</f>
        <v>0</v>
      </c>
      <c r="B274">
        <f>'mk 001 10.3'!B275</f>
        <v>0</v>
      </c>
      <c r="C274" s="1">
        <f>'mk 001 10.3'!C275</f>
        <v>0</v>
      </c>
      <c r="D274" s="1">
        <f>'mk 001 10.3'!D275</f>
        <v>0</v>
      </c>
      <c r="E274">
        <f>'mk 001 10.3'!E275</f>
        <v>0</v>
      </c>
      <c r="F274">
        <f>'mk 001 10.3'!F275</f>
        <v>0</v>
      </c>
      <c r="G274">
        <f>'mk 001 10.3'!G275</f>
        <v>0</v>
      </c>
      <c r="H274">
        <f>'mk 001 10.3'!H275</f>
        <v>0</v>
      </c>
      <c r="I274">
        <f>'mk 001 10.3'!I275</f>
        <v>0</v>
      </c>
      <c r="J274">
        <f>'mk 001 10.3'!J275</f>
        <v>0</v>
      </c>
      <c r="K274">
        <f>'mk 001 10.3'!K275</f>
        <v>0</v>
      </c>
      <c r="L274">
        <f>'mk 001 10.3'!L275</f>
        <v>0</v>
      </c>
      <c r="M274">
        <f>'mk 001 10.3'!M275</f>
        <v>0</v>
      </c>
      <c r="N274">
        <f>'mk 001 10.3'!N275</f>
        <v>0</v>
      </c>
      <c r="O274">
        <f>'mk 001 10.3'!O275</f>
        <v>0</v>
      </c>
      <c r="P274">
        <f>'mk 001 10.3'!P275</f>
        <v>0</v>
      </c>
      <c r="Q274">
        <f>'mk 001 10.3'!Q275</f>
        <v>0</v>
      </c>
      <c r="R274" s="1">
        <f>'mk 001 10.3'!R275</f>
        <v>0</v>
      </c>
      <c r="S274" s="1">
        <f>'mk 001 10.3'!S275</f>
        <v>0</v>
      </c>
      <c r="T274">
        <f>'mk 001 10.3'!T275</f>
        <v>0</v>
      </c>
      <c r="U274">
        <f>'mk 001 10.3'!U275</f>
        <v>0</v>
      </c>
      <c r="V274">
        <f>'mk 001 10.3'!V275</f>
        <v>0</v>
      </c>
      <c r="W274">
        <f>'mk 001 10.3'!W275</f>
        <v>0</v>
      </c>
      <c r="X274">
        <f>'mk 001 10.3'!X275</f>
        <v>0</v>
      </c>
      <c r="Y274">
        <f t="shared" si="4"/>
        <v>0</v>
      </c>
      <c r="Z274" s="13">
        <f>IF(COUNTIFS(แปลงข้อมูล!H:H,Q274,แปลงข้อมูล!I:I,U274,แปลงข้อมูล!J:J,V274)&gt;0,SUMIFS(แปลงข้อมูล!Q:Q,แปลงข้อมูล!I:I,U274,แปลงข้อมูล!H:H,Q274,แปลงข้อมูล!J:J,V274),'mk 001 10.3'!Z275)</f>
        <v>0</v>
      </c>
      <c r="AA274">
        <f>'mk 001 10.3'!AA275</f>
        <v>0</v>
      </c>
      <c r="AB274">
        <f>'mk 001 10.3'!AB275</f>
        <v>0</v>
      </c>
      <c r="AC274">
        <f>'mk 001 10.3'!AC275</f>
        <v>0</v>
      </c>
      <c r="AD274">
        <f>'mk 001 10.3'!AD275</f>
        <v>0</v>
      </c>
      <c r="AE274">
        <f>'mk 001 10.3'!AE275</f>
        <v>0</v>
      </c>
      <c r="AF274">
        <f>'mk 001 10.3'!AF275</f>
        <v>0</v>
      </c>
      <c r="AG274">
        <f>'mk 001 10.3'!AG275</f>
        <v>0</v>
      </c>
      <c r="AH274">
        <f>'mk 001 10.3'!AH275</f>
        <v>0</v>
      </c>
      <c r="AI274">
        <f>'mk 001 10.3'!AI275</f>
        <v>0</v>
      </c>
      <c r="AJ274">
        <f>'mk 001 10.3'!AJ275</f>
        <v>0</v>
      </c>
      <c r="AK274">
        <f>'mk 001 10.3'!AK275</f>
        <v>0</v>
      </c>
      <c r="AL274">
        <f>'mk 001 10.3'!AL275</f>
        <v>0</v>
      </c>
      <c r="AM274">
        <f>'mk 001 10.3'!AM275</f>
        <v>0</v>
      </c>
      <c r="AN274">
        <f>'mk 001 10.3'!AN275</f>
        <v>0</v>
      </c>
      <c r="AO274">
        <f>'mk 001 10.3'!AO275</f>
        <v>0</v>
      </c>
      <c r="AP274">
        <f>'mk 001 10.3'!AP275</f>
        <v>0</v>
      </c>
      <c r="AQ274">
        <f>'mk 001 10.3'!AQ275</f>
        <v>0</v>
      </c>
      <c r="AR274">
        <f>'mk 001 10.3'!AR275</f>
        <v>0</v>
      </c>
      <c r="AS274">
        <f>'mk 001 10.3'!AS275</f>
        <v>0</v>
      </c>
      <c r="AT274">
        <f>'mk 001 10.3'!AT275</f>
        <v>0</v>
      </c>
      <c r="AU274">
        <f>'mk 001 10.3'!AU275</f>
        <v>0</v>
      </c>
      <c r="AV274">
        <f>'mk 001 10.3'!AV275</f>
        <v>0</v>
      </c>
      <c r="AW274">
        <f>'mk 001 10.3'!AW275</f>
        <v>0</v>
      </c>
      <c r="AX274">
        <f>'mk 001 10.3'!AX275</f>
        <v>0</v>
      </c>
      <c r="AY274">
        <f>'mk 001 10.3'!AY275</f>
        <v>0</v>
      </c>
      <c r="AZ274">
        <f>'mk 001 10.3'!AZ275</f>
        <v>0</v>
      </c>
      <c r="BA274" s="22">
        <f>'mk 001 10.3'!BA275</f>
        <v>0</v>
      </c>
      <c r="BB274">
        <f>'mk 001 10.3'!BB275</f>
        <v>0</v>
      </c>
      <c r="BC274">
        <f>'mk 001 10.3'!BC275</f>
        <v>0</v>
      </c>
      <c r="BD274">
        <f>'mk 001 10.3'!BD275</f>
        <v>0</v>
      </c>
      <c r="BE274">
        <f>'mk 001 10.3'!BE275</f>
        <v>0</v>
      </c>
      <c r="BF274">
        <f>'mk 001 10.3'!BF275</f>
        <v>0</v>
      </c>
      <c r="BG274">
        <f>'mk 001 10.3'!BG275</f>
        <v>0</v>
      </c>
      <c r="BH274">
        <f>'mk 001 10.3'!BH275</f>
        <v>0</v>
      </c>
      <c r="BI274">
        <f>'mk 001 10.3'!BI275</f>
        <v>0</v>
      </c>
      <c r="BJ274">
        <f>'mk 001 10.3'!BJ275</f>
        <v>0</v>
      </c>
      <c r="BK274">
        <f>'mk 001 10.3'!BK275</f>
        <v>0</v>
      </c>
      <c r="BL274">
        <f>'mk 001 10.3'!BL275</f>
        <v>0</v>
      </c>
      <c r="BM274">
        <f>'mk 001 10.3'!BM275</f>
        <v>0</v>
      </c>
      <c r="BN274">
        <f>'mk 001 10.3'!BN275</f>
        <v>0</v>
      </c>
    </row>
    <row r="275" spans="1:66" x14ac:dyDescent="0.35">
      <c r="A275">
        <f>'mk 001 10.3'!A276</f>
        <v>0</v>
      </c>
      <c r="B275">
        <f>'mk 001 10.3'!B276</f>
        <v>0</v>
      </c>
      <c r="C275" s="1">
        <f>'mk 001 10.3'!C276</f>
        <v>0</v>
      </c>
      <c r="D275" s="1">
        <f>'mk 001 10.3'!D276</f>
        <v>0</v>
      </c>
      <c r="E275">
        <f>'mk 001 10.3'!E276</f>
        <v>0</v>
      </c>
      <c r="F275">
        <f>'mk 001 10.3'!F276</f>
        <v>0</v>
      </c>
      <c r="G275">
        <f>'mk 001 10.3'!G276</f>
        <v>0</v>
      </c>
      <c r="H275">
        <f>'mk 001 10.3'!H276</f>
        <v>0</v>
      </c>
      <c r="I275">
        <f>'mk 001 10.3'!I276</f>
        <v>0</v>
      </c>
      <c r="J275">
        <f>'mk 001 10.3'!J276</f>
        <v>0</v>
      </c>
      <c r="K275">
        <f>'mk 001 10.3'!K276</f>
        <v>0</v>
      </c>
      <c r="L275">
        <f>'mk 001 10.3'!L276</f>
        <v>0</v>
      </c>
      <c r="M275">
        <f>'mk 001 10.3'!M276</f>
        <v>0</v>
      </c>
      <c r="N275">
        <f>'mk 001 10.3'!N276</f>
        <v>0</v>
      </c>
      <c r="O275">
        <f>'mk 001 10.3'!O276</f>
        <v>0</v>
      </c>
      <c r="P275">
        <f>'mk 001 10.3'!P276</f>
        <v>0</v>
      </c>
      <c r="Q275">
        <f>'mk 001 10.3'!Q276</f>
        <v>0</v>
      </c>
      <c r="R275" s="1">
        <f>'mk 001 10.3'!R276</f>
        <v>0</v>
      </c>
      <c r="S275" s="1">
        <f>'mk 001 10.3'!S276</f>
        <v>0</v>
      </c>
      <c r="T275">
        <f>'mk 001 10.3'!T276</f>
        <v>0</v>
      </c>
      <c r="U275">
        <f>'mk 001 10.3'!U276</f>
        <v>0</v>
      </c>
      <c r="V275">
        <f>'mk 001 10.3'!V276</f>
        <v>0</v>
      </c>
      <c r="W275">
        <f>'mk 001 10.3'!W276</f>
        <v>0</v>
      </c>
      <c r="X275">
        <f>'mk 001 10.3'!X276</f>
        <v>0</v>
      </c>
      <c r="Y275">
        <f t="shared" si="4"/>
        <v>0</v>
      </c>
      <c r="Z275" s="13">
        <f>IF(COUNTIFS(แปลงข้อมูล!H:H,Q275,แปลงข้อมูล!I:I,U275,แปลงข้อมูล!J:J,V275)&gt;0,SUMIFS(แปลงข้อมูล!Q:Q,แปลงข้อมูล!I:I,U275,แปลงข้อมูล!H:H,Q275,แปลงข้อมูล!J:J,V275),'mk 001 10.3'!Z276)</f>
        <v>0</v>
      </c>
      <c r="AA275">
        <f>'mk 001 10.3'!AA276</f>
        <v>0</v>
      </c>
      <c r="AB275">
        <f>'mk 001 10.3'!AB276</f>
        <v>0</v>
      </c>
      <c r="AC275">
        <f>'mk 001 10.3'!AC276</f>
        <v>0</v>
      </c>
      <c r="AD275">
        <f>'mk 001 10.3'!AD276</f>
        <v>0</v>
      </c>
      <c r="AE275">
        <f>'mk 001 10.3'!AE276</f>
        <v>0</v>
      </c>
      <c r="AF275">
        <f>'mk 001 10.3'!AF276</f>
        <v>0</v>
      </c>
      <c r="AG275">
        <f>'mk 001 10.3'!AG276</f>
        <v>0</v>
      </c>
      <c r="AH275">
        <f>'mk 001 10.3'!AH276</f>
        <v>0</v>
      </c>
      <c r="AI275">
        <f>'mk 001 10.3'!AI276</f>
        <v>0</v>
      </c>
      <c r="AJ275">
        <f>'mk 001 10.3'!AJ276</f>
        <v>0</v>
      </c>
      <c r="AK275">
        <f>'mk 001 10.3'!AK276</f>
        <v>0</v>
      </c>
      <c r="AL275">
        <f>'mk 001 10.3'!AL276</f>
        <v>0</v>
      </c>
      <c r="AM275">
        <f>'mk 001 10.3'!AM276</f>
        <v>0</v>
      </c>
      <c r="AN275">
        <f>'mk 001 10.3'!AN276</f>
        <v>0</v>
      </c>
      <c r="AO275">
        <f>'mk 001 10.3'!AO276</f>
        <v>0</v>
      </c>
      <c r="AP275">
        <f>'mk 001 10.3'!AP276</f>
        <v>0</v>
      </c>
      <c r="AQ275">
        <f>'mk 001 10.3'!AQ276</f>
        <v>0</v>
      </c>
      <c r="AR275">
        <f>'mk 001 10.3'!AR276</f>
        <v>0</v>
      </c>
      <c r="AS275">
        <f>'mk 001 10.3'!AS276</f>
        <v>0</v>
      </c>
      <c r="AT275">
        <f>'mk 001 10.3'!AT276</f>
        <v>0</v>
      </c>
      <c r="AU275">
        <f>'mk 001 10.3'!AU276</f>
        <v>0</v>
      </c>
      <c r="AV275">
        <f>'mk 001 10.3'!AV276</f>
        <v>0</v>
      </c>
      <c r="AW275">
        <f>'mk 001 10.3'!AW276</f>
        <v>0</v>
      </c>
      <c r="AX275">
        <f>'mk 001 10.3'!AX276</f>
        <v>0</v>
      </c>
      <c r="AY275">
        <f>'mk 001 10.3'!AY276</f>
        <v>0</v>
      </c>
      <c r="AZ275">
        <f>'mk 001 10.3'!AZ276</f>
        <v>0</v>
      </c>
      <c r="BA275" s="22">
        <f>'mk 001 10.3'!BA276</f>
        <v>0</v>
      </c>
      <c r="BB275">
        <f>'mk 001 10.3'!BB276</f>
        <v>0</v>
      </c>
      <c r="BC275">
        <f>'mk 001 10.3'!BC276</f>
        <v>0</v>
      </c>
      <c r="BD275">
        <f>'mk 001 10.3'!BD276</f>
        <v>0</v>
      </c>
      <c r="BE275">
        <f>'mk 001 10.3'!BE276</f>
        <v>0</v>
      </c>
      <c r="BF275">
        <f>'mk 001 10.3'!BF276</f>
        <v>0</v>
      </c>
      <c r="BG275">
        <f>'mk 001 10.3'!BG276</f>
        <v>0</v>
      </c>
      <c r="BH275">
        <f>'mk 001 10.3'!BH276</f>
        <v>0</v>
      </c>
      <c r="BI275">
        <f>'mk 001 10.3'!BI276</f>
        <v>0</v>
      </c>
      <c r="BJ275">
        <f>'mk 001 10.3'!BJ276</f>
        <v>0</v>
      </c>
      <c r="BK275">
        <f>'mk 001 10.3'!BK276</f>
        <v>0</v>
      </c>
      <c r="BL275">
        <f>'mk 001 10.3'!BL276</f>
        <v>0</v>
      </c>
      <c r="BM275">
        <f>'mk 001 10.3'!BM276</f>
        <v>0</v>
      </c>
      <c r="BN275">
        <f>'mk 001 10.3'!BN276</f>
        <v>0</v>
      </c>
    </row>
    <row r="276" spans="1:66" x14ac:dyDescent="0.35">
      <c r="A276">
        <f>'mk 001 10.3'!A277</f>
        <v>0</v>
      </c>
      <c r="B276">
        <f>'mk 001 10.3'!B277</f>
        <v>0</v>
      </c>
      <c r="C276" s="1">
        <f>'mk 001 10.3'!C277</f>
        <v>0</v>
      </c>
      <c r="D276" s="1">
        <f>'mk 001 10.3'!D277</f>
        <v>0</v>
      </c>
      <c r="E276">
        <f>'mk 001 10.3'!E277</f>
        <v>0</v>
      </c>
      <c r="F276">
        <f>'mk 001 10.3'!F277</f>
        <v>0</v>
      </c>
      <c r="G276">
        <f>'mk 001 10.3'!G277</f>
        <v>0</v>
      </c>
      <c r="H276">
        <f>'mk 001 10.3'!H277</f>
        <v>0</v>
      </c>
      <c r="I276">
        <f>'mk 001 10.3'!I277</f>
        <v>0</v>
      </c>
      <c r="J276">
        <f>'mk 001 10.3'!J277</f>
        <v>0</v>
      </c>
      <c r="K276">
        <f>'mk 001 10.3'!K277</f>
        <v>0</v>
      </c>
      <c r="L276">
        <f>'mk 001 10.3'!L277</f>
        <v>0</v>
      </c>
      <c r="M276">
        <f>'mk 001 10.3'!M277</f>
        <v>0</v>
      </c>
      <c r="N276">
        <f>'mk 001 10.3'!N277</f>
        <v>0</v>
      </c>
      <c r="O276">
        <f>'mk 001 10.3'!O277</f>
        <v>0</v>
      </c>
      <c r="P276">
        <f>'mk 001 10.3'!P277</f>
        <v>0</v>
      </c>
      <c r="Q276">
        <f>'mk 001 10.3'!Q277</f>
        <v>0</v>
      </c>
      <c r="R276" s="1">
        <f>'mk 001 10.3'!R277</f>
        <v>0</v>
      </c>
      <c r="S276" s="1">
        <f>'mk 001 10.3'!S277</f>
        <v>0</v>
      </c>
      <c r="T276">
        <f>'mk 001 10.3'!T277</f>
        <v>0</v>
      </c>
      <c r="U276">
        <f>'mk 001 10.3'!U277</f>
        <v>0</v>
      </c>
      <c r="V276">
        <f>'mk 001 10.3'!V277</f>
        <v>0</v>
      </c>
      <c r="W276">
        <f>'mk 001 10.3'!W277</f>
        <v>0</v>
      </c>
      <c r="X276">
        <f>'mk 001 10.3'!X277</f>
        <v>0</v>
      </c>
      <c r="Y276">
        <f t="shared" si="4"/>
        <v>0</v>
      </c>
      <c r="Z276" s="13">
        <f>IF(COUNTIFS(แปลงข้อมูล!H:H,Q276,แปลงข้อมูล!I:I,U276,แปลงข้อมูล!J:J,V276)&gt;0,SUMIFS(แปลงข้อมูล!Q:Q,แปลงข้อมูล!I:I,U276,แปลงข้อมูล!H:H,Q276,แปลงข้อมูล!J:J,V276),'mk 001 10.3'!Z277)</f>
        <v>0</v>
      </c>
      <c r="AA276">
        <f>'mk 001 10.3'!AA277</f>
        <v>0</v>
      </c>
      <c r="AB276">
        <f>'mk 001 10.3'!AB277</f>
        <v>0</v>
      </c>
      <c r="AC276">
        <f>'mk 001 10.3'!AC277</f>
        <v>0</v>
      </c>
      <c r="AD276">
        <f>'mk 001 10.3'!AD277</f>
        <v>0</v>
      </c>
      <c r="AE276">
        <f>'mk 001 10.3'!AE277</f>
        <v>0</v>
      </c>
      <c r="AF276">
        <f>'mk 001 10.3'!AF277</f>
        <v>0</v>
      </c>
      <c r="AG276">
        <f>'mk 001 10.3'!AG277</f>
        <v>0</v>
      </c>
      <c r="AH276">
        <f>'mk 001 10.3'!AH277</f>
        <v>0</v>
      </c>
      <c r="AI276">
        <f>'mk 001 10.3'!AI277</f>
        <v>0</v>
      </c>
      <c r="AJ276">
        <f>'mk 001 10.3'!AJ277</f>
        <v>0</v>
      </c>
      <c r="AK276">
        <f>'mk 001 10.3'!AK277</f>
        <v>0</v>
      </c>
      <c r="AL276">
        <f>'mk 001 10.3'!AL277</f>
        <v>0</v>
      </c>
      <c r="AM276">
        <f>'mk 001 10.3'!AM277</f>
        <v>0</v>
      </c>
      <c r="AN276">
        <f>'mk 001 10.3'!AN277</f>
        <v>0</v>
      </c>
      <c r="AO276">
        <f>'mk 001 10.3'!AO277</f>
        <v>0</v>
      </c>
      <c r="AP276">
        <f>'mk 001 10.3'!AP277</f>
        <v>0</v>
      </c>
      <c r="AQ276">
        <f>'mk 001 10.3'!AQ277</f>
        <v>0</v>
      </c>
      <c r="AR276">
        <f>'mk 001 10.3'!AR277</f>
        <v>0</v>
      </c>
      <c r="AS276">
        <f>'mk 001 10.3'!AS277</f>
        <v>0</v>
      </c>
      <c r="AT276">
        <f>'mk 001 10.3'!AT277</f>
        <v>0</v>
      </c>
      <c r="AU276">
        <f>'mk 001 10.3'!AU277</f>
        <v>0</v>
      </c>
      <c r="AV276">
        <f>'mk 001 10.3'!AV277</f>
        <v>0</v>
      </c>
      <c r="AW276">
        <f>'mk 001 10.3'!AW277</f>
        <v>0</v>
      </c>
      <c r="AX276">
        <f>'mk 001 10.3'!AX277</f>
        <v>0</v>
      </c>
      <c r="AY276">
        <f>'mk 001 10.3'!AY277</f>
        <v>0</v>
      </c>
      <c r="AZ276">
        <f>'mk 001 10.3'!AZ277</f>
        <v>0</v>
      </c>
      <c r="BA276" s="22">
        <f>'mk 001 10.3'!BA277</f>
        <v>0</v>
      </c>
      <c r="BB276">
        <f>'mk 001 10.3'!BB277</f>
        <v>0</v>
      </c>
      <c r="BC276">
        <f>'mk 001 10.3'!BC277</f>
        <v>0</v>
      </c>
      <c r="BD276">
        <f>'mk 001 10.3'!BD277</f>
        <v>0</v>
      </c>
      <c r="BE276">
        <f>'mk 001 10.3'!BE277</f>
        <v>0</v>
      </c>
      <c r="BF276">
        <f>'mk 001 10.3'!BF277</f>
        <v>0</v>
      </c>
      <c r="BG276">
        <f>'mk 001 10.3'!BG277</f>
        <v>0</v>
      </c>
      <c r="BH276">
        <f>'mk 001 10.3'!BH277</f>
        <v>0</v>
      </c>
      <c r="BI276">
        <f>'mk 001 10.3'!BI277</f>
        <v>0</v>
      </c>
      <c r="BJ276">
        <f>'mk 001 10.3'!BJ277</f>
        <v>0</v>
      </c>
      <c r="BK276">
        <f>'mk 001 10.3'!BK277</f>
        <v>0</v>
      </c>
      <c r="BL276">
        <f>'mk 001 10.3'!BL277</f>
        <v>0</v>
      </c>
      <c r="BM276">
        <f>'mk 001 10.3'!BM277</f>
        <v>0</v>
      </c>
      <c r="BN276">
        <f>'mk 001 10.3'!BN277</f>
        <v>0</v>
      </c>
    </row>
    <row r="277" spans="1:66" x14ac:dyDescent="0.35">
      <c r="A277">
        <f>'mk 001 10.3'!A278</f>
        <v>0</v>
      </c>
      <c r="B277">
        <f>'mk 001 10.3'!B278</f>
        <v>0</v>
      </c>
      <c r="C277" s="1">
        <f>'mk 001 10.3'!C278</f>
        <v>0</v>
      </c>
      <c r="D277" s="1">
        <f>'mk 001 10.3'!D278</f>
        <v>0</v>
      </c>
      <c r="E277">
        <f>'mk 001 10.3'!E278</f>
        <v>0</v>
      </c>
      <c r="F277">
        <f>'mk 001 10.3'!F278</f>
        <v>0</v>
      </c>
      <c r="G277">
        <f>'mk 001 10.3'!G278</f>
        <v>0</v>
      </c>
      <c r="H277">
        <f>'mk 001 10.3'!H278</f>
        <v>0</v>
      </c>
      <c r="I277">
        <f>'mk 001 10.3'!I278</f>
        <v>0</v>
      </c>
      <c r="J277">
        <f>'mk 001 10.3'!J278</f>
        <v>0</v>
      </c>
      <c r="K277">
        <f>'mk 001 10.3'!K278</f>
        <v>0</v>
      </c>
      <c r="L277">
        <f>'mk 001 10.3'!L278</f>
        <v>0</v>
      </c>
      <c r="M277">
        <f>'mk 001 10.3'!M278</f>
        <v>0</v>
      </c>
      <c r="N277">
        <f>'mk 001 10.3'!N278</f>
        <v>0</v>
      </c>
      <c r="O277">
        <f>'mk 001 10.3'!O278</f>
        <v>0</v>
      </c>
      <c r="P277">
        <f>'mk 001 10.3'!P278</f>
        <v>0</v>
      </c>
      <c r="Q277">
        <f>'mk 001 10.3'!Q278</f>
        <v>0</v>
      </c>
      <c r="R277" s="1">
        <f>'mk 001 10.3'!R278</f>
        <v>0</v>
      </c>
      <c r="S277" s="1">
        <f>'mk 001 10.3'!S278</f>
        <v>0</v>
      </c>
      <c r="T277">
        <f>'mk 001 10.3'!T278</f>
        <v>0</v>
      </c>
      <c r="U277">
        <f>'mk 001 10.3'!U278</f>
        <v>0</v>
      </c>
      <c r="V277">
        <f>'mk 001 10.3'!V278</f>
        <v>0</v>
      </c>
      <c r="W277">
        <f>'mk 001 10.3'!W278</f>
        <v>0</v>
      </c>
      <c r="X277">
        <f>'mk 001 10.3'!X278</f>
        <v>0</v>
      </c>
      <c r="Y277">
        <f t="shared" si="4"/>
        <v>0</v>
      </c>
      <c r="Z277" s="13">
        <f>IF(COUNTIFS(แปลงข้อมูล!H:H,Q277,แปลงข้อมูล!I:I,U277,แปลงข้อมูล!J:J,V277)&gt;0,SUMIFS(แปลงข้อมูล!Q:Q,แปลงข้อมูล!I:I,U277,แปลงข้อมูล!H:H,Q277,แปลงข้อมูล!J:J,V277),'mk 001 10.3'!Z278)</f>
        <v>0</v>
      </c>
      <c r="AA277">
        <f>'mk 001 10.3'!AA278</f>
        <v>0</v>
      </c>
      <c r="AB277">
        <f>'mk 001 10.3'!AB278</f>
        <v>0</v>
      </c>
      <c r="AC277">
        <f>'mk 001 10.3'!AC278</f>
        <v>0</v>
      </c>
      <c r="AD277">
        <f>'mk 001 10.3'!AD278</f>
        <v>0</v>
      </c>
      <c r="AE277">
        <f>'mk 001 10.3'!AE278</f>
        <v>0</v>
      </c>
      <c r="AF277">
        <f>'mk 001 10.3'!AF278</f>
        <v>0</v>
      </c>
      <c r="AG277">
        <f>'mk 001 10.3'!AG278</f>
        <v>0</v>
      </c>
      <c r="AH277">
        <f>'mk 001 10.3'!AH278</f>
        <v>0</v>
      </c>
      <c r="AI277">
        <f>'mk 001 10.3'!AI278</f>
        <v>0</v>
      </c>
      <c r="AJ277">
        <f>'mk 001 10.3'!AJ278</f>
        <v>0</v>
      </c>
      <c r="AK277">
        <f>'mk 001 10.3'!AK278</f>
        <v>0</v>
      </c>
      <c r="AL277">
        <f>'mk 001 10.3'!AL278</f>
        <v>0</v>
      </c>
      <c r="AM277">
        <f>'mk 001 10.3'!AM278</f>
        <v>0</v>
      </c>
      <c r="AN277">
        <f>'mk 001 10.3'!AN278</f>
        <v>0</v>
      </c>
      <c r="AO277">
        <f>'mk 001 10.3'!AO278</f>
        <v>0</v>
      </c>
      <c r="AP277">
        <f>'mk 001 10.3'!AP278</f>
        <v>0</v>
      </c>
      <c r="AQ277">
        <f>'mk 001 10.3'!AQ278</f>
        <v>0</v>
      </c>
      <c r="AR277">
        <f>'mk 001 10.3'!AR278</f>
        <v>0</v>
      </c>
      <c r="AS277">
        <f>'mk 001 10.3'!AS278</f>
        <v>0</v>
      </c>
      <c r="AT277">
        <f>'mk 001 10.3'!AT278</f>
        <v>0</v>
      </c>
      <c r="AU277">
        <f>'mk 001 10.3'!AU278</f>
        <v>0</v>
      </c>
      <c r="AV277">
        <f>'mk 001 10.3'!AV278</f>
        <v>0</v>
      </c>
      <c r="AW277">
        <f>'mk 001 10.3'!AW278</f>
        <v>0</v>
      </c>
      <c r="AX277">
        <f>'mk 001 10.3'!AX278</f>
        <v>0</v>
      </c>
      <c r="AY277">
        <f>'mk 001 10.3'!AY278</f>
        <v>0</v>
      </c>
      <c r="AZ277">
        <f>'mk 001 10.3'!AZ278</f>
        <v>0</v>
      </c>
      <c r="BA277" s="22">
        <f>'mk 001 10.3'!BA278</f>
        <v>0</v>
      </c>
      <c r="BB277">
        <f>'mk 001 10.3'!BB278</f>
        <v>0</v>
      </c>
      <c r="BC277">
        <f>'mk 001 10.3'!BC278</f>
        <v>0</v>
      </c>
      <c r="BD277">
        <f>'mk 001 10.3'!BD278</f>
        <v>0</v>
      </c>
      <c r="BE277">
        <f>'mk 001 10.3'!BE278</f>
        <v>0</v>
      </c>
      <c r="BF277">
        <f>'mk 001 10.3'!BF278</f>
        <v>0</v>
      </c>
      <c r="BG277">
        <f>'mk 001 10.3'!BG278</f>
        <v>0</v>
      </c>
      <c r="BH277">
        <f>'mk 001 10.3'!BH278</f>
        <v>0</v>
      </c>
      <c r="BI277">
        <f>'mk 001 10.3'!BI278</f>
        <v>0</v>
      </c>
      <c r="BJ277">
        <f>'mk 001 10.3'!BJ278</f>
        <v>0</v>
      </c>
      <c r="BK277">
        <f>'mk 001 10.3'!BK278</f>
        <v>0</v>
      </c>
      <c r="BL277">
        <f>'mk 001 10.3'!BL278</f>
        <v>0</v>
      </c>
      <c r="BM277">
        <f>'mk 001 10.3'!BM278</f>
        <v>0</v>
      </c>
      <c r="BN277">
        <f>'mk 001 10.3'!BN278</f>
        <v>0</v>
      </c>
    </row>
    <row r="278" spans="1:66" x14ac:dyDescent="0.35">
      <c r="A278">
        <f>'mk 001 10.3'!A279</f>
        <v>0</v>
      </c>
      <c r="B278">
        <f>'mk 001 10.3'!B279</f>
        <v>0</v>
      </c>
      <c r="C278" s="1">
        <f>'mk 001 10.3'!C279</f>
        <v>0</v>
      </c>
      <c r="D278" s="1">
        <f>'mk 001 10.3'!D279</f>
        <v>0</v>
      </c>
      <c r="E278">
        <f>'mk 001 10.3'!E279</f>
        <v>0</v>
      </c>
      <c r="F278">
        <f>'mk 001 10.3'!F279</f>
        <v>0</v>
      </c>
      <c r="G278">
        <f>'mk 001 10.3'!G279</f>
        <v>0</v>
      </c>
      <c r="H278">
        <f>'mk 001 10.3'!H279</f>
        <v>0</v>
      </c>
      <c r="I278">
        <f>'mk 001 10.3'!I279</f>
        <v>0</v>
      </c>
      <c r="J278">
        <f>'mk 001 10.3'!J279</f>
        <v>0</v>
      </c>
      <c r="K278">
        <f>'mk 001 10.3'!K279</f>
        <v>0</v>
      </c>
      <c r="L278">
        <f>'mk 001 10.3'!L279</f>
        <v>0</v>
      </c>
      <c r="M278">
        <f>'mk 001 10.3'!M279</f>
        <v>0</v>
      </c>
      <c r="N278">
        <f>'mk 001 10.3'!N279</f>
        <v>0</v>
      </c>
      <c r="O278">
        <f>'mk 001 10.3'!O279</f>
        <v>0</v>
      </c>
      <c r="P278">
        <f>'mk 001 10.3'!P279</f>
        <v>0</v>
      </c>
      <c r="Q278">
        <f>'mk 001 10.3'!Q279</f>
        <v>0</v>
      </c>
      <c r="R278" s="1">
        <f>'mk 001 10.3'!R279</f>
        <v>0</v>
      </c>
      <c r="S278" s="1">
        <f>'mk 001 10.3'!S279</f>
        <v>0</v>
      </c>
      <c r="T278">
        <f>'mk 001 10.3'!T279</f>
        <v>0</v>
      </c>
      <c r="U278">
        <f>'mk 001 10.3'!U279</f>
        <v>0</v>
      </c>
      <c r="V278">
        <f>'mk 001 10.3'!V279</f>
        <v>0</v>
      </c>
      <c r="W278">
        <f>'mk 001 10.3'!W279</f>
        <v>0</v>
      </c>
      <c r="X278">
        <f>'mk 001 10.3'!X279</f>
        <v>0</v>
      </c>
      <c r="Y278">
        <f t="shared" si="4"/>
        <v>0</v>
      </c>
      <c r="Z278" s="13">
        <f>IF(COUNTIFS(แปลงข้อมูล!H:H,Q278,แปลงข้อมูล!I:I,U278,แปลงข้อมูล!J:J,V278)&gt;0,SUMIFS(แปลงข้อมูล!Q:Q,แปลงข้อมูล!I:I,U278,แปลงข้อมูล!H:H,Q278,แปลงข้อมูล!J:J,V278),'mk 001 10.3'!Z279)</f>
        <v>0</v>
      </c>
      <c r="AA278">
        <f>'mk 001 10.3'!AA279</f>
        <v>0</v>
      </c>
      <c r="AB278">
        <f>'mk 001 10.3'!AB279</f>
        <v>0</v>
      </c>
      <c r="AC278">
        <f>'mk 001 10.3'!AC279</f>
        <v>0</v>
      </c>
      <c r="AD278">
        <f>'mk 001 10.3'!AD279</f>
        <v>0</v>
      </c>
      <c r="AE278">
        <f>'mk 001 10.3'!AE279</f>
        <v>0</v>
      </c>
      <c r="AF278">
        <f>'mk 001 10.3'!AF279</f>
        <v>0</v>
      </c>
      <c r="AG278">
        <f>'mk 001 10.3'!AG279</f>
        <v>0</v>
      </c>
      <c r="AH278">
        <f>'mk 001 10.3'!AH279</f>
        <v>0</v>
      </c>
      <c r="AI278">
        <f>'mk 001 10.3'!AI279</f>
        <v>0</v>
      </c>
      <c r="AJ278">
        <f>'mk 001 10.3'!AJ279</f>
        <v>0</v>
      </c>
      <c r="AK278">
        <f>'mk 001 10.3'!AK279</f>
        <v>0</v>
      </c>
      <c r="AL278">
        <f>'mk 001 10.3'!AL279</f>
        <v>0</v>
      </c>
      <c r="AM278">
        <f>'mk 001 10.3'!AM279</f>
        <v>0</v>
      </c>
      <c r="AN278">
        <f>'mk 001 10.3'!AN279</f>
        <v>0</v>
      </c>
      <c r="AO278">
        <f>'mk 001 10.3'!AO279</f>
        <v>0</v>
      </c>
      <c r="AP278">
        <f>'mk 001 10.3'!AP279</f>
        <v>0</v>
      </c>
      <c r="AQ278">
        <f>'mk 001 10.3'!AQ279</f>
        <v>0</v>
      </c>
      <c r="AR278">
        <f>'mk 001 10.3'!AR279</f>
        <v>0</v>
      </c>
      <c r="AS278">
        <f>'mk 001 10.3'!AS279</f>
        <v>0</v>
      </c>
      <c r="AT278">
        <f>'mk 001 10.3'!AT279</f>
        <v>0</v>
      </c>
      <c r="AU278">
        <f>'mk 001 10.3'!AU279</f>
        <v>0</v>
      </c>
      <c r="AV278">
        <f>'mk 001 10.3'!AV279</f>
        <v>0</v>
      </c>
      <c r="AW278">
        <f>'mk 001 10.3'!AW279</f>
        <v>0</v>
      </c>
      <c r="AX278">
        <f>'mk 001 10.3'!AX279</f>
        <v>0</v>
      </c>
      <c r="AY278">
        <f>'mk 001 10.3'!AY279</f>
        <v>0</v>
      </c>
      <c r="AZ278">
        <f>'mk 001 10.3'!AZ279</f>
        <v>0</v>
      </c>
      <c r="BA278" s="22">
        <f>'mk 001 10.3'!BA279</f>
        <v>0</v>
      </c>
      <c r="BB278">
        <f>'mk 001 10.3'!BB279</f>
        <v>0</v>
      </c>
      <c r="BC278">
        <f>'mk 001 10.3'!BC279</f>
        <v>0</v>
      </c>
      <c r="BD278">
        <f>'mk 001 10.3'!BD279</f>
        <v>0</v>
      </c>
      <c r="BE278">
        <f>'mk 001 10.3'!BE279</f>
        <v>0</v>
      </c>
      <c r="BF278">
        <f>'mk 001 10.3'!BF279</f>
        <v>0</v>
      </c>
      <c r="BG278">
        <f>'mk 001 10.3'!BG279</f>
        <v>0</v>
      </c>
      <c r="BH278">
        <f>'mk 001 10.3'!BH279</f>
        <v>0</v>
      </c>
      <c r="BI278">
        <f>'mk 001 10.3'!BI279</f>
        <v>0</v>
      </c>
      <c r="BJ278">
        <f>'mk 001 10.3'!BJ279</f>
        <v>0</v>
      </c>
      <c r="BK278">
        <f>'mk 001 10.3'!BK279</f>
        <v>0</v>
      </c>
      <c r="BL278">
        <f>'mk 001 10.3'!BL279</f>
        <v>0</v>
      </c>
      <c r="BM278">
        <f>'mk 001 10.3'!BM279</f>
        <v>0</v>
      </c>
      <c r="BN278">
        <f>'mk 001 10.3'!BN279</f>
        <v>0</v>
      </c>
    </row>
    <row r="279" spans="1:66" x14ac:dyDescent="0.35">
      <c r="A279">
        <f>'mk 001 10.3'!A280</f>
        <v>0</v>
      </c>
      <c r="B279">
        <f>'mk 001 10.3'!B280</f>
        <v>0</v>
      </c>
      <c r="C279" s="1">
        <f>'mk 001 10.3'!C280</f>
        <v>0</v>
      </c>
      <c r="D279" s="1">
        <f>'mk 001 10.3'!D280</f>
        <v>0</v>
      </c>
      <c r="E279">
        <f>'mk 001 10.3'!E280</f>
        <v>0</v>
      </c>
      <c r="F279">
        <f>'mk 001 10.3'!F280</f>
        <v>0</v>
      </c>
      <c r="G279">
        <f>'mk 001 10.3'!G280</f>
        <v>0</v>
      </c>
      <c r="H279">
        <f>'mk 001 10.3'!H280</f>
        <v>0</v>
      </c>
      <c r="I279">
        <f>'mk 001 10.3'!I280</f>
        <v>0</v>
      </c>
      <c r="J279">
        <f>'mk 001 10.3'!J280</f>
        <v>0</v>
      </c>
      <c r="K279">
        <f>'mk 001 10.3'!K280</f>
        <v>0</v>
      </c>
      <c r="L279">
        <f>'mk 001 10.3'!L280</f>
        <v>0</v>
      </c>
      <c r="M279">
        <f>'mk 001 10.3'!M280</f>
        <v>0</v>
      </c>
      <c r="N279">
        <f>'mk 001 10.3'!N280</f>
        <v>0</v>
      </c>
      <c r="O279">
        <f>'mk 001 10.3'!O280</f>
        <v>0</v>
      </c>
      <c r="P279">
        <f>'mk 001 10.3'!P280</f>
        <v>0</v>
      </c>
      <c r="Q279">
        <f>'mk 001 10.3'!Q280</f>
        <v>0</v>
      </c>
      <c r="R279" s="1">
        <f>'mk 001 10.3'!R280</f>
        <v>0</v>
      </c>
      <c r="S279" s="1">
        <f>'mk 001 10.3'!S280</f>
        <v>0</v>
      </c>
      <c r="T279">
        <f>'mk 001 10.3'!T280</f>
        <v>0</v>
      </c>
      <c r="U279">
        <f>'mk 001 10.3'!U280</f>
        <v>0</v>
      </c>
      <c r="V279">
        <f>'mk 001 10.3'!V280</f>
        <v>0</v>
      </c>
      <c r="W279">
        <f>'mk 001 10.3'!W280</f>
        <v>0</v>
      </c>
      <c r="X279">
        <f>'mk 001 10.3'!X280</f>
        <v>0</v>
      </c>
      <c r="Y279">
        <f t="shared" si="4"/>
        <v>0</v>
      </c>
      <c r="Z279" s="13">
        <f>IF(COUNTIFS(แปลงข้อมูล!H:H,Q279,แปลงข้อมูล!I:I,U279,แปลงข้อมูล!J:J,V279)&gt;0,SUMIFS(แปลงข้อมูล!Q:Q,แปลงข้อมูล!I:I,U279,แปลงข้อมูล!H:H,Q279,แปลงข้อมูล!J:J,V279),'mk 001 10.3'!Z280)</f>
        <v>0</v>
      </c>
      <c r="AA279">
        <f>'mk 001 10.3'!AA280</f>
        <v>0</v>
      </c>
      <c r="AB279">
        <f>'mk 001 10.3'!AB280</f>
        <v>0</v>
      </c>
      <c r="AC279">
        <f>'mk 001 10.3'!AC280</f>
        <v>0</v>
      </c>
      <c r="AD279">
        <f>'mk 001 10.3'!AD280</f>
        <v>0</v>
      </c>
      <c r="AE279">
        <f>'mk 001 10.3'!AE280</f>
        <v>0</v>
      </c>
      <c r="AF279">
        <f>'mk 001 10.3'!AF280</f>
        <v>0</v>
      </c>
      <c r="AG279">
        <f>'mk 001 10.3'!AG280</f>
        <v>0</v>
      </c>
      <c r="AH279">
        <f>'mk 001 10.3'!AH280</f>
        <v>0</v>
      </c>
      <c r="AI279">
        <f>'mk 001 10.3'!AI280</f>
        <v>0</v>
      </c>
      <c r="AJ279">
        <f>'mk 001 10.3'!AJ280</f>
        <v>0</v>
      </c>
      <c r="AK279">
        <f>'mk 001 10.3'!AK280</f>
        <v>0</v>
      </c>
      <c r="AL279">
        <f>'mk 001 10.3'!AL280</f>
        <v>0</v>
      </c>
      <c r="AM279">
        <f>'mk 001 10.3'!AM280</f>
        <v>0</v>
      </c>
      <c r="AN279">
        <f>'mk 001 10.3'!AN280</f>
        <v>0</v>
      </c>
      <c r="AO279">
        <f>'mk 001 10.3'!AO280</f>
        <v>0</v>
      </c>
      <c r="AP279">
        <f>'mk 001 10.3'!AP280</f>
        <v>0</v>
      </c>
      <c r="AQ279">
        <f>'mk 001 10.3'!AQ280</f>
        <v>0</v>
      </c>
      <c r="AR279">
        <f>'mk 001 10.3'!AR280</f>
        <v>0</v>
      </c>
      <c r="AS279">
        <f>'mk 001 10.3'!AS280</f>
        <v>0</v>
      </c>
      <c r="AT279">
        <f>'mk 001 10.3'!AT280</f>
        <v>0</v>
      </c>
      <c r="AU279">
        <f>'mk 001 10.3'!AU280</f>
        <v>0</v>
      </c>
      <c r="AV279">
        <f>'mk 001 10.3'!AV280</f>
        <v>0</v>
      </c>
      <c r="AW279">
        <f>'mk 001 10.3'!AW280</f>
        <v>0</v>
      </c>
      <c r="AX279">
        <f>'mk 001 10.3'!AX280</f>
        <v>0</v>
      </c>
      <c r="AY279">
        <f>'mk 001 10.3'!AY280</f>
        <v>0</v>
      </c>
      <c r="AZ279">
        <f>'mk 001 10.3'!AZ280</f>
        <v>0</v>
      </c>
      <c r="BA279" s="22">
        <f>'mk 001 10.3'!BA280</f>
        <v>0</v>
      </c>
      <c r="BB279">
        <f>'mk 001 10.3'!BB280</f>
        <v>0</v>
      </c>
      <c r="BC279">
        <f>'mk 001 10.3'!BC280</f>
        <v>0</v>
      </c>
      <c r="BD279">
        <f>'mk 001 10.3'!BD280</f>
        <v>0</v>
      </c>
      <c r="BE279">
        <f>'mk 001 10.3'!BE280</f>
        <v>0</v>
      </c>
      <c r="BF279">
        <f>'mk 001 10.3'!BF280</f>
        <v>0</v>
      </c>
      <c r="BG279">
        <f>'mk 001 10.3'!BG280</f>
        <v>0</v>
      </c>
      <c r="BH279">
        <f>'mk 001 10.3'!BH280</f>
        <v>0</v>
      </c>
      <c r="BI279">
        <f>'mk 001 10.3'!BI280</f>
        <v>0</v>
      </c>
      <c r="BJ279">
        <f>'mk 001 10.3'!BJ280</f>
        <v>0</v>
      </c>
      <c r="BK279">
        <f>'mk 001 10.3'!BK280</f>
        <v>0</v>
      </c>
      <c r="BL279">
        <f>'mk 001 10.3'!BL280</f>
        <v>0</v>
      </c>
      <c r="BM279">
        <f>'mk 001 10.3'!BM280</f>
        <v>0</v>
      </c>
      <c r="BN279">
        <f>'mk 001 10.3'!BN280</f>
        <v>0</v>
      </c>
    </row>
    <row r="280" spans="1:66" x14ac:dyDescent="0.35">
      <c r="A280">
        <f>'mk 001 10.3'!A281</f>
        <v>0</v>
      </c>
      <c r="B280">
        <f>'mk 001 10.3'!B281</f>
        <v>0</v>
      </c>
      <c r="C280" s="1">
        <f>'mk 001 10.3'!C281</f>
        <v>0</v>
      </c>
      <c r="D280" s="1">
        <f>'mk 001 10.3'!D281</f>
        <v>0</v>
      </c>
      <c r="E280">
        <f>'mk 001 10.3'!E281</f>
        <v>0</v>
      </c>
      <c r="F280">
        <f>'mk 001 10.3'!F281</f>
        <v>0</v>
      </c>
      <c r="G280">
        <f>'mk 001 10.3'!G281</f>
        <v>0</v>
      </c>
      <c r="H280">
        <f>'mk 001 10.3'!H281</f>
        <v>0</v>
      </c>
      <c r="I280">
        <f>'mk 001 10.3'!I281</f>
        <v>0</v>
      </c>
      <c r="J280">
        <f>'mk 001 10.3'!J281</f>
        <v>0</v>
      </c>
      <c r="K280">
        <f>'mk 001 10.3'!K281</f>
        <v>0</v>
      </c>
      <c r="L280">
        <f>'mk 001 10.3'!L281</f>
        <v>0</v>
      </c>
      <c r="M280">
        <f>'mk 001 10.3'!M281</f>
        <v>0</v>
      </c>
      <c r="N280">
        <f>'mk 001 10.3'!N281</f>
        <v>0</v>
      </c>
      <c r="O280">
        <f>'mk 001 10.3'!O281</f>
        <v>0</v>
      </c>
      <c r="P280">
        <f>'mk 001 10.3'!P281</f>
        <v>0</v>
      </c>
      <c r="Q280">
        <f>'mk 001 10.3'!Q281</f>
        <v>0</v>
      </c>
      <c r="R280" s="1">
        <f>'mk 001 10.3'!R281</f>
        <v>0</v>
      </c>
      <c r="S280" s="1">
        <f>'mk 001 10.3'!S281</f>
        <v>0</v>
      </c>
      <c r="T280">
        <f>'mk 001 10.3'!T281</f>
        <v>0</v>
      </c>
      <c r="U280">
        <f>'mk 001 10.3'!U281</f>
        <v>0</v>
      </c>
      <c r="V280">
        <f>'mk 001 10.3'!V281</f>
        <v>0</v>
      </c>
      <c r="W280">
        <f>'mk 001 10.3'!W281</f>
        <v>0</v>
      </c>
      <c r="X280">
        <f>'mk 001 10.3'!X281</f>
        <v>0</v>
      </c>
      <c r="Y280">
        <f t="shared" si="4"/>
        <v>0</v>
      </c>
      <c r="Z280" s="13">
        <f>IF(COUNTIFS(แปลงข้อมูล!H:H,Q280,แปลงข้อมูล!I:I,U280,แปลงข้อมูล!J:J,V280)&gt;0,SUMIFS(แปลงข้อมูล!Q:Q,แปลงข้อมูล!I:I,U280,แปลงข้อมูล!H:H,Q280,แปลงข้อมูล!J:J,V280),'mk 001 10.3'!Z281)</f>
        <v>0</v>
      </c>
      <c r="AA280">
        <f>'mk 001 10.3'!AA281</f>
        <v>0</v>
      </c>
      <c r="AB280">
        <f>'mk 001 10.3'!AB281</f>
        <v>0</v>
      </c>
      <c r="AC280">
        <f>'mk 001 10.3'!AC281</f>
        <v>0</v>
      </c>
      <c r="AD280">
        <f>'mk 001 10.3'!AD281</f>
        <v>0</v>
      </c>
      <c r="AE280">
        <f>'mk 001 10.3'!AE281</f>
        <v>0</v>
      </c>
      <c r="AF280">
        <f>'mk 001 10.3'!AF281</f>
        <v>0</v>
      </c>
      <c r="AG280">
        <f>'mk 001 10.3'!AG281</f>
        <v>0</v>
      </c>
      <c r="AH280">
        <f>'mk 001 10.3'!AH281</f>
        <v>0</v>
      </c>
      <c r="AI280">
        <f>'mk 001 10.3'!AI281</f>
        <v>0</v>
      </c>
      <c r="AJ280">
        <f>'mk 001 10.3'!AJ281</f>
        <v>0</v>
      </c>
      <c r="AK280">
        <f>'mk 001 10.3'!AK281</f>
        <v>0</v>
      </c>
      <c r="AL280">
        <f>'mk 001 10.3'!AL281</f>
        <v>0</v>
      </c>
      <c r="AM280">
        <f>'mk 001 10.3'!AM281</f>
        <v>0</v>
      </c>
      <c r="AN280">
        <f>'mk 001 10.3'!AN281</f>
        <v>0</v>
      </c>
      <c r="AO280">
        <f>'mk 001 10.3'!AO281</f>
        <v>0</v>
      </c>
      <c r="AP280">
        <f>'mk 001 10.3'!AP281</f>
        <v>0</v>
      </c>
      <c r="AQ280">
        <f>'mk 001 10.3'!AQ281</f>
        <v>0</v>
      </c>
      <c r="AR280">
        <f>'mk 001 10.3'!AR281</f>
        <v>0</v>
      </c>
      <c r="AS280">
        <f>'mk 001 10.3'!AS281</f>
        <v>0</v>
      </c>
      <c r="AT280">
        <f>'mk 001 10.3'!AT281</f>
        <v>0</v>
      </c>
      <c r="AU280">
        <f>'mk 001 10.3'!AU281</f>
        <v>0</v>
      </c>
      <c r="AV280">
        <f>'mk 001 10.3'!AV281</f>
        <v>0</v>
      </c>
      <c r="AW280">
        <f>'mk 001 10.3'!AW281</f>
        <v>0</v>
      </c>
      <c r="AX280">
        <f>'mk 001 10.3'!AX281</f>
        <v>0</v>
      </c>
      <c r="AY280">
        <f>'mk 001 10.3'!AY281</f>
        <v>0</v>
      </c>
      <c r="AZ280">
        <f>'mk 001 10.3'!AZ281</f>
        <v>0</v>
      </c>
      <c r="BA280" s="22">
        <f>'mk 001 10.3'!BA281</f>
        <v>0</v>
      </c>
      <c r="BB280">
        <f>'mk 001 10.3'!BB281</f>
        <v>0</v>
      </c>
      <c r="BC280">
        <f>'mk 001 10.3'!BC281</f>
        <v>0</v>
      </c>
      <c r="BD280">
        <f>'mk 001 10.3'!BD281</f>
        <v>0</v>
      </c>
      <c r="BE280">
        <f>'mk 001 10.3'!BE281</f>
        <v>0</v>
      </c>
      <c r="BF280">
        <f>'mk 001 10.3'!BF281</f>
        <v>0</v>
      </c>
      <c r="BG280">
        <f>'mk 001 10.3'!BG281</f>
        <v>0</v>
      </c>
      <c r="BH280">
        <f>'mk 001 10.3'!BH281</f>
        <v>0</v>
      </c>
      <c r="BI280">
        <f>'mk 001 10.3'!BI281</f>
        <v>0</v>
      </c>
      <c r="BJ280">
        <f>'mk 001 10.3'!BJ281</f>
        <v>0</v>
      </c>
      <c r="BK280">
        <f>'mk 001 10.3'!BK281</f>
        <v>0</v>
      </c>
      <c r="BL280">
        <f>'mk 001 10.3'!BL281</f>
        <v>0</v>
      </c>
      <c r="BM280">
        <f>'mk 001 10.3'!BM281</f>
        <v>0</v>
      </c>
      <c r="BN280">
        <f>'mk 001 10.3'!BN281</f>
        <v>0</v>
      </c>
    </row>
    <row r="281" spans="1:66" x14ac:dyDescent="0.35">
      <c r="A281">
        <f>'mk 001 10.3'!A282</f>
        <v>0</v>
      </c>
      <c r="B281">
        <f>'mk 001 10.3'!B282</f>
        <v>0</v>
      </c>
      <c r="C281" s="1">
        <f>'mk 001 10.3'!C282</f>
        <v>0</v>
      </c>
      <c r="D281" s="1">
        <f>'mk 001 10.3'!D282</f>
        <v>0</v>
      </c>
      <c r="E281">
        <f>'mk 001 10.3'!E282</f>
        <v>0</v>
      </c>
      <c r="F281">
        <f>'mk 001 10.3'!F282</f>
        <v>0</v>
      </c>
      <c r="G281">
        <f>'mk 001 10.3'!G282</f>
        <v>0</v>
      </c>
      <c r="H281">
        <f>'mk 001 10.3'!H282</f>
        <v>0</v>
      </c>
      <c r="I281">
        <f>'mk 001 10.3'!I282</f>
        <v>0</v>
      </c>
      <c r="J281">
        <f>'mk 001 10.3'!J282</f>
        <v>0</v>
      </c>
      <c r="K281">
        <f>'mk 001 10.3'!K282</f>
        <v>0</v>
      </c>
      <c r="L281">
        <f>'mk 001 10.3'!L282</f>
        <v>0</v>
      </c>
      <c r="M281">
        <f>'mk 001 10.3'!M282</f>
        <v>0</v>
      </c>
      <c r="N281">
        <f>'mk 001 10.3'!N282</f>
        <v>0</v>
      </c>
      <c r="O281">
        <f>'mk 001 10.3'!O282</f>
        <v>0</v>
      </c>
      <c r="P281">
        <f>'mk 001 10.3'!P282</f>
        <v>0</v>
      </c>
      <c r="Q281">
        <f>'mk 001 10.3'!Q282</f>
        <v>0</v>
      </c>
      <c r="R281" s="1">
        <f>'mk 001 10.3'!R282</f>
        <v>0</v>
      </c>
      <c r="S281" s="1">
        <f>'mk 001 10.3'!S282</f>
        <v>0</v>
      </c>
      <c r="T281">
        <f>'mk 001 10.3'!T282</f>
        <v>0</v>
      </c>
      <c r="U281">
        <f>'mk 001 10.3'!U282</f>
        <v>0</v>
      </c>
      <c r="V281">
        <f>'mk 001 10.3'!V282</f>
        <v>0</v>
      </c>
      <c r="W281">
        <f>'mk 001 10.3'!W282</f>
        <v>0</v>
      </c>
      <c r="X281">
        <f>'mk 001 10.3'!X282</f>
        <v>0</v>
      </c>
      <c r="Y281">
        <f t="shared" si="4"/>
        <v>0</v>
      </c>
      <c r="Z281" s="13">
        <f>IF(COUNTIFS(แปลงข้อมูล!H:H,Q281,แปลงข้อมูล!I:I,U281,แปลงข้อมูล!J:J,V281)&gt;0,SUMIFS(แปลงข้อมูล!Q:Q,แปลงข้อมูล!I:I,U281,แปลงข้อมูล!H:H,Q281,แปลงข้อมูล!J:J,V281),'mk 001 10.3'!Z282)</f>
        <v>0</v>
      </c>
      <c r="AA281">
        <f>'mk 001 10.3'!AA282</f>
        <v>0</v>
      </c>
      <c r="AB281">
        <f>'mk 001 10.3'!AB282</f>
        <v>0</v>
      </c>
      <c r="AC281">
        <f>'mk 001 10.3'!AC282</f>
        <v>0</v>
      </c>
      <c r="AD281">
        <f>'mk 001 10.3'!AD282</f>
        <v>0</v>
      </c>
      <c r="AE281">
        <f>'mk 001 10.3'!AE282</f>
        <v>0</v>
      </c>
      <c r="AF281">
        <f>'mk 001 10.3'!AF282</f>
        <v>0</v>
      </c>
      <c r="AG281">
        <f>'mk 001 10.3'!AG282</f>
        <v>0</v>
      </c>
      <c r="AH281">
        <f>'mk 001 10.3'!AH282</f>
        <v>0</v>
      </c>
      <c r="AI281">
        <f>'mk 001 10.3'!AI282</f>
        <v>0</v>
      </c>
      <c r="AJ281">
        <f>'mk 001 10.3'!AJ282</f>
        <v>0</v>
      </c>
      <c r="AK281">
        <f>'mk 001 10.3'!AK282</f>
        <v>0</v>
      </c>
      <c r="AL281">
        <f>'mk 001 10.3'!AL282</f>
        <v>0</v>
      </c>
      <c r="AM281">
        <f>'mk 001 10.3'!AM282</f>
        <v>0</v>
      </c>
      <c r="AN281">
        <f>'mk 001 10.3'!AN282</f>
        <v>0</v>
      </c>
      <c r="AO281">
        <f>'mk 001 10.3'!AO282</f>
        <v>0</v>
      </c>
      <c r="AP281">
        <f>'mk 001 10.3'!AP282</f>
        <v>0</v>
      </c>
      <c r="AQ281">
        <f>'mk 001 10.3'!AQ282</f>
        <v>0</v>
      </c>
      <c r="AR281">
        <f>'mk 001 10.3'!AR282</f>
        <v>0</v>
      </c>
      <c r="AS281">
        <f>'mk 001 10.3'!AS282</f>
        <v>0</v>
      </c>
      <c r="AT281">
        <f>'mk 001 10.3'!AT282</f>
        <v>0</v>
      </c>
      <c r="AU281">
        <f>'mk 001 10.3'!AU282</f>
        <v>0</v>
      </c>
      <c r="AV281">
        <f>'mk 001 10.3'!AV282</f>
        <v>0</v>
      </c>
      <c r="AW281">
        <f>'mk 001 10.3'!AW282</f>
        <v>0</v>
      </c>
      <c r="AX281">
        <f>'mk 001 10.3'!AX282</f>
        <v>0</v>
      </c>
      <c r="AY281">
        <f>'mk 001 10.3'!AY282</f>
        <v>0</v>
      </c>
      <c r="AZ281">
        <f>'mk 001 10.3'!AZ282</f>
        <v>0</v>
      </c>
      <c r="BA281" s="22">
        <f>'mk 001 10.3'!BA282</f>
        <v>0</v>
      </c>
      <c r="BB281">
        <f>'mk 001 10.3'!BB282</f>
        <v>0</v>
      </c>
      <c r="BC281">
        <f>'mk 001 10.3'!BC282</f>
        <v>0</v>
      </c>
      <c r="BD281">
        <f>'mk 001 10.3'!BD282</f>
        <v>0</v>
      </c>
      <c r="BE281">
        <f>'mk 001 10.3'!BE282</f>
        <v>0</v>
      </c>
      <c r="BF281">
        <f>'mk 001 10.3'!BF282</f>
        <v>0</v>
      </c>
      <c r="BG281">
        <f>'mk 001 10.3'!BG282</f>
        <v>0</v>
      </c>
      <c r="BH281">
        <f>'mk 001 10.3'!BH282</f>
        <v>0</v>
      </c>
      <c r="BI281">
        <f>'mk 001 10.3'!BI282</f>
        <v>0</v>
      </c>
      <c r="BJ281">
        <f>'mk 001 10.3'!BJ282</f>
        <v>0</v>
      </c>
      <c r="BK281">
        <f>'mk 001 10.3'!BK282</f>
        <v>0</v>
      </c>
      <c r="BL281">
        <f>'mk 001 10.3'!BL282</f>
        <v>0</v>
      </c>
      <c r="BM281">
        <f>'mk 001 10.3'!BM282</f>
        <v>0</v>
      </c>
      <c r="BN281">
        <f>'mk 001 10.3'!BN282</f>
        <v>0</v>
      </c>
    </row>
    <row r="282" spans="1:66" x14ac:dyDescent="0.35">
      <c r="A282">
        <f>'mk 001 10.3'!A283</f>
        <v>0</v>
      </c>
      <c r="B282">
        <f>'mk 001 10.3'!B283</f>
        <v>0</v>
      </c>
      <c r="C282" s="1">
        <f>'mk 001 10.3'!C283</f>
        <v>0</v>
      </c>
      <c r="D282" s="1">
        <f>'mk 001 10.3'!D283</f>
        <v>0</v>
      </c>
      <c r="E282">
        <f>'mk 001 10.3'!E283</f>
        <v>0</v>
      </c>
      <c r="F282">
        <f>'mk 001 10.3'!F283</f>
        <v>0</v>
      </c>
      <c r="G282">
        <f>'mk 001 10.3'!G283</f>
        <v>0</v>
      </c>
      <c r="H282">
        <f>'mk 001 10.3'!H283</f>
        <v>0</v>
      </c>
      <c r="I282">
        <f>'mk 001 10.3'!I283</f>
        <v>0</v>
      </c>
      <c r="J282">
        <f>'mk 001 10.3'!J283</f>
        <v>0</v>
      </c>
      <c r="K282">
        <f>'mk 001 10.3'!K283</f>
        <v>0</v>
      </c>
      <c r="L282">
        <f>'mk 001 10.3'!L283</f>
        <v>0</v>
      </c>
      <c r="M282">
        <f>'mk 001 10.3'!M283</f>
        <v>0</v>
      </c>
      <c r="N282">
        <f>'mk 001 10.3'!N283</f>
        <v>0</v>
      </c>
      <c r="O282">
        <f>'mk 001 10.3'!O283</f>
        <v>0</v>
      </c>
      <c r="P282">
        <f>'mk 001 10.3'!P283</f>
        <v>0</v>
      </c>
      <c r="Q282">
        <f>'mk 001 10.3'!Q283</f>
        <v>0</v>
      </c>
      <c r="R282" s="1">
        <f>'mk 001 10.3'!R283</f>
        <v>0</v>
      </c>
      <c r="S282" s="1">
        <f>'mk 001 10.3'!S283</f>
        <v>0</v>
      </c>
      <c r="T282">
        <f>'mk 001 10.3'!T283</f>
        <v>0</v>
      </c>
      <c r="U282">
        <f>'mk 001 10.3'!U283</f>
        <v>0</v>
      </c>
      <c r="V282">
        <f>'mk 001 10.3'!V283</f>
        <v>0</v>
      </c>
      <c r="W282">
        <f>'mk 001 10.3'!W283</f>
        <v>0</v>
      </c>
      <c r="X282">
        <f>'mk 001 10.3'!X283</f>
        <v>0</v>
      </c>
      <c r="Y282">
        <f t="shared" si="4"/>
        <v>0</v>
      </c>
      <c r="Z282" s="13">
        <f>IF(COUNTIFS(แปลงข้อมูล!H:H,Q282,แปลงข้อมูล!I:I,U282,แปลงข้อมูล!J:J,V282)&gt;0,SUMIFS(แปลงข้อมูล!Q:Q,แปลงข้อมูล!I:I,U282,แปลงข้อมูล!H:H,Q282,แปลงข้อมูล!J:J,V282),'mk 001 10.3'!Z283)</f>
        <v>0</v>
      </c>
      <c r="AA282">
        <f>'mk 001 10.3'!AA283</f>
        <v>0</v>
      </c>
      <c r="AB282">
        <f>'mk 001 10.3'!AB283</f>
        <v>0</v>
      </c>
      <c r="AC282">
        <f>'mk 001 10.3'!AC283</f>
        <v>0</v>
      </c>
      <c r="AD282">
        <f>'mk 001 10.3'!AD283</f>
        <v>0</v>
      </c>
      <c r="AE282">
        <f>'mk 001 10.3'!AE283</f>
        <v>0</v>
      </c>
      <c r="AF282">
        <f>'mk 001 10.3'!AF283</f>
        <v>0</v>
      </c>
      <c r="AG282">
        <f>'mk 001 10.3'!AG283</f>
        <v>0</v>
      </c>
      <c r="AH282">
        <f>'mk 001 10.3'!AH283</f>
        <v>0</v>
      </c>
      <c r="AI282">
        <f>'mk 001 10.3'!AI283</f>
        <v>0</v>
      </c>
      <c r="AJ282">
        <f>'mk 001 10.3'!AJ283</f>
        <v>0</v>
      </c>
      <c r="AK282">
        <f>'mk 001 10.3'!AK283</f>
        <v>0</v>
      </c>
      <c r="AL282">
        <f>'mk 001 10.3'!AL283</f>
        <v>0</v>
      </c>
      <c r="AM282">
        <f>'mk 001 10.3'!AM283</f>
        <v>0</v>
      </c>
      <c r="AN282">
        <f>'mk 001 10.3'!AN283</f>
        <v>0</v>
      </c>
      <c r="AO282">
        <f>'mk 001 10.3'!AO283</f>
        <v>0</v>
      </c>
      <c r="AP282">
        <f>'mk 001 10.3'!AP283</f>
        <v>0</v>
      </c>
      <c r="AQ282">
        <f>'mk 001 10.3'!AQ283</f>
        <v>0</v>
      </c>
      <c r="AR282">
        <f>'mk 001 10.3'!AR283</f>
        <v>0</v>
      </c>
      <c r="AS282">
        <f>'mk 001 10.3'!AS283</f>
        <v>0</v>
      </c>
      <c r="AT282">
        <f>'mk 001 10.3'!AT283</f>
        <v>0</v>
      </c>
      <c r="AU282">
        <f>'mk 001 10.3'!AU283</f>
        <v>0</v>
      </c>
      <c r="AV282">
        <f>'mk 001 10.3'!AV283</f>
        <v>0</v>
      </c>
      <c r="AW282">
        <f>'mk 001 10.3'!AW283</f>
        <v>0</v>
      </c>
      <c r="AX282">
        <f>'mk 001 10.3'!AX283</f>
        <v>0</v>
      </c>
      <c r="AY282">
        <f>'mk 001 10.3'!AY283</f>
        <v>0</v>
      </c>
      <c r="AZ282">
        <f>'mk 001 10.3'!AZ283</f>
        <v>0</v>
      </c>
      <c r="BA282" s="22">
        <f>'mk 001 10.3'!BA283</f>
        <v>0</v>
      </c>
      <c r="BB282">
        <f>'mk 001 10.3'!BB283</f>
        <v>0</v>
      </c>
      <c r="BC282">
        <f>'mk 001 10.3'!BC283</f>
        <v>0</v>
      </c>
      <c r="BD282">
        <f>'mk 001 10.3'!BD283</f>
        <v>0</v>
      </c>
      <c r="BE282">
        <f>'mk 001 10.3'!BE283</f>
        <v>0</v>
      </c>
      <c r="BF282">
        <f>'mk 001 10.3'!BF283</f>
        <v>0</v>
      </c>
      <c r="BG282">
        <f>'mk 001 10.3'!BG283</f>
        <v>0</v>
      </c>
      <c r="BH282">
        <f>'mk 001 10.3'!BH283</f>
        <v>0</v>
      </c>
      <c r="BI282">
        <f>'mk 001 10.3'!BI283</f>
        <v>0</v>
      </c>
      <c r="BJ282">
        <f>'mk 001 10.3'!BJ283</f>
        <v>0</v>
      </c>
      <c r="BK282">
        <f>'mk 001 10.3'!BK283</f>
        <v>0</v>
      </c>
      <c r="BL282">
        <f>'mk 001 10.3'!BL283</f>
        <v>0</v>
      </c>
      <c r="BM282">
        <f>'mk 001 10.3'!BM283</f>
        <v>0</v>
      </c>
      <c r="BN282">
        <f>'mk 001 10.3'!BN283</f>
        <v>0</v>
      </c>
    </row>
    <row r="283" spans="1:66" x14ac:dyDescent="0.35">
      <c r="A283">
        <f>'mk 001 10.3'!A284</f>
        <v>0</v>
      </c>
      <c r="B283">
        <f>'mk 001 10.3'!B284</f>
        <v>0</v>
      </c>
      <c r="C283" s="1">
        <f>'mk 001 10.3'!C284</f>
        <v>0</v>
      </c>
      <c r="D283" s="1">
        <f>'mk 001 10.3'!D284</f>
        <v>0</v>
      </c>
      <c r="E283">
        <f>'mk 001 10.3'!E284</f>
        <v>0</v>
      </c>
      <c r="F283">
        <f>'mk 001 10.3'!F284</f>
        <v>0</v>
      </c>
      <c r="G283">
        <f>'mk 001 10.3'!G284</f>
        <v>0</v>
      </c>
      <c r="H283">
        <f>'mk 001 10.3'!H284</f>
        <v>0</v>
      </c>
      <c r="I283">
        <f>'mk 001 10.3'!I284</f>
        <v>0</v>
      </c>
      <c r="J283">
        <f>'mk 001 10.3'!J284</f>
        <v>0</v>
      </c>
      <c r="K283">
        <f>'mk 001 10.3'!K284</f>
        <v>0</v>
      </c>
      <c r="L283">
        <f>'mk 001 10.3'!L284</f>
        <v>0</v>
      </c>
      <c r="M283">
        <f>'mk 001 10.3'!M284</f>
        <v>0</v>
      </c>
      <c r="N283">
        <f>'mk 001 10.3'!N284</f>
        <v>0</v>
      </c>
      <c r="O283">
        <f>'mk 001 10.3'!O284</f>
        <v>0</v>
      </c>
      <c r="P283">
        <f>'mk 001 10.3'!P284</f>
        <v>0</v>
      </c>
      <c r="Q283">
        <f>'mk 001 10.3'!Q284</f>
        <v>0</v>
      </c>
      <c r="R283" s="1">
        <f>'mk 001 10.3'!R284</f>
        <v>0</v>
      </c>
      <c r="S283" s="1">
        <f>'mk 001 10.3'!S284</f>
        <v>0</v>
      </c>
      <c r="T283">
        <f>'mk 001 10.3'!T284</f>
        <v>0</v>
      </c>
      <c r="U283">
        <f>'mk 001 10.3'!U284</f>
        <v>0</v>
      </c>
      <c r="V283">
        <f>'mk 001 10.3'!V284</f>
        <v>0</v>
      </c>
      <c r="W283">
        <f>'mk 001 10.3'!W284</f>
        <v>0</v>
      </c>
      <c r="X283">
        <f>'mk 001 10.3'!X284</f>
        <v>0</v>
      </c>
      <c r="Y283">
        <f t="shared" si="4"/>
        <v>0</v>
      </c>
      <c r="Z283" s="13">
        <f>IF(COUNTIFS(แปลงข้อมูล!H:H,Q283,แปลงข้อมูล!I:I,U283,แปลงข้อมูล!J:J,V283)&gt;0,SUMIFS(แปลงข้อมูล!Q:Q,แปลงข้อมูล!I:I,U283,แปลงข้อมูล!H:H,Q283,แปลงข้อมูล!J:J,V283),'mk 001 10.3'!Z284)</f>
        <v>0</v>
      </c>
      <c r="AA283">
        <f>'mk 001 10.3'!AA284</f>
        <v>0</v>
      </c>
      <c r="AB283">
        <f>'mk 001 10.3'!AB284</f>
        <v>0</v>
      </c>
      <c r="AC283">
        <f>'mk 001 10.3'!AC284</f>
        <v>0</v>
      </c>
      <c r="AD283">
        <f>'mk 001 10.3'!AD284</f>
        <v>0</v>
      </c>
      <c r="AE283">
        <f>'mk 001 10.3'!AE284</f>
        <v>0</v>
      </c>
      <c r="AF283">
        <f>'mk 001 10.3'!AF284</f>
        <v>0</v>
      </c>
      <c r="AG283">
        <f>'mk 001 10.3'!AG284</f>
        <v>0</v>
      </c>
      <c r="AH283">
        <f>'mk 001 10.3'!AH284</f>
        <v>0</v>
      </c>
      <c r="AI283">
        <f>'mk 001 10.3'!AI284</f>
        <v>0</v>
      </c>
      <c r="AJ283">
        <f>'mk 001 10.3'!AJ284</f>
        <v>0</v>
      </c>
      <c r="AK283">
        <f>'mk 001 10.3'!AK284</f>
        <v>0</v>
      </c>
      <c r="AL283">
        <f>'mk 001 10.3'!AL284</f>
        <v>0</v>
      </c>
      <c r="AM283">
        <f>'mk 001 10.3'!AM284</f>
        <v>0</v>
      </c>
      <c r="AN283">
        <f>'mk 001 10.3'!AN284</f>
        <v>0</v>
      </c>
      <c r="AO283">
        <f>'mk 001 10.3'!AO284</f>
        <v>0</v>
      </c>
      <c r="AP283">
        <f>'mk 001 10.3'!AP284</f>
        <v>0</v>
      </c>
      <c r="AQ283">
        <f>'mk 001 10.3'!AQ284</f>
        <v>0</v>
      </c>
      <c r="AR283">
        <f>'mk 001 10.3'!AR284</f>
        <v>0</v>
      </c>
      <c r="AS283">
        <f>'mk 001 10.3'!AS284</f>
        <v>0</v>
      </c>
      <c r="AT283">
        <f>'mk 001 10.3'!AT284</f>
        <v>0</v>
      </c>
      <c r="AU283">
        <f>'mk 001 10.3'!AU284</f>
        <v>0</v>
      </c>
      <c r="AV283">
        <f>'mk 001 10.3'!AV284</f>
        <v>0</v>
      </c>
      <c r="AW283">
        <f>'mk 001 10.3'!AW284</f>
        <v>0</v>
      </c>
      <c r="AX283">
        <f>'mk 001 10.3'!AX284</f>
        <v>0</v>
      </c>
      <c r="AY283">
        <f>'mk 001 10.3'!AY284</f>
        <v>0</v>
      </c>
      <c r="AZ283">
        <f>'mk 001 10.3'!AZ284</f>
        <v>0</v>
      </c>
      <c r="BA283" s="22">
        <f>'mk 001 10.3'!BA284</f>
        <v>0</v>
      </c>
      <c r="BB283">
        <f>'mk 001 10.3'!BB284</f>
        <v>0</v>
      </c>
      <c r="BC283">
        <f>'mk 001 10.3'!BC284</f>
        <v>0</v>
      </c>
      <c r="BD283">
        <f>'mk 001 10.3'!BD284</f>
        <v>0</v>
      </c>
      <c r="BE283">
        <f>'mk 001 10.3'!BE284</f>
        <v>0</v>
      </c>
      <c r="BF283">
        <f>'mk 001 10.3'!BF284</f>
        <v>0</v>
      </c>
      <c r="BG283">
        <f>'mk 001 10.3'!BG284</f>
        <v>0</v>
      </c>
      <c r="BH283">
        <f>'mk 001 10.3'!BH284</f>
        <v>0</v>
      </c>
      <c r="BI283">
        <f>'mk 001 10.3'!BI284</f>
        <v>0</v>
      </c>
      <c r="BJ283">
        <f>'mk 001 10.3'!BJ284</f>
        <v>0</v>
      </c>
      <c r="BK283">
        <f>'mk 001 10.3'!BK284</f>
        <v>0</v>
      </c>
      <c r="BL283">
        <f>'mk 001 10.3'!BL284</f>
        <v>0</v>
      </c>
      <c r="BM283">
        <f>'mk 001 10.3'!BM284</f>
        <v>0</v>
      </c>
      <c r="BN283">
        <f>'mk 001 10.3'!BN284</f>
        <v>0</v>
      </c>
    </row>
    <row r="284" spans="1:66" x14ac:dyDescent="0.35">
      <c r="A284">
        <f>'mk 001 10.3'!A285</f>
        <v>0</v>
      </c>
      <c r="B284">
        <f>'mk 001 10.3'!B285</f>
        <v>0</v>
      </c>
      <c r="C284" s="1">
        <f>'mk 001 10.3'!C285</f>
        <v>0</v>
      </c>
      <c r="D284" s="1">
        <f>'mk 001 10.3'!D285</f>
        <v>0</v>
      </c>
      <c r="E284">
        <f>'mk 001 10.3'!E285</f>
        <v>0</v>
      </c>
      <c r="F284">
        <f>'mk 001 10.3'!F285</f>
        <v>0</v>
      </c>
      <c r="G284">
        <f>'mk 001 10.3'!G285</f>
        <v>0</v>
      </c>
      <c r="H284">
        <f>'mk 001 10.3'!H285</f>
        <v>0</v>
      </c>
      <c r="I284">
        <f>'mk 001 10.3'!I285</f>
        <v>0</v>
      </c>
      <c r="J284">
        <f>'mk 001 10.3'!J285</f>
        <v>0</v>
      </c>
      <c r="K284">
        <f>'mk 001 10.3'!K285</f>
        <v>0</v>
      </c>
      <c r="L284">
        <f>'mk 001 10.3'!L285</f>
        <v>0</v>
      </c>
      <c r="M284">
        <f>'mk 001 10.3'!M285</f>
        <v>0</v>
      </c>
      <c r="N284">
        <f>'mk 001 10.3'!N285</f>
        <v>0</v>
      </c>
      <c r="O284">
        <f>'mk 001 10.3'!O285</f>
        <v>0</v>
      </c>
      <c r="P284">
        <f>'mk 001 10.3'!P285</f>
        <v>0</v>
      </c>
      <c r="Q284">
        <f>'mk 001 10.3'!Q285</f>
        <v>0</v>
      </c>
      <c r="R284" s="1">
        <f>'mk 001 10.3'!R285</f>
        <v>0</v>
      </c>
      <c r="S284" s="1">
        <f>'mk 001 10.3'!S285</f>
        <v>0</v>
      </c>
      <c r="T284">
        <f>'mk 001 10.3'!T285</f>
        <v>0</v>
      </c>
      <c r="U284">
        <f>'mk 001 10.3'!U285</f>
        <v>0</v>
      </c>
      <c r="V284">
        <f>'mk 001 10.3'!V285</f>
        <v>0</v>
      </c>
      <c r="W284">
        <f>'mk 001 10.3'!W285</f>
        <v>0</v>
      </c>
      <c r="X284">
        <f>'mk 001 10.3'!X285</f>
        <v>0</v>
      </c>
      <c r="Y284">
        <f t="shared" si="4"/>
        <v>0</v>
      </c>
      <c r="Z284" s="13">
        <f>IF(COUNTIFS(แปลงข้อมูล!H:H,Q284,แปลงข้อมูล!I:I,U284,แปลงข้อมูล!J:J,V284)&gt;0,SUMIFS(แปลงข้อมูล!Q:Q,แปลงข้อมูล!I:I,U284,แปลงข้อมูล!H:H,Q284,แปลงข้อมูล!J:J,V284),'mk 001 10.3'!Z285)</f>
        <v>0</v>
      </c>
      <c r="AA284">
        <f>'mk 001 10.3'!AA285</f>
        <v>0</v>
      </c>
      <c r="AB284">
        <f>'mk 001 10.3'!AB285</f>
        <v>0</v>
      </c>
      <c r="AC284">
        <f>'mk 001 10.3'!AC285</f>
        <v>0</v>
      </c>
      <c r="AD284">
        <f>'mk 001 10.3'!AD285</f>
        <v>0</v>
      </c>
      <c r="AE284">
        <f>'mk 001 10.3'!AE285</f>
        <v>0</v>
      </c>
      <c r="AF284">
        <f>'mk 001 10.3'!AF285</f>
        <v>0</v>
      </c>
      <c r="AG284">
        <f>'mk 001 10.3'!AG285</f>
        <v>0</v>
      </c>
      <c r="AH284">
        <f>'mk 001 10.3'!AH285</f>
        <v>0</v>
      </c>
      <c r="AI284">
        <f>'mk 001 10.3'!AI285</f>
        <v>0</v>
      </c>
      <c r="AJ284">
        <f>'mk 001 10.3'!AJ285</f>
        <v>0</v>
      </c>
      <c r="AK284">
        <f>'mk 001 10.3'!AK285</f>
        <v>0</v>
      </c>
      <c r="AL284">
        <f>'mk 001 10.3'!AL285</f>
        <v>0</v>
      </c>
      <c r="AM284">
        <f>'mk 001 10.3'!AM285</f>
        <v>0</v>
      </c>
      <c r="AN284">
        <f>'mk 001 10.3'!AN285</f>
        <v>0</v>
      </c>
      <c r="AO284">
        <f>'mk 001 10.3'!AO285</f>
        <v>0</v>
      </c>
      <c r="AP284">
        <f>'mk 001 10.3'!AP285</f>
        <v>0</v>
      </c>
      <c r="AQ284">
        <f>'mk 001 10.3'!AQ285</f>
        <v>0</v>
      </c>
      <c r="AR284">
        <f>'mk 001 10.3'!AR285</f>
        <v>0</v>
      </c>
      <c r="AS284">
        <f>'mk 001 10.3'!AS285</f>
        <v>0</v>
      </c>
      <c r="AT284">
        <f>'mk 001 10.3'!AT285</f>
        <v>0</v>
      </c>
      <c r="AU284">
        <f>'mk 001 10.3'!AU285</f>
        <v>0</v>
      </c>
      <c r="AV284">
        <f>'mk 001 10.3'!AV285</f>
        <v>0</v>
      </c>
      <c r="AW284">
        <f>'mk 001 10.3'!AW285</f>
        <v>0</v>
      </c>
      <c r="AX284">
        <f>'mk 001 10.3'!AX285</f>
        <v>0</v>
      </c>
      <c r="AY284">
        <f>'mk 001 10.3'!AY285</f>
        <v>0</v>
      </c>
      <c r="AZ284">
        <f>'mk 001 10.3'!AZ285</f>
        <v>0</v>
      </c>
      <c r="BA284" s="22">
        <f>'mk 001 10.3'!BA285</f>
        <v>0</v>
      </c>
      <c r="BB284">
        <f>'mk 001 10.3'!BB285</f>
        <v>0</v>
      </c>
      <c r="BC284">
        <f>'mk 001 10.3'!BC285</f>
        <v>0</v>
      </c>
      <c r="BD284">
        <f>'mk 001 10.3'!BD285</f>
        <v>0</v>
      </c>
      <c r="BE284">
        <f>'mk 001 10.3'!BE285</f>
        <v>0</v>
      </c>
      <c r="BF284">
        <f>'mk 001 10.3'!BF285</f>
        <v>0</v>
      </c>
      <c r="BG284">
        <f>'mk 001 10.3'!BG285</f>
        <v>0</v>
      </c>
      <c r="BH284">
        <f>'mk 001 10.3'!BH285</f>
        <v>0</v>
      </c>
      <c r="BI284">
        <f>'mk 001 10.3'!BI285</f>
        <v>0</v>
      </c>
      <c r="BJ284">
        <f>'mk 001 10.3'!BJ285</f>
        <v>0</v>
      </c>
      <c r="BK284">
        <f>'mk 001 10.3'!BK285</f>
        <v>0</v>
      </c>
      <c r="BL284">
        <f>'mk 001 10.3'!BL285</f>
        <v>0</v>
      </c>
      <c r="BM284">
        <f>'mk 001 10.3'!BM285</f>
        <v>0</v>
      </c>
      <c r="BN284">
        <f>'mk 001 10.3'!BN285</f>
        <v>0</v>
      </c>
    </row>
    <row r="285" spans="1:66" x14ac:dyDescent="0.35">
      <c r="A285">
        <f>'mk 001 10.3'!A286</f>
        <v>0</v>
      </c>
      <c r="B285">
        <f>'mk 001 10.3'!B286</f>
        <v>0</v>
      </c>
      <c r="C285" s="1">
        <f>'mk 001 10.3'!C286</f>
        <v>0</v>
      </c>
      <c r="D285" s="1">
        <f>'mk 001 10.3'!D286</f>
        <v>0</v>
      </c>
      <c r="E285">
        <f>'mk 001 10.3'!E286</f>
        <v>0</v>
      </c>
      <c r="F285">
        <f>'mk 001 10.3'!F286</f>
        <v>0</v>
      </c>
      <c r="G285">
        <f>'mk 001 10.3'!G286</f>
        <v>0</v>
      </c>
      <c r="H285">
        <f>'mk 001 10.3'!H286</f>
        <v>0</v>
      </c>
      <c r="I285">
        <f>'mk 001 10.3'!I286</f>
        <v>0</v>
      </c>
      <c r="J285">
        <f>'mk 001 10.3'!J286</f>
        <v>0</v>
      </c>
      <c r="K285">
        <f>'mk 001 10.3'!K286</f>
        <v>0</v>
      </c>
      <c r="L285">
        <f>'mk 001 10.3'!L286</f>
        <v>0</v>
      </c>
      <c r="M285">
        <f>'mk 001 10.3'!M286</f>
        <v>0</v>
      </c>
      <c r="N285">
        <f>'mk 001 10.3'!N286</f>
        <v>0</v>
      </c>
      <c r="O285">
        <f>'mk 001 10.3'!O286</f>
        <v>0</v>
      </c>
      <c r="P285">
        <f>'mk 001 10.3'!P286</f>
        <v>0</v>
      </c>
      <c r="Q285">
        <f>'mk 001 10.3'!Q286</f>
        <v>0</v>
      </c>
      <c r="R285" s="1">
        <f>'mk 001 10.3'!R286</f>
        <v>0</v>
      </c>
      <c r="S285" s="1">
        <f>'mk 001 10.3'!S286</f>
        <v>0</v>
      </c>
      <c r="T285">
        <f>'mk 001 10.3'!T286</f>
        <v>0</v>
      </c>
      <c r="U285">
        <f>'mk 001 10.3'!U286</f>
        <v>0</v>
      </c>
      <c r="V285">
        <f>'mk 001 10.3'!V286</f>
        <v>0</v>
      </c>
      <c r="W285">
        <f>'mk 001 10.3'!W286</f>
        <v>0</v>
      </c>
      <c r="X285">
        <f>'mk 001 10.3'!X286</f>
        <v>0</v>
      </c>
      <c r="Y285">
        <f t="shared" si="4"/>
        <v>0</v>
      </c>
      <c r="Z285" s="13">
        <f>IF(COUNTIFS(แปลงข้อมูล!H:H,Q285,แปลงข้อมูล!I:I,U285,แปลงข้อมูล!J:J,V285)&gt;0,SUMIFS(แปลงข้อมูล!Q:Q,แปลงข้อมูล!I:I,U285,แปลงข้อมูล!H:H,Q285,แปลงข้อมูล!J:J,V285),'mk 001 10.3'!Z286)</f>
        <v>0</v>
      </c>
      <c r="AA285">
        <f>'mk 001 10.3'!AA286</f>
        <v>0</v>
      </c>
      <c r="AB285">
        <f>'mk 001 10.3'!AB286</f>
        <v>0</v>
      </c>
      <c r="AC285">
        <f>'mk 001 10.3'!AC286</f>
        <v>0</v>
      </c>
      <c r="AD285">
        <f>'mk 001 10.3'!AD286</f>
        <v>0</v>
      </c>
      <c r="AE285">
        <f>'mk 001 10.3'!AE286</f>
        <v>0</v>
      </c>
      <c r="AF285">
        <f>'mk 001 10.3'!AF286</f>
        <v>0</v>
      </c>
      <c r="AG285">
        <f>'mk 001 10.3'!AG286</f>
        <v>0</v>
      </c>
      <c r="AH285">
        <f>'mk 001 10.3'!AH286</f>
        <v>0</v>
      </c>
      <c r="AI285">
        <f>'mk 001 10.3'!AI286</f>
        <v>0</v>
      </c>
      <c r="AJ285">
        <f>'mk 001 10.3'!AJ286</f>
        <v>0</v>
      </c>
      <c r="AK285">
        <f>'mk 001 10.3'!AK286</f>
        <v>0</v>
      </c>
      <c r="AL285">
        <f>'mk 001 10.3'!AL286</f>
        <v>0</v>
      </c>
      <c r="AM285">
        <f>'mk 001 10.3'!AM286</f>
        <v>0</v>
      </c>
      <c r="AN285">
        <f>'mk 001 10.3'!AN286</f>
        <v>0</v>
      </c>
      <c r="AO285">
        <f>'mk 001 10.3'!AO286</f>
        <v>0</v>
      </c>
      <c r="AP285">
        <f>'mk 001 10.3'!AP286</f>
        <v>0</v>
      </c>
      <c r="AQ285">
        <f>'mk 001 10.3'!AQ286</f>
        <v>0</v>
      </c>
      <c r="AR285">
        <f>'mk 001 10.3'!AR286</f>
        <v>0</v>
      </c>
      <c r="AS285">
        <f>'mk 001 10.3'!AS286</f>
        <v>0</v>
      </c>
      <c r="AT285">
        <f>'mk 001 10.3'!AT286</f>
        <v>0</v>
      </c>
      <c r="AU285">
        <f>'mk 001 10.3'!AU286</f>
        <v>0</v>
      </c>
      <c r="AV285">
        <f>'mk 001 10.3'!AV286</f>
        <v>0</v>
      </c>
      <c r="AW285">
        <f>'mk 001 10.3'!AW286</f>
        <v>0</v>
      </c>
      <c r="AX285">
        <f>'mk 001 10.3'!AX286</f>
        <v>0</v>
      </c>
      <c r="AY285">
        <f>'mk 001 10.3'!AY286</f>
        <v>0</v>
      </c>
      <c r="AZ285">
        <f>'mk 001 10.3'!AZ286</f>
        <v>0</v>
      </c>
      <c r="BA285" s="22">
        <f>'mk 001 10.3'!BA286</f>
        <v>0</v>
      </c>
      <c r="BB285">
        <f>'mk 001 10.3'!BB286</f>
        <v>0</v>
      </c>
      <c r="BC285">
        <f>'mk 001 10.3'!BC286</f>
        <v>0</v>
      </c>
      <c r="BD285">
        <f>'mk 001 10.3'!BD286</f>
        <v>0</v>
      </c>
      <c r="BE285">
        <f>'mk 001 10.3'!BE286</f>
        <v>0</v>
      </c>
      <c r="BF285">
        <f>'mk 001 10.3'!BF286</f>
        <v>0</v>
      </c>
      <c r="BG285">
        <f>'mk 001 10.3'!BG286</f>
        <v>0</v>
      </c>
      <c r="BH285">
        <f>'mk 001 10.3'!BH286</f>
        <v>0</v>
      </c>
      <c r="BI285">
        <f>'mk 001 10.3'!BI286</f>
        <v>0</v>
      </c>
      <c r="BJ285">
        <f>'mk 001 10.3'!BJ286</f>
        <v>0</v>
      </c>
      <c r="BK285">
        <f>'mk 001 10.3'!BK286</f>
        <v>0</v>
      </c>
      <c r="BL285">
        <f>'mk 001 10.3'!BL286</f>
        <v>0</v>
      </c>
      <c r="BM285">
        <f>'mk 001 10.3'!BM286</f>
        <v>0</v>
      </c>
      <c r="BN285">
        <f>'mk 001 10.3'!BN286</f>
        <v>0</v>
      </c>
    </row>
    <row r="286" spans="1:66" x14ac:dyDescent="0.35">
      <c r="A286">
        <f>'mk 001 10.3'!A287</f>
        <v>0</v>
      </c>
      <c r="B286">
        <f>'mk 001 10.3'!B287</f>
        <v>0</v>
      </c>
      <c r="C286" s="1">
        <f>'mk 001 10.3'!C287</f>
        <v>0</v>
      </c>
      <c r="D286" s="1">
        <f>'mk 001 10.3'!D287</f>
        <v>0</v>
      </c>
      <c r="E286">
        <f>'mk 001 10.3'!E287</f>
        <v>0</v>
      </c>
      <c r="F286">
        <f>'mk 001 10.3'!F287</f>
        <v>0</v>
      </c>
      <c r="G286">
        <f>'mk 001 10.3'!G287</f>
        <v>0</v>
      </c>
      <c r="H286">
        <f>'mk 001 10.3'!H287</f>
        <v>0</v>
      </c>
      <c r="I286">
        <f>'mk 001 10.3'!I287</f>
        <v>0</v>
      </c>
      <c r="J286">
        <f>'mk 001 10.3'!J287</f>
        <v>0</v>
      </c>
      <c r="K286">
        <f>'mk 001 10.3'!K287</f>
        <v>0</v>
      </c>
      <c r="L286">
        <f>'mk 001 10.3'!L287</f>
        <v>0</v>
      </c>
      <c r="M286">
        <f>'mk 001 10.3'!M287</f>
        <v>0</v>
      </c>
      <c r="N286">
        <f>'mk 001 10.3'!N287</f>
        <v>0</v>
      </c>
      <c r="O286">
        <f>'mk 001 10.3'!O287</f>
        <v>0</v>
      </c>
      <c r="P286">
        <f>'mk 001 10.3'!P287</f>
        <v>0</v>
      </c>
      <c r="Q286">
        <f>'mk 001 10.3'!Q287</f>
        <v>0</v>
      </c>
      <c r="R286" s="1">
        <f>'mk 001 10.3'!R287</f>
        <v>0</v>
      </c>
      <c r="S286" s="1">
        <f>'mk 001 10.3'!S287</f>
        <v>0</v>
      </c>
      <c r="T286">
        <f>'mk 001 10.3'!T287</f>
        <v>0</v>
      </c>
      <c r="U286">
        <f>'mk 001 10.3'!U287</f>
        <v>0</v>
      </c>
      <c r="V286">
        <f>'mk 001 10.3'!V287</f>
        <v>0</v>
      </c>
      <c r="W286">
        <f>'mk 001 10.3'!W287</f>
        <v>0</v>
      </c>
      <c r="X286">
        <f>'mk 001 10.3'!X287</f>
        <v>0</v>
      </c>
      <c r="Y286">
        <f t="shared" si="4"/>
        <v>0</v>
      </c>
      <c r="Z286" s="13">
        <f>IF(COUNTIFS(แปลงข้อมูล!H:H,Q286,แปลงข้อมูล!I:I,U286,แปลงข้อมูล!J:J,V286)&gt;0,SUMIFS(แปลงข้อมูล!Q:Q,แปลงข้อมูล!I:I,U286,แปลงข้อมูล!H:H,Q286,แปลงข้อมูล!J:J,V286),'mk 001 10.3'!Z287)</f>
        <v>0</v>
      </c>
      <c r="AA286">
        <f>'mk 001 10.3'!AA287</f>
        <v>0</v>
      </c>
      <c r="AB286">
        <f>'mk 001 10.3'!AB287</f>
        <v>0</v>
      </c>
      <c r="AC286">
        <f>'mk 001 10.3'!AC287</f>
        <v>0</v>
      </c>
      <c r="AD286">
        <f>'mk 001 10.3'!AD287</f>
        <v>0</v>
      </c>
      <c r="AE286">
        <f>'mk 001 10.3'!AE287</f>
        <v>0</v>
      </c>
      <c r="AF286">
        <f>'mk 001 10.3'!AF287</f>
        <v>0</v>
      </c>
      <c r="AG286">
        <f>'mk 001 10.3'!AG287</f>
        <v>0</v>
      </c>
      <c r="AH286">
        <f>'mk 001 10.3'!AH287</f>
        <v>0</v>
      </c>
      <c r="AI286">
        <f>'mk 001 10.3'!AI287</f>
        <v>0</v>
      </c>
      <c r="AJ286">
        <f>'mk 001 10.3'!AJ287</f>
        <v>0</v>
      </c>
      <c r="AK286">
        <f>'mk 001 10.3'!AK287</f>
        <v>0</v>
      </c>
      <c r="AL286">
        <f>'mk 001 10.3'!AL287</f>
        <v>0</v>
      </c>
      <c r="AM286">
        <f>'mk 001 10.3'!AM287</f>
        <v>0</v>
      </c>
      <c r="AN286">
        <f>'mk 001 10.3'!AN287</f>
        <v>0</v>
      </c>
      <c r="AO286">
        <f>'mk 001 10.3'!AO287</f>
        <v>0</v>
      </c>
      <c r="AP286">
        <f>'mk 001 10.3'!AP287</f>
        <v>0</v>
      </c>
      <c r="AQ286">
        <f>'mk 001 10.3'!AQ287</f>
        <v>0</v>
      </c>
      <c r="AR286">
        <f>'mk 001 10.3'!AR287</f>
        <v>0</v>
      </c>
      <c r="AS286">
        <f>'mk 001 10.3'!AS287</f>
        <v>0</v>
      </c>
      <c r="AT286">
        <f>'mk 001 10.3'!AT287</f>
        <v>0</v>
      </c>
      <c r="AU286">
        <f>'mk 001 10.3'!AU287</f>
        <v>0</v>
      </c>
      <c r="AV286">
        <f>'mk 001 10.3'!AV287</f>
        <v>0</v>
      </c>
      <c r="AW286">
        <f>'mk 001 10.3'!AW287</f>
        <v>0</v>
      </c>
      <c r="AX286">
        <f>'mk 001 10.3'!AX287</f>
        <v>0</v>
      </c>
      <c r="AY286">
        <f>'mk 001 10.3'!AY287</f>
        <v>0</v>
      </c>
      <c r="AZ286">
        <f>'mk 001 10.3'!AZ287</f>
        <v>0</v>
      </c>
      <c r="BA286" s="22">
        <f>'mk 001 10.3'!BA287</f>
        <v>0</v>
      </c>
      <c r="BB286">
        <f>'mk 001 10.3'!BB287</f>
        <v>0</v>
      </c>
      <c r="BC286">
        <f>'mk 001 10.3'!BC287</f>
        <v>0</v>
      </c>
      <c r="BD286">
        <f>'mk 001 10.3'!BD287</f>
        <v>0</v>
      </c>
      <c r="BE286">
        <f>'mk 001 10.3'!BE287</f>
        <v>0</v>
      </c>
      <c r="BF286">
        <f>'mk 001 10.3'!BF287</f>
        <v>0</v>
      </c>
      <c r="BG286">
        <f>'mk 001 10.3'!BG287</f>
        <v>0</v>
      </c>
      <c r="BH286">
        <f>'mk 001 10.3'!BH287</f>
        <v>0</v>
      </c>
      <c r="BI286">
        <f>'mk 001 10.3'!BI287</f>
        <v>0</v>
      </c>
      <c r="BJ286">
        <f>'mk 001 10.3'!BJ287</f>
        <v>0</v>
      </c>
      <c r="BK286">
        <f>'mk 001 10.3'!BK287</f>
        <v>0</v>
      </c>
      <c r="BL286">
        <f>'mk 001 10.3'!BL287</f>
        <v>0</v>
      </c>
      <c r="BM286">
        <f>'mk 001 10.3'!BM287</f>
        <v>0</v>
      </c>
      <c r="BN286">
        <f>'mk 001 10.3'!BN287</f>
        <v>0</v>
      </c>
    </row>
    <row r="287" spans="1:66" x14ac:dyDescent="0.35">
      <c r="A287">
        <f>'mk 001 10.3'!A288</f>
        <v>0</v>
      </c>
      <c r="B287">
        <f>'mk 001 10.3'!B288</f>
        <v>0</v>
      </c>
      <c r="C287" s="1">
        <f>'mk 001 10.3'!C288</f>
        <v>0</v>
      </c>
      <c r="D287" s="1">
        <f>'mk 001 10.3'!D288</f>
        <v>0</v>
      </c>
      <c r="E287">
        <f>'mk 001 10.3'!E288</f>
        <v>0</v>
      </c>
      <c r="F287">
        <f>'mk 001 10.3'!F288</f>
        <v>0</v>
      </c>
      <c r="G287">
        <f>'mk 001 10.3'!G288</f>
        <v>0</v>
      </c>
      <c r="H287">
        <f>'mk 001 10.3'!H288</f>
        <v>0</v>
      </c>
      <c r="I287">
        <f>'mk 001 10.3'!I288</f>
        <v>0</v>
      </c>
      <c r="J287">
        <f>'mk 001 10.3'!J288</f>
        <v>0</v>
      </c>
      <c r="K287">
        <f>'mk 001 10.3'!K288</f>
        <v>0</v>
      </c>
      <c r="L287">
        <f>'mk 001 10.3'!L288</f>
        <v>0</v>
      </c>
      <c r="M287">
        <f>'mk 001 10.3'!M288</f>
        <v>0</v>
      </c>
      <c r="N287">
        <f>'mk 001 10.3'!N288</f>
        <v>0</v>
      </c>
      <c r="O287">
        <f>'mk 001 10.3'!O288</f>
        <v>0</v>
      </c>
      <c r="P287">
        <f>'mk 001 10.3'!P288</f>
        <v>0</v>
      </c>
      <c r="Q287">
        <f>'mk 001 10.3'!Q288</f>
        <v>0</v>
      </c>
      <c r="R287" s="1">
        <f>'mk 001 10.3'!R288</f>
        <v>0</v>
      </c>
      <c r="S287" s="1">
        <f>'mk 001 10.3'!S288</f>
        <v>0</v>
      </c>
      <c r="T287">
        <f>'mk 001 10.3'!T288</f>
        <v>0</v>
      </c>
      <c r="U287">
        <f>'mk 001 10.3'!U288</f>
        <v>0</v>
      </c>
      <c r="V287">
        <f>'mk 001 10.3'!V288</f>
        <v>0</v>
      </c>
      <c r="W287">
        <f>'mk 001 10.3'!W288</f>
        <v>0</v>
      </c>
      <c r="X287">
        <f>'mk 001 10.3'!X288</f>
        <v>0</v>
      </c>
      <c r="Y287">
        <f t="shared" si="4"/>
        <v>0</v>
      </c>
      <c r="Z287" s="13">
        <f>IF(COUNTIFS(แปลงข้อมูล!H:H,Q287,แปลงข้อมูล!I:I,U287,แปลงข้อมูล!J:J,V287)&gt;0,SUMIFS(แปลงข้อมูล!Q:Q,แปลงข้อมูล!I:I,U287,แปลงข้อมูล!H:H,Q287,แปลงข้อมูล!J:J,V287),'mk 001 10.3'!Z288)</f>
        <v>0</v>
      </c>
      <c r="AA287">
        <f>'mk 001 10.3'!AA288</f>
        <v>0</v>
      </c>
      <c r="AB287">
        <f>'mk 001 10.3'!AB288</f>
        <v>0</v>
      </c>
      <c r="AC287">
        <f>'mk 001 10.3'!AC288</f>
        <v>0</v>
      </c>
      <c r="AD287">
        <f>'mk 001 10.3'!AD288</f>
        <v>0</v>
      </c>
      <c r="AE287">
        <f>'mk 001 10.3'!AE288</f>
        <v>0</v>
      </c>
      <c r="AF287">
        <f>'mk 001 10.3'!AF288</f>
        <v>0</v>
      </c>
      <c r="AG287">
        <f>'mk 001 10.3'!AG288</f>
        <v>0</v>
      </c>
      <c r="AH287">
        <f>'mk 001 10.3'!AH288</f>
        <v>0</v>
      </c>
      <c r="AI287">
        <f>'mk 001 10.3'!AI288</f>
        <v>0</v>
      </c>
      <c r="AJ287">
        <f>'mk 001 10.3'!AJ288</f>
        <v>0</v>
      </c>
      <c r="AK287">
        <f>'mk 001 10.3'!AK288</f>
        <v>0</v>
      </c>
      <c r="AL287">
        <f>'mk 001 10.3'!AL288</f>
        <v>0</v>
      </c>
      <c r="AM287">
        <f>'mk 001 10.3'!AM288</f>
        <v>0</v>
      </c>
      <c r="AN287">
        <f>'mk 001 10.3'!AN288</f>
        <v>0</v>
      </c>
      <c r="AO287">
        <f>'mk 001 10.3'!AO288</f>
        <v>0</v>
      </c>
      <c r="AP287">
        <f>'mk 001 10.3'!AP288</f>
        <v>0</v>
      </c>
      <c r="AQ287">
        <f>'mk 001 10.3'!AQ288</f>
        <v>0</v>
      </c>
      <c r="AR287">
        <f>'mk 001 10.3'!AR288</f>
        <v>0</v>
      </c>
      <c r="AS287">
        <f>'mk 001 10.3'!AS288</f>
        <v>0</v>
      </c>
      <c r="AT287">
        <f>'mk 001 10.3'!AT288</f>
        <v>0</v>
      </c>
      <c r="AU287">
        <f>'mk 001 10.3'!AU288</f>
        <v>0</v>
      </c>
      <c r="AV287">
        <f>'mk 001 10.3'!AV288</f>
        <v>0</v>
      </c>
      <c r="AW287">
        <f>'mk 001 10.3'!AW288</f>
        <v>0</v>
      </c>
      <c r="AX287">
        <f>'mk 001 10.3'!AX288</f>
        <v>0</v>
      </c>
      <c r="AY287">
        <f>'mk 001 10.3'!AY288</f>
        <v>0</v>
      </c>
      <c r="AZ287">
        <f>'mk 001 10.3'!AZ288</f>
        <v>0</v>
      </c>
      <c r="BA287" s="22">
        <f>'mk 001 10.3'!BA288</f>
        <v>0</v>
      </c>
      <c r="BB287">
        <f>'mk 001 10.3'!BB288</f>
        <v>0</v>
      </c>
      <c r="BC287">
        <f>'mk 001 10.3'!BC288</f>
        <v>0</v>
      </c>
      <c r="BD287">
        <f>'mk 001 10.3'!BD288</f>
        <v>0</v>
      </c>
      <c r="BE287">
        <f>'mk 001 10.3'!BE288</f>
        <v>0</v>
      </c>
      <c r="BF287">
        <f>'mk 001 10.3'!BF288</f>
        <v>0</v>
      </c>
      <c r="BG287">
        <f>'mk 001 10.3'!BG288</f>
        <v>0</v>
      </c>
      <c r="BH287">
        <f>'mk 001 10.3'!BH288</f>
        <v>0</v>
      </c>
      <c r="BI287">
        <f>'mk 001 10.3'!BI288</f>
        <v>0</v>
      </c>
      <c r="BJ287">
        <f>'mk 001 10.3'!BJ288</f>
        <v>0</v>
      </c>
      <c r="BK287">
        <f>'mk 001 10.3'!BK288</f>
        <v>0</v>
      </c>
      <c r="BL287">
        <f>'mk 001 10.3'!BL288</f>
        <v>0</v>
      </c>
      <c r="BM287">
        <f>'mk 001 10.3'!BM288</f>
        <v>0</v>
      </c>
      <c r="BN287">
        <f>'mk 001 10.3'!BN288</f>
        <v>0</v>
      </c>
    </row>
    <row r="288" spans="1:66" x14ac:dyDescent="0.35">
      <c r="A288">
        <f>'mk 001 10.3'!A289</f>
        <v>0</v>
      </c>
      <c r="B288">
        <f>'mk 001 10.3'!B289</f>
        <v>0</v>
      </c>
      <c r="C288" s="1">
        <f>'mk 001 10.3'!C289</f>
        <v>0</v>
      </c>
      <c r="D288" s="1">
        <f>'mk 001 10.3'!D289</f>
        <v>0</v>
      </c>
      <c r="E288">
        <f>'mk 001 10.3'!E289</f>
        <v>0</v>
      </c>
      <c r="F288">
        <f>'mk 001 10.3'!F289</f>
        <v>0</v>
      </c>
      <c r="G288">
        <f>'mk 001 10.3'!G289</f>
        <v>0</v>
      </c>
      <c r="H288">
        <f>'mk 001 10.3'!H289</f>
        <v>0</v>
      </c>
      <c r="I288">
        <f>'mk 001 10.3'!I289</f>
        <v>0</v>
      </c>
      <c r="J288">
        <f>'mk 001 10.3'!J289</f>
        <v>0</v>
      </c>
      <c r="K288">
        <f>'mk 001 10.3'!K289</f>
        <v>0</v>
      </c>
      <c r="L288">
        <f>'mk 001 10.3'!L289</f>
        <v>0</v>
      </c>
      <c r="M288">
        <f>'mk 001 10.3'!M289</f>
        <v>0</v>
      </c>
      <c r="N288">
        <f>'mk 001 10.3'!N289</f>
        <v>0</v>
      </c>
      <c r="O288">
        <f>'mk 001 10.3'!O289</f>
        <v>0</v>
      </c>
      <c r="P288">
        <f>'mk 001 10.3'!P289</f>
        <v>0</v>
      </c>
      <c r="Q288">
        <f>'mk 001 10.3'!Q289</f>
        <v>0</v>
      </c>
      <c r="R288" s="1">
        <f>'mk 001 10.3'!R289</f>
        <v>0</v>
      </c>
      <c r="S288" s="1">
        <f>'mk 001 10.3'!S289</f>
        <v>0</v>
      </c>
      <c r="T288">
        <f>'mk 001 10.3'!T289</f>
        <v>0</v>
      </c>
      <c r="U288">
        <f>'mk 001 10.3'!U289</f>
        <v>0</v>
      </c>
      <c r="V288">
        <f>'mk 001 10.3'!V289</f>
        <v>0</v>
      </c>
      <c r="W288">
        <f>'mk 001 10.3'!W289</f>
        <v>0</v>
      </c>
      <c r="X288">
        <f>'mk 001 10.3'!X289</f>
        <v>0</v>
      </c>
      <c r="Y288">
        <f t="shared" si="4"/>
        <v>0</v>
      </c>
      <c r="Z288" s="13">
        <f>IF(COUNTIFS(แปลงข้อมูล!H:H,Q288,แปลงข้อมูล!I:I,U288,แปลงข้อมูล!J:J,V288)&gt;0,SUMIFS(แปลงข้อมูล!Q:Q,แปลงข้อมูล!I:I,U288,แปลงข้อมูล!H:H,Q288,แปลงข้อมูล!J:J,V288),'mk 001 10.3'!Z289)</f>
        <v>0</v>
      </c>
      <c r="AA288">
        <f>'mk 001 10.3'!AA289</f>
        <v>0</v>
      </c>
      <c r="AB288">
        <f>'mk 001 10.3'!AB289</f>
        <v>0</v>
      </c>
      <c r="AC288">
        <f>'mk 001 10.3'!AC289</f>
        <v>0</v>
      </c>
      <c r="AD288">
        <f>'mk 001 10.3'!AD289</f>
        <v>0</v>
      </c>
      <c r="AE288">
        <f>'mk 001 10.3'!AE289</f>
        <v>0</v>
      </c>
      <c r="AF288">
        <f>'mk 001 10.3'!AF289</f>
        <v>0</v>
      </c>
      <c r="AG288">
        <f>'mk 001 10.3'!AG289</f>
        <v>0</v>
      </c>
      <c r="AH288">
        <f>'mk 001 10.3'!AH289</f>
        <v>0</v>
      </c>
      <c r="AI288">
        <f>'mk 001 10.3'!AI289</f>
        <v>0</v>
      </c>
      <c r="AJ288">
        <f>'mk 001 10.3'!AJ289</f>
        <v>0</v>
      </c>
      <c r="AK288">
        <f>'mk 001 10.3'!AK289</f>
        <v>0</v>
      </c>
      <c r="AL288">
        <f>'mk 001 10.3'!AL289</f>
        <v>0</v>
      </c>
      <c r="AM288">
        <f>'mk 001 10.3'!AM289</f>
        <v>0</v>
      </c>
      <c r="AN288">
        <f>'mk 001 10.3'!AN289</f>
        <v>0</v>
      </c>
      <c r="AO288">
        <f>'mk 001 10.3'!AO289</f>
        <v>0</v>
      </c>
      <c r="AP288">
        <f>'mk 001 10.3'!AP289</f>
        <v>0</v>
      </c>
      <c r="AQ288">
        <f>'mk 001 10.3'!AQ289</f>
        <v>0</v>
      </c>
      <c r="AR288">
        <f>'mk 001 10.3'!AR289</f>
        <v>0</v>
      </c>
      <c r="AS288">
        <f>'mk 001 10.3'!AS289</f>
        <v>0</v>
      </c>
      <c r="AT288">
        <f>'mk 001 10.3'!AT289</f>
        <v>0</v>
      </c>
      <c r="AU288">
        <f>'mk 001 10.3'!AU289</f>
        <v>0</v>
      </c>
      <c r="AV288">
        <f>'mk 001 10.3'!AV289</f>
        <v>0</v>
      </c>
      <c r="AW288">
        <f>'mk 001 10.3'!AW289</f>
        <v>0</v>
      </c>
      <c r="AX288">
        <f>'mk 001 10.3'!AX289</f>
        <v>0</v>
      </c>
      <c r="AY288">
        <f>'mk 001 10.3'!AY289</f>
        <v>0</v>
      </c>
      <c r="AZ288">
        <f>'mk 001 10.3'!AZ289</f>
        <v>0</v>
      </c>
      <c r="BA288" s="22">
        <f>'mk 001 10.3'!BA289</f>
        <v>0</v>
      </c>
      <c r="BB288">
        <f>'mk 001 10.3'!BB289</f>
        <v>0</v>
      </c>
      <c r="BC288">
        <f>'mk 001 10.3'!BC289</f>
        <v>0</v>
      </c>
      <c r="BD288">
        <f>'mk 001 10.3'!BD289</f>
        <v>0</v>
      </c>
      <c r="BE288">
        <f>'mk 001 10.3'!BE289</f>
        <v>0</v>
      </c>
      <c r="BF288">
        <f>'mk 001 10.3'!BF289</f>
        <v>0</v>
      </c>
      <c r="BG288">
        <f>'mk 001 10.3'!BG289</f>
        <v>0</v>
      </c>
      <c r="BH288">
        <f>'mk 001 10.3'!BH289</f>
        <v>0</v>
      </c>
      <c r="BI288">
        <f>'mk 001 10.3'!BI289</f>
        <v>0</v>
      </c>
      <c r="BJ288">
        <f>'mk 001 10.3'!BJ289</f>
        <v>0</v>
      </c>
      <c r="BK288">
        <f>'mk 001 10.3'!BK289</f>
        <v>0</v>
      </c>
      <c r="BL288">
        <f>'mk 001 10.3'!BL289</f>
        <v>0</v>
      </c>
      <c r="BM288">
        <f>'mk 001 10.3'!BM289</f>
        <v>0</v>
      </c>
      <c r="BN288">
        <f>'mk 001 10.3'!BN289</f>
        <v>0</v>
      </c>
    </row>
    <row r="289" spans="1:66" x14ac:dyDescent="0.35">
      <c r="A289">
        <f>'mk 001 10.3'!A290</f>
        <v>0</v>
      </c>
      <c r="B289">
        <f>'mk 001 10.3'!B290</f>
        <v>0</v>
      </c>
      <c r="C289" s="1">
        <f>'mk 001 10.3'!C290</f>
        <v>0</v>
      </c>
      <c r="D289" s="1">
        <f>'mk 001 10.3'!D290</f>
        <v>0</v>
      </c>
      <c r="E289">
        <f>'mk 001 10.3'!E290</f>
        <v>0</v>
      </c>
      <c r="F289">
        <f>'mk 001 10.3'!F290</f>
        <v>0</v>
      </c>
      <c r="G289">
        <f>'mk 001 10.3'!G290</f>
        <v>0</v>
      </c>
      <c r="H289">
        <f>'mk 001 10.3'!H290</f>
        <v>0</v>
      </c>
      <c r="I289">
        <f>'mk 001 10.3'!I290</f>
        <v>0</v>
      </c>
      <c r="J289">
        <f>'mk 001 10.3'!J290</f>
        <v>0</v>
      </c>
      <c r="K289">
        <f>'mk 001 10.3'!K290</f>
        <v>0</v>
      </c>
      <c r="L289">
        <f>'mk 001 10.3'!L290</f>
        <v>0</v>
      </c>
      <c r="M289">
        <f>'mk 001 10.3'!M290</f>
        <v>0</v>
      </c>
      <c r="N289">
        <f>'mk 001 10.3'!N290</f>
        <v>0</v>
      </c>
      <c r="O289">
        <f>'mk 001 10.3'!O290</f>
        <v>0</v>
      </c>
      <c r="P289">
        <f>'mk 001 10.3'!P290</f>
        <v>0</v>
      </c>
      <c r="Q289">
        <f>'mk 001 10.3'!Q290</f>
        <v>0</v>
      </c>
      <c r="R289" s="1">
        <f>'mk 001 10.3'!R290</f>
        <v>0</v>
      </c>
      <c r="S289" s="1">
        <f>'mk 001 10.3'!S290</f>
        <v>0</v>
      </c>
      <c r="T289">
        <f>'mk 001 10.3'!T290</f>
        <v>0</v>
      </c>
      <c r="U289">
        <f>'mk 001 10.3'!U290</f>
        <v>0</v>
      </c>
      <c r="V289">
        <f>'mk 001 10.3'!V290</f>
        <v>0</v>
      </c>
      <c r="W289">
        <f>'mk 001 10.3'!W290</f>
        <v>0</v>
      </c>
      <c r="X289">
        <f>'mk 001 10.3'!X290</f>
        <v>0</v>
      </c>
      <c r="Y289">
        <f t="shared" si="4"/>
        <v>0</v>
      </c>
      <c r="Z289" s="13">
        <f>IF(COUNTIFS(แปลงข้อมูล!H:H,Q289,แปลงข้อมูล!I:I,U289,แปลงข้อมูล!J:J,V289)&gt;0,SUMIFS(แปลงข้อมูล!Q:Q,แปลงข้อมูล!I:I,U289,แปลงข้อมูล!H:H,Q289,แปลงข้อมูล!J:J,V289),'mk 001 10.3'!Z290)</f>
        <v>0</v>
      </c>
      <c r="AA289">
        <f>'mk 001 10.3'!AA290</f>
        <v>0</v>
      </c>
      <c r="AB289">
        <f>'mk 001 10.3'!AB290</f>
        <v>0</v>
      </c>
      <c r="AC289">
        <f>'mk 001 10.3'!AC290</f>
        <v>0</v>
      </c>
      <c r="AD289">
        <f>'mk 001 10.3'!AD290</f>
        <v>0</v>
      </c>
      <c r="AE289">
        <f>'mk 001 10.3'!AE290</f>
        <v>0</v>
      </c>
      <c r="AF289">
        <f>'mk 001 10.3'!AF290</f>
        <v>0</v>
      </c>
      <c r="AG289">
        <f>'mk 001 10.3'!AG290</f>
        <v>0</v>
      </c>
      <c r="AH289">
        <f>'mk 001 10.3'!AH290</f>
        <v>0</v>
      </c>
      <c r="AI289">
        <f>'mk 001 10.3'!AI290</f>
        <v>0</v>
      </c>
      <c r="AJ289">
        <f>'mk 001 10.3'!AJ290</f>
        <v>0</v>
      </c>
      <c r="AK289">
        <f>'mk 001 10.3'!AK290</f>
        <v>0</v>
      </c>
      <c r="AL289">
        <f>'mk 001 10.3'!AL290</f>
        <v>0</v>
      </c>
      <c r="AM289">
        <f>'mk 001 10.3'!AM290</f>
        <v>0</v>
      </c>
      <c r="AN289">
        <f>'mk 001 10.3'!AN290</f>
        <v>0</v>
      </c>
      <c r="AO289">
        <f>'mk 001 10.3'!AO290</f>
        <v>0</v>
      </c>
      <c r="AP289">
        <f>'mk 001 10.3'!AP290</f>
        <v>0</v>
      </c>
      <c r="AQ289">
        <f>'mk 001 10.3'!AQ290</f>
        <v>0</v>
      </c>
      <c r="AR289">
        <f>'mk 001 10.3'!AR290</f>
        <v>0</v>
      </c>
      <c r="AS289">
        <f>'mk 001 10.3'!AS290</f>
        <v>0</v>
      </c>
      <c r="AT289">
        <f>'mk 001 10.3'!AT290</f>
        <v>0</v>
      </c>
      <c r="AU289">
        <f>'mk 001 10.3'!AU290</f>
        <v>0</v>
      </c>
      <c r="AV289">
        <f>'mk 001 10.3'!AV290</f>
        <v>0</v>
      </c>
      <c r="AW289">
        <f>'mk 001 10.3'!AW290</f>
        <v>0</v>
      </c>
      <c r="AX289">
        <f>'mk 001 10.3'!AX290</f>
        <v>0</v>
      </c>
      <c r="AY289">
        <f>'mk 001 10.3'!AY290</f>
        <v>0</v>
      </c>
      <c r="AZ289">
        <f>'mk 001 10.3'!AZ290</f>
        <v>0</v>
      </c>
      <c r="BA289" s="22">
        <f>'mk 001 10.3'!BA290</f>
        <v>0</v>
      </c>
      <c r="BB289">
        <f>'mk 001 10.3'!BB290</f>
        <v>0</v>
      </c>
      <c r="BC289">
        <f>'mk 001 10.3'!BC290</f>
        <v>0</v>
      </c>
      <c r="BD289">
        <f>'mk 001 10.3'!BD290</f>
        <v>0</v>
      </c>
      <c r="BE289">
        <f>'mk 001 10.3'!BE290</f>
        <v>0</v>
      </c>
      <c r="BF289">
        <f>'mk 001 10.3'!BF290</f>
        <v>0</v>
      </c>
      <c r="BG289">
        <f>'mk 001 10.3'!BG290</f>
        <v>0</v>
      </c>
      <c r="BH289">
        <f>'mk 001 10.3'!BH290</f>
        <v>0</v>
      </c>
      <c r="BI289">
        <f>'mk 001 10.3'!BI290</f>
        <v>0</v>
      </c>
      <c r="BJ289">
        <f>'mk 001 10.3'!BJ290</f>
        <v>0</v>
      </c>
      <c r="BK289">
        <f>'mk 001 10.3'!BK290</f>
        <v>0</v>
      </c>
      <c r="BL289">
        <f>'mk 001 10.3'!BL290</f>
        <v>0</v>
      </c>
      <c r="BM289">
        <f>'mk 001 10.3'!BM290</f>
        <v>0</v>
      </c>
      <c r="BN289">
        <f>'mk 001 10.3'!BN290</f>
        <v>0</v>
      </c>
    </row>
    <row r="290" spans="1:66" x14ac:dyDescent="0.35">
      <c r="A290">
        <f>'mk 001 10.3'!A291</f>
        <v>0</v>
      </c>
      <c r="B290">
        <f>'mk 001 10.3'!B291</f>
        <v>0</v>
      </c>
      <c r="C290" s="1">
        <f>'mk 001 10.3'!C291</f>
        <v>0</v>
      </c>
      <c r="D290" s="1">
        <f>'mk 001 10.3'!D291</f>
        <v>0</v>
      </c>
      <c r="E290">
        <f>'mk 001 10.3'!E291</f>
        <v>0</v>
      </c>
      <c r="F290">
        <f>'mk 001 10.3'!F291</f>
        <v>0</v>
      </c>
      <c r="G290">
        <f>'mk 001 10.3'!G291</f>
        <v>0</v>
      </c>
      <c r="H290">
        <f>'mk 001 10.3'!H291</f>
        <v>0</v>
      </c>
      <c r="I290">
        <f>'mk 001 10.3'!I291</f>
        <v>0</v>
      </c>
      <c r="J290">
        <f>'mk 001 10.3'!J291</f>
        <v>0</v>
      </c>
      <c r="K290">
        <f>'mk 001 10.3'!K291</f>
        <v>0</v>
      </c>
      <c r="L290">
        <f>'mk 001 10.3'!L291</f>
        <v>0</v>
      </c>
      <c r="M290">
        <f>'mk 001 10.3'!M291</f>
        <v>0</v>
      </c>
      <c r="N290">
        <f>'mk 001 10.3'!N291</f>
        <v>0</v>
      </c>
      <c r="O290">
        <f>'mk 001 10.3'!O291</f>
        <v>0</v>
      </c>
      <c r="P290">
        <f>'mk 001 10.3'!P291</f>
        <v>0</v>
      </c>
      <c r="Q290">
        <f>'mk 001 10.3'!Q291</f>
        <v>0</v>
      </c>
      <c r="R290" s="1">
        <f>'mk 001 10.3'!R291</f>
        <v>0</v>
      </c>
      <c r="S290" s="1">
        <f>'mk 001 10.3'!S291</f>
        <v>0</v>
      </c>
      <c r="T290">
        <f>'mk 001 10.3'!T291</f>
        <v>0</v>
      </c>
      <c r="U290">
        <f>'mk 001 10.3'!U291</f>
        <v>0</v>
      </c>
      <c r="V290">
        <f>'mk 001 10.3'!V291</f>
        <v>0</v>
      </c>
      <c r="W290">
        <f>'mk 001 10.3'!W291</f>
        <v>0</v>
      </c>
      <c r="X290">
        <f>'mk 001 10.3'!X291</f>
        <v>0</v>
      </c>
      <c r="Y290">
        <f t="shared" si="4"/>
        <v>0</v>
      </c>
      <c r="Z290" s="13">
        <f>IF(COUNTIFS(แปลงข้อมูล!H:H,Q290,แปลงข้อมูล!I:I,U290,แปลงข้อมูล!J:J,V290)&gt;0,SUMIFS(แปลงข้อมูล!Q:Q,แปลงข้อมูล!I:I,U290,แปลงข้อมูล!H:H,Q290,แปลงข้อมูล!J:J,V290),'mk 001 10.3'!Z291)</f>
        <v>0</v>
      </c>
      <c r="AA290">
        <f>'mk 001 10.3'!AA291</f>
        <v>0</v>
      </c>
      <c r="AB290">
        <f>'mk 001 10.3'!AB291</f>
        <v>0</v>
      </c>
      <c r="AC290">
        <f>'mk 001 10.3'!AC291</f>
        <v>0</v>
      </c>
      <c r="AD290">
        <f>'mk 001 10.3'!AD291</f>
        <v>0</v>
      </c>
      <c r="AE290">
        <f>'mk 001 10.3'!AE291</f>
        <v>0</v>
      </c>
      <c r="AF290">
        <f>'mk 001 10.3'!AF291</f>
        <v>0</v>
      </c>
      <c r="AG290">
        <f>'mk 001 10.3'!AG291</f>
        <v>0</v>
      </c>
      <c r="AH290">
        <f>'mk 001 10.3'!AH291</f>
        <v>0</v>
      </c>
      <c r="AI290">
        <f>'mk 001 10.3'!AI291</f>
        <v>0</v>
      </c>
      <c r="AJ290">
        <f>'mk 001 10.3'!AJ291</f>
        <v>0</v>
      </c>
      <c r="AK290">
        <f>'mk 001 10.3'!AK291</f>
        <v>0</v>
      </c>
      <c r="AL290">
        <f>'mk 001 10.3'!AL291</f>
        <v>0</v>
      </c>
      <c r="AM290">
        <f>'mk 001 10.3'!AM291</f>
        <v>0</v>
      </c>
      <c r="AN290">
        <f>'mk 001 10.3'!AN291</f>
        <v>0</v>
      </c>
      <c r="AO290">
        <f>'mk 001 10.3'!AO291</f>
        <v>0</v>
      </c>
      <c r="AP290">
        <f>'mk 001 10.3'!AP291</f>
        <v>0</v>
      </c>
      <c r="AQ290">
        <f>'mk 001 10.3'!AQ291</f>
        <v>0</v>
      </c>
      <c r="AR290">
        <f>'mk 001 10.3'!AR291</f>
        <v>0</v>
      </c>
      <c r="AS290">
        <f>'mk 001 10.3'!AS291</f>
        <v>0</v>
      </c>
      <c r="AT290">
        <f>'mk 001 10.3'!AT291</f>
        <v>0</v>
      </c>
      <c r="AU290">
        <f>'mk 001 10.3'!AU291</f>
        <v>0</v>
      </c>
      <c r="AV290">
        <f>'mk 001 10.3'!AV291</f>
        <v>0</v>
      </c>
      <c r="AW290">
        <f>'mk 001 10.3'!AW291</f>
        <v>0</v>
      </c>
      <c r="AX290">
        <f>'mk 001 10.3'!AX291</f>
        <v>0</v>
      </c>
      <c r="AY290">
        <f>'mk 001 10.3'!AY291</f>
        <v>0</v>
      </c>
      <c r="AZ290">
        <f>'mk 001 10.3'!AZ291</f>
        <v>0</v>
      </c>
      <c r="BA290" s="22">
        <f>'mk 001 10.3'!BA291</f>
        <v>0</v>
      </c>
      <c r="BB290">
        <f>'mk 001 10.3'!BB291</f>
        <v>0</v>
      </c>
      <c r="BC290">
        <f>'mk 001 10.3'!BC291</f>
        <v>0</v>
      </c>
      <c r="BD290">
        <f>'mk 001 10.3'!BD291</f>
        <v>0</v>
      </c>
      <c r="BE290">
        <f>'mk 001 10.3'!BE291</f>
        <v>0</v>
      </c>
      <c r="BF290">
        <f>'mk 001 10.3'!BF291</f>
        <v>0</v>
      </c>
      <c r="BG290">
        <f>'mk 001 10.3'!BG291</f>
        <v>0</v>
      </c>
      <c r="BH290">
        <f>'mk 001 10.3'!BH291</f>
        <v>0</v>
      </c>
      <c r="BI290">
        <f>'mk 001 10.3'!BI291</f>
        <v>0</v>
      </c>
      <c r="BJ290">
        <f>'mk 001 10.3'!BJ291</f>
        <v>0</v>
      </c>
      <c r="BK290">
        <f>'mk 001 10.3'!BK291</f>
        <v>0</v>
      </c>
      <c r="BL290">
        <f>'mk 001 10.3'!BL291</f>
        <v>0</v>
      </c>
      <c r="BM290">
        <f>'mk 001 10.3'!BM291</f>
        <v>0</v>
      </c>
      <c r="BN290">
        <f>'mk 001 10.3'!BN291</f>
        <v>0</v>
      </c>
    </row>
    <row r="291" spans="1:66" x14ac:dyDescent="0.35">
      <c r="A291">
        <f>'mk 001 10.3'!A292</f>
        <v>0</v>
      </c>
      <c r="B291">
        <f>'mk 001 10.3'!B292</f>
        <v>0</v>
      </c>
      <c r="C291" s="1">
        <f>'mk 001 10.3'!C292</f>
        <v>0</v>
      </c>
      <c r="D291" s="1">
        <f>'mk 001 10.3'!D292</f>
        <v>0</v>
      </c>
      <c r="E291">
        <f>'mk 001 10.3'!E292</f>
        <v>0</v>
      </c>
      <c r="F291">
        <f>'mk 001 10.3'!F292</f>
        <v>0</v>
      </c>
      <c r="G291">
        <f>'mk 001 10.3'!G292</f>
        <v>0</v>
      </c>
      <c r="H291">
        <f>'mk 001 10.3'!H292</f>
        <v>0</v>
      </c>
      <c r="I291">
        <f>'mk 001 10.3'!I292</f>
        <v>0</v>
      </c>
      <c r="J291">
        <f>'mk 001 10.3'!J292</f>
        <v>0</v>
      </c>
      <c r="K291">
        <f>'mk 001 10.3'!K292</f>
        <v>0</v>
      </c>
      <c r="L291">
        <f>'mk 001 10.3'!L292</f>
        <v>0</v>
      </c>
      <c r="M291">
        <f>'mk 001 10.3'!M292</f>
        <v>0</v>
      </c>
      <c r="N291">
        <f>'mk 001 10.3'!N292</f>
        <v>0</v>
      </c>
      <c r="O291">
        <f>'mk 001 10.3'!O292</f>
        <v>0</v>
      </c>
      <c r="P291">
        <f>'mk 001 10.3'!P292</f>
        <v>0</v>
      </c>
      <c r="Q291">
        <f>'mk 001 10.3'!Q292</f>
        <v>0</v>
      </c>
      <c r="R291" s="1">
        <f>'mk 001 10.3'!R292</f>
        <v>0</v>
      </c>
      <c r="S291" s="1">
        <f>'mk 001 10.3'!S292</f>
        <v>0</v>
      </c>
      <c r="T291">
        <f>'mk 001 10.3'!T292</f>
        <v>0</v>
      </c>
      <c r="U291">
        <f>'mk 001 10.3'!U292</f>
        <v>0</v>
      </c>
      <c r="V291">
        <f>'mk 001 10.3'!V292</f>
        <v>0</v>
      </c>
      <c r="W291">
        <f>'mk 001 10.3'!W292</f>
        <v>0</v>
      </c>
      <c r="X291">
        <f>'mk 001 10.3'!X292</f>
        <v>0</v>
      </c>
      <c r="Y291">
        <f t="shared" si="4"/>
        <v>0</v>
      </c>
      <c r="Z291" s="13">
        <f>IF(COUNTIFS(แปลงข้อมูล!H:H,Q291,แปลงข้อมูล!I:I,U291,แปลงข้อมูล!J:J,V291)&gt;0,SUMIFS(แปลงข้อมูล!Q:Q,แปลงข้อมูล!I:I,U291,แปลงข้อมูล!H:H,Q291,แปลงข้อมูล!J:J,V291),'mk 001 10.3'!Z292)</f>
        <v>0</v>
      </c>
      <c r="AA291">
        <f>'mk 001 10.3'!AA292</f>
        <v>0</v>
      </c>
      <c r="AB291">
        <f>'mk 001 10.3'!AB292</f>
        <v>0</v>
      </c>
      <c r="AC291">
        <f>'mk 001 10.3'!AC292</f>
        <v>0</v>
      </c>
      <c r="AD291">
        <f>'mk 001 10.3'!AD292</f>
        <v>0</v>
      </c>
      <c r="AE291">
        <f>'mk 001 10.3'!AE292</f>
        <v>0</v>
      </c>
      <c r="AF291">
        <f>'mk 001 10.3'!AF292</f>
        <v>0</v>
      </c>
      <c r="AG291">
        <f>'mk 001 10.3'!AG292</f>
        <v>0</v>
      </c>
      <c r="AH291">
        <f>'mk 001 10.3'!AH292</f>
        <v>0</v>
      </c>
      <c r="AI291">
        <f>'mk 001 10.3'!AI292</f>
        <v>0</v>
      </c>
      <c r="AJ291">
        <f>'mk 001 10.3'!AJ292</f>
        <v>0</v>
      </c>
      <c r="AK291">
        <f>'mk 001 10.3'!AK292</f>
        <v>0</v>
      </c>
      <c r="AL291">
        <f>'mk 001 10.3'!AL292</f>
        <v>0</v>
      </c>
      <c r="AM291">
        <f>'mk 001 10.3'!AM292</f>
        <v>0</v>
      </c>
      <c r="AN291">
        <f>'mk 001 10.3'!AN292</f>
        <v>0</v>
      </c>
      <c r="AO291">
        <f>'mk 001 10.3'!AO292</f>
        <v>0</v>
      </c>
      <c r="AP291">
        <f>'mk 001 10.3'!AP292</f>
        <v>0</v>
      </c>
      <c r="AQ291">
        <f>'mk 001 10.3'!AQ292</f>
        <v>0</v>
      </c>
      <c r="AR291">
        <f>'mk 001 10.3'!AR292</f>
        <v>0</v>
      </c>
      <c r="AS291">
        <f>'mk 001 10.3'!AS292</f>
        <v>0</v>
      </c>
      <c r="AT291">
        <f>'mk 001 10.3'!AT292</f>
        <v>0</v>
      </c>
      <c r="AU291">
        <f>'mk 001 10.3'!AU292</f>
        <v>0</v>
      </c>
      <c r="AV291">
        <f>'mk 001 10.3'!AV292</f>
        <v>0</v>
      </c>
      <c r="AW291">
        <f>'mk 001 10.3'!AW292</f>
        <v>0</v>
      </c>
      <c r="AX291">
        <f>'mk 001 10.3'!AX292</f>
        <v>0</v>
      </c>
      <c r="AY291">
        <f>'mk 001 10.3'!AY292</f>
        <v>0</v>
      </c>
      <c r="AZ291">
        <f>'mk 001 10.3'!AZ292</f>
        <v>0</v>
      </c>
      <c r="BA291" s="22">
        <f>'mk 001 10.3'!BA292</f>
        <v>0</v>
      </c>
      <c r="BB291">
        <f>'mk 001 10.3'!BB292</f>
        <v>0</v>
      </c>
      <c r="BC291">
        <f>'mk 001 10.3'!BC292</f>
        <v>0</v>
      </c>
      <c r="BD291">
        <f>'mk 001 10.3'!BD292</f>
        <v>0</v>
      </c>
      <c r="BE291">
        <f>'mk 001 10.3'!BE292</f>
        <v>0</v>
      </c>
      <c r="BF291">
        <f>'mk 001 10.3'!BF292</f>
        <v>0</v>
      </c>
      <c r="BG291">
        <f>'mk 001 10.3'!BG292</f>
        <v>0</v>
      </c>
      <c r="BH291">
        <f>'mk 001 10.3'!BH292</f>
        <v>0</v>
      </c>
      <c r="BI291">
        <f>'mk 001 10.3'!BI292</f>
        <v>0</v>
      </c>
      <c r="BJ291">
        <f>'mk 001 10.3'!BJ292</f>
        <v>0</v>
      </c>
      <c r="BK291">
        <f>'mk 001 10.3'!BK292</f>
        <v>0</v>
      </c>
      <c r="BL291">
        <f>'mk 001 10.3'!BL292</f>
        <v>0</v>
      </c>
      <c r="BM291">
        <f>'mk 001 10.3'!BM292</f>
        <v>0</v>
      </c>
      <c r="BN291">
        <f>'mk 001 10.3'!BN292</f>
        <v>0</v>
      </c>
    </row>
    <row r="292" spans="1:66" x14ac:dyDescent="0.35">
      <c r="A292">
        <f>'mk 001 10.3'!A293</f>
        <v>0</v>
      </c>
      <c r="B292">
        <f>'mk 001 10.3'!B293</f>
        <v>0</v>
      </c>
      <c r="C292" s="1">
        <f>'mk 001 10.3'!C293</f>
        <v>0</v>
      </c>
      <c r="D292" s="1">
        <f>'mk 001 10.3'!D293</f>
        <v>0</v>
      </c>
      <c r="E292">
        <f>'mk 001 10.3'!E293</f>
        <v>0</v>
      </c>
      <c r="F292">
        <f>'mk 001 10.3'!F293</f>
        <v>0</v>
      </c>
      <c r="G292">
        <f>'mk 001 10.3'!G293</f>
        <v>0</v>
      </c>
      <c r="H292">
        <f>'mk 001 10.3'!H293</f>
        <v>0</v>
      </c>
      <c r="I292">
        <f>'mk 001 10.3'!I293</f>
        <v>0</v>
      </c>
      <c r="J292">
        <f>'mk 001 10.3'!J293</f>
        <v>0</v>
      </c>
      <c r="K292">
        <f>'mk 001 10.3'!K293</f>
        <v>0</v>
      </c>
      <c r="L292">
        <f>'mk 001 10.3'!L293</f>
        <v>0</v>
      </c>
      <c r="M292">
        <f>'mk 001 10.3'!M293</f>
        <v>0</v>
      </c>
      <c r="N292">
        <f>'mk 001 10.3'!N293</f>
        <v>0</v>
      </c>
      <c r="O292">
        <f>'mk 001 10.3'!O293</f>
        <v>0</v>
      </c>
      <c r="P292">
        <f>'mk 001 10.3'!P293</f>
        <v>0</v>
      </c>
      <c r="Q292">
        <f>'mk 001 10.3'!Q293</f>
        <v>0</v>
      </c>
      <c r="R292" s="1">
        <f>'mk 001 10.3'!R293</f>
        <v>0</v>
      </c>
      <c r="S292" s="1">
        <f>'mk 001 10.3'!S293</f>
        <v>0</v>
      </c>
      <c r="T292">
        <f>'mk 001 10.3'!T293</f>
        <v>0</v>
      </c>
      <c r="U292">
        <f>'mk 001 10.3'!U293</f>
        <v>0</v>
      </c>
      <c r="V292">
        <f>'mk 001 10.3'!V293</f>
        <v>0</v>
      </c>
      <c r="W292">
        <f>'mk 001 10.3'!W293</f>
        <v>0</v>
      </c>
      <c r="X292">
        <f>'mk 001 10.3'!X293</f>
        <v>0</v>
      </c>
      <c r="Y292">
        <f t="shared" si="4"/>
        <v>0</v>
      </c>
      <c r="Z292" s="13">
        <f>IF(COUNTIFS(แปลงข้อมูล!H:H,Q292,แปลงข้อมูล!I:I,U292,แปลงข้อมูล!J:J,V292)&gt;0,SUMIFS(แปลงข้อมูล!Q:Q,แปลงข้อมูล!I:I,U292,แปลงข้อมูล!H:H,Q292,แปลงข้อมูล!J:J,V292),'mk 001 10.3'!Z293)</f>
        <v>0</v>
      </c>
      <c r="AA292">
        <f>'mk 001 10.3'!AA293</f>
        <v>0</v>
      </c>
      <c r="AB292">
        <f>'mk 001 10.3'!AB293</f>
        <v>0</v>
      </c>
      <c r="AC292">
        <f>'mk 001 10.3'!AC293</f>
        <v>0</v>
      </c>
      <c r="AD292">
        <f>'mk 001 10.3'!AD293</f>
        <v>0</v>
      </c>
      <c r="AE292">
        <f>'mk 001 10.3'!AE293</f>
        <v>0</v>
      </c>
      <c r="AF292">
        <f>'mk 001 10.3'!AF293</f>
        <v>0</v>
      </c>
      <c r="AG292">
        <f>'mk 001 10.3'!AG293</f>
        <v>0</v>
      </c>
      <c r="AH292">
        <f>'mk 001 10.3'!AH293</f>
        <v>0</v>
      </c>
      <c r="AI292">
        <f>'mk 001 10.3'!AI293</f>
        <v>0</v>
      </c>
      <c r="AJ292">
        <f>'mk 001 10.3'!AJ293</f>
        <v>0</v>
      </c>
      <c r="AK292">
        <f>'mk 001 10.3'!AK293</f>
        <v>0</v>
      </c>
      <c r="AL292">
        <f>'mk 001 10.3'!AL293</f>
        <v>0</v>
      </c>
      <c r="AM292">
        <f>'mk 001 10.3'!AM293</f>
        <v>0</v>
      </c>
      <c r="AN292">
        <f>'mk 001 10.3'!AN293</f>
        <v>0</v>
      </c>
      <c r="AO292">
        <f>'mk 001 10.3'!AO293</f>
        <v>0</v>
      </c>
      <c r="AP292">
        <f>'mk 001 10.3'!AP293</f>
        <v>0</v>
      </c>
      <c r="AQ292">
        <f>'mk 001 10.3'!AQ293</f>
        <v>0</v>
      </c>
      <c r="AR292">
        <f>'mk 001 10.3'!AR293</f>
        <v>0</v>
      </c>
      <c r="AS292">
        <f>'mk 001 10.3'!AS293</f>
        <v>0</v>
      </c>
      <c r="AT292">
        <f>'mk 001 10.3'!AT293</f>
        <v>0</v>
      </c>
      <c r="AU292">
        <f>'mk 001 10.3'!AU293</f>
        <v>0</v>
      </c>
      <c r="AV292">
        <f>'mk 001 10.3'!AV293</f>
        <v>0</v>
      </c>
      <c r="AW292">
        <f>'mk 001 10.3'!AW293</f>
        <v>0</v>
      </c>
      <c r="AX292">
        <f>'mk 001 10.3'!AX293</f>
        <v>0</v>
      </c>
      <c r="AY292">
        <f>'mk 001 10.3'!AY293</f>
        <v>0</v>
      </c>
      <c r="AZ292">
        <f>'mk 001 10.3'!AZ293</f>
        <v>0</v>
      </c>
      <c r="BA292" s="22">
        <f>'mk 001 10.3'!BA293</f>
        <v>0</v>
      </c>
      <c r="BB292">
        <f>'mk 001 10.3'!BB293</f>
        <v>0</v>
      </c>
      <c r="BC292">
        <f>'mk 001 10.3'!BC293</f>
        <v>0</v>
      </c>
      <c r="BD292">
        <f>'mk 001 10.3'!BD293</f>
        <v>0</v>
      </c>
      <c r="BE292">
        <f>'mk 001 10.3'!BE293</f>
        <v>0</v>
      </c>
      <c r="BF292">
        <f>'mk 001 10.3'!BF293</f>
        <v>0</v>
      </c>
      <c r="BG292">
        <f>'mk 001 10.3'!BG293</f>
        <v>0</v>
      </c>
      <c r="BH292">
        <f>'mk 001 10.3'!BH293</f>
        <v>0</v>
      </c>
      <c r="BI292">
        <f>'mk 001 10.3'!BI293</f>
        <v>0</v>
      </c>
      <c r="BJ292">
        <f>'mk 001 10.3'!BJ293</f>
        <v>0</v>
      </c>
      <c r="BK292">
        <f>'mk 001 10.3'!BK293</f>
        <v>0</v>
      </c>
      <c r="BL292">
        <f>'mk 001 10.3'!BL293</f>
        <v>0</v>
      </c>
      <c r="BM292">
        <f>'mk 001 10.3'!BM293</f>
        <v>0</v>
      </c>
      <c r="BN292">
        <f>'mk 001 10.3'!BN293</f>
        <v>0</v>
      </c>
    </row>
    <row r="293" spans="1:66" x14ac:dyDescent="0.35">
      <c r="A293">
        <f>'mk 001 10.3'!A294</f>
        <v>0</v>
      </c>
      <c r="B293">
        <f>'mk 001 10.3'!B294</f>
        <v>0</v>
      </c>
      <c r="C293" s="1">
        <f>'mk 001 10.3'!C294</f>
        <v>0</v>
      </c>
      <c r="D293" s="1">
        <f>'mk 001 10.3'!D294</f>
        <v>0</v>
      </c>
      <c r="E293">
        <f>'mk 001 10.3'!E294</f>
        <v>0</v>
      </c>
      <c r="F293">
        <f>'mk 001 10.3'!F294</f>
        <v>0</v>
      </c>
      <c r="G293">
        <f>'mk 001 10.3'!G294</f>
        <v>0</v>
      </c>
      <c r="H293">
        <f>'mk 001 10.3'!H294</f>
        <v>0</v>
      </c>
      <c r="I293">
        <f>'mk 001 10.3'!I294</f>
        <v>0</v>
      </c>
      <c r="J293">
        <f>'mk 001 10.3'!J294</f>
        <v>0</v>
      </c>
      <c r="K293">
        <f>'mk 001 10.3'!K294</f>
        <v>0</v>
      </c>
      <c r="L293">
        <f>'mk 001 10.3'!L294</f>
        <v>0</v>
      </c>
      <c r="M293">
        <f>'mk 001 10.3'!M294</f>
        <v>0</v>
      </c>
      <c r="N293">
        <f>'mk 001 10.3'!N294</f>
        <v>0</v>
      </c>
      <c r="O293">
        <f>'mk 001 10.3'!O294</f>
        <v>0</v>
      </c>
      <c r="P293">
        <f>'mk 001 10.3'!P294</f>
        <v>0</v>
      </c>
      <c r="Q293">
        <f>'mk 001 10.3'!Q294</f>
        <v>0</v>
      </c>
      <c r="R293" s="1">
        <f>'mk 001 10.3'!R294</f>
        <v>0</v>
      </c>
      <c r="S293" s="1">
        <f>'mk 001 10.3'!S294</f>
        <v>0</v>
      </c>
      <c r="T293">
        <f>'mk 001 10.3'!T294</f>
        <v>0</v>
      </c>
      <c r="U293">
        <f>'mk 001 10.3'!U294</f>
        <v>0</v>
      </c>
      <c r="V293">
        <f>'mk 001 10.3'!V294</f>
        <v>0</v>
      </c>
      <c r="W293">
        <f>'mk 001 10.3'!W294</f>
        <v>0</v>
      </c>
      <c r="X293">
        <f>'mk 001 10.3'!X294</f>
        <v>0</v>
      </c>
      <c r="Y293">
        <f t="shared" si="4"/>
        <v>0</v>
      </c>
      <c r="Z293" s="13">
        <f>IF(COUNTIFS(แปลงข้อมูล!H:H,Q293,แปลงข้อมูล!I:I,U293,แปลงข้อมูล!J:J,V293)&gt;0,SUMIFS(แปลงข้อมูล!Q:Q,แปลงข้อมูล!I:I,U293,แปลงข้อมูล!H:H,Q293,แปลงข้อมูล!J:J,V293),'mk 001 10.3'!Z294)</f>
        <v>0</v>
      </c>
      <c r="AA293">
        <f>'mk 001 10.3'!AA294</f>
        <v>0</v>
      </c>
      <c r="AB293">
        <f>'mk 001 10.3'!AB294</f>
        <v>0</v>
      </c>
      <c r="AC293">
        <f>'mk 001 10.3'!AC294</f>
        <v>0</v>
      </c>
      <c r="AD293">
        <f>'mk 001 10.3'!AD294</f>
        <v>0</v>
      </c>
      <c r="AE293">
        <f>'mk 001 10.3'!AE294</f>
        <v>0</v>
      </c>
      <c r="AF293">
        <f>'mk 001 10.3'!AF294</f>
        <v>0</v>
      </c>
      <c r="AG293">
        <f>'mk 001 10.3'!AG294</f>
        <v>0</v>
      </c>
      <c r="AH293">
        <f>'mk 001 10.3'!AH294</f>
        <v>0</v>
      </c>
      <c r="AI293">
        <f>'mk 001 10.3'!AI294</f>
        <v>0</v>
      </c>
      <c r="AJ293">
        <f>'mk 001 10.3'!AJ294</f>
        <v>0</v>
      </c>
      <c r="AK293">
        <f>'mk 001 10.3'!AK294</f>
        <v>0</v>
      </c>
      <c r="AL293">
        <f>'mk 001 10.3'!AL294</f>
        <v>0</v>
      </c>
      <c r="AM293">
        <f>'mk 001 10.3'!AM294</f>
        <v>0</v>
      </c>
      <c r="AN293">
        <f>'mk 001 10.3'!AN294</f>
        <v>0</v>
      </c>
      <c r="AO293">
        <f>'mk 001 10.3'!AO294</f>
        <v>0</v>
      </c>
      <c r="AP293">
        <f>'mk 001 10.3'!AP294</f>
        <v>0</v>
      </c>
      <c r="AQ293">
        <f>'mk 001 10.3'!AQ294</f>
        <v>0</v>
      </c>
      <c r="AR293">
        <f>'mk 001 10.3'!AR294</f>
        <v>0</v>
      </c>
      <c r="AS293">
        <f>'mk 001 10.3'!AS294</f>
        <v>0</v>
      </c>
      <c r="AT293">
        <f>'mk 001 10.3'!AT294</f>
        <v>0</v>
      </c>
      <c r="AU293">
        <f>'mk 001 10.3'!AU294</f>
        <v>0</v>
      </c>
      <c r="AV293">
        <f>'mk 001 10.3'!AV294</f>
        <v>0</v>
      </c>
      <c r="AW293">
        <f>'mk 001 10.3'!AW294</f>
        <v>0</v>
      </c>
      <c r="AX293">
        <f>'mk 001 10.3'!AX294</f>
        <v>0</v>
      </c>
      <c r="AY293">
        <f>'mk 001 10.3'!AY294</f>
        <v>0</v>
      </c>
      <c r="AZ293">
        <f>'mk 001 10.3'!AZ294</f>
        <v>0</v>
      </c>
      <c r="BA293" s="22">
        <f>'mk 001 10.3'!BA294</f>
        <v>0</v>
      </c>
      <c r="BB293">
        <f>'mk 001 10.3'!BB294</f>
        <v>0</v>
      </c>
      <c r="BC293">
        <f>'mk 001 10.3'!BC294</f>
        <v>0</v>
      </c>
      <c r="BD293">
        <f>'mk 001 10.3'!BD294</f>
        <v>0</v>
      </c>
      <c r="BE293">
        <f>'mk 001 10.3'!BE294</f>
        <v>0</v>
      </c>
      <c r="BF293">
        <f>'mk 001 10.3'!BF294</f>
        <v>0</v>
      </c>
      <c r="BG293">
        <f>'mk 001 10.3'!BG294</f>
        <v>0</v>
      </c>
      <c r="BH293">
        <f>'mk 001 10.3'!BH294</f>
        <v>0</v>
      </c>
      <c r="BI293">
        <f>'mk 001 10.3'!BI294</f>
        <v>0</v>
      </c>
      <c r="BJ293">
        <f>'mk 001 10.3'!BJ294</f>
        <v>0</v>
      </c>
      <c r="BK293">
        <f>'mk 001 10.3'!BK294</f>
        <v>0</v>
      </c>
      <c r="BL293">
        <f>'mk 001 10.3'!BL294</f>
        <v>0</v>
      </c>
      <c r="BM293">
        <f>'mk 001 10.3'!BM294</f>
        <v>0</v>
      </c>
      <c r="BN293">
        <f>'mk 001 10.3'!BN294</f>
        <v>0</v>
      </c>
    </row>
    <row r="294" spans="1:66" x14ac:dyDescent="0.35">
      <c r="A294">
        <f>'mk 001 10.3'!A295</f>
        <v>0</v>
      </c>
      <c r="B294">
        <f>'mk 001 10.3'!B295</f>
        <v>0</v>
      </c>
      <c r="C294" s="1">
        <f>'mk 001 10.3'!C295</f>
        <v>0</v>
      </c>
      <c r="D294" s="1">
        <f>'mk 001 10.3'!D295</f>
        <v>0</v>
      </c>
      <c r="E294">
        <f>'mk 001 10.3'!E295</f>
        <v>0</v>
      </c>
      <c r="F294">
        <f>'mk 001 10.3'!F295</f>
        <v>0</v>
      </c>
      <c r="G294">
        <f>'mk 001 10.3'!G295</f>
        <v>0</v>
      </c>
      <c r="H294">
        <f>'mk 001 10.3'!H295</f>
        <v>0</v>
      </c>
      <c r="I294">
        <f>'mk 001 10.3'!I295</f>
        <v>0</v>
      </c>
      <c r="J294">
        <f>'mk 001 10.3'!J295</f>
        <v>0</v>
      </c>
      <c r="K294">
        <f>'mk 001 10.3'!K295</f>
        <v>0</v>
      </c>
      <c r="L294">
        <f>'mk 001 10.3'!L295</f>
        <v>0</v>
      </c>
      <c r="M294">
        <f>'mk 001 10.3'!M295</f>
        <v>0</v>
      </c>
      <c r="N294">
        <f>'mk 001 10.3'!N295</f>
        <v>0</v>
      </c>
      <c r="O294">
        <f>'mk 001 10.3'!O295</f>
        <v>0</v>
      </c>
      <c r="P294">
        <f>'mk 001 10.3'!P295</f>
        <v>0</v>
      </c>
      <c r="Q294">
        <f>'mk 001 10.3'!Q295</f>
        <v>0</v>
      </c>
      <c r="R294" s="1">
        <f>'mk 001 10.3'!R295</f>
        <v>0</v>
      </c>
      <c r="S294" s="1">
        <f>'mk 001 10.3'!S295</f>
        <v>0</v>
      </c>
      <c r="T294">
        <f>'mk 001 10.3'!T295</f>
        <v>0</v>
      </c>
      <c r="U294">
        <f>'mk 001 10.3'!U295</f>
        <v>0</v>
      </c>
      <c r="V294">
        <f>'mk 001 10.3'!V295</f>
        <v>0</v>
      </c>
      <c r="W294">
        <f>'mk 001 10.3'!W295</f>
        <v>0</v>
      </c>
      <c r="X294">
        <f>'mk 001 10.3'!X295</f>
        <v>0</v>
      </c>
      <c r="Y294">
        <f t="shared" si="4"/>
        <v>0</v>
      </c>
      <c r="Z294" s="13">
        <f>IF(COUNTIFS(แปลงข้อมูล!H:H,Q294,แปลงข้อมูล!I:I,U294,แปลงข้อมูล!J:J,V294)&gt;0,SUMIFS(แปลงข้อมูล!Q:Q,แปลงข้อมูล!I:I,U294,แปลงข้อมูล!H:H,Q294,แปลงข้อมูล!J:J,V294),'mk 001 10.3'!Z295)</f>
        <v>0</v>
      </c>
      <c r="AA294">
        <f>'mk 001 10.3'!AA295</f>
        <v>0</v>
      </c>
      <c r="AB294">
        <f>'mk 001 10.3'!AB295</f>
        <v>0</v>
      </c>
      <c r="AC294">
        <f>'mk 001 10.3'!AC295</f>
        <v>0</v>
      </c>
      <c r="AD294">
        <f>'mk 001 10.3'!AD295</f>
        <v>0</v>
      </c>
      <c r="AE294">
        <f>'mk 001 10.3'!AE295</f>
        <v>0</v>
      </c>
      <c r="AF294">
        <f>'mk 001 10.3'!AF295</f>
        <v>0</v>
      </c>
      <c r="AG294">
        <f>'mk 001 10.3'!AG295</f>
        <v>0</v>
      </c>
      <c r="AH294">
        <f>'mk 001 10.3'!AH295</f>
        <v>0</v>
      </c>
      <c r="AI294">
        <f>'mk 001 10.3'!AI295</f>
        <v>0</v>
      </c>
      <c r="AJ294">
        <f>'mk 001 10.3'!AJ295</f>
        <v>0</v>
      </c>
      <c r="AK294">
        <f>'mk 001 10.3'!AK295</f>
        <v>0</v>
      </c>
      <c r="AL294">
        <f>'mk 001 10.3'!AL295</f>
        <v>0</v>
      </c>
      <c r="AM294">
        <f>'mk 001 10.3'!AM295</f>
        <v>0</v>
      </c>
      <c r="AN294">
        <f>'mk 001 10.3'!AN295</f>
        <v>0</v>
      </c>
      <c r="AO294">
        <f>'mk 001 10.3'!AO295</f>
        <v>0</v>
      </c>
      <c r="AP294">
        <f>'mk 001 10.3'!AP295</f>
        <v>0</v>
      </c>
      <c r="AQ294">
        <f>'mk 001 10.3'!AQ295</f>
        <v>0</v>
      </c>
      <c r="AR294">
        <f>'mk 001 10.3'!AR295</f>
        <v>0</v>
      </c>
      <c r="AS294">
        <f>'mk 001 10.3'!AS295</f>
        <v>0</v>
      </c>
      <c r="AT294">
        <f>'mk 001 10.3'!AT295</f>
        <v>0</v>
      </c>
      <c r="AU294">
        <f>'mk 001 10.3'!AU295</f>
        <v>0</v>
      </c>
      <c r="AV294">
        <f>'mk 001 10.3'!AV295</f>
        <v>0</v>
      </c>
      <c r="AW294">
        <f>'mk 001 10.3'!AW295</f>
        <v>0</v>
      </c>
      <c r="AX294">
        <f>'mk 001 10.3'!AX295</f>
        <v>0</v>
      </c>
      <c r="AY294">
        <f>'mk 001 10.3'!AY295</f>
        <v>0</v>
      </c>
      <c r="AZ294">
        <f>'mk 001 10.3'!AZ295</f>
        <v>0</v>
      </c>
      <c r="BA294" s="22">
        <f>'mk 001 10.3'!BA295</f>
        <v>0</v>
      </c>
      <c r="BB294">
        <f>'mk 001 10.3'!BB295</f>
        <v>0</v>
      </c>
      <c r="BC294">
        <f>'mk 001 10.3'!BC295</f>
        <v>0</v>
      </c>
      <c r="BD294">
        <f>'mk 001 10.3'!BD295</f>
        <v>0</v>
      </c>
      <c r="BE294">
        <f>'mk 001 10.3'!BE295</f>
        <v>0</v>
      </c>
      <c r="BF294">
        <f>'mk 001 10.3'!BF295</f>
        <v>0</v>
      </c>
      <c r="BG294">
        <f>'mk 001 10.3'!BG295</f>
        <v>0</v>
      </c>
      <c r="BH294">
        <f>'mk 001 10.3'!BH295</f>
        <v>0</v>
      </c>
      <c r="BI294">
        <f>'mk 001 10.3'!BI295</f>
        <v>0</v>
      </c>
      <c r="BJ294">
        <f>'mk 001 10.3'!BJ295</f>
        <v>0</v>
      </c>
      <c r="BK294">
        <f>'mk 001 10.3'!BK295</f>
        <v>0</v>
      </c>
      <c r="BL294">
        <f>'mk 001 10.3'!BL295</f>
        <v>0</v>
      </c>
      <c r="BM294">
        <f>'mk 001 10.3'!BM295</f>
        <v>0</v>
      </c>
      <c r="BN294">
        <f>'mk 001 10.3'!BN295</f>
        <v>0</v>
      </c>
    </row>
    <row r="295" spans="1:66" x14ac:dyDescent="0.35">
      <c r="A295">
        <f>'mk 001 10.3'!A296</f>
        <v>0</v>
      </c>
      <c r="B295">
        <f>'mk 001 10.3'!B296</f>
        <v>0</v>
      </c>
      <c r="C295" s="1">
        <f>'mk 001 10.3'!C296</f>
        <v>0</v>
      </c>
      <c r="D295" s="1">
        <f>'mk 001 10.3'!D296</f>
        <v>0</v>
      </c>
      <c r="E295">
        <f>'mk 001 10.3'!E296</f>
        <v>0</v>
      </c>
      <c r="F295">
        <f>'mk 001 10.3'!F296</f>
        <v>0</v>
      </c>
      <c r="G295">
        <f>'mk 001 10.3'!G296</f>
        <v>0</v>
      </c>
      <c r="H295">
        <f>'mk 001 10.3'!H296</f>
        <v>0</v>
      </c>
      <c r="I295">
        <f>'mk 001 10.3'!I296</f>
        <v>0</v>
      </c>
      <c r="J295">
        <f>'mk 001 10.3'!J296</f>
        <v>0</v>
      </c>
      <c r="K295">
        <f>'mk 001 10.3'!K296</f>
        <v>0</v>
      </c>
      <c r="L295">
        <f>'mk 001 10.3'!L296</f>
        <v>0</v>
      </c>
      <c r="M295">
        <f>'mk 001 10.3'!M296</f>
        <v>0</v>
      </c>
      <c r="N295">
        <f>'mk 001 10.3'!N296</f>
        <v>0</v>
      </c>
      <c r="O295">
        <f>'mk 001 10.3'!O296</f>
        <v>0</v>
      </c>
      <c r="P295">
        <f>'mk 001 10.3'!P296</f>
        <v>0</v>
      </c>
      <c r="Q295">
        <f>'mk 001 10.3'!Q296</f>
        <v>0</v>
      </c>
      <c r="R295" s="1">
        <f>'mk 001 10.3'!R296</f>
        <v>0</v>
      </c>
      <c r="S295" s="1">
        <f>'mk 001 10.3'!S296</f>
        <v>0</v>
      </c>
      <c r="T295">
        <f>'mk 001 10.3'!T296</f>
        <v>0</v>
      </c>
      <c r="U295">
        <f>'mk 001 10.3'!U296</f>
        <v>0</v>
      </c>
      <c r="V295">
        <f>'mk 001 10.3'!V296</f>
        <v>0</v>
      </c>
      <c r="W295">
        <f>'mk 001 10.3'!W296</f>
        <v>0</v>
      </c>
      <c r="X295">
        <f>'mk 001 10.3'!X296</f>
        <v>0</v>
      </c>
      <c r="Y295">
        <f t="shared" si="4"/>
        <v>0</v>
      </c>
      <c r="Z295" s="13">
        <f>IF(COUNTIFS(แปลงข้อมูล!H:H,Q295,แปลงข้อมูล!I:I,U295,แปลงข้อมูล!J:J,V295)&gt;0,SUMIFS(แปลงข้อมูล!Q:Q,แปลงข้อมูล!I:I,U295,แปลงข้อมูล!H:H,Q295,แปลงข้อมูล!J:J,V295),'mk 001 10.3'!Z296)</f>
        <v>0</v>
      </c>
      <c r="AA295">
        <f>'mk 001 10.3'!AA296</f>
        <v>0</v>
      </c>
      <c r="AB295">
        <f>'mk 001 10.3'!AB296</f>
        <v>0</v>
      </c>
      <c r="AC295">
        <f>'mk 001 10.3'!AC296</f>
        <v>0</v>
      </c>
      <c r="AD295">
        <f>'mk 001 10.3'!AD296</f>
        <v>0</v>
      </c>
      <c r="AE295">
        <f>'mk 001 10.3'!AE296</f>
        <v>0</v>
      </c>
      <c r="AF295">
        <f>'mk 001 10.3'!AF296</f>
        <v>0</v>
      </c>
      <c r="AG295">
        <f>'mk 001 10.3'!AG296</f>
        <v>0</v>
      </c>
      <c r="AH295">
        <f>'mk 001 10.3'!AH296</f>
        <v>0</v>
      </c>
      <c r="AI295">
        <f>'mk 001 10.3'!AI296</f>
        <v>0</v>
      </c>
      <c r="AJ295">
        <f>'mk 001 10.3'!AJ296</f>
        <v>0</v>
      </c>
      <c r="AK295">
        <f>'mk 001 10.3'!AK296</f>
        <v>0</v>
      </c>
      <c r="AL295">
        <f>'mk 001 10.3'!AL296</f>
        <v>0</v>
      </c>
      <c r="AM295">
        <f>'mk 001 10.3'!AM296</f>
        <v>0</v>
      </c>
      <c r="AN295">
        <f>'mk 001 10.3'!AN296</f>
        <v>0</v>
      </c>
      <c r="AO295">
        <f>'mk 001 10.3'!AO296</f>
        <v>0</v>
      </c>
      <c r="AP295">
        <f>'mk 001 10.3'!AP296</f>
        <v>0</v>
      </c>
      <c r="AQ295">
        <f>'mk 001 10.3'!AQ296</f>
        <v>0</v>
      </c>
      <c r="AR295">
        <f>'mk 001 10.3'!AR296</f>
        <v>0</v>
      </c>
      <c r="AS295">
        <f>'mk 001 10.3'!AS296</f>
        <v>0</v>
      </c>
      <c r="AT295">
        <f>'mk 001 10.3'!AT296</f>
        <v>0</v>
      </c>
      <c r="AU295">
        <f>'mk 001 10.3'!AU296</f>
        <v>0</v>
      </c>
      <c r="AV295">
        <f>'mk 001 10.3'!AV296</f>
        <v>0</v>
      </c>
      <c r="AW295">
        <f>'mk 001 10.3'!AW296</f>
        <v>0</v>
      </c>
      <c r="AX295">
        <f>'mk 001 10.3'!AX296</f>
        <v>0</v>
      </c>
      <c r="AY295">
        <f>'mk 001 10.3'!AY296</f>
        <v>0</v>
      </c>
      <c r="AZ295">
        <f>'mk 001 10.3'!AZ296</f>
        <v>0</v>
      </c>
      <c r="BA295" s="22">
        <f>'mk 001 10.3'!BA296</f>
        <v>0</v>
      </c>
      <c r="BB295">
        <f>'mk 001 10.3'!BB296</f>
        <v>0</v>
      </c>
      <c r="BC295">
        <f>'mk 001 10.3'!BC296</f>
        <v>0</v>
      </c>
      <c r="BD295">
        <f>'mk 001 10.3'!BD296</f>
        <v>0</v>
      </c>
      <c r="BE295">
        <f>'mk 001 10.3'!BE296</f>
        <v>0</v>
      </c>
      <c r="BF295">
        <f>'mk 001 10.3'!BF296</f>
        <v>0</v>
      </c>
      <c r="BG295">
        <f>'mk 001 10.3'!BG296</f>
        <v>0</v>
      </c>
      <c r="BH295">
        <f>'mk 001 10.3'!BH296</f>
        <v>0</v>
      </c>
      <c r="BI295">
        <f>'mk 001 10.3'!BI296</f>
        <v>0</v>
      </c>
      <c r="BJ295">
        <f>'mk 001 10.3'!BJ296</f>
        <v>0</v>
      </c>
      <c r="BK295">
        <f>'mk 001 10.3'!BK296</f>
        <v>0</v>
      </c>
      <c r="BL295">
        <f>'mk 001 10.3'!BL296</f>
        <v>0</v>
      </c>
      <c r="BM295">
        <f>'mk 001 10.3'!BM296</f>
        <v>0</v>
      </c>
      <c r="BN295">
        <f>'mk 001 10.3'!BN296</f>
        <v>0</v>
      </c>
    </row>
    <row r="296" spans="1:66" x14ac:dyDescent="0.35">
      <c r="A296">
        <f>'mk 001 10.3'!A297</f>
        <v>0</v>
      </c>
      <c r="B296">
        <f>'mk 001 10.3'!B297</f>
        <v>0</v>
      </c>
      <c r="C296" s="1">
        <f>'mk 001 10.3'!C297</f>
        <v>0</v>
      </c>
      <c r="D296" s="1">
        <f>'mk 001 10.3'!D297</f>
        <v>0</v>
      </c>
      <c r="E296">
        <f>'mk 001 10.3'!E297</f>
        <v>0</v>
      </c>
      <c r="F296">
        <f>'mk 001 10.3'!F297</f>
        <v>0</v>
      </c>
      <c r="G296">
        <f>'mk 001 10.3'!G297</f>
        <v>0</v>
      </c>
      <c r="H296">
        <f>'mk 001 10.3'!H297</f>
        <v>0</v>
      </c>
      <c r="I296">
        <f>'mk 001 10.3'!I297</f>
        <v>0</v>
      </c>
      <c r="J296">
        <f>'mk 001 10.3'!J297</f>
        <v>0</v>
      </c>
      <c r="K296">
        <f>'mk 001 10.3'!K297</f>
        <v>0</v>
      </c>
      <c r="L296">
        <f>'mk 001 10.3'!L297</f>
        <v>0</v>
      </c>
      <c r="M296">
        <f>'mk 001 10.3'!M297</f>
        <v>0</v>
      </c>
      <c r="N296">
        <f>'mk 001 10.3'!N297</f>
        <v>0</v>
      </c>
      <c r="O296">
        <f>'mk 001 10.3'!O297</f>
        <v>0</v>
      </c>
      <c r="P296">
        <f>'mk 001 10.3'!P297</f>
        <v>0</v>
      </c>
      <c r="Q296">
        <f>'mk 001 10.3'!Q297</f>
        <v>0</v>
      </c>
      <c r="R296" s="1">
        <f>'mk 001 10.3'!R297</f>
        <v>0</v>
      </c>
      <c r="S296" s="1">
        <f>'mk 001 10.3'!S297</f>
        <v>0</v>
      </c>
      <c r="T296">
        <f>'mk 001 10.3'!T297</f>
        <v>0</v>
      </c>
      <c r="U296">
        <f>'mk 001 10.3'!U297</f>
        <v>0</v>
      </c>
      <c r="V296">
        <f>'mk 001 10.3'!V297</f>
        <v>0</v>
      </c>
      <c r="W296">
        <f>'mk 001 10.3'!W297</f>
        <v>0</v>
      </c>
      <c r="X296">
        <f>'mk 001 10.3'!X297</f>
        <v>0</v>
      </c>
      <c r="Y296">
        <f t="shared" si="4"/>
        <v>0</v>
      </c>
      <c r="Z296" s="13">
        <f>IF(COUNTIFS(แปลงข้อมูล!H:H,Q296,แปลงข้อมูล!I:I,U296,แปลงข้อมูล!J:J,V296)&gt;0,SUMIFS(แปลงข้อมูล!Q:Q,แปลงข้อมูล!I:I,U296,แปลงข้อมูล!H:H,Q296,แปลงข้อมูล!J:J,V296),'mk 001 10.3'!Z297)</f>
        <v>0</v>
      </c>
      <c r="AA296">
        <f>'mk 001 10.3'!AA297</f>
        <v>0</v>
      </c>
      <c r="AB296">
        <f>'mk 001 10.3'!AB297</f>
        <v>0</v>
      </c>
      <c r="AC296">
        <f>'mk 001 10.3'!AC297</f>
        <v>0</v>
      </c>
      <c r="AD296">
        <f>'mk 001 10.3'!AD297</f>
        <v>0</v>
      </c>
      <c r="AE296">
        <f>'mk 001 10.3'!AE297</f>
        <v>0</v>
      </c>
      <c r="AF296">
        <f>'mk 001 10.3'!AF297</f>
        <v>0</v>
      </c>
      <c r="AG296">
        <f>'mk 001 10.3'!AG297</f>
        <v>0</v>
      </c>
      <c r="AH296">
        <f>'mk 001 10.3'!AH297</f>
        <v>0</v>
      </c>
      <c r="AI296">
        <f>'mk 001 10.3'!AI297</f>
        <v>0</v>
      </c>
      <c r="AJ296">
        <f>'mk 001 10.3'!AJ297</f>
        <v>0</v>
      </c>
      <c r="AK296">
        <f>'mk 001 10.3'!AK297</f>
        <v>0</v>
      </c>
      <c r="AL296">
        <f>'mk 001 10.3'!AL297</f>
        <v>0</v>
      </c>
      <c r="AM296">
        <f>'mk 001 10.3'!AM297</f>
        <v>0</v>
      </c>
      <c r="AN296">
        <f>'mk 001 10.3'!AN297</f>
        <v>0</v>
      </c>
      <c r="AO296">
        <f>'mk 001 10.3'!AO297</f>
        <v>0</v>
      </c>
      <c r="AP296">
        <f>'mk 001 10.3'!AP297</f>
        <v>0</v>
      </c>
      <c r="AQ296">
        <f>'mk 001 10.3'!AQ297</f>
        <v>0</v>
      </c>
      <c r="AR296">
        <f>'mk 001 10.3'!AR297</f>
        <v>0</v>
      </c>
      <c r="AS296">
        <f>'mk 001 10.3'!AS297</f>
        <v>0</v>
      </c>
      <c r="AT296">
        <f>'mk 001 10.3'!AT297</f>
        <v>0</v>
      </c>
      <c r="AU296">
        <f>'mk 001 10.3'!AU297</f>
        <v>0</v>
      </c>
      <c r="AV296">
        <f>'mk 001 10.3'!AV297</f>
        <v>0</v>
      </c>
      <c r="AW296">
        <f>'mk 001 10.3'!AW297</f>
        <v>0</v>
      </c>
      <c r="AX296">
        <f>'mk 001 10.3'!AX297</f>
        <v>0</v>
      </c>
      <c r="AY296">
        <f>'mk 001 10.3'!AY297</f>
        <v>0</v>
      </c>
      <c r="AZ296">
        <f>'mk 001 10.3'!AZ297</f>
        <v>0</v>
      </c>
      <c r="BA296" s="22">
        <f>'mk 001 10.3'!BA297</f>
        <v>0</v>
      </c>
      <c r="BB296">
        <f>'mk 001 10.3'!BB297</f>
        <v>0</v>
      </c>
      <c r="BC296">
        <f>'mk 001 10.3'!BC297</f>
        <v>0</v>
      </c>
      <c r="BD296">
        <f>'mk 001 10.3'!BD297</f>
        <v>0</v>
      </c>
      <c r="BE296">
        <f>'mk 001 10.3'!BE297</f>
        <v>0</v>
      </c>
      <c r="BF296">
        <f>'mk 001 10.3'!BF297</f>
        <v>0</v>
      </c>
      <c r="BG296">
        <f>'mk 001 10.3'!BG297</f>
        <v>0</v>
      </c>
      <c r="BH296">
        <f>'mk 001 10.3'!BH297</f>
        <v>0</v>
      </c>
      <c r="BI296">
        <f>'mk 001 10.3'!BI297</f>
        <v>0</v>
      </c>
      <c r="BJ296">
        <f>'mk 001 10.3'!BJ297</f>
        <v>0</v>
      </c>
      <c r="BK296">
        <f>'mk 001 10.3'!BK297</f>
        <v>0</v>
      </c>
      <c r="BL296">
        <f>'mk 001 10.3'!BL297</f>
        <v>0</v>
      </c>
      <c r="BM296">
        <f>'mk 001 10.3'!BM297</f>
        <v>0</v>
      </c>
      <c r="BN296">
        <f>'mk 001 10.3'!BN297</f>
        <v>0</v>
      </c>
    </row>
    <row r="297" spans="1:66" x14ac:dyDescent="0.35">
      <c r="A297">
        <f>'mk 001 10.3'!A298</f>
        <v>0</v>
      </c>
      <c r="B297">
        <f>'mk 001 10.3'!B298</f>
        <v>0</v>
      </c>
      <c r="C297" s="1">
        <f>'mk 001 10.3'!C298</f>
        <v>0</v>
      </c>
      <c r="D297" s="1">
        <f>'mk 001 10.3'!D298</f>
        <v>0</v>
      </c>
      <c r="E297">
        <f>'mk 001 10.3'!E298</f>
        <v>0</v>
      </c>
      <c r="F297">
        <f>'mk 001 10.3'!F298</f>
        <v>0</v>
      </c>
      <c r="G297">
        <f>'mk 001 10.3'!G298</f>
        <v>0</v>
      </c>
      <c r="H297">
        <f>'mk 001 10.3'!H298</f>
        <v>0</v>
      </c>
      <c r="I297">
        <f>'mk 001 10.3'!I298</f>
        <v>0</v>
      </c>
      <c r="J297">
        <f>'mk 001 10.3'!J298</f>
        <v>0</v>
      </c>
      <c r="K297">
        <f>'mk 001 10.3'!K298</f>
        <v>0</v>
      </c>
      <c r="L297">
        <f>'mk 001 10.3'!L298</f>
        <v>0</v>
      </c>
      <c r="M297">
        <f>'mk 001 10.3'!M298</f>
        <v>0</v>
      </c>
      <c r="N297">
        <f>'mk 001 10.3'!N298</f>
        <v>0</v>
      </c>
      <c r="O297">
        <f>'mk 001 10.3'!O298</f>
        <v>0</v>
      </c>
      <c r="P297">
        <f>'mk 001 10.3'!P298</f>
        <v>0</v>
      </c>
      <c r="Q297">
        <f>'mk 001 10.3'!Q298</f>
        <v>0</v>
      </c>
      <c r="R297" s="1">
        <f>'mk 001 10.3'!R298</f>
        <v>0</v>
      </c>
      <c r="S297" s="1">
        <f>'mk 001 10.3'!S298</f>
        <v>0</v>
      </c>
      <c r="T297">
        <f>'mk 001 10.3'!T298</f>
        <v>0</v>
      </c>
      <c r="U297">
        <f>'mk 001 10.3'!U298</f>
        <v>0</v>
      </c>
      <c r="V297">
        <f>'mk 001 10.3'!V298</f>
        <v>0</v>
      </c>
      <c r="W297">
        <f>'mk 001 10.3'!W298</f>
        <v>0</v>
      </c>
      <c r="X297">
        <f>'mk 001 10.3'!X298</f>
        <v>0</v>
      </c>
      <c r="Y297">
        <f t="shared" si="4"/>
        <v>0</v>
      </c>
      <c r="Z297" s="13">
        <f>IF(COUNTIFS(แปลงข้อมูล!H:H,Q297,แปลงข้อมูล!I:I,U297,แปลงข้อมูล!J:J,V297)&gt;0,SUMIFS(แปลงข้อมูล!Q:Q,แปลงข้อมูล!I:I,U297,แปลงข้อมูล!H:H,Q297,แปลงข้อมูล!J:J,V297),'mk 001 10.3'!Z298)</f>
        <v>0</v>
      </c>
      <c r="AA297">
        <f>'mk 001 10.3'!AA298</f>
        <v>0</v>
      </c>
      <c r="AB297">
        <f>'mk 001 10.3'!AB298</f>
        <v>0</v>
      </c>
      <c r="AC297">
        <f>'mk 001 10.3'!AC298</f>
        <v>0</v>
      </c>
      <c r="AD297">
        <f>'mk 001 10.3'!AD298</f>
        <v>0</v>
      </c>
      <c r="AE297">
        <f>'mk 001 10.3'!AE298</f>
        <v>0</v>
      </c>
      <c r="AF297">
        <f>'mk 001 10.3'!AF298</f>
        <v>0</v>
      </c>
      <c r="AG297">
        <f>'mk 001 10.3'!AG298</f>
        <v>0</v>
      </c>
      <c r="AH297">
        <f>'mk 001 10.3'!AH298</f>
        <v>0</v>
      </c>
      <c r="AI297">
        <f>'mk 001 10.3'!AI298</f>
        <v>0</v>
      </c>
      <c r="AJ297">
        <f>'mk 001 10.3'!AJ298</f>
        <v>0</v>
      </c>
      <c r="AK297">
        <f>'mk 001 10.3'!AK298</f>
        <v>0</v>
      </c>
      <c r="AL297">
        <f>'mk 001 10.3'!AL298</f>
        <v>0</v>
      </c>
      <c r="AM297">
        <f>'mk 001 10.3'!AM298</f>
        <v>0</v>
      </c>
      <c r="AN297">
        <f>'mk 001 10.3'!AN298</f>
        <v>0</v>
      </c>
      <c r="AO297">
        <f>'mk 001 10.3'!AO298</f>
        <v>0</v>
      </c>
      <c r="AP297">
        <f>'mk 001 10.3'!AP298</f>
        <v>0</v>
      </c>
      <c r="AQ297">
        <f>'mk 001 10.3'!AQ298</f>
        <v>0</v>
      </c>
      <c r="AR297">
        <f>'mk 001 10.3'!AR298</f>
        <v>0</v>
      </c>
      <c r="AS297">
        <f>'mk 001 10.3'!AS298</f>
        <v>0</v>
      </c>
      <c r="AT297">
        <f>'mk 001 10.3'!AT298</f>
        <v>0</v>
      </c>
      <c r="AU297">
        <f>'mk 001 10.3'!AU298</f>
        <v>0</v>
      </c>
      <c r="AV297">
        <f>'mk 001 10.3'!AV298</f>
        <v>0</v>
      </c>
      <c r="AW297">
        <f>'mk 001 10.3'!AW298</f>
        <v>0</v>
      </c>
      <c r="AX297">
        <f>'mk 001 10.3'!AX298</f>
        <v>0</v>
      </c>
      <c r="AY297">
        <f>'mk 001 10.3'!AY298</f>
        <v>0</v>
      </c>
      <c r="AZ297">
        <f>'mk 001 10.3'!AZ298</f>
        <v>0</v>
      </c>
      <c r="BA297" s="22">
        <f>'mk 001 10.3'!BA298</f>
        <v>0</v>
      </c>
      <c r="BB297">
        <f>'mk 001 10.3'!BB298</f>
        <v>0</v>
      </c>
      <c r="BC297">
        <f>'mk 001 10.3'!BC298</f>
        <v>0</v>
      </c>
      <c r="BD297">
        <f>'mk 001 10.3'!BD298</f>
        <v>0</v>
      </c>
      <c r="BE297">
        <f>'mk 001 10.3'!BE298</f>
        <v>0</v>
      </c>
      <c r="BF297">
        <f>'mk 001 10.3'!BF298</f>
        <v>0</v>
      </c>
      <c r="BG297">
        <f>'mk 001 10.3'!BG298</f>
        <v>0</v>
      </c>
      <c r="BH297">
        <f>'mk 001 10.3'!BH298</f>
        <v>0</v>
      </c>
      <c r="BI297">
        <f>'mk 001 10.3'!BI298</f>
        <v>0</v>
      </c>
      <c r="BJ297">
        <f>'mk 001 10.3'!BJ298</f>
        <v>0</v>
      </c>
      <c r="BK297">
        <f>'mk 001 10.3'!BK298</f>
        <v>0</v>
      </c>
      <c r="BL297">
        <f>'mk 001 10.3'!BL298</f>
        <v>0</v>
      </c>
      <c r="BM297">
        <f>'mk 001 10.3'!BM298</f>
        <v>0</v>
      </c>
      <c r="BN297">
        <f>'mk 001 10.3'!BN298</f>
        <v>0</v>
      </c>
    </row>
    <row r="298" spans="1:66" x14ac:dyDescent="0.35">
      <c r="A298">
        <f>'mk 001 10.3'!A299</f>
        <v>0</v>
      </c>
      <c r="B298">
        <f>'mk 001 10.3'!B299</f>
        <v>0</v>
      </c>
      <c r="C298" s="1">
        <f>'mk 001 10.3'!C299</f>
        <v>0</v>
      </c>
      <c r="D298" s="1">
        <f>'mk 001 10.3'!D299</f>
        <v>0</v>
      </c>
      <c r="E298">
        <f>'mk 001 10.3'!E299</f>
        <v>0</v>
      </c>
      <c r="F298">
        <f>'mk 001 10.3'!F299</f>
        <v>0</v>
      </c>
      <c r="G298">
        <f>'mk 001 10.3'!G299</f>
        <v>0</v>
      </c>
      <c r="H298">
        <f>'mk 001 10.3'!H299</f>
        <v>0</v>
      </c>
      <c r="I298">
        <f>'mk 001 10.3'!I299</f>
        <v>0</v>
      </c>
      <c r="J298">
        <f>'mk 001 10.3'!J299</f>
        <v>0</v>
      </c>
      <c r="K298">
        <f>'mk 001 10.3'!K299</f>
        <v>0</v>
      </c>
      <c r="L298">
        <f>'mk 001 10.3'!L299</f>
        <v>0</v>
      </c>
      <c r="M298">
        <f>'mk 001 10.3'!M299</f>
        <v>0</v>
      </c>
      <c r="N298">
        <f>'mk 001 10.3'!N299</f>
        <v>0</v>
      </c>
      <c r="O298">
        <f>'mk 001 10.3'!O299</f>
        <v>0</v>
      </c>
      <c r="P298">
        <f>'mk 001 10.3'!P299</f>
        <v>0</v>
      </c>
      <c r="Q298">
        <f>'mk 001 10.3'!Q299</f>
        <v>0</v>
      </c>
      <c r="R298" s="1">
        <f>'mk 001 10.3'!R299</f>
        <v>0</v>
      </c>
      <c r="S298" s="1">
        <f>'mk 001 10.3'!S299</f>
        <v>0</v>
      </c>
      <c r="T298">
        <f>'mk 001 10.3'!T299</f>
        <v>0</v>
      </c>
      <c r="U298">
        <f>'mk 001 10.3'!U299</f>
        <v>0</v>
      </c>
      <c r="V298">
        <f>'mk 001 10.3'!V299</f>
        <v>0</v>
      </c>
      <c r="W298">
        <f>'mk 001 10.3'!W299</f>
        <v>0</v>
      </c>
      <c r="X298">
        <f>'mk 001 10.3'!X299</f>
        <v>0</v>
      </c>
      <c r="Y298">
        <f t="shared" si="4"/>
        <v>0</v>
      </c>
      <c r="Z298" s="13">
        <f>IF(COUNTIFS(แปลงข้อมูล!H:H,Q298,แปลงข้อมูล!I:I,U298,แปลงข้อมูล!J:J,V298)&gt;0,SUMIFS(แปลงข้อมูล!Q:Q,แปลงข้อมูล!I:I,U298,แปลงข้อมูล!H:H,Q298,แปลงข้อมูล!J:J,V298),'mk 001 10.3'!Z299)</f>
        <v>0</v>
      </c>
      <c r="AA298">
        <f>'mk 001 10.3'!AA299</f>
        <v>0</v>
      </c>
      <c r="AB298">
        <f>'mk 001 10.3'!AB299</f>
        <v>0</v>
      </c>
      <c r="AC298">
        <f>'mk 001 10.3'!AC299</f>
        <v>0</v>
      </c>
      <c r="AD298">
        <f>'mk 001 10.3'!AD299</f>
        <v>0</v>
      </c>
      <c r="AE298">
        <f>'mk 001 10.3'!AE299</f>
        <v>0</v>
      </c>
      <c r="AF298">
        <f>'mk 001 10.3'!AF299</f>
        <v>0</v>
      </c>
      <c r="AG298">
        <f>'mk 001 10.3'!AG299</f>
        <v>0</v>
      </c>
      <c r="AH298">
        <f>'mk 001 10.3'!AH299</f>
        <v>0</v>
      </c>
      <c r="AI298">
        <f>'mk 001 10.3'!AI299</f>
        <v>0</v>
      </c>
      <c r="AJ298">
        <f>'mk 001 10.3'!AJ299</f>
        <v>0</v>
      </c>
      <c r="AK298">
        <f>'mk 001 10.3'!AK299</f>
        <v>0</v>
      </c>
      <c r="AL298">
        <f>'mk 001 10.3'!AL299</f>
        <v>0</v>
      </c>
      <c r="AM298">
        <f>'mk 001 10.3'!AM299</f>
        <v>0</v>
      </c>
      <c r="AN298">
        <f>'mk 001 10.3'!AN299</f>
        <v>0</v>
      </c>
      <c r="AO298">
        <f>'mk 001 10.3'!AO299</f>
        <v>0</v>
      </c>
      <c r="AP298">
        <f>'mk 001 10.3'!AP299</f>
        <v>0</v>
      </c>
      <c r="AQ298">
        <f>'mk 001 10.3'!AQ299</f>
        <v>0</v>
      </c>
      <c r="AR298">
        <f>'mk 001 10.3'!AR299</f>
        <v>0</v>
      </c>
      <c r="AS298">
        <f>'mk 001 10.3'!AS299</f>
        <v>0</v>
      </c>
      <c r="AT298">
        <f>'mk 001 10.3'!AT299</f>
        <v>0</v>
      </c>
      <c r="AU298">
        <f>'mk 001 10.3'!AU299</f>
        <v>0</v>
      </c>
      <c r="AV298">
        <f>'mk 001 10.3'!AV299</f>
        <v>0</v>
      </c>
      <c r="AW298">
        <f>'mk 001 10.3'!AW299</f>
        <v>0</v>
      </c>
      <c r="AX298">
        <f>'mk 001 10.3'!AX299</f>
        <v>0</v>
      </c>
      <c r="AY298">
        <f>'mk 001 10.3'!AY299</f>
        <v>0</v>
      </c>
      <c r="AZ298">
        <f>'mk 001 10.3'!AZ299</f>
        <v>0</v>
      </c>
      <c r="BA298" s="22">
        <f>'mk 001 10.3'!BA299</f>
        <v>0</v>
      </c>
      <c r="BB298">
        <f>'mk 001 10.3'!BB299</f>
        <v>0</v>
      </c>
      <c r="BC298">
        <f>'mk 001 10.3'!BC299</f>
        <v>0</v>
      </c>
      <c r="BD298">
        <f>'mk 001 10.3'!BD299</f>
        <v>0</v>
      </c>
      <c r="BE298">
        <f>'mk 001 10.3'!BE299</f>
        <v>0</v>
      </c>
      <c r="BF298">
        <f>'mk 001 10.3'!BF299</f>
        <v>0</v>
      </c>
      <c r="BG298">
        <f>'mk 001 10.3'!BG299</f>
        <v>0</v>
      </c>
      <c r="BH298">
        <f>'mk 001 10.3'!BH299</f>
        <v>0</v>
      </c>
      <c r="BI298">
        <f>'mk 001 10.3'!BI299</f>
        <v>0</v>
      </c>
      <c r="BJ298">
        <f>'mk 001 10.3'!BJ299</f>
        <v>0</v>
      </c>
      <c r="BK298">
        <f>'mk 001 10.3'!BK299</f>
        <v>0</v>
      </c>
      <c r="BL298">
        <f>'mk 001 10.3'!BL299</f>
        <v>0</v>
      </c>
      <c r="BM298">
        <f>'mk 001 10.3'!BM299</f>
        <v>0</v>
      </c>
      <c r="BN298">
        <f>'mk 001 10.3'!BN299</f>
        <v>0</v>
      </c>
    </row>
    <row r="299" spans="1:66" x14ac:dyDescent="0.35">
      <c r="A299">
        <f>'mk 001 10.3'!A300</f>
        <v>0</v>
      </c>
      <c r="B299">
        <f>'mk 001 10.3'!B300</f>
        <v>0</v>
      </c>
      <c r="C299" s="1">
        <f>'mk 001 10.3'!C300</f>
        <v>0</v>
      </c>
      <c r="D299" s="1">
        <f>'mk 001 10.3'!D300</f>
        <v>0</v>
      </c>
      <c r="E299">
        <f>'mk 001 10.3'!E300</f>
        <v>0</v>
      </c>
      <c r="F299">
        <f>'mk 001 10.3'!F300</f>
        <v>0</v>
      </c>
      <c r="G299">
        <f>'mk 001 10.3'!G300</f>
        <v>0</v>
      </c>
      <c r="H299">
        <f>'mk 001 10.3'!H300</f>
        <v>0</v>
      </c>
      <c r="I299">
        <f>'mk 001 10.3'!I300</f>
        <v>0</v>
      </c>
      <c r="J299">
        <f>'mk 001 10.3'!J300</f>
        <v>0</v>
      </c>
      <c r="K299">
        <f>'mk 001 10.3'!K300</f>
        <v>0</v>
      </c>
      <c r="L299">
        <f>'mk 001 10.3'!L300</f>
        <v>0</v>
      </c>
      <c r="M299">
        <f>'mk 001 10.3'!M300</f>
        <v>0</v>
      </c>
      <c r="N299">
        <f>'mk 001 10.3'!N300</f>
        <v>0</v>
      </c>
      <c r="O299">
        <f>'mk 001 10.3'!O300</f>
        <v>0</v>
      </c>
      <c r="P299">
        <f>'mk 001 10.3'!P300</f>
        <v>0</v>
      </c>
      <c r="Q299">
        <f>'mk 001 10.3'!Q300</f>
        <v>0</v>
      </c>
      <c r="R299" s="1">
        <f>'mk 001 10.3'!R300</f>
        <v>0</v>
      </c>
      <c r="S299" s="1">
        <f>'mk 001 10.3'!S300</f>
        <v>0</v>
      </c>
      <c r="T299">
        <f>'mk 001 10.3'!T300</f>
        <v>0</v>
      </c>
      <c r="U299">
        <f>'mk 001 10.3'!U300</f>
        <v>0</v>
      </c>
      <c r="V299">
        <f>'mk 001 10.3'!V300</f>
        <v>0</v>
      </c>
      <c r="W299">
        <f>'mk 001 10.3'!W300</f>
        <v>0</v>
      </c>
      <c r="X299">
        <f>'mk 001 10.3'!X300</f>
        <v>0</v>
      </c>
      <c r="Y299">
        <f t="shared" si="4"/>
        <v>0</v>
      </c>
      <c r="Z299" s="13">
        <f>IF(COUNTIFS(แปลงข้อมูล!H:H,Q299,แปลงข้อมูล!I:I,U299,แปลงข้อมูล!J:J,V299)&gt;0,SUMIFS(แปลงข้อมูล!Q:Q,แปลงข้อมูล!I:I,U299,แปลงข้อมูล!H:H,Q299,แปลงข้อมูล!J:J,V299),'mk 001 10.3'!Z300)</f>
        <v>0</v>
      </c>
      <c r="AA299">
        <f>'mk 001 10.3'!AA300</f>
        <v>0</v>
      </c>
      <c r="AB299">
        <f>'mk 001 10.3'!AB300</f>
        <v>0</v>
      </c>
      <c r="AC299">
        <f>'mk 001 10.3'!AC300</f>
        <v>0</v>
      </c>
      <c r="AD299">
        <f>'mk 001 10.3'!AD300</f>
        <v>0</v>
      </c>
      <c r="AE299">
        <f>'mk 001 10.3'!AE300</f>
        <v>0</v>
      </c>
      <c r="AF299">
        <f>'mk 001 10.3'!AF300</f>
        <v>0</v>
      </c>
      <c r="AG299">
        <f>'mk 001 10.3'!AG300</f>
        <v>0</v>
      </c>
      <c r="AH299">
        <f>'mk 001 10.3'!AH300</f>
        <v>0</v>
      </c>
      <c r="AI299">
        <f>'mk 001 10.3'!AI300</f>
        <v>0</v>
      </c>
      <c r="AJ299">
        <f>'mk 001 10.3'!AJ300</f>
        <v>0</v>
      </c>
      <c r="AK299">
        <f>'mk 001 10.3'!AK300</f>
        <v>0</v>
      </c>
      <c r="AL299">
        <f>'mk 001 10.3'!AL300</f>
        <v>0</v>
      </c>
      <c r="AM299">
        <f>'mk 001 10.3'!AM300</f>
        <v>0</v>
      </c>
      <c r="AN299">
        <f>'mk 001 10.3'!AN300</f>
        <v>0</v>
      </c>
      <c r="AO299">
        <f>'mk 001 10.3'!AO300</f>
        <v>0</v>
      </c>
      <c r="AP299">
        <f>'mk 001 10.3'!AP300</f>
        <v>0</v>
      </c>
      <c r="AQ299">
        <f>'mk 001 10.3'!AQ300</f>
        <v>0</v>
      </c>
      <c r="AR299">
        <f>'mk 001 10.3'!AR300</f>
        <v>0</v>
      </c>
      <c r="AS299">
        <f>'mk 001 10.3'!AS300</f>
        <v>0</v>
      </c>
      <c r="AT299">
        <f>'mk 001 10.3'!AT300</f>
        <v>0</v>
      </c>
      <c r="AU299">
        <f>'mk 001 10.3'!AU300</f>
        <v>0</v>
      </c>
      <c r="AV299">
        <f>'mk 001 10.3'!AV300</f>
        <v>0</v>
      </c>
      <c r="AW299">
        <f>'mk 001 10.3'!AW300</f>
        <v>0</v>
      </c>
      <c r="AX299">
        <f>'mk 001 10.3'!AX300</f>
        <v>0</v>
      </c>
      <c r="AY299">
        <f>'mk 001 10.3'!AY300</f>
        <v>0</v>
      </c>
      <c r="AZ299">
        <f>'mk 001 10.3'!AZ300</f>
        <v>0</v>
      </c>
      <c r="BA299" s="22">
        <f>'mk 001 10.3'!BA300</f>
        <v>0</v>
      </c>
      <c r="BB299">
        <f>'mk 001 10.3'!BB300</f>
        <v>0</v>
      </c>
      <c r="BC299">
        <f>'mk 001 10.3'!BC300</f>
        <v>0</v>
      </c>
      <c r="BD299">
        <f>'mk 001 10.3'!BD300</f>
        <v>0</v>
      </c>
      <c r="BE299">
        <f>'mk 001 10.3'!BE300</f>
        <v>0</v>
      </c>
      <c r="BF299">
        <f>'mk 001 10.3'!BF300</f>
        <v>0</v>
      </c>
      <c r="BG299">
        <f>'mk 001 10.3'!BG300</f>
        <v>0</v>
      </c>
      <c r="BH299">
        <f>'mk 001 10.3'!BH300</f>
        <v>0</v>
      </c>
      <c r="BI299">
        <f>'mk 001 10.3'!BI300</f>
        <v>0</v>
      </c>
      <c r="BJ299">
        <f>'mk 001 10.3'!BJ300</f>
        <v>0</v>
      </c>
      <c r="BK299">
        <f>'mk 001 10.3'!BK300</f>
        <v>0</v>
      </c>
      <c r="BL299">
        <f>'mk 001 10.3'!BL300</f>
        <v>0</v>
      </c>
      <c r="BM299">
        <f>'mk 001 10.3'!BM300</f>
        <v>0</v>
      </c>
      <c r="BN299">
        <f>'mk 001 10.3'!BN300</f>
        <v>0</v>
      </c>
    </row>
    <row r="300" spans="1:66" x14ac:dyDescent="0.35">
      <c r="A300">
        <f>'mk 001 10.3'!A301</f>
        <v>0</v>
      </c>
      <c r="B300">
        <f>'mk 001 10.3'!B301</f>
        <v>0</v>
      </c>
      <c r="C300" s="1">
        <f>'mk 001 10.3'!C301</f>
        <v>0</v>
      </c>
      <c r="D300" s="1">
        <f>'mk 001 10.3'!D301</f>
        <v>0</v>
      </c>
      <c r="E300">
        <f>'mk 001 10.3'!E301</f>
        <v>0</v>
      </c>
      <c r="F300">
        <f>'mk 001 10.3'!F301</f>
        <v>0</v>
      </c>
      <c r="G300">
        <f>'mk 001 10.3'!G301</f>
        <v>0</v>
      </c>
      <c r="H300">
        <f>'mk 001 10.3'!H301</f>
        <v>0</v>
      </c>
      <c r="I300">
        <f>'mk 001 10.3'!I301</f>
        <v>0</v>
      </c>
      <c r="J300">
        <f>'mk 001 10.3'!J301</f>
        <v>0</v>
      </c>
      <c r="K300">
        <f>'mk 001 10.3'!K301</f>
        <v>0</v>
      </c>
      <c r="L300">
        <f>'mk 001 10.3'!L301</f>
        <v>0</v>
      </c>
      <c r="M300">
        <f>'mk 001 10.3'!M301</f>
        <v>0</v>
      </c>
      <c r="N300">
        <f>'mk 001 10.3'!N301</f>
        <v>0</v>
      </c>
      <c r="O300">
        <f>'mk 001 10.3'!O301</f>
        <v>0</v>
      </c>
      <c r="P300">
        <f>'mk 001 10.3'!P301</f>
        <v>0</v>
      </c>
      <c r="Q300">
        <f>'mk 001 10.3'!Q301</f>
        <v>0</v>
      </c>
      <c r="R300" s="1">
        <f>'mk 001 10.3'!R301</f>
        <v>0</v>
      </c>
      <c r="S300" s="1">
        <f>'mk 001 10.3'!S301</f>
        <v>0</v>
      </c>
      <c r="T300">
        <f>'mk 001 10.3'!T301</f>
        <v>0</v>
      </c>
      <c r="U300">
        <f>'mk 001 10.3'!U301</f>
        <v>0</v>
      </c>
      <c r="V300">
        <f>'mk 001 10.3'!V301</f>
        <v>0</v>
      </c>
      <c r="W300">
        <f>'mk 001 10.3'!W301</f>
        <v>0</v>
      </c>
      <c r="X300">
        <f>'mk 001 10.3'!X301</f>
        <v>0</v>
      </c>
      <c r="Y300">
        <f t="shared" si="4"/>
        <v>0</v>
      </c>
      <c r="Z300" s="13">
        <f>IF(COUNTIFS(แปลงข้อมูล!H:H,Q300,แปลงข้อมูล!I:I,U300,แปลงข้อมูล!J:J,V300)&gt;0,SUMIFS(แปลงข้อมูล!Q:Q,แปลงข้อมูล!I:I,U300,แปลงข้อมูล!H:H,Q300,แปลงข้อมูล!J:J,V300),'mk 001 10.3'!Z301)</f>
        <v>0</v>
      </c>
      <c r="AA300">
        <f>'mk 001 10.3'!AA301</f>
        <v>0</v>
      </c>
      <c r="AB300">
        <f>'mk 001 10.3'!AB301</f>
        <v>0</v>
      </c>
      <c r="AC300">
        <f>'mk 001 10.3'!AC301</f>
        <v>0</v>
      </c>
      <c r="AD300">
        <f>'mk 001 10.3'!AD301</f>
        <v>0</v>
      </c>
      <c r="AE300">
        <f>'mk 001 10.3'!AE301</f>
        <v>0</v>
      </c>
      <c r="AF300">
        <f>'mk 001 10.3'!AF301</f>
        <v>0</v>
      </c>
      <c r="AG300">
        <f>'mk 001 10.3'!AG301</f>
        <v>0</v>
      </c>
      <c r="AH300">
        <f>'mk 001 10.3'!AH301</f>
        <v>0</v>
      </c>
      <c r="AI300">
        <f>'mk 001 10.3'!AI301</f>
        <v>0</v>
      </c>
      <c r="AJ300">
        <f>'mk 001 10.3'!AJ301</f>
        <v>0</v>
      </c>
      <c r="AK300">
        <f>'mk 001 10.3'!AK301</f>
        <v>0</v>
      </c>
      <c r="AL300">
        <f>'mk 001 10.3'!AL301</f>
        <v>0</v>
      </c>
      <c r="AM300">
        <f>'mk 001 10.3'!AM301</f>
        <v>0</v>
      </c>
      <c r="AN300">
        <f>'mk 001 10.3'!AN301</f>
        <v>0</v>
      </c>
      <c r="AO300">
        <f>'mk 001 10.3'!AO301</f>
        <v>0</v>
      </c>
      <c r="AP300">
        <f>'mk 001 10.3'!AP301</f>
        <v>0</v>
      </c>
      <c r="AQ300">
        <f>'mk 001 10.3'!AQ301</f>
        <v>0</v>
      </c>
      <c r="AR300">
        <f>'mk 001 10.3'!AR301</f>
        <v>0</v>
      </c>
      <c r="AS300">
        <f>'mk 001 10.3'!AS301</f>
        <v>0</v>
      </c>
      <c r="AT300">
        <f>'mk 001 10.3'!AT301</f>
        <v>0</v>
      </c>
      <c r="AU300">
        <f>'mk 001 10.3'!AU301</f>
        <v>0</v>
      </c>
      <c r="AV300">
        <f>'mk 001 10.3'!AV301</f>
        <v>0</v>
      </c>
      <c r="AW300">
        <f>'mk 001 10.3'!AW301</f>
        <v>0</v>
      </c>
      <c r="AX300">
        <f>'mk 001 10.3'!AX301</f>
        <v>0</v>
      </c>
      <c r="AY300">
        <f>'mk 001 10.3'!AY301</f>
        <v>0</v>
      </c>
      <c r="AZ300">
        <f>'mk 001 10.3'!AZ301</f>
        <v>0</v>
      </c>
      <c r="BA300" s="22">
        <f>'mk 001 10.3'!BA301</f>
        <v>0</v>
      </c>
      <c r="BB300">
        <f>'mk 001 10.3'!BB301</f>
        <v>0</v>
      </c>
      <c r="BC300">
        <f>'mk 001 10.3'!BC301</f>
        <v>0</v>
      </c>
      <c r="BD300">
        <f>'mk 001 10.3'!BD301</f>
        <v>0</v>
      </c>
      <c r="BE300">
        <f>'mk 001 10.3'!BE301</f>
        <v>0</v>
      </c>
      <c r="BF300">
        <f>'mk 001 10.3'!BF301</f>
        <v>0</v>
      </c>
      <c r="BG300">
        <f>'mk 001 10.3'!BG301</f>
        <v>0</v>
      </c>
      <c r="BH300">
        <f>'mk 001 10.3'!BH301</f>
        <v>0</v>
      </c>
      <c r="BI300">
        <f>'mk 001 10.3'!BI301</f>
        <v>0</v>
      </c>
      <c r="BJ300">
        <f>'mk 001 10.3'!BJ301</f>
        <v>0</v>
      </c>
      <c r="BK300">
        <f>'mk 001 10.3'!BK301</f>
        <v>0</v>
      </c>
      <c r="BL300">
        <f>'mk 001 10.3'!BL301</f>
        <v>0</v>
      </c>
      <c r="BM300">
        <f>'mk 001 10.3'!BM301</f>
        <v>0</v>
      </c>
      <c r="BN300">
        <f>'mk 001 10.3'!BN301</f>
        <v>0</v>
      </c>
    </row>
    <row r="301" spans="1:66" x14ac:dyDescent="0.35">
      <c r="A301">
        <f>'mk 001 10.3'!A302</f>
        <v>0</v>
      </c>
      <c r="B301">
        <f>'mk 001 10.3'!B302</f>
        <v>0</v>
      </c>
      <c r="C301" s="1">
        <f>'mk 001 10.3'!C302</f>
        <v>0</v>
      </c>
      <c r="D301" s="1">
        <f>'mk 001 10.3'!D302</f>
        <v>0</v>
      </c>
      <c r="E301">
        <f>'mk 001 10.3'!E302</f>
        <v>0</v>
      </c>
      <c r="F301">
        <f>'mk 001 10.3'!F302</f>
        <v>0</v>
      </c>
      <c r="G301">
        <f>'mk 001 10.3'!G302</f>
        <v>0</v>
      </c>
      <c r="H301">
        <f>'mk 001 10.3'!H302</f>
        <v>0</v>
      </c>
      <c r="I301">
        <f>'mk 001 10.3'!I302</f>
        <v>0</v>
      </c>
      <c r="J301">
        <f>'mk 001 10.3'!J302</f>
        <v>0</v>
      </c>
      <c r="K301">
        <f>'mk 001 10.3'!K302</f>
        <v>0</v>
      </c>
      <c r="L301">
        <f>'mk 001 10.3'!L302</f>
        <v>0</v>
      </c>
      <c r="M301">
        <f>'mk 001 10.3'!M302</f>
        <v>0</v>
      </c>
      <c r="N301">
        <f>'mk 001 10.3'!N302</f>
        <v>0</v>
      </c>
      <c r="O301">
        <f>'mk 001 10.3'!O302</f>
        <v>0</v>
      </c>
      <c r="P301">
        <f>'mk 001 10.3'!P302</f>
        <v>0</v>
      </c>
      <c r="Q301">
        <f>'mk 001 10.3'!Q302</f>
        <v>0</v>
      </c>
      <c r="R301" s="1">
        <f>'mk 001 10.3'!R302</f>
        <v>0</v>
      </c>
      <c r="S301" s="1">
        <f>'mk 001 10.3'!S302</f>
        <v>0</v>
      </c>
      <c r="T301">
        <f>'mk 001 10.3'!T302</f>
        <v>0</v>
      </c>
      <c r="U301">
        <f>'mk 001 10.3'!U302</f>
        <v>0</v>
      </c>
      <c r="V301">
        <f>'mk 001 10.3'!V302</f>
        <v>0</v>
      </c>
      <c r="W301">
        <f>'mk 001 10.3'!W302</f>
        <v>0</v>
      </c>
      <c r="X301">
        <f>'mk 001 10.3'!X302</f>
        <v>0</v>
      </c>
      <c r="Y301">
        <f t="shared" si="4"/>
        <v>0</v>
      </c>
      <c r="Z301" s="13">
        <f>IF(COUNTIFS(แปลงข้อมูล!H:H,Q301,แปลงข้อมูล!I:I,U301,แปลงข้อมูล!J:J,V301)&gt;0,SUMIFS(แปลงข้อมูล!Q:Q,แปลงข้อมูล!I:I,U301,แปลงข้อมูล!H:H,Q301,แปลงข้อมูล!J:J,V301),'mk 001 10.3'!Z302)</f>
        <v>0</v>
      </c>
      <c r="AA301">
        <f>'mk 001 10.3'!AA302</f>
        <v>0</v>
      </c>
      <c r="AB301">
        <f>'mk 001 10.3'!AB302</f>
        <v>0</v>
      </c>
      <c r="AC301">
        <f>'mk 001 10.3'!AC302</f>
        <v>0</v>
      </c>
      <c r="AD301">
        <f>'mk 001 10.3'!AD302</f>
        <v>0</v>
      </c>
      <c r="AE301">
        <f>'mk 001 10.3'!AE302</f>
        <v>0</v>
      </c>
      <c r="AF301">
        <f>'mk 001 10.3'!AF302</f>
        <v>0</v>
      </c>
      <c r="AG301">
        <f>'mk 001 10.3'!AG302</f>
        <v>0</v>
      </c>
      <c r="AH301">
        <f>'mk 001 10.3'!AH302</f>
        <v>0</v>
      </c>
      <c r="AI301">
        <f>'mk 001 10.3'!AI302</f>
        <v>0</v>
      </c>
      <c r="AJ301">
        <f>'mk 001 10.3'!AJ302</f>
        <v>0</v>
      </c>
      <c r="AK301">
        <f>'mk 001 10.3'!AK302</f>
        <v>0</v>
      </c>
      <c r="AL301">
        <f>'mk 001 10.3'!AL302</f>
        <v>0</v>
      </c>
      <c r="AM301">
        <f>'mk 001 10.3'!AM302</f>
        <v>0</v>
      </c>
      <c r="AN301">
        <f>'mk 001 10.3'!AN302</f>
        <v>0</v>
      </c>
      <c r="AO301">
        <f>'mk 001 10.3'!AO302</f>
        <v>0</v>
      </c>
      <c r="AP301">
        <f>'mk 001 10.3'!AP302</f>
        <v>0</v>
      </c>
      <c r="AQ301">
        <f>'mk 001 10.3'!AQ302</f>
        <v>0</v>
      </c>
      <c r="AR301">
        <f>'mk 001 10.3'!AR302</f>
        <v>0</v>
      </c>
      <c r="AS301">
        <f>'mk 001 10.3'!AS302</f>
        <v>0</v>
      </c>
      <c r="AT301">
        <f>'mk 001 10.3'!AT302</f>
        <v>0</v>
      </c>
      <c r="AU301">
        <f>'mk 001 10.3'!AU302</f>
        <v>0</v>
      </c>
      <c r="AV301">
        <f>'mk 001 10.3'!AV302</f>
        <v>0</v>
      </c>
      <c r="AW301">
        <f>'mk 001 10.3'!AW302</f>
        <v>0</v>
      </c>
      <c r="AX301">
        <f>'mk 001 10.3'!AX302</f>
        <v>0</v>
      </c>
      <c r="AY301">
        <f>'mk 001 10.3'!AY302</f>
        <v>0</v>
      </c>
      <c r="AZ301">
        <f>'mk 001 10.3'!AZ302</f>
        <v>0</v>
      </c>
      <c r="BA301" s="22">
        <f>'mk 001 10.3'!BA302</f>
        <v>0</v>
      </c>
      <c r="BB301">
        <f>'mk 001 10.3'!BB302</f>
        <v>0</v>
      </c>
      <c r="BC301">
        <f>'mk 001 10.3'!BC302</f>
        <v>0</v>
      </c>
      <c r="BD301">
        <f>'mk 001 10.3'!BD302</f>
        <v>0</v>
      </c>
      <c r="BE301">
        <f>'mk 001 10.3'!BE302</f>
        <v>0</v>
      </c>
      <c r="BF301">
        <f>'mk 001 10.3'!BF302</f>
        <v>0</v>
      </c>
      <c r="BG301">
        <f>'mk 001 10.3'!BG302</f>
        <v>0</v>
      </c>
      <c r="BH301">
        <f>'mk 001 10.3'!BH302</f>
        <v>0</v>
      </c>
      <c r="BI301">
        <f>'mk 001 10.3'!BI302</f>
        <v>0</v>
      </c>
      <c r="BJ301">
        <f>'mk 001 10.3'!BJ302</f>
        <v>0</v>
      </c>
      <c r="BK301">
        <f>'mk 001 10.3'!BK302</f>
        <v>0</v>
      </c>
      <c r="BL301">
        <f>'mk 001 10.3'!BL302</f>
        <v>0</v>
      </c>
      <c r="BM301">
        <f>'mk 001 10.3'!BM302</f>
        <v>0</v>
      </c>
      <c r="BN301">
        <f>'mk 001 10.3'!BN302</f>
        <v>0</v>
      </c>
    </row>
    <row r="302" spans="1:66" x14ac:dyDescent="0.35">
      <c r="A302">
        <f>'mk 001 10.3'!A303</f>
        <v>0</v>
      </c>
      <c r="B302">
        <f>'mk 001 10.3'!B303</f>
        <v>0</v>
      </c>
      <c r="C302" s="1">
        <f>'mk 001 10.3'!C303</f>
        <v>0</v>
      </c>
      <c r="D302" s="1">
        <f>'mk 001 10.3'!D303</f>
        <v>0</v>
      </c>
      <c r="E302">
        <f>'mk 001 10.3'!E303</f>
        <v>0</v>
      </c>
      <c r="F302">
        <f>'mk 001 10.3'!F303</f>
        <v>0</v>
      </c>
      <c r="G302">
        <f>'mk 001 10.3'!G303</f>
        <v>0</v>
      </c>
      <c r="H302">
        <f>'mk 001 10.3'!H303</f>
        <v>0</v>
      </c>
      <c r="I302">
        <f>'mk 001 10.3'!I303</f>
        <v>0</v>
      </c>
      <c r="J302">
        <f>'mk 001 10.3'!J303</f>
        <v>0</v>
      </c>
      <c r="K302">
        <f>'mk 001 10.3'!K303</f>
        <v>0</v>
      </c>
      <c r="L302">
        <f>'mk 001 10.3'!L303</f>
        <v>0</v>
      </c>
      <c r="M302">
        <f>'mk 001 10.3'!M303</f>
        <v>0</v>
      </c>
      <c r="N302">
        <f>'mk 001 10.3'!N303</f>
        <v>0</v>
      </c>
      <c r="O302">
        <f>'mk 001 10.3'!O303</f>
        <v>0</v>
      </c>
      <c r="P302">
        <f>'mk 001 10.3'!P303</f>
        <v>0</v>
      </c>
      <c r="Q302">
        <f>'mk 001 10.3'!Q303</f>
        <v>0</v>
      </c>
      <c r="R302" s="1">
        <f>'mk 001 10.3'!R303</f>
        <v>0</v>
      </c>
      <c r="S302" s="1">
        <f>'mk 001 10.3'!S303</f>
        <v>0</v>
      </c>
      <c r="T302">
        <f>'mk 001 10.3'!T303</f>
        <v>0</v>
      </c>
      <c r="U302">
        <f>'mk 001 10.3'!U303</f>
        <v>0</v>
      </c>
      <c r="V302">
        <f>'mk 001 10.3'!V303</f>
        <v>0</v>
      </c>
      <c r="W302">
        <f>'mk 001 10.3'!W303</f>
        <v>0</v>
      </c>
      <c r="X302">
        <f>'mk 001 10.3'!X303</f>
        <v>0</v>
      </c>
      <c r="Y302">
        <f t="shared" si="4"/>
        <v>0</v>
      </c>
      <c r="Z302" s="13">
        <f>IF(COUNTIFS(แปลงข้อมูล!H:H,Q302,แปลงข้อมูล!I:I,U302,แปลงข้อมูล!J:J,V302)&gt;0,SUMIFS(แปลงข้อมูล!Q:Q,แปลงข้อมูล!I:I,U302,แปลงข้อมูล!H:H,Q302,แปลงข้อมูล!J:J,V302),'mk 001 10.3'!Z303)</f>
        <v>0</v>
      </c>
      <c r="AA302">
        <f>'mk 001 10.3'!AA303</f>
        <v>0</v>
      </c>
      <c r="AB302">
        <f>'mk 001 10.3'!AB303</f>
        <v>0</v>
      </c>
      <c r="AC302">
        <f>'mk 001 10.3'!AC303</f>
        <v>0</v>
      </c>
      <c r="AD302">
        <f>'mk 001 10.3'!AD303</f>
        <v>0</v>
      </c>
      <c r="AE302">
        <f>'mk 001 10.3'!AE303</f>
        <v>0</v>
      </c>
      <c r="AF302">
        <f>'mk 001 10.3'!AF303</f>
        <v>0</v>
      </c>
      <c r="AG302">
        <f>'mk 001 10.3'!AG303</f>
        <v>0</v>
      </c>
      <c r="AH302">
        <f>'mk 001 10.3'!AH303</f>
        <v>0</v>
      </c>
      <c r="AI302">
        <f>'mk 001 10.3'!AI303</f>
        <v>0</v>
      </c>
      <c r="AJ302">
        <f>'mk 001 10.3'!AJ303</f>
        <v>0</v>
      </c>
      <c r="AK302">
        <f>'mk 001 10.3'!AK303</f>
        <v>0</v>
      </c>
      <c r="AL302">
        <f>'mk 001 10.3'!AL303</f>
        <v>0</v>
      </c>
      <c r="AM302">
        <f>'mk 001 10.3'!AM303</f>
        <v>0</v>
      </c>
      <c r="AN302">
        <f>'mk 001 10.3'!AN303</f>
        <v>0</v>
      </c>
      <c r="AO302">
        <f>'mk 001 10.3'!AO303</f>
        <v>0</v>
      </c>
      <c r="AP302">
        <f>'mk 001 10.3'!AP303</f>
        <v>0</v>
      </c>
      <c r="AQ302">
        <f>'mk 001 10.3'!AQ303</f>
        <v>0</v>
      </c>
      <c r="AR302">
        <f>'mk 001 10.3'!AR303</f>
        <v>0</v>
      </c>
      <c r="AS302">
        <f>'mk 001 10.3'!AS303</f>
        <v>0</v>
      </c>
      <c r="AT302">
        <f>'mk 001 10.3'!AT303</f>
        <v>0</v>
      </c>
      <c r="AU302">
        <f>'mk 001 10.3'!AU303</f>
        <v>0</v>
      </c>
      <c r="AV302">
        <f>'mk 001 10.3'!AV303</f>
        <v>0</v>
      </c>
      <c r="AW302">
        <f>'mk 001 10.3'!AW303</f>
        <v>0</v>
      </c>
      <c r="AX302">
        <f>'mk 001 10.3'!AX303</f>
        <v>0</v>
      </c>
      <c r="AY302">
        <f>'mk 001 10.3'!AY303</f>
        <v>0</v>
      </c>
      <c r="AZ302">
        <f>'mk 001 10.3'!AZ303</f>
        <v>0</v>
      </c>
      <c r="BA302" s="22">
        <f>'mk 001 10.3'!BA303</f>
        <v>0</v>
      </c>
      <c r="BB302">
        <f>'mk 001 10.3'!BB303</f>
        <v>0</v>
      </c>
      <c r="BC302">
        <f>'mk 001 10.3'!BC303</f>
        <v>0</v>
      </c>
      <c r="BD302">
        <f>'mk 001 10.3'!BD303</f>
        <v>0</v>
      </c>
      <c r="BE302">
        <f>'mk 001 10.3'!BE303</f>
        <v>0</v>
      </c>
      <c r="BF302">
        <f>'mk 001 10.3'!BF303</f>
        <v>0</v>
      </c>
      <c r="BG302">
        <f>'mk 001 10.3'!BG303</f>
        <v>0</v>
      </c>
      <c r="BH302">
        <f>'mk 001 10.3'!BH303</f>
        <v>0</v>
      </c>
      <c r="BI302">
        <f>'mk 001 10.3'!BI303</f>
        <v>0</v>
      </c>
      <c r="BJ302">
        <f>'mk 001 10.3'!BJ303</f>
        <v>0</v>
      </c>
      <c r="BK302">
        <f>'mk 001 10.3'!BK303</f>
        <v>0</v>
      </c>
      <c r="BL302">
        <f>'mk 001 10.3'!BL303</f>
        <v>0</v>
      </c>
      <c r="BM302">
        <f>'mk 001 10.3'!BM303</f>
        <v>0</v>
      </c>
      <c r="BN302">
        <f>'mk 001 10.3'!BN303</f>
        <v>0</v>
      </c>
    </row>
    <row r="303" spans="1:66" x14ac:dyDescent="0.35">
      <c r="A303">
        <f>'mk 001 10.3'!A304</f>
        <v>0</v>
      </c>
      <c r="B303">
        <f>'mk 001 10.3'!B304</f>
        <v>0</v>
      </c>
      <c r="C303" s="1">
        <f>'mk 001 10.3'!C304</f>
        <v>0</v>
      </c>
      <c r="D303" s="1">
        <f>'mk 001 10.3'!D304</f>
        <v>0</v>
      </c>
      <c r="E303">
        <f>'mk 001 10.3'!E304</f>
        <v>0</v>
      </c>
      <c r="F303">
        <f>'mk 001 10.3'!F304</f>
        <v>0</v>
      </c>
      <c r="G303">
        <f>'mk 001 10.3'!G304</f>
        <v>0</v>
      </c>
      <c r="H303">
        <f>'mk 001 10.3'!H304</f>
        <v>0</v>
      </c>
      <c r="I303">
        <f>'mk 001 10.3'!I304</f>
        <v>0</v>
      </c>
      <c r="J303">
        <f>'mk 001 10.3'!J304</f>
        <v>0</v>
      </c>
      <c r="K303">
        <f>'mk 001 10.3'!K304</f>
        <v>0</v>
      </c>
      <c r="L303">
        <f>'mk 001 10.3'!L304</f>
        <v>0</v>
      </c>
      <c r="M303">
        <f>'mk 001 10.3'!M304</f>
        <v>0</v>
      </c>
      <c r="N303">
        <f>'mk 001 10.3'!N304</f>
        <v>0</v>
      </c>
      <c r="O303">
        <f>'mk 001 10.3'!O304</f>
        <v>0</v>
      </c>
      <c r="P303">
        <f>'mk 001 10.3'!P304</f>
        <v>0</v>
      </c>
      <c r="Q303">
        <f>'mk 001 10.3'!Q304</f>
        <v>0</v>
      </c>
      <c r="R303" s="1">
        <f>'mk 001 10.3'!R304</f>
        <v>0</v>
      </c>
      <c r="S303" s="1">
        <f>'mk 001 10.3'!S304</f>
        <v>0</v>
      </c>
      <c r="T303">
        <f>'mk 001 10.3'!T304</f>
        <v>0</v>
      </c>
      <c r="U303">
        <f>'mk 001 10.3'!U304</f>
        <v>0</v>
      </c>
      <c r="V303">
        <f>'mk 001 10.3'!V304</f>
        <v>0</v>
      </c>
      <c r="W303">
        <f>'mk 001 10.3'!W304</f>
        <v>0</v>
      </c>
      <c r="X303">
        <f>'mk 001 10.3'!X304</f>
        <v>0</v>
      </c>
      <c r="Y303">
        <f t="shared" si="4"/>
        <v>0</v>
      </c>
      <c r="Z303" s="13">
        <f>IF(COUNTIFS(แปลงข้อมูล!H:H,Q303,แปลงข้อมูล!I:I,U303,แปลงข้อมูล!J:J,V303)&gt;0,SUMIFS(แปลงข้อมูล!Q:Q,แปลงข้อมูล!I:I,U303,แปลงข้อมูล!H:H,Q303,แปลงข้อมูล!J:J,V303),'mk 001 10.3'!Z304)</f>
        <v>0</v>
      </c>
      <c r="AA303">
        <f>'mk 001 10.3'!AA304</f>
        <v>0</v>
      </c>
      <c r="AB303">
        <f>'mk 001 10.3'!AB304</f>
        <v>0</v>
      </c>
      <c r="AC303">
        <f>'mk 001 10.3'!AC304</f>
        <v>0</v>
      </c>
      <c r="AD303">
        <f>'mk 001 10.3'!AD304</f>
        <v>0</v>
      </c>
      <c r="AE303">
        <f>'mk 001 10.3'!AE304</f>
        <v>0</v>
      </c>
      <c r="AF303">
        <f>'mk 001 10.3'!AF304</f>
        <v>0</v>
      </c>
      <c r="AG303">
        <f>'mk 001 10.3'!AG304</f>
        <v>0</v>
      </c>
      <c r="AH303">
        <f>'mk 001 10.3'!AH304</f>
        <v>0</v>
      </c>
      <c r="AI303">
        <f>'mk 001 10.3'!AI304</f>
        <v>0</v>
      </c>
      <c r="AJ303">
        <f>'mk 001 10.3'!AJ304</f>
        <v>0</v>
      </c>
      <c r="AK303">
        <f>'mk 001 10.3'!AK304</f>
        <v>0</v>
      </c>
      <c r="AL303">
        <f>'mk 001 10.3'!AL304</f>
        <v>0</v>
      </c>
      <c r="AM303">
        <f>'mk 001 10.3'!AM304</f>
        <v>0</v>
      </c>
      <c r="AN303">
        <f>'mk 001 10.3'!AN304</f>
        <v>0</v>
      </c>
      <c r="AO303">
        <f>'mk 001 10.3'!AO304</f>
        <v>0</v>
      </c>
      <c r="AP303">
        <f>'mk 001 10.3'!AP304</f>
        <v>0</v>
      </c>
      <c r="AQ303">
        <f>'mk 001 10.3'!AQ304</f>
        <v>0</v>
      </c>
      <c r="AR303">
        <f>'mk 001 10.3'!AR304</f>
        <v>0</v>
      </c>
      <c r="AS303">
        <f>'mk 001 10.3'!AS304</f>
        <v>0</v>
      </c>
      <c r="AT303">
        <f>'mk 001 10.3'!AT304</f>
        <v>0</v>
      </c>
      <c r="AU303">
        <f>'mk 001 10.3'!AU304</f>
        <v>0</v>
      </c>
      <c r="AV303">
        <f>'mk 001 10.3'!AV304</f>
        <v>0</v>
      </c>
      <c r="AW303">
        <f>'mk 001 10.3'!AW304</f>
        <v>0</v>
      </c>
      <c r="AX303">
        <f>'mk 001 10.3'!AX304</f>
        <v>0</v>
      </c>
      <c r="AY303">
        <f>'mk 001 10.3'!AY304</f>
        <v>0</v>
      </c>
      <c r="AZ303">
        <f>'mk 001 10.3'!AZ304</f>
        <v>0</v>
      </c>
      <c r="BA303" s="22">
        <f>'mk 001 10.3'!BA304</f>
        <v>0</v>
      </c>
      <c r="BB303">
        <f>'mk 001 10.3'!BB304</f>
        <v>0</v>
      </c>
      <c r="BC303">
        <f>'mk 001 10.3'!BC304</f>
        <v>0</v>
      </c>
      <c r="BD303">
        <f>'mk 001 10.3'!BD304</f>
        <v>0</v>
      </c>
      <c r="BE303">
        <f>'mk 001 10.3'!BE304</f>
        <v>0</v>
      </c>
      <c r="BF303">
        <f>'mk 001 10.3'!BF304</f>
        <v>0</v>
      </c>
      <c r="BG303">
        <f>'mk 001 10.3'!BG304</f>
        <v>0</v>
      </c>
      <c r="BH303">
        <f>'mk 001 10.3'!BH304</f>
        <v>0</v>
      </c>
      <c r="BI303">
        <f>'mk 001 10.3'!BI304</f>
        <v>0</v>
      </c>
      <c r="BJ303">
        <f>'mk 001 10.3'!BJ304</f>
        <v>0</v>
      </c>
      <c r="BK303">
        <f>'mk 001 10.3'!BK304</f>
        <v>0</v>
      </c>
      <c r="BL303">
        <f>'mk 001 10.3'!BL304</f>
        <v>0</v>
      </c>
      <c r="BM303">
        <f>'mk 001 10.3'!BM304</f>
        <v>0</v>
      </c>
      <c r="BN303">
        <f>'mk 001 10.3'!BN304</f>
        <v>0</v>
      </c>
    </row>
    <row r="304" spans="1:66" x14ac:dyDescent="0.35">
      <c r="A304">
        <f>'mk 001 10.3'!A305</f>
        <v>0</v>
      </c>
      <c r="B304">
        <f>'mk 001 10.3'!B305</f>
        <v>0</v>
      </c>
      <c r="C304" s="1">
        <f>'mk 001 10.3'!C305</f>
        <v>0</v>
      </c>
      <c r="D304" s="1">
        <f>'mk 001 10.3'!D305</f>
        <v>0</v>
      </c>
      <c r="E304">
        <f>'mk 001 10.3'!E305</f>
        <v>0</v>
      </c>
      <c r="F304">
        <f>'mk 001 10.3'!F305</f>
        <v>0</v>
      </c>
      <c r="G304">
        <f>'mk 001 10.3'!G305</f>
        <v>0</v>
      </c>
      <c r="H304">
        <f>'mk 001 10.3'!H305</f>
        <v>0</v>
      </c>
      <c r="I304">
        <f>'mk 001 10.3'!I305</f>
        <v>0</v>
      </c>
      <c r="J304">
        <f>'mk 001 10.3'!J305</f>
        <v>0</v>
      </c>
      <c r="K304">
        <f>'mk 001 10.3'!K305</f>
        <v>0</v>
      </c>
      <c r="L304">
        <f>'mk 001 10.3'!L305</f>
        <v>0</v>
      </c>
      <c r="M304">
        <f>'mk 001 10.3'!M305</f>
        <v>0</v>
      </c>
      <c r="N304">
        <f>'mk 001 10.3'!N305</f>
        <v>0</v>
      </c>
      <c r="O304">
        <f>'mk 001 10.3'!O305</f>
        <v>0</v>
      </c>
      <c r="P304">
        <f>'mk 001 10.3'!P305</f>
        <v>0</v>
      </c>
      <c r="Q304">
        <f>'mk 001 10.3'!Q305</f>
        <v>0</v>
      </c>
      <c r="R304" s="1">
        <f>'mk 001 10.3'!R305</f>
        <v>0</v>
      </c>
      <c r="S304" s="1">
        <f>'mk 001 10.3'!S305</f>
        <v>0</v>
      </c>
      <c r="T304">
        <f>'mk 001 10.3'!T305</f>
        <v>0</v>
      </c>
      <c r="U304">
        <f>'mk 001 10.3'!U305</f>
        <v>0</v>
      </c>
      <c r="V304">
        <f>'mk 001 10.3'!V305</f>
        <v>0</v>
      </c>
      <c r="W304">
        <f>'mk 001 10.3'!W305</f>
        <v>0</v>
      </c>
      <c r="X304">
        <f>'mk 001 10.3'!X305</f>
        <v>0</v>
      </c>
      <c r="Y304">
        <f t="shared" si="4"/>
        <v>0</v>
      </c>
      <c r="Z304" s="13">
        <f>IF(COUNTIFS(แปลงข้อมูล!H:H,Q304,แปลงข้อมูล!I:I,U304,แปลงข้อมูล!J:J,V304)&gt;0,SUMIFS(แปลงข้อมูล!Q:Q,แปลงข้อมูล!I:I,U304,แปลงข้อมูล!H:H,Q304,แปลงข้อมูล!J:J,V304),'mk 001 10.3'!Z305)</f>
        <v>0</v>
      </c>
      <c r="AA304">
        <f>'mk 001 10.3'!AA305</f>
        <v>0</v>
      </c>
      <c r="AB304">
        <f>'mk 001 10.3'!AB305</f>
        <v>0</v>
      </c>
      <c r="AC304">
        <f>'mk 001 10.3'!AC305</f>
        <v>0</v>
      </c>
      <c r="AD304">
        <f>'mk 001 10.3'!AD305</f>
        <v>0</v>
      </c>
      <c r="AE304">
        <f>'mk 001 10.3'!AE305</f>
        <v>0</v>
      </c>
      <c r="AF304">
        <f>'mk 001 10.3'!AF305</f>
        <v>0</v>
      </c>
      <c r="AG304">
        <f>'mk 001 10.3'!AG305</f>
        <v>0</v>
      </c>
      <c r="AH304">
        <f>'mk 001 10.3'!AH305</f>
        <v>0</v>
      </c>
      <c r="AI304">
        <f>'mk 001 10.3'!AI305</f>
        <v>0</v>
      </c>
      <c r="AJ304">
        <f>'mk 001 10.3'!AJ305</f>
        <v>0</v>
      </c>
      <c r="AK304">
        <f>'mk 001 10.3'!AK305</f>
        <v>0</v>
      </c>
      <c r="AL304">
        <f>'mk 001 10.3'!AL305</f>
        <v>0</v>
      </c>
      <c r="AM304">
        <f>'mk 001 10.3'!AM305</f>
        <v>0</v>
      </c>
      <c r="AN304">
        <f>'mk 001 10.3'!AN305</f>
        <v>0</v>
      </c>
      <c r="AO304">
        <f>'mk 001 10.3'!AO305</f>
        <v>0</v>
      </c>
      <c r="AP304">
        <f>'mk 001 10.3'!AP305</f>
        <v>0</v>
      </c>
      <c r="AQ304">
        <f>'mk 001 10.3'!AQ305</f>
        <v>0</v>
      </c>
      <c r="AR304">
        <f>'mk 001 10.3'!AR305</f>
        <v>0</v>
      </c>
      <c r="AS304">
        <f>'mk 001 10.3'!AS305</f>
        <v>0</v>
      </c>
      <c r="AT304">
        <f>'mk 001 10.3'!AT305</f>
        <v>0</v>
      </c>
      <c r="AU304">
        <f>'mk 001 10.3'!AU305</f>
        <v>0</v>
      </c>
      <c r="AV304">
        <f>'mk 001 10.3'!AV305</f>
        <v>0</v>
      </c>
      <c r="AW304">
        <f>'mk 001 10.3'!AW305</f>
        <v>0</v>
      </c>
      <c r="AX304">
        <f>'mk 001 10.3'!AX305</f>
        <v>0</v>
      </c>
      <c r="AY304">
        <f>'mk 001 10.3'!AY305</f>
        <v>0</v>
      </c>
      <c r="AZ304">
        <f>'mk 001 10.3'!AZ305</f>
        <v>0</v>
      </c>
      <c r="BA304" s="22">
        <f>'mk 001 10.3'!BA305</f>
        <v>0</v>
      </c>
      <c r="BB304">
        <f>'mk 001 10.3'!BB305</f>
        <v>0</v>
      </c>
      <c r="BC304">
        <f>'mk 001 10.3'!BC305</f>
        <v>0</v>
      </c>
      <c r="BD304">
        <f>'mk 001 10.3'!BD305</f>
        <v>0</v>
      </c>
      <c r="BE304">
        <f>'mk 001 10.3'!BE305</f>
        <v>0</v>
      </c>
      <c r="BF304">
        <f>'mk 001 10.3'!BF305</f>
        <v>0</v>
      </c>
      <c r="BG304">
        <f>'mk 001 10.3'!BG305</f>
        <v>0</v>
      </c>
      <c r="BH304">
        <f>'mk 001 10.3'!BH305</f>
        <v>0</v>
      </c>
      <c r="BI304">
        <f>'mk 001 10.3'!BI305</f>
        <v>0</v>
      </c>
      <c r="BJ304">
        <f>'mk 001 10.3'!BJ305</f>
        <v>0</v>
      </c>
      <c r="BK304">
        <f>'mk 001 10.3'!BK305</f>
        <v>0</v>
      </c>
      <c r="BL304">
        <f>'mk 001 10.3'!BL305</f>
        <v>0</v>
      </c>
      <c r="BM304">
        <f>'mk 001 10.3'!BM305</f>
        <v>0</v>
      </c>
      <c r="BN304">
        <f>'mk 001 10.3'!BN305</f>
        <v>0</v>
      </c>
    </row>
    <row r="305" spans="1:66" x14ac:dyDescent="0.35">
      <c r="A305">
        <f>'mk 001 10.3'!A306</f>
        <v>0</v>
      </c>
      <c r="B305">
        <f>'mk 001 10.3'!B306</f>
        <v>0</v>
      </c>
      <c r="C305" s="1">
        <f>'mk 001 10.3'!C306</f>
        <v>0</v>
      </c>
      <c r="D305" s="1">
        <f>'mk 001 10.3'!D306</f>
        <v>0</v>
      </c>
      <c r="E305">
        <f>'mk 001 10.3'!E306</f>
        <v>0</v>
      </c>
      <c r="F305">
        <f>'mk 001 10.3'!F306</f>
        <v>0</v>
      </c>
      <c r="G305">
        <f>'mk 001 10.3'!G306</f>
        <v>0</v>
      </c>
      <c r="H305">
        <f>'mk 001 10.3'!H306</f>
        <v>0</v>
      </c>
      <c r="I305">
        <f>'mk 001 10.3'!I306</f>
        <v>0</v>
      </c>
      <c r="J305">
        <f>'mk 001 10.3'!J306</f>
        <v>0</v>
      </c>
      <c r="K305">
        <f>'mk 001 10.3'!K306</f>
        <v>0</v>
      </c>
      <c r="L305">
        <f>'mk 001 10.3'!L306</f>
        <v>0</v>
      </c>
      <c r="M305">
        <f>'mk 001 10.3'!M306</f>
        <v>0</v>
      </c>
      <c r="N305">
        <f>'mk 001 10.3'!N306</f>
        <v>0</v>
      </c>
      <c r="O305">
        <f>'mk 001 10.3'!O306</f>
        <v>0</v>
      </c>
      <c r="P305">
        <f>'mk 001 10.3'!P306</f>
        <v>0</v>
      </c>
      <c r="Q305">
        <f>'mk 001 10.3'!Q306</f>
        <v>0</v>
      </c>
      <c r="R305" s="1">
        <f>'mk 001 10.3'!R306</f>
        <v>0</v>
      </c>
      <c r="S305" s="1">
        <f>'mk 001 10.3'!S306</f>
        <v>0</v>
      </c>
      <c r="T305">
        <f>'mk 001 10.3'!T306</f>
        <v>0</v>
      </c>
      <c r="U305">
        <f>'mk 001 10.3'!U306</f>
        <v>0</v>
      </c>
      <c r="V305">
        <f>'mk 001 10.3'!V306</f>
        <v>0</v>
      </c>
      <c r="W305">
        <f>'mk 001 10.3'!W306</f>
        <v>0</v>
      </c>
      <c r="X305">
        <f>'mk 001 10.3'!X306</f>
        <v>0</v>
      </c>
      <c r="Y305">
        <f t="shared" si="4"/>
        <v>0</v>
      </c>
      <c r="Z305" s="13">
        <f>IF(COUNTIFS(แปลงข้อมูล!H:H,Q305,แปลงข้อมูล!I:I,U305,แปลงข้อมูล!J:J,V305)&gt;0,SUMIFS(แปลงข้อมูล!Q:Q,แปลงข้อมูล!I:I,U305,แปลงข้อมูล!H:H,Q305,แปลงข้อมูล!J:J,V305),'mk 001 10.3'!Z306)</f>
        <v>0</v>
      </c>
      <c r="AA305">
        <f>'mk 001 10.3'!AA306</f>
        <v>0</v>
      </c>
      <c r="AB305">
        <f>'mk 001 10.3'!AB306</f>
        <v>0</v>
      </c>
      <c r="AC305">
        <f>'mk 001 10.3'!AC306</f>
        <v>0</v>
      </c>
      <c r="AD305">
        <f>'mk 001 10.3'!AD306</f>
        <v>0</v>
      </c>
      <c r="AE305">
        <f>'mk 001 10.3'!AE306</f>
        <v>0</v>
      </c>
      <c r="AF305">
        <f>'mk 001 10.3'!AF306</f>
        <v>0</v>
      </c>
      <c r="AG305">
        <f>'mk 001 10.3'!AG306</f>
        <v>0</v>
      </c>
      <c r="AH305">
        <f>'mk 001 10.3'!AH306</f>
        <v>0</v>
      </c>
      <c r="AI305">
        <f>'mk 001 10.3'!AI306</f>
        <v>0</v>
      </c>
      <c r="AJ305">
        <f>'mk 001 10.3'!AJ306</f>
        <v>0</v>
      </c>
      <c r="AK305">
        <f>'mk 001 10.3'!AK306</f>
        <v>0</v>
      </c>
      <c r="AL305">
        <f>'mk 001 10.3'!AL306</f>
        <v>0</v>
      </c>
      <c r="AM305">
        <f>'mk 001 10.3'!AM306</f>
        <v>0</v>
      </c>
      <c r="AN305">
        <f>'mk 001 10.3'!AN306</f>
        <v>0</v>
      </c>
      <c r="AO305">
        <f>'mk 001 10.3'!AO306</f>
        <v>0</v>
      </c>
      <c r="AP305">
        <f>'mk 001 10.3'!AP306</f>
        <v>0</v>
      </c>
      <c r="AQ305">
        <f>'mk 001 10.3'!AQ306</f>
        <v>0</v>
      </c>
      <c r="AR305">
        <f>'mk 001 10.3'!AR306</f>
        <v>0</v>
      </c>
      <c r="AS305">
        <f>'mk 001 10.3'!AS306</f>
        <v>0</v>
      </c>
      <c r="AT305">
        <f>'mk 001 10.3'!AT306</f>
        <v>0</v>
      </c>
      <c r="AU305">
        <f>'mk 001 10.3'!AU306</f>
        <v>0</v>
      </c>
      <c r="AV305">
        <f>'mk 001 10.3'!AV306</f>
        <v>0</v>
      </c>
      <c r="AW305">
        <f>'mk 001 10.3'!AW306</f>
        <v>0</v>
      </c>
      <c r="AX305">
        <f>'mk 001 10.3'!AX306</f>
        <v>0</v>
      </c>
      <c r="AY305">
        <f>'mk 001 10.3'!AY306</f>
        <v>0</v>
      </c>
      <c r="AZ305">
        <f>'mk 001 10.3'!AZ306</f>
        <v>0</v>
      </c>
      <c r="BA305" s="22">
        <f>'mk 001 10.3'!BA306</f>
        <v>0</v>
      </c>
      <c r="BB305">
        <f>'mk 001 10.3'!BB306</f>
        <v>0</v>
      </c>
      <c r="BC305">
        <f>'mk 001 10.3'!BC306</f>
        <v>0</v>
      </c>
      <c r="BD305">
        <f>'mk 001 10.3'!BD306</f>
        <v>0</v>
      </c>
      <c r="BE305">
        <f>'mk 001 10.3'!BE306</f>
        <v>0</v>
      </c>
      <c r="BF305">
        <f>'mk 001 10.3'!BF306</f>
        <v>0</v>
      </c>
      <c r="BG305">
        <f>'mk 001 10.3'!BG306</f>
        <v>0</v>
      </c>
      <c r="BH305">
        <f>'mk 001 10.3'!BH306</f>
        <v>0</v>
      </c>
      <c r="BI305">
        <f>'mk 001 10.3'!BI306</f>
        <v>0</v>
      </c>
      <c r="BJ305">
        <f>'mk 001 10.3'!BJ306</f>
        <v>0</v>
      </c>
      <c r="BK305">
        <f>'mk 001 10.3'!BK306</f>
        <v>0</v>
      </c>
      <c r="BL305">
        <f>'mk 001 10.3'!BL306</f>
        <v>0</v>
      </c>
      <c r="BM305">
        <f>'mk 001 10.3'!BM306</f>
        <v>0</v>
      </c>
      <c r="BN305">
        <f>'mk 001 10.3'!BN306</f>
        <v>0</v>
      </c>
    </row>
    <row r="306" spans="1:66" x14ac:dyDescent="0.35">
      <c r="A306">
        <f>'mk 001 10.3'!A307</f>
        <v>0</v>
      </c>
      <c r="B306">
        <f>'mk 001 10.3'!B307</f>
        <v>0</v>
      </c>
      <c r="C306" s="1">
        <f>'mk 001 10.3'!C307</f>
        <v>0</v>
      </c>
      <c r="D306" s="1">
        <f>'mk 001 10.3'!D307</f>
        <v>0</v>
      </c>
      <c r="E306">
        <f>'mk 001 10.3'!E307</f>
        <v>0</v>
      </c>
      <c r="F306">
        <f>'mk 001 10.3'!F307</f>
        <v>0</v>
      </c>
      <c r="G306">
        <f>'mk 001 10.3'!G307</f>
        <v>0</v>
      </c>
      <c r="H306">
        <f>'mk 001 10.3'!H307</f>
        <v>0</v>
      </c>
      <c r="I306">
        <f>'mk 001 10.3'!I307</f>
        <v>0</v>
      </c>
      <c r="J306">
        <f>'mk 001 10.3'!J307</f>
        <v>0</v>
      </c>
      <c r="K306">
        <f>'mk 001 10.3'!K307</f>
        <v>0</v>
      </c>
      <c r="L306">
        <f>'mk 001 10.3'!L307</f>
        <v>0</v>
      </c>
      <c r="M306">
        <f>'mk 001 10.3'!M307</f>
        <v>0</v>
      </c>
      <c r="N306">
        <f>'mk 001 10.3'!N307</f>
        <v>0</v>
      </c>
      <c r="O306">
        <f>'mk 001 10.3'!O307</f>
        <v>0</v>
      </c>
      <c r="P306">
        <f>'mk 001 10.3'!P307</f>
        <v>0</v>
      </c>
      <c r="Q306">
        <f>'mk 001 10.3'!Q307</f>
        <v>0</v>
      </c>
      <c r="R306" s="1">
        <f>'mk 001 10.3'!R307</f>
        <v>0</v>
      </c>
      <c r="S306" s="1">
        <f>'mk 001 10.3'!S307</f>
        <v>0</v>
      </c>
      <c r="T306">
        <f>'mk 001 10.3'!T307</f>
        <v>0</v>
      </c>
      <c r="U306">
        <f>'mk 001 10.3'!U307</f>
        <v>0</v>
      </c>
      <c r="V306">
        <f>'mk 001 10.3'!V307</f>
        <v>0</v>
      </c>
      <c r="W306">
        <f>'mk 001 10.3'!W307</f>
        <v>0</v>
      </c>
      <c r="X306">
        <f>'mk 001 10.3'!X307</f>
        <v>0</v>
      </c>
      <c r="Y306">
        <f t="shared" si="4"/>
        <v>0</v>
      </c>
      <c r="Z306" s="13">
        <f>IF(COUNTIFS(แปลงข้อมูล!H:H,Q306,แปลงข้อมูล!I:I,U306,แปลงข้อมูล!J:J,V306)&gt;0,SUMIFS(แปลงข้อมูล!Q:Q,แปลงข้อมูล!I:I,U306,แปลงข้อมูล!H:H,Q306,แปลงข้อมูล!J:J,V306),'mk 001 10.3'!Z307)</f>
        <v>0</v>
      </c>
      <c r="AA306">
        <f>'mk 001 10.3'!AA307</f>
        <v>0</v>
      </c>
      <c r="AB306">
        <f>'mk 001 10.3'!AB307</f>
        <v>0</v>
      </c>
      <c r="AC306">
        <f>'mk 001 10.3'!AC307</f>
        <v>0</v>
      </c>
      <c r="AD306">
        <f>'mk 001 10.3'!AD307</f>
        <v>0</v>
      </c>
      <c r="AE306">
        <f>'mk 001 10.3'!AE307</f>
        <v>0</v>
      </c>
      <c r="AF306">
        <f>'mk 001 10.3'!AF307</f>
        <v>0</v>
      </c>
      <c r="AG306">
        <f>'mk 001 10.3'!AG307</f>
        <v>0</v>
      </c>
      <c r="AH306">
        <f>'mk 001 10.3'!AH307</f>
        <v>0</v>
      </c>
      <c r="AI306">
        <f>'mk 001 10.3'!AI307</f>
        <v>0</v>
      </c>
      <c r="AJ306">
        <f>'mk 001 10.3'!AJ307</f>
        <v>0</v>
      </c>
      <c r="AK306">
        <f>'mk 001 10.3'!AK307</f>
        <v>0</v>
      </c>
      <c r="AL306">
        <f>'mk 001 10.3'!AL307</f>
        <v>0</v>
      </c>
      <c r="AM306">
        <f>'mk 001 10.3'!AM307</f>
        <v>0</v>
      </c>
      <c r="AN306">
        <f>'mk 001 10.3'!AN307</f>
        <v>0</v>
      </c>
      <c r="AO306">
        <f>'mk 001 10.3'!AO307</f>
        <v>0</v>
      </c>
      <c r="AP306">
        <f>'mk 001 10.3'!AP307</f>
        <v>0</v>
      </c>
      <c r="AQ306">
        <f>'mk 001 10.3'!AQ307</f>
        <v>0</v>
      </c>
      <c r="AR306">
        <f>'mk 001 10.3'!AR307</f>
        <v>0</v>
      </c>
      <c r="AS306">
        <f>'mk 001 10.3'!AS307</f>
        <v>0</v>
      </c>
      <c r="AT306">
        <f>'mk 001 10.3'!AT307</f>
        <v>0</v>
      </c>
      <c r="AU306">
        <f>'mk 001 10.3'!AU307</f>
        <v>0</v>
      </c>
      <c r="AV306">
        <f>'mk 001 10.3'!AV307</f>
        <v>0</v>
      </c>
      <c r="AW306">
        <f>'mk 001 10.3'!AW307</f>
        <v>0</v>
      </c>
      <c r="AX306">
        <f>'mk 001 10.3'!AX307</f>
        <v>0</v>
      </c>
      <c r="AY306">
        <f>'mk 001 10.3'!AY307</f>
        <v>0</v>
      </c>
      <c r="AZ306">
        <f>'mk 001 10.3'!AZ307</f>
        <v>0</v>
      </c>
      <c r="BA306" s="22">
        <f>'mk 001 10.3'!BA307</f>
        <v>0</v>
      </c>
      <c r="BB306">
        <f>'mk 001 10.3'!BB307</f>
        <v>0</v>
      </c>
      <c r="BC306">
        <f>'mk 001 10.3'!BC307</f>
        <v>0</v>
      </c>
      <c r="BD306">
        <f>'mk 001 10.3'!BD307</f>
        <v>0</v>
      </c>
      <c r="BE306">
        <f>'mk 001 10.3'!BE307</f>
        <v>0</v>
      </c>
      <c r="BF306">
        <f>'mk 001 10.3'!BF307</f>
        <v>0</v>
      </c>
      <c r="BG306">
        <f>'mk 001 10.3'!BG307</f>
        <v>0</v>
      </c>
      <c r="BH306">
        <f>'mk 001 10.3'!BH307</f>
        <v>0</v>
      </c>
      <c r="BI306">
        <f>'mk 001 10.3'!BI307</f>
        <v>0</v>
      </c>
      <c r="BJ306">
        <f>'mk 001 10.3'!BJ307</f>
        <v>0</v>
      </c>
      <c r="BK306">
        <f>'mk 001 10.3'!BK307</f>
        <v>0</v>
      </c>
      <c r="BL306">
        <f>'mk 001 10.3'!BL307</f>
        <v>0</v>
      </c>
      <c r="BM306">
        <f>'mk 001 10.3'!BM307</f>
        <v>0</v>
      </c>
      <c r="BN306">
        <f>'mk 001 10.3'!BN307</f>
        <v>0</v>
      </c>
    </row>
    <row r="307" spans="1:66" x14ac:dyDescent="0.35">
      <c r="A307">
        <f>'mk 001 10.3'!A308</f>
        <v>0</v>
      </c>
      <c r="B307">
        <f>'mk 001 10.3'!B308</f>
        <v>0</v>
      </c>
      <c r="C307" s="1">
        <f>'mk 001 10.3'!C308</f>
        <v>0</v>
      </c>
      <c r="D307" s="1">
        <f>'mk 001 10.3'!D308</f>
        <v>0</v>
      </c>
      <c r="E307">
        <f>'mk 001 10.3'!E308</f>
        <v>0</v>
      </c>
      <c r="F307">
        <f>'mk 001 10.3'!F308</f>
        <v>0</v>
      </c>
      <c r="G307">
        <f>'mk 001 10.3'!G308</f>
        <v>0</v>
      </c>
      <c r="H307">
        <f>'mk 001 10.3'!H308</f>
        <v>0</v>
      </c>
      <c r="I307">
        <f>'mk 001 10.3'!I308</f>
        <v>0</v>
      </c>
      <c r="J307">
        <f>'mk 001 10.3'!J308</f>
        <v>0</v>
      </c>
      <c r="K307">
        <f>'mk 001 10.3'!K308</f>
        <v>0</v>
      </c>
      <c r="L307">
        <f>'mk 001 10.3'!L308</f>
        <v>0</v>
      </c>
      <c r="M307">
        <f>'mk 001 10.3'!M308</f>
        <v>0</v>
      </c>
      <c r="N307">
        <f>'mk 001 10.3'!N308</f>
        <v>0</v>
      </c>
      <c r="O307">
        <f>'mk 001 10.3'!O308</f>
        <v>0</v>
      </c>
      <c r="P307">
        <f>'mk 001 10.3'!P308</f>
        <v>0</v>
      </c>
      <c r="Q307">
        <f>'mk 001 10.3'!Q308</f>
        <v>0</v>
      </c>
      <c r="R307" s="1">
        <f>'mk 001 10.3'!R308</f>
        <v>0</v>
      </c>
      <c r="S307" s="1">
        <f>'mk 001 10.3'!S308</f>
        <v>0</v>
      </c>
      <c r="T307">
        <f>'mk 001 10.3'!T308</f>
        <v>0</v>
      </c>
      <c r="U307">
        <f>'mk 001 10.3'!U308</f>
        <v>0</v>
      </c>
      <c r="V307">
        <f>'mk 001 10.3'!V308</f>
        <v>0</v>
      </c>
      <c r="W307">
        <f>'mk 001 10.3'!W308</f>
        <v>0</v>
      </c>
      <c r="X307">
        <f>'mk 001 10.3'!X308</f>
        <v>0</v>
      </c>
      <c r="Y307">
        <f t="shared" si="4"/>
        <v>0</v>
      </c>
      <c r="Z307" s="13">
        <f>IF(COUNTIFS(แปลงข้อมูล!H:H,Q307,แปลงข้อมูล!I:I,U307,แปลงข้อมูล!J:J,V307)&gt;0,SUMIFS(แปลงข้อมูล!Q:Q,แปลงข้อมูล!I:I,U307,แปลงข้อมูล!H:H,Q307,แปลงข้อมูล!J:J,V307),'mk 001 10.3'!Z308)</f>
        <v>0</v>
      </c>
      <c r="AA307">
        <f>'mk 001 10.3'!AA308</f>
        <v>0</v>
      </c>
      <c r="AB307">
        <f>'mk 001 10.3'!AB308</f>
        <v>0</v>
      </c>
      <c r="AC307">
        <f>'mk 001 10.3'!AC308</f>
        <v>0</v>
      </c>
      <c r="AD307">
        <f>'mk 001 10.3'!AD308</f>
        <v>0</v>
      </c>
      <c r="AE307">
        <f>'mk 001 10.3'!AE308</f>
        <v>0</v>
      </c>
      <c r="AF307">
        <f>'mk 001 10.3'!AF308</f>
        <v>0</v>
      </c>
      <c r="AG307">
        <f>'mk 001 10.3'!AG308</f>
        <v>0</v>
      </c>
      <c r="AH307">
        <f>'mk 001 10.3'!AH308</f>
        <v>0</v>
      </c>
      <c r="AI307">
        <f>'mk 001 10.3'!AI308</f>
        <v>0</v>
      </c>
      <c r="AJ307">
        <f>'mk 001 10.3'!AJ308</f>
        <v>0</v>
      </c>
      <c r="AK307">
        <f>'mk 001 10.3'!AK308</f>
        <v>0</v>
      </c>
      <c r="AL307">
        <f>'mk 001 10.3'!AL308</f>
        <v>0</v>
      </c>
      <c r="AM307">
        <f>'mk 001 10.3'!AM308</f>
        <v>0</v>
      </c>
      <c r="AN307">
        <f>'mk 001 10.3'!AN308</f>
        <v>0</v>
      </c>
      <c r="AO307">
        <f>'mk 001 10.3'!AO308</f>
        <v>0</v>
      </c>
      <c r="AP307">
        <f>'mk 001 10.3'!AP308</f>
        <v>0</v>
      </c>
      <c r="AQ307">
        <f>'mk 001 10.3'!AQ308</f>
        <v>0</v>
      </c>
      <c r="AR307">
        <f>'mk 001 10.3'!AR308</f>
        <v>0</v>
      </c>
      <c r="AS307">
        <f>'mk 001 10.3'!AS308</f>
        <v>0</v>
      </c>
      <c r="AT307">
        <f>'mk 001 10.3'!AT308</f>
        <v>0</v>
      </c>
      <c r="AU307">
        <f>'mk 001 10.3'!AU308</f>
        <v>0</v>
      </c>
      <c r="AV307">
        <f>'mk 001 10.3'!AV308</f>
        <v>0</v>
      </c>
      <c r="AW307">
        <f>'mk 001 10.3'!AW308</f>
        <v>0</v>
      </c>
      <c r="AX307">
        <f>'mk 001 10.3'!AX308</f>
        <v>0</v>
      </c>
      <c r="AY307">
        <f>'mk 001 10.3'!AY308</f>
        <v>0</v>
      </c>
      <c r="AZ307">
        <f>'mk 001 10.3'!AZ308</f>
        <v>0</v>
      </c>
      <c r="BA307" s="22">
        <f>'mk 001 10.3'!BA308</f>
        <v>0</v>
      </c>
      <c r="BB307">
        <f>'mk 001 10.3'!BB308</f>
        <v>0</v>
      </c>
      <c r="BC307">
        <f>'mk 001 10.3'!BC308</f>
        <v>0</v>
      </c>
      <c r="BD307">
        <f>'mk 001 10.3'!BD308</f>
        <v>0</v>
      </c>
      <c r="BE307">
        <f>'mk 001 10.3'!BE308</f>
        <v>0</v>
      </c>
      <c r="BF307">
        <f>'mk 001 10.3'!BF308</f>
        <v>0</v>
      </c>
      <c r="BG307">
        <f>'mk 001 10.3'!BG308</f>
        <v>0</v>
      </c>
      <c r="BH307">
        <f>'mk 001 10.3'!BH308</f>
        <v>0</v>
      </c>
      <c r="BI307">
        <f>'mk 001 10.3'!BI308</f>
        <v>0</v>
      </c>
      <c r="BJ307">
        <f>'mk 001 10.3'!BJ308</f>
        <v>0</v>
      </c>
      <c r="BK307">
        <f>'mk 001 10.3'!BK308</f>
        <v>0</v>
      </c>
      <c r="BL307">
        <f>'mk 001 10.3'!BL308</f>
        <v>0</v>
      </c>
      <c r="BM307">
        <f>'mk 001 10.3'!BM308</f>
        <v>0</v>
      </c>
      <c r="BN307">
        <f>'mk 001 10.3'!BN308</f>
        <v>0</v>
      </c>
    </row>
    <row r="308" spans="1:66" x14ac:dyDescent="0.35">
      <c r="A308">
        <f>'mk 001 10.3'!A309</f>
        <v>0</v>
      </c>
      <c r="B308">
        <f>'mk 001 10.3'!B309</f>
        <v>0</v>
      </c>
      <c r="C308" s="1">
        <f>'mk 001 10.3'!C309</f>
        <v>0</v>
      </c>
      <c r="D308" s="1">
        <f>'mk 001 10.3'!D309</f>
        <v>0</v>
      </c>
      <c r="E308">
        <f>'mk 001 10.3'!E309</f>
        <v>0</v>
      </c>
      <c r="F308">
        <f>'mk 001 10.3'!F309</f>
        <v>0</v>
      </c>
      <c r="G308">
        <f>'mk 001 10.3'!G309</f>
        <v>0</v>
      </c>
      <c r="H308">
        <f>'mk 001 10.3'!H309</f>
        <v>0</v>
      </c>
      <c r="I308">
        <f>'mk 001 10.3'!I309</f>
        <v>0</v>
      </c>
      <c r="J308">
        <f>'mk 001 10.3'!J309</f>
        <v>0</v>
      </c>
      <c r="K308">
        <f>'mk 001 10.3'!K309</f>
        <v>0</v>
      </c>
      <c r="L308">
        <f>'mk 001 10.3'!L309</f>
        <v>0</v>
      </c>
      <c r="M308">
        <f>'mk 001 10.3'!M309</f>
        <v>0</v>
      </c>
      <c r="N308">
        <f>'mk 001 10.3'!N309</f>
        <v>0</v>
      </c>
      <c r="O308">
        <f>'mk 001 10.3'!O309</f>
        <v>0</v>
      </c>
      <c r="P308">
        <f>'mk 001 10.3'!P309</f>
        <v>0</v>
      </c>
      <c r="Q308">
        <f>'mk 001 10.3'!Q309</f>
        <v>0</v>
      </c>
      <c r="R308" s="1">
        <f>'mk 001 10.3'!R309</f>
        <v>0</v>
      </c>
      <c r="S308" s="1">
        <f>'mk 001 10.3'!S309</f>
        <v>0</v>
      </c>
      <c r="T308">
        <f>'mk 001 10.3'!T309</f>
        <v>0</v>
      </c>
      <c r="U308">
        <f>'mk 001 10.3'!U309</f>
        <v>0</v>
      </c>
      <c r="V308">
        <f>'mk 001 10.3'!V309</f>
        <v>0</v>
      </c>
      <c r="W308">
        <f>'mk 001 10.3'!W309</f>
        <v>0</v>
      </c>
      <c r="X308">
        <f>'mk 001 10.3'!X309</f>
        <v>0</v>
      </c>
      <c r="Y308">
        <f t="shared" si="4"/>
        <v>0</v>
      </c>
      <c r="Z308" s="13">
        <f>IF(COUNTIFS(แปลงข้อมูล!H:H,Q308,แปลงข้อมูล!I:I,U308,แปลงข้อมูล!J:J,V308)&gt;0,SUMIFS(แปลงข้อมูล!Q:Q,แปลงข้อมูล!I:I,U308,แปลงข้อมูล!H:H,Q308,แปลงข้อมูล!J:J,V308),'mk 001 10.3'!Z309)</f>
        <v>0</v>
      </c>
      <c r="AA308">
        <f>'mk 001 10.3'!AA309</f>
        <v>0</v>
      </c>
      <c r="AB308">
        <f>'mk 001 10.3'!AB309</f>
        <v>0</v>
      </c>
      <c r="AC308">
        <f>'mk 001 10.3'!AC309</f>
        <v>0</v>
      </c>
      <c r="AD308">
        <f>'mk 001 10.3'!AD309</f>
        <v>0</v>
      </c>
      <c r="AE308">
        <f>'mk 001 10.3'!AE309</f>
        <v>0</v>
      </c>
      <c r="AF308">
        <f>'mk 001 10.3'!AF309</f>
        <v>0</v>
      </c>
      <c r="AG308">
        <f>'mk 001 10.3'!AG309</f>
        <v>0</v>
      </c>
      <c r="AH308">
        <f>'mk 001 10.3'!AH309</f>
        <v>0</v>
      </c>
      <c r="AI308">
        <f>'mk 001 10.3'!AI309</f>
        <v>0</v>
      </c>
      <c r="AJ308">
        <f>'mk 001 10.3'!AJ309</f>
        <v>0</v>
      </c>
      <c r="AK308">
        <f>'mk 001 10.3'!AK309</f>
        <v>0</v>
      </c>
      <c r="AL308">
        <f>'mk 001 10.3'!AL309</f>
        <v>0</v>
      </c>
      <c r="AM308">
        <f>'mk 001 10.3'!AM309</f>
        <v>0</v>
      </c>
      <c r="AN308">
        <f>'mk 001 10.3'!AN309</f>
        <v>0</v>
      </c>
      <c r="AO308">
        <f>'mk 001 10.3'!AO309</f>
        <v>0</v>
      </c>
      <c r="AP308">
        <f>'mk 001 10.3'!AP309</f>
        <v>0</v>
      </c>
      <c r="AQ308">
        <f>'mk 001 10.3'!AQ309</f>
        <v>0</v>
      </c>
      <c r="AR308">
        <f>'mk 001 10.3'!AR309</f>
        <v>0</v>
      </c>
      <c r="AS308">
        <f>'mk 001 10.3'!AS309</f>
        <v>0</v>
      </c>
      <c r="AT308">
        <f>'mk 001 10.3'!AT309</f>
        <v>0</v>
      </c>
      <c r="AU308">
        <f>'mk 001 10.3'!AU309</f>
        <v>0</v>
      </c>
      <c r="AV308">
        <f>'mk 001 10.3'!AV309</f>
        <v>0</v>
      </c>
      <c r="AW308">
        <f>'mk 001 10.3'!AW309</f>
        <v>0</v>
      </c>
      <c r="AX308">
        <f>'mk 001 10.3'!AX309</f>
        <v>0</v>
      </c>
      <c r="AY308">
        <f>'mk 001 10.3'!AY309</f>
        <v>0</v>
      </c>
      <c r="AZ308">
        <f>'mk 001 10.3'!AZ309</f>
        <v>0</v>
      </c>
      <c r="BA308" s="22">
        <f>'mk 001 10.3'!BA309</f>
        <v>0</v>
      </c>
      <c r="BB308">
        <f>'mk 001 10.3'!BB309</f>
        <v>0</v>
      </c>
      <c r="BC308">
        <f>'mk 001 10.3'!BC309</f>
        <v>0</v>
      </c>
      <c r="BD308">
        <f>'mk 001 10.3'!BD309</f>
        <v>0</v>
      </c>
      <c r="BE308">
        <f>'mk 001 10.3'!BE309</f>
        <v>0</v>
      </c>
      <c r="BF308">
        <f>'mk 001 10.3'!BF309</f>
        <v>0</v>
      </c>
      <c r="BG308">
        <f>'mk 001 10.3'!BG309</f>
        <v>0</v>
      </c>
      <c r="BH308">
        <f>'mk 001 10.3'!BH309</f>
        <v>0</v>
      </c>
      <c r="BI308">
        <f>'mk 001 10.3'!BI309</f>
        <v>0</v>
      </c>
      <c r="BJ308">
        <f>'mk 001 10.3'!BJ309</f>
        <v>0</v>
      </c>
      <c r="BK308">
        <f>'mk 001 10.3'!BK309</f>
        <v>0</v>
      </c>
      <c r="BL308">
        <f>'mk 001 10.3'!BL309</f>
        <v>0</v>
      </c>
      <c r="BM308">
        <f>'mk 001 10.3'!BM309</f>
        <v>0</v>
      </c>
      <c r="BN308">
        <f>'mk 001 10.3'!BN309</f>
        <v>0</v>
      </c>
    </row>
    <row r="309" spans="1:66" x14ac:dyDescent="0.35">
      <c r="A309">
        <f>'mk 001 10.3'!A310</f>
        <v>0</v>
      </c>
      <c r="B309">
        <f>'mk 001 10.3'!B310</f>
        <v>0</v>
      </c>
      <c r="C309" s="1">
        <f>'mk 001 10.3'!C310</f>
        <v>0</v>
      </c>
      <c r="D309" s="1">
        <f>'mk 001 10.3'!D310</f>
        <v>0</v>
      </c>
      <c r="E309">
        <f>'mk 001 10.3'!E310</f>
        <v>0</v>
      </c>
      <c r="F309">
        <f>'mk 001 10.3'!F310</f>
        <v>0</v>
      </c>
      <c r="G309">
        <f>'mk 001 10.3'!G310</f>
        <v>0</v>
      </c>
      <c r="H309">
        <f>'mk 001 10.3'!H310</f>
        <v>0</v>
      </c>
      <c r="I309">
        <f>'mk 001 10.3'!I310</f>
        <v>0</v>
      </c>
      <c r="J309">
        <f>'mk 001 10.3'!J310</f>
        <v>0</v>
      </c>
      <c r="K309">
        <f>'mk 001 10.3'!K310</f>
        <v>0</v>
      </c>
      <c r="L309">
        <f>'mk 001 10.3'!L310</f>
        <v>0</v>
      </c>
      <c r="M309">
        <f>'mk 001 10.3'!M310</f>
        <v>0</v>
      </c>
      <c r="N309">
        <f>'mk 001 10.3'!N310</f>
        <v>0</v>
      </c>
      <c r="O309">
        <f>'mk 001 10.3'!O310</f>
        <v>0</v>
      </c>
      <c r="P309">
        <f>'mk 001 10.3'!P310</f>
        <v>0</v>
      </c>
      <c r="Q309">
        <f>'mk 001 10.3'!Q310</f>
        <v>0</v>
      </c>
      <c r="R309" s="1">
        <f>'mk 001 10.3'!R310</f>
        <v>0</v>
      </c>
      <c r="S309" s="1">
        <f>'mk 001 10.3'!S310</f>
        <v>0</v>
      </c>
      <c r="T309">
        <f>'mk 001 10.3'!T310</f>
        <v>0</v>
      </c>
      <c r="U309">
        <f>'mk 001 10.3'!U310</f>
        <v>0</v>
      </c>
      <c r="V309">
        <f>'mk 001 10.3'!V310</f>
        <v>0</v>
      </c>
      <c r="W309">
        <f>'mk 001 10.3'!W310</f>
        <v>0</v>
      </c>
      <c r="X309">
        <f>'mk 001 10.3'!X310</f>
        <v>0</v>
      </c>
      <c r="Y309">
        <f t="shared" si="4"/>
        <v>0</v>
      </c>
      <c r="Z309" s="13">
        <f>IF(COUNTIFS(แปลงข้อมูล!H:H,Q309,แปลงข้อมูล!I:I,U309,แปลงข้อมูล!J:J,V309)&gt;0,SUMIFS(แปลงข้อมูล!Q:Q,แปลงข้อมูล!I:I,U309,แปลงข้อมูล!H:H,Q309,แปลงข้อมูล!J:J,V309),'mk 001 10.3'!Z310)</f>
        <v>0</v>
      </c>
      <c r="AA309">
        <f>'mk 001 10.3'!AA310</f>
        <v>0</v>
      </c>
      <c r="AB309">
        <f>'mk 001 10.3'!AB310</f>
        <v>0</v>
      </c>
      <c r="AC309">
        <f>'mk 001 10.3'!AC310</f>
        <v>0</v>
      </c>
      <c r="AD309">
        <f>'mk 001 10.3'!AD310</f>
        <v>0</v>
      </c>
      <c r="AE309">
        <f>'mk 001 10.3'!AE310</f>
        <v>0</v>
      </c>
      <c r="AF309">
        <f>'mk 001 10.3'!AF310</f>
        <v>0</v>
      </c>
      <c r="AG309">
        <f>'mk 001 10.3'!AG310</f>
        <v>0</v>
      </c>
      <c r="AH309">
        <f>'mk 001 10.3'!AH310</f>
        <v>0</v>
      </c>
      <c r="AI309">
        <f>'mk 001 10.3'!AI310</f>
        <v>0</v>
      </c>
      <c r="AJ309">
        <f>'mk 001 10.3'!AJ310</f>
        <v>0</v>
      </c>
      <c r="AK309">
        <f>'mk 001 10.3'!AK310</f>
        <v>0</v>
      </c>
      <c r="AL309">
        <f>'mk 001 10.3'!AL310</f>
        <v>0</v>
      </c>
      <c r="AM309">
        <f>'mk 001 10.3'!AM310</f>
        <v>0</v>
      </c>
      <c r="AN309">
        <f>'mk 001 10.3'!AN310</f>
        <v>0</v>
      </c>
      <c r="AO309">
        <f>'mk 001 10.3'!AO310</f>
        <v>0</v>
      </c>
      <c r="AP309">
        <f>'mk 001 10.3'!AP310</f>
        <v>0</v>
      </c>
      <c r="AQ309">
        <f>'mk 001 10.3'!AQ310</f>
        <v>0</v>
      </c>
      <c r="AR309">
        <f>'mk 001 10.3'!AR310</f>
        <v>0</v>
      </c>
      <c r="AS309">
        <f>'mk 001 10.3'!AS310</f>
        <v>0</v>
      </c>
      <c r="AT309">
        <f>'mk 001 10.3'!AT310</f>
        <v>0</v>
      </c>
      <c r="AU309">
        <f>'mk 001 10.3'!AU310</f>
        <v>0</v>
      </c>
      <c r="AV309">
        <f>'mk 001 10.3'!AV310</f>
        <v>0</v>
      </c>
      <c r="AW309">
        <f>'mk 001 10.3'!AW310</f>
        <v>0</v>
      </c>
      <c r="AX309">
        <f>'mk 001 10.3'!AX310</f>
        <v>0</v>
      </c>
      <c r="AY309">
        <f>'mk 001 10.3'!AY310</f>
        <v>0</v>
      </c>
      <c r="AZ309">
        <f>'mk 001 10.3'!AZ310</f>
        <v>0</v>
      </c>
      <c r="BA309" s="22">
        <f>'mk 001 10.3'!BA310</f>
        <v>0</v>
      </c>
      <c r="BB309">
        <f>'mk 001 10.3'!BB310</f>
        <v>0</v>
      </c>
      <c r="BC309">
        <f>'mk 001 10.3'!BC310</f>
        <v>0</v>
      </c>
      <c r="BD309">
        <f>'mk 001 10.3'!BD310</f>
        <v>0</v>
      </c>
      <c r="BE309">
        <f>'mk 001 10.3'!BE310</f>
        <v>0</v>
      </c>
      <c r="BF309">
        <f>'mk 001 10.3'!BF310</f>
        <v>0</v>
      </c>
      <c r="BG309">
        <f>'mk 001 10.3'!BG310</f>
        <v>0</v>
      </c>
      <c r="BH309">
        <f>'mk 001 10.3'!BH310</f>
        <v>0</v>
      </c>
      <c r="BI309">
        <f>'mk 001 10.3'!BI310</f>
        <v>0</v>
      </c>
      <c r="BJ309">
        <f>'mk 001 10.3'!BJ310</f>
        <v>0</v>
      </c>
      <c r="BK309">
        <f>'mk 001 10.3'!BK310</f>
        <v>0</v>
      </c>
      <c r="BL309">
        <f>'mk 001 10.3'!BL310</f>
        <v>0</v>
      </c>
      <c r="BM309">
        <f>'mk 001 10.3'!BM310</f>
        <v>0</v>
      </c>
      <c r="BN309">
        <f>'mk 001 10.3'!BN310</f>
        <v>0</v>
      </c>
    </row>
    <row r="310" spans="1:66" x14ac:dyDescent="0.35">
      <c r="A310">
        <f>'mk 001 10.3'!A311</f>
        <v>0</v>
      </c>
      <c r="B310">
        <f>'mk 001 10.3'!B311</f>
        <v>0</v>
      </c>
      <c r="C310" s="1">
        <f>'mk 001 10.3'!C311</f>
        <v>0</v>
      </c>
      <c r="D310" s="1">
        <f>'mk 001 10.3'!D311</f>
        <v>0</v>
      </c>
      <c r="E310">
        <f>'mk 001 10.3'!E311</f>
        <v>0</v>
      </c>
      <c r="F310">
        <f>'mk 001 10.3'!F311</f>
        <v>0</v>
      </c>
      <c r="G310">
        <f>'mk 001 10.3'!G311</f>
        <v>0</v>
      </c>
      <c r="H310">
        <f>'mk 001 10.3'!H311</f>
        <v>0</v>
      </c>
      <c r="I310">
        <f>'mk 001 10.3'!I311</f>
        <v>0</v>
      </c>
      <c r="J310">
        <f>'mk 001 10.3'!J311</f>
        <v>0</v>
      </c>
      <c r="K310">
        <f>'mk 001 10.3'!K311</f>
        <v>0</v>
      </c>
      <c r="L310">
        <f>'mk 001 10.3'!L311</f>
        <v>0</v>
      </c>
      <c r="M310">
        <f>'mk 001 10.3'!M311</f>
        <v>0</v>
      </c>
      <c r="N310">
        <f>'mk 001 10.3'!N311</f>
        <v>0</v>
      </c>
      <c r="O310">
        <f>'mk 001 10.3'!O311</f>
        <v>0</v>
      </c>
      <c r="P310">
        <f>'mk 001 10.3'!P311</f>
        <v>0</v>
      </c>
      <c r="Q310">
        <f>'mk 001 10.3'!Q311</f>
        <v>0</v>
      </c>
      <c r="R310" s="1">
        <f>'mk 001 10.3'!R311</f>
        <v>0</v>
      </c>
      <c r="S310" s="1">
        <f>'mk 001 10.3'!S311</f>
        <v>0</v>
      </c>
      <c r="T310">
        <f>'mk 001 10.3'!T311</f>
        <v>0</v>
      </c>
      <c r="U310">
        <f>'mk 001 10.3'!U311</f>
        <v>0</v>
      </c>
      <c r="V310">
        <f>'mk 001 10.3'!V311</f>
        <v>0</v>
      </c>
      <c r="W310">
        <f>'mk 001 10.3'!W311</f>
        <v>0</v>
      </c>
      <c r="X310">
        <f>'mk 001 10.3'!X311</f>
        <v>0</v>
      </c>
      <c r="Y310">
        <f t="shared" si="4"/>
        <v>0</v>
      </c>
      <c r="Z310" s="13">
        <f>IF(COUNTIFS(แปลงข้อมูล!H:H,Q310,แปลงข้อมูล!I:I,U310,แปลงข้อมูล!J:J,V310)&gt;0,SUMIFS(แปลงข้อมูล!Q:Q,แปลงข้อมูล!I:I,U310,แปลงข้อมูล!H:H,Q310,แปลงข้อมูล!J:J,V310),'mk 001 10.3'!Z311)</f>
        <v>0</v>
      </c>
      <c r="AA310">
        <f>'mk 001 10.3'!AA311</f>
        <v>0</v>
      </c>
      <c r="AB310">
        <f>'mk 001 10.3'!AB311</f>
        <v>0</v>
      </c>
      <c r="AC310">
        <f>'mk 001 10.3'!AC311</f>
        <v>0</v>
      </c>
      <c r="AD310">
        <f>'mk 001 10.3'!AD311</f>
        <v>0</v>
      </c>
      <c r="AE310">
        <f>'mk 001 10.3'!AE311</f>
        <v>0</v>
      </c>
      <c r="AF310">
        <f>'mk 001 10.3'!AF311</f>
        <v>0</v>
      </c>
      <c r="AG310">
        <f>'mk 001 10.3'!AG311</f>
        <v>0</v>
      </c>
      <c r="AH310">
        <f>'mk 001 10.3'!AH311</f>
        <v>0</v>
      </c>
      <c r="AI310">
        <f>'mk 001 10.3'!AI311</f>
        <v>0</v>
      </c>
      <c r="AJ310">
        <f>'mk 001 10.3'!AJ311</f>
        <v>0</v>
      </c>
      <c r="AK310">
        <f>'mk 001 10.3'!AK311</f>
        <v>0</v>
      </c>
      <c r="AL310">
        <f>'mk 001 10.3'!AL311</f>
        <v>0</v>
      </c>
      <c r="AM310">
        <f>'mk 001 10.3'!AM311</f>
        <v>0</v>
      </c>
      <c r="AN310">
        <f>'mk 001 10.3'!AN311</f>
        <v>0</v>
      </c>
      <c r="AO310">
        <f>'mk 001 10.3'!AO311</f>
        <v>0</v>
      </c>
      <c r="AP310">
        <f>'mk 001 10.3'!AP311</f>
        <v>0</v>
      </c>
      <c r="AQ310">
        <f>'mk 001 10.3'!AQ311</f>
        <v>0</v>
      </c>
      <c r="AR310">
        <f>'mk 001 10.3'!AR311</f>
        <v>0</v>
      </c>
      <c r="AS310">
        <f>'mk 001 10.3'!AS311</f>
        <v>0</v>
      </c>
      <c r="AT310">
        <f>'mk 001 10.3'!AT311</f>
        <v>0</v>
      </c>
      <c r="AU310">
        <f>'mk 001 10.3'!AU311</f>
        <v>0</v>
      </c>
      <c r="AV310">
        <f>'mk 001 10.3'!AV311</f>
        <v>0</v>
      </c>
      <c r="AW310">
        <f>'mk 001 10.3'!AW311</f>
        <v>0</v>
      </c>
      <c r="AX310">
        <f>'mk 001 10.3'!AX311</f>
        <v>0</v>
      </c>
      <c r="AY310">
        <f>'mk 001 10.3'!AY311</f>
        <v>0</v>
      </c>
      <c r="AZ310">
        <f>'mk 001 10.3'!AZ311</f>
        <v>0</v>
      </c>
      <c r="BA310" s="22">
        <f>'mk 001 10.3'!BA311</f>
        <v>0</v>
      </c>
      <c r="BB310">
        <f>'mk 001 10.3'!BB311</f>
        <v>0</v>
      </c>
      <c r="BC310">
        <f>'mk 001 10.3'!BC311</f>
        <v>0</v>
      </c>
      <c r="BD310">
        <f>'mk 001 10.3'!BD311</f>
        <v>0</v>
      </c>
      <c r="BE310">
        <f>'mk 001 10.3'!BE311</f>
        <v>0</v>
      </c>
      <c r="BF310">
        <f>'mk 001 10.3'!BF311</f>
        <v>0</v>
      </c>
      <c r="BG310">
        <f>'mk 001 10.3'!BG311</f>
        <v>0</v>
      </c>
      <c r="BH310">
        <f>'mk 001 10.3'!BH311</f>
        <v>0</v>
      </c>
      <c r="BI310">
        <f>'mk 001 10.3'!BI311</f>
        <v>0</v>
      </c>
      <c r="BJ310">
        <f>'mk 001 10.3'!BJ311</f>
        <v>0</v>
      </c>
      <c r="BK310">
        <f>'mk 001 10.3'!BK311</f>
        <v>0</v>
      </c>
      <c r="BL310">
        <f>'mk 001 10.3'!BL311</f>
        <v>0</v>
      </c>
      <c r="BM310">
        <f>'mk 001 10.3'!BM311</f>
        <v>0</v>
      </c>
      <c r="BN310">
        <f>'mk 001 10.3'!BN311</f>
        <v>0</v>
      </c>
    </row>
    <row r="311" spans="1:66" x14ac:dyDescent="0.35">
      <c r="A311">
        <f>'mk 001 10.3'!A312</f>
        <v>0</v>
      </c>
      <c r="B311">
        <f>'mk 001 10.3'!B312</f>
        <v>0</v>
      </c>
      <c r="C311" s="1">
        <f>'mk 001 10.3'!C312</f>
        <v>0</v>
      </c>
      <c r="D311" s="1">
        <f>'mk 001 10.3'!D312</f>
        <v>0</v>
      </c>
      <c r="E311">
        <f>'mk 001 10.3'!E312</f>
        <v>0</v>
      </c>
      <c r="F311">
        <f>'mk 001 10.3'!F312</f>
        <v>0</v>
      </c>
      <c r="G311">
        <f>'mk 001 10.3'!G312</f>
        <v>0</v>
      </c>
      <c r="H311">
        <f>'mk 001 10.3'!H312</f>
        <v>0</v>
      </c>
      <c r="I311">
        <f>'mk 001 10.3'!I312</f>
        <v>0</v>
      </c>
      <c r="J311">
        <f>'mk 001 10.3'!J312</f>
        <v>0</v>
      </c>
      <c r="K311">
        <f>'mk 001 10.3'!K312</f>
        <v>0</v>
      </c>
      <c r="L311">
        <f>'mk 001 10.3'!L312</f>
        <v>0</v>
      </c>
      <c r="M311">
        <f>'mk 001 10.3'!M312</f>
        <v>0</v>
      </c>
      <c r="N311">
        <f>'mk 001 10.3'!N312</f>
        <v>0</v>
      </c>
      <c r="O311">
        <f>'mk 001 10.3'!O312</f>
        <v>0</v>
      </c>
      <c r="P311">
        <f>'mk 001 10.3'!P312</f>
        <v>0</v>
      </c>
      <c r="Q311">
        <f>'mk 001 10.3'!Q312</f>
        <v>0</v>
      </c>
      <c r="R311" s="1">
        <f>'mk 001 10.3'!R312</f>
        <v>0</v>
      </c>
      <c r="S311" s="1">
        <f>'mk 001 10.3'!S312</f>
        <v>0</v>
      </c>
      <c r="T311">
        <f>'mk 001 10.3'!T312</f>
        <v>0</v>
      </c>
      <c r="U311">
        <f>'mk 001 10.3'!U312</f>
        <v>0</v>
      </c>
      <c r="V311">
        <f>'mk 001 10.3'!V312</f>
        <v>0</v>
      </c>
      <c r="W311">
        <f>'mk 001 10.3'!W312</f>
        <v>0</v>
      </c>
      <c r="X311">
        <f>'mk 001 10.3'!X312</f>
        <v>0</v>
      </c>
      <c r="Y311">
        <f t="shared" si="4"/>
        <v>0</v>
      </c>
      <c r="Z311" s="13">
        <f>IF(COUNTIFS(แปลงข้อมูล!H:H,Q311,แปลงข้อมูล!I:I,U311,แปลงข้อมูล!J:J,V311)&gt;0,SUMIFS(แปลงข้อมูล!Q:Q,แปลงข้อมูล!I:I,U311,แปลงข้อมูล!H:H,Q311,แปลงข้อมูล!J:J,V311),'mk 001 10.3'!Z312)</f>
        <v>0</v>
      </c>
      <c r="AA311">
        <f>'mk 001 10.3'!AA312</f>
        <v>0</v>
      </c>
      <c r="AB311">
        <f>'mk 001 10.3'!AB312</f>
        <v>0</v>
      </c>
      <c r="AC311">
        <f>'mk 001 10.3'!AC312</f>
        <v>0</v>
      </c>
      <c r="AD311">
        <f>'mk 001 10.3'!AD312</f>
        <v>0</v>
      </c>
      <c r="AE311">
        <f>'mk 001 10.3'!AE312</f>
        <v>0</v>
      </c>
      <c r="AF311">
        <f>'mk 001 10.3'!AF312</f>
        <v>0</v>
      </c>
      <c r="AG311">
        <f>'mk 001 10.3'!AG312</f>
        <v>0</v>
      </c>
      <c r="AH311">
        <f>'mk 001 10.3'!AH312</f>
        <v>0</v>
      </c>
      <c r="AI311">
        <f>'mk 001 10.3'!AI312</f>
        <v>0</v>
      </c>
      <c r="AJ311">
        <f>'mk 001 10.3'!AJ312</f>
        <v>0</v>
      </c>
      <c r="AK311">
        <f>'mk 001 10.3'!AK312</f>
        <v>0</v>
      </c>
      <c r="AL311">
        <f>'mk 001 10.3'!AL312</f>
        <v>0</v>
      </c>
      <c r="AM311">
        <f>'mk 001 10.3'!AM312</f>
        <v>0</v>
      </c>
      <c r="AN311">
        <f>'mk 001 10.3'!AN312</f>
        <v>0</v>
      </c>
      <c r="AO311">
        <f>'mk 001 10.3'!AO312</f>
        <v>0</v>
      </c>
      <c r="AP311">
        <f>'mk 001 10.3'!AP312</f>
        <v>0</v>
      </c>
      <c r="AQ311">
        <f>'mk 001 10.3'!AQ312</f>
        <v>0</v>
      </c>
      <c r="AR311">
        <f>'mk 001 10.3'!AR312</f>
        <v>0</v>
      </c>
      <c r="AS311">
        <f>'mk 001 10.3'!AS312</f>
        <v>0</v>
      </c>
      <c r="AT311">
        <f>'mk 001 10.3'!AT312</f>
        <v>0</v>
      </c>
      <c r="AU311">
        <f>'mk 001 10.3'!AU312</f>
        <v>0</v>
      </c>
      <c r="AV311">
        <f>'mk 001 10.3'!AV312</f>
        <v>0</v>
      </c>
      <c r="AW311">
        <f>'mk 001 10.3'!AW312</f>
        <v>0</v>
      </c>
      <c r="AX311">
        <f>'mk 001 10.3'!AX312</f>
        <v>0</v>
      </c>
      <c r="AY311">
        <f>'mk 001 10.3'!AY312</f>
        <v>0</v>
      </c>
      <c r="AZ311">
        <f>'mk 001 10.3'!AZ312</f>
        <v>0</v>
      </c>
      <c r="BA311" s="22">
        <f>'mk 001 10.3'!BA312</f>
        <v>0</v>
      </c>
      <c r="BB311">
        <f>'mk 001 10.3'!BB312</f>
        <v>0</v>
      </c>
      <c r="BC311">
        <f>'mk 001 10.3'!BC312</f>
        <v>0</v>
      </c>
      <c r="BD311">
        <f>'mk 001 10.3'!BD312</f>
        <v>0</v>
      </c>
      <c r="BE311">
        <f>'mk 001 10.3'!BE312</f>
        <v>0</v>
      </c>
      <c r="BF311">
        <f>'mk 001 10.3'!BF312</f>
        <v>0</v>
      </c>
      <c r="BG311">
        <f>'mk 001 10.3'!BG312</f>
        <v>0</v>
      </c>
      <c r="BH311">
        <f>'mk 001 10.3'!BH312</f>
        <v>0</v>
      </c>
      <c r="BI311">
        <f>'mk 001 10.3'!BI312</f>
        <v>0</v>
      </c>
      <c r="BJ311">
        <f>'mk 001 10.3'!BJ312</f>
        <v>0</v>
      </c>
      <c r="BK311">
        <f>'mk 001 10.3'!BK312</f>
        <v>0</v>
      </c>
      <c r="BL311">
        <f>'mk 001 10.3'!BL312</f>
        <v>0</v>
      </c>
      <c r="BM311">
        <f>'mk 001 10.3'!BM312</f>
        <v>0</v>
      </c>
      <c r="BN311">
        <f>'mk 001 10.3'!BN312</f>
        <v>0</v>
      </c>
    </row>
    <row r="312" spans="1:66" x14ac:dyDescent="0.35">
      <c r="A312">
        <f>'mk 001 10.3'!A313</f>
        <v>0</v>
      </c>
      <c r="B312">
        <f>'mk 001 10.3'!B313</f>
        <v>0</v>
      </c>
      <c r="C312" s="1">
        <f>'mk 001 10.3'!C313</f>
        <v>0</v>
      </c>
      <c r="D312" s="1">
        <f>'mk 001 10.3'!D313</f>
        <v>0</v>
      </c>
      <c r="E312">
        <f>'mk 001 10.3'!E313</f>
        <v>0</v>
      </c>
      <c r="F312">
        <f>'mk 001 10.3'!F313</f>
        <v>0</v>
      </c>
      <c r="G312">
        <f>'mk 001 10.3'!G313</f>
        <v>0</v>
      </c>
      <c r="H312">
        <f>'mk 001 10.3'!H313</f>
        <v>0</v>
      </c>
      <c r="I312">
        <f>'mk 001 10.3'!I313</f>
        <v>0</v>
      </c>
      <c r="J312">
        <f>'mk 001 10.3'!J313</f>
        <v>0</v>
      </c>
      <c r="K312">
        <f>'mk 001 10.3'!K313</f>
        <v>0</v>
      </c>
      <c r="L312">
        <f>'mk 001 10.3'!L313</f>
        <v>0</v>
      </c>
      <c r="M312">
        <f>'mk 001 10.3'!M313</f>
        <v>0</v>
      </c>
      <c r="N312">
        <f>'mk 001 10.3'!N313</f>
        <v>0</v>
      </c>
      <c r="O312">
        <f>'mk 001 10.3'!O313</f>
        <v>0</v>
      </c>
      <c r="P312">
        <f>'mk 001 10.3'!P313</f>
        <v>0</v>
      </c>
      <c r="Q312">
        <f>'mk 001 10.3'!Q313</f>
        <v>0</v>
      </c>
      <c r="R312" s="1">
        <f>'mk 001 10.3'!R313</f>
        <v>0</v>
      </c>
      <c r="S312" s="1">
        <f>'mk 001 10.3'!S313</f>
        <v>0</v>
      </c>
      <c r="T312">
        <f>'mk 001 10.3'!T313</f>
        <v>0</v>
      </c>
      <c r="U312">
        <f>'mk 001 10.3'!U313</f>
        <v>0</v>
      </c>
      <c r="V312">
        <f>'mk 001 10.3'!V313</f>
        <v>0</v>
      </c>
      <c r="W312">
        <f>'mk 001 10.3'!W313</f>
        <v>0</v>
      </c>
      <c r="X312">
        <f>'mk 001 10.3'!X313</f>
        <v>0</v>
      </c>
      <c r="Y312">
        <f t="shared" si="4"/>
        <v>0</v>
      </c>
      <c r="Z312" s="13">
        <f>IF(COUNTIFS(แปลงข้อมูล!H:H,Q312,แปลงข้อมูล!I:I,U312,แปลงข้อมูล!J:J,V312)&gt;0,SUMIFS(แปลงข้อมูล!Q:Q,แปลงข้อมูล!I:I,U312,แปลงข้อมูล!H:H,Q312,แปลงข้อมูล!J:J,V312),'mk 001 10.3'!Z313)</f>
        <v>0</v>
      </c>
      <c r="AA312">
        <f>'mk 001 10.3'!AA313</f>
        <v>0</v>
      </c>
      <c r="AB312">
        <f>'mk 001 10.3'!AB313</f>
        <v>0</v>
      </c>
      <c r="AC312">
        <f>'mk 001 10.3'!AC313</f>
        <v>0</v>
      </c>
      <c r="AD312">
        <f>'mk 001 10.3'!AD313</f>
        <v>0</v>
      </c>
      <c r="AE312">
        <f>'mk 001 10.3'!AE313</f>
        <v>0</v>
      </c>
      <c r="AF312">
        <f>'mk 001 10.3'!AF313</f>
        <v>0</v>
      </c>
      <c r="AG312">
        <f>'mk 001 10.3'!AG313</f>
        <v>0</v>
      </c>
      <c r="AH312">
        <f>'mk 001 10.3'!AH313</f>
        <v>0</v>
      </c>
      <c r="AI312">
        <f>'mk 001 10.3'!AI313</f>
        <v>0</v>
      </c>
      <c r="AJ312">
        <f>'mk 001 10.3'!AJ313</f>
        <v>0</v>
      </c>
      <c r="AK312">
        <f>'mk 001 10.3'!AK313</f>
        <v>0</v>
      </c>
      <c r="AL312">
        <f>'mk 001 10.3'!AL313</f>
        <v>0</v>
      </c>
      <c r="AM312">
        <f>'mk 001 10.3'!AM313</f>
        <v>0</v>
      </c>
      <c r="AN312">
        <f>'mk 001 10.3'!AN313</f>
        <v>0</v>
      </c>
      <c r="AO312">
        <f>'mk 001 10.3'!AO313</f>
        <v>0</v>
      </c>
      <c r="AP312">
        <f>'mk 001 10.3'!AP313</f>
        <v>0</v>
      </c>
      <c r="AQ312">
        <f>'mk 001 10.3'!AQ313</f>
        <v>0</v>
      </c>
      <c r="AR312">
        <f>'mk 001 10.3'!AR313</f>
        <v>0</v>
      </c>
      <c r="AS312">
        <f>'mk 001 10.3'!AS313</f>
        <v>0</v>
      </c>
      <c r="AT312">
        <f>'mk 001 10.3'!AT313</f>
        <v>0</v>
      </c>
      <c r="AU312">
        <f>'mk 001 10.3'!AU313</f>
        <v>0</v>
      </c>
      <c r="AV312">
        <f>'mk 001 10.3'!AV313</f>
        <v>0</v>
      </c>
      <c r="AW312">
        <f>'mk 001 10.3'!AW313</f>
        <v>0</v>
      </c>
      <c r="AX312">
        <f>'mk 001 10.3'!AX313</f>
        <v>0</v>
      </c>
      <c r="AY312">
        <f>'mk 001 10.3'!AY313</f>
        <v>0</v>
      </c>
      <c r="AZ312">
        <f>'mk 001 10.3'!AZ313</f>
        <v>0</v>
      </c>
      <c r="BA312" s="22">
        <f>'mk 001 10.3'!BA313</f>
        <v>0</v>
      </c>
      <c r="BB312">
        <f>'mk 001 10.3'!BB313</f>
        <v>0</v>
      </c>
      <c r="BC312">
        <f>'mk 001 10.3'!BC313</f>
        <v>0</v>
      </c>
      <c r="BD312">
        <f>'mk 001 10.3'!BD313</f>
        <v>0</v>
      </c>
      <c r="BE312">
        <f>'mk 001 10.3'!BE313</f>
        <v>0</v>
      </c>
      <c r="BF312">
        <f>'mk 001 10.3'!BF313</f>
        <v>0</v>
      </c>
      <c r="BG312">
        <f>'mk 001 10.3'!BG313</f>
        <v>0</v>
      </c>
      <c r="BH312">
        <f>'mk 001 10.3'!BH313</f>
        <v>0</v>
      </c>
      <c r="BI312">
        <f>'mk 001 10.3'!BI313</f>
        <v>0</v>
      </c>
      <c r="BJ312">
        <f>'mk 001 10.3'!BJ313</f>
        <v>0</v>
      </c>
      <c r="BK312">
        <f>'mk 001 10.3'!BK313</f>
        <v>0</v>
      </c>
      <c r="BL312">
        <f>'mk 001 10.3'!BL313</f>
        <v>0</v>
      </c>
      <c r="BM312">
        <f>'mk 001 10.3'!BM313</f>
        <v>0</v>
      </c>
      <c r="BN312">
        <f>'mk 001 10.3'!BN313</f>
        <v>0</v>
      </c>
    </row>
    <row r="313" spans="1:66" x14ac:dyDescent="0.35">
      <c r="A313">
        <f>'mk 001 10.3'!A314</f>
        <v>0</v>
      </c>
      <c r="B313">
        <f>'mk 001 10.3'!B314</f>
        <v>0</v>
      </c>
      <c r="C313" s="1">
        <f>'mk 001 10.3'!C314</f>
        <v>0</v>
      </c>
      <c r="D313" s="1">
        <f>'mk 001 10.3'!D314</f>
        <v>0</v>
      </c>
      <c r="E313">
        <f>'mk 001 10.3'!E314</f>
        <v>0</v>
      </c>
      <c r="F313">
        <f>'mk 001 10.3'!F314</f>
        <v>0</v>
      </c>
      <c r="G313">
        <f>'mk 001 10.3'!G314</f>
        <v>0</v>
      </c>
      <c r="H313">
        <f>'mk 001 10.3'!H314</f>
        <v>0</v>
      </c>
      <c r="I313">
        <f>'mk 001 10.3'!I314</f>
        <v>0</v>
      </c>
      <c r="J313">
        <f>'mk 001 10.3'!J314</f>
        <v>0</v>
      </c>
      <c r="K313">
        <f>'mk 001 10.3'!K314</f>
        <v>0</v>
      </c>
      <c r="L313">
        <f>'mk 001 10.3'!L314</f>
        <v>0</v>
      </c>
      <c r="M313">
        <f>'mk 001 10.3'!M314</f>
        <v>0</v>
      </c>
      <c r="N313">
        <f>'mk 001 10.3'!N314</f>
        <v>0</v>
      </c>
      <c r="O313">
        <f>'mk 001 10.3'!O314</f>
        <v>0</v>
      </c>
      <c r="P313">
        <f>'mk 001 10.3'!P314</f>
        <v>0</v>
      </c>
      <c r="Q313">
        <f>'mk 001 10.3'!Q314</f>
        <v>0</v>
      </c>
      <c r="R313" s="1">
        <f>'mk 001 10.3'!R314</f>
        <v>0</v>
      </c>
      <c r="S313" s="1">
        <f>'mk 001 10.3'!S314</f>
        <v>0</v>
      </c>
      <c r="T313">
        <f>'mk 001 10.3'!T314</f>
        <v>0</v>
      </c>
      <c r="U313">
        <f>'mk 001 10.3'!U314</f>
        <v>0</v>
      </c>
      <c r="V313">
        <f>'mk 001 10.3'!V314</f>
        <v>0</v>
      </c>
      <c r="W313">
        <f>'mk 001 10.3'!W314</f>
        <v>0</v>
      </c>
      <c r="X313">
        <f>'mk 001 10.3'!X314</f>
        <v>0</v>
      </c>
      <c r="Y313">
        <f t="shared" si="4"/>
        <v>0</v>
      </c>
      <c r="Z313" s="13">
        <f>IF(COUNTIFS(แปลงข้อมูล!H:H,Q313,แปลงข้อมูล!I:I,U313,แปลงข้อมูล!J:J,V313)&gt;0,SUMIFS(แปลงข้อมูล!Q:Q,แปลงข้อมูล!I:I,U313,แปลงข้อมูล!H:H,Q313,แปลงข้อมูล!J:J,V313),'mk 001 10.3'!Z314)</f>
        <v>0</v>
      </c>
      <c r="AA313">
        <f>'mk 001 10.3'!AA314</f>
        <v>0</v>
      </c>
      <c r="AB313">
        <f>'mk 001 10.3'!AB314</f>
        <v>0</v>
      </c>
      <c r="AC313">
        <f>'mk 001 10.3'!AC314</f>
        <v>0</v>
      </c>
      <c r="AD313">
        <f>'mk 001 10.3'!AD314</f>
        <v>0</v>
      </c>
      <c r="AE313">
        <f>'mk 001 10.3'!AE314</f>
        <v>0</v>
      </c>
      <c r="AF313">
        <f>'mk 001 10.3'!AF314</f>
        <v>0</v>
      </c>
      <c r="AG313">
        <f>'mk 001 10.3'!AG314</f>
        <v>0</v>
      </c>
      <c r="AH313">
        <f>'mk 001 10.3'!AH314</f>
        <v>0</v>
      </c>
      <c r="AI313">
        <f>'mk 001 10.3'!AI314</f>
        <v>0</v>
      </c>
      <c r="AJ313">
        <f>'mk 001 10.3'!AJ314</f>
        <v>0</v>
      </c>
      <c r="AK313">
        <f>'mk 001 10.3'!AK314</f>
        <v>0</v>
      </c>
      <c r="AL313">
        <f>'mk 001 10.3'!AL314</f>
        <v>0</v>
      </c>
      <c r="AM313">
        <f>'mk 001 10.3'!AM314</f>
        <v>0</v>
      </c>
      <c r="AN313">
        <f>'mk 001 10.3'!AN314</f>
        <v>0</v>
      </c>
      <c r="AO313">
        <f>'mk 001 10.3'!AO314</f>
        <v>0</v>
      </c>
      <c r="AP313">
        <f>'mk 001 10.3'!AP314</f>
        <v>0</v>
      </c>
      <c r="AQ313">
        <f>'mk 001 10.3'!AQ314</f>
        <v>0</v>
      </c>
      <c r="AR313">
        <f>'mk 001 10.3'!AR314</f>
        <v>0</v>
      </c>
      <c r="AS313">
        <f>'mk 001 10.3'!AS314</f>
        <v>0</v>
      </c>
      <c r="AT313">
        <f>'mk 001 10.3'!AT314</f>
        <v>0</v>
      </c>
      <c r="AU313">
        <f>'mk 001 10.3'!AU314</f>
        <v>0</v>
      </c>
      <c r="AV313">
        <f>'mk 001 10.3'!AV314</f>
        <v>0</v>
      </c>
      <c r="AW313">
        <f>'mk 001 10.3'!AW314</f>
        <v>0</v>
      </c>
      <c r="AX313">
        <f>'mk 001 10.3'!AX314</f>
        <v>0</v>
      </c>
      <c r="AY313">
        <f>'mk 001 10.3'!AY314</f>
        <v>0</v>
      </c>
      <c r="AZ313">
        <f>'mk 001 10.3'!AZ314</f>
        <v>0</v>
      </c>
      <c r="BA313" s="22">
        <f>'mk 001 10.3'!BA314</f>
        <v>0</v>
      </c>
      <c r="BB313">
        <f>'mk 001 10.3'!BB314</f>
        <v>0</v>
      </c>
      <c r="BC313">
        <f>'mk 001 10.3'!BC314</f>
        <v>0</v>
      </c>
      <c r="BD313">
        <f>'mk 001 10.3'!BD314</f>
        <v>0</v>
      </c>
      <c r="BE313">
        <f>'mk 001 10.3'!BE314</f>
        <v>0</v>
      </c>
      <c r="BF313">
        <f>'mk 001 10.3'!BF314</f>
        <v>0</v>
      </c>
      <c r="BG313">
        <f>'mk 001 10.3'!BG314</f>
        <v>0</v>
      </c>
      <c r="BH313">
        <f>'mk 001 10.3'!BH314</f>
        <v>0</v>
      </c>
      <c r="BI313">
        <f>'mk 001 10.3'!BI314</f>
        <v>0</v>
      </c>
      <c r="BJ313">
        <f>'mk 001 10.3'!BJ314</f>
        <v>0</v>
      </c>
      <c r="BK313">
        <f>'mk 001 10.3'!BK314</f>
        <v>0</v>
      </c>
      <c r="BL313">
        <f>'mk 001 10.3'!BL314</f>
        <v>0</v>
      </c>
      <c r="BM313">
        <f>'mk 001 10.3'!BM314</f>
        <v>0</v>
      </c>
      <c r="BN313">
        <f>'mk 001 10.3'!BN314</f>
        <v>0</v>
      </c>
    </row>
    <row r="314" spans="1:66" x14ac:dyDescent="0.35">
      <c r="A314">
        <f>'mk 001 10.3'!A315</f>
        <v>0</v>
      </c>
      <c r="B314">
        <f>'mk 001 10.3'!B315</f>
        <v>0</v>
      </c>
      <c r="C314" s="1">
        <f>'mk 001 10.3'!C315</f>
        <v>0</v>
      </c>
      <c r="D314" s="1">
        <f>'mk 001 10.3'!D315</f>
        <v>0</v>
      </c>
      <c r="E314">
        <f>'mk 001 10.3'!E315</f>
        <v>0</v>
      </c>
      <c r="F314">
        <f>'mk 001 10.3'!F315</f>
        <v>0</v>
      </c>
      <c r="G314">
        <f>'mk 001 10.3'!G315</f>
        <v>0</v>
      </c>
      <c r="H314">
        <f>'mk 001 10.3'!H315</f>
        <v>0</v>
      </c>
      <c r="I314">
        <f>'mk 001 10.3'!I315</f>
        <v>0</v>
      </c>
      <c r="J314">
        <f>'mk 001 10.3'!J315</f>
        <v>0</v>
      </c>
      <c r="K314">
        <f>'mk 001 10.3'!K315</f>
        <v>0</v>
      </c>
      <c r="L314">
        <f>'mk 001 10.3'!L315</f>
        <v>0</v>
      </c>
      <c r="M314">
        <f>'mk 001 10.3'!M315</f>
        <v>0</v>
      </c>
      <c r="N314">
        <f>'mk 001 10.3'!N315</f>
        <v>0</v>
      </c>
      <c r="O314">
        <f>'mk 001 10.3'!O315</f>
        <v>0</v>
      </c>
      <c r="P314">
        <f>'mk 001 10.3'!P315</f>
        <v>0</v>
      </c>
      <c r="Q314">
        <f>'mk 001 10.3'!Q315</f>
        <v>0</v>
      </c>
      <c r="R314" s="1">
        <f>'mk 001 10.3'!R315</f>
        <v>0</v>
      </c>
      <c r="S314" s="1">
        <f>'mk 001 10.3'!S315</f>
        <v>0</v>
      </c>
      <c r="T314">
        <f>'mk 001 10.3'!T315</f>
        <v>0</v>
      </c>
      <c r="U314">
        <f>'mk 001 10.3'!U315</f>
        <v>0</v>
      </c>
      <c r="V314">
        <f>'mk 001 10.3'!V315</f>
        <v>0</v>
      </c>
      <c r="W314">
        <f>'mk 001 10.3'!W315</f>
        <v>0</v>
      </c>
      <c r="X314">
        <f>'mk 001 10.3'!X315</f>
        <v>0</v>
      </c>
      <c r="Y314">
        <f t="shared" si="4"/>
        <v>0</v>
      </c>
      <c r="Z314" s="13">
        <f>IF(COUNTIFS(แปลงข้อมูล!H:H,Q314,แปลงข้อมูล!I:I,U314,แปลงข้อมูล!J:J,V314)&gt;0,SUMIFS(แปลงข้อมูล!Q:Q,แปลงข้อมูล!I:I,U314,แปลงข้อมูล!H:H,Q314,แปลงข้อมูล!J:J,V314),'mk 001 10.3'!Z315)</f>
        <v>0</v>
      </c>
      <c r="AA314">
        <f>'mk 001 10.3'!AA315</f>
        <v>0</v>
      </c>
      <c r="AB314">
        <f>'mk 001 10.3'!AB315</f>
        <v>0</v>
      </c>
      <c r="AC314">
        <f>'mk 001 10.3'!AC315</f>
        <v>0</v>
      </c>
      <c r="AD314">
        <f>'mk 001 10.3'!AD315</f>
        <v>0</v>
      </c>
      <c r="AE314">
        <f>'mk 001 10.3'!AE315</f>
        <v>0</v>
      </c>
      <c r="AF314">
        <f>'mk 001 10.3'!AF315</f>
        <v>0</v>
      </c>
      <c r="AG314">
        <f>'mk 001 10.3'!AG315</f>
        <v>0</v>
      </c>
      <c r="AH314">
        <f>'mk 001 10.3'!AH315</f>
        <v>0</v>
      </c>
      <c r="AI314">
        <f>'mk 001 10.3'!AI315</f>
        <v>0</v>
      </c>
      <c r="AJ314">
        <f>'mk 001 10.3'!AJ315</f>
        <v>0</v>
      </c>
      <c r="AK314">
        <f>'mk 001 10.3'!AK315</f>
        <v>0</v>
      </c>
      <c r="AL314">
        <f>'mk 001 10.3'!AL315</f>
        <v>0</v>
      </c>
      <c r="AM314">
        <f>'mk 001 10.3'!AM315</f>
        <v>0</v>
      </c>
      <c r="AN314">
        <f>'mk 001 10.3'!AN315</f>
        <v>0</v>
      </c>
      <c r="AO314">
        <f>'mk 001 10.3'!AO315</f>
        <v>0</v>
      </c>
      <c r="AP314">
        <f>'mk 001 10.3'!AP315</f>
        <v>0</v>
      </c>
      <c r="AQ314">
        <f>'mk 001 10.3'!AQ315</f>
        <v>0</v>
      </c>
      <c r="AR314">
        <f>'mk 001 10.3'!AR315</f>
        <v>0</v>
      </c>
      <c r="AS314">
        <f>'mk 001 10.3'!AS315</f>
        <v>0</v>
      </c>
      <c r="AT314">
        <f>'mk 001 10.3'!AT315</f>
        <v>0</v>
      </c>
      <c r="AU314">
        <f>'mk 001 10.3'!AU315</f>
        <v>0</v>
      </c>
      <c r="AV314">
        <f>'mk 001 10.3'!AV315</f>
        <v>0</v>
      </c>
      <c r="AW314">
        <f>'mk 001 10.3'!AW315</f>
        <v>0</v>
      </c>
      <c r="AX314">
        <f>'mk 001 10.3'!AX315</f>
        <v>0</v>
      </c>
      <c r="AY314">
        <f>'mk 001 10.3'!AY315</f>
        <v>0</v>
      </c>
      <c r="AZ314">
        <f>'mk 001 10.3'!AZ315</f>
        <v>0</v>
      </c>
      <c r="BA314" s="22">
        <f>'mk 001 10.3'!BA315</f>
        <v>0</v>
      </c>
      <c r="BB314">
        <f>'mk 001 10.3'!BB315</f>
        <v>0</v>
      </c>
      <c r="BC314">
        <f>'mk 001 10.3'!BC315</f>
        <v>0</v>
      </c>
      <c r="BD314">
        <f>'mk 001 10.3'!BD315</f>
        <v>0</v>
      </c>
      <c r="BE314">
        <f>'mk 001 10.3'!BE315</f>
        <v>0</v>
      </c>
      <c r="BF314">
        <f>'mk 001 10.3'!BF315</f>
        <v>0</v>
      </c>
      <c r="BG314">
        <f>'mk 001 10.3'!BG315</f>
        <v>0</v>
      </c>
      <c r="BH314">
        <f>'mk 001 10.3'!BH315</f>
        <v>0</v>
      </c>
      <c r="BI314">
        <f>'mk 001 10.3'!BI315</f>
        <v>0</v>
      </c>
      <c r="BJ314">
        <f>'mk 001 10.3'!BJ315</f>
        <v>0</v>
      </c>
      <c r="BK314">
        <f>'mk 001 10.3'!BK315</f>
        <v>0</v>
      </c>
      <c r="BL314">
        <f>'mk 001 10.3'!BL315</f>
        <v>0</v>
      </c>
      <c r="BM314">
        <f>'mk 001 10.3'!BM315</f>
        <v>0</v>
      </c>
      <c r="BN314">
        <f>'mk 001 10.3'!BN315</f>
        <v>0</v>
      </c>
    </row>
    <row r="315" spans="1:66" x14ac:dyDescent="0.35">
      <c r="A315">
        <f>'mk 001 10.3'!A316</f>
        <v>0</v>
      </c>
      <c r="B315">
        <f>'mk 001 10.3'!B316</f>
        <v>0</v>
      </c>
      <c r="C315" s="1">
        <f>'mk 001 10.3'!C316</f>
        <v>0</v>
      </c>
      <c r="D315" s="1">
        <f>'mk 001 10.3'!D316</f>
        <v>0</v>
      </c>
      <c r="E315">
        <f>'mk 001 10.3'!E316</f>
        <v>0</v>
      </c>
      <c r="F315">
        <f>'mk 001 10.3'!F316</f>
        <v>0</v>
      </c>
      <c r="G315">
        <f>'mk 001 10.3'!G316</f>
        <v>0</v>
      </c>
      <c r="H315">
        <f>'mk 001 10.3'!H316</f>
        <v>0</v>
      </c>
      <c r="I315">
        <f>'mk 001 10.3'!I316</f>
        <v>0</v>
      </c>
      <c r="J315">
        <f>'mk 001 10.3'!J316</f>
        <v>0</v>
      </c>
      <c r="K315">
        <f>'mk 001 10.3'!K316</f>
        <v>0</v>
      </c>
      <c r="L315">
        <f>'mk 001 10.3'!L316</f>
        <v>0</v>
      </c>
      <c r="M315">
        <f>'mk 001 10.3'!M316</f>
        <v>0</v>
      </c>
      <c r="N315">
        <f>'mk 001 10.3'!N316</f>
        <v>0</v>
      </c>
      <c r="O315">
        <f>'mk 001 10.3'!O316</f>
        <v>0</v>
      </c>
      <c r="P315">
        <f>'mk 001 10.3'!P316</f>
        <v>0</v>
      </c>
      <c r="Q315">
        <f>'mk 001 10.3'!Q316</f>
        <v>0</v>
      </c>
      <c r="R315" s="1">
        <f>'mk 001 10.3'!R316</f>
        <v>0</v>
      </c>
      <c r="S315" s="1">
        <f>'mk 001 10.3'!S316</f>
        <v>0</v>
      </c>
      <c r="T315">
        <f>'mk 001 10.3'!T316</f>
        <v>0</v>
      </c>
      <c r="U315">
        <f>'mk 001 10.3'!U316</f>
        <v>0</v>
      </c>
      <c r="V315">
        <f>'mk 001 10.3'!V316</f>
        <v>0</v>
      </c>
      <c r="W315">
        <f>'mk 001 10.3'!W316</f>
        <v>0</v>
      </c>
      <c r="X315">
        <f>'mk 001 10.3'!X316</f>
        <v>0</v>
      </c>
      <c r="Y315">
        <f t="shared" si="4"/>
        <v>0</v>
      </c>
      <c r="Z315" s="13">
        <f>IF(COUNTIFS(แปลงข้อมูล!H:H,Q315,แปลงข้อมูล!I:I,U315,แปลงข้อมูล!J:J,V315)&gt;0,SUMIFS(แปลงข้อมูล!Q:Q,แปลงข้อมูล!I:I,U315,แปลงข้อมูล!H:H,Q315,แปลงข้อมูล!J:J,V315),'mk 001 10.3'!Z316)</f>
        <v>0</v>
      </c>
      <c r="AA315">
        <f>'mk 001 10.3'!AA316</f>
        <v>0</v>
      </c>
      <c r="AB315">
        <f>'mk 001 10.3'!AB316</f>
        <v>0</v>
      </c>
      <c r="AC315">
        <f>'mk 001 10.3'!AC316</f>
        <v>0</v>
      </c>
      <c r="AD315">
        <f>'mk 001 10.3'!AD316</f>
        <v>0</v>
      </c>
      <c r="AE315">
        <f>'mk 001 10.3'!AE316</f>
        <v>0</v>
      </c>
      <c r="AF315">
        <f>'mk 001 10.3'!AF316</f>
        <v>0</v>
      </c>
      <c r="AG315">
        <f>'mk 001 10.3'!AG316</f>
        <v>0</v>
      </c>
      <c r="AH315">
        <f>'mk 001 10.3'!AH316</f>
        <v>0</v>
      </c>
      <c r="AI315">
        <f>'mk 001 10.3'!AI316</f>
        <v>0</v>
      </c>
      <c r="AJ315">
        <f>'mk 001 10.3'!AJ316</f>
        <v>0</v>
      </c>
      <c r="AK315">
        <f>'mk 001 10.3'!AK316</f>
        <v>0</v>
      </c>
      <c r="AL315">
        <f>'mk 001 10.3'!AL316</f>
        <v>0</v>
      </c>
      <c r="AM315">
        <f>'mk 001 10.3'!AM316</f>
        <v>0</v>
      </c>
      <c r="AN315">
        <f>'mk 001 10.3'!AN316</f>
        <v>0</v>
      </c>
      <c r="AO315">
        <f>'mk 001 10.3'!AO316</f>
        <v>0</v>
      </c>
      <c r="AP315">
        <f>'mk 001 10.3'!AP316</f>
        <v>0</v>
      </c>
      <c r="AQ315">
        <f>'mk 001 10.3'!AQ316</f>
        <v>0</v>
      </c>
      <c r="AR315">
        <f>'mk 001 10.3'!AR316</f>
        <v>0</v>
      </c>
      <c r="AS315">
        <f>'mk 001 10.3'!AS316</f>
        <v>0</v>
      </c>
      <c r="AT315">
        <f>'mk 001 10.3'!AT316</f>
        <v>0</v>
      </c>
      <c r="AU315">
        <f>'mk 001 10.3'!AU316</f>
        <v>0</v>
      </c>
      <c r="AV315">
        <f>'mk 001 10.3'!AV316</f>
        <v>0</v>
      </c>
      <c r="AW315">
        <f>'mk 001 10.3'!AW316</f>
        <v>0</v>
      </c>
      <c r="AX315">
        <f>'mk 001 10.3'!AX316</f>
        <v>0</v>
      </c>
      <c r="AY315">
        <f>'mk 001 10.3'!AY316</f>
        <v>0</v>
      </c>
      <c r="AZ315">
        <f>'mk 001 10.3'!AZ316</f>
        <v>0</v>
      </c>
      <c r="BA315" s="22">
        <f>'mk 001 10.3'!BA316</f>
        <v>0</v>
      </c>
      <c r="BB315">
        <f>'mk 001 10.3'!BB316</f>
        <v>0</v>
      </c>
      <c r="BC315">
        <f>'mk 001 10.3'!BC316</f>
        <v>0</v>
      </c>
      <c r="BD315">
        <f>'mk 001 10.3'!BD316</f>
        <v>0</v>
      </c>
      <c r="BE315">
        <f>'mk 001 10.3'!BE316</f>
        <v>0</v>
      </c>
      <c r="BF315">
        <f>'mk 001 10.3'!BF316</f>
        <v>0</v>
      </c>
      <c r="BG315">
        <f>'mk 001 10.3'!BG316</f>
        <v>0</v>
      </c>
      <c r="BH315">
        <f>'mk 001 10.3'!BH316</f>
        <v>0</v>
      </c>
      <c r="BI315">
        <f>'mk 001 10.3'!BI316</f>
        <v>0</v>
      </c>
      <c r="BJ315">
        <f>'mk 001 10.3'!BJ316</f>
        <v>0</v>
      </c>
      <c r="BK315">
        <f>'mk 001 10.3'!BK316</f>
        <v>0</v>
      </c>
      <c r="BL315">
        <f>'mk 001 10.3'!BL316</f>
        <v>0</v>
      </c>
      <c r="BM315">
        <f>'mk 001 10.3'!BM316</f>
        <v>0</v>
      </c>
      <c r="BN315">
        <f>'mk 001 10.3'!BN316</f>
        <v>0</v>
      </c>
    </row>
    <row r="316" spans="1:66" x14ac:dyDescent="0.35">
      <c r="A316">
        <f>'mk 001 10.3'!A317</f>
        <v>0</v>
      </c>
      <c r="B316">
        <f>'mk 001 10.3'!B317</f>
        <v>0</v>
      </c>
      <c r="C316" s="1">
        <f>'mk 001 10.3'!C317</f>
        <v>0</v>
      </c>
      <c r="D316" s="1">
        <f>'mk 001 10.3'!D317</f>
        <v>0</v>
      </c>
      <c r="E316">
        <f>'mk 001 10.3'!E317</f>
        <v>0</v>
      </c>
      <c r="F316">
        <f>'mk 001 10.3'!F317</f>
        <v>0</v>
      </c>
      <c r="G316">
        <f>'mk 001 10.3'!G317</f>
        <v>0</v>
      </c>
      <c r="H316">
        <f>'mk 001 10.3'!H317</f>
        <v>0</v>
      </c>
      <c r="I316">
        <f>'mk 001 10.3'!I317</f>
        <v>0</v>
      </c>
      <c r="J316">
        <f>'mk 001 10.3'!J317</f>
        <v>0</v>
      </c>
      <c r="K316">
        <f>'mk 001 10.3'!K317</f>
        <v>0</v>
      </c>
      <c r="L316">
        <f>'mk 001 10.3'!L317</f>
        <v>0</v>
      </c>
      <c r="M316">
        <f>'mk 001 10.3'!M317</f>
        <v>0</v>
      </c>
      <c r="N316">
        <f>'mk 001 10.3'!N317</f>
        <v>0</v>
      </c>
      <c r="O316">
        <f>'mk 001 10.3'!O317</f>
        <v>0</v>
      </c>
      <c r="P316">
        <f>'mk 001 10.3'!P317</f>
        <v>0</v>
      </c>
      <c r="Q316">
        <f>'mk 001 10.3'!Q317</f>
        <v>0</v>
      </c>
      <c r="R316" s="1">
        <f>'mk 001 10.3'!R317</f>
        <v>0</v>
      </c>
      <c r="S316" s="1">
        <f>'mk 001 10.3'!S317</f>
        <v>0</v>
      </c>
      <c r="T316">
        <f>'mk 001 10.3'!T317</f>
        <v>0</v>
      </c>
      <c r="U316">
        <f>'mk 001 10.3'!U317</f>
        <v>0</v>
      </c>
      <c r="V316">
        <f>'mk 001 10.3'!V317</f>
        <v>0</v>
      </c>
      <c r="W316">
        <f>'mk 001 10.3'!W317</f>
        <v>0</v>
      </c>
      <c r="X316">
        <f>'mk 001 10.3'!X317</f>
        <v>0</v>
      </c>
      <c r="Y316">
        <f t="shared" si="4"/>
        <v>0</v>
      </c>
      <c r="Z316" s="13">
        <f>IF(COUNTIFS(แปลงข้อมูล!H:H,Q316,แปลงข้อมูล!I:I,U316,แปลงข้อมูล!J:J,V316)&gt;0,SUMIFS(แปลงข้อมูล!Q:Q,แปลงข้อมูล!I:I,U316,แปลงข้อมูล!H:H,Q316,แปลงข้อมูล!J:J,V316),'mk 001 10.3'!Z317)</f>
        <v>0</v>
      </c>
      <c r="AA316">
        <f>'mk 001 10.3'!AA317</f>
        <v>0</v>
      </c>
      <c r="AB316">
        <f>'mk 001 10.3'!AB317</f>
        <v>0</v>
      </c>
      <c r="AC316">
        <f>'mk 001 10.3'!AC317</f>
        <v>0</v>
      </c>
      <c r="AD316">
        <f>'mk 001 10.3'!AD317</f>
        <v>0</v>
      </c>
      <c r="AE316">
        <f>'mk 001 10.3'!AE317</f>
        <v>0</v>
      </c>
      <c r="AF316">
        <f>'mk 001 10.3'!AF317</f>
        <v>0</v>
      </c>
      <c r="AG316">
        <f>'mk 001 10.3'!AG317</f>
        <v>0</v>
      </c>
      <c r="AH316">
        <f>'mk 001 10.3'!AH317</f>
        <v>0</v>
      </c>
      <c r="AI316">
        <f>'mk 001 10.3'!AI317</f>
        <v>0</v>
      </c>
      <c r="AJ316">
        <f>'mk 001 10.3'!AJ317</f>
        <v>0</v>
      </c>
      <c r="AK316">
        <f>'mk 001 10.3'!AK317</f>
        <v>0</v>
      </c>
      <c r="AL316">
        <f>'mk 001 10.3'!AL317</f>
        <v>0</v>
      </c>
      <c r="AM316">
        <f>'mk 001 10.3'!AM317</f>
        <v>0</v>
      </c>
      <c r="AN316">
        <f>'mk 001 10.3'!AN317</f>
        <v>0</v>
      </c>
      <c r="AO316">
        <f>'mk 001 10.3'!AO317</f>
        <v>0</v>
      </c>
      <c r="AP316">
        <f>'mk 001 10.3'!AP317</f>
        <v>0</v>
      </c>
      <c r="AQ316">
        <f>'mk 001 10.3'!AQ317</f>
        <v>0</v>
      </c>
      <c r="AR316">
        <f>'mk 001 10.3'!AR317</f>
        <v>0</v>
      </c>
      <c r="AS316">
        <f>'mk 001 10.3'!AS317</f>
        <v>0</v>
      </c>
      <c r="AT316">
        <f>'mk 001 10.3'!AT317</f>
        <v>0</v>
      </c>
      <c r="AU316">
        <f>'mk 001 10.3'!AU317</f>
        <v>0</v>
      </c>
      <c r="AV316">
        <f>'mk 001 10.3'!AV317</f>
        <v>0</v>
      </c>
      <c r="AW316">
        <f>'mk 001 10.3'!AW317</f>
        <v>0</v>
      </c>
      <c r="AX316">
        <f>'mk 001 10.3'!AX317</f>
        <v>0</v>
      </c>
      <c r="AY316">
        <f>'mk 001 10.3'!AY317</f>
        <v>0</v>
      </c>
      <c r="AZ316">
        <f>'mk 001 10.3'!AZ317</f>
        <v>0</v>
      </c>
      <c r="BA316" s="22">
        <f>'mk 001 10.3'!BA317</f>
        <v>0</v>
      </c>
      <c r="BB316">
        <f>'mk 001 10.3'!BB317</f>
        <v>0</v>
      </c>
      <c r="BC316">
        <f>'mk 001 10.3'!BC317</f>
        <v>0</v>
      </c>
      <c r="BD316">
        <f>'mk 001 10.3'!BD317</f>
        <v>0</v>
      </c>
      <c r="BE316">
        <f>'mk 001 10.3'!BE317</f>
        <v>0</v>
      </c>
      <c r="BF316">
        <f>'mk 001 10.3'!BF317</f>
        <v>0</v>
      </c>
      <c r="BG316">
        <f>'mk 001 10.3'!BG317</f>
        <v>0</v>
      </c>
      <c r="BH316">
        <f>'mk 001 10.3'!BH317</f>
        <v>0</v>
      </c>
      <c r="BI316">
        <f>'mk 001 10.3'!BI317</f>
        <v>0</v>
      </c>
      <c r="BJ316">
        <f>'mk 001 10.3'!BJ317</f>
        <v>0</v>
      </c>
      <c r="BK316">
        <f>'mk 001 10.3'!BK317</f>
        <v>0</v>
      </c>
      <c r="BL316">
        <f>'mk 001 10.3'!BL317</f>
        <v>0</v>
      </c>
      <c r="BM316">
        <f>'mk 001 10.3'!BM317</f>
        <v>0</v>
      </c>
      <c r="BN316">
        <f>'mk 001 10.3'!BN317</f>
        <v>0</v>
      </c>
    </row>
    <row r="317" spans="1:66" x14ac:dyDescent="0.35">
      <c r="A317">
        <f>'mk 001 10.3'!A318</f>
        <v>0</v>
      </c>
      <c r="B317">
        <f>'mk 001 10.3'!B318</f>
        <v>0</v>
      </c>
      <c r="C317" s="1">
        <f>'mk 001 10.3'!C318</f>
        <v>0</v>
      </c>
      <c r="D317" s="1">
        <f>'mk 001 10.3'!D318</f>
        <v>0</v>
      </c>
      <c r="E317">
        <f>'mk 001 10.3'!E318</f>
        <v>0</v>
      </c>
      <c r="F317">
        <f>'mk 001 10.3'!F318</f>
        <v>0</v>
      </c>
      <c r="G317">
        <f>'mk 001 10.3'!G318</f>
        <v>0</v>
      </c>
      <c r="H317">
        <f>'mk 001 10.3'!H318</f>
        <v>0</v>
      </c>
      <c r="I317">
        <f>'mk 001 10.3'!I318</f>
        <v>0</v>
      </c>
      <c r="J317">
        <f>'mk 001 10.3'!J318</f>
        <v>0</v>
      </c>
      <c r="K317">
        <f>'mk 001 10.3'!K318</f>
        <v>0</v>
      </c>
      <c r="L317">
        <f>'mk 001 10.3'!L318</f>
        <v>0</v>
      </c>
      <c r="M317">
        <f>'mk 001 10.3'!M318</f>
        <v>0</v>
      </c>
      <c r="N317">
        <f>'mk 001 10.3'!N318</f>
        <v>0</v>
      </c>
      <c r="O317">
        <f>'mk 001 10.3'!O318</f>
        <v>0</v>
      </c>
      <c r="P317">
        <f>'mk 001 10.3'!P318</f>
        <v>0</v>
      </c>
      <c r="Q317">
        <f>'mk 001 10.3'!Q318</f>
        <v>0</v>
      </c>
      <c r="R317" s="1">
        <f>'mk 001 10.3'!R318</f>
        <v>0</v>
      </c>
      <c r="S317" s="1">
        <f>'mk 001 10.3'!S318</f>
        <v>0</v>
      </c>
      <c r="T317">
        <f>'mk 001 10.3'!T318</f>
        <v>0</v>
      </c>
      <c r="U317">
        <f>'mk 001 10.3'!U318</f>
        <v>0</v>
      </c>
      <c r="V317">
        <f>'mk 001 10.3'!V318</f>
        <v>0</v>
      </c>
      <c r="W317">
        <f>'mk 001 10.3'!W318</f>
        <v>0</v>
      </c>
      <c r="X317">
        <f>'mk 001 10.3'!X318</f>
        <v>0</v>
      </c>
      <c r="Y317">
        <f t="shared" si="4"/>
        <v>0</v>
      </c>
      <c r="Z317" s="13">
        <f>IF(COUNTIFS(แปลงข้อมูล!H:H,Q317,แปลงข้อมูล!I:I,U317,แปลงข้อมูล!J:J,V317)&gt;0,SUMIFS(แปลงข้อมูล!Q:Q,แปลงข้อมูล!I:I,U317,แปลงข้อมูล!H:H,Q317,แปลงข้อมูล!J:J,V317),'mk 001 10.3'!Z318)</f>
        <v>0</v>
      </c>
      <c r="AA317">
        <f>'mk 001 10.3'!AA318</f>
        <v>0</v>
      </c>
      <c r="AB317">
        <f>'mk 001 10.3'!AB318</f>
        <v>0</v>
      </c>
      <c r="AC317">
        <f>'mk 001 10.3'!AC318</f>
        <v>0</v>
      </c>
      <c r="AD317">
        <f>'mk 001 10.3'!AD318</f>
        <v>0</v>
      </c>
      <c r="AE317">
        <f>'mk 001 10.3'!AE318</f>
        <v>0</v>
      </c>
      <c r="AF317">
        <f>'mk 001 10.3'!AF318</f>
        <v>0</v>
      </c>
      <c r="AG317">
        <f>'mk 001 10.3'!AG318</f>
        <v>0</v>
      </c>
      <c r="AH317">
        <f>'mk 001 10.3'!AH318</f>
        <v>0</v>
      </c>
      <c r="AI317">
        <f>'mk 001 10.3'!AI318</f>
        <v>0</v>
      </c>
      <c r="AJ317">
        <f>'mk 001 10.3'!AJ318</f>
        <v>0</v>
      </c>
      <c r="AK317">
        <f>'mk 001 10.3'!AK318</f>
        <v>0</v>
      </c>
      <c r="AL317">
        <f>'mk 001 10.3'!AL318</f>
        <v>0</v>
      </c>
      <c r="AM317">
        <f>'mk 001 10.3'!AM318</f>
        <v>0</v>
      </c>
      <c r="AN317">
        <f>'mk 001 10.3'!AN318</f>
        <v>0</v>
      </c>
      <c r="AO317">
        <f>'mk 001 10.3'!AO318</f>
        <v>0</v>
      </c>
      <c r="AP317">
        <f>'mk 001 10.3'!AP318</f>
        <v>0</v>
      </c>
      <c r="AQ317">
        <f>'mk 001 10.3'!AQ318</f>
        <v>0</v>
      </c>
      <c r="AR317">
        <f>'mk 001 10.3'!AR318</f>
        <v>0</v>
      </c>
      <c r="AS317">
        <f>'mk 001 10.3'!AS318</f>
        <v>0</v>
      </c>
      <c r="AT317">
        <f>'mk 001 10.3'!AT318</f>
        <v>0</v>
      </c>
      <c r="AU317">
        <f>'mk 001 10.3'!AU318</f>
        <v>0</v>
      </c>
      <c r="AV317">
        <f>'mk 001 10.3'!AV318</f>
        <v>0</v>
      </c>
      <c r="AW317">
        <f>'mk 001 10.3'!AW318</f>
        <v>0</v>
      </c>
      <c r="AX317">
        <f>'mk 001 10.3'!AX318</f>
        <v>0</v>
      </c>
      <c r="AY317">
        <f>'mk 001 10.3'!AY318</f>
        <v>0</v>
      </c>
      <c r="AZ317">
        <f>'mk 001 10.3'!AZ318</f>
        <v>0</v>
      </c>
      <c r="BA317" s="22">
        <f>'mk 001 10.3'!BA318</f>
        <v>0</v>
      </c>
      <c r="BB317">
        <f>'mk 001 10.3'!BB318</f>
        <v>0</v>
      </c>
      <c r="BC317">
        <f>'mk 001 10.3'!BC318</f>
        <v>0</v>
      </c>
      <c r="BD317">
        <f>'mk 001 10.3'!BD318</f>
        <v>0</v>
      </c>
      <c r="BE317">
        <f>'mk 001 10.3'!BE318</f>
        <v>0</v>
      </c>
      <c r="BF317">
        <f>'mk 001 10.3'!BF318</f>
        <v>0</v>
      </c>
      <c r="BG317">
        <f>'mk 001 10.3'!BG318</f>
        <v>0</v>
      </c>
      <c r="BH317">
        <f>'mk 001 10.3'!BH318</f>
        <v>0</v>
      </c>
      <c r="BI317">
        <f>'mk 001 10.3'!BI318</f>
        <v>0</v>
      </c>
      <c r="BJ317">
        <f>'mk 001 10.3'!BJ318</f>
        <v>0</v>
      </c>
      <c r="BK317">
        <f>'mk 001 10.3'!BK318</f>
        <v>0</v>
      </c>
      <c r="BL317">
        <f>'mk 001 10.3'!BL318</f>
        <v>0</v>
      </c>
      <c r="BM317">
        <f>'mk 001 10.3'!BM318</f>
        <v>0</v>
      </c>
      <c r="BN317">
        <f>'mk 001 10.3'!BN318</f>
        <v>0</v>
      </c>
    </row>
    <row r="318" spans="1:66" x14ac:dyDescent="0.35">
      <c r="A318">
        <f>'mk 001 10.3'!A319</f>
        <v>0</v>
      </c>
      <c r="B318">
        <f>'mk 001 10.3'!B319</f>
        <v>0</v>
      </c>
      <c r="C318" s="1">
        <f>'mk 001 10.3'!C319</f>
        <v>0</v>
      </c>
      <c r="D318" s="1">
        <f>'mk 001 10.3'!D319</f>
        <v>0</v>
      </c>
      <c r="E318">
        <f>'mk 001 10.3'!E319</f>
        <v>0</v>
      </c>
      <c r="F318">
        <f>'mk 001 10.3'!F319</f>
        <v>0</v>
      </c>
      <c r="G318">
        <f>'mk 001 10.3'!G319</f>
        <v>0</v>
      </c>
      <c r="H318">
        <f>'mk 001 10.3'!H319</f>
        <v>0</v>
      </c>
      <c r="I318">
        <f>'mk 001 10.3'!I319</f>
        <v>0</v>
      </c>
      <c r="J318">
        <f>'mk 001 10.3'!J319</f>
        <v>0</v>
      </c>
      <c r="K318">
        <f>'mk 001 10.3'!K319</f>
        <v>0</v>
      </c>
      <c r="L318">
        <f>'mk 001 10.3'!L319</f>
        <v>0</v>
      </c>
      <c r="M318">
        <f>'mk 001 10.3'!M319</f>
        <v>0</v>
      </c>
      <c r="N318">
        <f>'mk 001 10.3'!N319</f>
        <v>0</v>
      </c>
      <c r="O318">
        <f>'mk 001 10.3'!O319</f>
        <v>0</v>
      </c>
      <c r="P318">
        <f>'mk 001 10.3'!P319</f>
        <v>0</v>
      </c>
      <c r="Q318">
        <f>'mk 001 10.3'!Q319</f>
        <v>0</v>
      </c>
      <c r="R318" s="1">
        <f>'mk 001 10.3'!R319</f>
        <v>0</v>
      </c>
      <c r="S318" s="1">
        <f>'mk 001 10.3'!S319</f>
        <v>0</v>
      </c>
      <c r="T318">
        <f>'mk 001 10.3'!T319</f>
        <v>0</v>
      </c>
      <c r="U318">
        <f>'mk 001 10.3'!U319</f>
        <v>0</v>
      </c>
      <c r="V318">
        <f>'mk 001 10.3'!V319</f>
        <v>0</v>
      </c>
      <c r="W318">
        <f>'mk 001 10.3'!W319</f>
        <v>0</v>
      </c>
      <c r="X318">
        <f>'mk 001 10.3'!X319</f>
        <v>0</v>
      </c>
      <c r="Y318">
        <f t="shared" si="4"/>
        <v>0</v>
      </c>
      <c r="Z318" s="13">
        <f>IF(COUNTIFS(แปลงข้อมูล!H:H,Q318,แปลงข้อมูล!I:I,U318,แปลงข้อมูล!J:J,V318)&gt;0,SUMIFS(แปลงข้อมูล!Q:Q,แปลงข้อมูล!I:I,U318,แปลงข้อมูล!H:H,Q318,แปลงข้อมูล!J:J,V318),'mk 001 10.3'!Z319)</f>
        <v>0</v>
      </c>
      <c r="AA318">
        <f>'mk 001 10.3'!AA319</f>
        <v>0</v>
      </c>
      <c r="AB318">
        <f>'mk 001 10.3'!AB319</f>
        <v>0</v>
      </c>
      <c r="AC318">
        <f>'mk 001 10.3'!AC319</f>
        <v>0</v>
      </c>
      <c r="AD318">
        <f>'mk 001 10.3'!AD319</f>
        <v>0</v>
      </c>
      <c r="AE318">
        <f>'mk 001 10.3'!AE319</f>
        <v>0</v>
      </c>
      <c r="AF318">
        <f>'mk 001 10.3'!AF319</f>
        <v>0</v>
      </c>
      <c r="AG318">
        <f>'mk 001 10.3'!AG319</f>
        <v>0</v>
      </c>
      <c r="AH318">
        <f>'mk 001 10.3'!AH319</f>
        <v>0</v>
      </c>
      <c r="AI318">
        <f>'mk 001 10.3'!AI319</f>
        <v>0</v>
      </c>
      <c r="AJ318">
        <f>'mk 001 10.3'!AJ319</f>
        <v>0</v>
      </c>
      <c r="AK318">
        <f>'mk 001 10.3'!AK319</f>
        <v>0</v>
      </c>
      <c r="AL318">
        <f>'mk 001 10.3'!AL319</f>
        <v>0</v>
      </c>
      <c r="AM318">
        <f>'mk 001 10.3'!AM319</f>
        <v>0</v>
      </c>
      <c r="AN318">
        <f>'mk 001 10.3'!AN319</f>
        <v>0</v>
      </c>
      <c r="AO318">
        <f>'mk 001 10.3'!AO319</f>
        <v>0</v>
      </c>
      <c r="AP318">
        <f>'mk 001 10.3'!AP319</f>
        <v>0</v>
      </c>
      <c r="AQ318">
        <f>'mk 001 10.3'!AQ319</f>
        <v>0</v>
      </c>
      <c r="AR318">
        <f>'mk 001 10.3'!AR319</f>
        <v>0</v>
      </c>
      <c r="AS318">
        <f>'mk 001 10.3'!AS319</f>
        <v>0</v>
      </c>
      <c r="AT318">
        <f>'mk 001 10.3'!AT319</f>
        <v>0</v>
      </c>
      <c r="AU318">
        <f>'mk 001 10.3'!AU319</f>
        <v>0</v>
      </c>
      <c r="AV318">
        <f>'mk 001 10.3'!AV319</f>
        <v>0</v>
      </c>
      <c r="AW318">
        <f>'mk 001 10.3'!AW319</f>
        <v>0</v>
      </c>
      <c r="AX318">
        <f>'mk 001 10.3'!AX319</f>
        <v>0</v>
      </c>
      <c r="AY318">
        <f>'mk 001 10.3'!AY319</f>
        <v>0</v>
      </c>
      <c r="AZ318">
        <f>'mk 001 10.3'!AZ319</f>
        <v>0</v>
      </c>
      <c r="BA318" s="22">
        <f>'mk 001 10.3'!BA319</f>
        <v>0</v>
      </c>
      <c r="BB318">
        <f>'mk 001 10.3'!BB319</f>
        <v>0</v>
      </c>
      <c r="BC318">
        <f>'mk 001 10.3'!BC319</f>
        <v>0</v>
      </c>
      <c r="BD318">
        <f>'mk 001 10.3'!BD319</f>
        <v>0</v>
      </c>
      <c r="BE318">
        <f>'mk 001 10.3'!BE319</f>
        <v>0</v>
      </c>
      <c r="BF318">
        <f>'mk 001 10.3'!BF319</f>
        <v>0</v>
      </c>
      <c r="BG318">
        <f>'mk 001 10.3'!BG319</f>
        <v>0</v>
      </c>
      <c r="BH318">
        <f>'mk 001 10.3'!BH319</f>
        <v>0</v>
      </c>
      <c r="BI318">
        <f>'mk 001 10.3'!BI319</f>
        <v>0</v>
      </c>
      <c r="BJ318">
        <f>'mk 001 10.3'!BJ319</f>
        <v>0</v>
      </c>
      <c r="BK318">
        <f>'mk 001 10.3'!BK319</f>
        <v>0</v>
      </c>
      <c r="BL318">
        <f>'mk 001 10.3'!BL319</f>
        <v>0</v>
      </c>
      <c r="BM318">
        <f>'mk 001 10.3'!BM319</f>
        <v>0</v>
      </c>
      <c r="BN318">
        <f>'mk 001 10.3'!BN319</f>
        <v>0</v>
      </c>
    </row>
    <row r="319" spans="1:66" x14ac:dyDescent="0.35">
      <c r="A319">
        <f>'mk 001 10.3'!A320</f>
        <v>0</v>
      </c>
      <c r="B319">
        <f>'mk 001 10.3'!B320</f>
        <v>0</v>
      </c>
      <c r="C319" s="1">
        <f>'mk 001 10.3'!C320</f>
        <v>0</v>
      </c>
      <c r="D319" s="1">
        <f>'mk 001 10.3'!D320</f>
        <v>0</v>
      </c>
      <c r="E319">
        <f>'mk 001 10.3'!E320</f>
        <v>0</v>
      </c>
      <c r="F319">
        <f>'mk 001 10.3'!F320</f>
        <v>0</v>
      </c>
      <c r="G319">
        <f>'mk 001 10.3'!G320</f>
        <v>0</v>
      </c>
      <c r="H319">
        <f>'mk 001 10.3'!H320</f>
        <v>0</v>
      </c>
      <c r="I319">
        <f>'mk 001 10.3'!I320</f>
        <v>0</v>
      </c>
      <c r="J319">
        <f>'mk 001 10.3'!J320</f>
        <v>0</v>
      </c>
      <c r="K319">
        <f>'mk 001 10.3'!K320</f>
        <v>0</v>
      </c>
      <c r="L319">
        <f>'mk 001 10.3'!L320</f>
        <v>0</v>
      </c>
      <c r="M319">
        <f>'mk 001 10.3'!M320</f>
        <v>0</v>
      </c>
      <c r="N319">
        <f>'mk 001 10.3'!N320</f>
        <v>0</v>
      </c>
      <c r="O319">
        <f>'mk 001 10.3'!O320</f>
        <v>0</v>
      </c>
      <c r="P319">
        <f>'mk 001 10.3'!P320</f>
        <v>0</v>
      </c>
      <c r="Q319">
        <f>'mk 001 10.3'!Q320</f>
        <v>0</v>
      </c>
      <c r="R319" s="1">
        <f>'mk 001 10.3'!R320</f>
        <v>0</v>
      </c>
      <c r="S319" s="1">
        <f>'mk 001 10.3'!S320</f>
        <v>0</v>
      </c>
      <c r="T319">
        <f>'mk 001 10.3'!T320</f>
        <v>0</v>
      </c>
      <c r="U319">
        <f>'mk 001 10.3'!U320</f>
        <v>0</v>
      </c>
      <c r="V319">
        <f>'mk 001 10.3'!V320</f>
        <v>0</v>
      </c>
      <c r="W319">
        <f>'mk 001 10.3'!W320</f>
        <v>0</v>
      </c>
      <c r="X319">
        <f>'mk 001 10.3'!X320</f>
        <v>0</v>
      </c>
      <c r="Y319">
        <f t="shared" si="4"/>
        <v>0</v>
      </c>
      <c r="Z319" s="13">
        <f>IF(COUNTIFS(แปลงข้อมูล!H:H,Q319,แปลงข้อมูล!I:I,U319,แปลงข้อมูล!J:J,V319)&gt;0,SUMIFS(แปลงข้อมูล!Q:Q,แปลงข้อมูล!I:I,U319,แปลงข้อมูล!H:H,Q319,แปลงข้อมูล!J:J,V319),'mk 001 10.3'!Z320)</f>
        <v>0</v>
      </c>
      <c r="AA319">
        <f>'mk 001 10.3'!AA320</f>
        <v>0</v>
      </c>
      <c r="AB319">
        <f>'mk 001 10.3'!AB320</f>
        <v>0</v>
      </c>
      <c r="AC319">
        <f>'mk 001 10.3'!AC320</f>
        <v>0</v>
      </c>
      <c r="AD319">
        <f>'mk 001 10.3'!AD320</f>
        <v>0</v>
      </c>
      <c r="AE319">
        <f>'mk 001 10.3'!AE320</f>
        <v>0</v>
      </c>
      <c r="AF319">
        <f>'mk 001 10.3'!AF320</f>
        <v>0</v>
      </c>
      <c r="AG319">
        <f>'mk 001 10.3'!AG320</f>
        <v>0</v>
      </c>
      <c r="AH319">
        <f>'mk 001 10.3'!AH320</f>
        <v>0</v>
      </c>
      <c r="AI319">
        <f>'mk 001 10.3'!AI320</f>
        <v>0</v>
      </c>
      <c r="AJ319">
        <f>'mk 001 10.3'!AJ320</f>
        <v>0</v>
      </c>
      <c r="AK319">
        <f>'mk 001 10.3'!AK320</f>
        <v>0</v>
      </c>
      <c r="AL319">
        <f>'mk 001 10.3'!AL320</f>
        <v>0</v>
      </c>
      <c r="AM319">
        <f>'mk 001 10.3'!AM320</f>
        <v>0</v>
      </c>
      <c r="AN319">
        <f>'mk 001 10.3'!AN320</f>
        <v>0</v>
      </c>
      <c r="AO319">
        <f>'mk 001 10.3'!AO320</f>
        <v>0</v>
      </c>
      <c r="AP319">
        <f>'mk 001 10.3'!AP320</f>
        <v>0</v>
      </c>
      <c r="AQ319">
        <f>'mk 001 10.3'!AQ320</f>
        <v>0</v>
      </c>
      <c r="AR319">
        <f>'mk 001 10.3'!AR320</f>
        <v>0</v>
      </c>
      <c r="AS319">
        <f>'mk 001 10.3'!AS320</f>
        <v>0</v>
      </c>
      <c r="AT319">
        <f>'mk 001 10.3'!AT320</f>
        <v>0</v>
      </c>
      <c r="AU319">
        <f>'mk 001 10.3'!AU320</f>
        <v>0</v>
      </c>
      <c r="AV319">
        <f>'mk 001 10.3'!AV320</f>
        <v>0</v>
      </c>
      <c r="AW319">
        <f>'mk 001 10.3'!AW320</f>
        <v>0</v>
      </c>
      <c r="AX319">
        <f>'mk 001 10.3'!AX320</f>
        <v>0</v>
      </c>
      <c r="AY319">
        <f>'mk 001 10.3'!AY320</f>
        <v>0</v>
      </c>
      <c r="AZ319">
        <f>'mk 001 10.3'!AZ320</f>
        <v>0</v>
      </c>
      <c r="BA319" s="22">
        <f>'mk 001 10.3'!BA320</f>
        <v>0</v>
      </c>
      <c r="BB319">
        <f>'mk 001 10.3'!BB320</f>
        <v>0</v>
      </c>
      <c r="BC319">
        <f>'mk 001 10.3'!BC320</f>
        <v>0</v>
      </c>
      <c r="BD319">
        <f>'mk 001 10.3'!BD320</f>
        <v>0</v>
      </c>
      <c r="BE319">
        <f>'mk 001 10.3'!BE320</f>
        <v>0</v>
      </c>
      <c r="BF319">
        <f>'mk 001 10.3'!BF320</f>
        <v>0</v>
      </c>
      <c r="BG319">
        <f>'mk 001 10.3'!BG320</f>
        <v>0</v>
      </c>
      <c r="BH319">
        <f>'mk 001 10.3'!BH320</f>
        <v>0</v>
      </c>
      <c r="BI319">
        <f>'mk 001 10.3'!BI320</f>
        <v>0</v>
      </c>
      <c r="BJ319">
        <f>'mk 001 10.3'!BJ320</f>
        <v>0</v>
      </c>
      <c r="BK319">
        <f>'mk 001 10.3'!BK320</f>
        <v>0</v>
      </c>
      <c r="BL319">
        <f>'mk 001 10.3'!BL320</f>
        <v>0</v>
      </c>
      <c r="BM319">
        <f>'mk 001 10.3'!BM320</f>
        <v>0</v>
      </c>
      <c r="BN319">
        <f>'mk 001 10.3'!BN320</f>
        <v>0</v>
      </c>
    </row>
    <row r="320" spans="1:66" x14ac:dyDescent="0.35">
      <c r="A320">
        <f>'mk 001 10.3'!A321</f>
        <v>0</v>
      </c>
      <c r="B320">
        <f>'mk 001 10.3'!B321</f>
        <v>0</v>
      </c>
      <c r="C320" s="1">
        <f>'mk 001 10.3'!C321</f>
        <v>0</v>
      </c>
      <c r="D320" s="1">
        <f>'mk 001 10.3'!D321</f>
        <v>0</v>
      </c>
      <c r="E320">
        <f>'mk 001 10.3'!E321</f>
        <v>0</v>
      </c>
      <c r="F320">
        <f>'mk 001 10.3'!F321</f>
        <v>0</v>
      </c>
      <c r="G320">
        <f>'mk 001 10.3'!G321</f>
        <v>0</v>
      </c>
      <c r="H320">
        <f>'mk 001 10.3'!H321</f>
        <v>0</v>
      </c>
      <c r="I320">
        <f>'mk 001 10.3'!I321</f>
        <v>0</v>
      </c>
      <c r="J320">
        <f>'mk 001 10.3'!J321</f>
        <v>0</v>
      </c>
      <c r="K320">
        <f>'mk 001 10.3'!K321</f>
        <v>0</v>
      </c>
      <c r="L320">
        <f>'mk 001 10.3'!L321</f>
        <v>0</v>
      </c>
      <c r="M320">
        <f>'mk 001 10.3'!M321</f>
        <v>0</v>
      </c>
      <c r="N320">
        <f>'mk 001 10.3'!N321</f>
        <v>0</v>
      </c>
      <c r="O320">
        <f>'mk 001 10.3'!O321</f>
        <v>0</v>
      </c>
      <c r="P320">
        <f>'mk 001 10.3'!P321</f>
        <v>0</v>
      </c>
      <c r="Q320">
        <f>'mk 001 10.3'!Q321</f>
        <v>0</v>
      </c>
      <c r="R320" s="1">
        <f>'mk 001 10.3'!R321</f>
        <v>0</v>
      </c>
      <c r="S320" s="1">
        <f>'mk 001 10.3'!S321</f>
        <v>0</v>
      </c>
      <c r="T320">
        <f>'mk 001 10.3'!T321</f>
        <v>0</v>
      </c>
      <c r="U320">
        <f>'mk 001 10.3'!U321</f>
        <v>0</v>
      </c>
      <c r="V320">
        <f>'mk 001 10.3'!V321</f>
        <v>0</v>
      </c>
      <c r="W320">
        <f>'mk 001 10.3'!W321</f>
        <v>0</v>
      </c>
      <c r="X320">
        <f>'mk 001 10.3'!X321</f>
        <v>0</v>
      </c>
      <c r="Y320">
        <f t="shared" si="4"/>
        <v>0</v>
      </c>
      <c r="Z320" s="13">
        <f>IF(COUNTIFS(แปลงข้อมูล!H:H,Q320,แปลงข้อมูล!I:I,U320,แปลงข้อมูล!J:J,V320)&gt;0,SUMIFS(แปลงข้อมูล!Q:Q,แปลงข้อมูล!I:I,U320,แปลงข้อมูล!H:H,Q320,แปลงข้อมูล!J:J,V320),'mk 001 10.3'!Z321)</f>
        <v>0</v>
      </c>
      <c r="AA320">
        <f>'mk 001 10.3'!AA321</f>
        <v>0</v>
      </c>
      <c r="AB320">
        <f>'mk 001 10.3'!AB321</f>
        <v>0</v>
      </c>
      <c r="AC320">
        <f>'mk 001 10.3'!AC321</f>
        <v>0</v>
      </c>
      <c r="AD320">
        <f>'mk 001 10.3'!AD321</f>
        <v>0</v>
      </c>
      <c r="AE320">
        <f>'mk 001 10.3'!AE321</f>
        <v>0</v>
      </c>
      <c r="AF320">
        <f>'mk 001 10.3'!AF321</f>
        <v>0</v>
      </c>
      <c r="AG320">
        <f>'mk 001 10.3'!AG321</f>
        <v>0</v>
      </c>
      <c r="AH320">
        <f>'mk 001 10.3'!AH321</f>
        <v>0</v>
      </c>
      <c r="AI320">
        <f>'mk 001 10.3'!AI321</f>
        <v>0</v>
      </c>
      <c r="AJ320">
        <f>'mk 001 10.3'!AJ321</f>
        <v>0</v>
      </c>
      <c r="AK320">
        <f>'mk 001 10.3'!AK321</f>
        <v>0</v>
      </c>
      <c r="AL320">
        <f>'mk 001 10.3'!AL321</f>
        <v>0</v>
      </c>
      <c r="AM320">
        <f>'mk 001 10.3'!AM321</f>
        <v>0</v>
      </c>
      <c r="AN320">
        <f>'mk 001 10.3'!AN321</f>
        <v>0</v>
      </c>
      <c r="AO320">
        <f>'mk 001 10.3'!AO321</f>
        <v>0</v>
      </c>
      <c r="AP320">
        <f>'mk 001 10.3'!AP321</f>
        <v>0</v>
      </c>
      <c r="AQ320">
        <f>'mk 001 10.3'!AQ321</f>
        <v>0</v>
      </c>
      <c r="AR320">
        <f>'mk 001 10.3'!AR321</f>
        <v>0</v>
      </c>
      <c r="AS320">
        <f>'mk 001 10.3'!AS321</f>
        <v>0</v>
      </c>
      <c r="AT320">
        <f>'mk 001 10.3'!AT321</f>
        <v>0</v>
      </c>
      <c r="AU320">
        <f>'mk 001 10.3'!AU321</f>
        <v>0</v>
      </c>
      <c r="AV320">
        <f>'mk 001 10.3'!AV321</f>
        <v>0</v>
      </c>
      <c r="AW320">
        <f>'mk 001 10.3'!AW321</f>
        <v>0</v>
      </c>
      <c r="AX320">
        <f>'mk 001 10.3'!AX321</f>
        <v>0</v>
      </c>
      <c r="AY320">
        <f>'mk 001 10.3'!AY321</f>
        <v>0</v>
      </c>
      <c r="AZ320">
        <f>'mk 001 10.3'!AZ321</f>
        <v>0</v>
      </c>
      <c r="BA320" s="22">
        <f>'mk 001 10.3'!BA321</f>
        <v>0</v>
      </c>
      <c r="BB320">
        <f>'mk 001 10.3'!BB321</f>
        <v>0</v>
      </c>
      <c r="BC320">
        <f>'mk 001 10.3'!BC321</f>
        <v>0</v>
      </c>
      <c r="BD320">
        <f>'mk 001 10.3'!BD321</f>
        <v>0</v>
      </c>
      <c r="BE320">
        <f>'mk 001 10.3'!BE321</f>
        <v>0</v>
      </c>
      <c r="BF320">
        <f>'mk 001 10.3'!BF321</f>
        <v>0</v>
      </c>
      <c r="BG320">
        <f>'mk 001 10.3'!BG321</f>
        <v>0</v>
      </c>
      <c r="BH320">
        <f>'mk 001 10.3'!BH321</f>
        <v>0</v>
      </c>
      <c r="BI320">
        <f>'mk 001 10.3'!BI321</f>
        <v>0</v>
      </c>
      <c r="BJ320">
        <f>'mk 001 10.3'!BJ321</f>
        <v>0</v>
      </c>
      <c r="BK320">
        <f>'mk 001 10.3'!BK321</f>
        <v>0</v>
      </c>
      <c r="BL320">
        <f>'mk 001 10.3'!BL321</f>
        <v>0</v>
      </c>
      <c r="BM320">
        <f>'mk 001 10.3'!BM321</f>
        <v>0</v>
      </c>
      <c r="BN320">
        <f>'mk 001 10.3'!BN321</f>
        <v>0</v>
      </c>
    </row>
    <row r="321" spans="1:66" x14ac:dyDescent="0.35">
      <c r="A321">
        <f>'mk 001 10.3'!A322</f>
        <v>0</v>
      </c>
      <c r="B321">
        <f>'mk 001 10.3'!B322</f>
        <v>0</v>
      </c>
      <c r="C321" s="1">
        <f>'mk 001 10.3'!C322</f>
        <v>0</v>
      </c>
      <c r="D321" s="1">
        <f>'mk 001 10.3'!D322</f>
        <v>0</v>
      </c>
      <c r="E321">
        <f>'mk 001 10.3'!E322</f>
        <v>0</v>
      </c>
      <c r="F321">
        <f>'mk 001 10.3'!F322</f>
        <v>0</v>
      </c>
      <c r="G321">
        <f>'mk 001 10.3'!G322</f>
        <v>0</v>
      </c>
      <c r="H321">
        <f>'mk 001 10.3'!H322</f>
        <v>0</v>
      </c>
      <c r="I321">
        <f>'mk 001 10.3'!I322</f>
        <v>0</v>
      </c>
      <c r="J321">
        <f>'mk 001 10.3'!J322</f>
        <v>0</v>
      </c>
      <c r="K321">
        <f>'mk 001 10.3'!K322</f>
        <v>0</v>
      </c>
      <c r="L321">
        <f>'mk 001 10.3'!L322</f>
        <v>0</v>
      </c>
      <c r="M321">
        <f>'mk 001 10.3'!M322</f>
        <v>0</v>
      </c>
      <c r="N321">
        <f>'mk 001 10.3'!N322</f>
        <v>0</v>
      </c>
      <c r="O321">
        <f>'mk 001 10.3'!O322</f>
        <v>0</v>
      </c>
      <c r="P321">
        <f>'mk 001 10.3'!P322</f>
        <v>0</v>
      </c>
      <c r="Q321">
        <f>'mk 001 10.3'!Q322</f>
        <v>0</v>
      </c>
      <c r="R321" s="1">
        <f>'mk 001 10.3'!R322</f>
        <v>0</v>
      </c>
      <c r="S321" s="1">
        <f>'mk 001 10.3'!S322</f>
        <v>0</v>
      </c>
      <c r="T321">
        <f>'mk 001 10.3'!T322</f>
        <v>0</v>
      </c>
      <c r="U321">
        <f>'mk 001 10.3'!U322</f>
        <v>0</v>
      </c>
      <c r="V321">
        <f>'mk 001 10.3'!V322</f>
        <v>0</v>
      </c>
      <c r="W321">
        <f>'mk 001 10.3'!W322</f>
        <v>0</v>
      </c>
      <c r="X321">
        <f>'mk 001 10.3'!X322</f>
        <v>0</v>
      </c>
      <c r="Y321">
        <f t="shared" si="4"/>
        <v>0</v>
      </c>
      <c r="Z321" s="13">
        <f>IF(COUNTIFS(แปลงข้อมูล!H:H,Q321,แปลงข้อมูล!I:I,U321,แปลงข้อมูล!J:J,V321)&gt;0,SUMIFS(แปลงข้อมูล!Q:Q,แปลงข้อมูล!I:I,U321,แปลงข้อมูล!H:H,Q321,แปลงข้อมูล!J:J,V321),'mk 001 10.3'!Z322)</f>
        <v>0</v>
      </c>
      <c r="AA321">
        <f>'mk 001 10.3'!AA322</f>
        <v>0</v>
      </c>
      <c r="AB321">
        <f>'mk 001 10.3'!AB322</f>
        <v>0</v>
      </c>
      <c r="AC321">
        <f>'mk 001 10.3'!AC322</f>
        <v>0</v>
      </c>
      <c r="AD321">
        <f>'mk 001 10.3'!AD322</f>
        <v>0</v>
      </c>
      <c r="AE321">
        <f>'mk 001 10.3'!AE322</f>
        <v>0</v>
      </c>
      <c r="AF321">
        <f>'mk 001 10.3'!AF322</f>
        <v>0</v>
      </c>
      <c r="AG321">
        <f>'mk 001 10.3'!AG322</f>
        <v>0</v>
      </c>
      <c r="AH321">
        <f>'mk 001 10.3'!AH322</f>
        <v>0</v>
      </c>
      <c r="AI321">
        <f>'mk 001 10.3'!AI322</f>
        <v>0</v>
      </c>
      <c r="AJ321">
        <f>'mk 001 10.3'!AJ322</f>
        <v>0</v>
      </c>
      <c r="AK321">
        <f>'mk 001 10.3'!AK322</f>
        <v>0</v>
      </c>
      <c r="AL321">
        <f>'mk 001 10.3'!AL322</f>
        <v>0</v>
      </c>
      <c r="AM321">
        <f>'mk 001 10.3'!AM322</f>
        <v>0</v>
      </c>
      <c r="AN321">
        <f>'mk 001 10.3'!AN322</f>
        <v>0</v>
      </c>
      <c r="AO321">
        <f>'mk 001 10.3'!AO322</f>
        <v>0</v>
      </c>
      <c r="AP321">
        <f>'mk 001 10.3'!AP322</f>
        <v>0</v>
      </c>
      <c r="AQ321">
        <f>'mk 001 10.3'!AQ322</f>
        <v>0</v>
      </c>
      <c r="AR321">
        <f>'mk 001 10.3'!AR322</f>
        <v>0</v>
      </c>
      <c r="AS321">
        <f>'mk 001 10.3'!AS322</f>
        <v>0</v>
      </c>
      <c r="AT321">
        <f>'mk 001 10.3'!AT322</f>
        <v>0</v>
      </c>
      <c r="AU321">
        <f>'mk 001 10.3'!AU322</f>
        <v>0</v>
      </c>
      <c r="AV321">
        <f>'mk 001 10.3'!AV322</f>
        <v>0</v>
      </c>
      <c r="AW321">
        <f>'mk 001 10.3'!AW322</f>
        <v>0</v>
      </c>
      <c r="AX321">
        <f>'mk 001 10.3'!AX322</f>
        <v>0</v>
      </c>
      <c r="AY321">
        <f>'mk 001 10.3'!AY322</f>
        <v>0</v>
      </c>
      <c r="AZ321">
        <f>'mk 001 10.3'!AZ322</f>
        <v>0</v>
      </c>
      <c r="BA321" s="22">
        <f>'mk 001 10.3'!BA322</f>
        <v>0</v>
      </c>
      <c r="BB321">
        <f>'mk 001 10.3'!BB322</f>
        <v>0</v>
      </c>
      <c r="BC321">
        <f>'mk 001 10.3'!BC322</f>
        <v>0</v>
      </c>
      <c r="BD321">
        <f>'mk 001 10.3'!BD322</f>
        <v>0</v>
      </c>
      <c r="BE321">
        <f>'mk 001 10.3'!BE322</f>
        <v>0</v>
      </c>
      <c r="BF321">
        <f>'mk 001 10.3'!BF322</f>
        <v>0</v>
      </c>
      <c r="BG321">
        <f>'mk 001 10.3'!BG322</f>
        <v>0</v>
      </c>
      <c r="BH321">
        <f>'mk 001 10.3'!BH322</f>
        <v>0</v>
      </c>
      <c r="BI321">
        <f>'mk 001 10.3'!BI322</f>
        <v>0</v>
      </c>
      <c r="BJ321">
        <f>'mk 001 10.3'!BJ322</f>
        <v>0</v>
      </c>
      <c r="BK321">
        <f>'mk 001 10.3'!BK322</f>
        <v>0</v>
      </c>
      <c r="BL321">
        <f>'mk 001 10.3'!BL322</f>
        <v>0</v>
      </c>
      <c r="BM321">
        <f>'mk 001 10.3'!BM322</f>
        <v>0</v>
      </c>
      <c r="BN321">
        <f>'mk 001 10.3'!BN322</f>
        <v>0</v>
      </c>
    </row>
    <row r="322" spans="1:66" x14ac:dyDescent="0.35">
      <c r="A322">
        <f>'mk 001 10.3'!A323</f>
        <v>0</v>
      </c>
      <c r="B322">
        <f>'mk 001 10.3'!B323</f>
        <v>0</v>
      </c>
      <c r="C322" s="1">
        <f>'mk 001 10.3'!C323</f>
        <v>0</v>
      </c>
      <c r="D322" s="1">
        <f>'mk 001 10.3'!D323</f>
        <v>0</v>
      </c>
      <c r="E322">
        <f>'mk 001 10.3'!E323</f>
        <v>0</v>
      </c>
      <c r="F322">
        <f>'mk 001 10.3'!F323</f>
        <v>0</v>
      </c>
      <c r="G322">
        <f>'mk 001 10.3'!G323</f>
        <v>0</v>
      </c>
      <c r="H322">
        <f>'mk 001 10.3'!H323</f>
        <v>0</v>
      </c>
      <c r="I322">
        <f>'mk 001 10.3'!I323</f>
        <v>0</v>
      </c>
      <c r="J322">
        <f>'mk 001 10.3'!J323</f>
        <v>0</v>
      </c>
      <c r="K322">
        <f>'mk 001 10.3'!K323</f>
        <v>0</v>
      </c>
      <c r="L322">
        <f>'mk 001 10.3'!L323</f>
        <v>0</v>
      </c>
      <c r="M322">
        <f>'mk 001 10.3'!M323</f>
        <v>0</v>
      </c>
      <c r="N322">
        <f>'mk 001 10.3'!N323</f>
        <v>0</v>
      </c>
      <c r="O322">
        <f>'mk 001 10.3'!O323</f>
        <v>0</v>
      </c>
      <c r="P322">
        <f>'mk 001 10.3'!P323</f>
        <v>0</v>
      </c>
      <c r="Q322">
        <f>'mk 001 10.3'!Q323</f>
        <v>0</v>
      </c>
      <c r="R322" s="1">
        <f>'mk 001 10.3'!R323</f>
        <v>0</v>
      </c>
      <c r="S322" s="1">
        <f>'mk 001 10.3'!S323</f>
        <v>0</v>
      </c>
      <c r="T322">
        <f>'mk 001 10.3'!T323</f>
        <v>0</v>
      </c>
      <c r="U322">
        <f>'mk 001 10.3'!U323</f>
        <v>0</v>
      </c>
      <c r="V322">
        <f>'mk 001 10.3'!V323</f>
        <v>0</v>
      </c>
      <c r="W322">
        <f>'mk 001 10.3'!W323</f>
        <v>0</v>
      </c>
      <c r="X322">
        <f>'mk 001 10.3'!X323</f>
        <v>0</v>
      </c>
      <c r="Y322">
        <f t="shared" si="4"/>
        <v>0</v>
      </c>
      <c r="Z322" s="13">
        <f>IF(COUNTIFS(แปลงข้อมูล!H:H,Q322,แปลงข้อมูล!I:I,U322,แปลงข้อมูล!J:J,V322)&gt;0,SUMIFS(แปลงข้อมูล!Q:Q,แปลงข้อมูล!I:I,U322,แปลงข้อมูล!H:H,Q322,แปลงข้อมูล!J:J,V322),'mk 001 10.3'!Z323)</f>
        <v>0</v>
      </c>
      <c r="AA322">
        <f>'mk 001 10.3'!AA323</f>
        <v>0</v>
      </c>
      <c r="AB322">
        <f>'mk 001 10.3'!AB323</f>
        <v>0</v>
      </c>
      <c r="AC322">
        <f>'mk 001 10.3'!AC323</f>
        <v>0</v>
      </c>
      <c r="AD322">
        <f>'mk 001 10.3'!AD323</f>
        <v>0</v>
      </c>
      <c r="AE322">
        <f>'mk 001 10.3'!AE323</f>
        <v>0</v>
      </c>
      <c r="AF322">
        <f>'mk 001 10.3'!AF323</f>
        <v>0</v>
      </c>
      <c r="AG322">
        <f>'mk 001 10.3'!AG323</f>
        <v>0</v>
      </c>
      <c r="AH322">
        <f>'mk 001 10.3'!AH323</f>
        <v>0</v>
      </c>
      <c r="AI322">
        <f>'mk 001 10.3'!AI323</f>
        <v>0</v>
      </c>
      <c r="AJ322">
        <f>'mk 001 10.3'!AJ323</f>
        <v>0</v>
      </c>
      <c r="AK322">
        <f>'mk 001 10.3'!AK323</f>
        <v>0</v>
      </c>
      <c r="AL322">
        <f>'mk 001 10.3'!AL323</f>
        <v>0</v>
      </c>
      <c r="AM322">
        <f>'mk 001 10.3'!AM323</f>
        <v>0</v>
      </c>
      <c r="AN322">
        <f>'mk 001 10.3'!AN323</f>
        <v>0</v>
      </c>
      <c r="AO322">
        <f>'mk 001 10.3'!AO323</f>
        <v>0</v>
      </c>
      <c r="AP322">
        <f>'mk 001 10.3'!AP323</f>
        <v>0</v>
      </c>
      <c r="AQ322">
        <f>'mk 001 10.3'!AQ323</f>
        <v>0</v>
      </c>
      <c r="AR322">
        <f>'mk 001 10.3'!AR323</f>
        <v>0</v>
      </c>
      <c r="AS322">
        <f>'mk 001 10.3'!AS323</f>
        <v>0</v>
      </c>
      <c r="AT322">
        <f>'mk 001 10.3'!AT323</f>
        <v>0</v>
      </c>
      <c r="AU322">
        <f>'mk 001 10.3'!AU323</f>
        <v>0</v>
      </c>
      <c r="AV322">
        <f>'mk 001 10.3'!AV323</f>
        <v>0</v>
      </c>
      <c r="AW322">
        <f>'mk 001 10.3'!AW323</f>
        <v>0</v>
      </c>
      <c r="AX322">
        <f>'mk 001 10.3'!AX323</f>
        <v>0</v>
      </c>
      <c r="AY322">
        <f>'mk 001 10.3'!AY323</f>
        <v>0</v>
      </c>
      <c r="AZ322">
        <f>'mk 001 10.3'!AZ323</f>
        <v>0</v>
      </c>
      <c r="BA322" s="22">
        <f>'mk 001 10.3'!BA323</f>
        <v>0</v>
      </c>
      <c r="BB322">
        <f>'mk 001 10.3'!BB323</f>
        <v>0</v>
      </c>
      <c r="BC322">
        <f>'mk 001 10.3'!BC323</f>
        <v>0</v>
      </c>
      <c r="BD322">
        <f>'mk 001 10.3'!BD323</f>
        <v>0</v>
      </c>
      <c r="BE322">
        <f>'mk 001 10.3'!BE323</f>
        <v>0</v>
      </c>
      <c r="BF322">
        <f>'mk 001 10.3'!BF323</f>
        <v>0</v>
      </c>
      <c r="BG322">
        <f>'mk 001 10.3'!BG323</f>
        <v>0</v>
      </c>
      <c r="BH322">
        <f>'mk 001 10.3'!BH323</f>
        <v>0</v>
      </c>
      <c r="BI322">
        <f>'mk 001 10.3'!BI323</f>
        <v>0</v>
      </c>
      <c r="BJ322">
        <f>'mk 001 10.3'!BJ323</f>
        <v>0</v>
      </c>
      <c r="BK322">
        <f>'mk 001 10.3'!BK323</f>
        <v>0</v>
      </c>
      <c r="BL322">
        <f>'mk 001 10.3'!BL323</f>
        <v>0</v>
      </c>
      <c r="BM322">
        <f>'mk 001 10.3'!BM323</f>
        <v>0</v>
      </c>
      <c r="BN322">
        <f>'mk 001 10.3'!BN323</f>
        <v>0</v>
      </c>
    </row>
    <row r="323" spans="1:66" x14ac:dyDescent="0.35">
      <c r="A323">
        <f>'mk 001 10.3'!A324</f>
        <v>0</v>
      </c>
      <c r="B323">
        <f>'mk 001 10.3'!B324</f>
        <v>0</v>
      </c>
      <c r="C323" s="1">
        <f>'mk 001 10.3'!C324</f>
        <v>0</v>
      </c>
      <c r="D323" s="1">
        <f>'mk 001 10.3'!D324</f>
        <v>0</v>
      </c>
      <c r="E323">
        <f>'mk 001 10.3'!E324</f>
        <v>0</v>
      </c>
      <c r="F323">
        <f>'mk 001 10.3'!F324</f>
        <v>0</v>
      </c>
      <c r="G323">
        <f>'mk 001 10.3'!G324</f>
        <v>0</v>
      </c>
      <c r="H323">
        <f>'mk 001 10.3'!H324</f>
        <v>0</v>
      </c>
      <c r="I323">
        <f>'mk 001 10.3'!I324</f>
        <v>0</v>
      </c>
      <c r="J323">
        <f>'mk 001 10.3'!J324</f>
        <v>0</v>
      </c>
      <c r="K323">
        <f>'mk 001 10.3'!K324</f>
        <v>0</v>
      </c>
      <c r="L323">
        <f>'mk 001 10.3'!L324</f>
        <v>0</v>
      </c>
      <c r="M323">
        <f>'mk 001 10.3'!M324</f>
        <v>0</v>
      </c>
      <c r="N323">
        <f>'mk 001 10.3'!N324</f>
        <v>0</v>
      </c>
      <c r="O323">
        <f>'mk 001 10.3'!O324</f>
        <v>0</v>
      </c>
      <c r="P323">
        <f>'mk 001 10.3'!P324</f>
        <v>0</v>
      </c>
      <c r="Q323">
        <f>'mk 001 10.3'!Q324</f>
        <v>0</v>
      </c>
      <c r="R323" s="1">
        <f>'mk 001 10.3'!R324</f>
        <v>0</v>
      </c>
      <c r="S323" s="1">
        <f>'mk 001 10.3'!S324</f>
        <v>0</v>
      </c>
      <c r="T323">
        <f>'mk 001 10.3'!T324</f>
        <v>0</v>
      </c>
      <c r="U323">
        <f>'mk 001 10.3'!U324</f>
        <v>0</v>
      </c>
      <c r="V323">
        <f>'mk 001 10.3'!V324</f>
        <v>0</v>
      </c>
      <c r="W323">
        <f>'mk 001 10.3'!W324</f>
        <v>0</v>
      </c>
      <c r="X323">
        <f>'mk 001 10.3'!X324</f>
        <v>0</v>
      </c>
      <c r="Y323">
        <f t="shared" ref="Y323:Y386" si="5">IFERROR(W323*Z323/X323,0)</f>
        <v>0</v>
      </c>
      <c r="Z323" s="13">
        <f>IF(COUNTIFS(แปลงข้อมูล!H:H,Q323,แปลงข้อมูล!I:I,U323,แปลงข้อมูล!J:J,V323)&gt;0,SUMIFS(แปลงข้อมูล!Q:Q,แปลงข้อมูล!I:I,U323,แปลงข้อมูล!H:H,Q323,แปลงข้อมูล!J:J,V323),'mk 001 10.3'!Z324)</f>
        <v>0</v>
      </c>
      <c r="AA323">
        <f>'mk 001 10.3'!AA324</f>
        <v>0</v>
      </c>
      <c r="AB323">
        <f>'mk 001 10.3'!AB324</f>
        <v>0</v>
      </c>
      <c r="AC323">
        <f>'mk 001 10.3'!AC324</f>
        <v>0</v>
      </c>
      <c r="AD323">
        <f>'mk 001 10.3'!AD324</f>
        <v>0</v>
      </c>
      <c r="AE323">
        <f>'mk 001 10.3'!AE324</f>
        <v>0</v>
      </c>
      <c r="AF323">
        <f>'mk 001 10.3'!AF324</f>
        <v>0</v>
      </c>
      <c r="AG323">
        <f>'mk 001 10.3'!AG324</f>
        <v>0</v>
      </c>
      <c r="AH323">
        <f>'mk 001 10.3'!AH324</f>
        <v>0</v>
      </c>
      <c r="AI323">
        <f>'mk 001 10.3'!AI324</f>
        <v>0</v>
      </c>
      <c r="AJ323">
        <f>'mk 001 10.3'!AJ324</f>
        <v>0</v>
      </c>
      <c r="AK323">
        <f>'mk 001 10.3'!AK324</f>
        <v>0</v>
      </c>
      <c r="AL323">
        <f>'mk 001 10.3'!AL324</f>
        <v>0</v>
      </c>
      <c r="AM323">
        <f>'mk 001 10.3'!AM324</f>
        <v>0</v>
      </c>
      <c r="AN323">
        <f>'mk 001 10.3'!AN324</f>
        <v>0</v>
      </c>
      <c r="AO323">
        <f>'mk 001 10.3'!AO324</f>
        <v>0</v>
      </c>
      <c r="AP323">
        <f>'mk 001 10.3'!AP324</f>
        <v>0</v>
      </c>
      <c r="AQ323">
        <f>'mk 001 10.3'!AQ324</f>
        <v>0</v>
      </c>
      <c r="AR323">
        <f>'mk 001 10.3'!AR324</f>
        <v>0</v>
      </c>
      <c r="AS323">
        <f>'mk 001 10.3'!AS324</f>
        <v>0</v>
      </c>
      <c r="AT323">
        <f>'mk 001 10.3'!AT324</f>
        <v>0</v>
      </c>
      <c r="AU323">
        <f>'mk 001 10.3'!AU324</f>
        <v>0</v>
      </c>
      <c r="AV323">
        <f>'mk 001 10.3'!AV324</f>
        <v>0</v>
      </c>
      <c r="AW323">
        <f>'mk 001 10.3'!AW324</f>
        <v>0</v>
      </c>
      <c r="AX323">
        <f>'mk 001 10.3'!AX324</f>
        <v>0</v>
      </c>
      <c r="AY323">
        <f>'mk 001 10.3'!AY324</f>
        <v>0</v>
      </c>
      <c r="AZ323">
        <f>'mk 001 10.3'!AZ324</f>
        <v>0</v>
      </c>
      <c r="BA323" s="22">
        <f>'mk 001 10.3'!BA324</f>
        <v>0</v>
      </c>
      <c r="BB323">
        <f>'mk 001 10.3'!BB324</f>
        <v>0</v>
      </c>
      <c r="BC323">
        <f>'mk 001 10.3'!BC324</f>
        <v>0</v>
      </c>
      <c r="BD323">
        <f>'mk 001 10.3'!BD324</f>
        <v>0</v>
      </c>
      <c r="BE323">
        <f>'mk 001 10.3'!BE324</f>
        <v>0</v>
      </c>
      <c r="BF323">
        <f>'mk 001 10.3'!BF324</f>
        <v>0</v>
      </c>
      <c r="BG323">
        <f>'mk 001 10.3'!BG324</f>
        <v>0</v>
      </c>
      <c r="BH323">
        <f>'mk 001 10.3'!BH324</f>
        <v>0</v>
      </c>
      <c r="BI323">
        <f>'mk 001 10.3'!BI324</f>
        <v>0</v>
      </c>
      <c r="BJ323">
        <f>'mk 001 10.3'!BJ324</f>
        <v>0</v>
      </c>
      <c r="BK323">
        <f>'mk 001 10.3'!BK324</f>
        <v>0</v>
      </c>
      <c r="BL323">
        <f>'mk 001 10.3'!BL324</f>
        <v>0</v>
      </c>
      <c r="BM323">
        <f>'mk 001 10.3'!BM324</f>
        <v>0</v>
      </c>
      <c r="BN323">
        <f>'mk 001 10.3'!BN324</f>
        <v>0</v>
      </c>
    </row>
    <row r="324" spans="1:66" x14ac:dyDescent="0.35">
      <c r="A324">
        <f>'mk 001 10.3'!A325</f>
        <v>0</v>
      </c>
      <c r="B324">
        <f>'mk 001 10.3'!B325</f>
        <v>0</v>
      </c>
      <c r="C324" s="1">
        <f>'mk 001 10.3'!C325</f>
        <v>0</v>
      </c>
      <c r="D324" s="1">
        <f>'mk 001 10.3'!D325</f>
        <v>0</v>
      </c>
      <c r="E324">
        <f>'mk 001 10.3'!E325</f>
        <v>0</v>
      </c>
      <c r="F324">
        <f>'mk 001 10.3'!F325</f>
        <v>0</v>
      </c>
      <c r="G324">
        <f>'mk 001 10.3'!G325</f>
        <v>0</v>
      </c>
      <c r="H324">
        <f>'mk 001 10.3'!H325</f>
        <v>0</v>
      </c>
      <c r="I324">
        <f>'mk 001 10.3'!I325</f>
        <v>0</v>
      </c>
      <c r="J324">
        <f>'mk 001 10.3'!J325</f>
        <v>0</v>
      </c>
      <c r="K324">
        <f>'mk 001 10.3'!K325</f>
        <v>0</v>
      </c>
      <c r="L324">
        <f>'mk 001 10.3'!L325</f>
        <v>0</v>
      </c>
      <c r="M324">
        <f>'mk 001 10.3'!M325</f>
        <v>0</v>
      </c>
      <c r="N324">
        <f>'mk 001 10.3'!N325</f>
        <v>0</v>
      </c>
      <c r="O324">
        <f>'mk 001 10.3'!O325</f>
        <v>0</v>
      </c>
      <c r="P324">
        <f>'mk 001 10.3'!P325</f>
        <v>0</v>
      </c>
      <c r="Q324">
        <f>'mk 001 10.3'!Q325</f>
        <v>0</v>
      </c>
      <c r="R324" s="1">
        <f>'mk 001 10.3'!R325</f>
        <v>0</v>
      </c>
      <c r="S324" s="1">
        <f>'mk 001 10.3'!S325</f>
        <v>0</v>
      </c>
      <c r="T324">
        <f>'mk 001 10.3'!T325</f>
        <v>0</v>
      </c>
      <c r="U324">
        <f>'mk 001 10.3'!U325</f>
        <v>0</v>
      </c>
      <c r="V324">
        <f>'mk 001 10.3'!V325</f>
        <v>0</v>
      </c>
      <c r="W324">
        <f>'mk 001 10.3'!W325</f>
        <v>0</v>
      </c>
      <c r="X324">
        <f>'mk 001 10.3'!X325</f>
        <v>0</v>
      </c>
      <c r="Y324">
        <f t="shared" si="5"/>
        <v>0</v>
      </c>
      <c r="Z324" s="13">
        <f>IF(COUNTIFS(แปลงข้อมูล!H:H,Q324,แปลงข้อมูล!I:I,U324,แปลงข้อมูล!J:J,V324)&gt;0,SUMIFS(แปลงข้อมูล!Q:Q,แปลงข้อมูล!I:I,U324,แปลงข้อมูล!H:H,Q324,แปลงข้อมูล!J:J,V324),'mk 001 10.3'!Z325)</f>
        <v>0</v>
      </c>
      <c r="AA324">
        <f>'mk 001 10.3'!AA325</f>
        <v>0</v>
      </c>
      <c r="AB324">
        <f>'mk 001 10.3'!AB325</f>
        <v>0</v>
      </c>
      <c r="AC324">
        <f>'mk 001 10.3'!AC325</f>
        <v>0</v>
      </c>
      <c r="AD324">
        <f>'mk 001 10.3'!AD325</f>
        <v>0</v>
      </c>
      <c r="AE324">
        <f>'mk 001 10.3'!AE325</f>
        <v>0</v>
      </c>
      <c r="AF324">
        <f>'mk 001 10.3'!AF325</f>
        <v>0</v>
      </c>
      <c r="AG324">
        <f>'mk 001 10.3'!AG325</f>
        <v>0</v>
      </c>
      <c r="AH324">
        <f>'mk 001 10.3'!AH325</f>
        <v>0</v>
      </c>
      <c r="AI324">
        <f>'mk 001 10.3'!AI325</f>
        <v>0</v>
      </c>
      <c r="AJ324">
        <f>'mk 001 10.3'!AJ325</f>
        <v>0</v>
      </c>
      <c r="AK324">
        <f>'mk 001 10.3'!AK325</f>
        <v>0</v>
      </c>
      <c r="AL324">
        <f>'mk 001 10.3'!AL325</f>
        <v>0</v>
      </c>
      <c r="AM324">
        <f>'mk 001 10.3'!AM325</f>
        <v>0</v>
      </c>
      <c r="AN324">
        <f>'mk 001 10.3'!AN325</f>
        <v>0</v>
      </c>
      <c r="AO324">
        <f>'mk 001 10.3'!AO325</f>
        <v>0</v>
      </c>
      <c r="AP324">
        <f>'mk 001 10.3'!AP325</f>
        <v>0</v>
      </c>
      <c r="AQ324">
        <f>'mk 001 10.3'!AQ325</f>
        <v>0</v>
      </c>
      <c r="AR324">
        <f>'mk 001 10.3'!AR325</f>
        <v>0</v>
      </c>
      <c r="AS324">
        <f>'mk 001 10.3'!AS325</f>
        <v>0</v>
      </c>
      <c r="AT324">
        <f>'mk 001 10.3'!AT325</f>
        <v>0</v>
      </c>
      <c r="AU324">
        <f>'mk 001 10.3'!AU325</f>
        <v>0</v>
      </c>
      <c r="AV324">
        <f>'mk 001 10.3'!AV325</f>
        <v>0</v>
      </c>
      <c r="AW324">
        <f>'mk 001 10.3'!AW325</f>
        <v>0</v>
      </c>
      <c r="AX324">
        <f>'mk 001 10.3'!AX325</f>
        <v>0</v>
      </c>
      <c r="AY324">
        <f>'mk 001 10.3'!AY325</f>
        <v>0</v>
      </c>
      <c r="AZ324">
        <f>'mk 001 10.3'!AZ325</f>
        <v>0</v>
      </c>
      <c r="BA324" s="22">
        <f>'mk 001 10.3'!BA325</f>
        <v>0</v>
      </c>
      <c r="BB324">
        <f>'mk 001 10.3'!BB325</f>
        <v>0</v>
      </c>
      <c r="BC324">
        <f>'mk 001 10.3'!BC325</f>
        <v>0</v>
      </c>
      <c r="BD324">
        <f>'mk 001 10.3'!BD325</f>
        <v>0</v>
      </c>
      <c r="BE324">
        <f>'mk 001 10.3'!BE325</f>
        <v>0</v>
      </c>
      <c r="BF324">
        <f>'mk 001 10.3'!BF325</f>
        <v>0</v>
      </c>
      <c r="BG324">
        <f>'mk 001 10.3'!BG325</f>
        <v>0</v>
      </c>
      <c r="BH324">
        <f>'mk 001 10.3'!BH325</f>
        <v>0</v>
      </c>
      <c r="BI324">
        <f>'mk 001 10.3'!BI325</f>
        <v>0</v>
      </c>
      <c r="BJ324">
        <f>'mk 001 10.3'!BJ325</f>
        <v>0</v>
      </c>
      <c r="BK324">
        <f>'mk 001 10.3'!BK325</f>
        <v>0</v>
      </c>
      <c r="BL324">
        <f>'mk 001 10.3'!BL325</f>
        <v>0</v>
      </c>
      <c r="BM324">
        <f>'mk 001 10.3'!BM325</f>
        <v>0</v>
      </c>
      <c r="BN324">
        <f>'mk 001 10.3'!BN325</f>
        <v>0</v>
      </c>
    </row>
    <row r="325" spans="1:66" x14ac:dyDescent="0.35">
      <c r="A325">
        <f>'mk 001 10.3'!A326</f>
        <v>0</v>
      </c>
      <c r="B325">
        <f>'mk 001 10.3'!B326</f>
        <v>0</v>
      </c>
      <c r="C325" s="1">
        <f>'mk 001 10.3'!C326</f>
        <v>0</v>
      </c>
      <c r="D325" s="1">
        <f>'mk 001 10.3'!D326</f>
        <v>0</v>
      </c>
      <c r="E325">
        <f>'mk 001 10.3'!E326</f>
        <v>0</v>
      </c>
      <c r="F325">
        <f>'mk 001 10.3'!F326</f>
        <v>0</v>
      </c>
      <c r="G325">
        <f>'mk 001 10.3'!G326</f>
        <v>0</v>
      </c>
      <c r="H325">
        <f>'mk 001 10.3'!H326</f>
        <v>0</v>
      </c>
      <c r="I325">
        <f>'mk 001 10.3'!I326</f>
        <v>0</v>
      </c>
      <c r="J325">
        <f>'mk 001 10.3'!J326</f>
        <v>0</v>
      </c>
      <c r="K325">
        <f>'mk 001 10.3'!K326</f>
        <v>0</v>
      </c>
      <c r="L325">
        <f>'mk 001 10.3'!L326</f>
        <v>0</v>
      </c>
      <c r="M325">
        <f>'mk 001 10.3'!M326</f>
        <v>0</v>
      </c>
      <c r="N325">
        <f>'mk 001 10.3'!N326</f>
        <v>0</v>
      </c>
      <c r="O325">
        <f>'mk 001 10.3'!O326</f>
        <v>0</v>
      </c>
      <c r="P325">
        <f>'mk 001 10.3'!P326</f>
        <v>0</v>
      </c>
      <c r="Q325">
        <f>'mk 001 10.3'!Q326</f>
        <v>0</v>
      </c>
      <c r="R325" s="1">
        <f>'mk 001 10.3'!R326</f>
        <v>0</v>
      </c>
      <c r="S325" s="1">
        <f>'mk 001 10.3'!S326</f>
        <v>0</v>
      </c>
      <c r="T325">
        <f>'mk 001 10.3'!T326</f>
        <v>0</v>
      </c>
      <c r="U325">
        <f>'mk 001 10.3'!U326</f>
        <v>0</v>
      </c>
      <c r="V325">
        <f>'mk 001 10.3'!V326</f>
        <v>0</v>
      </c>
      <c r="W325">
        <f>'mk 001 10.3'!W326</f>
        <v>0</v>
      </c>
      <c r="X325">
        <f>'mk 001 10.3'!X326</f>
        <v>0</v>
      </c>
      <c r="Y325">
        <f t="shared" si="5"/>
        <v>0</v>
      </c>
      <c r="Z325" s="13">
        <f>IF(COUNTIFS(แปลงข้อมูล!H:H,Q325,แปลงข้อมูล!I:I,U325,แปลงข้อมูล!J:J,V325)&gt;0,SUMIFS(แปลงข้อมูล!Q:Q,แปลงข้อมูล!I:I,U325,แปลงข้อมูล!H:H,Q325,แปลงข้อมูล!J:J,V325),'mk 001 10.3'!Z326)</f>
        <v>0</v>
      </c>
      <c r="AA325">
        <f>'mk 001 10.3'!AA326</f>
        <v>0</v>
      </c>
      <c r="AB325">
        <f>'mk 001 10.3'!AB326</f>
        <v>0</v>
      </c>
      <c r="AC325">
        <f>'mk 001 10.3'!AC326</f>
        <v>0</v>
      </c>
      <c r="AD325">
        <f>'mk 001 10.3'!AD326</f>
        <v>0</v>
      </c>
      <c r="AE325">
        <f>'mk 001 10.3'!AE326</f>
        <v>0</v>
      </c>
      <c r="AF325">
        <f>'mk 001 10.3'!AF326</f>
        <v>0</v>
      </c>
      <c r="AG325">
        <f>'mk 001 10.3'!AG326</f>
        <v>0</v>
      </c>
      <c r="AH325">
        <f>'mk 001 10.3'!AH326</f>
        <v>0</v>
      </c>
      <c r="AI325">
        <f>'mk 001 10.3'!AI326</f>
        <v>0</v>
      </c>
      <c r="AJ325">
        <f>'mk 001 10.3'!AJ326</f>
        <v>0</v>
      </c>
      <c r="AK325">
        <f>'mk 001 10.3'!AK326</f>
        <v>0</v>
      </c>
      <c r="AL325">
        <f>'mk 001 10.3'!AL326</f>
        <v>0</v>
      </c>
      <c r="AM325">
        <f>'mk 001 10.3'!AM326</f>
        <v>0</v>
      </c>
      <c r="AN325">
        <f>'mk 001 10.3'!AN326</f>
        <v>0</v>
      </c>
      <c r="AO325">
        <f>'mk 001 10.3'!AO326</f>
        <v>0</v>
      </c>
      <c r="AP325">
        <f>'mk 001 10.3'!AP326</f>
        <v>0</v>
      </c>
      <c r="AQ325">
        <f>'mk 001 10.3'!AQ326</f>
        <v>0</v>
      </c>
      <c r="AR325">
        <f>'mk 001 10.3'!AR326</f>
        <v>0</v>
      </c>
      <c r="AS325">
        <f>'mk 001 10.3'!AS326</f>
        <v>0</v>
      </c>
      <c r="AT325">
        <f>'mk 001 10.3'!AT326</f>
        <v>0</v>
      </c>
      <c r="AU325">
        <f>'mk 001 10.3'!AU326</f>
        <v>0</v>
      </c>
      <c r="AV325">
        <f>'mk 001 10.3'!AV326</f>
        <v>0</v>
      </c>
      <c r="AW325">
        <f>'mk 001 10.3'!AW326</f>
        <v>0</v>
      </c>
      <c r="AX325">
        <f>'mk 001 10.3'!AX326</f>
        <v>0</v>
      </c>
      <c r="AY325">
        <f>'mk 001 10.3'!AY326</f>
        <v>0</v>
      </c>
      <c r="AZ325">
        <f>'mk 001 10.3'!AZ326</f>
        <v>0</v>
      </c>
      <c r="BA325" s="22">
        <f>'mk 001 10.3'!BA326</f>
        <v>0</v>
      </c>
      <c r="BB325">
        <f>'mk 001 10.3'!BB326</f>
        <v>0</v>
      </c>
      <c r="BC325">
        <f>'mk 001 10.3'!BC326</f>
        <v>0</v>
      </c>
      <c r="BD325">
        <f>'mk 001 10.3'!BD326</f>
        <v>0</v>
      </c>
      <c r="BE325">
        <f>'mk 001 10.3'!BE326</f>
        <v>0</v>
      </c>
      <c r="BF325">
        <f>'mk 001 10.3'!BF326</f>
        <v>0</v>
      </c>
      <c r="BG325">
        <f>'mk 001 10.3'!BG326</f>
        <v>0</v>
      </c>
      <c r="BH325">
        <f>'mk 001 10.3'!BH326</f>
        <v>0</v>
      </c>
      <c r="BI325">
        <f>'mk 001 10.3'!BI326</f>
        <v>0</v>
      </c>
      <c r="BJ325">
        <f>'mk 001 10.3'!BJ326</f>
        <v>0</v>
      </c>
      <c r="BK325">
        <f>'mk 001 10.3'!BK326</f>
        <v>0</v>
      </c>
      <c r="BL325">
        <f>'mk 001 10.3'!BL326</f>
        <v>0</v>
      </c>
      <c r="BM325">
        <f>'mk 001 10.3'!BM326</f>
        <v>0</v>
      </c>
      <c r="BN325">
        <f>'mk 001 10.3'!BN326</f>
        <v>0</v>
      </c>
    </row>
    <row r="326" spans="1:66" x14ac:dyDescent="0.35">
      <c r="A326">
        <f>'mk 001 10.3'!A327</f>
        <v>0</v>
      </c>
      <c r="B326">
        <f>'mk 001 10.3'!B327</f>
        <v>0</v>
      </c>
      <c r="C326" s="1">
        <f>'mk 001 10.3'!C327</f>
        <v>0</v>
      </c>
      <c r="D326" s="1">
        <f>'mk 001 10.3'!D327</f>
        <v>0</v>
      </c>
      <c r="E326">
        <f>'mk 001 10.3'!E327</f>
        <v>0</v>
      </c>
      <c r="F326">
        <f>'mk 001 10.3'!F327</f>
        <v>0</v>
      </c>
      <c r="G326">
        <f>'mk 001 10.3'!G327</f>
        <v>0</v>
      </c>
      <c r="H326">
        <f>'mk 001 10.3'!H327</f>
        <v>0</v>
      </c>
      <c r="I326">
        <f>'mk 001 10.3'!I327</f>
        <v>0</v>
      </c>
      <c r="J326">
        <f>'mk 001 10.3'!J327</f>
        <v>0</v>
      </c>
      <c r="K326">
        <f>'mk 001 10.3'!K327</f>
        <v>0</v>
      </c>
      <c r="L326">
        <f>'mk 001 10.3'!L327</f>
        <v>0</v>
      </c>
      <c r="M326">
        <f>'mk 001 10.3'!M327</f>
        <v>0</v>
      </c>
      <c r="N326">
        <f>'mk 001 10.3'!N327</f>
        <v>0</v>
      </c>
      <c r="O326">
        <f>'mk 001 10.3'!O327</f>
        <v>0</v>
      </c>
      <c r="P326">
        <f>'mk 001 10.3'!P327</f>
        <v>0</v>
      </c>
      <c r="Q326">
        <f>'mk 001 10.3'!Q327</f>
        <v>0</v>
      </c>
      <c r="R326" s="1">
        <f>'mk 001 10.3'!R327</f>
        <v>0</v>
      </c>
      <c r="S326" s="1">
        <f>'mk 001 10.3'!S327</f>
        <v>0</v>
      </c>
      <c r="T326">
        <f>'mk 001 10.3'!T327</f>
        <v>0</v>
      </c>
      <c r="U326">
        <f>'mk 001 10.3'!U327</f>
        <v>0</v>
      </c>
      <c r="V326">
        <f>'mk 001 10.3'!V327</f>
        <v>0</v>
      </c>
      <c r="W326">
        <f>'mk 001 10.3'!W327</f>
        <v>0</v>
      </c>
      <c r="X326">
        <f>'mk 001 10.3'!X327</f>
        <v>0</v>
      </c>
      <c r="Y326">
        <f t="shared" si="5"/>
        <v>0</v>
      </c>
      <c r="Z326" s="13">
        <f>IF(COUNTIFS(แปลงข้อมูล!H:H,Q326,แปลงข้อมูล!I:I,U326,แปลงข้อมูล!J:J,V326)&gt;0,SUMIFS(แปลงข้อมูล!Q:Q,แปลงข้อมูล!I:I,U326,แปลงข้อมูล!H:H,Q326,แปลงข้อมูล!J:J,V326),'mk 001 10.3'!Z327)</f>
        <v>0</v>
      </c>
      <c r="AA326">
        <f>'mk 001 10.3'!AA327</f>
        <v>0</v>
      </c>
      <c r="AB326">
        <f>'mk 001 10.3'!AB327</f>
        <v>0</v>
      </c>
      <c r="AC326">
        <f>'mk 001 10.3'!AC327</f>
        <v>0</v>
      </c>
      <c r="AD326">
        <f>'mk 001 10.3'!AD327</f>
        <v>0</v>
      </c>
      <c r="AE326">
        <f>'mk 001 10.3'!AE327</f>
        <v>0</v>
      </c>
      <c r="AF326">
        <f>'mk 001 10.3'!AF327</f>
        <v>0</v>
      </c>
      <c r="AG326">
        <f>'mk 001 10.3'!AG327</f>
        <v>0</v>
      </c>
      <c r="AH326">
        <f>'mk 001 10.3'!AH327</f>
        <v>0</v>
      </c>
      <c r="AI326">
        <f>'mk 001 10.3'!AI327</f>
        <v>0</v>
      </c>
      <c r="AJ326">
        <f>'mk 001 10.3'!AJ327</f>
        <v>0</v>
      </c>
      <c r="AK326">
        <f>'mk 001 10.3'!AK327</f>
        <v>0</v>
      </c>
      <c r="AL326">
        <f>'mk 001 10.3'!AL327</f>
        <v>0</v>
      </c>
      <c r="AM326">
        <f>'mk 001 10.3'!AM327</f>
        <v>0</v>
      </c>
      <c r="AN326">
        <f>'mk 001 10.3'!AN327</f>
        <v>0</v>
      </c>
      <c r="AO326">
        <f>'mk 001 10.3'!AO327</f>
        <v>0</v>
      </c>
      <c r="AP326">
        <f>'mk 001 10.3'!AP327</f>
        <v>0</v>
      </c>
      <c r="AQ326">
        <f>'mk 001 10.3'!AQ327</f>
        <v>0</v>
      </c>
      <c r="AR326">
        <f>'mk 001 10.3'!AR327</f>
        <v>0</v>
      </c>
      <c r="AS326">
        <f>'mk 001 10.3'!AS327</f>
        <v>0</v>
      </c>
      <c r="AT326">
        <f>'mk 001 10.3'!AT327</f>
        <v>0</v>
      </c>
      <c r="AU326">
        <f>'mk 001 10.3'!AU327</f>
        <v>0</v>
      </c>
      <c r="AV326">
        <f>'mk 001 10.3'!AV327</f>
        <v>0</v>
      </c>
      <c r="AW326">
        <f>'mk 001 10.3'!AW327</f>
        <v>0</v>
      </c>
      <c r="AX326">
        <f>'mk 001 10.3'!AX327</f>
        <v>0</v>
      </c>
      <c r="AY326">
        <f>'mk 001 10.3'!AY327</f>
        <v>0</v>
      </c>
      <c r="AZ326">
        <f>'mk 001 10.3'!AZ327</f>
        <v>0</v>
      </c>
      <c r="BA326" s="22">
        <f>'mk 001 10.3'!BA327</f>
        <v>0</v>
      </c>
      <c r="BB326">
        <f>'mk 001 10.3'!BB327</f>
        <v>0</v>
      </c>
      <c r="BC326">
        <f>'mk 001 10.3'!BC327</f>
        <v>0</v>
      </c>
      <c r="BD326">
        <f>'mk 001 10.3'!BD327</f>
        <v>0</v>
      </c>
      <c r="BE326">
        <f>'mk 001 10.3'!BE327</f>
        <v>0</v>
      </c>
      <c r="BF326">
        <f>'mk 001 10.3'!BF327</f>
        <v>0</v>
      </c>
      <c r="BG326">
        <f>'mk 001 10.3'!BG327</f>
        <v>0</v>
      </c>
      <c r="BH326">
        <f>'mk 001 10.3'!BH327</f>
        <v>0</v>
      </c>
      <c r="BI326">
        <f>'mk 001 10.3'!BI327</f>
        <v>0</v>
      </c>
      <c r="BJ326">
        <f>'mk 001 10.3'!BJ327</f>
        <v>0</v>
      </c>
      <c r="BK326">
        <f>'mk 001 10.3'!BK327</f>
        <v>0</v>
      </c>
      <c r="BL326">
        <f>'mk 001 10.3'!BL327</f>
        <v>0</v>
      </c>
      <c r="BM326">
        <f>'mk 001 10.3'!BM327</f>
        <v>0</v>
      </c>
      <c r="BN326">
        <f>'mk 001 10.3'!BN327</f>
        <v>0</v>
      </c>
    </row>
    <row r="327" spans="1:66" x14ac:dyDescent="0.35">
      <c r="A327">
        <f>'mk 001 10.3'!A328</f>
        <v>0</v>
      </c>
      <c r="B327">
        <f>'mk 001 10.3'!B328</f>
        <v>0</v>
      </c>
      <c r="C327" s="1">
        <f>'mk 001 10.3'!C328</f>
        <v>0</v>
      </c>
      <c r="D327" s="1">
        <f>'mk 001 10.3'!D328</f>
        <v>0</v>
      </c>
      <c r="E327">
        <f>'mk 001 10.3'!E328</f>
        <v>0</v>
      </c>
      <c r="F327">
        <f>'mk 001 10.3'!F328</f>
        <v>0</v>
      </c>
      <c r="G327">
        <f>'mk 001 10.3'!G328</f>
        <v>0</v>
      </c>
      <c r="H327">
        <f>'mk 001 10.3'!H328</f>
        <v>0</v>
      </c>
      <c r="I327">
        <f>'mk 001 10.3'!I328</f>
        <v>0</v>
      </c>
      <c r="J327">
        <f>'mk 001 10.3'!J328</f>
        <v>0</v>
      </c>
      <c r="K327">
        <f>'mk 001 10.3'!K328</f>
        <v>0</v>
      </c>
      <c r="L327">
        <f>'mk 001 10.3'!L328</f>
        <v>0</v>
      </c>
      <c r="M327">
        <f>'mk 001 10.3'!M328</f>
        <v>0</v>
      </c>
      <c r="N327">
        <f>'mk 001 10.3'!N328</f>
        <v>0</v>
      </c>
      <c r="O327">
        <f>'mk 001 10.3'!O328</f>
        <v>0</v>
      </c>
      <c r="P327">
        <f>'mk 001 10.3'!P328</f>
        <v>0</v>
      </c>
      <c r="Q327">
        <f>'mk 001 10.3'!Q328</f>
        <v>0</v>
      </c>
      <c r="R327" s="1">
        <f>'mk 001 10.3'!R328</f>
        <v>0</v>
      </c>
      <c r="S327" s="1">
        <f>'mk 001 10.3'!S328</f>
        <v>0</v>
      </c>
      <c r="T327">
        <f>'mk 001 10.3'!T328</f>
        <v>0</v>
      </c>
      <c r="U327">
        <f>'mk 001 10.3'!U328</f>
        <v>0</v>
      </c>
      <c r="V327">
        <f>'mk 001 10.3'!V328</f>
        <v>0</v>
      </c>
      <c r="W327">
        <f>'mk 001 10.3'!W328</f>
        <v>0</v>
      </c>
      <c r="X327">
        <f>'mk 001 10.3'!X328</f>
        <v>0</v>
      </c>
      <c r="Y327">
        <f t="shared" si="5"/>
        <v>0</v>
      </c>
      <c r="Z327" s="13">
        <f>IF(COUNTIFS(แปลงข้อมูล!H:H,Q327,แปลงข้อมูล!I:I,U327,แปลงข้อมูล!J:J,V327)&gt;0,SUMIFS(แปลงข้อมูล!Q:Q,แปลงข้อมูล!I:I,U327,แปลงข้อมูล!H:H,Q327,แปลงข้อมูล!J:J,V327),'mk 001 10.3'!Z328)</f>
        <v>0</v>
      </c>
      <c r="AA327">
        <f>'mk 001 10.3'!AA328</f>
        <v>0</v>
      </c>
      <c r="AB327">
        <f>'mk 001 10.3'!AB328</f>
        <v>0</v>
      </c>
      <c r="AC327">
        <f>'mk 001 10.3'!AC328</f>
        <v>0</v>
      </c>
      <c r="AD327">
        <f>'mk 001 10.3'!AD328</f>
        <v>0</v>
      </c>
      <c r="AE327">
        <f>'mk 001 10.3'!AE328</f>
        <v>0</v>
      </c>
      <c r="AF327">
        <f>'mk 001 10.3'!AF328</f>
        <v>0</v>
      </c>
      <c r="AG327">
        <f>'mk 001 10.3'!AG328</f>
        <v>0</v>
      </c>
      <c r="AH327">
        <f>'mk 001 10.3'!AH328</f>
        <v>0</v>
      </c>
      <c r="AI327">
        <f>'mk 001 10.3'!AI328</f>
        <v>0</v>
      </c>
      <c r="AJ327">
        <f>'mk 001 10.3'!AJ328</f>
        <v>0</v>
      </c>
      <c r="AK327">
        <f>'mk 001 10.3'!AK328</f>
        <v>0</v>
      </c>
      <c r="AL327">
        <f>'mk 001 10.3'!AL328</f>
        <v>0</v>
      </c>
      <c r="AM327">
        <f>'mk 001 10.3'!AM328</f>
        <v>0</v>
      </c>
      <c r="AN327">
        <f>'mk 001 10.3'!AN328</f>
        <v>0</v>
      </c>
      <c r="AO327">
        <f>'mk 001 10.3'!AO328</f>
        <v>0</v>
      </c>
      <c r="AP327">
        <f>'mk 001 10.3'!AP328</f>
        <v>0</v>
      </c>
      <c r="AQ327">
        <f>'mk 001 10.3'!AQ328</f>
        <v>0</v>
      </c>
      <c r="AR327">
        <f>'mk 001 10.3'!AR328</f>
        <v>0</v>
      </c>
      <c r="AS327">
        <f>'mk 001 10.3'!AS328</f>
        <v>0</v>
      </c>
      <c r="AT327">
        <f>'mk 001 10.3'!AT328</f>
        <v>0</v>
      </c>
      <c r="AU327">
        <f>'mk 001 10.3'!AU328</f>
        <v>0</v>
      </c>
      <c r="AV327">
        <f>'mk 001 10.3'!AV328</f>
        <v>0</v>
      </c>
      <c r="AW327">
        <f>'mk 001 10.3'!AW328</f>
        <v>0</v>
      </c>
      <c r="AX327">
        <f>'mk 001 10.3'!AX328</f>
        <v>0</v>
      </c>
      <c r="AY327">
        <f>'mk 001 10.3'!AY328</f>
        <v>0</v>
      </c>
      <c r="AZ327">
        <f>'mk 001 10.3'!AZ328</f>
        <v>0</v>
      </c>
      <c r="BA327" s="22">
        <f>'mk 001 10.3'!BA328</f>
        <v>0</v>
      </c>
      <c r="BB327">
        <f>'mk 001 10.3'!BB328</f>
        <v>0</v>
      </c>
      <c r="BC327">
        <f>'mk 001 10.3'!BC328</f>
        <v>0</v>
      </c>
      <c r="BD327">
        <f>'mk 001 10.3'!BD328</f>
        <v>0</v>
      </c>
      <c r="BE327">
        <f>'mk 001 10.3'!BE328</f>
        <v>0</v>
      </c>
      <c r="BF327">
        <f>'mk 001 10.3'!BF328</f>
        <v>0</v>
      </c>
      <c r="BG327">
        <f>'mk 001 10.3'!BG328</f>
        <v>0</v>
      </c>
      <c r="BH327">
        <f>'mk 001 10.3'!BH328</f>
        <v>0</v>
      </c>
      <c r="BI327">
        <f>'mk 001 10.3'!BI328</f>
        <v>0</v>
      </c>
      <c r="BJ327">
        <f>'mk 001 10.3'!BJ328</f>
        <v>0</v>
      </c>
      <c r="BK327">
        <f>'mk 001 10.3'!BK328</f>
        <v>0</v>
      </c>
      <c r="BL327">
        <f>'mk 001 10.3'!BL328</f>
        <v>0</v>
      </c>
      <c r="BM327">
        <f>'mk 001 10.3'!BM328</f>
        <v>0</v>
      </c>
      <c r="BN327">
        <f>'mk 001 10.3'!BN328</f>
        <v>0</v>
      </c>
    </row>
    <row r="328" spans="1:66" x14ac:dyDescent="0.35">
      <c r="A328">
        <f>'mk 001 10.3'!A329</f>
        <v>0</v>
      </c>
      <c r="B328">
        <f>'mk 001 10.3'!B329</f>
        <v>0</v>
      </c>
      <c r="C328" s="1">
        <f>'mk 001 10.3'!C329</f>
        <v>0</v>
      </c>
      <c r="D328" s="1">
        <f>'mk 001 10.3'!D329</f>
        <v>0</v>
      </c>
      <c r="E328">
        <f>'mk 001 10.3'!E329</f>
        <v>0</v>
      </c>
      <c r="F328">
        <f>'mk 001 10.3'!F329</f>
        <v>0</v>
      </c>
      <c r="G328">
        <f>'mk 001 10.3'!G329</f>
        <v>0</v>
      </c>
      <c r="H328">
        <f>'mk 001 10.3'!H329</f>
        <v>0</v>
      </c>
      <c r="I328">
        <f>'mk 001 10.3'!I329</f>
        <v>0</v>
      </c>
      <c r="J328">
        <f>'mk 001 10.3'!J329</f>
        <v>0</v>
      </c>
      <c r="K328">
        <f>'mk 001 10.3'!K329</f>
        <v>0</v>
      </c>
      <c r="L328">
        <f>'mk 001 10.3'!L329</f>
        <v>0</v>
      </c>
      <c r="M328">
        <f>'mk 001 10.3'!M329</f>
        <v>0</v>
      </c>
      <c r="N328">
        <f>'mk 001 10.3'!N329</f>
        <v>0</v>
      </c>
      <c r="O328">
        <f>'mk 001 10.3'!O329</f>
        <v>0</v>
      </c>
      <c r="P328">
        <f>'mk 001 10.3'!P329</f>
        <v>0</v>
      </c>
      <c r="Q328">
        <f>'mk 001 10.3'!Q329</f>
        <v>0</v>
      </c>
      <c r="R328" s="1">
        <f>'mk 001 10.3'!R329</f>
        <v>0</v>
      </c>
      <c r="S328" s="1">
        <f>'mk 001 10.3'!S329</f>
        <v>0</v>
      </c>
      <c r="T328">
        <f>'mk 001 10.3'!T329</f>
        <v>0</v>
      </c>
      <c r="U328">
        <f>'mk 001 10.3'!U329</f>
        <v>0</v>
      </c>
      <c r="V328">
        <f>'mk 001 10.3'!V329</f>
        <v>0</v>
      </c>
      <c r="W328">
        <f>'mk 001 10.3'!W329</f>
        <v>0</v>
      </c>
      <c r="X328">
        <f>'mk 001 10.3'!X329</f>
        <v>0</v>
      </c>
      <c r="Y328">
        <f t="shared" si="5"/>
        <v>0</v>
      </c>
      <c r="Z328" s="13">
        <f>IF(COUNTIFS(แปลงข้อมูล!H:H,Q328,แปลงข้อมูล!I:I,U328,แปลงข้อมูล!J:J,V328)&gt;0,SUMIFS(แปลงข้อมูล!Q:Q,แปลงข้อมูล!I:I,U328,แปลงข้อมูล!H:H,Q328,แปลงข้อมูล!J:J,V328),'mk 001 10.3'!Z329)</f>
        <v>0</v>
      </c>
      <c r="AA328">
        <f>'mk 001 10.3'!AA329</f>
        <v>0</v>
      </c>
      <c r="AB328">
        <f>'mk 001 10.3'!AB329</f>
        <v>0</v>
      </c>
      <c r="AC328">
        <f>'mk 001 10.3'!AC329</f>
        <v>0</v>
      </c>
      <c r="AD328">
        <f>'mk 001 10.3'!AD329</f>
        <v>0</v>
      </c>
      <c r="AE328">
        <f>'mk 001 10.3'!AE329</f>
        <v>0</v>
      </c>
      <c r="AF328">
        <f>'mk 001 10.3'!AF329</f>
        <v>0</v>
      </c>
      <c r="AG328">
        <f>'mk 001 10.3'!AG329</f>
        <v>0</v>
      </c>
      <c r="AH328">
        <f>'mk 001 10.3'!AH329</f>
        <v>0</v>
      </c>
      <c r="AI328">
        <f>'mk 001 10.3'!AI329</f>
        <v>0</v>
      </c>
      <c r="AJ328">
        <f>'mk 001 10.3'!AJ329</f>
        <v>0</v>
      </c>
      <c r="AK328">
        <f>'mk 001 10.3'!AK329</f>
        <v>0</v>
      </c>
      <c r="AL328">
        <f>'mk 001 10.3'!AL329</f>
        <v>0</v>
      </c>
      <c r="AM328">
        <f>'mk 001 10.3'!AM329</f>
        <v>0</v>
      </c>
      <c r="AN328">
        <f>'mk 001 10.3'!AN329</f>
        <v>0</v>
      </c>
      <c r="AO328">
        <f>'mk 001 10.3'!AO329</f>
        <v>0</v>
      </c>
      <c r="AP328">
        <f>'mk 001 10.3'!AP329</f>
        <v>0</v>
      </c>
      <c r="AQ328">
        <f>'mk 001 10.3'!AQ329</f>
        <v>0</v>
      </c>
      <c r="AR328">
        <f>'mk 001 10.3'!AR329</f>
        <v>0</v>
      </c>
      <c r="AS328">
        <f>'mk 001 10.3'!AS329</f>
        <v>0</v>
      </c>
      <c r="AT328">
        <f>'mk 001 10.3'!AT329</f>
        <v>0</v>
      </c>
      <c r="AU328">
        <f>'mk 001 10.3'!AU329</f>
        <v>0</v>
      </c>
      <c r="AV328">
        <f>'mk 001 10.3'!AV329</f>
        <v>0</v>
      </c>
      <c r="AW328">
        <f>'mk 001 10.3'!AW329</f>
        <v>0</v>
      </c>
      <c r="AX328">
        <f>'mk 001 10.3'!AX329</f>
        <v>0</v>
      </c>
      <c r="AY328">
        <f>'mk 001 10.3'!AY329</f>
        <v>0</v>
      </c>
      <c r="AZ328">
        <f>'mk 001 10.3'!AZ329</f>
        <v>0</v>
      </c>
      <c r="BA328" s="22">
        <f>'mk 001 10.3'!BA329</f>
        <v>0</v>
      </c>
      <c r="BB328">
        <f>'mk 001 10.3'!BB329</f>
        <v>0</v>
      </c>
      <c r="BC328">
        <f>'mk 001 10.3'!BC329</f>
        <v>0</v>
      </c>
      <c r="BD328">
        <f>'mk 001 10.3'!BD329</f>
        <v>0</v>
      </c>
      <c r="BE328">
        <f>'mk 001 10.3'!BE329</f>
        <v>0</v>
      </c>
      <c r="BF328">
        <f>'mk 001 10.3'!BF329</f>
        <v>0</v>
      </c>
      <c r="BG328">
        <f>'mk 001 10.3'!BG329</f>
        <v>0</v>
      </c>
      <c r="BH328">
        <f>'mk 001 10.3'!BH329</f>
        <v>0</v>
      </c>
      <c r="BI328">
        <f>'mk 001 10.3'!BI329</f>
        <v>0</v>
      </c>
      <c r="BJ328">
        <f>'mk 001 10.3'!BJ329</f>
        <v>0</v>
      </c>
      <c r="BK328">
        <f>'mk 001 10.3'!BK329</f>
        <v>0</v>
      </c>
      <c r="BL328">
        <f>'mk 001 10.3'!BL329</f>
        <v>0</v>
      </c>
      <c r="BM328">
        <f>'mk 001 10.3'!BM329</f>
        <v>0</v>
      </c>
      <c r="BN328">
        <f>'mk 001 10.3'!BN329</f>
        <v>0</v>
      </c>
    </row>
    <row r="329" spans="1:66" x14ac:dyDescent="0.35">
      <c r="A329">
        <f>'mk 001 10.3'!A330</f>
        <v>0</v>
      </c>
      <c r="B329">
        <f>'mk 001 10.3'!B330</f>
        <v>0</v>
      </c>
      <c r="C329" s="1">
        <f>'mk 001 10.3'!C330</f>
        <v>0</v>
      </c>
      <c r="D329" s="1">
        <f>'mk 001 10.3'!D330</f>
        <v>0</v>
      </c>
      <c r="E329">
        <f>'mk 001 10.3'!E330</f>
        <v>0</v>
      </c>
      <c r="F329">
        <f>'mk 001 10.3'!F330</f>
        <v>0</v>
      </c>
      <c r="G329">
        <f>'mk 001 10.3'!G330</f>
        <v>0</v>
      </c>
      <c r="H329">
        <f>'mk 001 10.3'!H330</f>
        <v>0</v>
      </c>
      <c r="I329">
        <f>'mk 001 10.3'!I330</f>
        <v>0</v>
      </c>
      <c r="J329">
        <f>'mk 001 10.3'!J330</f>
        <v>0</v>
      </c>
      <c r="K329">
        <f>'mk 001 10.3'!K330</f>
        <v>0</v>
      </c>
      <c r="L329">
        <f>'mk 001 10.3'!L330</f>
        <v>0</v>
      </c>
      <c r="M329">
        <f>'mk 001 10.3'!M330</f>
        <v>0</v>
      </c>
      <c r="N329">
        <f>'mk 001 10.3'!N330</f>
        <v>0</v>
      </c>
      <c r="O329">
        <f>'mk 001 10.3'!O330</f>
        <v>0</v>
      </c>
      <c r="P329">
        <f>'mk 001 10.3'!P330</f>
        <v>0</v>
      </c>
      <c r="Q329">
        <f>'mk 001 10.3'!Q330</f>
        <v>0</v>
      </c>
      <c r="R329" s="1">
        <f>'mk 001 10.3'!R330</f>
        <v>0</v>
      </c>
      <c r="S329" s="1">
        <f>'mk 001 10.3'!S330</f>
        <v>0</v>
      </c>
      <c r="T329">
        <f>'mk 001 10.3'!T330</f>
        <v>0</v>
      </c>
      <c r="U329">
        <f>'mk 001 10.3'!U330</f>
        <v>0</v>
      </c>
      <c r="V329">
        <f>'mk 001 10.3'!V330</f>
        <v>0</v>
      </c>
      <c r="W329">
        <f>'mk 001 10.3'!W330</f>
        <v>0</v>
      </c>
      <c r="X329">
        <f>'mk 001 10.3'!X330</f>
        <v>0</v>
      </c>
      <c r="Y329">
        <f t="shared" si="5"/>
        <v>0</v>
      </c>
      <c r="Z329" s="13">
        <f>IF(COUNTIFS(แปลงข้อมูล!H:H,Q329,แปลงข้อมูล!I:I,U329,แปลงข้อมูล!J:J,V329)&gt;0,SUMIFS(แปลงข้อมูล!Q:Q,แปลงข้อมูล!I:I,U329,แปลงข้อมูล!H:H,Q329,แปลงข้อมูล!J:J,V329),'mk 001 10.3'!Z330)</f>
        <v>0</v>
      </c>
      <c r="AA329">
        <f>'mk 001 10.3'!AA330</f>
        <v>0</v>
      </c>
      <c r="AB329">
        <f>'mk 001 10.3'!AB330</f>
        <v>0</v>
      </c>
      <c r="AC329">
        <f>'mk 001 10.3'!AC330</f>
        <v>0</v>
      </c>
      <c r="AD329">
        <f>'mk 001 10.3'!AD330</f>
        <v>0</v>
      </c>
      <c r="AE329">
        <f>'mk 001 10.3'!AE330</f>
        <v>0</v>
      </c>
      <c r="AF329">
        <f>'mk 001 10.3'!AF330</f>
        <v>0</v>
      </c>
      <c r="AG329">
        <f>'mk 001 10.3'!AG330</f>
        <v>0</v>
      </c>
      <c r="AH329">
        <f>'mk 001 10.3'!AH330</f>
        <v>0</v>
      </c>
      <c r="AI329">
        <f>'mk 001 10.3'!AI330</f>
        <v>0</v>
      </c>
      <c r="AJ329">
        <f>'mk 001 10.3'!AJ330</f>
        <v>0</v>
      </c>
      <c r="AK329">
        <f>'mk 001 10.3'!AK330</f>
        <v>0</v>
      </c>
      <c r="AL329">
        <f>'mk 001 10.3'!AL330</f>
        <v>0</v>
      </c>
      <c r="AM329">
        <f>'mk 001 10.3'!AM330</f>
        <v>0</v>
      </c>
      <c r="AN329">
        <f>'mk 001 10.3'!AN330</f>
        <v>0</v>
      </c>
      <c r="AO329">
        <f>'mk 001 10.3'!AO330</f>
        <v>0</v>
      </c>
      <c r="AP329">
        <f>'mk 001 10.3'!AP330</f>
        <v>0</v>
      </c>
      <c r="AQ329">
        <f>'mk 001 10.3'!AQ330</f>
        <v>0</v>
      </c>
      <c r="AR329">
        <f>'mk 001 10.3'!AR330</f>
        <v>0</v>
      </c>
      <c r="AS329">
        <f>'mk 001 10.3'!AS330</f>
        <v>0</v>
      </c>
      <c r="AT329">
        <f>'mk 001 10.3'!AT330</f>
        <v>0</v>
      </c>
      <c r="AU329">
        <f>'mk 001 10.3'!AU330</f>
        <v>0</v>
      </c>
      <c r="AV329">
        <f>'mk 001 10.3'!AV330</f>
        <v>0</v>
      </c>
      <c r="AW329">
        <f>'mk 001 10.3'!AW330</f>
        <v>0</v>
      </c>
      <c r="AX329">
        <f>'mk 001 10.3'!AX330</f>
        <v>0</v>
      </c>
      <c r="AY329">
        <f>'mk 001 10.3'!AY330</f>
        <v>0</v>
      </c>
      <c r="AZ329">
        <f>'mk 001 10.3'!AZ330</f>
        <v>0</v>
      </c>
      <c r="BA329" s="22">
        <f>'mk 001 10.3'!BA330</f>
        <v>0</v>
      </c>
      <c r="BB329">
        <f>'mk 001 10.3'!BB330</f>
        <v>0</v>
      </c>
      <c r="BC329">
        <f>'mk 001 10.3'!BC330</f>
        <v>0</v>
      </c>
      <c r="BD329">
        <f>'mk 001 10.3'!BD330</f>
        <v>0</v>
      </c>
      <c r="BE329">
        <f>'mk 001 10.3'!BE330</f>
        <v>0</v>
      </c>
      <c r="BF329">
        <f>'mk 001 10.3'!BF330</f>
        <v>0</v>
      </c>
      <c r="BG329">
        <f>'mk 001 10.3'!BG330</f>
        <v>0</v>
      </c>
      <c r="BH329">
        <f>'mk 001 10.3'!BH330</f>
        <v>0</v>
      </c>
      <c r="BI329">
        <f>'mk 001 10.3'!BI330</f>
        <v>0</v>
      </c>
      <c r="BJ329">
        <f>'mk 001 10.3'!BJ330</f>
        <v>0</v>
      </c>
      <c r="BK329">
        <f>'mk 001 10.3'!BK330</f>
        <v>0</v>
      </c>
      <c r="BL329">
        <f>'mk 001 10.3'!BL330</f>
        <v>0</v>
      </c>
      <c r="BM329">
        <f>'mk 001 10.3'!BM330</f>
        <v>0</v>
      </c>
      <c r="BN329">
        <f>'mk 001 10.3'!BN330</f>
        <v>0</v>
      </c>
    </row>
    <row r="330" spans="1:66" x14ac:dyDescent="0.35">
      <c r="A330">
        <f>'mk 001 10.3'!A331</f>
        <v>0</v>
      </c>
      <c r="B330">
        <f>'mk 001 10.3'!B331</f>
        <v>0</v>
      </c>
      <c r="C330" s="1">
        <f>'mk 001 10.3'!C331</f>
        <v>0</v>
      </c>
      <c r="D330" s="1">
        <f>'mk 001 10.3'!D331</f>
        <v>0</v>
      </c>
      <c r="E330">
        <f>'mk 001 10.3'!E331</f>
        <v>0</v>
      </c>
      <c r="F330">
        <f>'mk 001 10.3'!F331</f>
        <v>0</v>
      </c>
      <c r="G330">
        <f>'mk 001 10.3'!G331</f>
        <v>0</v>
      </c>
      <c r="H330">
        <f>'mk 001 10.3'!H331</f>
        <v>0</v>
      </c>
      <c r="I330">
        <f>'mk 001 10.3'!I331</f>
        <v>0</v>
      </c>
      <c r="J330">
        <f>'mk 001 10.3'!J331</f>
        <v>0</v>
      </c>
      <c r="K330">
        <f>'mk 001 10.3'!K331</f>
        <v>0</v>
      </c>
      <c r="L330">
        <f>'mk 001 10.3'!L331</f>
        <v>0</v>
      </c>
      <c r="M330">
        <f>'mk 001 10.3'!M331</f>
        <v>0</v>
      </c>
      <c r="N330">
        <f>'mk 001 10.3'!N331</f>
        <v>0</v>
      </c>
      <c r="O330">
        <f>'mk 001 10.3'!O331</f>
        <v>0</v>
      </c>
      <c r="P330">
        <f>'mk 001 10.3'!P331</f>
        <v>0</v>
      </c>
      <c r="Q330">
        <f>'mk 001 10.3'!Q331</f>
        <v>0</v>
      </c>
      <c r="R330" s="1">
        <f>'mk 001 10.3'!R331</f>
        <v>0</v>
      </c>
      <c r="S330" s="1">
        <f>'mk 001 10.3'!S331</f>
        <v>0</v>
      </c>
      <c r="T330">
        <f>'mk 001 10.3'!T331</f>
        <v>0</v>
      </c>
      <c r="U330">
        <f>'mk 001 10.3'!U331</f>
        <v>0</v>
      </c>
      <c r="V330">
        <f>'mk 001 10.3'!V331</f>
        <v>0</v>
      </c>
      <c r="W330">
        <f>'mk 001 10.3'!W331</f>
        <v>0</v>
      </c>
      <c r="X330">
        <f>'mk 001 10.3'!X331</f>
        <v>0</v>
      </c>
      <c r="Y330">
        <f t="shared" si="5"/>
        <v>0</v>
      </c>
      <c r="Z330" s="13">
        <f>IF(COUNTIFS(แปลงข้อมูล!H:H,Q330,แปลงข้อมูล!I:I,U330,แปลงข้อมูล!J:J,V330)&gt;0,SUMIFS(แปลงข้อมูล!Q:Q,แปลงข้อมูล!I:I,U330,แปลงข้อมูล!H:H,Q330,แปลงข้อมูล!J:J,V330),'mk 001 10.3'!Z331)</f>
        <v>0</v>
      </c>
      <c r="AA330">
        <f>'mk 001 10.3'!AA331</f>
        <v>0</v>
      </c>
      <c r="AB330">
        <f>'mk 001 10.3'!AB331</f>
        <v>0</v>
      </c>
      <c r="AC330">
        <f>'mk 001 10.3'!AC331</f>
        <v>0</v>
      </c>
      <c r="AD330">
        <f>'mk 001 10.3'!AD331</f>
        <v>0</v>
      </c>
      <c r="AE330">
        <f>'mk 001 10.3'!AE331</f>
        <v>0</v>
      </c>
      <c r="AF330">
        <f>'mk 001 10.3'!AF331</f>
        <v>0</v>
      </c>
      <c r="AG330">
        <f>'mk 001 10.3'!AG331</f>
        <v>0</v>
      </c>
      <c r="AH330">
        <f>'mk 001 10.3'!AH331</f>
        <v>0</v>
      </c>
      <c r="AI330">
        <f>'mk 001 10.3'!AI331</f>
        <v>0</v>
      </c>
      <c r="AJ330">
        <f>'mk 001 10.3'!AJ331</f>
        <v>0</v>
      </c>
      <c r="AK330">
        <f>'mk 001 10.3'!AK331</f>
        <v>0</v>
      </c>
      <c r="AL330">
        <f>'mk 001 10.3'!AL331</f>
        <v>0</v>
      </c>
      <c r="AM330">
        <f>'mk 001 10.3'!AM331</f>
        <v>0</v>
      </c>
      <c r="AN330">
        <f>'mk 001 10.3'!AN331</f>
        <v>0</v>
      </c>
      <c r="AO330">
        <f>'mk 001 10.3'!AO331</f>
        <v>0</v>
      </c>
      <c r="AP330">
        <f>'mk 001 10.3'!AP331</f>
        <v>0</v>
      </c>
      <c r="AQ330">
        <f>'mk 001 10.3'!AQ331</f>
        <v>0</v>
      </c>
      <c r="AR330">
        <f>'mk 001 10.3'!AR331</f>
        <v>0</v>
      </c>
      <c r="AS330">
        <f>'mk 001 10.3'!AS331</f>
        <v>0</v>
      </c>
      <c r="AT330">
        <f>'mk 001 10.3'!AT331</f>
        <v>0</v>
      </c>
      <c r="AU330">
        <f>'mk 001 10.3'!AU331</f>
        <v>0</v>
      </c>
      <c r="AV330">
        <f>'mk 001 10.3'!AV331</f>
        <v>0</v>
      </c>
      <c r="AW330">
        <f>'mk 001 10.3'!AW331</f>
        <v>0</v>
      </c>
      <c r="AX330">
        <f>'mk 001 10.3'!AX331</f>
        <v>0</v>
      </c>
      <c r="AY330">
        <f>'mk 001 10.3'!AY331</f>
        <v>0</v>
      </c>
      <c r="AZ330">
        <f>'mk 001 10.3'!AZ331</f>
        <v>0</v>
      </c>
      <c r="BA330" s="22">
        <f>'mk 001 10.3'!BA331</f>
        <v>0</v>
      </c>
      <c r="BB330">
        <f>'mk 001 10.3'!BB331</f>
        <v>0</v>
      </c>
      <c r="BC330">
        <f>'mk 001 10.3'!BC331</f>
        <v>0</v>
      </c>
      <c r="BD330">
        <f>'mk 001 10.3'!BD331</f>
        <v>0</v>
      </c>
      <c r="BE330">
        <f>'mk 001 10.3'!BE331</f>
        <v>0</v>
      </c>
      <c r="BF330">
        <f>'mk 001 10.3'!BF331</f>
        <v>0</v>
      </c>
      <c r="BG330">
        <f>'mk 001 10.3'!BG331</f>
        <v>0</v>
      </c>
      <c r="BH330">
        <f>'mk 001 10.3'!BH331</f>
        <v>0</v>
      </c>
      <c r="BI330">
        <f>'mk 001 10.3'!BI331</f>
        <v>0</v>
      </c>
      <c r="BJ330">
        <f>'mk 001 10.3'!BJ331</f>
        <v>0</v>
      </c>
      <c r="BK330">
        <f>'mk 001 10.3'!BK331</f>
        <v>0</v>
      </c>
      <c r="BL330">
        <f>'mk 001 10.3'!BL331</f>
        <v>0</v>
      </c>
      <c r="BM330">
        <f>'mk 001 10.3'!BM331</f>
        <v>0</v>
      </c>
      <c r="BN330">
        <f>'mk 001 10.3'!BN331</f>
        <v>0</v>
      </c>
    </row>
    <row r="331" spans="1:66" x14ac:dyDescent="0.35">
      <c r="A331">
        <f>'mk 001 10.3'!A332</f>
        <v>0</v>
      </c>
      <c r="B331">
        <f>'mk 001 10.3'!B332</f>
        <v>0</v>
      </c>
      <c r="C331" s="1">
        <f>'mk 001 10.3'!C332</f>
        <v>0</v>
      </c>
      <c r="D331" s="1">
        <f>'mk 001 10.3'!D332</f>
        <v>0</v>
      </c>
      <c r="E331">
        <f>'mk 001 10.3'!E332</f>
        <v>0</v>
      </c>
      <c r="F331">
        <f>'mk 001 10.3'!F332</f>
        <v>0</v>
      </c>
      <c r="G331">
        <f>'mk 001 10.3'!G332</f>
        <v>0</v>
      </c>
      <c r="H331">
        <f>'mk 001 10.3'!H332</f>
        <v>0</v>
      </c>
      <c r="I331">
        <f>'mk 001 10.3'!I332</f>
        <v>0</v>
      </c>
      <c r="J331">
        <f>'mk 001 10.3'!J332</f>
        <v>0</v>
      </c>
      <c r="K331">
        <f>'mk 001 10.3'!K332</f>
        <v>0</v>
      </c>
      <c r="L331">
        <f>'mk 001 10.3'!L332</f>
        <v>0</v>
      </c>
      <c r="M331">
        <f>'mk 001 10.3'!M332</f>
        <v>0</v>
      </c>
      <c r="N331">
        <f>'mk 001 10.3'!N332</f>
        <v>0</v>
      </c>
      <c r="O331">
        <f>'mk 001 10.3'!O332</f>
        <v>0</v>
      </c>
      <c r="P331">
        <f>'mk 001 10.3'!P332</f>
        <v>0</v>
      </c>
      <c r="Q331">
        <f>'mk 001 10.3'!Q332</f>
        <v>0</v>
      </c>
      <c r="R331" s="1">
        <f>'mk 001 10.3'!R332</f>
        <v>0</v>
      </c>
      <c r="S331" s="1">
        <f>'mk 001 10.3'!S332</f>
        <v>0</v>
      </c>
      <c r="T331">
        <f>'mk 001 10.3'!T332</f>
        <v>0</v>
      </c>
      <c r="U331">
        <f>'mk 001 10.3'!U332</f>
        <v>0</v>
      </c>
      <c r="V331">
        <f>'mk 001 10.3'!V332</f>
        <v>0</v>
      </c>
      <c r="W331">
        <f>'mk 001 10.3'!W332</f>
        <v>0</v>
      </c>
      <c r="X331">
        <f>'mk 001 10.3'!X332</f>
        <v>0</v>
      </c>
      <c r="Y331">
        <f t="shared" si="5"/>
        <v>0</v>
      </c>
      <c r="Z331" s="13">
        <f>IF(COUNTIFS(แปลงข้อมูล!H:H,Q331,แปลงข้อมูล!I:I,U331,แปลงข้อมูล!J:J,V331)&gt;0,SUMIFS(แปลงข้อมูล!Q:Q,แปลงข้อมูล!I:I,U331,แปลงข้อมูล!H:H,Q331,แปลงข้อมูล!J:J,V331),'mk 001 10.3'!Z332)</f>
        <v>0</v>
      </c>
      <c r="AA331">
        <f>'mk 001 10.3'!AA332</f>
        <v>0</v>
      </c>
      <c r="AB331">
        <f>'mk 001 10.3'!AB332</f>
        <v>0</v>
      </c>
      <c r="AC331">
        <f>'mk 001 10.3'!AC332</f>
        <v>0</v>
      </c>
      <c r="AD331">
        <f>'mk 001 10.3'!AD332</f>
        <v>0</v>
      </c>
      <c r="AE331">
        <f>'mk 001 10.3'!AE332</f>
        <v>0</v>
      </c>
      <c r="AF331">
        <f>'mk 001 10.3'!AF332</f>
        <v>0</v>
      </c>
      <c r="AG331">
        <f>'mk 001 10.3'!AG332</f>
        <v>0</v>
      </c>
      <c r="AH331">
        <f>'mk 001 10.3'!AH332</f>
        <v>0</v>
      </c>
      <c r="AI331">
        <f>'mk 001 10.3'!AI332</f>
        <v>0</v>
      </c>
      <c r="AJ331">
        <f>'mk 001 10.3'!AJ332</f>
        <v>0</v>
      </c>
      <c r="AK331">
        <f>'mk 001 10.3'!AK332</f>
        <v>0</v>
      </c>
      <c r="AL331">
        <f>'mk 001 10.3'!AL332</f>
        <v>0</v>
      </c>
      <c r="AM331">
        <f>'mk 001 10.3'!AM332</f>
        <v>0</v>
      </c>
      <c r="AN331">
        <f>'mk 001 10.3'!AN332</f>
        <v>0</v>
      </c>
      <c r="AO331">
        <f>'mk 001 10.3'!AO332</f>
        <v>0</v>
      </c>
      <c r="AP331">
        <f>'mk 001 10.3'!AP332</f>
        <v>0</v>
      </c>
      <c r="AQ331">
        <f>'mk 001 10.3'!AQ332</f>
        <v>0</v>
      </c>
      <c r="AR331">
        <f>'mk 001 10.3'!AR332</f>
        <v>0</v>
      </c>
      <c r="AS331">
        <f>'mk 001 10.3'!AS332</f>
        <v>0</v>
      </c>
      <c r="AT331">
        <f>'mk 001 10.3'!AT332</f>
        <v>0</v>
      </c>
      <c r="AU331">
        <f>'mk 001 10.3'!AU332</f>
        <v>0</v>
      </c>
      <c r="AV331">
        <f>'mk 001 10.3'!AV332</f>
        <v>0</v>
      </c>
      <c r="AW331">
        <f>'mk 001 10.3'!AW332</f>
        <v>0</v>
      </c>
      <c r="AX331">
        <f>'mk 001 10.3'!AX332</f>
        <v>0</v>
      </c>
      <c r="AY331">
        <f>'mk 001 10.3'!AY332</f>
        <v>0</v>
      </c>
      <c r="AZ331">
        <f>'mk 001 10.3'!AZ332</f>
        <v>0</v>
      </c>
      <c r="BA331" s="22">
        <f>'mk 001 10.3'!BA332</f>
        <v>0</v>
      </c>
      <c r="BB331">
        <f>'mk 001 10.3'!BB332</f>
        <v>0</v>
      </c>
      <c r="BC331">
        <f>'mk 001 10.3'!BC332</f>
        <v>0</v>
      </c>
      <c r="BD331">
        <f>'mk 001 10.3'!BD332</f>
        <v>0</v>
      </c>
      <c r="BE331">
        <f>'mk 001 10.3'!BE332</f>
        <v>0</v>
      </c>
      <c r="BF331">
        <f>'mk 001 10.3'!BF332</f>
        <v>0</v>
      </c>
      <c r="BG331">
        <f>'mk 001 10.3'!BG332</f>
        <v>0</v>
      </c>
      <c r="BH331">
        <f>'mk 001 10.3'!BH332</f>
        <v>0</v>
      </c>
      <c r="BI331">
        <f>'mk 001 10.3'!BI332</f>
        <v>0</v>
      </c>
      <c r="BJ331">
        <f>'mk 001 10.3'!BJ332</f>
        <v>0</v>
      </c>
      <c r="BK331">
        <f>'mk 001 10.3'!BK332</f>
        <v>0</v>
      </c>
      <c r="BL331">
        <f>'mk 001 10.3'!BL332</f>
        <v>0</v>
      </c>
      <c r="BM331">
        <f>'mk 001 10.3'!BM332</f>
        <v>0</v>
      </c>
      <c r="BN331">
        <f>'mk 001 10.3'!BN332</f>
        <v>0</v>
      </c>
    </row>
    <row r="332" spans="1:66" x14ac:dyDescent="0.35">
      <c r="A332">
        <f>'mk 001 10.3'!A333</f>
        <v>0</v>
      </c>
      <c r="B332">
        <f>'mk 001 10.3'!B333</f>
        <v>0</v>
      </c>
      <c r="C332" s="1">
        <f>'mk 001 10.3'!C333</f>
        <v>0</v>
      </c>
      <c r="D332" s="1">
        <f>'mk 001 10.3'!D333</f>
        <v>0</v>
      </c>
      <c r="E332">
        <f>'mk 001 10.3'!E333</f>
        <v>0</v>
      </c>
      <c r="F332">
        <f>'mk 001 10.3'!F333</f>
        <v>0</v>
      </c>
      <c r="G332">
        <f>'mk 001 10.3'!G333</f>
        <v>0</v>
      </c>
      <c r="H332">
        <f>'mk 001 10.3'!H333</f>
        <v>0</v>
      </c>
      <c r="I332">
        <f>'mk 001 10.3'!I333</f>
        <v>0</v>
      </c>
      <c r="J332">
        <f>'mk 001 10.3'!J333</f>
        <v>0</v>
      </c>
      <c r="K332">
        <f>'mk 001 10.3'!K333</f>
        <v>0</v>
      </c>
      <c r="L332">
        <f>'mk 001 10.3'!L333</f>
        <v>0</v>
      </c>
      <c r="M332">
        <f>'mk 001 10.3'!M333</f>
        <v>0</v>
      </c>
      <c r="N332">
        <f>'mk 001 10.3'!N333</f>
        <v>0</v>
      </c>
      <c r="O332">
        <f>'mk 001 10.3'!O333</f>
        <v>0</v>
      </c>
      <c r="P332">
        <f>'mk 001 10.3'!P333</f>
        <v>0</v>
      </c>
      <c r="Q332">
        <f>'mk 001 10.3'!Q333</f>
        <v>0</v>
      </c>
      <c r="R332" s="1">
        <f>'mk 001 10.3'!R333</f>
        <v>0</v>
      </c>
      <c r="S332" s="1">
        <f>'mk 001 10.3'!S333</f>
        <v>0</v>
      </c>
      <c r="T332">
        <f>'mk 001 10.3'!T333</f>
        <v>0</v>
      </c>
      <c r="U332">
        <f>'mk 001 10.3'!U333</f>
        <v>0</v>
      </c>
      <c r="V332">
        <f>'mk 001 10.3'!V333</f>
        <v>0</v>
      </c>
      <c r="W332">
        <f>'mk 001 10.3'!W333</f>
        <v>0</v>
      </c>
      <c r="X332">
        <f>'mk 001 10.3'!X333</f>
        <v>0</v>
      </c>
      <c r="Y332">
        <f t="shared" si="5"/>
        <v>0</v>
      </c>
      <c r="Z332" s="13">
        <f>IF(COUNTIFS(แปลงข้อมูล!H:H,Q332,แปลงข้อมูล!I:I,U332,แปลงข้อมูล!J:J,V332)&gt;0,SUMIFS(แปลงข้อมูล!Q:Q,แปลงข้อมูล!I:I,U332,แปลงข้อมูล!H:H,Q332,แปลงข้อมูล!J:J,V332),'mk 001 10.3'!Z333)</f>
        <v>0</v>
      </c>
      <c r="AA332">
        <f>'mk 001 10.3'!AA333</f>
        <v>0</v>
      </c>
      <c r="AB332">
        <f>'mk 001 10.3'!AB333</f>
        <v>0</v>
      </c>
      <c r="AC332">
        <f>'mk 001 10.3'!AC333</f>
        <v>0</v>
      </c>
      <c r="AD332">
        <f>'mk 001 10.3'!AD333</f>
        <v>0</v>
      </c>
      <c r="AE332">
        <f>'mk 001 10.3'!AE333</f>
        <v>0</v>
      </c>
      <c r="AF332">
        <f>'mk 001 10.3'!AF333</f>
        <v>0</v>
      </c>
      <c r="AG332">
        <f>'mk 001 10.3'!AG333</f>
        <v>0</v>
      </c>
      <c r="AH332">
        <f>'mk 001 10.3'!AH333</f>
        <v>0</v>
      </c>
      <c r="AI332">
        <f>'mk 001 10.3'!AI333</f>
        <v>0</v>
      </c>
      <c r="AJ332">
        <f>'mk 001 10.3'!AJ333</f>
        <v>0</v>
      </c>
      <c r="AK332">
        <f>'mk 001 10.3'!AK333</f>
        <v>0</v>
      </c>
      <c r="AL332">
        <f>'mk 001 10.3'!AL333</f>
        <v>0</v>
      </c>
      <c r="AM332">
        <f>'mk 001 10.3'!AM333</f>
        <v>0</v>
      </c>
      <c r="AN332">
        <f>'mk 001 10.3'!AN333</f>
        <v>0</v>
      </c>
      <c r="AO332">
        <f>'mk 001 10.3'!AO333</f>
        <v>0</v>
      </c>
      <c r="AP332">
        <f>'mk 001 10.3'!AP333</f>
        <v>0</v>
      </c>
      <c r="AQ332">
        <f>'mk 001 10.3'!AQ333</f>
        <v>0</v>
      </c>
      <c r="AR332">
        <f>'mk 001 10.3'!AR333</f>
        <v>0</v>
      </c>
      <c r="AS332">
        <f>'mk 001 10.3'!AS333</f>
        <v>0</v>
      </c>
      <c r="AT332">
        <f>'mk 001 10.3'!AT333</f>
        <v>0</v>
      </c>
      <c r="AU332">
        <f>'mk 001 10.3'!AU333</f>
        <v>0</v>
      </c>
      <c r="AV332">
        <f>'mk 001 10.3'!AV333</f>
        <v>0</v>
      </c>
      <c r="AW332">
        <f>'mk 001 10.3'!AW333</f>
        <v>0</v>
      </c>
      <c r="AX332">
        <f>'mk 001 10.3'!AX333</f>
        <v>0</v>
      </c>
      <c r="AY332">
        <f>'mk 001 10.3'!AY333</f>
        <v>0</v>
      </c>
      <c r="AZ332">
        <f>'mk 001 10.3'!AZ333</f>
        <v>0</v>
      </c>
      <c r="BA332" s="22">
        <f>'mk 001 10.3'!BA333</f>
        <v>0</v>
      </c>
      <c r="BB332">
        <f>'mk 001 10.3'!BB333</f>
        <v>0</v>
      </c>
      <c r="BC332">
        <f>'mk 001 10.3'!BC333</f>
        <v>0</v>
      </c>
      <c r="BD332">
        <f>'mk 001 10.3'!BD333</f>
        <v>0</v>
      </c>
      <c r="BE332">
        <f>'mk 001 10.3'!BE333</f>
        <v>0</v>
      </c>
      <c r="BF332">
        <f>'mk 001 10.3'!BF333</f>
        <v>0</v>
      </c>
      <c r="BG332">
        <f>'mk 001 10.3'!BG333</f>
        <v>0</v>
      </c>
      <c r="BH332">
        <f>'mk 001 10.3'!BH333</f>
        <v>0</v>
      </c>
      <c r="BI332">
        <f>'mk 001 10.3'!BI333</f>
        <v>0</v>
      </c>
      <c r="BJ332">
        <f>'mk 001 10.3'!BJ333</f>
        <v>0</v>
      </c>
      <c r="BK332">
        <f>'mk 001 10.3'!BK333</f>
        <v>0</v>
      </c>
      <c r="BL332">
        <f>'mk 001 10.3'!BL333</f>
        <v>0</v>
      </c>
      <c r="BM332">
        <f>'mk 001 10.3'!BM333</f>
        <v>0</v>
      </c>
      <c r="BN332">
        <f>'mk 001 10.3'!BN333</f>
        <v>0</v>
      </c>
    </row>
    <row r="333" spans="1:66" x14ac:dyDescent="0.35">
      <c r="A333">
        <f>'mk 001 10.3'!A334</f>
        <v>0</v>
      </c>
      <c r="B333">
        <f>'mk 001 10.3'!B334</f>
        <v>0</v>
      </c>
      <c r="C333" s="1">
        <f>'mk 001 10.3'!C334</f>
        <v>0</v>
      </c>
      <c r="D333" s="1">
        <f>'mk 001 10.3'!D334</f>
        <v>0</v>
      </c>
      <c r="E333">
        <f>'mk 001 10.3'!E334</f>
        <v>0</v>
      </c>
      <c r="F333">
        <f>'mk 001 10.3'!F334</f>
        <v>0</v>
      </c>
      <c r="G333">
        <f>'mk 001 10.3'!G334</f>
        <v>0</v>
      </c>
      <c r="H333">
        <f>'mk 001 10.3'!H334</f>
        <v>0</v>
      </c>
      <c r="I333">
        <f>'mk 001 10.3'!I334</f>
        <v>0</v>
      </c>
      <c r="J333">
        <f>'mk 001 10.3'!J334</f>
        <v>0</v>
      </c>
      <c r="K333">
        <f>'mk 001 10.3'!K334</f>
        <v>0</v>
      </c>
      <c r="L333">
        <f>'mk 001 10.3'!L334</f>
        <v>0</v>
      </c>
      <c r="M333">
        <f>'mk 001 10.3'!M334</f>
        <v>0</v>
      </c>
      <c r="N333">
        <f>'mk 001 10.3'!N334</f>
        <v>0</v>
      </c>
      <c r="O333">
        <f>'mk 001 10.3'!O334</f>
        <v>0</v>
      </c>
      <c r="P333">
        <f>'mk 001 10.3'!P334</f>
        <v>0</v>
      </c>
      <c r="Q333">
        <f>'mk 001 10.3'!Q334</f>
        <v>0</v>
      </c>
      <c r="R333" s="1">
        <f>'mk 001 10.3'!R334</f>
        <v>0</v>
      </c>
      <c r="S333" s="1">
        <f>'mk 001 10.3'!S334</f>
        <v>0</v>
      </c>
      <c r="T333">
        <f>'mk 001 10.3'!T334</f>
        <v>0</v>
      </c>
      <c r="U333">
        <f>'mk 001 10.3'!U334</f>
        <v>0</v>
      </c>
      <c r="V333">
        <f>'mk 001 10.3'!V334</f>
        <v>0</v>
      </c>
      <c r="W333">
        <f>'mk 001 10.3'!W334</f>
        <v>0</v>
      </c>
      <c r="X333">
        <f>'mk 001 10.3'!X334</f>
        <v>0</v>
      </c>
      <c r="Y333">
        <f t="shared" si="5"/>
        <v>0</v>
      </c>
      <c r="Z333" s="13">
        <f>IF(COUNTIFS(แปลงข้อมูล!H:H,Q333,แปลงข้อมูล!I:I,U333,แปลงข้อมูล!J:J,V333)&gt;0,SUMIFS(แปลงข้อมูล!Q:Q,แปลงข้อมูล!I:I,U333,แปลงข้อมูล!H:H,Q333,แปลงข้อมูล!J:J,V333),'mk 001 10.3'!Z334)</f>
        <v>0</v>
      </c>
      <c r="AA333">
        <f>'mk 001 10.3'!AA334</f>
        <v>0</v>
      </c>
      <c r="AB333">
        <f>'mk 001 10.3'!AB334</f>
        <v>0</v>
      </c>
      <c r="AC333">
        <f>'mk 001 10.3'!AC334</f>
        <v>0</v>
      </c>
      <c r="AD333">
        <f>'mk 001 10.3'!AD334</f>
        <v>0</v>
      </c>
      <c r="AE333">
        <f>'mk 001 10.3'!AE334</f>
        <v>0</v>
      </c>
      <c r="AF333">
        <f>'mk 001 10.3'!AF334</f>
        <v>0</v>
      </c>
      <c r="AG333">
        <f>'mk 001 10.3'!AG334</f>
        <v>0</v>
      </c>
      <c r="AH333">
        <f>'mk 001 10.3'!AH334</f>
        <v>0</v>
      </c>
      <c r="AI333">
        <f>'mk 001 10.3'!AI334</f>
        <v>0</v>
      </c>
      <c r="AJ333">
        <f>'mk 001 10.3'!AJ334</f>
        <v>0</v>
      </c>
      <c r="AK333">
        <f>'mk 001 10.3'!AK334</f>
        <v>0</v>
      </c>
      <c r="AL333">
        <f>'mk 001 10.3'!AL334</f>
        <v>0</v>
      </c>
      <c r="AM333">
        <f>'mk 001 10.3'!AM334</f>
        <v>0</v>
      </c>
      <c r="AN333">
        <f>'mk 001 10.3'!AN334</f>
        <v>0</v>
      </c>
      <c r="AO333">
        <f>'mk 001 10.3'!AO334</f>
        <v>0</v>
      </c>
      <c r="AP333">
        <f>'mk 001 10.3'!AP334</f>
        <v>0</v>
      </c>
      <c r="AQ333">
        <f>'mk 001 10.3'!AQ334</f>
        <v>0</v>
      </c>
      <c r="AR333">
        <f>'mk 001 10.3'!AR334</f>
        <v>0</v>
      </c>
      <c r="AS333">
        <f>'mk 001 10.3'!AS334</f>
        <v>0</v>
      </c>
      <c r="AT333">
        <f>'mk 001 10.3'!AT334</f>
        <v>0</v>
      </c>
      <c r="AU333">
        <f>'mk 001 10.3'!AU334</f>
        <v>0</v>
      </c>
      <c r="AV333">
        <f>'mk 001 10.3'!AV334</f>
        <v>0</v>
      </c>
      <c r="AW333">
        <f>'mk 001 10.3'!AW334</f>
        <v>0</v>
      </c>
      <c r="AX333">
        <f>'mk 001 10.3'!AX334</f>
        <v>0</v>
      </c>
      <c r="AY333">
        <f>'mk 001 10.3'!AY334</f>
        <v>0</v>
      </c>
      <c r="AZ333">
        <f>'mk 001 10.3'!AZ334</f>
        <v>0</v>
      </c>
      <c r="BA333" s="22">
        <f>'mk 001 10.3'!BA334</f>
        <v>0</v>
      </c>
      <c r="BB333">
        <f>'mk 001 10.3'!BB334</f>
        <v>0</v>
      </c>
      <c r="BC333">
        <f>'mk 001 10.3'!BC334</f>
        <v>0</v>
      </c>
      <c r="BD333">
        <f>'mk 001 10.3'!BD334</f>
        <v>0</v>
      </c>
      <c r="BE333">
        <f>'mk 001 10.3'!BE334</f>
        <v>0</v>
      </c>
      <c r="BF333">
        <f>'mk 001 10.3'!BF334</f>
        <v>0</v>
      </c>
      <c r="BG333">
        <f>'mk 001 10.3'!BG334</f>
        <v>0</v>
      </c>
      <c r="BH333">
        <f>'mk 001 10.3'!BH334</f>
        <v>0</v>
      </c>
      <c r="BI333">
        <f>'mk 001 10.3'!BI334</f>
        <v>0</v>
      </c>
      <c r="BJ333">
        <f>'mk 001 10.3'!BJ334</f>
        <v>0</v>
      </c>
      <c r="BK333">
        <f>'mk 001 10.3'!BK334</f>
        <v>0</v>
      </c>
      <c r="BL333">
        <f>'mk 001 10.3'!BL334</f>
        <v>0</v>
      </c>
      <c r="BM333">
        <f>'mk 001 10.3'!BM334</f>
        <v>0</v>
      </c>
      <c r="BN333">
        <f>'mk 001 10.3'!BN334</f>
        <v>0</v>
      </c>
    </row>
    <row r="334" spans="1:66" x14ac:dyDescent="0.35">
      <c r="A334">
        <f>'mk 001 10.3'!A335</f>
        <v>0</v>
      </c>
      <c r="B334">
        <f>'mk 001 10.3'!B335</f>
        <v>0</v>
      </c>
      <c r="C334" s="1">
        <f>'mk 001 10.3'!C335</f>
        <v>0</v>
      </c>
      <c r="D334" s="1">
        <f>'mk 001 10.3'!D335</f>
        <v>0</v>
      </c>
      <c r="E334">
        <f>'mk 001 10.3'!E335</f>
        <v>0</v>
      </c>
      <c r="F334">
        <f>'mk 001 10.3'!F335</f>
        <v>0</v>
      </c>
      <c r="G334">
        <f>'mk 001 10.3'!G335</f>
        <v>0</v>
      </c>
      <c r="H334">
        <f>'mk 001 10.3'!H335</f>
        <v>0</v>
      </c>
      <c r="I334">
        <f>'mk 001 10.3'!I335</f>
        <v>0</v>
      </c>
      <c r="J334">
        <f>'mk 001 10.3'!J335</f>
        <v>0</v>
      </c>
      <c r="K334">
        <f>'mk 001 10.3'!K335</f>
        <v>0</v>
      </c>
      <c r="L334">
        <f>'mk 001 10.3'!L335</f>
        <v>0</v>
      </c>
      <c r="M334">
        <f>'mk 001 10.3'!M335</f>
        <v>0</v>
      </c>
      <c r="N334">
        <f>'mk 001 10.3'!N335</f>
        <v>0</v>
      </c>
      <c r="O334">
        <f>'mk 001 10.3'!O335</f>
        <v>0</v>
      </c>
      <c r="P334">
        <f>'mk 001 10.3'!P335</f>
        <v>0</v>
      </c>
      <c r="Q334">
        <f>'mk 001 10.3'!Q335</f>
        <v>0</v>
      </c>
      <c r="R334" s="1">
        <f>'mk 001 10.3'!R335</f>
        <v>0</v>
      </c>
      <c r="S334" s="1">
        <f>'mk 001 10.3'!S335</f>
        <v>0</v>
      </c>
      <c r="T334">
        <f>'mk 001 10.3'!T335</f>
        <v>0</v>
      </c>
      <c r="U334">
        <f>'mk 001 10.3'!U335</f>
        <v>0</v>
      </c>
      <c r="V334">
        <f>'mk 001 10.3'!V335</f>
        <v>0</v>
      </c>
      <c r="W334">
        <f>'mk 001 10.3'!W335</f>
        <v>0</v>
      </c>
      <c r="X334">
        <f>'mk 001 10.3'!X335</f>
        <v>0</v>
      </c>
      <c r="Y334">
        <f t="shared" si="5"/>
        <v>0</v>
      </c>
      <c r="Z334" s="13">
        <f>IF(COUNTIFS(แปลงข้อมูล!H:H,Q334,แปลงข้อมูล!I:I,U334,แปลงข้อมูล!J:J,V334)&gt;0,SUMIFS(แปลงข้อมูล!Q:Q,แปลงข้อมูล!I:I,U334,แปลงข้อมูล!H:H,Q334,แปลงข้อมูล!J:J,V334),'mk 001 10.3'!Z335)</f>
        <v>0</v>
      </c>
      <c r="AA334">
        <f>'mk 001 10.3'!AA335</f>
        <v>0</v>
      </c>
      <c r="AB334">
        <f>'mk 001 10.3'!AB335</f>
        <v>0</v>
      </c>
      <c r="AC334">
        <f>'mk 001 10.3'!AC335</f>
        <v>0</v>
      </c>
      <c r="AD334">
        <f>'mk 001 10.3'!AD335</f>
        <v>0</v>
      </c>
      <c r="AE334">
        <f>'mk 001 10.3'!AE335</f>
        <v>0</v>
      </c>
      <c r="AF334">
        <f>'mk 001 10.3'!AF335</f>
        <v>0</v>
      </c>
      <c r="AG334">
        <f>'mk 001 10.3'!AG335</f>
        <v>0</v>
      </c>
      <c r="AH334">
        <f>'mk 001 10.3'!AH335</f>
        <v>0</v>
      </c>
      <c r="AI334">
        <f>'mk 001 10.3'!AI335</f>
        <v>0</v>
      </c>
      <c r="AJ334">
        <f>'mk 001 10.3'!AJ335</f>
        <v>0</v>
      </c>
      <c r="AK334">
        <f>'mk 001 10.3'!AK335</f>
        <v>0</v>
      </c>
      <c r="AL334">
        <f>'mk 001 10.3'!AL335</f>
        <v>0</v>
      </c>
      <c r="AM334">
        <f>'mk 001 10.3'!AM335</f>
        <v>0</v>
      </c>
      <c r="AN334">
        <f>'mk 001 10.3'!AN335</f>
        <v>0</v>
      </c>
      <c r="AO334">
        <f>'mk 001 10.3'!AO335</f>
        <v>0</v>
      </c>
      <c r="AP334">
        <f>'mk 001 10.3'!AP335</f>
        <v>0</v>
      </c>
      <c r="AQ334">
        <f>'mk 001 10.3'!AQ335</f>
        <v>0</v>
      </c>
      <c r="AR334">
        <f>'mk 001 10.3'!AR335</f>
        <v>0</v>
      </c>
      <c r="AS334">
        <f>'mk 001 10.3'!AS335</f>
        <v>0</v>
      </c>
      <c r="AT334">
        <f>'mk 001 10.3'!AT335</f>
        <v>0</v>
      </c>
      <c r="AU334">
        <f>'mk 001 10.3'!AU335</f>
        <v>0</v>
      </c>
      <c r="AV334">
        <f>'mk 001 10.3'!AV335</f>
        <v>0</v>
      </c>
      <c r="AW334">
        <f>'mk 001 10.3'!AW335</f>
        <v>0</v>
      </c>
      <c r="AX334">
        <f>'mk 001 10.3'!AX335</f>
        <v>0</v>
      </c>
      <c r="AY334">
        <f>'mk 001 10.3'!AY335</f>
        <v>0</v>
      </c>
      <c r="AZ334">
        <f>'mk 001 10.3'!AZ335</f>
        <v>0</v>
      </c>
      <c r="BA334" s="22">
        <f>'mk 001 10.3'!BA335</f>
        <v>0</v>
      </c>
      <c r="BB334">
        <f>'mk 001 10.3'!BB335</f>
        <v>0</v>
      </c>
      <c r="BC334">
        <f>'mk 001 10.3'!BC335</f>
        <v>0</v>
      </c>
      <c r="BD334">
        <f>'mk 001 10.3'!BD335</f>
        <v>0</v>
      </c>
      <c r="BE334">
        <f>'mk 001 10.3'!BE335</f>
        <v>0</v>
      </c>
      <c r="BF334">
        <f>'mk 001 10.3'!BF335</f>
        <v>0</v>
      </c>
      <c r="BG334">
        <f>'mk 001 10.3'!BG335</f>
        <v>0</v>
      </c>
      <c r="BH334">
        <f>'mk 001 10.3'!BH335</f>
        <v>0</v>
      </c>
      <c r="BI334">
        <f>'mk 001 10.3'!BI335</f>
        <v>0</v>
      </c>
      <c r="BJ334">
        <f>'mk 001 10.3'!BJ335</f>
        <v>0</v>
      </c>
      <c r="BK334">
        <f>'mk 001 10.3'!BK335</f>
        <v>0</v>
      </c>
      <c r="BL334">
        <f>'mk 001 10.3'!BL335</f>
        <v>0</v>
      </c>
      <c r="BM334">
        <f>'mk 001 10.3'!BM335</f>
        <v>0</v>
      </c>
      <c r="BN334">
        <f>'mk 001 10.3'!BN335</f>
        <v>0</v>
      </c>
    </row>
    <row r="335" spans="1:66" x14ac:dyDescent="0.35">
      <c r="A335">
        <f>'mk 001 10.3'!A336</f>
        <v>0</v>
      </c>
      <c r="B335">
        <f>'mk 001 10.3'!B336</f>
        <v>0</v>
      </c>
      <c r="C335" s="1">
        <f>'mk 001 10.3'!C336</f>
        <v>0</v>
      </c>
      <c r="D335" s="1">
        <f>'mk 001 10.3'!D336</f>
        <v>0</v>
      </c>
      <c r="E335">
        <f>'mk 001 10.3'!E336</f>
        <v>0</v>
      </c>
      <c r="F335">
        <f>'mk 001 10.3'!F336</f>
        <v>0</v>
      </c>
      <c r="G335">
        <f>'mk 001 10.3'!G336</f>
        <v>0</v>
      </c>
      <c r="H335">
        <f>'mk 001 10.3'!H336</f>
        <v>0</v>
      </c>
      <c r="I335">
        <f>'mk 001 10.3'!I336</f>
        <v>0</v>
      </c>
      <c r="J335">
        <f>'mk 001 10.3'!J336</f>
        <v>0</v>
      </c>
      <c r="K335">
        <f>'mk 001 10.3'!K336</f>
        <v>0</v>
      </c>
      <c r="L335">
        <f>'mk 001 10.3'!L336</f>
        <v>0</v>
      </c>
      <c r="M335">
        <f>'mk 001 10.3'!M336</f>
        <v>0</v>
      </c>
      <c r="N335">
        <f>'mk 001 10.3'!N336</f>
        <v>0</v>
      </c>
      <c r="O335">
        <f>'mk 001 10.3'!O336</f>
        <v>0</v>
      </c>
      <c r="P335">
        <f>'mk 001 10.3'!P336</f>
        <v>0</v>
      </c>
      <c r="Q335">
        <f>'mk 001 10.3'!Q336</f>
        <v>0</v>
      </c>
      <c r="R335" s="1">
        <f>'mk 001 10.3'!R336</f>
        <v>0</v>
      </c>
      <c r="S335" s="1">
        <f>'mk 001 10.3'!S336</f>
        <v>0</v>
      </c>
      <c r="T335">
        <f>'mk 001 10.3'!T336</f>
        <v>0</v>
      </c>
      <c r="U335">
        <f>'mk 001 10.3'!U336</f>
        <v>0</v>
      </c>
      <c r="V335">
        <f>'mk 001 10.3'!V336</f>
        <v>0</v>
      </c>
      <c r="W335">
        <f>'mk 001 10.3'!W336</f>
        <v>0</v>
      </c>
      <c r="X335">
        <f>'mk 001 10.3'!X336</f>
        <v>0</v>
      </c>
      <c r="Y335">
        <f t="shared" si="5"/>
        <v>0</v>
      </c>
      <c r="Z335" s="13">
        <f>IF(COUNTIFS(แปลงข้อมูล!H:H,Q335,แปลงข้อมูล!I:I,U335,แปลงข้อมูล!J:J,V335)&gt;0,SUMIFS(แปลงข้อมูล!Q:Q,แปลงข้อมูล!I:I,U335,แปลงข้อมูล!H:H,Q335,แปลงข้อมูล!J:J,V335),'mk 001 10.3'!Z336)</f>
        <v>0</v>
      </c>
      <c r="AA335">
        <f>'mk 001 10.3'!AA336</f>
        <v>0</v>
      </c>
      <c r="AB335">
        <f>'mk 001 10.3'!AB336</f>
        <v>0</v>
      </c>
      <c r="AC335">
        <f>'mk 001 10.3'!AC336</f>
        <v>0</v>
      </c>
      <c r="AD335">
        <f>'mk 001 10.3'!AD336</f>
        <v>0</v>
      </c>
      <c r="AE335">
        <f>'mk 001 10.3'!AE336</f>
        <v>0</v>
      </c>
      <c r="AF335">
        <f>'mk 001 10.3'!AF336</f>
        <v>0</v>
      </c>
      <c r="AG335">
        <f>'mk 001 10.3'!AG336</f>
        <v>0</v>
      </c>
      <c r="AH335">
        <f>'mk 001 10.3'!AH336</f>
        <v>0</v>
      </c>
      <c r="AI335">
        <f>'mk 001 10.3'!AI336</f>
        <v>0</v>
      </c>
      <c r="AJ335">
        <f>'mk 001 10.3'!AJ336</f>
        <v>0</v>
      </c>
      <c r="AK335">
        <f>'mk 001 10.3'!AK336</f>
        <v>0</v>
      </c>
      <c r="AL335">
        <f>'mk 001 10.3'!AL336</f>
        <v>0</v>
      </c>
      <c r="AM335">
        <f>'mk 001 10.3'!AM336</f>
        <v>0</v>
      </c>
      <c r="AN335">
        <f>'mk 001 10.3'!AN336</f>
        <v>0</v>
      </c>
      <c r="AO335">
        <f>'mk 001 10.3'!AO336</f>
        <v>0</v>
      </c>
      <c r="AP335">
        <f>'mk 001 10.3'!AP336</f>
        <v>0</v>
      </c>
      <c r="AQ335">
        <f>'mk 001 10.3'!AQ336</f>
        <v>0</v>
      </c>
      <c r="AR335">
        <f>'mk 001 10.3'!AR336</f>
        <v>0</v>
      </c>
      <c r="AS335">
        <f>'mk 001 10.3'!AS336</f>
        <v>0</v>
      </c>
      <c r="AT335">
        <f>'mk 001 10.3'!AT336</f>
        <v>0</v>
      </c>
      <c r="AU335">
        <f>'mk 001 10.3'!AU336</f>
        <v>0</v>
      </c>
      <c r="AV335">
        <f>'mk 001 10.3'!AV336</f>
        <v>0</v>
      </c>
      <c r="AW335">
        <f>'mk 001 10.3'!AW336</f>
        <v>0</v>
      </c>
      <c r="AX335">
        <f>'mk 001 10.3'!AX336</f>
        <v>0</v>
      </c>
      <c r="AY335">
        <f>'mk 001 10.3'!AY336</f>
        <v>0</v>
      </c>
      <c r="AZ335">
        <f>'mk 001 10.3'!AZ336</f>
        <v>0</v>
      </c>
      <c r="BA335" s="22">
        <f>'mk 001 10.3'!BA336</f>
        <v>0</v>
      </c>
      <c r="BB335">
        <f>'mk 001 10.3'!BB336</f>
        <v>0</v>
      </c>
      <c r="BC335">
        <f>'mk 001 10.3'!BC336</f>
        <v>0</v>
      </c>
      <c r="BD335">
        <f>'mk 001 10.3'!BD336</f>
        <v>0</v>
      </c>
      <c r="BE335">
        <f>'mk 001 10.3'!BE336</f>
        <v>0</v>
      </c>
      <c r="BF335">
        <f>'mk 001 10.3'!BF336</f>
        <v>0</v>
      </c>
      <c r="BG335">
        <f>'mk 001 10.3'!BG336</f>
        <v>0</v>
      </c>
      <c r="BH335">
        <f>'mk 001 10.3'!BH336</f>
        <v>0</v>
      </c>
      <c r="BI335">
        <f>'mk 001 10.3'!BI336</f>
        <v>0</v>
      </c>
      <c r="BJ335">
        <f>'mk 001 10.3'!BJ336</f>
        <v>0</v>
      </c>
      <c r="BK335">
        <f>'mk 001 10.3'!BK336</f>
        <v>0</v>
      </c>
      <c r="BL335">
        <f>'mk 001 10.3'!BL336</f>
        <v>0</v>
      </c>
      <c r="BM335">
        <f>'mk 001 10.3'!BM336</f>
        <v>0</v>
      </c>
      <c r="BN335">
        <f>'mk 001 10.3'!BN336</f>
        <v>0</v>
      </c>
    </row>
    <row r="336" spans="1:66" x14ac:dyDescent="0.35">
      <c r="A336">
        <f>'mk 001 10.3'!A337</f>
        <v>0</v>
      </c>
      <c r="B336">
        <f>'mk 001 10.3'!B337</f>
        <v>0</v>
      </c>
      <c r="C336" s="1">
        <f>'mk 001 10.3'!C337</f>
        <v>0</v>
      </c>
      <c r="D336" s="1">
        <f>'mk 001 10.3'!D337</f>
        <v>0</v>
      </c>
      <c r="E336">
        <f>'mk 001 10.3'!E337</f>
        <v>0</v>
      </c>
      <c r="F336">
        <f>'mk 001 10.3'!F337</f>
        <v>0</v>
      </c>
      <c r="G336">
        <f>'mk 001 10.3'!G337</f>
        <v>0</v>
      </c>
      <c r="H336">
        <f>'mk 001 10.3'!H337</f>
        <v>0</v>
      </c>
      <c r="I336">
        <f>'mk 001 10.3'!I337</f>
        <v>0</v>
      </c>
      <c r="J336">
        <f>'mk 001 10.3'!J337</f>
        <v>0</v>
      </c>
      <c r="K336">
        <f>'mk 001 10.3'!K337</f>
        <v>0</v>
      </c>
      <c r="L336">
        <f>'mk 001 10.3'!L337</f>
        <v>0</v>
      </c>
      <c r="M336">
        <f>'mk 001 10.3'!M337</f>
        <v>0</v>
      </c>
      <c r="N336">
        <f>'mk 001 10.3'!N337</f>
        <v>0</v>
      </c>
      <c r="O336">
        <f>'mk 001 10.3'!O337</f>
        <v>0</v>
      </c>
      <c r="P336">
        <f>'mk 001 10.3'!P337</f>
        <v>0</v>
      </c>
      <c r="Q336">
        <f>'mk 001 10.3'!Q337</f>
        <v>0</v>
      </c>
      <c r="R336" s="1">
        <f>'mk 001 10.3'!R337</f>
        <v>0</v>
      </c>
      <c r="S336" s="1">
        <f>'mk 001 10.3'!S337</f>
        <v>0</v>
      </c>
      <c r="T336">
        <f>'mk 001 10.3'!T337</f>
        <v>0</v>
      </c>
      <c r="U336">
        <f>'mk 001 10.3'!U337</f>
        <v>0</v>
      </c>
      <c r="V336">
        <f>'mk 001 10.3'!V337</f>
        <v>0</v>
      </c>
      <c r="W336">
        <f>'mk 001 10.3'!W337</f>
        <v>0</v>
      </c>
      <c r="X336">
        <f>'mk 001 10.3'!X337</f>
        <v>0</v>
      </c>
      <c r="Y336">
        <f t="shared" si="5"/>
        <v>0</v>
      </c>
      <c r="Z336" s="13">
        <f>IF(COUNTIFS(แปลงข้อมูล!H:H,Q336,แปลงข้อมูล!I:I,U336,แปลงข้อมูล!J:J,V336)&gt;0,SUMIFS(แปลงข้อมูล!Q:Q,แปลงข้อมูล!I:I,U336,แปลงข้อมูล!H:H,Q336,แปลงข้อมูล!J:J,V336),'mk 001 10.3'!Z337)</f>
        <v>0</v>
      </c>
      <c r="AA336">
        <f>'mk 001 10.3'!AA337</f>
        <v>0</v>
      </c>
      <c r="AB336">
        <f>'mk 001 10.3'!AB337</f>
        <v>0</v>
      </c>
      <c r="AC336">
        <f>'mk 001 10.3'!AC337</f>
        <v>0</v>
      </c>
      <c r="AD336">
        <f>'mk 001 10.3'!AD337</f>
        <v>0</v>
      </c>
      <c r="AE336">
        <f>'mk 001 10.3'!AE337</f>
        <v>0</v>
      </c>
      <c r="AF336">
        <f>'mk 001 10.3'!AF337</f>
        <v>0</v>
      </c>
      <c r="AG336">
        <f>'mk 001 10.3'!AG337</f>
        <v>0</v>
      </c>
      <c r="AH336">
        <f>'mk 001 10.3'!AH337</f>
        <v>0</v>
      </c>
      <c r="AI336">
        <f>'mk 001 10.3'!AI337</f>
        <v>0</v>
      </c>
      <c r="AJ336">
        <f>'mk 001 10.3'!AJ337</f>
        <v>0</v>
      </c>
      <c r="AK336">
        <f>'mk 001 10.3'!AK337</f>
        <v>0</v>
      </c>
      <c r="AL336">
        <f>'mk 001 10.3'!AL337</f>
        <v>0</v>
      </c>
      <c r="AM336">
        <f>'mk 001 10.3'!AM337</f>
        <v>0</v>
      </c>
      <c r="AN336">
        <f>'mk 001 10.3'!AN337</f>
        <v>0</v>
      </c>
      <c r="AO336">
        <f>'mk 001 10.3'!AO337</f>
        <v>0</v>
      </c>
      <c r="AP336">
        <f>'mk 001 10.3'!AP337</f>
        <v>0</v>
      </c>
      <c r="AQ336">
        <f>'mk 001 10.3'!AQ337</f>
        <v>0</v>
      </c>
      <c r="AR336">
        <f>'mk 001 10.3'!AR337</f>
        <v>0</v>
      </c>
      <c r="AS336">
        <f>'mk 001 10.3'!AS337</f>
        <v>0</v>
      </c>
      <c r="AT336">
        <f>'mk 001 10.3'!AT337</f>
        <v>0</v>
      </c>
      <c r="AU336">
        <f>'mk 001 10.3'!AU337</f>
        <v>0</v>
      </c>
      <c r="AV336">
        <f>'mk 001 10.3'!AV337</f>
        <v>0</v>
      </c>
      <c r="AW336">
        <f>'mk 001 10.3'!AW337</f>
        <v>0</v>
      </c>
      <c r="AX336">
        <f>'mk 001 10.3'!AX337</f>
        <v>0</v>
      </c>
      <c r="AY336">
        <f>'mk 001 10.3'!AY337</f>
        <v>0</v>
      </c>
      <c r="AZ336">
        <f>'mk 001 10.3'!AZ337</f>
        <v>0</v>
      </c>
      <c r="BA336" s="22">
        <f>'mk 001 10.3'!BA337</f>
        <v>0</v>
      </c>
      <c r="BB336">
        <f>'mk 001 10.3'!BB337</f>
        <v>0</v>
      </c>
      <c r="BC336">
        <f>'mk 001 10.3'!BC337</f>
        <v>0</v>
      </c>
      <c r="BD336">
        <f>'mk 001 10.3'!BD337</f>
        <v>0</v>
      </c>
      <c r="BE336">
        <f>'mk 001 10.3'!BE337</f>
        <v>0</v>
      </c>
      <c r="BF336">
        <f>'mk 001 10.3'!BF337</f>
        <v>0</v>
      </c>
      <c r="BG336">
        <f>'mk 001 10.3'!BG337</f>
        <v>0</v>
      </c>
      <c r="BH336">
        <f>'mk 001 10.3'!BH337</f>
        <v>0</v>
      </c>
      <c r="BI336">
        <f>'mk 001 10.3'!BI337</f>
        <v>0</v>
      </c>
      <c r="BJ336">
        <f>'mk 001 10.3'!BJ337</f>
        <v>0</v>
      </c>
      <c r="BK336">
        <f>'mk 001 10.3'!BK337</f>
        <v>0</v>
      </c>
      <c r="BL336">
        <f>'mk 001 10.3'!BL337</f>
        <v>0</v>
      </c>
      <c r="BM336">
        <f>'mk 001 10.3'!BM337</f>
        <v>0</v>
      </c>
      <c r="BN336">
        <f>'mk 001 10.3'!BN337</f>
        <v>0</v>
      </c>
    </row>
    <row r="337" spans="1:66" x14ac:dyDescent="0.35">
      <c r="A337">
        <f>'mk 001 10.3'!A338</f>
        <v>0</v>
      </c>
      <c r="B337">
        <f>'mk 001 10.3'!B338</f>
        <v>0</v>
      </c>
      <c r="C337" s="1">
        <f>'mk 001 10.3'!C338</f>
        <v>0</v>
      </c>
      <c r="D337" s="1">
        <f>'mk 001 10.3'!D338</f>
        <v>0</v>
      </c>
      <c r="E337">
        <f>'mk 001 10.3'!E338</f>
        <v>0</v>
      </c>
      <c r="F337">
        <f>'mk 001 10.3'!F338</f>
        <v>0</v>
      </c>
      <c r="G337">
        <f>'mk 001 10.3'!G338</f>
        <v>0</v>
      </c>
      <c r="H337">
        <f>'mk 001 10.3'!H338</f>
        <v>0</v>
      </c>
      <c r="I337">
        <f>'mk 001 10.3'!I338</f>
        <v>0</v>
      </c>
      <c r="J337">
        <f>'mk 001 10.3'!J338</f>
        <v>0</v>
      </c>
      <c r="K337">
        <f>'mk 001 10.3'!K338</f>
        <v>0</v>
      </c>
      <c r="L337">
        <f>'mk 001 10.3'!L338</f>
        <v>0</v>
      </c>
      <c r="M337">
        <f>'mk 001 10.3'!M338</f>
        <v>0</v>
      </c>
      <c r="N337">
        <f>'mk 001 10.3'!N338</f>
        <v>0</v>
      </c>
      <c r="O337">
        <f>'mk 001 10.3'!O338</f>
        <v>0</v>
      </c>
      <c r="P337">
        <f>'mk 001 10.3'!P338</f>
        <v>0</v>
      </c>
      <c r="Q337">
        <f>'mk 001 10.3'!Q338</f>
        <v>0</v>
      </c>
      <c r="R337" s="1">
        <f>'mk 001 10.3'!R338</f>
        <v>0</v>
      </c>
      <c r="S337" s="1">
        <f>'mk 001 10.3'!S338</f>
        <v>0</v>
      </c>
      <c r="T337">
        <f>'mk 001 10.3'!T338</f>
        <v>0</v>
      </c>
      <c r="U337">
        <f>'mk 001 10.3'!U338</f>
        <v>0</v>
      </c>
      <c r="V337">
        <f>'mk 001 10.3'!V338</f>
        <v>0</v>
      </c>
      <c r="W337">
        <f>'mk 001 10.3'!W338</f>
        <v>0</v>
      </c>
      <c r="X337">
        <f>'mk 001 10.3'!X338</f>
        <v>0</v>
      </c>
      <c r="Y337">
        <f t="shared" si="5"/>
        <v>0</v>
      </c>
      <c r="Z337" s="13">
        <f>IF(COUNTIFS(แปลงข้อมูล!H:H,Q337,แปลงข้อมูล!I:I,U337,แปลงข้อมูล!J:J,V337)&gt;0,SUMIFS(แปลงข้อมูล!Q:Q,แปลงข้อมูล!I:I,U337,แปลงข้อมูล!H:H,Q337,แปลงข้อมูล!J:J,V337),'mk 001 10.3'!Z338)</f>
        <v>0</v>
      </c>
      <c r="AA337">
        <f>'mk 001 10.3'!AA338</f>
        <v>0</v>
      </c>
      <c r="AB337">
        <f>'mk 001 10.3'!AB338</f>
        <v>0</v>
      </c>
      <c r="AC337">
        <f>'mk 001 10.3'!AC338</f>
        <v>0</v>
      </c>
      <c r="AD337">
        <f>'mk 001 10.3'!AD338</f>
        <v>0</v>
      </c>
      <c r="AE337">
        <f>'mk 001 10.3'!AE338</f>
        <v>0</v>
      </c>
      <c r="AF337">
        <f>'mk 001 10.3'!AF338</f>
        <v>0</v>
      </c>
      <c r="AG337">
        <f>'mk 001 10.3'!AG338</f>
        <v>0</v>
      </c>
      <c r="AH337">
        <f>'mk 001 10.3'!AH338</f>
        <v>0</v>
      </c>
      <c r="AI337">
        <f>'mk 001 10.3'!AI338</f>
        <v>0</v>
      </c>
      <c r="AJ337">
        <f>'mk 001 10.3'!AJ338</f>
        <v>0</v>
      </c>
      <c r="AK337">
        <f>'mk 001 10.3'!AK338</f>
        <v>0</v>
      </c>
      <c r="AL337">
        <f>'mk 001 10.3'!AL338</f>
        <v>0</v>
      </c>
      <c r="AM337">
        <f>'mk 001 10.3'!AM338</f>
        <v>0</v>
      </c>
      <c r="AN337">
        <f>'mk 001 10.3'!AN338</f>
        <v>0</v>
      </c>
      <c r="AO337">
        <f>'mk 001 10.3'!AO338</f>
        <v>0</v>
      </c>
      <c r="AP337">
        <f>'mk 001 10.3'!AP338</f>
        <v>0</v>
      </c>
      <c r="AQ337">
        <f>'mk 001 10.3'!AQ338</f>
        <v>0</v>
      </c>
      <c r="AR337">
        <f>'mk 001 10.3'!AR338</f>
        <v>0</v>
      </c>
      <c r="AS337">
        <f>'mk 001 10.3'!AS338</f>
        <v>0</v>
      </c>
      <c r="AT337">
        <f>'mk 001 10.3'!AT338</f>
        <v>0</v>
      </c>
      <c r="AU337">
        <f>'mk 001 10.3'!AU338</f>
        <v>0</v>
      </c>
      <c r="AV337">
        <f>'mk 001 10.3'!AV338</f>
        <v>0</v>
      </c>
      <c r="AW337">
        <f>'mk 001 10.3'!AW338</f>
        <v>0</v>
      </c>
      <c r="AX337">
        <f>'mk 001 10.3'!AX338</f>
        <v>0</v>
      </c>
      <c r="AY337">
        <f>'mk 001 10.3'!AY338</f>
        <v>0</v>
      </c>
      <c r="AZ337">
        <f>'mk 001 10.3'!AZ338</f>
        <v>0</v>
      </c>
      <c r="BA337" s="22">
        <f>'mk 001 10.3'!BA338</f>
        <v>0</v>
      </c>
      <c r="BB337">
        <f>'mk 001 10.3'!BB338</f>
        <v>0</v>
      </c>
      <c r="BC337">
        <f>'mk 001 10.3'!BC338</f>
        <v>0</v>
      </c>
      <c r="BD337">
        <f>'mk 001 10.3'!BD338</f>
        <v>0</v>
      </c>
      <c r="BE337">
        <f>'mk 001 10.3'!BE338</f>
        <v>0</v>
      </c>
      <c r="BF337">
        <f>'mk 001 10.3'!BF338</f>
        <v>0</v>
      </c>
      <c r="BG337">
        <f>'mk 001 10.3'!BG338</f>
        <v>0</v>
      </c>
      <c r="BH337">
        <f>'mk 001 10.3'!BH338</f>
        <v>0</v>
      </c>
      <c r="BI337">
        <f>'mk 001 10.3'!BI338</f>
        <v>0</v>
      </c>
      <c r="BJ337">
        <f>'mk 001 10.3'!BJ338</f>
        <v>0</v>
      </c>
      <c r="BK337">
        <f>'mk 001 10.3'!BK338</f>
        <v>0</v>
      </c>
      <c r="BL337">
        <f>'mk 001 10.3'!BL338</f>
        <v>0</v>
      </c>
      <c r="BM337">
        <f>'mk 001 10.3'!BM338</f>
        <v>0</v>
      </c>
      <c r="BN337">
        <f>'mk 001 10.3'!BN338</f>
        <v>0</v>
      </c>
    </row>
    <row r="338" spans="1:66" x14ac:dyDescent="0.35">
      <c r="A338">
        <f>'mk 001 10.3'!A339</f>
        <v>0</v>
      </c>
      <c r="B338">
        <f>'mk 001 10.3'!B339</f>
        <v>0</v>
      </c>
      <c r="C338" s="1">
        <f>'mk 001 10.3'!C339</f>
        <v>0</v>
      </c>
      <c r="D338" s="1">
        <f>'mk 001 10.3'!D339</f>
        <v>0</v>
      </c>
      <c r="E338">
        <f>'mk 001 10.3'!E339</f>
        <v>0</v>
      </c>
      <c r="F338">
        <f>'mk 001 10.3'!F339</f>
        <v>0</v>
      </c>
      <c r="G338">
        <f>'mk 001 10.3'!G339</f>
        <v>0</v>
      </c>
      <c r="H338">
        <f>'mk 001 10.3'!H339</f>
        <v>0</v>
      </c>
      <c r="I338">
        <f>'mk 001 10.3'!I339</f>
        <v>0</v>
      </c>
      <c r="J338">
        <f>'mk 001 10.3'!J339</f>
        <v>0</v>
      </c>
      <c r="K338">
        <f>'mk 001 10.3'!K339</f>
        <v>0</v>
      </c>
      <c r="L338">
        <f>'mk 001 10.3'!L339</f>
        <v>0</v>
      </c>
      <c r="M338">
        <f>'mk 001 10.3'!M339</f>
        <v>0</v>
      </c>
      <c r="N338">
        <f>'mk 001 10.3'!N339</f>
        <v>0</v>
      </c>
      <c r="O338">
        <f>'mk 001 10.3'!O339</f>
        <v>0</v>
      </c>
      <c r="P338">
        <f>'mk 001 10.3'!P339</f>
        <v>0</v>
      </c>
      <c r="Q338">
        <f>'mk 001 10.3'!Q339</f>
        <v>0</v>
      </c>
      <c r="R338" s="1">
        <f>'mk 001 10.3'!R339</f>
        <v>0</v>
      </c>
      <c r="S338" s="1">
        <f>'mk 001 10.3'!S339</f>
        <v>0</v>
      </c>
      <c r="T338">
        <f>'mk 001 10.3'!T339</f>
        <v>0</v>
      </c>
      <c r="U338">
        <f>'mk 001 10.3'!U339</f>
        <v>0</v>
      </c>
      <c r="V338">
        <f>'mk 001 10.3'!V339</f>
        <v>0</v>
      </c>
      <c r="W338">
        <f>'mk 001 10.3'!W339</f>
        <v>0</v>
      </c>
      <c r="X338">
        <f>'mk 001 10.3'!X339</f>
        <v>0</v>
      </c>
      <c r="Y338">
        <f t="shared" si="5"/>
        <v>0</v>
      </c>
      <c r="Z338" s="13">
        <f>IF(COUNTIFS(แปลงข้อมูล!H:H,Q338,แปลงข้อมูล!I:I,U338,แปลงข้อมูล!J:J,V338)&gt;0,SUMIFS(แปลงข้อมูล!Q:Q,แปลงข้อมูล!I:I,U338,แปลงข้อมูล!H:H,Q338,แปลงข้อมูล!J:J,V338),'mk 001 10.3'!Z339)</f>
        <v>0</v>
      </c>
      <c r="AA338">
        <f>'mk 001 10.3'!AA339</f>
        <v>0</v>
      </c>
      <c r="AB338">
        <f>'mk 001 10.3'!AB339</f>
        <v>0</v>
      </c>
      <c r="AC338">
        <f>'mk 001 10.3'!AC339</f>
        <v>0</v>
      </c>
      <c r="AD338">
        <f>'mk 001 10.3'!AD339</f>
        <v>0</v>
      </c>
      <c r="AE338">
        <f>'mk 001 10.3'!AE339</f>
        <v>0</v>
      </c>
      <c r="AF338">
        <f>'mk 001 10.3'!AF339</f>
        <v>0</v>
      </c>
      <c r="AG338">
        <f>'mk 001 10.3'!AG339</f>
        <v>0</v>
      </c>
      <c r="AH338">
        <f>'mk 001 10.3'!AH339</f>
        <v>0</v>
      </c>
      <c r="AI338">
        <f>'mk 001 10.3'!AI339</f>
        <v>0</v>
      </c>
      <c r="AJ338">
        <f>'mk 001 10.3'!AJ339</f>
        <v>0</v>
      </c>
      <c r="AK338">
        <f>'mk 001 10.3'!AK339</f>
        <v>0</v>
      </c>
      <c r="AL338">
        <f>'mk 001 10.3'!AL339</f>
        <v>0</v>
      </c>
      <c r="AM338">
        <f>'mk 001 10.3'!AM339</f>
        <v>0</v>
      </c>
      <c r="AN338">
        <f>'mk 001 10.3'!AN339</f>
        <v>0</v>
      </c>
      <c r="AO338">
        <f>'mk 001 10.3'!AO339</f>
        <v>0</v>
      </c>
      <c r="AP338">
        <f>'mk 001 10.3'!AP339</f>
        <v>0</v>
      </c>
      <c r="AQ338">
        <f>'mk 001 10.3'!AQ339</f>
        <v>0</v>
      </c>
      <c r="AR338">
        <f>'mk 001 10.3'!AR339</f>
        <v>0</v>
      </c>
      <c r="AS338">
        <f>'mk 001 10.3'!AS339</f>
        <v>0</v>
      </c>
      <c r="AT338">
        <f>'mk 001 10.3'!AT339</f>
        <v>0</v>
      </c>
      <c r="AU338">
        <f>'mk 001 10.3'!AU339</f>
        <v>0</v>
      </c>
      <c r="AV338">
        <f>'mk 001 10.3'!AV339</f>
        <v>0</v>
      </c>
      <c r="AW338">
        <f>'mk 001 10.3'!AW339</f>
        <v>0</v>
      </c>
      <c r="AX338">
        <f>'mk 001 10.3'!AX339</f>
        <v>0</v>
      </c>
      <c r="AY338">
        <f>'mk 001 10.3'!AY339</f>
        <v>0</v>
      </c>
      <c r="AZ338">
        <f>'mk 001 10.3'!AZ339</f>
        <v>0</v>
      </c>
      <c r="BA338" s="22">
        <f>'mk 001 10.3'!BA339</f>
        <v>0</v>
      </c>
      <c r="BB338">
        <f>'mk 001 10.3'!BB339</f>
        <v>0</v>
      </c>
      <c r="BC338">
        <f>'mk 001 10.3'!BC339</f>
        <v>0</v>
      </c>
      <c r="BD338">
        <f>'mk 001 10.3'!BD339</f>
        <v>0</v>
      </c>
      <c r="BE338">
        <f>'mk 001 10.3'!BE339</f>
        <v>0</v>
      </c>
      <c r="BF338">
        <f>'mk 001 10.3'!BF339</f>
        <v>0</v>
      </c>
      <c r="BG338">
        <f>'mk 001 10.3'!BG339</f>
        <v>0</v>
      </c>
      <c r="BH338">
        <f>'mk 001 10.3'!BH339</f>
        <v>0</v>
      </c>
      <c r="BI338">
        <f>'mk 001 10.3'!BI339</f>
        <v>0</v>
      </c>
      <c r="BJ338">
        <f>'mk 001 10.3'!BJ339</f>
        <v>0</v>
      </c>
      <c r="BK338">
        <f>'mk 001 10.3'!BK339</f>
        <v>0</v>
      </c>
      <c r="BL338">
        <f>'mk 001 10.3'!BL339</f>
        <v>0</v>
      </c>
      <c r="BM338">
        <f>'mk 001 10.3'!BM339</f>
        <v>0</v>
      </c>
      <c r="BN338">
        <f>'mk 001 10.3'!BN339</f>
        <v>0</v>
      </c>
    </row>
    <row r="339" spans="1:66" x14ac:dyDescent="0.35">
      <c r="A339">
        <f>'mk 001 10.3'!A340</f>
        <v>0</v>
      </c>
      <c r="B339">
        <f>'mk 001 10.3'!B340</f>
        <v>0</v>
      </c>
      <c r="C339" s="1">
        <f>'mk 001 10.3'!C340</f>
        <v>0</v>
      </c>
      <c r="D339" s="1">
        <f>'mk 001 10.3'!D340</f>
        <v>0</v>
      </c>
      <c r="E339">
        <f>'mk 001 10.3'!E340</f>
        <v>0</v>
      </c>
      <c r="F339">
        <f>'mk 001 10.3'!F340</f>
        <v>0</v>
      </c>
      <c r="G339">
        <f>'mk 001 10.3'!G340</f>
        <v>0</v>
      </c>
      <c r="H339">
        <f>'mk 001 10.3'!H340</f>
        <v>0</v>
      </c>
      <c r="I339">
        <f>'mk 001 10.3'!I340</f>
        <v>0</v>
      </c>
      <c r="J339">
        <f>'mk 001 10.3'!J340</f>
        <v>0</v>
      </c>
      <c r="K339">
        <f>'mk 001 10.3'!K340</f>
        <v>0</v>
      </c>
      <c r="L339">
        <f>'mk 001 10.3'!L340</f>
        <v>0</v>
      </c>
      <c r="M339">
        <f>'mk 001 10.3'!M340</f>
        <v>0</v>
      </c>
      <c r="N339">
        <f>'mk 001 10.3'!N340</f>
        <v>0</v>
      </c>
      <c r="O339">
        <f>'mk 001 10.3'!O340</f>
        <v>0</v>
      </c>
      <c r="P339">
        <f>'mk 001 10.3'!P340</f>
        <v>0</v>
      </c>
      <c r="Q339">
        <f>'mk 001 10.3'!Q340</f>
        <v>0</v>
      </c>
      <c r="R339" s="1">
        <f>'mk 001 10.3'!R340</f>
        <v>0</v>
      </c>
      <c r="S339" s="1">
        <f>'mk 001 10.3'!S340</f>
        <v>0</v>
      </c>
      <c r="T339">
        <f>'mk 001 10.3'!T340</f>
        <v>0</v>
      </c>
      <c r="U339">
        <f>'mk 001 10.3'!U340</f>
        <v>0</v>
      </c>
      <c r="V339">
        <f>'mk 001 10.3'!V340</f>
        <v>0</v>
      </c>
      <c r="W339">
        <f>'mk 001 10.3'!W340</f>
        <v>0</v>
      </c>
      <c r="X339">
        <f>'mk 001 10.3'!X340</f>
        <v>0</v>
      </c>
      <c r="Y339">
        <f t="shared" si="5"/>
        <v>0</v>
      </c>
      <c r="Z339" s="13">
        <f>IF(COUNTIFS(แปลงข้อมูล!H:H,Q339,แปลงข้อมูล!I:I,U339,แปลงข้อมูล!J:J,V339)&gt;0,SUMIFS(แปลงข้อมูล!Q:Q,แปลงข้อมูล!I:I,U339,แปลงข้อมูล!H:H,Q339,แปลงข้อมูล!J:J,V339),'mk 001 10.3'!Z340)</f>
        <v>0</v>
      </c>
      <c r="AA339">
        <f>'mk 001 10.3'!AA340</f>
        <v>0</v>
      </c>
      <c r="AB339">
        <f>'mk 001 10.3'!AB340</f>
        <v>0</v>
      </c>
      <c r="AC339">
        <f>'mk 001 10.3'!AC340</f>
        <v>0</v>
      </c>
      <c r="AD339">
        <f>'mk 001 10.3'!AD340</f>
        <v>0</v>
      </c>
      <c r="AE339">
        <f>'mk 001 10.3'!AE340</f>
        <v>0</v>
      </c>
      <c r="AF339">
        <f>'mk 001 10.3'!AF340</f>
        <v>0</v>
      </c>
      <c r="AG339">
        <f>'mk 001 10.3'!AG340</f>
        <v>0</v>
      </c>
      <c r="AH339">
        <f>'mk 001 10.3'!AH340</f>
        <v>0</v>
      </c>
      <c r="AI339">
        <f>'mk 001 10.3'!AI340</f>
        <v>0</v>
      </c>
      <c r="AJ339">
        <f>'mk 001 10.3'!AJ340</f>
        <v>0</v>
      </c>
      <c r="AK339">
        <f>'mk 001 10.3'!AK340</f>
        <v>0</v>
      </c>
      <c r="AL339">
        <f>'mk 001 10.3'!AL340</f>
        <v>0</v>
      </c>
      <c r="AM339">
        <f>'mk 001 10.3'!AM340</f>
        <v>0</v>
      </c>
      <c r="AN339">
        <f>'mk 001 10.3'!AN340</f>
        <v>0</v>
      </c>
      <c r="AO339">
        <f>'mk 001 10.3'!AO340</f>
        <v>0</v>
      </c>
      <c r="AP339">
        <f>'mk 001 10.3'!AP340</f>
        <v>0</v>
      </c>
      <c r="AQ339">
        <f>'mk 001 10.3'!AQ340</f>
        <v>0</v>
      </c>
      <c r="AR339">
        <f>'mk 001 10.3'!AR340</f>
        <v>0</v>
      </c>
      <c r="AS339">
        <f>'mk 001 10.3'!AS340</f>
        <v>0</v>
      </c>
      <c r="AT339">
        <f>'mk 001 10.3'!AT340</f>
        <v>0</v>
      </c>
      <c r="AU339">
        <f>'mk 001 10.3'!AU340</f>
        <v>0</v>
      </c>
      <c r="AV339">
        <f>'mk 001 10.3'!AV340</f>
        <v>0</v>
      </c>
      <c r="AW339">
        <f>'mk 001 10.3'!AW340</f>
        <v>0</v>
      </c>
      <c r="AX339">
        <f>'mk 001 10.3'!AX340</f>
        <v>0</v>
      </c>
      <c r="AY339">
        <f>'mk 001 10.3'!AY340</f>
        <v>0</v>
      </c>
      <c r="AZ339">
        <f>'mk 001 10.3'!AZ340</f>
        <v>0</v>
      </c>
      <c r="BA339" s="22">
        <f>'mk 001 10.3'!BA340</f>
        <v>0</v>
      </c>
      <c r="BB339">
        <f>'mk 001 10.3'!BB340</f>
        <v>0</v>
      </c>
      <c r="BC339">
        <f>'mk 001 10.3'!BC340</f>
        <v>0</v>
      </c>
      <c r="BD339">
        <f>'mk 001 10.3'!BD340</f>
        <v>0</v>
      </c>
      <c r="BE339">
        <f>'mk 001 10.3'!BE340</f>
        <v>0</v>
      </c>
      <c r="BF339">
        <f>'mk 001 10.3'!BF340</f>
        <v>0</v>
      </c>
      <c r="BG339">
        <f>'mk 001 10.3'!BG340</f>
        <v>0</v>
      </c>
      <c r="BH339">
        <f>'mk 001 10.3'!BH340</f>
        <v>0</v>
      </c>
      <c r="BI339">
        <f>'mk 001 10.3'!BI340</f>
        <v>0</v>
      </c>
      <c r="BJ339">
        <f>'mk 001 10.3'!BJ340</f>
        <v>0</v>
      </c>
      <c r="BK339">
        <f>'mk 001 10.3'!BK340</f>
        <v>0</v>
      </c>
      <c r="BL339">
        <f>'mk 001 10.3'!BL340</f>
        <v>0</v>
      </c>
      <c r="BM339">
        <f>'mk 001 10.3'!BM340</f>
        <v>0</v>
      </c>
      <c r="BN339">
        <f>'mk 001 10.3'!BN340</f>
        <v>0</v>
      </c>
    </row>
    <row r="340" spans="1:66" x14ac:dyDescent="0.35">
      <c r="A340">
        <f>'mk 001 10.3'!A341</f>
        <v>0</v>
      </c>
      <c r="B340">
        <f>'mk 001 10.3'!B341</f>
        <v>0</v>
      </c>
      <c r="C340" s="1">
        <f>'mk 001 10.3'!C341</f>
        <v>0</v>
      </c>
      <c r="D340" s="1">
        <f>'mk 001 10.3'!D341</f>
        <v>0</v>
      </c>
      <c r="E340">
        <f>'mk 001 10.3'!E341</f>
        <v>0</v>
      </c>
      <c r="F340">
        <f>'mk 001 10.3'!F341</f>
        <v>0</v>
      </c>
      <c r="G340">
        <f>'mk 001 10.3'!G341</f>
        <v>0</v>
      </c>
      <c r="H340">
        <f>'mk 001 10.3'!H341</f>
        <v>0</v>
      </c>
      <c r="I340">
        <f>'mk 001 10.3'!I341</f>
        <v>0</v>
      </c>
      <c r="J340">
        <f>'mk 001 10.3'!J341</f>
        <v>0</v>
      </c>
      <c r="K340">
        <f>'mk 001 10.3'!K341</f>
        <v>0</v>
      </c>
      <c r="L340">
        <f>'mk 001 10.3'!L341</f>
        <v>0</v>
      </c>
      <c r="M340">
        <f>'mk 001 10.3'!M341</f>
        <v>0</v>
      </c>
      <c r="N340">
        <f>'mk 001 10.3'!N341</f>
        <v>0</v>
      </c>
      <c r="O340">
        <f>'mk 001 10.3'!O341</f>
        <v>0</v>
      </c>
      <c r="P340">
        <f>'mk 001 10.3'!P341</f>
        <v>0</v>
      </c>
      <c r="Q340">
        <f>'mk 001 10.3'!Q341</f>
        <v>0</v>
      </c>
      <c r="R340" s="1">
        <f>'mk 001 10.3'!R341</f>
        <v>0</v>
      </c>
      <c r="S340" s="1">
        <f>'mk 001 10.3'!S341</f>
        <v>0</v>
      </c>
      <c r="T340">
        <f>'mk 001 10.3'!T341</f>
        <v>0</v>
      </c>
      <c r="U340">
        <f>'mk 001 10.3'!U341</f>
        <v>0</v>
      </c>
      <c r="V340">
        <f>'mk 001 10.3'!V341</f>
        <v>0</v>
      </c>
      <c r="W340">
        <f>'mk 001 10.3'!W341</f>
        <v>0</v>
      </c>
      <c r="X340">
        <f>'mk 001 10.3'!X341</f>
        <v>0</v>
      </c>
      <c r="Y340">
        <f t="shared" si="5"/>
        <v>0</v>
      </c>
      <c r="Z340" s="13">
        <f>IF(COUNTIFS(แปลงข้อมูล!H:H,Q340,แปลงข้อมูล!I:I,U340,แปลงข้อมูล!J:J,V340)&gt;0,SUMIFS(แปลงข้อมูล!Q:Q,แปลงข้อมูล!I:I,U340,แปลงข้อมูล!H:H,Q340,แปลงข้อมูล!J:J,V340),'mk 001 10.3'!Z341)</f>
        <v>0</v>
      </c>
      <c r="AA340">
        <f>'mk 001 10.3'!AA341</f>
        <v>0</v>
      </c>
      <c r="AB340">
        <f>'mk 001 10.3'!AB341</f>
        <v>0</v>
      </c>
      <c r="AC340">
        <f>'mk 001 10.3'!AC341</f>
        <v>0</v>
      </c>
      <c r="AD340">
        <f>'mk 001 10.3'!AD341</f>
        <v>0</v>
      </c>
      <c r="AE340">
        <f>'mk 001 10.3'!AE341</f>
        <v>0</v>
      </c>
      <c r="AF340">
        <f>'mk 001 10.3'!AF341</f>
        <v>0</v>
      </c>
      <c r="AG340">
        <f>'mk 001 10.3'!AG341</f>
        <v>0</v>
      </c>
      <c r="AH340">
        <f>'mk 001 10.3'!AH341</f>
        <v>0</v>
      </c>
      <c r="AI340">
        <f>'mk 001 10.3'!AI341</f>
        <v>0</v>
      </c>
      <c r="AJ340">
        <f>'mk 001 10.3'!AJ341</f>
        <v>0</v>
      </c>
      <c r="AK340">
        <f>'mk 001 10.3'!AK341</f>
        <v>0</v>
      </c>
      <c r="AL340">
        <f>'mk 001 10.3'!AL341</f>
        <v>0</v>
      </c>
      <c r="AM340">
        <f>'mk 001 10.3'!AM341</f>
        <v>0</v>
      </c>
      <c r="AN340">
        <f>'mk 001 10.3'!AN341</f>
        <v>0</v>
      </c>
      <c r="AO340">
        <f>'mk 001 10.3'!AO341</f>
        <v>0</v>
      </c>
      <c r="AP340">
        <f>'mk 001 10.3'!AP341</f>
        <v>0</v>
      </c>
      <c r="AQ340">
        <f>'mk 001 10.3'!AQ341</f>
        <v>0</v>
      </c>
      <c r="AR340">
        <f>'mk 001 10.3'!AR341</f>
        <v>0</v>
      </c>
      <c r="AS340">
        <f>'mk 001 10.3'!AS341</f>
        <v>0</v>
      </c>
      <c r="AT340">
        <f>'mk 001 10.3'!AT341</f>
        <v>0</v>
      </c>
      <c r="AU340">
        <f>'mk 001 10.3'!AU341</f>
        <v>0</v>
      </c>
      <c r="AV340">
        <f>'mk 001 10.3'!AV341</f>
        <v>0</v>
      </c>
      <c r="AW340">
        <f>'mk 001 10.3'!AW341</f>
        <v>0</v>
      </c>
      <c r="AX340">
        <f>'mk 001 10.3'!AX341</f>
        <v>0</v>
      </c>
      <c r="AY340">
        <f>'mk 001 10.3'!AY341</f>
        <v>0</v>
      </c>
      <c r="AZ340">
        <f>'mk 001 10.3'!AZ341</f>
        <v>0</v>
      </c>
      <c r="BA340" s="22">
        <f>'mk 001 10.3'!BA341</f>
        <v>0</v>
      </c>
      <c r="BB340">
        <f>'mk 001 10.3'!BB341</f>
        <v>0</v>
      </c>
      <c r="BC340">
        <f>'mk 001 10.3'!BC341</f>
        <v>0</v>
      </c>
      <c r="BD340">
        <f>'mk 001 10.3'!BD341</f>
        <v>0</v>
      </c>
      <c r="BE340">
        <f>'mk 001 10.3'!BE341</f>
        <v>0</v>
      </c>
      <c r="BF340">
        <f>'mk 001 10.3'!BF341</f>
        <v>0</v>
      </c>
      <c r="BG340">
        <f>'mk 001 10.3'!BG341</f>
        <v>0</v>
      </c>
      <c r="BH340">
        <f>'mk 001 10.3'!BH341</f>
        <v>0</v>
      </c>
      <c r="BI340">
        <f>'mk 001 10.3'!BI341</f>
        <v>0</v>
      </c>
      <c r="BJ340">
        <f>'mk 001 10.3'!BJ341</f>
        <v>0</v>
      </c>
      <c r="BK340">
        <f>'mk 001 10.3'!BK341</f>
        <v>0</v>
      </c>
      <c r="BL340">
        <f>'mk 001 10.3'!BL341</f>
        <v>0</v>
      </c>
      <c r="BM340">
        <f>'mk 001 10.3'!BM341</f>
        <v>0</v>
      </c>
      <c r="BN340">
        <f>'mk 001 10.3'!BN341</f>
        <v>0</v>
      </c>
    </row>
    <row r="341" spans="1:66" x14ac:dyDescent="0.35">
      <c r="A341">
        <f>'mk 001 10.3'!A342</f>
        <v>0</v>
      </c>
      <c r="B341">
        <f>'mk 001 10.3'!B342</f>
        <v>0</v>
      </c>
      <c r="C341" s="1">
        <f>'mk 001 10.3'!C342</f>
        <v>0</v>
      </c>
      <c r="D341" s="1">
        <f>'mk 001 10.3'!D342</f>
        <v>0</v>
      </c>
      <c r="E341">
        <f>'mk 001 10.3'!E342</f>
        <v>0</v>
      </c>
      <c r="F341">
        <f>'mk 001 10.3'!F342</f>
        <v>0</v>
      </c>
      <c r="G341">
        <f>'mk 001 10.3'!G342</f>
        <v>0</v>
      </c>
      <c r="H341">
        <f>'mk 001 10.3'!H342</f>
        <v>0</v>
      </c>
      <c r="I341">
        <f>'mk 001 10.3'!I342</f>
        <v>0</v>
      </c>
      <c r="J341">
        <f>'mk 001 10.3'!J342</f>
        <v>0</v>
      </c>
      <c r="K341">
        <f>'mk 001 10.3'!K342</f>
        <v>0</v>
      </c>
      <c r="L341">
        <f>'mk 001 10.3'!L342</f>
        <v>0</v>
      </c>
      <c r="M341">
        <f>'mk 001 10.3'!M342</f>
        <v>0</v>
      </c>
      <c r="N341">
        <f>'mk 001 10.3'!N342</f>
        <v>0</v>
      </c>
      <c r="O341">
        <f>'mk 001 10.3'!O342</f>
        <v>0</v>
      </c>
      <c r="P341">
        <f>'mk 001 10.3'!P342</f>
        <v>0</v>
      </c>
      <c r="Q341">
        <f>'mk 001 10.3'!Q342</f>
        <v>0</v>
      </c>
      <c r="R341" s="1">
        <f>'mk 001 10.3'!R342</f>
        <v>0</v>
      </c>
      <c r="S341" s="1">
        <f>'mk 001 10.3'!S342</f>
        <v>0</v>
      </c>
      <c r="T341">
        <f>'mk 001 10.3'!T342</f>
        <v>0</v>
      </c>
      <c r="U341">
        <f>'mk 001 10.3'!U342</f>
        <v>0</v>
      </c>
      <c r="V341">
        <f>'mk 001 10.3'!V342</f>
        <v>0</v>
      </c>
      <c r="W341">
        <f>'mk 001 10.3'!W342</f>
        <v>0</v>
      </c>
      <c r="X341">
        <f>'mk 001 10.3'!X342</f>
        <v>0</v>
      </c>
      <c r="Y341">
        <f t="shared" si="5"/>
        <v>0</v>
      </c>
      <c r="Z341" s="13">
        <f>IF(COUNTIFS(แปลงข้อมูล!H:H,Q341,แปลงข้อมูล!I:I,U341,แปลงข้อมูล!J:J,V341)&gt;0,SUMIFS(แปลงข้อมูล!Q:Q,แปลงข้อมูล!I:I,U341,แปลงข้อมูล!H:H,Q341,แปลงข้อมูล!J:J,V341),'mk 001 10.3'!Z342)</f>
        <v>0</v>
      </c>
      <c r="AA341">
        <f>'mk 001 10.3'!AA342</f>
        <v>0</v>
      </c>
      <c r="AB341">
        <f>'mk 001 10.3'!AB342</f>
        <v>0</v>
      </c>
      <c r="AC341">
        <f>'mk 001 10.3'!AC342</f>
        <v>0</v>
      </c>
      <c r="AD341">
        <f>'mk 001 10.3'!AD342</f>
        <v>0</v>
      </c>
      <c r="AE341">
        <f>'mk 001 10.3'!AE342</f>
        <v>0</v>
      </c>
      <c r="AF341">
        <f>'mk 001 10.3'!AF342</f>
        <v>0</v>
      </c>
      <c r="AG341">
        <f>'mk 001 10.3'!AG342</f>
        <v>0</v>
      </c>
      <c r="AH341">
        <f>'mk 001 10.3'!AH342</f>
        <v>0</v>
      </c>
      <c r="AI341">
        <f>'mk 001 10.3'!AI342</f>
        <v>0</v>
      </c>
      <c r="AJ341">
        <f>'mk 001 10.3'!AJ342</f>
        <v>0</v>
      </c>
      <c r="AK341">
        <f>'mk 001 10.3'!AK342</f>
        <v>0</v>
      </c>
      <c r="AL341">
        <f>'mk 001 10.3'!AL342</f>
        <v>0</v>
      </c>
      <c r="AM341">
        <f>'mk 001 10.3'!AM342</f>
        <v>0</v>
      </c>
      <c r="AN341">
        <f>'mk 001 10.3'!AN342</f>
        <v>0</v>
      </c>
      <c r="AO341">
        <f>'mk 001 10.3'!AO342</f>
        <v>0</v>
      </c>
      <c r="AP341">
        <f>'mk 001 10.3'!AP342</f>
        <v>0</v>
      </c>
      <c r="AQ341">
        <f>'mk 001 10.3'!AQ342</f>
        <v>0</v>
      </c>
      <c r="AR341">
        <f>'mk 001 10.3'!AR342</f>
        <v>0</v>
      </c>
      <c r="AS341">
        <f>'mk 001 10.3'!AS342</f>
        <v>0</v>
      </c>
      <c r="AT341">
        <f>'mk 001 10.3'!AT342</f>
        <v>0</v>
      </c>
      <c r="AU341">
        <f>'mk 001 10.3'!AU342</f>
        <v>0</v>
      </c>
      <c r="AV341">
        <f>'mk 001 10.3'!AV342</f>
        <v>0</v>
      </c>
      <c r="AW341">
        <f>'mk 001 10.3'!AW342</f>
        <v>0</v>
      </c>
      <c r="AX341">
        <f>'mk 001 10.3'!AX342</f>
        <v>0</v>
      </c>
      <c r="AY341">
        <f>'mk 001 10.3'!AY342</f>
        <v>0</v>
      </c>
      <c r="AZ341">
        <f>'mk 001 10.3'!AZ342</f>
        <v>0</v>
      </c>
      <c r="BA341" s="22">
        <f>'mk 001 10.3'!BA342</f>
        <v>0</v>
      </c>
      <c r="BB341">
        <f>'mk 001 10.3'!BB342</f>
        <v>0</v>
      </c>
      <c r="BC341">
        <f>'mk 001 10.3'!BC342</f>
        <v>0</v>
      </c>
      <c r="BD341">
        <f>'mk 001 10.3'!BD342</f>
        <v>0</v>
      </c>
      <c r="BE341">
        <f>'mk 001 10.3'!BE342</f>
        <v>0</v>
      </c>
      <c r="BF341">
        <f>'mk 001 10.3'!BF342</f>
        <v>0</v>
      </c>
      <c r="BG341">
        <f>'mk 001 10.3'!BG342</f>
        <v>0</v>
      </c>
      <c r="BH341">
        <f>'mk 001 10.3'!BH342</f>
        <v>0</v>
      </c>
      <c r="BI341">
        <f>'mk 001 10.3'!BI342</f>
        <v>0</v>
      </c>
      <c r="BJ341">
        <f>'mk 001 10.3'!BJ342</f>
        <v>0</v>
      </c>
      <c r="BK341">
        <f>'mk 001 10.3'!BK342</f>
        <v>0</v>
      </c>
      <c r="BL341">
        <f>'mk 001 10.3'!BL342</f>
        <v>0</v>
      </c>
      <c r="BM341">
        <f>'mk 001 10.3'!BM342</f>
        <v>0</v>
      </c>
      <c r="BN341">
        <f>'mk 001 10.3'!BN342</f>
        <v>0</v>
      </c>
    </row>
    <row r="342" spans="1:66" x14ac:dyDescent="0.35">
      <c r="A342">
        <f>'mk 001 10.3'!A343</f>
        <v>0</v>
      </c>
      <c r="B342">
        <f>'mk 001 10.3'!B343</f>
        <v>0</v>
      </c>
      <c r="C342" s="1">
        <f>'mk 001 10.3'!C343</f>
        <v>0</v>
      </c>
      <c r="D342" s="1">
        <f>'mk 001 10.3'!D343</f>
        <v>0</v>
      </c>
      <c r="E342">
        <f>'mk 001 10.3'!E343</f>
        <v>0</v>
      </c>
      <c r="F342">
        <f>'mk 001 10.3'!F343</f>
        <v>0</v>
      </c>
      <c r="G342">
        <f>'mk 001 10.3'!G343</f>
        <v>0</v>
      </c>
      <c r="H342">
        <f>'mk 001 10.3'!H343</f>
        <v>0</v>
      </c>
      <c r="I342">
        <f>'mk 001 10.3'!I343</f>
        <v>0</v>
      </c>
      <c r="J342">
        <f>'mk 001 10.3'!J343</f>
        <v>0</v>
      </c>
      <c r="K342">
        <f>'mk 001 10.3'!K343</f>
        <v>0</v>
      </c>
      <c r="L342">
        <f>'mk 001 10.3'!L343</f>
        <v>0</v>
      </c>
      <c r="M342">
        <f>'mk 001 10.3'!M343</f>
        <v>0</v>
      </c>
      <c r="N342">
        <f>'mk 001 10.3'!N343</f>
        <v>0</v>
      </c>
      <c r="O342">
        <f>'mk 001 10.3'!O343</f>
        <v>0</v>
      </c>
      <c r="P342">
        <f>'mk 001 10.3'!P343</f>
        <v>0</v>
      </c>
      <c r="Q342">
        <f>'mk 001 10.3'!Q343</f>
        <v>0</v>
      </c>
      <c r="R342" s="1">
        <f>'mk 001 10.3'!R343</f>
        <v>0</v>
      </c>
      <c r="S342" s="1">
        <f>'mk 001 10.3'!S343</f>
        <v>0</v>
      </c>
      <c r="T342">
        <f>'mk 001 10.3'!T343</f>
        <v>0</v>
      </c>
      <c r="U342">
        <f>'mk 001 10.3'!U343</f>
        <v>0</v>
      </c>
      <c r="V342">
        <f>'mk 001 10.3'!V343</f>
        <v>0</v>
      </c>
      <c r="W342">
        <f>'mk 001 10.3'!W343</f>
        <v>0</v>
      </c>
      <c r="X342">
        <f>'mk 001 10.3'!X343</f>
        <v>0</v>
      </c>
      <c r="Y342">
        <f t="shared" si="5"/>
        <v>0</v>
      </c>
      <c r="Z342" s="13">
        <f>IF(COUNTIFS(แปลงข้อมูล!H:H,Q342,แปลงข้อมูล!I:I,U342,แปลงข้อมูล!J:J,V342)&gt;0,SUMIFS(แปลงข้อมูล!Q:Q,แปลงข้อมูล!I:I,U342,แปลงข้อมูล!H:H,Q342,แปลงข้อมูล!J:J,V342),'mk 001 10.3'!Z343)</f>
        <v>0</v>
      </c>
      <c r="AA342">
        <f>'mk 001 10.3'!AA343</f>
        <v>0</v>
      </c>
      <c r="AB342">
        <f>'mk 001 10.3'!AB343</f>
        <v>0</v>
      </c>
      <c r="AC342">
        <f>'mk 001 10.3'!AC343</f>
        <v>0</v>
      </c>
      <c r="AD342">
        <f>'mk 001 10.3'!AD343</f>
        <v>0</v>
      </c>
      <c r="AE342">
        <f>'mk 001 10.3'!AE343</f>
        <v>0</v>
      </c>
      <c r="AF342">
        <f>'mk 001 10.3'!AF343</f>
        <v>0</v>
      </c>
      <c r="AG342">
        <f>'mk 001 10.3'!AG343</f>
        <v>0</v>
      </c>
      <c r="AH342">
        <f>'mk 001 10.3'!AH343</f>
        <v>0</v>
      </c>
      <c r="AI342">
        <f>'mk 001 10.3'!AI343</f>
        <v>0</v>
      </c>
      <c r="AJ342">
        <f>'mk 001 10.3'!AJ343</f>
        <v>0</v>
      </c>
      <c r="AK342">
        <f>'mk 001 10.3'!AK343</f>
        <v>0</v>
      </c>
      <c r="AL342">
        <f>'mk 001 10.3'!AL343</f>
        <v>0</v>
      </c>
      <c r="AM342">
        <f>'mk 001 10.3'!AM343</f>
        <v>0</v>
      </c>
      <c r="AN342">
        <f>'mk 001 10.3'!AN343</f>
        <v>0</v>
      </c>
      <c r="AO342">
        <f>'mk 001 10.3'!AO343</f>
        <v>0</v>
      </c>
      <c r="AP342">
        <f>'mk 001 10.3'!AP343</f>
        <v>0</v>
      </c>
      <c r="AQ342">
        <f>'mk 001 10.3'!AQ343</f>
        <v>0</v>
      </c>
      <c r="AR342">
        <f>'mk 001 10.3'!AR343</f>
        <v>0</v>
      </c>
      <c r="AS342">
        <f>'mk 001 10.3'!AS343</f>
        <v>0</v>
      </c>
      <c r="AT342">
        <f>'mk 001 10.3'!AT343</f>
        <v>0</v>
      </c>
      <c r="AU342">
        <f>'mk 001 10.3'!AU343</f>
        <v>0</v>
      </c>
      <c r="AV342">
        <f>'mk 001 10.3'!AV343</f>
        <v>0</v>
      </c>
      <c r="AW342">
        <f>'mk 001 10.3'!AW343</f>
        <v>0</v>
      </c>
      <c r="AX342">
        <f>'mk 001 10.3'!AX343</f>
        <v>0</v>
      </c>
      <c r="AY342">
        <f>'mk 001 10.3'!AY343</f>
        <v>0</v>
      </c>
      <c r="AZ342">
        <f>'mk 001 10.3'!AZ343</f>
        <v>0</v>
      </c>
      <c r="BA342" s="22">
        <f>'mk 001 10.3'!BA343</f>
        <v>0</v>
      </c>
      <c r="BB342">
        <f>'mk 001 10.3'!BB343</f>
        <v>0</v>
      </c>
      <c r="BC342">
        <f>'mk 001 10.3'!BC343</f>
        <v>0</v>
      </c>
      <c r="BD342">
        <f>'mk 001 10.3'!BD343</f>
        <v>0</v>
      </c>
      <c r="BE342">
        <f>'mk 001 10.3'!BE343</f>
        <v>0</v>
      </c>
      <c r="BF342">
        <f>'mk 001 10.3'!BF343</f>
        <v>0</v>
      </c>
      <c r="BG342">
        <f>'mk 001 10.3'!BG343</f>
        <v>0</v>
      </c>
      <c r="BH342">
        <f>'mk 001 10.3'!BH343</f>
        <v>0</v>
      </c>
      <c r="BI342">
        <f>'mk 001 10.3'!BI343</f>
        <v>0</v>
      </c>
      <c r="BJ342">
        <f>'mk 001 10.3'!BJ343</f>
        <v>0</v>
      </c>
      <c r="BK342">
        <f>'mk 001 10.3'!BK343</f>
        <v>0</v>
      </c>
      <c r="BL342">
        <f>'mk 001 10.3'!BL343</f>
        <v>0</v>
      </c>
      <c r="BM342">
        <f>'mk 001 10.3'!BM343</f>
        <v>0</v>
      </c>
      <c r="BN342">
        <f>'mk 001 10.3'!BN343</f>
        <v>0</v>
      </c>
    </row>
    <row r="343" spans="1:66" x14ac:dyDescent="0.35">
      <c r="A343">
        <f>'mk 001 10.3'!A344</f>
        <v>0</v>
      </c>
      <c r="B343">
        <f>'mk 001 10.3'!B344</f>
        <v>0</v>
      </c>
      <c r="C343" s="1">
        <f>'mk 001 10.3'!C344</f>
        <v>0</v>
      </c>
      <c r="D343" s="1">
        <f>'mk 001 10.3'!D344</f>
        <v>0</v>
      </c>
      <c r="E343">
        <f>'mk 001 10.3'!E344</f>
        <v>0</v>
      </c>
      <c r="F343">
        <f>'mk 001 10.3'!F344</f>
        <v>0</v>
      </c>
      <c r="G343">
        <f>'mk 001 10.3'!G344</f>
        <v>0</v>
      </c>
      <c r="H343">
        <f>'mk 001 10.3'!H344</f>
        <v>0</v>
      </c>
      <c r="I343">
        <f>'mk 001 10.3'!I344</f>
        <v>0</v>
      </c>
      <c r="J343">
        <f>'mk 001 10.3'!J344</f>
        <v>0</v>
      </c>
      <c r="K343">
        <f>'mk 001 10.3'!K344</f>
        <v>0</v>
      </c>
      <c r="L343">
        <f>'mk 001 10.3'!L344</f>
        <v>0</v>
      </c>
      <c r="M343">
        <f>'mk 001 10.3'!M344</f>
        <v>0</v>
      </c>
      <c r="N343">
        <f>'mk 001 10.3'!N344</f>
        <v>0</v>
      </c>
      <c r="O343">
        <f>'mk 001 10.3'!O344</f>
        <v>0</v>
      </c>
      <c r="P343">
        <f>'mk 001 10.3'!P344</f>
        <v>0</v>
      </c>
      <c r="Q343">
        <f>'mk 001 10.3'!Q344</f>
        <v>0</v>
      </c>
      <c r="R343" s="1">
        <f>'mk 001 10.3'!R344</f>
        <v>0</v>
      </c>
      <c r="S343" s="1">
        <f>'mk 001 10.3'!S344</f>
        <v>0</v>
      </c>
      <c r="T343">
        <f>'mk 001 10.3'!T344</f>
        <v>0</v>
      </c>
      <c r="U343">
        <f>'mk 001 10.3'!U344</f>
        <v>0</v>
      </c>
      <c r="V343">
        <f>'mk 001 10.3'!V344</f>
        <v>0</v>
      </c>
      <c r="W343">
        <f>'mk 001 10.3'!W344</f>
        <v>0</v>
      </c>
      <c r="X343">
        <f>'mk 001 10.3'!X344</f>
        <v>0</v>
      </c>
      <c r="Y343">
        <f t="shared" si="5"/>
        <v>0</v>
      </c>
      <c r="Z343" s="13">
        <f>IF(COUNTIFS(แปลงข้อมูล!H:H,Q343,แปลงข้อมูล!I:I,U343,แปลงข้อมูล!J:J,V343)&gt;0,SUMIFS(แปลงข้อมูล!Q:Q,แปลงข้อมูล!I:I,U343,แปลงข้อมูล!H:H,Q343,แปลงข้อมูล!J:J,V343),'mk 001 10.3'!Z344)</f>
        <v>0</v>
      </c>
      <c r="AA343">
        <f>'mk 001 10.3'!AA344</f>
        <v>0</v>
      </c>
      <c r="AB343">
        <f>'mk 001 10.3'!AB344</f>
        <v>0</v>
      </c>
      <c r="AC343">
        <f>'mk 001 10.3'!AC344</f>
        <v>0</v>
      </c>
      <c r="AD343">
        <f>'mk 001 10.3'!AD344</f>
        <v>0</v>
      </c>
      <c r="AE343">
        <f>'mk 001 10.3'!AE344</f>
        <v>0</v>
      </c>
      <c r="AF343">
        <f>'mk 001 10.3'!AF344</f>
        <v>0</v>
      </c>
      <c r="AG343">
        <f>'mk 001 10.3'!AG344</f>
        <v>0</v>
      </c>
      <c r="AH343">
        <f>'mk 001 10.3'!AH344</f>
        <v>0</v>
      </c>
      <c r="AI343">
        <f>'mk 001 10.3'!AI344</f>
        <v>0</v>
      </c>
      <c r="AJ343">
        <f>'mk 001 10.3'!AJ344</f>
        <v>0</v>
      </c>
      <c r="AK343">
        <f>'mk 001 10.3'!AK344</f>
        <v>0</v>
      </c>
      <c r="AL343">
        <f>'mk 001 10.3'!AL344</f>
        <v>0</v>
      </c>
      <c r="AM343">
        <f>'mk 001 10.3'!AM344</f>
        <v>0</v>
      </c>
      <c r="AN343">
        <f>'mk 001 10.3'!AN344</f>
        <v>0</v>
      </c>
      <c r="AO343">
        <f>'mk 001 10.3'!AO344</f>
        <v>0</v>
      </c>
      <c r="AP343">
        <f>'mk 001 10.3'!AP344</f>
        <v>0</v>
      </c>
      <c r="AQ343">
        <f>'mk 001 10.3'!AQ344</f>
        <v>0</v>
      </c>
      <c r="AR343">
        <f>'mk 001 10.3'!AR344</f>
        <v>0</v>
      </c>
      <c r="AS343">
        <f>'mk 001 10.3'!AS344</f>
        <v>0</v>
      </c>
      <c r="AT343">
        <f>'mk 001 10.3'!AT344</f>
        <v>0</v>
      </c>
      <c r="AU343">
        <f>'mk 001 10.3'!AU344</f>
        <v>0</v>
      </c>
      <c r="AV343">
        <f>'mk 001 10.3'!AV344</f>
        <v>0</v>
      </c>
      <c r="AW343">
        <f>'mk 001 10.3'!AW344</f>
        <v>0</v>
      </c>
      <c r="AX343">
        <f>'mk 001 10.3'!AX344</f>
        <v>0</v>
      </c>
      <c r="AY343">
        <f>'mk 001 10.3'!AY344</f>
        <v>0</v>
      </c>
      <c r="AZ343">
        <f>'mk 001 10.3'!AZ344</f>
        <v>0</v>
      </c>
      <c r="BA343" s="22">
        <f>'mk 001 10.3'!BA344</f>
        <v>0</v>
      </c>
      <c r="BB343">
        <f>'mk 001 10.3'!BB344</f>
        <v>0</v>
      </c>
      <c r="BC343">
        <f>'mk 001 10.3'!BC344</f>
        <v>0</v>
      </c>
      <c r="BD343">
        <f>'mk 001 10.3'!BD344</f>
        <v>0</v>
      </c>
      <c r="BE343">
        <f>'mk 001 10.3'!BE344</f>
        <v>0</v>
      </c>
      <c r="BF343">
        <f>'mk 001 10.3'!BF344</f>
        <v>0</v>
      </c>
      <c r="BG343">
        <f>'mk 001 10.3'!BG344</f>
        <v>0</v>
      </c>
      <c r="BH343">
        <f>'mk 001 10.3'!BH344</f>
        <v>0</v>
      </c>
      <c r="BI343">
        <f>'mk 001 10.3'!BI344</f>
        <v>0</v>
      </c>
      <c r="BJ343">
        <f>'mk 001 10.3'!BJ344</f>
        <v>0</v>
      </c>
      <c r="BK343">
        <f>'mk 001 10.3'!BK344</f>
        <v>0</v>
      </c>
      <c r="BL343">
        <f>'mk 001 10.3'!BL344</f>
        <v>0</v>
      </c>
      <c r="BM343">
        <f>'mk 001 10.3'!BM344</f>
        <v>0</v>
      </c>
      <c r="BN343">
        <f>'mk 001 10.3'!BN344</f>
        <v>0</v>
      </c>
    </row>
    <row r="344" spans="1:66" x14ac:dyDescent="0.35">
      <c r="A344">
        <f>'mk 001 10.3'!A345</f>
        <v>0</v>
      </c>
      <c r="B344">
        <f>'mk 001 10.3'!B345</f>
        <v>0</v>
      </c>
      <c r="C344" s="1">
        <f>'mk 001 10.3'!C345</f>
        <v>0</v>
      </c>
      <c r="D344" s="1">
        <f>'mk 001 10.3'!D345</f>
        <v>0</v>
      </c>
      <c r="E344">
        <f>'mk 001 10.3'!E345</f>
        <v>0</v>
      </c>
      <c r="F344">
        <f>'mk 001 10.3'!F345</f>
        <v>0</v>
      </c>
      <c r="G344">
        <f>'mk 001 10.3'!G345</f>
        <v>0</v>
      </c>
      <c r="H344">
        <f>'mk 001 10.3'!H345</f>
        <v>0</v>
      </c>
      <c r="I344">
        <f>'mk 001 10.3'!I345</f>
        <v>0</v>
      </c>
      <c r="J344">
        <f>'mk 001 10.3'!J345</f>
        <v>0</v>
      </c>
      <c r="K344">
        <f>'mk 001 10.3'!K345</f>
        <v>0</v>
      </c>
      <c r="L344">
        <f>'mk 001 10.3'!L345</f>
        <v>0</v>
      </c>
      <c r="M344">
        <f>'mk 001 10.3'!M345</f>
        <v>0</v>
      </c>
      <c r="N344">
        <f>'mk 001 10.3'!N345</f>
        <v>0</v>
      </c>
      <c r="O344">
        <f>'mk 001 10.3'!O345</f>
        <v>0</v>
      </c>
      <c r="P344">
        <f>'mk 001 10.3'!P345</f>
        <v>0</v>
      </c>
      <c r="Q344">
        <f>'mk 001 10.3'!Q345</f>
        <v>0</v>
      </c>
      <c r="R344" s="1">
        <f>'mk 001 10.3'!R345</f>
        <v>0</v>
      </c>
      <c r="S344" s="1">
        <f>'mk 001 10.3'!S345</f>
        <v>0</v>
      </c>
      <c r="T344">
        <f>'mk 001 10.3'!T345</f>
        <v>0</v>
      </c>
      <c r="U344">
        <f>'mk 001 10.3'!U345</f>
        <v>0</v>
      </c>
      <c r="V344">
        <f>'mk 001 10.3'!V345</f>
        <v>0</v>
      </c>
      <c r="W344">
        <f>'mk 001 10.3'!W345</f>
        <v>0</v>
      </c>
      <c r="X344">
        <f>'mk 001 10.3'!X345</f>
        <v>0</v>
      </c>
      <c r="Y344">
        <f t="shared" si="5"/>
        <v>0</v>
      </c>
      <c r="Z344" s="13">
        <f>IF(COUNTIFS(แปลงข้อมูล!H:H,Q344,แปลงข้อมูล!I:I,U344,แปลงข้อมูล!J:J,V344)&gt;0,SUMIFS(แปลงข้อมูล!Q:Q,แปลงข้อมูล!I:I,U344,แปลงข้อมูล!H:H,Q344,แปลงข้อมูล!J:J,V344),'mk 001 10.3'!Z345)</f>
        <v>0</v>
      </c>
      <c r="AA344">
        <f>'mk 001 10.3'!AA345</f>
        <v>0</v>
      </c>
      <c r="AB344">
        <f>'mk 001 10.3'!AB345</f>
        <v>0</v>
      </c>
      <c r="AC344">
        <f>'mk 001 10.3'!AC345</f>
        <v>0</v>
      </c>
      <c r="AD344">
        <f>'mk 001 10.3'!AD345</f>
        <v>0</v>
      </c>
      <c r="AE344">
        <f>'mk 001 10.3'!AE345</f>
        <v>0</v>
      </c>
      <c r="AF344">
        <f>'mk 001 10.3'!AF345</f>
        <v>0</v>
      </c>
      <c r="AG344">
        <f>'mk 001 10.3'!AG345</f>
        <v>0</v>
      </c>
      <c r="AH344">
        <f>'mk 001 10.3'!AH345</f>
        <v>0</v>
      </c>
      <c r="AI344">
        <f>'mk 001 10.3'!AI345</f>
        <v>0</v>
      </c>
      <c r="AJ344">
        <f>'mk 001 10.3'!AJ345</f>
        <v>0</v>
      </c>
      <c r="AK344">
        <f>'mk 001 10.3'!AK345</f>
        <v>0</v>
      </c>
      <c r="AL344">
        <f>'mk 001 10.3'!AL345</f>
        <v>0</v>
      </c>
      <c r="AM344">
        <f>'mk 001 10.3'!AM345</f>
        <v>0</v>
      </c>
      <c r="AN344">
        <f>'mk 001 10.3'!AN345</f>
        <v>0</v>
      </c>
      <c r="AO344">
        <f>'mk 001 10.3'!AO345</f>
        <v>0</v>
      </c>
      <c r="AP344">
        <f>'mk 001 10.3'!AP345</f>
        <v>0</v>
      </c>
      <c r="AQ344">
        <f>'mk 001 10.3'!AQ345</f>
        <v>0</v>
      </c>
      <c r="AR344">
        <f>'mk 001 10.3'!AR345</f>
        <v>0</v>
      </c>
      <c r="AS344">
        <f>'mk 001 10.3'!AS345</f>
        <v>0</v>
      </c>
      <c r="AT344">
        <f>'mk 001 10.3'!AT345</f>
        <v>0</v>
      </c>
      <c r="AU344">
        <f>'mk 001 10.3'!AU345</f>
        <v>0</v>
      </c>
      <c r="AV344">
        <f>'mk 001 10.3'!AV345</f>
        <v>0</v>
      </c>
      <c r="AW344">
        <f>'mk 001 10.3'!AW345</f>
        <v>0</v>
      </c>
      <c r="AX344">
        <f>'mk 001 10.3'!AX345</f>
        <v>0</v>
      </c>
      <c r="AY344">
        <f>'mk 001 10.3'!AY345</f>
        <v>0</v>
      </c>
      <c r="AZ344">
        <f>'mk 001 10.3'!AZ345</f>
        <v>0</v>
      </c>
      <c r="BA344" s="22">
        <f>'mk 001 10.3'!BA345</f>
        <v>0</v>
      </c>
      <c r="BB344">
        <f>'mk 001 10.3'!BB345</f>
        <v>0</v>
      </c>
      <c r="BC344">
        <f>'mk 001 10.3'!BC345</f>
        <v>0</v>
      </c>
      <c r="BD344">
        <f>'mk 001 10.3'!BD345</f>
        <v>0</v>
      </c>
      <c r="BE344">
        <f>'mk 001 10.3'!BE345</f>
        <v>0</v>
      </c>
      <c r="BF344">
        <f>'mk 001 10.3'!BF345</f>
        <v>0</v>
      </c>
      <c r="BG344">
        <f>'mk 001 10.3'!BG345</f>
        <v>0</v>
      </c>
      <c r="BH344">
        <f>'mk 001 10.3'!BH345</f>
        <v>0</v>
      </c>
      <c r="BI344">
        <f>'mk 001 10.3'!BI345</f>
        <v>0</v>
      </c>
      <c r="BJ344">
        <f>'mk 001 10.3'!BJ345</f>
        <v>0</v>
      </c>
      <c r="BK344">
        <f>'mk 001 10.3'!BK345</f>
        <v>0</v>
      </c>
      <c r="BL344">
        <f>'mk 001 10.3'!BL345</f>
        <v>0</v>
      </c>
      <c r="BM344">
        <f>'mk 001 10.3'!BM345</f>
        <v>0</v>
      </c>
      <c r="BN344">
        <f>'mk 001 10.3'!BN345</f>
        <v>0</v>
      </c>
    </row>
    <row r="345" spans="1:66" x14ac:dyDescent="0.35">
      <c r="A345">
        <f>'mk 001 10.3'!A346</f>
        <v>0</v>
      </c>
      <c r="B345">
        <f>'mk 001 10.3'!B346</f>
        <v>0</v>
      </c>
      <c r="C345" s="1">
        <f>'mk 001 10.3'!C346</f>
        <v>0</v>
      </c>
      <c r="D345" s="1">
        <f>'mk 001 10.3'!D346</f>
        <v>0</v>
      </c>
      <c r="E345">
        <f>'mk 001 10.3'!E346</f>
        <v>0</v>
      </c>
      <c r="F345">
        <f>'mk 001 10.3'!F346</f>
        <v>0</v>
      </c>
      <c r="G345">
        <f>'mk 001 10.3'!G346</f>
        <v>0</v>
      </c>
      <c r="H345">
        <f>'mk 001 10.3'!H346</f>
        <v>0</v>
      </c>
      <c r="I345">
        <f>'mk 001 10.3'!I346</f>
        <v>0</v>
      </c>
      <c r="J345">
        <f>'mk 001 10.3'!J346</f>
        <v>0</v>
      </c>
      <c r="K345">
        <f>'mk 001 10.3'!K346</f>
        <v>0</v>
      </c>
      <c r="L345">
        <f>'mk 001 10.3'!L346</f>
        <v>0</v>
      </c>
      <c r="M345">
        <f>'mk 001 10.3'!M346</f>
        <v>0</v>
      </c>
      <c r="N345">
        <f>'mk 001 10.3'!N346</f>
        <v>0</v>
      </c>
      <c r="O345">
        <f>'mk 001 10.3'!O346</f>
        <v>0</v>
      </c>
      <c r="P345">
        <f>'mk 001 10.3'!P346</f>
        <v>0</v>
      </c>
      <c r="Q345">
        <f>'mk 001 10.3'!Q346</f>
        <v>0</v>
      </c>
      <c r="R345" s="1">
        <f>'mk 001 10.3'!R346</f>
        <v>0</v>
      </c>
      <c r="S345" s="1">
        <f>'mk 001 10.3'!S346</f>
        <v>0</v>
      </c>
      <c r="T345">
        <f>'mk 001 10.3'!T346</f>
        <v>0</v>
      </c>
      <c r="U345">
        <f>'mk 001 10.3'!U346</f>
        <v>0</v>
      </c>
      <c r="V345">
        <f>'mk 001 10.3'!V346</f>
        <v>0</v>
      </c>
      <c r="W345">
        <f>'mk 001 10.3'!W346</f>
        <v>0</v>
      </c>
      <c r="X345">
        <f>'mk 001 10.3'!X346</f>
        <v>0</v>
      </c>
      <c r="Y345">
        <f t="shared" si="5"/>
        <v>0</v>
      </c>
      <c r="Z345" s="13">
        <f>IF(COUNTIFS(แปลงข้อมูล!H:H,Q345,แปลงข้อมูล!I:I,U345,แปลงข้อมูล!J:J,V345)&gt;0,SUMIFS(แปลงข้อมูล!Q:Q,แปลงข้อมูล!I:I,U345,แปลงข้อมูล!H:H,Q345,แปลงข้อมูล!J:J,V345),'mk 001 10.3'!Z346)</f>
        <v>0</v>
      </c>
      <c r="AA345">
        <f>'mk 001 10.3'!AA346</f>
        <v>0</v>
      </c>
      <c r="AB345">
        <f>'mk 001 10.3'!AB346</f>
        <v>0</v>
      </c>
      <c r="AC345">
        <f>'mk 001 10.3'!AC346</f>
        <v>0</v>
      </c>
      <c r="AD345">
        <f>'mk 001 10.3'!AD346</f>
        <v>0</v>
      </c>
      <c r="AE345">
        <f>'mk 001 10.3'!AE346</f>
        <v>0</v>
      </c>
      <c r="AF345">
        <f>'mk 001 10.3'!AF346</f>
        <v>0</v>
      </c>
      <c r="AG345">
        <f>'mk 001 10.3'!AG346</f>
        <v>0</v>
      </c>
      <c r="AH345">
        <f>'mk 001 10.3'!AH346</f>
        <v>0</v>
      </c>
      <c r="AI345">
        <f>'mk 001 10.3'!AI346</f>
        <v>0</v>
      </c>
      <c r="AJ345">
        <f>'mk 001 10.3'!AJ346</f>
        <v>0</v>
      </c>
      <c r="AK345">
        <f>'mk 001 10.3'!AK346</f>
        <v>0</v>
      </c>
      <c r="AL345">
        <f>'mk 001 10.3'!AL346</f>
        <v>0</v>
      </c>
      <c r="AM345">
        <f>'mk 001 10.3'!AM346</f>
        <v>0</v>
      </c>
      <c r="AN345">
        <f>'mk 001 10.3'!AN346</f>
        <v>0</v>
      </c>
      <c r="AO345">
        <f>'mk 001 10.3'!AO346</f>
        <v>0</v>
      </c>
      <c r="AP345">
        <f>'mk 001 10.3'!AP346</f>
        <v>0</v>
      </c>
      <c r="AQ345">
        <f>'mk 001 10.3'!AQ346</f>
        <v>0</v>
      </c>
      <c r="AR345">
        <f>'mk 001 10.3'!AR346</f>
        <v>0</v>
      </c>
      <c r="AS345">
        <f>'mk 001 10.3'!AS346</f>
        <v>0</v>
      </c>
      <c r="AT345">
        <f>'mk 001 10.3'!AT346</f>
        <v>0</v>
      </c>
      <c r="AU345">
        <f>'mk 001 10.3'!AU346</f>
        <v>0</v>
      </c>
      <c r="AV345">
        <f>'mk 001 10.3'!AV346</f>
        <v>0</v>
      </c>
      <c r="AW345">
        <f>'mk 001 10.3'!AW346</f>
        <v>0</v>
      </c>
      <c r="AX345">
        <f>'mk 001 10.3'!AX346</f>
        <v>0</v>
      </c>
      <c r="AY345">
        <f>'mk 001 10.3'!AY346</f>
        <v>0</v>
      </c>
      <c r="AZ345">
        <f>'mk 001 10.3'!AZ346</f>
        <v>0</v>
      </c>
      <c r="BA345" s="22">
        <f>'mk 001 10.3'!BA346</f>
        <v>0</v>
      </c>
      <c r="BB345">
        <f>'mk 001 10.3'!BB346</f>
        <v>0</v>
      </c>
      <c r="BC345">
        <f>'mk 001 10.3'!BC346</f>
        <v>0</v>
      </c>
      <c r="BD345">
        <f>'mk 001 10.3'!BD346</f>
        <v>0</v>
      </c>
      <c r="BE345">
        <f>'mk 001 10.3'!BE346</f>
        <v>0</v>
      </c>
      <c r="BF345">
        <f>'mk 001 10.3'!BF346</f>
        <v>0</v>
      </c>
      <c r="BG345">
        <f>'mk 001 10.3'!BG346</f>
        <v>0</v>
      </c>
      <c r="BH345">
        <f>'mk 001 10.3'!BH346</f>
        <v>0</v>
      </c>
      <c r="BI345">
        <f>'mk 001 10.3'!BI346</f>
        <v>0</v>
      </c>
      <c r="BJ345">
        <f>'mk 001 10.3'!BJ346</f>
        <v>0</v>
      </c>
      <c r="BK345">
        <f>'mk 001 10.3'!BK346</f>
        <v>0</v>
      </c>
      <c r="BL345">
        <f>'mk 001 10.3'!BL346</f>
        <v>0</v>
      </c>
      <c r="BM345">
        <f>'mk 001 10.3'!BM346</f>
        <v>0</v>
      </c>
      <c r="BN345">
        <f>'mk 001 10.3'!BN346</f>
        <v>0</v>
      </c>
    </row>
    <row r="346" spans="1:66" x14ac:dyDescent="0.35">
      <c r="A346">
        <f>'mk 001 10.3'!A347</f>
        <v>0</v>
      </c>
      <c r="B346">
        <f>'mk 001 10.3'!B347</f>
        <v>0</v>
      </c>
      <c r="C346" s="1">
        <f>'mk 001 10.3'!C347</f>
        <v>0</v>
      </c>
      <c r="D346" s="1">
        <f>'mk 001 10.3'!D347</f>
        <v>0</v>
      </c>
      <c r="E346">
        <f>'mk 001 10.3'!E347</f>
        <v>0</v>
      </c>
      <c r="F346">
        <f>'mk 001 10.3'!F347</f>
        <v>0</v>
      </c>
      <c r="G346">
        <f>'mk 001 10.3'!G347</f>
        <v>0</v>
      </c>
      <c r="H346">
        <f>'mk 001 10.3'!H347</f>
        <v>0</v>
      </c>
      <c r="I346">
        <f>'mk 001 10.3'!I347</f>
        <v>0</v>
      </c>
      <c r="J346">
        <f>'mk 001 10.3'!J347</f>
        <v>0</v>
      </c>
      <c r="K346">
        <f>'mk 001 10.3'!K347</f>
        <v>0</v>
      </c>
      <c r="L346">
        <f>'mk 001 10.3'!L347</f>
        <v>0</v>
      </c>
      <c r="M346">
        <f>'mk 001 10.3'!M347</f>
        <v>0</v>
      </c>
      <c r="N346">
        <f>'mk 001 10.3'!N347</f>
        <v>0</v>
      </c>
      <c r="O346">
        <f>'mk 001 10.3'!O347</f>
        <v>0</v>
      </c>
      <c r="P346">
        <f>'mk 001 10.3'!P347</f>
        <v>0</v>
      </c>
      <c r="Q346">
        <f>'mk 001 10.3'!Q347</f>
        <v>0</v>
      </c>
      <c r="R346" s="1">
        <f>'mk 001 10.3'!R347</f>
        <v>0</v>
      </c>
      <c r="S346" s="1">
        <f>'mk 001 10.3'!S347</f>
        <v>0</v>
      </c>
      <c r="T346">
        <f>'mk 001 10.3'!T347</f>
        <v>0</v>
      </c>
      <c r="U346">
        <f>'mk 001 10.3'!U347</f>
        <v>0</v>
      </c>
      <c r="V346">
        <f>'mk 001 10.3'!V347</f>
        <v>0</v>
      </c>
      <c r="W346">
        <f>'mk 001 10.3'!W347</f>
        <v>0</v>
      </c>
      <c r="X346">
        <f>'mk 001 10.3'!X347</f>
        <v>0</v>
      </c>
      <c r="Y346">
        <f t="shared" si="5"/>
        <v>0</v>
      </c>
      <c r="Z346" s="13">
        <f>IF(COUNTIFS(แปลงข้อมูล!H:H,Q346,แปลงข้อมูล!I:I,U346,แปลงข้อมูล!J:J,V346)&gt;0,SUMIFS(แปลงข้อมูล!Q:Q,แปลงข้อมูล!I:I,U346,แปลงข้อมูล!H:H,Q346,แปลงข้อมูล!J:J,V346),'mk 001 10.3'!Z347)</f>
        <v>0</v>
      </c>
      <c r="AA346">
        <f>'mk 001 10.3'!AA347</f>
        <v>0</v>
      </c>
      <c r="AB346">
        <f>'mk 001 10.3'!AB347</f>
        <v>0</v>
      </c>
      <c r="AC346">
        <f>'mk 001 10.3'!AC347</f>
        <v>0</v>
      </c>
      <c r="AD346">
        <f>'mk 001 10.3'!AD347</f>
        <v>0</v>
      </c>
      <c r="AE346">
        <f>'mk 001 10.3'!AE347</f>
        <v>0</v>
      </c>
      <c r="AF346">
        <f>'mk 001 10.3'!AF347</f>
        <v>0</v>
      </c>
      <c r="AG346">
        <f>'mk 001 10.3'!AG347</f>
        <v>0</v>
      </c>
      <c r="AH346">
        <f>'mk 001 10.3'!AH347</f>
        <v>0</v>
      </c>
      <c r="AI346">
        <f>'mk 001 10.3'!AI347</f>
        <v>0</v>
      </c>
      <c r="AJ346">
        <f>'mk 001 10.3'!AJ347</f>
        <v>0</v>
      </c>
      <c r="AK346">
        <f>'mk 001 10.3'!AK347</f>
        <v>0</v>
      </c>
      <c r="AL346">
        <f>'mk 001 10.3'!AL347</f>
        <v>0</v>
      </c>
      <c r="AM346">
        <f>'mk 001 10.3'!AM347</f>
        <v>0</v>
      </c>
      <c r="AN346">
        <f>'mk 001 10.3'!AN347</f>
        <v>0</v>
      </c>
      <c r="AO346">
        <f>'mk 001 10.3'!AO347</f>
        <v>0</v>
      </c>
      <c r="AP346">
        <f>'mk 001 10.3'!AP347</f>
        <v>0</v>
      </c>
      <c r="AQ346">
        <f>'mk 001 10.3'!AQ347</f>
        <v>0</v>
      </c>
      <c r="AR346">
        <f>'mk 001 10.3'!AR347</f>
        <v>0</v>
      </c>
      <c r="AS346">
        <f>'mk 001 10.3'!AS347</f>
        <v>0</v>
      </c>
      <c r="AT346">
        <f>'mk 001 10.3'!AT347</f>
        <v>0</v>
      </c>
      <c r="AU346">
        <f>'mk 001 10.3'!AU347</f>
        <v>0</v>
      </c>
      <c r="AV346">
        <f>'mk 001 10.3'!AV347</f>
        <v>0</v>
      </c>
      <c r="AW346">
        <f>'mk 001 10.3'!AW347</f>
        <v>0</v>
      </c>
      <c r="AX346">
        <f>'mk 001 10.3'!AX347</f>
        <v>0</v>
      </c>
      <c r="AY346">
        <f>'mk 001 10.3'!AY347</f>
        <v>0</v>
      </c>
      <c r="AZ346">
        <f>'mk 001 10.3'!AZ347</f>
        <v>0</v>
      </c>
      <c r="BA346" s="22">
        <f>'mk 001 10.3'!BA347</f>
        <v>0</v>
      </c>
      <c r="BB346">
        <f>'mk 001 10.3'!BB347</f>
        <v>0</v>
      </c>
      <c r="BC346">
        <f>'mk 001 10.3'!BC347</f>
        <v>0</v>
      </c>
      <c r="BD346">
        <f>'mk 001 10.3'!BD347</f>
        <v>0</v>
      </c>
      <c r="BE346">
        <f>'mk 001 10.3'!BE347</f>
        <v>0</v>
      </c>
      <c r="BF346">
        <f>'mk 001 10.3'!BF347</f>
        <v>0</v>
      </c>
      <c r="BG346">
        <f>'mk 001 10.3'!BG347</f>
        <v>0</v>
      </c>
      <c r="BH346">
        <f>'mk 001 10.3'!BH347</f>
        <v>0</v>
      </c>
      <c r="BI346">
        <f>'mk 001 10.3'!BI347</f>
        <v>0</v>
      </c>
      <c r="BJ346">
        <f>'mk 001 10.3'!BJ347</f>
        <v>0</v>
      </c>
      <c r="BK346">
        <f>'mk 001 10.3'!BK347</f>
        <v>0</v>
      </c>
      <c r="BL346">
        <f>'mk 001 10.3'!BL347</f>
        <v>0</v>
      </c>
      <c r="BM346">
        <f>'mk 001 10.3'!BM347</f>
        <v>0</v>
      </c>
      <c r="BN346">
        <f>'mk 001 10.3'!BN347</f>
        <v>0</v>
      </c>
    </row>
    <row r="347" spans="1:66" x14ac:dyDescent="0.35">
      <c r="A347">
        <f>'mk 001 10.3'!A348</f>
        <v>0</v>
      </c>
      <c r="B347">
        <f>'mk 001 10.3'!B348</f>
        <v>0</v>
      </c>
      <c r="C347" s="1">
        <f>'mk 001 10.3'!C348</f>
        <v>0</v>
      </c>
      <c r="D347" s="1">
        <f>'mk 001 10.3'!D348</f>
        <v>0</v>
      </c>
      <c r="E347">
        <f>'mk 001 10.3'!E348</f>
        <v>0</v>
      </c>
      <c r="F347">
        <f>'mk 001 10.3'!F348</f>
        <v>0</v>
      </c>
      <c r="G347">
        <f>'mk 001 10.3'!G348</f>
        <v>0</v>
      </c>
      <c r="H347">
        <f>'mk 001 10.3'!H348</f>
        <v>0</v>
      </c>
      <c r="I347">
        <f>'mk 001 10.3'!I348</f>
        <v>0</v>
      </c>
      <c r="J347">
        <f>'mk 001 10.3'!J348</f>
        <v>0</v>
      </c>
      <c r="K347">
        <f>'mk 001 10.3'!K348</f>
        <v>0</v>
      </c>
      <c r="L347">
        <f>'mk 001 10.3'!L348</f>
        <v>0</v>
      </c>
      <c r="M347">
        <f>'mk 001 10.3'!M348</f>
        <v>0</v>
      </c>
      <c r="N347">
        <f>'mk 001 10.3'!N348</f>
        <v>0</v>
      </c>
      <c r="O347">
        <f>'mk 001 10.3'!O348</f>
        <v>0</v>
      </c>
      <c r="P347">
        <f>'mk 001 10.3'!P348</f>
        <v>0</v>
      </c>
      <c r="Q347">
        <f>'mk 001 10.3'!Q348</f>
        <v>0</v>
      </c>
      <c r="R347" s="1">
        <f>'mk 001 10.3'!R348</f>
        <v>0</v>
      </c>
      <c r="S347" s="1">
        <f>'mk 001 10.3'!S348</f>
        <v>0</v>
      </c>
      <c r="T347">
        <f>'mk 001 10.3'!T348</f>
        <v>0</v>
      </c>
      <c r="U347">
        <f>'mk 001 10.3'!U348</f>
        <v>0</v>
      </c>
      <c r="V347">
        <f>'mk 001 10.3'!V348</f>
        <v>0</v>
      </c>
      <c r="W347">
        <f>'mk 001 10.3'!W348</f>
        <v>0</v>
      </c>
      <c r="X347">
        <f>'mk 001 10.3'!X348</f>
        <v>0</v>
      </c>
      <c r="Y347">
        <f t="shared" si="5"/>
        <v>0</v>
      </c>
      <c r="Z347" s="13">
        <f>IF(COUNTIFS(แปลงข้อมูล!H:H,Q347,แปลงข้อมูล!I:I,U347,แปลงข้อมูล!J:J,V347)&gt;0,SUMIFS(แปลงข้อมูล!Q:Q,แปลงข้อมูล!I:I,U347,แปลงข้อมูล!H:H,Q347,แปลงข้อมูล!J:J,V347),'mk 001 10.3'!Z348)</f>
        <v>0</v>
      </c>
      <c r="AA347">
        <f>'mk 001 10.3'!AA348</f>
        <v>0</v>
      </c>
      <c r="AB347">
        <f>'mk 001 10.3'!AB348</f>
        <v>0</v>
      </c>
      <c r="AC347">
        <f>'mk 001 10.3'!AC348</f>
        <v>0</v>
      </c>
      <c r="AD347">
        <f>'mk 001 10.3'!AD348</f>
        <v>0</v>
      </c>
      <c r="AE347">
        <f>'mk 001 10.3'!AE348</f>
        <v>0</v>
      </c>
      <c r="AF347">
        <f>'mk 001 10.3'!AF348</f>
        <v>0</v>
      </c>
      <c r="AG347">
        <f>'mk 001 10.3'!AG348</f>
        <v>0</v>
      </c>
      <c r="AH347">
        <f>'mk 001 10.3'!AH348</f>
        <v>0</v>
      </c>
      <c r="AI347">
        <f>'mk 001 10.3'!AI348</f>
        <v>0</v>
      </c>
      <c r="AJ347">
        <f>'mk 001 10.3'!AJ348</f>
        <v>0</v>
      </c>
      <c r="AK347">
        <f>'mk 001 10.3'!AK348</f>
        <v>0</v>
      </c>
      <c r="AL347">
        <f>'mk 001 10.3'!AL348</f>
        <v>0</v>
      </c>
      <c r="AM347">
        <f>'mk 001 10.3'!AM348</f>
        <v>0</v>
      </c>
      <c r="AN347">
        <f>'mk 001 10.3'!AN348</f>
        <v>0</v>
      </c>
      <c r="AO347">
        <f>'mk 001 10.3'!AO348</f>
        <v>0</v>
      </c>
      <c r="AP347">
        <f>'mk 001 10.3'!AP348</f>
        <v>0</v>
      </c>
      <c r="AQ347">
        <f>'mk 001 10.3'!AQ348</f>
        <v>0</v>
      </c>
      <c r="AR347">
        <f>'mk 001 10.3'!AR348</f>
        <v>0</v>
      </c>
      <c r="AS347">
        <f>'mk 001 10.3'!AS348</f>
        <v>0</v>
      </c>
      <c r="AT347">
        <f>'mk 001 10.3'!AT348</f>
        <v>0</v>
      </c>
      <c r="AU347">
        <f>'mk 001 10.3'!AU348</f>
        <v>0</v>
      </c>
      <c r="AV347">
        <f>'mk 001 10.3'!AV348</f>
        <v>0</v>
      </c>
      <c r="AW347">
        <f>'mk 001 10.3'!AW348</f>
        <v>0</v>
      </c>
      <c r="AX347">
        <f>'mk 001 10.3'!AX348</f>
        <v>0</v>
      </c>
      <c r="AY347">
        <f>'mk 001 10.3'!AY348</f>
        <v>0</v>
      </c>
      <c r="AZ347">
        <f>'mk 001 10.3'!AZ348</f>
        <v>0</v>
      </c>
      <c r="BA347" s="22">
        <f>'mk 001 10.3'!BA348</f>
        <v>0</v>
      </c>
      <c r="BB347">
        <f>'mk 001 10.3'!BB348</f>
        <v>0</v>
      </c>
      <c r="BC347">
        <f>'mk 001 10.3'!BC348</f>
        <v>0</v>
      </c>
      <c r="BD347">
        <f>'mk 001 10.3'!BD348</f>
        <v>0</v>
      </c>
      <c r="BE347">
        <f>'mk 001 10.3'!BE348</f>
        <v>0</v>
      </c>
      <c r="BF347">
        <f>'mk 001 10.3'!BF348</f>
        <v>0</v>
      </c>
      <c r="BG347">
        <f>'mk 001 10.3'!BG348</f>
        <v>0</v>
      </c>
      <c r="BH347">
        <f>'mk 001 10.3'!BH348</f>
        <v>0</v>
      </c>
      <c r="BI347">
        <f>'mk 001 10.3'!BI348</f>
        <v>0</v>
      </c>
      <c r="BJ347">
        <f>'mk 001 10.3'!BJ348</f>
        <v>0</v>
      </c>
      <c r="BK347">
        <f>'mk 001 10.3'!BK348</f>
        <v>0</v>
      </c>
      <c r="BL347">
        <f>'mk 001 10.3'!BL348</f>
        <v>0</v>
      </c>
      <c r="BM347">
        <f>'mk 001 10.3'!BM348</f>
        <v>0</v>
      </c>
      <c r="BN347">
        <f>'mk 001 10.3'!BN348</f>
        <v>0</v>
      </c>
    </row>
    <row r="348" spans="1:66" x14ac:dyDescent="0.35">
      <c r="A348">
        <f>'mk 001 10.3'!A349</f>
        <v>0</v>
      </c>
      <c r="B348">
        <f>'mk 001 10.3'!B349</f>
        <v>0</v>
      </c>
      <c r="C348" s="1">
        <f>'mk 001 10.3'!C349</f>
        <v>0</v>
      </c>
      <c r="D348" s="1">
        <f>'mk 001 10.3'!D349</f>
        <v>0</v>
      </c>
      <c r="E348">
        <f>'mk 001 10.3'!E349</f>
        <v>0</v>
      </c>
      <c r="F348">
        <f>'mk 001 10.3'!F349</f>
        <v>0</v>
      </c>
      <c r="G348">
        <f>'mk 001 10.3'!G349</f>
        <v>0</v>
      </c>
      <c r="H348">
        <f>'mk 001 10.3'!H349</f>
        <v>0</v>
      </c>
      <c r="I348">
        <f>'mk 001 10.3'!I349</f>
        <v>0</v>
      </c>
      <c r="J348">
        <f>'mk 001 10.3'!J349</f>
        <v>0</v>
      </c>
      <c r="K348">
        <f>'mk 001 10.3'!K349</f>
        <v>0</v>
      </c>
      <c r="L348">
        <f>'mk 001 10.3'!L349</f>
        <v>0</v>
      </c>
      <c r="M348">
        <f>'mk 001 10.3'!M349</f>
        <v>0</v>
      </c>
      <c r="N348">
        <f>'mk 001 10.3'!N349</f>
        <v>0</v>
      </c>
      <c r="O348">
        <f>'mk 001 10.3'!O349</f>
        <v>0</v>
      </c>
      <c r="P348">
        <f>'mk 001 10.3'!P349</f>
        <v>0</v>
      </c>
      <c r="Q348">
        <f>'mk 001 10.3'!Q349</f>
        <v>0</v>
      </c>
      <c r="R348" s="1">
        <f>'mk 001 10.3'!R349</f>
        <v>0</v>
      </c>
      <c r="S348" s="1">
        <f>'mk 001 10.3'!S349</f>
        <v>0</v>
      </c>
      <c r="T348">
        <f>'mk 001 10.3'!T349</f>
        <v>0</v>
      </c>
      <c r="U348">
        <f>'mk 001 10.3'!U349</f>
        <v>0</v>
      </c>
      <c r="V348">
        <f>'mk 001 10.3'!V349</f>
        <v>0</v>
      </c>
      <c r="W348">
        <f>'mk 001 10.3'!W349</f>
        <v>0</v>
      </c>
      <c r="X348">
        <f>'mk 001 10.3'!X349</f>
        <v>0</v>
      </c>
      <c r="Y348">
        <f t="shared" si="5"/>
        <v>0</v>
      </c>
      <c r="Z348" s="13">
        <f>IF(COUNTIFS(แปลงข้อมูล!H:H,Q348,แปลงข้อมูล!I:I,U348,แปลงข้อมูล!J:J,V348)&gt;0,SUMIFS(แปลงข้อมูล!Q:Q,แปลงข้อมูล!I:I,U348,แปลงข้อมูล!H:H,Q348,แปลงข้อมูล!J:J,V348),'mk 001 10.3'!Z349)</f>
        <v>0</v>
      </c>
      <c r="AA348">
        <f>'mk 001 10.3'!AA349</f>
        <v>0</v>
      </c>
      <c r="AB348">
        <f>'mk 001 10.3'!AB349</f>
        <v>0</v>
      </c>
      <c r="AC348">
        <f>'mk 001 10.3'!AC349</f>
        <v>0</v>
      </c>
      <c r="AD348">
        <f>'mk 001 10.3'!AD349</f>
        <v>0</v>
      </c>
      <c r="AE348">
        <f>'mk 001 10.3'!AE349</f>
        <v>0</v>
      </c>
      <c r="AF348">
        <f>'mk 001 10.3'!AF349</f>
        <v>0</v>
      </c>
      <c r="AG348">
        <f>'mk 001 10.3'!AG349</f>
        <v>0</v>
      </c>
      <c r="AH348">
        <f>'mk 001 10.3'!AH349</f>
        <v>0</v>
      </c>
      <c r="AI348">
        <f>'mk 001 10.3'!AI349</f>
        <v>0</v>
      </c>
      <c r="AJ348">
        <f>'mk 001 10.3'!AJ349</f>
        <v>0</v>
      </c>
      <c r="AK348">
        <f>'mk 001 10.3'!AK349</f>
        <v>0</v>
      </c>
      <c r="AL348">
        <f>'mk 001 10.3'!AL349</f>
        <v>0</v>
      </c>
      <c r="AM348">
        <f>'mk 001 10.3'!AM349</f>
        <v>0</v>
      </c>
      <c r="AN348">
        <f>'mk 001 10.3'!AN349</f>
        <v>0</v>
      </c>
      <c r="AO348">
        <f>'mk 001 10.3'!AO349</f>
        <v>0</v>
      </c>
      <c r="AP348">
        <f>'mk 001 10.3'!AP349</f>
        <v>0</v>
      </c>
      <c r="AQ348">
        <f>'mk 001 10.3'!AQ349</f>
        <v>0</v>
      </c>
      <c r="AR348">
        <f>'mk 001 10.3'!AR349</f>
        <v>0</v>
      </c>
      <c r="AS348">
        <f>'mk 001 10.3'!AS349</f>
        <v>0</v>
      </c>
      <c r="AT348">
        <f>'mk 001 10.3'!AT349</f>
        <v>0</v>
      </c>
      <c r="AU348">
        <f>'mk 001 10.3'!AU349</f>
        <v>0</v>
      </c>
      <c r="AV348">
        <f>'mk 001 10.3'!AV349</f>
        <v>0</v>
      </c>
      <c r="AW348">
        <f>'mk 001 10.3'!AW349</f>
        <v>0</v>
      </c>
      <c r="AX348">
        <f>'mk 001 10.3'!AX349</f>
        <v>0</v>
      </c>
      <c r="AY348">
        <f>'mk 001 10.3'!AY349</f>
        <v>0</v>
      </c>
      <c r="AZ348">
        <f>'mk 001 10.3'!AZ349</f>
        <v>0</v>
      </c>
      <c r="BA348" s="22">
        <f>'mk 001 10.3'!BA349</f>
        <v>0</v>
      </c>
      <c r="BB348">
        <f>'mk 001 10.3'!BB349</f>
        <v>0</v>
      </c>
      <c r="BC348">
        <f>'mk 001 10.3'!BC349</f>
        <v>0</v>
      </c>
      <c r="BD348">
        <f>'mk 001 10.3'!BD349</f>
        <v>0</v>
      </c>
      <c r="BE348">
        <f>'mk 001 10.3'!BE349</f>
        <v>0</v>
      </c>
      <c r="BF348">
        <f>'mk 001 10.3'!BF349</f>
        <v>0</v>
      </c>
      <c r="BG348">
        <f>'mk 001 10.3'!BG349</f>
        <v>0</v>
      </c>
      <c r="BH348">
        <f>'mk 001 10.3'!BH349</f>
        <v>0</v>
      </c>
      <c r="BI348">
        <f>'mk 001 10.3'!BI349</f>
        <v>0</v>
      </c>
      <c r="BJ348">
        <f>'mk 001 10.3'!BJ349</f>
        <v>0</v>
      </c>
      <c r="BK348">
        <f>'mk 001 10.3'!BK349</f>
        <v>0</v>
      </c>
      <c r="BL348">
        <f>'mk 001 10.3'!BL349</f>
        <v>0</v>
      </c>
      <c r="BM348">
        <f>'mk 001 10.3'!BM349</f>
        <v>0</v>
      </c>
      <c r="BN348">
        <f>'mk 001 10.3'!BN349</f>
        <v>0</v>
      </c>
    </row>
    <row r="349" spans="1:66" x14ac:dyDescent="0.35">
      <c r="A349">
        <f>'mk 001 10.3'!A350</f>
        <v>0</v>
      </c>
      <c r="B349">
        <f>'mk 001 10.3'!B350</f>
        <v>0</v>
      </c>
      <c r="C349" s="1">
        <f>'mk 001 10.3'!C350</f>
        <v>0</v>
      </c>
      <c r="D349" s="1">
        <f>'mk 001 10.3'!D350</f>
        <v>0</v>
      </c>
      <c r="E349">
        <f>'mk 001 10.3'!E350</f>
        <v>0</v>
      </c>
      <c r="F349">
        <f>'mk 001 10.3'!F350</f>
        <v>0</v>
      </c>
      <c r="G349">
        <f>'mk 001 10.3'!G350</f>
        <v>0</v>
      </c>
      <c r="H349">
        <f>'mk 001 10.3'!H350</f>
        <v>0</v>
      </c>
      <c r="I349">
        <f>'mk 001 10.3'!I350</f>
        <v>0</v>
      </c>
      <c r="J349">
        <f>'mk 001 10.3'!J350</f>
        <v>0</v>
      </c>
      <c r="K349">
        <f>'mk 001 10.3'!K350</f>
        <v>0</v>
      </c>
      <c r="L349">
        <f>'mk 001 10.3'!L350</f>
        <v>0</v>
      </c>
      <c r="M349">
        <f>'mk 001 10.3'!M350</f>
        <v>0</v>
      </c>
      <c r="N349">
        <f>'mk 001 10.3'!N350</f>
        <v>0</v>
      </c>
      <c r="O349">
        <f>'mk 001 10.3'!O350</f>
        <v>0</v>
      </c>
      <c r="P349">
        <f>'mk 001 10.3'!P350</f>
        <v>0</v>
      </c>
      <c r="Q349">
        <f>'mk 001 10.3'!Q350</f>
        <v>0</v>
      </c>
      <c r="R349" s="1">
        <f>'mk 001 10.3'!R350</f>
        <v>0</v>
      </c>
      <c r="S349" s="1">
        <f>'mk 001 10.3'!S350</f>
        <v>0</v>
      </c>
      <c r="T349">
        <f>'mk 001 10.3'!T350</f>
        <v>0</v>
      </c>
      <c r="U349">
        <f>'mk 001 10.3'!U350</f>
        <v>0</v>
      </c>
      <c r="V349">
        <f>'mk 001 10.3'!V350</f>
        <v>0</v>
      </c>
      <c r="W349">
        <f>'mk 001 10.3'!W350</f>
        <v>0</v>
      </c>
      <c r="X349">
        <f>'mk 001 10.3'!X350</f>
        <v>0</v>
      </c>
      <c r="Y349">
        <f t="shared" si="5"/>
        <v>0</v>
      </c>
      <c r="Z349" s="13">
        <f>IF(COUNTIFS(แปลงข้อมูล!H:H,Q349,แปลงข้อมูล!I:I,U349,แปลงข้อมูล!J:J,V349)&gt;0,SUMIFS(แปลงข้อมูล!Q:Q,แปลงข้อมูล!I:I,U349,แปลงข้อมูล!H:H,Q349,แปลงข้อมูล!J:J,V349),'mk 001 10.3'!Z350)</f>
        <v>0</v>
      </c>
      <c r="AA349">
        <f>'mk 001 10.3'!AA350</f>
        <v>0</v>
      </c>
      <c r="AB349">
        <f>'mk 001 10.3'!AB350</f>
        <v>0</v>
      </c>
      <c r="AC349">
        <f>'mk 001 10.3'!AC350</f>
        <v>0</v>
      </c>
      <c r="AD349">
        <f>'mk 001 10.3'!AD350</f>
        <v>0</v>
      </c>
      <c r="AE349">
        <f>'mk 001 10.3'!AE350</f>
        <v>0</v>
      </c>
      <c r="AF349">
        <f>'mk 001 10.3'!AF350</f>
        <v>0</v>
      </c>
      <c r="AG349">
        <f>'mk 001 10.3'!AG350</f>
        <v>0</v>
      </c>
      <c r="AH349">
        <f>'mk 001 10.3'!AH350</f>
        <v>0</v>
      </c>
      <c r="AI349">
        <f>'mk 001 10.3'!AI350</f>
        <v>0</v>
      </c>
      <c r="AJ349">
        <f>'mk 001 10.3'!AJ350</f>
        <v>0</v>
      </c>
      <c r="AK349">
        <f>'mk 001 10.3'!AK350</f>
        <v>0</v>
      </c>
      <c r="AL349">
        <f>'mk 001 10.3'!AL350</f>
        <v>0</v>
      </c>
      <c r="AM349">
        <f>'mk 001 10.3'!AM350</f>
        <v>0</v>
      </c>
      <c r="AN349">
        <f>'mk 001 10.3'!AN350</f>
        <v>0</v>
      </c>
      <c r="AO349">
        <f>'mk 001 10.3'!AO350</f>
        <v>0</v>
      </c>
      <c r="AP349">
        <f>'mk 001 10.3'!AP350</f>
        <v>0</v>
      </c>
      <c r="AQ349">
        <f>'mk 001 10.3'!AQ350</f>
        <v>0</v>
      </c>
      <c r="AR349">
        <f>'mk 001 10.3'!AR350</f>
        <v>0</v>
      </c>
      <c r="AS349">
        <f>'mk 001 10.3'!AS350</f>
        <v>0</v>
      </c>
      <c r="AT349">
        <f>'mk 001 10.3'!AT350</f>
        <v>0</v>
      </c>
      <c r="AU349">
        <f>'mk 001 10.3'!AU350</f>
        <v>0</v>
      </c>
      <c r="AV349">
        <f>'mk 001 10.3'!AV350</f>
        <v>0</v>
      </c>
      <c r="AW349">
        <f>'mk 001 10.3'!AW350</f>
        <v>0</v>
      </c>
      <c r="AX349">
        <f>'mk 001 10.3'!AX350</f>
        <v>0</v>
      </c>
      <c r="AY349">
        <f>'mk 001 10.3'!AY350</f>
        <v>0</v>
      </c>
      <c r="AZ349">
        <f>'mk 001 10.3'!AZ350</f>
        <v>0</v>
      </c>
      <c r="BA349" s="22">
        <f>'mk 001 10.3'!BA350</f>
        <v>0</v>
      </c>
      <c r="BB349">
        <f>'mk 001 10.3'!BB350</f>
        <v>0</v>
      </c>
      <c r="BC349">
        <f>'mk 001 10.3'!BC350</f>
        <v>0</v>
      </c>
      <c r="BD349">
        <f>'mk 001 10.3'!BD350</f>
        <v>0</v>
      </c>
      <c r="BE349">
        <f>'mk 001 10.3'!BE350</f>
        <v>0</v>
      </c>
      <c r="BF349">
        <f>'mk 001 10.3'!BF350</f>
        <v>0</v>
      </c>
      <c r="BG349">
        <f>'mk 001 10.3'!BG350</f>
        <v>0</v>
      </c>
      <c r="BH349">
        <f>'mk 001 10.3'!BH350</f>
        <v>0</v>
      </c>
      <c r="BI349">
        <f>'mk 001 10.3'!BI350</f>
        <v>0</v>
      </c>
      <c r="BJ349">
        <f>'mk 001 10.3'!BJ350</f>
        <v>0</v>
      </c>
      <c r="BK349">
        <f>'mk 001 10.3'!BK350</f>
        <v>0</v>
      </c>
      <c r="BL349">
        <f>'mk 001 10.3'!BL350</f>
        <v>0</v>
      </c>
      <c r="BM349">
        <f>'mk 001 10.3'!BM350</f>
        <v>0</v>
      </c>
      <c r="BN349">
        <f>'mk 001 10.3'!BN350</f>
        <v>0</v>
      </c>
    </row>
    <row r="350" spans="1:66" x14ac:dyDescent="0.35">
      <c r="A350">
        <f>'mk 001 10.3'!A351</f>
        <v>0</v>
      </c>
      <c r="B350">
        <f>'mk 001 10.3'!B351</f>
        <v>0</v>
      </c>
      <c r="C350" s="1">
        <f>'mk 001 10.3'!C351</f>
        <v>0</v>
      </c>
      <c r="D350" s="1">
        <f>'mk 001 10.3'!D351</f>
        <v>0</v>
      </c>
      <c r="E350">
        <f>'mk 001 10.3'!E351</f>
        <v>0</v>
      </c>
      <c r="F350">
        <f>'mk 001 10.3'!F351</f>
        <v>0</v>
      </c>
      <c r="G350">
        <f>'mk 001 10.3'!G351</f>
        <v>0</v>
      </c>
      <c r="H350">
        <f>'mk 001 10.3'!H351</f>
        <v>0</v>
      </c>
      <c r="I350">
        <f>'mk 001 10.3'!I351</f>
        <v>0</v>
      </c>
      <c r="J350">
        <f>'mk 001 10.3'!J351</f>
        <v>0</v>
      </c>
      <c r="K350">
        <f>'mk 001 10.3'!K351</f>
        <v>0</v>
      </c>
      <c r="L350">
        <f>'mk 001 10.3'!L351</f>
        <v>0</v>
      </c>
      <c r="M350">
        <f>'mk 001 10.3'!M351</f>
        <v>0</v>
      </c>
      <c r="N350">
        <f>'mk 001 10.3'!N351</f>
        <v>0</v>
      </c>
      <c r="O350">
        <f>'mk 001 10.3'!O351</f>
        <v>0</v>
      </c>
      <c r="P350">
        <f>'mk 001 10.3'!P351</f>
        <v>0</v>
      </c>
      <c r="Q350">
        <f>'mk 001 10.3'!Q351</f>
        <v>0</v>
      </c>
      <c r="R350" s="1">
        <f>'mk 001 10.3'!R351</f>
        <v>0</v>
      </c>
      <c r="S350" s="1">
        <f>'mk 001 10.3'!S351</f>
        <v>0</v>
      </c>
      <c r="T350">
        <f>'mk 001 10.3'!T351</f>
        <v>0</v>
      </c>
      <c r="U350">
        <f>'mk 001 10.3'!U351</f>
        <v>0</v>
      </c>
      <c r="V350">
        <f>'mk 001 10.3'!V351</f>
        <v>0</v>
      </c>
      <c r="W350">
        <f>'mk 001 10.3'!W351</f>
        <v>0</v>
      </c>
      <c r="X350">
        <f>'mk 001 10.3'!X351</f>
        <v>0</v>
      </c>
      <c r="Y350">
        <f t="shared" si="5"/>
        <v>0</v>
      </c>
      <c r="Z350" s="13">
        <f>IF(COUNTIFS(แปลงข้อมูล!H:H,Q350,แปลงข้อมูล!I:I,U350,แปลงข้อมูล!J:J,V350)&gt;0,SUMIFS(แปลงข้อมูล!Q:Q,แปลงข้อมูล!I:I,U350,แปลงข้อมูล!H:H,Q350,แปลงข้อมูล!J:J,V350),'mk 001 10.3'!Z351)</f>
        <v>0</v>
      </c>
      <c r="AA350">
        <f>'mk 001 10.3'!AA351</f>
        <v>0</v>
      </c>
      <c r="AB350">
        <f>'mk 001 10.3'!AB351</f>
        <v>0</v>
      </c>
      <c r="AC350">
        <f>'mk 001 10.3'!AC351</f>
        <v>0</v>
      </c>
      <c r="AD350">
        <f>'mk 001 10.3'!AD351</f>
        <v>0</v>
      </c>
      <c r="AE350">
        <f>'mk 001 10.3'!AE351</f>
        <v>0</v>
      </c>
      <c r="AF350">
        <f>'mk 001 10.3'!AF351</f>
        <v>0</v>
      </c>
      <c r="AG350">
        <f>'mk 001 10.3'!AG351</f>
        <v>0</v>
      </c>
      <c r="AH350">
        <f>'mk 001 10.3'!AH351</f>
        <v>0</v>
      </c>
      <c r="AI350">
        <f>'mk 001 10.3'!AI351</f>
        <v>0</v>
      </c>
      <c r="AJ350">
        <f>'mk 001 10.3'!AJ351</f>
        <v>0</v>
      </c>
      <c r="AK350">
        <f>'mk 001 10.3'!AK351</f>
        <v>0</v>
      </c>
      <c r="AL350">
        <f>'mk 001 10.3'!AL351</f>
        <v>0</v>
      </c>
      <c r="AM350">
        <f>'mk 001 10.3'!AM351</f>
        <v>0</v>
      </c>
      <c r="AN350">
        <f>'mk 001 10.3'!AN351</f>
        <v>0</v>
      </c>
      <c r="AO350">
        <f>'mk 001 10.3'!AO351</f>
        <v>0</v>
      </c>
      <c r="AP350">
        <f>'mk 001 10.3'!AP351</f>
        <v>0</v>
      </c>
      <c r="AQ350">
        <f>'mk 001 10.3'!AQ351</f>
        <v>0</v>
      </c>
      <c r="AR350">
        <f>'mk 001 10.3'!AR351</f>
        <v>0</v>
      </c>
      <c r="AS350">
        <f>'mk 001 10.3'!AS351</f>
        <v>0</v>
      </c>
      <c r="AT350">
        <f>'mk 001 10.3'!AT351</f>
        <v>0</v>
      </c>
      <c r="AU350">
        <f>'mk 001 10.3'!AU351</f>
        <v>0</v>
      </c>
      <c r="AV350">
        <f>'mk 001 10.3'!AV351</f>
        <v>0</v>
      </c>
      <c r="AW350">
        <f>'mk 001 10.3'!AW351</f>
        <v>0</v>
      </c>
      <c r="AX350">
        <f>'mk 001 10.3'!AX351</f>
        <v>0</v>
      </c>
      <c r="AY350">
        <f>'mk 001 10.3'!AY351</f>
        <v>0</v>
      </c>
      <c r="AZ350">
        <f>'mk 001 10.3'!AZ351</f>
        <v>0</v>
      </c>
      <c r="BA350" s="22">
        <f>'mk 001 10.3'!BA351</f>
        <v>0</v>
      </c>
      <c r="BB350">
        <f>'mk 001 10.3'!BB351</f>
        <v>0</v>
      </c>
      <c r="BC350">
        <f>'mk 001 10.3'!BC351</f>
        <v>0</v>
      </c>
      <c r="BD350">
        <f>'mk 001 10.3'!BD351</f>
        <v>0</v>
      </c>
      <c r="BE350">
        <f>'mk 001 10.3'!BE351</f>
        <v>0</v>
      </c>
      <c r="BF350">
        <f>'mk 001 10.3'!BF351</f>
        <v>0</v>
      </c>
      <c r="BG350">
        <f>'mk 001 10.3'!BG351</f>
        <v>0</v>
      </c>
      <c r="BH350">
        <f>'mk 001 10.3'!BH351</f>
        <v>0</v>
      </c>
      <c r="BI350">
        <f>'mk 001 10.3'!BI351</f>
        <v>0</v>
      </c>
      <c r="BJ350">
        <f>'mk 001 10.3'!BJ351</f>
        <v>0</v>
      </c>
      <c r="BK350">
        <f>'mk 001 10.3'!BK351</f>
        <v>0</v>
      </c>
      <c r="BL350">
        <f>'mk 001 10.3'!BL351</f>
        <v>0</v>
      </c>
      <c r="BM350">
        <f>'mk 001 10.3'!BM351</f>
        <v>0</v>
      </c>
      <c r="BN350">
        <f>'mk 001 10.3'!BN351</f>
        <v>0</v>
      </c>
    </row>
    <row r="351" spans="1:66" x14ac:dyDescent="0.35">
      <c r="A351">
        <f>'mk 001 10.3'!A352</f>
        <v>0</v>
      </c>
      <c r="B351">
        <f>'mk 001 10.3'!B352</f>
        <v>0</v>
      </c>
      <c r="C351" s="1">
        <f>'mk 001 10.3'!C352</f>
        <v>0</v>
      </c>
      <c r="D351" s="1">
        <f>'mk 001 10.3'!D352</f>
        <v>0</v>
      </c>
      <c r="E351">
        <f>'mk 001 10.3'!E352</f>
        <v>0</v>
      </c>
      <c r="F351">
        <f>'mk 001 10.3'!F352</f>
        <v>0</v>
      </c>
      <c r="G351">
        <f>'mk 001 10.3'!G352</f>
        <v>0</v>
      </c>
      <c r="H351">
        <f>'mk 001 10.3'!H352</f>
        <v>0</v>
      </c>
      <c r="I351">
        <f>'mk 001 10.3'!I352</f>
        <v>0</v>
      </c>
      <c r="J351">
        <f>'mk 001 10.3'!J352</f>
        <v>0</v>
      </c>
      <c r="K351">
        <f>'mk 001 10.3'!K352</f>
        <v>0</v>
      </c>
      <c r="L351">
        <f>'mk 001 10.3'!L352</f>
        <v>0</v>
      </c>
      <c r="M351">
        <f>'mk 001 10.3'!M352</f>
        <v>0</v>
      </c>
      <c r="N351">
        <f>'mk 001 10.3'!N352</f>
        <v>0</v>
      </c>
      <c r="O351">
        <f>'mk 001 10.3'!O352</f>
        <v>0</v>
      </c>
      <c r="P351">
        <f>'mk 001 10.3'!P352</f>
        <v>0</v>
      </c>
      <c r="Q351">
        <f>'mk 001 10.3'!Q352</f>
        <v>0</v>
      </c>
      <c r="R351" s="1">
        <f>'mk 001 10.3'!R352</f>
        <v>0</v>
      </c>
      <c r="S351" s="1">
        <f>'mk 001 10.3'!S352</f>
        <v>0</v>
      </c>
      <c r="T351">
        <f>'mk 001 10.3'!T352</f>
        <v>0</v>
      </c>
      <c r="U351">
        <f>'mk 001 10.3'!U352</f>
        <v>0</v>
      </c>
      <c r="V351">
        <f>'mk 001 10.3'!V352</f>
        <v>0</v>
      </c>
      <c r="W351">
        <f>'mk 001 10.3'!W352</f>
        <v>0</v>
      </c>
      <c r="X351">
        <f>'mk 001 10.3'!X352</f>
        <v>0</v>
      </c>
      <c r="Y351">
        <f t="shared" si="5"/>
        <v>0</v>
      </c>
      <c r="Z351" s="13">
        <f>IF(COUNTIFS(แปลงข้อมูล!H:H,Q351,แปลงข้อมูล!I:I,U351,แปลงข้อมูล!J:J,V351)&gt;0,SUMIFS(แปลงข้อมูล!Q:Q,แปลงข้อมูล!I:I,U351,แปลงข้อมูล!H:H,Q351,แปลงข้อมูล!J:J,V351),'mk 001 10.3'!Z352)</f>
        <v>0</v>
      </c>
      <c r="AA351">
        <f>'mk 001 10.3'!AA352</f>
        <v>0</v>
      </c>
      <c r="AB351">
        <f>'mk 001 10.3'!AB352</f>
        <v>0</v>
      </c>
      <c r="AC351">
        <f>'mk 001 10.3'!AC352</f>
        <v>0</v>
      </c>
      <c r="AD351">
        <f>'mk 001 10.3'!AD352</f>
        <v>0</v>
      </c>
      <c r="AE351">
        <f>'mk 001 10.3'!AE352</f>
        <v>0</v>
      </c>
      <c r="AF351">
        <f>'mk 001 10.3'!AF352</f>
        <v>0</v>
      </c>
      <c r="AG351">
        <f>'mk 001 10.3'!AG352</f>
        <v>0</v>
      </c>
      <c r="AH351">
        <f>'mk 001 10.3'!AH352</f>
        <v>0</v>
      </c>
      <c r="AI351">
        <f>'mk 001 10.3'!AI352</f>
        <v>0</v>
      </c>
      <c r="AJ351">
        <f>'mk 001 10.3'!AJ352</f>
        <v>0</v>
      </c>
      <c r="AK351">
        <f>'mk 001 10.3'!AK352</f>
        <v>0</v>
      </c>
      <c r="AL351">
        <f>'mk 001 10.3'!AL352</f>
        <v>0</v>
      </c>
      <c r="AM351">
        <f>'mk 001 10.3'!AM352</f>
        <v>0</v>
      </c>
      <c r="AN351">
        <f>'mk 001 10.3'!AN352</f>
        <v>0</v>
      </c>
      <c r="AO351">
        <f>'mk 001 10.3'!AO352</f>
        <v>0</v>
      </c>
      <c r="AP351">
        <f>'mk 001 10.3'!AP352</f>
        <v>0</v>
      </c>
      <c r="AQ351">
        <f>'mk 001 10.3'!AQ352</f>
        <v>0</v>
      </c>
      <c r="AR351">
        <f>'mk 001 10.3'!AR352</f>
        <v>0</v>
      </c>
      <c r="AS351">
        <f>'mk 001 10.3'!AS352</f>
        <v>0</v>
      </c>
      <c r="AT351">
        <f>'mk 001 10.3'!AT352</f>
        <v>0</v>
      </c>
      <c r="AU351">
        <f>'mk 001 10.3'!AU352</f>
        <v>0</v>
      </c>
      <c r="AV351">
        <f>'mk 001 10.3'!AV352</f>
        <v>0</v>
      </c>
      <c r="AW351">
        <f>'mk 001 10.3'!AW352</f>
        <v>0</v>
      </c>
      <c r="AX351">
        <f>'mk 001 10.3'!AX352</f>
        <v>0</v>
      </c>
      <c r="AY351">
        <f>'mk 001 10.3'!AY352</f>
        <v>0</v>
      </c>
      <c r="AZ351">
        <f>'mk 001 10.3'!AZ352</f>
        <v>0</v>
      </c>
      <c r="BA351" s="22">
        <f>'mk 001 10.3'!BA352</f>
        <v>0</v>
      </c>
      <c r="BB351">
        <f>'mk 001 10.3'!BB352</f>
        <v>0</v>
      </c>
      <c r="BC351">
        <f>'mk 001 10.3'!BC352</f>
        <v>0</v>
      </c>
      <c r="BD351">
        <f>'mk 001 10.3'!BD352</f>
        <v>0</v>
      </c>
      <c r="BE351">
        <f>'mk 001 10.3'!BE352</f>
        <v>0</v>
      </c>
      <c r="BF351">
        <f>'mk 001 10.3'!BF352</f>
        <v>0</v>
      </c>
      <c r="BG351">
        <f>'mk 001 10.3'!BG352</f>
        <v>0</v>
      </c>
      <c r="BH351">
        <f>'mk 001 10.3'!BH352</f>
        <v>0</v>
      </c>
      <c r="BI351">
        <f>'mk 001 10.3'!BI352</f>
        <v>0</v>
      </c>
      <c r="BJ351">
        <f>'mk 001 10.3'!BJ352</f>
        <v>0</v>
      </c>
      <c r="BK351">
        <f>'mk 001 10.3'!BK352</f>
        <v>0</v>
      </c>
      <c r="BL351">
        <f>'mk 001 10.3'!BL352</f>
        <v>0</v>
      </c>
      <c r="BM351">
        <f>'mk 001 10.3'!BM352</f>
        <v>0</v>
      </c>
      <c r="BN351">
        <f>'mk 001 10.3'!BN352</f>
        <v>0</v>
      </c>
    </row>
    <row r="352" spans="1:66" x14ac:dyDescent="0.35">
      <c r="A352">
        <f>'mk 001 10.3'!A353</f>
        <v>0</v>
      </c>
      <c r="B352">
        <f>'mk 001 10.3'!B353</f>
        <v>0</v>
      </c>
      <c r="C352" s="1">
        <f>'mk 001 10.3'!C353</f>
        <v>0</v>
      </c>
      <c r="D352" s="1">
        <f>'mk 001 10.3'!D353</f>
        <v>0</v>
      </c>
      <c r="E352">
        <f>'mk 001 10.3'!E353</f>
        <v>0</v>
      </c>
      <c r="F352">
        <f>'mk 001 10.3'!F353</f>
        <v>0</v>
      </c>
      <c r="G352">
        <f>'mk 001 10.3'!G353</f>
        <v>0</v>
      </c>
      <c r="H352">
        <f>'mk 001 10.3'!H353</f>
        <v>0</v>
      </c>
      <c r="I352">
        <f>'mk 001 10.3'!I353</f>
        <v>0</v>
      </c>
      <c r="J352">
        <f>'mk 001 10.3'!J353</f>
        <v>0</v>
      </c>
      <c r="K352">
        <f>'mk 001 10.3'!K353</f>
        <v>0</v>
      </c>
      <c r="L352">
        <f>'mk 001 10.3'!L353</f>
        <v>0</v>
      </c>
      <c r="M352">
        <f>'mk 001 10.3'!M353</f>
        <v>0</v>
      </c>
      <c r="N352">
        <f>'mk 001 10.3'!N353</f>
        <v>0</v>
      </c>
      <c r="O352">
        <f>'mk 001 10.3'!O353</f>
        <v>0</v>
      </c>
      <c r="P352">
        <f>'mk 001 10.3'!P353</f>
        <v>0</v>
      </c>
      <c r="Q352">
        <f>'mk 001 10.3'!Q353</f>
        <v>0</v>
      </c>
      <c r="R352" s="1">
        <f>'mk 001 10.3'!R353</f>
        <v>0</v>
      </c>
      <c r="S352" s="1">
        <f>'mk 001 10.3'!S353</f>
        <v>0</v>
      </c>
      <c r="T352">
        <f>'mk 001 10.3'!T353</f>
        <v>0</v>
      </c>
      <c r="U352">
        <f>'mk 001 10.3'!U353</f>
        <v>0</v>
      </c>
      <c r="V352">
        <f>'mk 001 10.3'!V353</f>
        <v>0</v>
      </c>
      <c r="W352">
        <f>'mk 001 10.3'!W353</f>
        <v>0</v>
      </c>
      <c r="X352">
        <f>'mk 001 10.3'!X353</f>
        <v>0</v>
      </c>
      <c r="Y352">
        <f t="shared" si="5"/>
        <v>0</v>
      </c>
      <c r="Z352" s="13">
        <f>IF(COUNTIFS(แปลงข้อมูล!H:H,Q352,แปลงข้อมูล!I:I,U352,แปลงข้อมูล!J:J,V352)&gt;0,SUMIFS(แปลงข้อมูล!Q:Q,แปลงข้อมูล!I:I,U352,แปลงข้อมูล!H:H,Q352,แปลงข้อมูล!J:J,V352),'mk 001 10.3'!Z353)</f>
        <v>0</v>
      </c>
      <c r="AA352">
        <f>'mk 001 10.3'!AA353</f>
        <v>0</v>
      </c>
      <c r="AB352">
        <f>'mk 001 10.3'!AB353</f>
        <v>0</v>
      </c>
      <c r="AC352">
        <f>'mk 001 10.3'!AC353</f>
        <v>0</v>
      </c>
      <c r="AD352">
        <f>'mk 001 10.3'!AD353</f>
        <v>0</v>
      </c>
      <c r="AE352">
        <f>'mk 001 10.3'!AE353</f>
        <v>0</v>
      </c>
      <c r="AF352">
        <f>'mk 001 10.3'!AF353</f>
        <v>0</v>
      </c>
      <c r="AG352">
        <f>'mk 001 10.3'!AG353</f>
        <v>0</v>
      </c>
      <c r="AH352">
        <f>'mk 001 10.3'!AH353</f>
        <v>0</v>
      </c>
      <c r="AI352">
        <f>'mk 001 10.3'!AI353</f>
        <v>0</v>
      </c>
      <c r="AJ352">
        <f>'mk 001 10.3'!AJ353</f>
        <v>0</v>
      </c>
      <c r="AK352">
        <f>'mk 001 10.3'!AK353</f>
        <v>0</v>
      </c>
      <c r="AL352">
        <f>'mk 001 10.3'!AL353</f>
        <v>0</v>
      </c>
      <c r="AM352">
        <f>'mk 001 10.3'!AM353</f>
        <v>0</v>
      </c>
      <c r="AN352">
        <f>'mk 001 10.3'!AN353</f>
        <v>0</v>
      </c>
      <c r="AO352">
        <f>'mk 001 10.3'!AO353</f>
        <v>0</v>
      </c>
      <c r="AP352">
        <f>'mk 001 10.3'!AP353</f>
        <v>0</v>
      </c>
      <c r="AQ352">
        <f>'mk 001 10.3'!AQ353</f>
        <v>0</v>
      </c>
      <c r="AR352">
        <f>'mk 001 10.3'!AR353</f>
        <v>0</v>
      </c>
      <c r="AS352">
        <f>'mk 001 10.3'!AS353</f>
        <v>0</v>
      </c>
      <c r="AT352">
        <f>'mk 001 10.3'!AT353</f>
        <v>0</v>
      </c>
      <c r="AU352">
        <f>'mk 001 10.3'!AU353</f>
        <v>0</v>
      </c>
      <c r="AV352">
        <f>'mk 001 10.3'!AV353</f>
        <v>0</v>
      </c>
      <c r="AW352">
        <f>'mk 001 10.3'!AW353</f>
        <v>0</v>
      </c>
      <c r="AX352">
        <f>'mk 001 10.3'!AX353</f>
        <v>0</v>
      </c>
      <c r="AY352">
        <f>'mk 001 10.3'!AY353</f>
        <v>0</v>
      </c>
      <c r="AZ352">
        <f>'mk 001 10.3'!AZ353</f>
        <v>0</v>
      </c>
      <c r="BA352" s="22">
        <f>'mk 001 10.3'!BA353</f>
        <v>0</v>
      </c>
      <c r="BB352">
        <f>'mk 001 10.3'!BB353</f>
        <v>0</v>
      </c>
      <c r="BC352">
        <f>'mk 001 10.3'!BC353</f>
        <v>0</v>
      </c>
      <c r="BD352">
        <f>'mk 001 10.3'!BD353</f>
        <v>0</v>
      </c>
      <c r="BE352">
        <f>'mk 001 10.3'!BE353</f>
        <v>0</v>
      </c>
      <c r="BF352">
        <f>'mk 001 10.3'!BF353</f>
        <v>0</v>
      </c>
      <c r="BG352">
        <f>'mk 001 10.3'!BG353</f>
        <v>0</v>
      </c>
      <c r="BH352">
        <f>'mk 001 10.3'!BH353</f>
        <v>0</v>
      </c>
      <c r="BI352">
        <f>'mk 001 10.3'!BI353</f>
        <v>0</v>
      </c>
      <c r="BJ352">
        <f>'mk 001 10.3'!BJ353</f>
        <v>0</v>
      </c>
      <c r="BK352">
        <f>'mk 001 10.3'!BK353</f>
        <v>0</v>
      </c>
      <c r="BL352">
        <f>'mk 001 10.3'!BL353</f>
        <v>0</v>
      </c>
      <c r="BM352">
        <f>'mk 001 10.3'!BM353</f>
        <v>0</v>
      </c>
      <c r="BN352">
        <f>'mk 001 10.3'!BN353</f>
        <v>0</v>
      </c>
    </row>
    <row r="353" spans="1:66" x14ac:dyDescent="0.35">
      <c r="A353">
        <f>'mk 001 10.3'!A354</f>
        <v>0</v>
      </c>
      <c r="B353">
        <f>'mk 001 10.3'!B354</f>
        <v>0</v>
      </c>
      <c r="C353" s="1">
        <f>'mk 001 10.3'!C354</f>
        <v>0</v>
      </c>
      <c r="D353" s="1">
        <f>'mk 001 10.3'!D354</f>
        <v>0</v>
      </c>
      <c r="E353">
        <f>'mk 001 10.3'!E354</f>
        <v>0</v>
      </c>
      <c r="F353">
        <f>'mk 001 10.3'!F354</f>
        <v>0</v>
      </c>
      <c r="G353">
        <f>'mk 001 10.3'!G354</f>
        <v>0</v>
      </c>
      <c r="H353">
        <f>'mk 001 10.3'!H354</f>
        <v>0</v>
      </c>
      <c r="I353">
        <f>'mk 001 10.3'!I354</f>
        <v>0</v>
      </c>
      <c r="J353">
        <f>'mk 001 10.3'!J354</f>
        <v>0</v>
      </c>
      <c r="K353">
        <f>'mk 001 10.3'!K354</f>
        <v>0</v>
      </c>
      <c r="L353">
        <f>'mk 001 10.3'!L354</f>
        <v>0</v>
      </c>
      <c r="M353">
        <f>'mk 001 10.3'!M354</f>
        <v>0</v>
      </c>
      <c r="N353">
        <f>'mk 001 10.3'!N354</f>
        <v>0</v>
      </c>
      <c r="O353">
        <f>'mk 001 10.3'!O354</f>
        <v>0</v>
      </c>
      <c r="P353">
        <f>'mk 001 10.3'!P354</f>
        <v>0</v>
      </c>
      <c r="Q353">
        <f>'mk 001 10.3'!Q354</f>
        <v>0</v>
      </c>
      <c r="R353" s="1">
        <f>'mk 001 10.3'!R354</f>
        <v>0</v>
      </c>
      <c r="S353" s="1">
        <f>'mk 001 10.3'!S354</f>
        <v>0</v>
      </c>
      <c r="T353">
        <f>'mk 001 10.3'!T354</f>
        <v>0</v>
      </c>
      <c r="U353">
        <f>'mk 001 10.3'!U354</f>
        <v>0</v>
      </c>
      <c r="V353">
        <f>'mk 001 10.3'!V354</f>
        <v>0</v>
      </c>
      <c r="W353">
        <f>'mk 001 10.3'!W354</f>
        <v>0</v>
      </c>
      <c r="X353">
        <f>'mk 001 10.3'!X354</f>
        <v>0</v>
      </c>
      <c r="Y353">
        <f t="shared" si="5"/>
        <v>0</v>
      </c>
      <c r="Z353" s="13">
        <f>IF(COUNTIFS(แปลงข้อมูล!H:H,Q353,แปลงข้อมูล!I:I,U353,แปลงข้อมูล!J:J,V353)&gt;0,SUMIFS(แปลงข้อมูล!Q:Q,แปลงข้อมูล!I:I,U353,แปลงข้อมูล!H:H,Q353,แปลงข้อมูล!J:J,V353),'mk 001 10.3'!Z354)</f>
        <v>0</v>
      </c>
      <c r="AA353">
        <f>'mk 001 10.3'!AA354</f>
        <v>0</v>
      </c>
      <c r="AB353">
        <f>'mk 001 10.3'!AB354</f>
        <v>0</v>
      </c>
      <c r="AC353">
        <f>'mk 001 10.3'!AC354</f>
        <v>0</v>
      </c>
      <c r="AD353">
        <f>'mk 001 10.3'!AD354</f>
        <v>0</v>
      </c>
      <c r="AE353">
        <f>'mk 001 10.3'!AE354</f>
        <v>0</v>
      </c>
      <c r="AF353">
        <f>'mk 001 10.3'!AF354</f>
        <v>0</v>
      </c>
      <c r="AG353">
        <f>'mk 001 10.3'!AG354</f>
        <v>0</v>
      </c>
      <c r="AH353">
        <f>'mk 001 10.3'!AH354</f>
        <v>0</v>
      </c>
      <c r="AI353">
        <f>'mk 001 10.3'!AI354</f>
        <v>0</v>
      </c>
      <c r="AJ353">
        <f>'mk 001 10.3'!AJ354</f>
        <v>0</v>
      </c>
      <c r="AK353">
        <f>'mk 001 10.3'!AK354</f>
        <v>0</v>
      </c>
      <c r="AL353">
        <f>'mk 001 10.3'!AL354</f>
        <v>0</v>
      </c>
      <c r="AM353">
        <f>'mk 001 10.3'!AM354</f>
        <v>0</v>
      </c>
      <c r="AN353">
        <f>'mk 001 10.3'!AN354</f>
        <v>0</v>
      </c>
      <c r="AO353">
        <f>'mk 001 10.3'!AO354</f>
        <v>0</v>
      </c>
      <c r="AP353">
        <f>'mk 001 10.3'!AP354</f>
        <v>0</v>
      </c>
      <c r="AQ353">
        <f>'mk 001 10.3'!AQ354</f>
        <v>0</v>
      </c>
      <c r="AR353">
        <f>'mk 001 10.3'!AR354</f>
        <v>0</v>
      </c>
      <c r="AS353">
        <f>'mk 001 10.3'!AS354</f>
        <v>0</v>
      </c>
      <c r="AT353">
        <f>'mk 001 10.3'!AT354</f>
        <v>0</v>
      </c>
      <c r="AU353">
        <f>'mk 001 10.3'!AU354</f>
        <v>0</v>
      </c>
      <c r="AV353">
        <f>'mk 001 10.3'!AV354</f>
        <v>0</v>
      </c>
      <c r="AW353">
        <f>'mk 001 10.3'!AW354</f>
        <v>0</v>
      </c>
      <c r="AX353">
        <f>'mk 001 10.3'!AX354</f>
        <v>0</v>
      </c>
      <c r="AY353">
        <f>'mk 001 10.3'!AY354</f>
        <v>0</v>
      </c>
      <c r="AZ353">
        <f>'mk 001 10.3'!AZ354</f>
        <v>0</v>
      </c>
      <c r="BA353" s="22">
        <f>'mk 001 10.3'!BA354</f>
        <v>0</v>
      </c>
      <c r="BB353">
        <f>'mk 001 10.3'!BB354</f>
        <v>0</v>
      </c>
      <c r="BC353">
        <f>'mk 001 10.3'!BC354</f>
        <v>0</v>
      </c>
      <c r="BD353">
        <f>'mk 001 10.3'!BD354</f>
        <v>0</v>
      </c>
      <c r="BE353">
        <f>'mk 001 10.3'!BE354</f>
        <v>0</v>
      </c>
      <c r="BF353">
        <f>'mk 001 10.3'!BF354</f>
        <v>0</v>
      </c>
      <c r="BG353">
        <f>'mk 001 10.3'!BG354</f>
        <v>0</v>
      </c>
      <c r="BH353">
        <f>'mk 001 10.3'!BH354</f>
        <v>0</v>
      </c>
      <c r="BI353">
        <f>'mk 001 10.3'!BI354</f>
        <v>0</v>
      </c>
      <c r="BJ353">
        <f>'mk 001 10.3'!BJ354</f>
        <v>0</v>
      </c>
      <c r="BK353">
        <f>'mk 001 10.3'!BK354</f>
        <v>0</v>
      </c>
      <c r="BL353">
        <f>'mk 001 10.3'!BL354</f>
        <v>0</v>
      </c>
      <c r="BM353">
        <f>'mk 001 10.3'!BM354</f>
        <v>0</v>
      </c>
      <c r="BN353">
        <f>'mk 001 10.3'!BN354</f>
        <v>0</v>
      </c>
    </row>
    <row r="354" spans="1:66" x14ac:dyDescent="0.35">
      <c r="A354">
        <f>'mk 001 10.3'!A355</f>
        <v>0</v>
      </c>
      <c r="B354">
        <f>'mk 001 10.3'!B355</f>
        <v>0</v>
      </c>
      <c r="C354" s="1">
        <f>'mk 001 10.3'!C355</f>
        <v>0</v>
      </c>
      <c r="D354" s="1">
        <f>'mk 001 10.3'!D355</f>
        <v>0</v>
      </c>
      <c r="E354">
        <f>'mk 001 10.3'!E355</f>
        <v>0</v>
      </c>
      <c r="F354">
        <f>'mk 001 10.3'!F355</f>
        <v>0</v>
      </c>
      <c r="G354">
        <f>'mk 001 10.3'!G355</f>
        <v>0</v>
      </c>
      <c r="H354">
        <f>'mk 001 10.3'!H355</f>
        <v>0</v>
      </c>
      <c r="I354">
        <f>'mk 001 10.3'!I355</f>
        <v>0</v>
      </c>
      <c r="J354">
        <f>'mk 001 10.3'!J355</f>
        <v>0</v>
      </c>
      <c r="K354">
        <f>'mk 001 10.3'!K355</f>
        <v>0</v>
      </c>
      <c r="L354">
        <f>'mk 001 10.3'!L355</f>
        <v>0</v>
      </c>
      <c r="M354">
        <f>'mk 001 10.3'!M355</f>
        <v>0</v>
      </c>
      <c r="N354">
        <f>'mk 001 10.3'!N355</f>
        <v>0</v>
      </c>
      <c r="O354">
        <f>'mk 001 10.3'!O355</f>
        <v>0</v>
      </c>
      <c r="P354">
        <f>'mk 001 10.3'!P355</f>
        <v>0</v>
      </c>
      <c r="Q354">
        <f>'mk 001 10.3'!Q355</f>
        <v>0</v>
      </c>
      <c r="R354" s="1">
        <f>'mk 001 10.3'!R355</f>
        <v>0</v>
      </c>
      <c r="S354" s="1">
        <f>'mk 001 10.3'!S355</f>
        <v>0</v>
      </c>
      <c r="T354">
        <f>'mk 001 10.3'!T355</f>
        <v>0</v>
      </c>
      <c r="U354">
        <f>'mk 001 10.3'!U355</f>
        <v>0</v>
      </c>
      <c r="V354">
        <f>'mk 001 10.3'!V355</f>
        <v>0</v>
      </c>
      <c r="W354">
        <f>'mk 001 10.3'!W355</f>
        <v>0</v>
      </c>
      <c r="X354">
        <f>'mk 001 10.3'!X355</f>
        <v>0</v>
      </c>
      <c r="Y354">
        <f t="shared" si="5"/>
        <v>0</v>
      </c>
      <c r="Z354" s="13">
        <f>IF(COUNTIFS(แปลงข้อมูล!H:H,Q354,แปลงข้อมูล!I:I,U354,แปลงข้อมูล!J:J,V354)&gt;0,SUMIFS(แปลงข้อมูล!Q:Q,แปลงข้อมูล!I:I,U354,แปลงข้อมูล!H:H,Q354,แปลงข้อมูล!J:J,V354),'mk 001 10.3'!Z355)</f>
        <v>0</v>
      </c>
      <c r="AA354">
        <f>'mk 001 10.3'!AA355</f>
        <v>0</v>
      </c>
      <c r="AB354">
        <f>'mk 001 10.3'!AB355</f>
        <v>0</v>
      </c>
      <c r="AC354">
        <f>'mk 001 10.3'!AC355</f>
        <v>0</v>
      </c>
      <c r="AD354">
        <f>'mk 001 10.3'!AD355</f>
        <v>0</v>
      </c>
      <c r="AE354">
        <f>'mk 001 10.3'!AE355</f>
        <v>0</v>
      </c>
      <c r="AF354">
        <f>'mk 001 10.3'!AF355</f>
        <v>0</v>
      </c>
      <c r="AG354">
        <f>'mk 001 10.3'!AG355</f>
        <v>0</v>
      </c>
      <c r="AH354">
        <f>'mk 001 10.3'!AH355</f>
        <v>0</v>
      </c>
      <c r="AI354">
        <f>'mk 001 10.3'!AI355</f>
        <v>0</v>
      </c>
      <c r="AJ354">
        <f>'mk 001 10.3'!AJ355</f>
        <v>0</v>
      </c>
      <c r="AK354">
        <f>'mk 001 10.3'!AK355</f>
        <v>0</v>
      </c>
      <c r="AL354">
        <f>'mk 001 10.3'!AL355</f>
        <v>0</v>
      </c>
      <c r="AM354">
        <f>'mk 001 10.3'!AM355</f>
        <v>0</v>
      </c>
      <c r="AN354">
        <f>'mk 001 10.3'!AN355</f>
        <v>0</v>
      </c>
      <c r="AO354">
        <f>'mk 001 10.3'!AO355</f>
        <v>0</v>
      </c>
      <c r="AP354">
        <f>'mk 001 10.3'!AP355</f>
        <v>0</v>
      </c>
      <c r="AQ354">
        <f>'mk 001 10.3'!AQ355</f>
        <v>0</v>
      </c>
      <c r="AR354">
        <f>'mk 001 10.3'!AR355</f>
        <v>0</v>
      </c>
      <c r="AS354">
        <f>'mk 001 10.3'!AS355</f>
        <v>0</v>
      </c>
      <c r="AT354">
        <f>'mk 001 10.3'!AT355</f>
        <v>0</v>
      </c>
      <c r="AU354">
        <f>'mk 001 10.3'!AU355</f>
        <v>0</v>
      </c>
      <c r="AV354">
        <f>'mk 001 10.3'!AV355</f>
        <v>0</v>
      </c>
      <c r="AW354">
        <f>'mk 001 10.3'!AW355</f>
        <v>0</v>
      </c>
      <c r="AX354">
        <f>'mk 001 10.3'!AX355</f>
        <v>0</v>
      </c>
      <c r="AY354">
        <f>'mk 001 10.3'!AY355</f>
        <v>0</v>
      </c>
      <c r="AZ354">
        <f>'mk 001 10.3'!AZ355</f>
        <v>0</v>
      </c>
      <c r="BA354" s="22">
        <f>'mk 001 10.3'!BA355</f>
        <v>0</v>
      </c>
      <c r="BB354">
        <f>'mk 001 10.3'!BB355</f>
        <v>0</v>
      </c>
      <c r="BC354">
        <f>'mk 001 10.3'!BC355</f>
        <v>0</v>
      </c>
      <c r="BD354">
        <f>'mk 001 10.3'!BD355</f>
        <v>0</v>
      </c>
      <c r="BE354">
        <f>'mk 001 10.3'!BE355</f>
        <v>0</v>
      </c>
      <c r="BF354">
        <f>'mk 001 10.3'!BF355</f>
        <v>0</v>
      </c>
      <c r="BG354">
        <f>'mk 001 10.3'!BG355</f>
        <v>0</v>
      </c>
      <c r="BH354">
        <f>'mk 001 10.3'!BH355</f>
        <v>0</v>
      </c>
      <c r="BI354">
        <f>'mk 001 10.3'!BI355</f>
        <v>0</v>
      </c>
      <c r="BJ354">
        <f>'mk 001 10.3'!BJ355</f>
        <v>0</v>
      </c>
      <c r="BK354">
        <f>'mk 001 10.3'!BK355</f>
        <v>0</v>
      </c>
      <c r="BL354">
        <f>'mk 001 10.3'!BL355</f>
        <v>0</v>
      </c>
      <c r="BM354">
        <f>'mk 001 10.3'!BM355</f>
        <v>0</v>
      </c>
      <c r="BN354">
        <f>'mk 001 10.3'!BN355</f>
        <v>0</v>
      </c>
    </row>
    <row r="355" spans="1:66" x14ac:dyDescent="0.35">
      <c r="A355">
        <f>'mk 001 10.3'!A356</f>
        <v>0</v>
      </c>
      <c r="B355">
        <f>'mk 001 10.3'!B356</f>
        <v>0</v>
      </c>
      <c r="C355" s="1">
        <f>'mk 001 10.3'!C356</f>
        <v>0</v>
      </c>
      <c r="D355" s="1">
        <f>'mk 001 10.3'!D356</f>
        <v>0</v>
      </c>
      <c r="E355">
        <f>'mk 001 10.3'!E356</f>
        <v>0</v>
      </c>
      <c r="F355">
        <f>'mk 001 10.3'!F356</f>
        <v>0</v>
      </c>
      <c r="G355">
        <f>'mk 001 10.3'!G356</f>
        <v>0</v>
      </c>
      <c r="H355">
        <f>'mk 001 10.3'!H356</f>
        <v>0</v>
      </c>
      <c r="I355">
        <f>'mk 001 10.3'!I356</f>
        <v>0</v>
      </c>
      <c r="J355">
        <f>'mk 001 10.3'!J356</f>
        <v>0</v>
      </c>
      <c r="K355">
        <f>'mk 001 10.3'!K356</f>
        <v>0</v>
      </c>
      <c r="L355">
        <f>'mk 001 10.3'!L356</f>
        <v>0</v>
      </c>
      <c r="M355">
        <f>'mk 001 10.3'!M356</f>
        <v>0</v>
      </c>
      <c r="N355">
        <f>'mk 001 10.3'!N356</f>
        <v>0</v>
      </c>
      <c r="O355">
        <f>'mk 001 10.3'!O356</f>
        <v>0</v>
      </c>
      <c r="P355">
        <f>'mk 001 10.3'!P356</f>
        <v>0</v>
      </c>
      <c r="Q355">
        <f>'mk 001 10.3'!Q356</f>
        <v>0</v>
      </c>
      <c r="R355" s="1">
        <f>'mk 001 10.3'!R356</f>
        <v>0</v>
      </c>
      <c r="S355" s="1">
        <f>'mk 001 10.3'!S356</f>
        <v>0</v>
      </c>
      <c r="T355">
        <f>'mk 001 10.3'!T356</f>
        <v>0</v>
      </c>
      <c r="U355">
        <f>'mk 001 10.3'!U356</f>
        <v>0</v>
      </c>
      <c r="V355">
        <f>'mk 001 10.3'!V356</f>
        <v>0</v>
      </c>
      <c r="W355">
        <f>'mk 001 10.3'!W356</f>
        <v>0</v>
      </c>
      <c r="X355">
        <f>'mk 001 10.3'!X356</f>
        <v>0</v>
      </c>
      <c r="Y355">
        <f t="shared" si="5"/>
        <v>0</v>
      </c>
      <c r="Z355" s="13">
        <f>IF(COUNTIFS(แปลงข้อมูล!H:H,Q355,แปลงข้อมูล!I:I,U355,แปลงข้อมูล!J:J,V355)&gt;0,SUMIFS(แปลงข้อมูล!Q:Q,แปลงข้อมูล!I:I,U355,แปลงข้อมูล!H:H,Q355,แปลงข้อมูล!J:J,V355),'mk 001 10.3'!Z356)</f>
        <v>0</v>
      </c>
      <c r="AA355">
        <f>'mk 001 10.3'!AA356</f>
        <v>0</v>
      </c>
      <c r="AB355">
        <f>'mk 001 10.3'!AB356</f>
        <v>0</v>
      </c>
      <c r="AC355">
        <f>'mk 001 10.3'!AC356</f>
        <v>0</v>
      </c>
      <c r="AD355">
        <f>'mk 001 10.3'!AD356</f>
        <v>0</v>
      </c>
      <c r="AE355">
        <f>'mk 001 10.3'!AE356</f>
        <v>0</v>
      </c>
      <c r="AF355">
        <f>'mk 001 10.3'!AF356</f>
        <v>0</v>
      </c>
      <c r="AG355">
        <f>'mk 001 10.3'!AG356</f>
        <v>0</v>
      </c>
      <c r="AH355">
        <f>'mk 001 10.3'!AH356</f>
        <v>0</v>
      </c>
      <c r="AI355">
        <f>'mk 001 10.3'!AI356</f>
        <v>0</v>
      </c>
      <c r="AJ355">
        <f>'mk 001 10.3'!AJ356</f>
        <v>0</v>
      </c>
      <c r="AK355">
        <f>'mk 001 10.3'!AK356</f>
        <v>0</v>
      </c>
      <c r="AL355">
        <f>'mk 001 10.3'!AL356</f>
        <v>0</v>
      </c>
      <c r="AM355">
        <f>'mk 001 10.3'!AM356</f>
        <v>0</v>
      </c>
      <c r="AN355">
        <f>'mk 001 10.3'!AN356</f>
        <v>0</v>
      </c>
      <c r="AO355">
        <f>'mk 001 10.3'!AO356</f>
        <v>0</v>
      </c>
      <c r="AP355">
        <f>'mk 001 10.3'!AP356</f>
        <v>0</v>
      </c>
      <c r="AQ355">
        <f>'mk 001 10.3'!AQ356</f>
        <v>0</v>
      </c>
      <c r="AR355">
        <f>'mk 001 10.3'!AR356</f>
        <v>0</v>
      </c>
      <c r="AS355">
        <f>'mk 001 10.3'!AS356</f>
        <v>0</v>
      </c>
      <c r="AT355">
        <f>'mk 001 10.3'!AT356</f>
        <v>0</v>
      </c>
      <c r="AU355">
        <f>'mk 001 10.3'!AU356</f>
        <v>0</v>
      </c>
      <c r="AV355">
        <f>'mk 001 10.3'!AV356</f>
        <v>0</v>
      </c>
      <c r="AW355">
        <f>'mk 001 10.3'!AW356</f>
        <v>0</v>
      </c>
      <c r="AX355">
        <f>'mk 001 10.3'!AX356</f>
        <v>0</v>
      </c>
      <c r="AY355">
        <f>'mk 001 10.3'!AY356</f>
        <v>0</v>
      </c>
      <c r="AZ355">
        <f>'mk 001 10.3'!AZ356</f>
        <v>0</v>
      </c>
      <c r="BA355" s="22">
        <f>'mk 001 10.3'!BA356</f>
        <v>0</v>
      </c>
      <c r="BB355">
        <f>'mk 001 10.3'!BB356</f>
        <v>0</v>
      </c>
      <c r="BC355">
        <f>'mk 001 10.3'!BC356</f>
        <v>0</v>
      </c>
      <c r="BD355">
        <f>'mk 001 10.3'!BD356</f>
        <v>0</v>
      </c>
      <c r="BE355">
        <f>'mk 001 10.3'!BE356</f>
        <v>0</v>
      </c>
      <c r="BF355">
        <f>'mk 001 10.3'!BF356</f>
        <v>0</v>
      </c>
      <c r="BG355">
        <f>'mk 001 10.3'!BG356</f>
        <v>0</v>
      </c>
      <c r="BH355">
        <f>'mk 001 10.3'!BH356</f>
        <v>0</v>
      </c>
      <c r="BI355">
        <f>'mk 001 10.3'!BI356</f>
        <v>0</v>
      </c>
      <c r="BJ355">
        <f>'mk 001 10.3'!BJ356</f>
        <v>0</v>
      </c>
      <c r="BK355">
        <f>'mk 001 10.3'!BK356</f>
        <v>0</v>
      </c>
      <c r="BL355">
        <f>'mk 001 10.3'!BL356</f>
        <v>0</v>
      </c>
      <c r="BM355">
        <f>'mk 001 10.3'!BM356</f>
        <v>0</v>
      </c>
      <c r="BN355">
        <f>'mk 001 10.3'!BN356</f>
        <v>0</v>
      </c>
    </row>
    <row r="356" spans="1:66" x14ac:dyDescent="0.35">
      <c r="A356">
        <f>'mk 001 10.3'!A357</f>
        <v>0</v>
      </c>
      <c r="B356">
        <f>'mk 001 10.3'!B357</f>
        <v>0</v>
      </c>
      <c r="C356" s="1">
        <f>'mk 001 10.3'!C357</f>
        <v>0</v>
      </c>
      <c r="D356" s="1">
        <f>'mk 001 10.3'!D357</f>
        <v>0</v>
      </c>
      <c r="E356">
        <f>'mk 001 10.3'!E357</f>
        <v>0</v>
      </c>
      <c r="F356">
        <f>'mk 001 10.3'!F357</f>
        <v>0</v>
      </c>
      <c r="G356">
        <f>'mk 001 10.3'!G357</f>
        <v>0</v>
      </c>
      <c r="H356">
        <f>'mk 001 10.3'!H357</f>
        <v>0</v>
      </c>
      <c r="I356">
        <f>'mk 001 10.3'!I357</f>
        <v>0</v>
      </c>
      <c r="J356">
        <f>'mk 001 10.3'!J357</f>
        <v>0</v>
      </c>
      <c r="K356">
        <f>'mk 001 10.3'!K357</f>
        <v>0</v>
      </c>
      <c r="L356">
        <f>'mk 001 10.3'!L357</f>
        <v>0</v>
      </c>
      <c r="M356">
        <f>'mk 001 10.3'!M357</f>
        <v>0</v>
      </c>
      <c r="N356">
        <f>'mk 001 10.3'!N357</f>
        <v>0</v>
      </c>
      <c r="O356">
        <f>'mk 001 10.3'!O357</f>
        <v>0</v>
      </c>
      <c r="P356">
        <f>'mk 001 10.3'!P357</f>
        <v>0</v>
      </c>
      <c r="Q356">
        <f>'mk 001 10.3'!Q357</f>
        <v>0</v>
      </c>
      <c r="R356" s="1">
        <f>'mk 001 10.3'!R357</f>
        <v>0</v>
      </c>
      <c r="S356" s="1">
        <f>'mk 001 10.3'!S357</f>
        <v>0</v>
      </c>
      <c r="T356">
        <f>'mk 001 10.3'!T357</f>
        <v>0</v>
      </c>
      <c r="U356">
        <f>'mk 001 10.3'!U357</f>
        <v>0</v>
      </c>
      <c r="V356">
        <f>'mk 001 10.3'!V357</f>
        <v>0</v>
      </c>
      <c r="W356">
        <f>'mk 001 10.3'!W357</f>
        <v>0</v>
      </c>
      <c r="X356">
        <f>'mk 001 10.3'!X357</f>
        <v>0</v>
      </c>
      <c r="Y356">
        <f t="shared" si="5"/>
        <v>0</v>
      </c>
      <c r="Z356" s="13">
        <f>IF(COUNTIFS(แปลงข้อมูล!H:H,Q356,แปลงข้อมูล!I:I,U356,แปลงข้อมูล!J:J,V356)&gt;0,SUMIFS(แปลงข้อมูล!Q:Q,แปลงข้อมูล!I:I,U356,แปลงข้อมูล!H:H,Q356,แปลงข้อมูล!J:J,V356),'mk 001 10.3'!Z357)</f>
        <v>0</v>
      </c>
      <c r="AA356">
        <f>'mk 001 10.3'!AA357</f>
        <v>0</v>
      </c>
      <c r="AB356">
        <f>'mk 001 10.3'!AB357</f>
        <v>0</v>
      </c>
      <c r="AC356">
        <f>'mk 001 10.3'!AC357</f>
        <v>0</v>
      </c>
      <c r="AD356">
        <f>'mk 001 10.3'!AD357</f>
        <v>0</v>
      </c>
      <c r="AE356">
        <f>'mk 001 10.3'!AE357</f>
        <v>0</v>
      </c>
      <c r="AF356">
        <f>'mk 001 10.3'!AF357</f>
        <v>0</v>
      </c>
      <c r="AG356">
        <f>'mk 001 10.3'!AG357</f>
        <v>0</v>
      </c>
      <c r="AH356">
        <f>'mk 001 10.3'!AH357</f>
        <v>0</v>
      </c>
      <c r="AI356">
        <f>'mk 001 10.3'!AI357</f>
        <v>0</v>
      </c>
      <c r="AJ356">
        <f>'mk 001 10.3'!AJ357</f>
        <v>0</v>
      </c>
      <c r="AK356">
        <f>'mk 001 10.3'!AK357</f>
        <v>0</v>
      </c>
      <c r="AL356">
        <f>'mk 001 10.3'!AL357</f>
        <v>0</v>
      </c>
      <c r="AM356">
        <f>'mk 001 10.3'!AM357</f>
        <v>0</v>
      </c>
      <c r="AN356">
        <f>'mk 001 10.3'!AN357</f>
        <v>0</v>
      </c>
      <c r="AO356">
        <f>'mk 001 10.3'!AO357</f>
        <v>0</v>
      </c>
      <c r="AP356">
        <f>'mk 001 10.3'!AP357</f>
        <v>0</v>
      </c>
      <c r="AQ356">
        <f>'mk 001 10.3'!AQ357</f>
        <v>0</v>
      </c>
      <c r="AR356">
        <f>'mk 001 10.3'!AR357</f>
        <v>0</v>
      </c>
      <c r="AS356">
        <f>'mk 001 10.3'!AS357</f>
        <v>0</v>
      </c>
      <c r="AT356">
        <f>'mk 001 10.3'!AT357</f>
        <v>0</v>
      </c>
      <c r="AU356">
        <f>'mk 001 10.3'!AU357</f>
        <v>0</v>
      </c>
      <c r="AV356">
        <f>'mk 001 10.3'!AV357</f>
        <v>0</v>
      </c>
      <c r="AW356">
        <f>'mk 001 10.3'!AW357</f>
        <v>0</v>
      </c>
      <c r="AX356">
        <f>'mk 001 10.3'!AX357</f>
        <v>0</v>
      </c>
      <c r="AY356">
        <f>'mk 001 10.3'!AY357</f>
        <v>0</v>
      </c>
      <c r="AZ356">
        <f>'mk 001 10.3'!AZ357</f>
        <v>0</v>
      </c>
      <c r="BA356" s="22">
        <f>'mk 001 10.3'!BA357</f>
        <v>0</v>
      </c>
      <c r="BB356">
        <f>'mk 001 10.3'!BB357</f>
        <v>0</v>
      </c>
      <c r="BC356">
        <f>'mk 001 10.3'!BC357</f>
        <v>0</v>
      </c>
      <c r="BD356">
        <f>'mk 001 10.3'!BD357</f>
        <v>0</v>
      </c>
      <c r="BE356">
        <f>'mk 001 10.3'!BE357</f>
        <v>0</v>
      </c>
      <c r="BF356">
        <f>'mk 001 10.3'!BF357</f>
        <v>0</v>
      </c>
      <c r="BG356">
        <f>'mk 001 10.3'!BG357</f>
        <v>0</v>
      </c>
      <c r="BH356">
        <f>'mk 001 10.3'!BH357</f>
        <v>0</v>
      </c>
      <c r="BI356">
        <f>'mk 001 10.3'!BI357</f>
        <v>0</v>
      </c>
      <c r="BJ356">
        <f>'mk 001 10.3'!BJ357</f>
        <v>0</v>
      </c>
      <c r="BK356">
        <f>'mk 001 10.3'!BK357</f>
        <v>0</v>
      </c>
      <c r="BL356">
        <f>'mk 001 10.3'!BL357</f>
        <v>0</v>
      </c>
      <c r="BM356">
        <f>'mk 001 10.3'!BM357</f>
        <v>0</v>
      </c>
      <c r="BN356">
        <f>'mk 001 10.3'!BN357</f>
        <v>0</v>
      </c>
    </row>
    <row r="357" spans="1:66" x14ac:dyDescent="0.35">
      <c r="A357">
        <f>'mk 001 10.3'!A358</f>
        <v>0</v>
      </c>
      <c r="B357">
        <f>'mk 001 10.3'!B358</f>
        <v>0</v>
      </c>
      <c r="C357" s="1">
        <f>'mk 001 10.3'!C358</f>
        <v>0</v>
      </c>
      <c r="D357" s="1">
        <f>'mk 001 10.3'!D358</f>
        <v>0</v>
      </c>
      <c r="E357">
        <f>'mk 001 10.3'!E358</f>
        <v>0</v>
      </c>
      <c r="F357">
        <f>'mk 001 10.3'!F358</f>
        <v>0</v>
      </c>
      <c r="G357">
        <f>'mk 001 10.3'!G358</f>
        <v>0</v>
      </c>
      <c r="H357">
        <f>'mk 001 10.3'!H358</f>
        <v>0</v>
      </c>
      <c r="I357">
        <f>'mk 001 10.3'!I358</f>
        <v>0</v>
      </c>
      <c r="J357">
        <f>'mk 001 10.3'!J358</f>
        <v>0</v>
      </c>
      <c r="K357">
        <f>'mk 001 10.3'!K358</f>
        <v>0</v>
      </c>
      <c r="L357">
        <f>'mk 001 10.3'!L358</f>
        <v>0</v>
      </c>
      <c r="M357">
        <f>'mk 001 10.3'!M358</f>
        <v>0</v>
      </c>
      <c r="N357">
        <f>'mk 001 10.3'!N358</f>
        <v>0</v>
      </c>
      <c r="O357">
        <f>'mk 001 10.3'!O358</f>
        <v>0</v>
      </c>
      <c r="P357">
        <f>'mk 001 10.3'!P358</f>
        <v>0</v>
      </c>
      <c r="Q357">
        <f>'mk 001 10.3'!Q358</f>
        <v>0</v>
      </c>
      <c r="R357" s="1">
        <f>'mk 001 10.3'!R358</f>
        <v>0</v>
      </c>
      <c r="S357" s="1">
        <f>'mk 001 10.3'!S358</f>
        <v>0</v>
      </c>
      <c r="T357">
        <f>'mk 001 10.3'!T358</f>
        <v>0</v>
      </c>
      <c r="U357">
        <f>'mk 001 10.3'!U358</f>
        <v>0</v>
      </c>
      <c r="V357">
        <f>'mk 001 10.3'!V358</f>
        <v>0</v>
      </c>
      <c r="W357">
        <f>'mk 001 10.3'!W358</f>
        <v>0</v>
      </c>
      <c r="X357">
        <f>'mk 001 10.3'!X358</f>
        <v>0</v>
      </c>
      <c r="Y357">
        <f t="shared" si="5"/>
        <v>0</v>
      </c>
      <c r="Z357" s="13">
        <f>IF(COUNTIFS(แปลงข้อมูล!H:H,Q357,แปลงข้อมูล!I:I,U357,แปลงข้อมูล!J:J,V357)&gt;0,SUMIFS(แปลงข้อมูล!Q:Q,แปลงข้อมูล!I:I,U357,แปลงข้อมูล!H:H,Q357,แปลงข้อมูล!J:J,V357),'mk 001 10.3'!Z358)</f>
        <v>0</v>
      </c>
      <c r="AA357">
        <f>'mk 001 10.3'!AA358</f>
        <v>0</v>
      </c>
      <c r="AB357">
        <f>'mk 001 10.3'!AB358</f>
        <v>0</v>
      </c>
      <c r="AC357">
        <f>'mk 001 10.3'!AC358</f>
        <v>0</v>
      </c>
      <c r="AD357">
        <f>'mk 001 10.3'!AD358</f>
        <v>0</v>
      </c>
      <c r="AE357">
        <f>'mk 001 10.3'!AE358</f>
        <v>0</v>
      </c>
      <c r="AF357">
        <f>'mk 001 10.3'!AF358</f>
        <v>0</v>
      </c>
      <c r="AG357">
        <f>'mk 001 10.3'!AG358</f>
        <v>0</v>
      </c>
      <c r="AH357">
        <f>'mk 001 10.3'!AH358</f>
        <v>0</v>
      </c>
      <c r="AI357">
        <f>'mk 001 10.3'!AI358</f>
        <v>0</v>
      </c>
      <c r="AJ357">
        <f>'mk 001 10.3'!AJ358</f>
        <v>0</v>
      </c>
      <c r="AK357">
        <f>'mk 001 10.3'!AK358</f>
        <v>0</v>
      </c>
      <c r="AL357">
        <f>'mk 001 10.3'!AL358</f>
        <v>0</v>
      </c>
      <c r="AM357">
        <f>'mk 001 10.3'!AM358</f>
        <v>0</v>
      </c>
      <c r="AN357">
        <f>'mk 001 10.3'!AN358</f>
        <v>0</v>
      </c>
      <c r="AO357">
        <f>'mk 001 10.3'!AO358</f>
        <v>0</v>
      </c>
      <c r="AP357">
        <f>'mk 001 10.3'!AP358</f>
        <v>0</v>
      </c>
      <c r="AQ357">
        <f>'mk 001 10.3'!AQ358</f>
        <v>0</v>
      </c>
      <c r="AR357">
        <f>'mk 001 10.3'!AR358</f>
        <v>0</v>
      </c>
      <c r="AS357">
        <f>'mk 001 10.3'!AS358</f>
        <v>0</v>
      </c>
      <c r="AT357">
        <f>'mk 001 10.3'!AT358</f>
        <v>0</v>
      </c>
      <c r="AU357">
        <f>'mk 001 10.3'!AU358</f>
        <v>0</v>
      </c>
      <c r="AV357">
        <f>'mk 001 10.3'!AV358</f>
        <v>0</v>
      </c>
      <c r="AW357">
        <f>'mk 001 10.3'!AW358</f>
        <v>0</v>
      </c>
      <c r="AX357">
        <f>'mk 001 10.3'!AX358</f>
        <v>0</v>
      </c>
      <c r="AY357">
        <f>'mk 001 10.3'!AY358</f>
        <v>0</v>
      </c>
      <c r="AZ357">
        <f>'mk 001 10.3'!AZ358</f>
        <v>0</v>
      </c>
      <c r="BA357" s="22">
        <f>'mk 001 10.3'!BA358</f>
        <v>0</v>
      </c>
      <c r="BB357">
        <f>'mk 001 10.3'!BB358</f>
        <v>0</v>
      </c>
      <c r="BC357">
        <f>'mk 001 10.3'!BC358</f>
        <v>0</v>
      </c>
      <c r="BD357">
        <f>'mk 001 10.3'!BD358</f>
        <v>0</v>
      </c>
      <c r="BE357">
        <f>'mk 001 10.3'!BE358</f>
        <v>0</v>
      </c>
      <c r="BF357">
        <f>'mk 001 10.3'!BF358</f>
        <v>0</v>
      </c>
      <c r="BG357">
        <f>'mk 001 10.3'!BG358</f>
        <v>0</v>
      </c>
      <c r="BH357">
        <f>'mk 001 10.3'!BH358</f>
        <v>0</v>
      </c>
      <c r="BI357">
        <f>'mk 001 10.3'!BI358</f>
        <v>0</v>
      </c>
      <c r="BJ357">
        <f>'mk 001 10.3'!BJ358</f>
        <v>0</v>
      </c>
      <c r="BK357">
        <f>'mk 001 10.3'!BK358</f>
        <v>0</v>
      </c>
      <c r="BL357">
        <f>'mk 001 10.3'!BL358</f>
        <v>0</v>
      </c>
      <c r="BM357">
        <f>'mk 001 10.3'!BM358</f>
        <v>0</v>
      </c>
      <c r="BN357">
        <f>'mk 001 10.3'!BN358</f>
        <v>0</v>
      </c>
    </row>
    <row r="358" spans="1:66" x14ac:dyDescent="0.35">
      <c r="A358">
        <f>'mk 001 10.3'!A359</f>
        <v>0</v>
      </c>
      <c r="B358">
        <f>'mk 001 10.3'!B359</f>
        <v>0</v>
      </c>
      <c r="C358" s="1">
        <f>'mk 001 10.3'!C359</f>
        <v>0</v>
      </c>
      <c r="D358" s="1">
        <f>'mk 001 10.3'!D359</f>
        <v>0</v>
      </c>
      <c r="E358">
        <f>'mk 001 10.3'!E359</f>
        <v>0</v>
      </c>
      <c r="F358">
        <f>'mk 001 10.3'!F359</f>
        <v>0</v>
      </c>
      <c r="G358">
        <f>'mk 001 10.3'!G359</f>
        <v>0</v>
      </c>
      <c r="H358">
        <f>'mk 001 10.3'!H359</f>
        <v>0</v>
      </c>
      <c r="I358">
        <f>'mk 001 10.3'!I359</f>
        <v>0</v>
      </c>
      <c r="J358">
        <f>'mk 001 10.3'!J359</f>
        <v>0</v>
      </c>
      <c r="K358">
        <f>'mk 001 10.3'!K359</f>
        <v>0</v>
      </c>
      <c r="L358">
        <f>'mk 001 10.3'!L359</f>
        <v>0</v>
      </c>
      <c r="M358">
        <f>'mk 001 10.3'!M359</f>
        <v>0</v>
      </c>
      <c r="N358">
        <f>'mk 001 10.3'!N359</f>
        <v>0</v>
      </c>
      <c r="O358">
        <f>'mk 001 10.3'!O359</f>
        <v>0</v>
      </c>
      <c r="P358">
        <f>'mk 001 10.3'!P359</f>
        <v>0</v>
      </c>
      <c r="Q358">
        <f>'mk 001 10.3'!Q359</f>
        <v>0</v>
      </c>
      <c r="R358" s="1">
        <f>'mk 001 10.3'!R359</f>
        <v>0</v>
      </c>
      <c r="S358" s="1">
        <f>'mk 001 10.3'!S359</f>
        <v>0</v>
      </c>
      <c r="T358">
        <f>'mk 001 10.3'!T359</f>
        <v>0</v>
      </c>
      <c r="U358">
        <f>'mk 001 10.3'!U359</f>
        <v>0</v>
      </c>
      <c r="V358">
        <f>'mk 001 10.3'!V359</f>
        <v>0</v>
      </c>
      <c r="W358">
        <f>'mk 001 10.3'!W359</f>
        <v>0</v>
      </c>
      <c r="X358">
        <f>'mk 001 10.3'!X359</f>
        <v>0</v>
      </c>
      <c r="Y358">
        <f t="shared" si="5"/>
        <v>0</v>
      </c>
      <c r="Z358" s="13">
        <f>IF(COUNTIFS(แปลงข้อมูล!H:H,Q358,แปลงข้อมูล!I:I,U358,แปลงข้อมูล!J:J,V358)&gt;0,SUMIFS(แปลงข้อมูล!Q:Q,แปลงข้อมูล!I:I,U358,แปลงข้อมูล!H:H,Q358,แปลงข้อมูล!J:J,V358),'mk 001 10.3'!Z359)</f>
        <v>0</v>
      </c>
      <c r="AA358">
        <f>'mk 001 10.3'!AA359</f>
        <v>0</v>
      </c>
      <c r="AB358">
        <f>'mk 001 10.3'!AB359</f>
        <v>0</v>
      </c>
      <c r="AC358">
        <f>'mk 001 10.3'!AC359</f>
        <v>0</v>
      </c>
      <c r="AD358">
        <f>'mk 001 10.3'!AD359</f>
        <v>0</v>
      </c>
      <c r="AE358">
        <f>'mk 001 10.3'!AE359</f>
        <v>0</v>
      </c>
      <c r="AF358">
        <f>'mk 001 10.3'!AF359</f>
        <v>0</v>
      </c>
      <c r="AG358">
        <f>'mk 001 10.3'!AG359</f>
        <v>0</v>
      </c>
      <c r="AH358">
        <f>'mk 001 10.3'!AH359</f>
        <v>0</v>
      </c>
      <c r="AI358">
        <f>'mk 001 10.3'!AI359</f>
        <v>0</v>
      </c>
      <c r="AJ358">
        <f>'mk 001 10.3'!AJ359</f>
        <v>0</v>
      </c>
      <c r="AK358">
        <f>'mk 001 10.3'!AK359</f>
        <v>0</v>
      </c>
      <c r="AL358">
        <f>'mk 001 10.3'!AL359</f>
        <v>0</v>
      </c>
      <c r="AM358">
        <f>'mk 001 10.3'!AM359</f>
        <v>0</v>
      </c>
      <c r="AN358">
        <f>'mk 001 10.3'!AN359</f>
        <v>0</v>
      </c>
      <c r="AO358">
        <f>'mk 001 10.3'!AO359</f>
        <v>0</v>
      </c>
      <c r="AP358">
        <f>'mk 001 10.3'!AP359</f>
        <v>0</v>
      </c>
      <c r="AQ358">
        <f>'mk 001 10.3'!AQ359</f>
        <v>0</v>
      </c>
      <c r="AR358">
        <f>'mk 001 10.3'!AR359</f>
        <v>0</v>
      </c>
      <c r="AS358">
        <f>'mk 001 10.3'!AS359</f>
        <v>0</v>
      </c>
      <c r="AT358">
        <f>'mk 001 10.3'!AT359</f>
        <v>0</v>
      </c>
      <c r="AU358">
        <f>'mk 001 10.3'!AU359</f>
        <v>0</v>
      </c>
      <c r="AV358">
        <f>'mk 001 10.3'!AV359</f>
        <v>0</v>
      </c>
      <c r="AW358">
        <f>'mk 001 10.3'!AW359</f>
        <v>0</v>
      </c>
      <c r="AX358">
        <f>'mk 001 10.3'!AX359</f>
        <v>0</v>
      </c>
      <c r="AY358">
        <f>'mk 001 10.3'!AY359</f>
        <v>0</v>
      </c>
      <c r="AZ358">
        <f>'mk 001 10.3'!AZ359</f>
        <v>0</v>
      </c>
      <c r="BA358" s="22">
        <f>'mk 001 10.3'!BA359</f>
        <v>0</v>
      </c>
      <c r="BB358">
        <f>'mk 001 10.3'!BB359</f>
        <v>0</v>
      </c>
      <c r="BC358">
        <f>'mk 001 10.3'!BC359</f>
        <v>0</v>
      </c>
      <c r="BD358">
        <f>'mk 001 10.3'!BD359</f>
        <v>0</v>
      </c>
      <c r="BE358">
        <f>'mk 001 10.3'!BE359</f>
        <v>0</v>
      </c>
      <c r="BF358">
        <f>'mk 001 10.3'!BF359</f>
        <v>0</v>
      </c>
      <c r="BG358">
        <f>'mk 001 10.3'!BG359</f>
        <v>0</v>
      </c>
      <c r="BH358">
        <f>'mk 001 10.3'!BH359</f>
        <v>0</v>
      </c>
      <c r="BI358">
        <f>'mk 001 10.3'!BI359</f>
        <v>0</v>
      </c>
      <c r="BJ358">
        <f>'mk 001 10.3'!BJ359</f>
        <v>0</v>
      </c>
      <c r="BK358">
        <f>'mk 001 10.3'!BK359</f>
        <v>0</v>
      </c>
      <c r="BL358">
        <f>'mk 001 10.3'!BL359</f>
        <v>0</v>
      </c>
      <c r="BM358">
        <f>'mk 001 10.3'!BM359</f>
        <v>0</v>
      </c>
      <c r="BN358">
        <f>'mk 001 10.3'!BN359</f>
        <v>0</v>
      </c>
    </row>
    <row r="359" spans="1:66" x14ac:dyDescent="0.35">
      <c r="A359">
        <f>'mk 001 10.3'!A360</f>
        <v>0</v>
      </c>
      <c r="B359">
        <f>'mk 001 10.3'!B360</f>
        <v>0</v>
      </c>
      <c r="C359" s="1">
        <f>'mk 001 10.3'!C360</f>
        <v>0</v>
      </c>
      <c r="D359" s="1">
        <f>'mk 001 10.3'!D360</f>
        <v>0</v>
      </c>
      <c r="E359">
        <f>'mk 001 10.3'!E360</f>
        <v>0</v>
      </c>
      <c r="F359">
        <f>'mk 001 10.3'!F360</f>
        <v>0</v>
      </c>
      <c r="G359">
        <f>'mk 001 10.3'!G360</f>
        <v>0</v>
      </c>
      <c r="H359">
        <f>'mk 001 10.3'!H360</f>
        <v>0</v>
      </c>
      <c r="I359">
        <f>'mk 001 10.3'!I360</f>
        <v>0</v>
      </c>
      <c r="J359">
        <f>'mk 001 10.3'!J360</f>
        <v>0</v>
      </c>
      <c r="K359">
        <f>'mk 001 10.3'!K360</f>
        <v>0</v>
      </c>
      <c r="L359">
        <f>'mk 001 10.3'!L360</f>
        <v>0</v>
      </c>
      <c r="M359">
        <f>'mk 001 10.3'!M360</f>
        <v>0</v>
      </c>
      <c r="N359">
        <f>'mk 001 10.3'!N360</f>
        <v>0</v>
      </c>
      <c r="O359">
        <f>'mk 001 10.3'!O360</f>
        <v>0</v>
      </c>
      <c r="P359">
        <f>'mk 001 10.3'!P360</f>
        <v>0</v>
      </c>
      <c r="Q359">
        <f>'mk 001 10.3'!Q360</f>
        <v>0</v>
      </c>
      <c r="R359" s="1">
        <f>'mk 001 10.3'!R360</f>
        <v>0</v>
      </c>
      <c r="S359" s="1">
        <f>'mk 001 10.3'!S360</f>
        <v>0</v>
      </c>
      <c r="T359">
        <f>'mk 001 10.3'!T360</f>
        <v>0</v>
      </c>
      <c r="U359">
        <f>'mk 001 10.3'!U360</f>
        <v>0</v>
      </c>
      <c r="V359">
        <f>'mk 001 10.3'!V360</f>
        <v>0</v>
      </c>
      <c r="W359">
        <f>'mk 001 10.3'!W360</f>
        <v>0</v>
      </c>
      <c r="X359">
        <f>'mk 001 10.3'!X360</f>
        <v>0</v>
      </c>
      <c r="Y359">
        <f t="shared" si="5"/>
        <v>0</v>
      </c>
      <c r="Z359" s="13">
        <f>IF(COUNTIFS(แปลงข้อมูล!H:H,Q359,แปลงข้อมูล!I:I,U359,แปลงข้อมูล!J:J,V359)&gt;0,SUMIFS(แปลงข้อมูล!Q:Q,แปลงข้อมูล!I:I,U359,แปลงข้อมูล!H:H,Q359,แปลงข้อมูล!J:J,V359),'mk 001 10.3'!Z360)</f>
        <v>0</v>
      </c>
      <c r="AA359">
        <f>'mk 001 10.3'!AA360</f>
        <v>0</v>
      </c>
      <c r="AB359">
        <f>'mk 001 10.3'!AB360</f>
        <v>0</v>
      </c>
      <c r="AC359">
        <f>'mk 001 10.3'!AC360</f>
        <v>0</v>
      </c>
      <c r="AD359">
        <f>'mk 001 10.3'!AD360</f>
        <v>0</v>
      </c>
      <c r="AE359">
        <f>'mk 001 10.3'!AE360</f>
        <v>0</v>
      </c>
      <c r="AF359">
        <f>'mk 001 10.3'!AF360</f>
        <v>0</v>
      </c>
      <c r="AG359">
        <f>'mk 001 10.3'!AG360</f>
        <v>0</v>
      </c>
      <c r="AH359">
        <f>'mk 001 10.3'!AH360</f>
        <v>0</v>
      </c>
      <c r="AI359">
        <f>'mk 001 10.3'!AI360</f>
        <v>0</v>
      </c>
      <c r="AJ359">
        <f>'mk 001 10.3'!AJ360</f>
        <v>0</v>
      </c>
      <c r="AK359">
        <f>'mk 001 10.3'!AK360</f>
        <v>0</v>
      </c>
      <c r="AL359">
        <f>'mk 001 10.3'!AL360</f>
        <v>0</v>
      </c>
      <c r="AM359">
        <f>'mk 001 10.3'!AM360</f>
        <v>0</v>
      </c>
      <c r="AN359">
        <f>'mk 001 10.3'!AN360</f>
        <v>0</v>
      </c>
      <c r="AO359">
        <f>'mk 001 10.3'!AO360</f>
        <v>0</v>
      </c>
      <c r="AP359">
        <f>'mk 001 10.3'!AP360</f>
        <v>0</v>
      </c>
      <c r="AQ359">
        <f>'mk 001 10.3'!AQ360</f>
        <v>0</v>
      </c>
      <c r="AR359">
        <f>'mk 001 10.3'!AR360</f>
        <v>0</v>
      </c>
      <c r="AS359">
        <f>'mk 001 10.3'!AS360</f>
        <v>0</v>
      </c>
      <c r="AT359">
        <f>'mk 001 10.3'!AT360</f>
        <v>0</v>
      </c>
      <c r="AU359">
        <f>'mk 001 10.3'!AU360</f>
        <v>0</v>
      </c>
      <c r="AV359">
        <f>'mk 001 10.3'!AV360</f>
        <v>0</v>
      </c>
      <c r="AW359">
        <f>'mk 001 10.3'!AW360</f>
        <v>0</v>
      </c>
      <c r="AX359">
        <f>'mk 001 10.3'!AX360</f>
        <v>0</v>
      </c>
      <c r="AY359">
        <f>'mk 001 10.3'!AY360</f>
        <v>0</v>
      </c>
      <c r="AZ359">
        <f>'mk 001 10.3'!AZ360</f>
        <v>0</v>
      </c>
      <c r="BA359" s="22">
        <f>'mk 001 10.3'!BA360</f>
        <v>0</v>
      </c>
      <c r="BB359">
        <f>'mk 001 10.3'!BB360</f>
        <v>0</v>
      </c>
      <c r="BC359">
        <f>'mk 001 10.3'!BC360</f>
        <v>0</v>
      </c>
      <c r="BD359">
        <f>'mk 001 10.3'!BD360</f>
        <v>0</v>
      </c>
      <c r="BE359">
        <f>'mk 001 10.3'!BE360</f>
        <v>0</v>
      </c>
      <c r="BF359">
        <f>'mk 001 10.3'!BF360</f>
        <v>0</v>
      </c>
      <c r="BG359">
        <f>'mk 001 10.3'!BG360</f>
        <v>0</v>
      </c>
      <c r="BH359">
        <f>'mk 001 10.3'!BH360</f>
        <v>0</v>
      </c>
      <c r="BI359">
        <f>'mk 001 10.3'!BI360</f>
        <v>0</v>
      </c>
      <c r="BJ359">
        <f>'mk 001 10.3'!BJ360</f>
        <v>0</v>
      </c>
      <c r="BK359">
        <f>'mk 001 10.3'!BK360</f>
        <v>0</v>
      </c>
      <c r="BL359">
        <f>'mk 001 10.3'!BL360</f>
        <v>0</v>
      </c>
      <c r="BM359">
        <f>'mk 001 10.3'!BM360</f>
        <v>0</v>
      </c>
      <c r="BN359">
        <f>'mk 001 10.3'!BN360</f>
        <v>0</v>
      </c>
    </row>
    <row r="360" spans="1:66" x14ac:dyDescent="0.35">
      <c r="A360">
        <f>'mk 001 10.3'!A361</f>
        <v>0</v>
      </c>
      <c r="B360">
        <f>'mk 001 10.3'!B361</f>
        <v>0</v>
      </c>
      <c r="C360" s="1">
        <f>'mk 001 10.3'!C361</f>
        <v>0</v>
      </c>
      <c r="D360" s="1">
        <f>'mk 001 10.3'!D361</f>
        <v>0</v>
      </c>
      <c r="E360">
        <f>'mk 001 10.3'!E361</f>
        <v>0</v>
      </c>
      <c r="F360">
        <f>'mk 001 10.3'!F361</f>
        <v>0</v>
      </c>
      <c r="G360">
        <f>'mk 001 10.3'!G361</f>
        <v>0</v>
      </c>
      <c r="H360">
        <f>'mk 001 10.3'!H361</f>
        <v>0</v>
      </c>
      <c r="I360">
        <f>'mk 001 10.3'!I361</f>
        <v>0</v>
      </c>
      <c r="J360">
        <f>'mk 001 10.3'!J361</f>
        <v>0</v>
      </c>
      <c r="K360">
        <f>'mk 001 10.3'!K361</f>
        <v>0</v>
      </c>
      <c r="L360">
        <f>'mk 001 10.3'!L361</f>
        <v>0</v>
      </c>
      <c r="M360">
        <f>'mk 001 10.3'!M361</f>
        <v>0</v>
      </c>
      <c r="N360">
        <f>'mk 001 10.3'!N361</f>
        <v>0</v>
      </c>
      <c r="O360">
        <f>'mk 001 10.3'!O361</f>
        <v>0</v>
      </c>
      <c r="P360">
        <f>'mk 001 10.3'!P361</f>
        <v>0</v>
      </c>
      <c r="Q360">
        <f>'mk 001 10.3'!Q361</f>
        <v>0</v>
      </c>
      <c r="R360" s="1">
        <f>'mk 001 10.3'!R361</f>
        <v>0</v>
      </c>
      <c r="S360" s="1">
        <f>'mk 001 10.3'!S361</f>
        <v>0</v>
      </c>
      <c r="T360">
        <f>'mk 001 10.3'!T361</f>
        <v>0</v>
      </c>
      <c r="U360">
        <f>'mk 001 10.3'!U361</f>
        <v>0</v>
      </c>
      <c r="V360">
        <f>'mk 001 10.3'!V361</f>
        <v>0</v>
      </c>
      <c r="W360">
        <f>'mk 001 10.3'!W361</f>
        <v>0</v>
      </c>
      <c r="X360">
        <f>'mk 001 10.3'!X361</f>
        <v>0</v>
      </c>
      <c r="Y360">
        <f t="shared" si="5"/>
        <v>0</v>
      </c>
      <c r="Z360" s="13">
        <f>IF(COUNTIFS(แปลงข้อมูล!H:H,Q360,แปลงข้อมูล!I:I,U360,แปลงข้อมูล!J:J,V360)&gt;0,SUMIFS(แปลงข้อมูล!Q:Q,แปลงข้อมูล!I:I,U360,แปลงข้อมูล!H:H,Q360,แปลงข้อมูล!J:J,V360),'mk 001 10.3'!Z361)</f>
        <v>0</v>
      </c>
      <c r="AA360">
        <f>'mk 001 10.3'!AA361</f>
        <v>0</v>
      </c>
      <c r="AB360">
        <f>'mk 001 10.3'!AB361</f>
        <v>0</v>
      </c>
      <c r="AC360">
        <f>'mk 001 10.3'!AC361</f>
        <v>0</v>
      </c>
      <c r="AD360">
        <f>'mk 001 10.3'!AD361</f>
        <v>0</v>
      </c>
      <c r="AE360">
        <f>'mk 001 10.3'!AE361</f>
        <v>0</v>
      </c>
      <c r="AF360">
        <f>'mk 001 10.3'!AF361</f>
        <v>0</v>
      </c>
      <c r="AG360">
        <f>'mk 001 10.3'!AG361</f>
        <v>0</v>
      </c>
      <c r="AH360">
        <f>'mk 001 10.3'!AH361</f>
        <v>0</v>
      </c>
      <c r="AI360">
        <f>'mk 001 10.3'!AI361</f>
        <v>0</v>
      </c>
      <c r="AJ360">
        <f>'mk 001 10.3'!AJ361</f>
        <v>0</v>
      </c>
      <c r="AK360">
        <f>'mk 001 10.3'!AK361</f>
        <v>0</v>
      </c>
      <c r="AL360">
        <f>'mk 001 10.3'!AL361</f>
        <v>0</v>
      </c>
      <c r="AM360">
        <f>'mk 001 10.3'!AM361</f>
        <v>0</v>
      </c>
      <c r="AN360">
        <f>'mk 001 10.3'!AN361</f>
        <v>0</v>
      </c>
      <c r="AO360">
        <f>'mk 001 10.3'!AO361</f>
        <v>0</v>
      </c>
      <c r="AP360">
        <f>'mk 001 10.3'!AP361</f>
        <v>0</v>
      </c>
      <c r="AQ360">
        <f>'mk 001 10.3'!AQ361</f>
        <v>0</v>
      </c>
      <c r="AR360">
        <f>'mk 001 10.3'!AR361</f>
        <v>0</v>
      </c>
      <c r="AS360">
        <f>'mk 001 10.3'!AS361</f>
        <v>0</v>
      </c>
      <c r="AT360">
        <f>'mk 001 10.3'!AT361</f>
        <v>0</v>
      </c>
      <c r="AU360">
        <f>'mk 001 10.3'!AU361</f>
        <v>0</v>
      </c>
      <c r="AV360">
        <f>'mk 001 10.3'!AV361</f>
        <v>0</v>
      </c>
      <c r="AW360">
        <f>'mk 001 10.3'!AW361</f>
        <v>0</v>
      </c>
      <c r="AX360">
        <f>'mk 001 10.3'!AX361</f>
        <v>0</v>
      </c>
      <c r="AY360">
        <f>'mk 001 10.3'!AY361</f>
        <v>0</v>
      </c>
      <c r="AZ360">
        <f>'mk 001 10.3'!AZ361</f>
        <v>0</v>
      </c>
      <c r="BA360" s="22">
        <f>'mk 001 10.3'!BA361</f>
        <v>0</v>
      </c>
      <c r="BB360">
        <f>'mk 001 10.3'!BB361</f>
        <v>0</v>
      </c>
      <c r="BC360">
        <f>'mk 001 10.3'!BC361</f>
        <v>0</v>
      </c>
      <c r="BD360">
        <f>'mk 001 10.3'!BD361</f>
        <v>0</v>
      </c>
      <c r="BE360">
        <f>'mk 001 10.3'!BE361</f>
        <v>0</v>
      </c>
      <c r="BF360">
        <f>'mk 001 10.3'!BF361</f>
        <v>0</v>
      </c>
      <c r="BG360">
        <f>'mk 001 10.3'!BG361</f>
        <v>0</v>
      </c>
      <c r="BH360">
        <f>'mk 001 10.3'!BH361</f>
        <v>0</v>
      </c>
      <c r="BI360">
        <f>'mk 001 10.3'!BI361</f>
        <v>0</v>
      </c>
      <c r="BJ360">
        <f>'mk 001 10.3'!BJ361</f>
        <v>0</v>
      </c>
      <c r="BK360">
        <f>'mk 001 10.3'!BK361</f>
        <v>0</v>
      </c>
      <c r="BL360">
        <f>'mk 001 10.3'!BL361</f>
        <v>0</v>
      </c>
      <c r="BM360">
        <f>'mk 001 10.3'!BM361</f>
        <v>0</v>
      </c>
      <c r="BN360">
        <f>'mk 001 10.3'!BN361</f>
        <v>0</v>
      </c>
    </row>
    <row r="361" spans="1:66" x14ac:dyDescent="0.35">
      <c r="A361">
        <f>'mk 001 10.3'!A362</f>
        <v>0</v>
      </c>
      <c r="B361">
        <f>'mk 001 10.3'!B362</f>
        <v>0</v>
      </c>
      <c r="C361" s="1">
        <f>'mk 001 10.3'!C362</f>
        <v>0</v>
      </c>
      <c r="D361" s="1">
        <f>'mk 001 10.3'!D362</f>
        <v>0</v>
      </c>
      <c r="E361">
        <f>'mk 001 10.3'!E362</f>
        <v>0</v>
      </c>
      <c r="F361">
        <f>'mk 001 10.3'!F362</f>
        <v>0</v>
      </c>
      <c r="G361">
        <f>'mk 001 10.3'!G362</f>
        <v>0</v>
      </c>
      <c r="H361">
        <f>'mk 001 10.3'!H362</f>
        <v>0</v>
      </c>
      <c r="I361">
        <f>'mk 001 10.3'!I362</f>
        <v>0</v>
      </c>
      <c r="J361">
        <f>'mk 001 10.3'!J362</f>
        <v>0</v>
      </c>
      <c r="K361">
        <f>'mk 001 10.3'!K362</f>
        <v>0</v>
      </c>
      <c r="L361">
        <f>'mk 001 10.3'!L362</f>
        <v>0</v>
      </c>
      <c r="M361">
        <f>'mk 001 10.3'!M362</f>
        <v>0</v>
      </c>
      <c r="N361">
        <f>'mk 001 10.3'!N362</f>
        <v>0</v>
      </c>
      <c r="O361">
        <f>'mk 001 10.3'!O362</f>
        <v>0</v>
      </c>
      <c r="P361">
        <f>'mk 001 10.3'!P362</f>
        <v>0</v>
      </c>
      <c r="Q361">
        <f>'mk 001 10.3'!Q362</f>
        <v>0</v>
      </c>
      <c r="R361" s="1">
        <f>'mk 001 10.3'!R362</f>
        <v>0</v>
      </c>
      <c r="S361" s="1">
        <f>'mk 001 10.3'!S362</f>
        <v>0</v>
      </c>
      <c r="T361">
        <f>'mk 001 10.3'!T362</f>
        <v>0</v>
      </c>
      <c r="U361">
        <f>'mk 001 10.3'!U362</f>
        <v>0</v>
      </c>
      <c r="V361">
        <f>'mk 001 10.3'!V362</f>
        <v>0</v>
      </c>
      <c r="W361">
        <f>'mk 001 10.3'!W362</f>
        <v>0</v>
      </c>
      <c r="X361">
        <f>'mk 001 10.3'!X362</f>
        <v>0</v>
      </c>
      <c r="Y361">
        <f t="shared" si="5"/>
        <v>0</v>
      </c>
      <c r="Z361" s="13">
        <f>IF(COUNTIFS(แปลงข้อมูล!H:H,Q361,แปลงข้อมูล!I:I,U361,แปลงข้อมูล!J:J,V361)&gt;0,SUMIFS(แปลงข้อมูล!Q:Q,แปลงข้อมูล!I:I,U361,แปลงข้อมูล!H:H,Q361,แปลงข้อมูล!J:J,V361),'mk 001 10.3'!Z362)</f>
        <v>0</v>
      </c>
      <c r="AA361">
        <f>'mk 001 10.3'!AA362</f>
        <v>0</v>
      </c>
      <c r="AB361">
        <f>'mk 001 10.3'!AB362</f>
        <v>0</v>
      </c>
      <c r="AC361">
        <f>'mk 001 10.3'!AC362</f>
        <v>0</v>
      </c>
      <c r="AD361">
        <f>'mk 001 10.3'!AD362</f>
        <v>0</v>
      </c>
      <c r="AE361">
        <f>'mk 001 10.3'!AE362</f>
        <v>0</v>
      </c>
      <c r="AF361">
        <f>'mk 001 10.3'!AF362</f>
        <v>0</v>
      </c>
      <c r="AG361">
        <f>'mk 001 10.3'!AG362</f>
        <v>0</v>
      </c>
      <c r="AH361">
        <f>'mk 001 10.3'!AH362</f>
        <v>0</v>
      </c>
      <c r="AI361">
        <f>'mk 001 10.3'!AI362</f>
        <v>0</v>
      </c>
      <c r="AJ361">
        <f>'mk 001 10.3'!AJ362</f>
        <v>0</v>
      </c>
      <c r="AK361">
        <f>'mk 001 10.3'!AK362</f>
        <v>0</v>
      </c>
      <c r="AL361">
        <f>'mk 001 10.3'!AL362</f>
        <v>0</v>
      </c>
      <c r="AM361">
        <f>'mk 001 10.3'!AM362</f>
        <v>0</v>
      </c>
      <c r="AN361">
        <f>'mk 001 10.3'!AN362</f>
        <v>0</v>
      </c>
      <c r="AO361">
        <f>'mk 001 10.3'!AO362</f>
        <v>0</v>
      </c>
      <c r="AP361">
        <f>'mk 001 10.3'!AP362</f>
        <v>0</v>
      </c>
      <c r="AQ361">
        <f>'mk 001 10.3'!AQ362</f>
        <v>0</v>
      </c>
      <c r="AR361">
        <f>'mk 001 10.3'!AR362</f>
        <v>0</v>
      </c>
      <c r="AS361">
        <f>'mk 001 10.3'!AS362</f>
        <v>0</v>
      </c>
      <c r="AT361">
        <f>'mk 001 10.3'!AT362</f>
        <v>0</v>
      </c>
      <c r="AU361">
        <f>'mk 001 10.3'!AU362</f>
        <v>0</v>
      </c>
      <c r="AV361">
        <f>'mk 001 10.3'!AV362</f>
        <v>0</v>
      </c>
      <c r="AW361">
        <f>'mk 001 10.3'!AW362</f>
        <v>0</v>
      </c>
      <c r="AX361">
        <f>'mk 001 10.3'!AX362</f>
        <v>0</v>
      </c>
      <c r="AY361">
        <f>'mk 001 10.3'!AY362</f>
        <v>0</v>
      </c>
      <c r="AZ361">
        <f>'mk 001 10.3'!AZ362</f>
        <v>0</v>
      </c>
      <c r="BA361" s="22">
        <f>'mk 001 10.3'!BA362</f>
        <v>0</v>
      </c>
      <c r="BB361">
        <f>'mk 001 10.3'!BB362</f>
        <v>0</v>
      </c>
      <c r="BC361">
        <f>'mk 001 10.3'!BC362</f>
        <v>0</v>
      </c>
      <c r="BD361">
        <f>'mk 001 10.3'!BD362</f>
        <v>0</v>
      </c>
      <c r="BE361">
        <f>'mk 001 10.3'!BE362</f>
        <v>0</v>
      </c>
      <c r="BF361">
        <f>'mk 001 10.3'!BF362</f>
        <v>0</v>
      </c>
      <c r="BG361">
        <f>'mk 001 10.3'!BG362</f>
        <v>0</v>
      </c>
      <c r="BH361">
        <f>'mk 001 10.3'!BH362</f>
        <v>0</v>
      </c>
      <c r="BI361">
        <f>'mk 001 10.3'!BI362</f>
        <v>0</v>
      </c>
      <c r="BJ361">
        <f>'mk 001 10.3'!BJ362</f>
        <v>0</v>
      </c>
      <c r="BK361">
        <f>'mk 001 10.3'!BK362</f>
        <v>0</v>
      </c>
      <c r="BL361">
        <f>'mk 001 10.3'!BL362</f>
        <v>0</v>
      </c>
      <c r="BM361">
        <f>'mk 001 10.3'!BM362</f>
        <v>0</v>
      </c>
      <c r="BN361">
        <f>'mk 001 10.3'!BN362</f>
        <v>0</v>
      </c>
    </row>
    <row r="362" spans="1:66" x14ac:dyDescent="0.35">
      <c r="A362">
        <f>'mk 001 10.3'!A363</f>
        <v>0</v>
      </c>
      <c r="B362">
        <f>'mk 001 10.3'!B363</f>
        <v>0</v>
      </c>
      <c r="C362" s="1">
        <f>'mk 001 10.3'!C363</f>
        <v>0</v>
      </c>
      <c r="D362" s="1">
        <f>'mk 001 10.3'!D363</f>
        <v>0</v>
      </c>
      <c r="E362">
        <f>'mk 001 10.3'!E363</f>
        <v>0</v>
      </c>
      <c r="F362">
        <f>'mk 001 10.3'!F363</f>
        <v>0</v>
      </c>
      <c r="G362">
        <f>'mk 001 10.3'!G363</f>
        <v>0</v>
      </c>
      <c r="H362">
        <f>'mk 001 10.3'!H363</f>
        <v>0</v>
      </c>
      <c r="I362">
        <f>'mk 001 10.3'!I363</f>
        <v>0</v>
      </c>
      <c r="J362">
        <f>'mk 001 10.3'!J363</f>
        <v>0</v>
      </c>
      <c r="K362">
        <f>'mk 001 10.3'!K363</f>
        <v>0</v>
      </c>
      <c r="L362">
        <f>'mk 001 10.3'!L363</f>
        <v>0</v>
      </c>
      <c r="M362">
        <f>'mk 001 10.3'!M363</f>
        <v>0</v>
      </c>
      <c r="N362">
        <f>'mk 001 10.3'!N363</f>
        <v>0</v>
      </c>
      <c r="O362">
        <f>'mk 001 10.3'!O363</f>
        <v>0</v>
      </c>
      <c r="P362">
        <f>'mk 001 10.3'!P363</f>
        <v>0</v>
      </c>
      <c r="Q362">
        <f>'mk 001 10.3'!Q363</f>
        <v>0</v>
      </c>
      <c r="R362" s="1">
        <f>'mk 001 10.3'!R363</f>
        <v>0</v>
      </c>
      <c r="S362" s="1">
        <f>'mk 001 10.3'!S363</f>
        <v>0</v>
      </c>
      <c r="T362">
        <f>'mk 001 10.3'!T363</f>
        <v>0</v>
      </c>
      <c r="U362">
        <f>'mk 001 10.3'!U363</f>
        <v>0</v>
      </c>
      <c r="V362">
        <f>'mk 001 10.3'!V363</f>
        <v>0</v>
      </c>
      <c r="W362">
        <f>'mk 001 10.3'!W363</f>
        <v>0</v>
      </c>
      <c r="X362">
        <f>'mk 001 10.3'!X363</f>
        <v>0</v>
      </c>
      <c r="Y362">
        <f t="shared" si="5"/>
        <v>0</v>
      </c>
      <c r="Z362" s="13">
        <f>IF(COUNTIFS(แปลงข้อมูล!H:H,Q362,แปลงข้อมูล!I:I,U362,แปลงข้อมูล!J:J,V362)&gt;0,SUMIFS(แปลงข้อมูล!Q:Q,แปลงข้อมูล!I:I,U362,แปลงข้อมูล!H:H,Q362,แปลงข้อมูล!J:J,V362),'mk 001 10.3'!Z363)</f>
        <v>0</v>
      </c>
      <c r="AA362">
        <f>'mk 001 10.3'!AA363</f>
        <v>0</v>
      </c>
      <c r="AB362">
        <f>'mk 001 10.3'!AB363</f>
        <v>0</v>
      </c>
      <c r="AC362">
        <f>'mk 001 10.3'!AC363</f>
        <v>0</v>
      </c>
      <c r="AD362">
        <f>'mk 001 10.3'!AD363</f>
        <v>0</v>
      </c>
      <c r="AE362">
        <f>'mk 001 10.3'!AE363</f>
        <v>0</v>
      </c>
      <c r="AF362">
        <f>'mk 001 10.3'!AF363</f>
        <v>0</v>
      </c>
      <c r="AG362">
        <f>'mk 001 10.3'!AG363</f>
        <v>0</v>
      </c>
      <c r="AH362">
        <f>'mk 001 10.3'!AH363</f>
        <v>0</v>
      </c>
      <c r="AI362">
        <f>'mk 001 10.3'!AI363</f>
        <v>0</v>
      </c>
      <c r="AJ362">
        <f>'mk 001 10.3'!AJ363</f>
        <v>0</v>
      </c>
      <c r="AK362">
        <f>'mk 001 10.3'!AK363</f>
        <v>0</v>
      </c>
      <c r="AL362">
        <f>'mk 001 10.3'!AL363</f>
        <v>0</v>
      </c>
      <c r="AM362">
        <f>'mk 001 10.3'!AM363</f>
        <v>0</v>
      </c>
      <c r="AN362">
        <f>'mk 001 10.3'!AN363</f>
        <v>0</v>
      </c>
      <c r="AO362">
        <f>'mk 001 10.3'!AO363</f>
        <v>0</v>
      </c>
      <c r="AP362">
        <f>'mk 001 10.3'!AP363</f>
        <v>0</v>
      </c>
      <c r="AQ362">
        <f>'mk 001 10.3'!AQ363</f>
        <v>0</v>
      </c>
      <c r="AR362">
        <f>'mk 001 10.3'!AR363</f>
        <v>0</v>
      </c>
      <c r="AS362">
        <f>'mk 001 10.3'!AS363</f>
        <v>0</v>
      </c>
      <c r="AT362">
        <f>'mk 001 10.3'!AT363</f>
        <v>0</v>
      </c>
      <c r="AU362">
        <f>'mk 001 10.3'!AU363</f>
        <v>0</v>
      </c>
      <c r="AV362">
        <f>'mk 001 10.3'!AV363</f>
        <v>0</v>
      </c>
      <c r="AW362">
        <f>'mk 001 10.3'!AW363</f>
        <v>0</v>
      </c>
      <c r="AX362">
        <f>'mk 001 10.3'!AX363</f>
        <v>0</v>
      </c>
      <c r="AY362">
        <f>'mk 001 10.3'!AY363</f>
        <v>0</v>
      </c>
      <c r="AZ362">
        <f>'mk 001 10.3'!AZ363</f>
        <v>0</v>
      </c>
      <c r="BA362" s="22">
        <f>'mk 001 10.3'!BA363</f>
        <v>0</v>
      </c>
      <c r="BB362">
        <f>'mk 001 10.3'!BB363</f>
        <v>0</v>
      </c>
      <c r="BC362">
        <f>'mk 001 10.3'!BC363</f>
        <v>0</v>
      </c>
      <c r="BD362">
        <f>'mk 001 10.3'!BD363</f>
        <v>0</v>
      </c>
      <c r="BE362">
        <f>'mk 001 10.3'!BE363</f>
        <v>0</v>
      </c>
      <c r="BF362">
        <f>'mk 001 10.3'!BF363</f>
        <v>0</v>
      </c>
      <c r="BG362">
        <f>'mk 001 10.3'!BG363</f>
        <v>0</v>
      </c>
      <c r="BH362">
        <f>'mk 001 10.3'!BH363</f>
        <v>0</v>
      </c>
      <c r="BI362">
        <f>'mk 001 10.3'!BI363</f>
        <v>0</v>
      </c>
      <c r="BJ362">
        <f>'mk 001 10.3'!BJ363</f>
        <v>0</v>
      </c>
      <c r="BK362">
        <f>'mk 001 10.3'!BK363</f>
        <v>0</v>
      </c>
      <c r="BL362">
        <f>'mk 001 10.3'!BL363</f>
        <v>0</v>
      </c>
      <c r="BM362">
        <f>'mk 001 10.3'!BM363</f>
        <v>0</v>
      </c>
      <c r="BN362">
        <f>'mk 001 10.3'!BN363</f>
        <v>0</v>
      </c>
    </row>
    <row r="363" spans="1:66" x14ac:dyDescent="0.35">
      <c r="A363">
        <f>'mk 001 10.3'!A364</f>
        <v>0</v>
      </c>
      <c r="B363">
        <f>'mk 001 10.3'!B364</f>
        <v>0</v>
      </c>
      <c r="C363" s="1">
        <f>'mk 001 10.3'!C364</f>
        <v>0</v>
      </c>
      <c r="D363" s="1">
        <f>'mk 001 10.3'!D364</f>
        <v>0</v>
      </c>
      <c r="E363">
        <f>'mk 001 10.3'!E364</f>
        <v>0</v>
      </c>
      <c r="F363">
        <f>'mk 001 10.3'!F364</f>
        <v>0</v>
      </c>
      <c r="G363">
        <f>'mk 001 10.3'!G364</f>
        <v>0</v>
      </c>
      <c r="H363">
        <f>'mk 001 10.3'!H364</f>
        <v>0</v>
      </c>
      <c r="I363">
        <f>'mk 001 10.3'!I364</f>
        <v>0</v>
      </c>
      <c r="J363">
        <f>'mk 001 10.3'!J364</f>
        <v>0</v>
      </c>
      <c r="K363">
        <f>'mk 001 10.3'!K364</f>
        <v>0</v>
      </c>
      <c r="L363">
        <f>'mk 001 10.3'!L364</f>
        <v>0</v>
      </c>
      <c r="M363">
        <f>'mk 001 10.3'!M364</f>
        <v>0</v>
      </c>
      <c r="N363">
        <f>'mk 001 10.3'!N364</f>
        <v>0</v>
      </c>
      <c r="O363">
        <f>'mk 001 10.3'!O364</f>
        <v>0</v>
      </c>
      <c r="P363">
        <f>'mk 001 10.3'!P364</f>
        <v>0</v>
      </c>
      <c r="Q363">
        <f>'mk 001 10.3'!Q364</f>
        <v>0</v>
      </c>
      <c r="R363" s="1">
        <f>'mk 001 10.3'!R364</f>
        <v>0</v>
      </c>
      <c r="S363" s="1">
        <f>'mk 001 10.3'!S364</f>
        <v>0</v>
      </c>
      <c r="T363">
        <f>'mk 001 10.3'!T364</f>
        <v>0</v>
      </c>
      <c r="U363">
        <f>'mk 001 10.3'!U364</f>
        <v>0</v>
      </c>
      <c r="V363">
        <f>'mk 001 10.3'!V364</f>
        <v>0</v>
      </c>
      <c r="W363">
        <f>'mk 001 10.3'!W364</f>
        <v>0</v>
      </c>
      <c r="X363">
        <f>'mk 001 10.3'!X364</f>
        <v>0</v>
      </c>
      <c r="Y363">
        <f t="shared" si="5"/>
        <v>0</v>
      </c>
      <c r="Z363" s="13">
        <f>IF(COUNTIFS(แปลงข้อมูล!H:H,Q363,แปลงข้อมูล!I:I,U363,แปลงข้อมูล!J:J,V363)&gt;0,SUMIFS(แปลงข้อมูล!Q:Q,แปลงข้อมูล!I:I,U363,แปลงข้อมูล!H:H,Q363,แปลงข้อมูล!J:J,V363),'mk 001 10.3'!Z364)</f>
        <v>0</v>
      </c>
      <c r="AA363">
        <f>'mk 001 10.3'!AA364</f>
        <v>0</v>
      </c>
      <c r="AB363">
        <f>'mk 001 10.3'!AB364</f>
        <v>0</v>
      </c>
      <c r="AC363">
        <f>'mk 001 10.3'!AC364</f>
        <v>0</v>
      </c>
      <c r="AD363">
        <f>'mk 001 10.3'!AD364</f>
        <v>0</v>
      </c>
      <c r="AE363">
        <f>'mk 001 10.3'!AE364</f>
        <v>0</v>
      </c>
      <c r="AF363">
        <f>'mk 001 10.3'!AF364</f>
        <v>0</v>
      </c>
      <c r="AG363">
        <f>'mk 001 10.3'!AG364</f>
        <v>0</v>
      </c>
      <c r="AH363">
        <f>'mk 001 10.3'!AH364</f>
        <v>0</v>
      </c>
      <c r="AI363">
        <f>'mk 001 10.3'!AI364</f>
        <v>0</v>
      </c>
      <c r="AJ363">
        <f>'mk 001 10.3'!AJ364</f>
        <v>0</v>
      </c>
      <c r="AK363">
        <f>'mk 001 10.3'!AK364</f>
        <v>0</v>
      </c>
      <c r="AL363">
        <f>'mk 001 10.3'!AL364</f>
        <v>0</v>
      </c>
      <c r="AM363">
        <f>'mk 001 10.3'!AM364</f>
        <v>0</v>
      </c>
      <c r="AN363">
        <f>'mk 001 10.3'!AN364</f>
        <v>0</v>
      </c>
      <c r="AO363">
        <f>'mk 001 10.3'!AO364</f>
        <v>0</v>
      </c>
      <c r="AP363">
        <f>'mk 001 10.3'!AP364</f>
        <v>0</v>
      </c>
      <c r="AQ363">
        <f>'mk 001 10.3'!AQ364</f>
        <v>0</v>
      </c>
      <c r="AR363">
        <f>'mk 001 10.3'!AR364</f>
        <v>0</v>
      </c>
      <c r="AS363">
        <f>'mk 001 10.3'!AS364</f>
        <v>0</v>
      </c>
      <c r="AT363">
        <f>'mk 001 10.3'!AT364</f>
        <v>0</v>
      </c>
      <c r="AU363">
        <f>'mk 001 10.3'!AU364</f>
        <v>0</v>
      </c>
      <c r="AV363">
        <f>'mk 001 10.3'!AV364</f>
        <v>0</v>
      </c>
      <c r="AW363">
        <f>'mk 001 10.3'!AW364</f>
        <v>0</v>
      </c>
      <c r="AX363">
        <f>'mk 001 10.3'!AX364</f>
        <v>0</v>
      </c>
      <c r="AY363">
        <f>'mk 001 10.3'!AY364</f>
        <v>0</v>
      </c>
      <c r="AZ363">
        <f>'mk 001 10.3'!AZ364</f>
        <v>0</v>
      </c>
      <c r="BA363" s="22">
        <f>'mk 001 10.3'!BA364</f>
        <v>0</v>
      </c>
      <c r="BB363">
        <f>'mk 001 10.3'!BB364</f>
        <v>0</v>
      </c>
      <c r="BC363">
        <f>'mk 001 10.3'!BC364</f>
        <v>0</v>
      </c>
      <c r="BD363">
        <f>'mk 001 10.3'!BD364</f>
        <v>0</v>
      </c>
      <c r="BE363">
        <f>'mk 001 10.3'!BE364</f>
        <v>0</v>
      </c>
      <c r="BF363">
        <f>'mk 001 10.3'!BF364</f>
        <v>0</v>
      </c>
      <c r="BG363">
        <f>'mk 001 10.3'!BG364</f>
        <v>0</v>
      </c>
      <c r="BH363">
        <f>'mk 001 10.3'!BH364</f>
        <v>0</v>
      </c>
      <c r="BI363">
        <f>'mk 001 10.3'!BI364</f>
        <v>0</v>
      </c>
      <c r="BJ363">
        <f>'mk 001 10.3'!BJ364</f>
        <v>0</v>
      </c>
      <c r="BK363">
        <f>'mk 001 10.3'!BK364</f>
        <v>0</v>
      </c>
      <c r="BL363">
        <f>'mk 001 10.3'!BL364</f>
        <v>0</v>
      </c>
      <c r="BM363">
        <f>'mk 001 10.3'!BM364</f>
        <v>0</v>
      </c>
      <c r="BN363">
        <f>'mk 001 10.3'!BN364</f>
        <v>0</v>
      </c>
    </row>
    <row r="364" spans="1:66" x14ac:dyDescent="0.35">
      <c r="A364">
        <f>'mk 001 10.3'!A365</f>
        <v>0</v>
      </c>
      <c r="B364">
        <f>'mk 001 10.3'!B365</f>
        <v>0</v>
      </c>
      <c r="C364" s="1">
        <f>'mk 001 10.3'!C365</f>
        <v>0</v>
      </c>
      <c r="D364" s="1">
        <f>'mk 001 10.3'!D365</f>
        <v>0</v>
      </c>
      <c r="E364">
        <f>'mk 001 10.3'!E365</f>
        <v>0</v>
      </c>
      <c r="F364">
        <f>'mk 001 10.3'!F365</f>
        <v>0</v>
      </c>
      <c r="G364">
        <f>'mk 001 10.3'!G365</f>
        <v>0</v>
      </c>
      <c r="H364">
        <f>'mk 001 10.3'!H365</f>
        <v>0</v>
      </c>
      <c r="I364">
        <f>'mk 001 10.3'!I365</f>
        <v>0</v>
      </c>
      <c r="J364">
        <f>'mk 001 10.3'!J365</f>
        <v>0</v>
      </c>
      <c r="K364">
        <f>'mk 001 10.3'!K365</f>
        <v>0</v>
      </c>
      <c r="L364">
        <f>'mk 001 10.3'!L365</f>
        <v>0</v>
      </c>
      <c r="M364">
        <f>'mk 001 10.3'!M365</f>
        <v>0</v>
      </c>
      <c r="N364">
        <f>'mk 001 10.3'!N365</f>
        <v>0</v>
      </c>
      <c r="O364">
        <f>'mk 001 10.3'!O365</f>
        <v>0</v>
      </c>
      <c r="P364">
        <f>'mk 001 10.3'!P365</f>
        <v>0</v>
      </c>
      <c r="Q364">
        <f>'mk 001 10.3'!Q365</f>
        <v>0</v>
      </c>
      <c r="R364" s="1">
        <f>'mk 001 10.3'!R365</f>
        <v>0</v>
      </c>
      <c r="S364" s="1">
        <f>'mk 001 10.3'!S365</f>
        <v>0</v>
      </c>
      <c r="T364">
        <f>'mk 001 10.3'!T365</f>
        <v>0</v>
      </c>
      <c r="U364">
        <f>'mk 001 10.3'!U365</f>
        <v>0</v>
      </c>
      <c r="V364">
        <f>'mk 001 10.3'!V365</f>
        <v>0</v>
      </c>
      <c r="W364">
        <f>'mk 001 10.3'!W365</f>
        <v>0</v>
      </c>
      <c r="X364">
        <f>'mk 001 10.3'!X365</f>
        <v>0</v>
      </c>
      <c r="Y364">
        <f t="shared" si="5"/>
        <v>0</v>
      </c>
      <c r="Z364" s="13">
        <f>IF(COUNTIFS(แปลงข้อมูล!H:H,Q364,แปลงข้อมูล!I:I,U364,แปลงข้อมูล!J:J,V364)&gt;0,SUMIFS(แปลงข้อมูล!Q:Q,แปลงข้อมูล!I:I,U364,แปลงข้อมูล!H:H,Q364,แปลงข้อมูล!J:J,V364),'mk 001 10.3'!Z365)</f>
        <v>0</v>
      </c>
      <c r="AA364">
        <f>'mk 001 10.3'!AA365</f>
        <v>0</v>
      </c>
      <c r="AB364">
        <f>'mk 001 10.3'!AB365</f>
        <v>0</v>
      </c>
      <c r="AC364">
        <f>'mk 001 10.3'!AC365</f>
        <v>0</v>
      </c>
      <c r="AD364">
        <f>'mk 001 10.3'!AD365</f>
        <v>0</v>
      </c>
      <c r="AE364">
        <f>'mk 001 10.3'!AE365</f>
        <v>0</v>
      </c>
      <c r="AF364">
        <f>'mk 001 10.3'!AF365</f>
        <v>0</v>
      </c>
      <c r="AG364">
        <f>'mk 001 10.3'!AG365</f>
        <v>0</v>
      </c>
      <c r="AH364">
        <f>'mk 001 10.3'!AH365</f>
        <v>0</v>
      </c>
      <c r="AI364">
        <f>'mk 001 10.3'!AI365</f>
        <v>0</v>
      </c>
      <c r="AJ364">
        <f>'mk 001 10.3'!AJ365</f>
        <v>0</v>
      </c>
      <c r="AK364">
        <f>'mk 001 10.3'!AK365</f>
        <v>0</v>
      </c>
      <c r="AL364">
        <f>'mk 001 10.3'!AL365</f>
        <v>0</v>
      </c>
      <c r="AM364">
        <f>'mk 001 10.3'!AM365</f>
        <v>0</v>
      </c>
      <c r="AN364">
        <f>'mk 001 10.3'!AN365</f>
        <v>0</v>
      </c>
      <c r="AO364">
        <f>'mk 001 10.3'!AO365</f>
        <v>0</v>
      </c>
      <c r="AP364">
        <f>'mk 001 10.3'!AP365</f>
        <v>0</v>
      </c>
      <c r="AQ364">
        <f>'mk 001 10.3'!AQ365</f>
        <v>0</v>
      </c>
      <c r="AR364">
        <f>'mk 001 10.3'!AR365</f>
        <v>0</v>
      </c>
      <c r="AS364">
        <f>'mk 001 10.3'!AS365</f>
        <v>0</v>
      </c>
      <c r="AT364">
        <f>'mk 001 10.3'!AT365</f>
        <v>0</v>
      </c>
      <c r="AU364">
        <f>'mk 001 10.3'!AU365</f>
        <v>0</v>
      </c>
      <c r="AV364">
        <f>'mk 001 10.3'!AV365</f>
        <v>0</v>
      </c>
      <c r="AW364">
        <f>'mk 001 10.3'!AW365</f>
        <v>0</v>
      </c>
      <c r="AX364">
        <f>'mk 001 10.3'!AX365</f>
        <v>0</v>
      </c>
      <c r="AY364">
        <f>'mk 001 10.3'!AY365</f>
        <v>0</v>
      </c>
      <c r="AZ364">
        <f>'mk 001 10.3'!AZ365</f>
        <v>0</v>
      </c>
      <c r="BA364" s="22">
        <f>'mk 001 10.3'!BA365</f>
        <v>0</v>
      </c>
      <c r="BB364">
        <f>'mk 001 10.3'!BB365</f>
        <v>0</v>
      </c>
      <c r="BC364">
        <f>'mk 001 10.3'!BC365</f>
        <v>0</v>
      </c>
      <c r="BD364">
        <f>'mk 001 10.3'!BD365</f>
        <v>0</v>
      </c>
      <c r="BE364">
        <f>'mk 001 10.3'!BE365</f>
        <v>0</v>
      </c>
      <c r="BF364">
        <f>'mk 001 10.3'!BF365</f>
        <v>0</v>
      </c>
      <c r="BG364">
        <f>'mk 001 10.3'!BG365</f>
        <v>0</v>
      </c>
      <c r="BH364">
        <f>'mk 001 10.3'!BH365</f>
        <v>0</v>
      </c>
      <c r="BI364">
        <f>'mk 001 10.3'!BI365</f>
        <v>0</v>
      </c>
      <c r="BJ364">
        <f>'mk 001 10.3'!BJ365</f>
        <v>0</v>
      </c>
      <c r="BK364">
        <f>'mk 001 10.3'!BK365</f>
        <v>0</v>
      </c>
      <c r="BL364">
        <f>'mk 001 10.3'!BL365</f>
        <v>0</v>
      </c>
      <c r="BM364">
        <f>'mk 001 10.3'!BM365</f>
        <v>0</v>
      </c>
      <c r="BN364">
        <f>'mk 001 10.3'!BN365</f>
        <v>0</v>
      </c>
    </row>
    <row r="365" spans="1:66" x14ac:dyDescent="0.35">
      <c r="A365">
        <f>'mk 001 10.3'!A366</f>
        <v>0</v>
      </c>
      <c r="B365">
        <f>'mk 001 10.3'!B366</f>
        <v>0</v>
      </c>
      <c r="C365" s="1">
        <f>'mk 001 10.3'!C366</f>
        <v>0</v>
      </c>
      <c r="D365" s="1">
        <f>'mk 001 10.3'!D366</f>
        <v>0</v>
      </c>
      <c r="E365">
        <f>'mk 001 10.3'!E366</f>
        <v>0</v>
      </c>
      <c r="F365">
        <f>'mk 001 10.3'!F366</f>
        <v>0</v>
      </c>
      <c r="G365">
        <f>'mk 001 10.3'!G366</f>
        <v>0</v>
      </c>
      <c r="H365">
        <f>'mk 001 10.3'!H366</f>
        <v>0</v>
      </c>
      <c r="I365">
        <f>'mk 001 10.3'!I366</f>
        <v>0</v>
      </c>
      <c r="J365">
        <f>'mk 001 10.3'!J366</f>
        <v>0</v>
      </c>
      <c r="K365">
        <f>'mk 001 10.3'!K366</f>
        <v>0</v>
      </c>
      <c r="L365">
        <f>'mk 001 10.3'!L366</f>
        <v>0</v>
      </c>
      <c r="M365">
        <f>'mk 001 10.3'!M366</f>
        <v>0</v>
      </c>
      <c r="N365">
        <f>'mk 001 10.3'!N366</f>
        <v>0</v>
      </c>
      <c r="O365">
        <f>'mk 001 10.3'!O366</f>
        <v>0</v>
      </c>
      <c r="P365">
        <f>'mk 001 10.3'!P366</f>
        <v>0</v>
      </c>
      <c r="Q365">
        <f>'mk 001 10.3'!Q366</f>
        <v>0</v>
      </c>
      <c r="R365" s="1">
        <f>'mk 001 10.3'!R366</f>
        <v>0</v>
      </c>
      <c r="S365" s="1">
        <f>'mk 001 10.3'!S366</f>
        <v>0</v>
      </c>
      <c r="T365">
        <f>'mk 001 10.3'!T366</f>
        <v>0</v>
      </c>
      <c r="U365">
        <f>'mk 001 10.3'!U366</f>
        <v>0</v>
      </c>
      <c r="V365">
        <f>'mk 001 10.3'!V366</f>
        <v>0</v>
      </c>
      <c r="W365">
        <f>'mk 001 10.3'!W366</f>
        <v>0</v>
      </c>
      <c r="X365">
        <f>'mk 001 10.3'!X366</f>
        <v>0</v>
      </c>
      <c r="Y365">
        <f t="shared" si="5"/>
        <v>0</v>
      </c>
      <c r="Z365" s="13">
        <f>IF(COUNTIFS(แปลงข้อมูล!H:H,Q365,แปลงข้อมูล!I:I,U365,แปลงข้อมูล!J:J,V365)&gt;0,SUMIFS(แปลงข้อมูล!Q:Q,แปลงข้อมูล!I:I,U365,แปลงข้อมูล!H:H,Q365,แปลงข้อมูล!J:J,V365),'mk 001 10.3'!Z366)</f>
        <v>0</v>
      </c>
      <c r="AA365">
        <f>'mk 001 10.3'!AA366</f>
        <v>0</v>
      </c>
      <c r="AB365">
        <f>'mk 001 10.3'!AB366</f>
        <v>0</v>
      </c>
      <c r="AC365">
        <f>'mk 001 10.3'!AC366</f>
        <v>0</v>
      </c>
      <c r="AD365">
        <f>'mk 001 10.3'!AD366</f>
        <v>0</v>
      </c>
      <c r="AE365">
        <f>'mk 001 10.3'!AE366</f>
        <v>0</v>
      </c>
      <c r="AF365">
        <f>'mk 001 10.3'!AF366</f>
        <v>0</v>
      </c>
      <c r="AG365">
        <f>'mk 001 10.3'!AG366</f>
        <v>0</v>
      </c>
      <c r="AH365">
        <f>'mk 001 10.3'!AH366</f>
        <v>0</v>
      </c>
      <c r="AI365">
        <f>'mk 001 10.3'!AI366</f>
        <v>0</v>
      </c>
      <c r="AJ365">
        <f>'mk 001 10.3'!AJ366</f>
        <v>0</v>
      </c>
      <c r="AK365">
        <f>'mk 001 10.3'!AK366</f>
        <v>0</v>
      </c>
      <c r="AL365">
        <f>'mk 001 10.3'!AL366</f>
        <v>0</v>
      </c>
      <c r="AM365">
        <f>'mk 001 10.3'!AM366</f>
        <v>0</v>
      </c>
      <c r="AN365">
        <f>'mk 001 10.3'!AN366</f>
        <v>0</v>
      </c>
      <c r="AO365">
        <f>'mk 001 10.3'!AO366</f>
        <v>0</v>
      </c>
      <c r="AP365">
        <f>'mk 001 10.3'!AP366</f>
        <v>0</v>
      </c>
      <c r="AQ365">
        <f>'mk 001 10.3'!AQ366</f>
        <v>0</v>
      </c>
      <c r="AR365">
        <f>'mk 001 10.3'!AR366</f>
        <v>0</v>
      </c>
      <c r="AS365">
        <f>'mk 001 10.3'!AS366</f>
        <v>0</v>
      </c>
      <c r="AT365">
        <f>'mk 001 10.3'!AT366</f>
        <v>0</v>
      </c>
      <c r="AU365">
        <f>'mk 001 10.3'!AU366</f>
        <v>0</v>
      </c>
      <c r="AV365">
        <f>'mk 001 10.3'!AV366</f>
        <v>0</v>
      </c>
      <c r="AW365">
        <f>'mk 001 10.3'!AW366</f>
        <v>0</v>
      </c>
      <c r="AX365">
        <f>'mk 001 10.3'!AX366</f>
        <v>0</v>
      </c>
      <c r="AY365">
        <f>'mk 001 10.3'!AY366</f>
        <v>0</v>
      </c>
      <c r="AZ365">
        <f>'mk 001 10.3'!AZ366</f>
        <v>0</v>
      </c>
      <c r="BA365" s="22">
        <f>'mk 001 10.3'!BA366</f>
        <v>0</v>
      </c>
      <c r="BB365">
        <f>'mk 001 10.3'!BB366</f>
        <v>0</v>
      </c>
      <c r="BC365">
        <f>'mk 001 10.3'!BC366</f>
        <v>0</v>
      </c>
      <c r="BD365">
        <f>'mk 001 10.3'!BD366</f>
        <v>0</v>
      </c>
      <c r="BE365">
        <f>'mk 001 10.3'!BE366</f>
        <v>0</v>
      </c>
      <c r="BF365">
        <f>'mk 001 10.3'!BF366</f>
        <v>0</v>
      </c>
      <c r="BG365">
        <f>'mk 001 10.3'!BG366</f>
        <v>0</v>
      </c>
      <c r="BH365">
        <f>'mk 001 10.3'!BH366</f>
        <v>0</v>
      </c>
      <c r="BI365">
        <f>'mk 001 10.3'!BI366</f>
        <v>0</v>
      </c>
      <c r="BJ365">
        <f>'mk 001 10.3'!BJ366</f>
        <v>0</v>
      </c>
      <c r="BK365">
        <f>'mk 001 10.3'!BK366</f>
        <v>0</v>
      </c>
      <c r="BL365">
        <f>'mk 001 10.3'!BL366</f>
        <v>0</v>
      </c>
      <c r="BM365">
        <f>'mk 001 10.3'!BM366</f>
        <v>0</v>
      </c>
      <c r="BN365">
        <f>'mk 001 10.3'!BN366</f>
        <v>0</v>
      </c>
    </row>
    <row r="366" spans="1:66" x14ac:dyDescent="0.35">
      <c r="A366">
        <f>'mk 001 10.3'!A367</f>
        <v>0</v>
      </c>
      <c r="B366">
        <f>'mk 001 10.3'!B367</f>
        <v>0</v>
      </c>
      <c r="C366" s="1">
        <f>'mk 001 10.3'!C367</f>
        <v>0</v>
      </c>
      <c r="D366" s="1">
        <f>'mk 001 10.3'!D367</f>
        <v>0</v>
      </c>
      <c r="E366">
        <f>'mk 001 10.3'!E367</f>
        <v>0</v>
      </c>
      <c r="F366">
        <f>'mk 001 10.3'!F367</f>
        <v>0</v>
      </c>
      <c r="G366">
        <f>'mk 001 10.3'!G367</f>
        <v>0</v>
      </c>
      <c r="H366">
        <f>'mk 001 10.3'!H367</f>
        <v>0</v>
      </c>
      <c r="I366">
        <f>'mk 001 10.3'!I367</f>
        <v>0</v>
      </c>
      <c r="J366">
        <f>'mk 001 10.3'!J367</f>
        <v>0</v>
      </c>
      <c r="K366">
        <f>'mk 001 10.3'!K367</f>
        <v>0</v>
      </c>
      <c r="L366">
        <f>'mk 001 10.3'!L367</f>
        <v>0</v>
      </c>
      <c r="M366">
        <f>'mk 001 10.3'!M367</f>
        <v>0</v>
      </c>
      <c r="N366">
        <f>'mk 001 10.3'!N367</f>
        <v>0</v>
      </c>
      <c r="O366">
        <f>'mk 001 10.3'!O367</f>
        <v>0</v>
      </c>
      <c r="P366">
        <f>'mk 001 10.3'!P367</f>
        <v>0</v>
      </c>
      <c r="Q366">
        <f>'mk 001 10.3'!Q367</f>
        <v>0</v>
      </c>
      <c r="R366" s="1">
        <f>'mk 001 10.3'!R367</f>
        <v>0</v>
      </c>
      <c r="S366" s="1">
        <f>'mk 001 10.3'!S367</f>
        <v>0</v>
      </c>
      <c r="T366">
        <f>'mk 001 10.3'!T367</f>
        <v>0</v>
      </c>
      <c r="U366">
        <f>'mk 001 10.3'!U367</f>
        <v>0</v>
      </c>
      <c r="V366">
        <f>'mk 001 10.3'!V367</f>
        <v>0</v>
      </c>
      <c r="W366">
        <f>'mk 001 10.3'!W367</f>
        <v>0</v>
      </c>
      <c r="X366">
        <f>'mk 001 10.3'!X367</f>
        <v>0</v>
      </c>
      <c r="Y366">
        <f t="shared" si="5"/>
        <v>0</v>
      </c>
      <c r="Z366" s="13">
        <f>IF(COUNTIFS(แปลงข้อมูล!H:H,Q366,แปลงข้อมูล!I:I,U366,แปลงข้อมูล!J:J,V366)&gt;0,SUMIFS(แปลงข้อมูล!Q:Q,แปลงข้อมูล!I:I,U366,แปลงข้อมูล!H:H,Q366,แปลงข้อมูล!J:J,V366),'mk 001 10.3'!Z367)</f>
        <v>0</v>
      </c>
      <c r="AA366">
        <f>'mk 001 10.3'!AA367</f>
        <v>0</v>
      </c>
      <c r="AB366">
        <f>'mk 001 10.3'!AB367</f>
        <v>0</v>
      </c>
      <c r="AC366">
        <f>'mk 001 10.3'!AC367</f>
        <v>0</v>
      </c>
      <c r="AD366">
        <f>'mk 001 10.3'!AD367</f>
        <v>0</v>
      </c>
      <c r="AE366">
        <f>'mk 001 10.3'!AE367</f>
        <v>0</v>
      </c>
      <c r="AF366">
        <f>'mk 001 10.3'!AF367</f>
        <v>0</v>
      </c>
      <c r="AG366">
        <f>'mk 001 10.3'!AG367</f>
        <v>0</v>
      </c>
      <c r="AH366">
        <f>'mk 001 10.3'!AH367</f>
        <v>0</v>
      </c>
      <c r="AI366">
        <f>'mk 001 10.3'!AI367</f>
        <v>0</v>
      </c>
      <c r="AJ366">
        <f>'mk 001 10.3'!AJ367</f>
        <v>0</v>
      </c>
      <c r="AK366">
        <f>'mk 001 10.3'!AK367</f>
        <v>0</v>
      </c>
      <c r="AL366">
        <f>'mk 001 10.3'!AL367</f>
        <v>0</v>
      </c>
      <c r="AM366">
        <f>'mk 001 10.3'!AM367</f>
        <v>0</v>
      </c>
      <c r="AN366">
        <f>'mk 001 10.3'!AN367</f>
        <v>0</v>
      </c>
      <c r="AO366">
        <f>'mk 001 10.3'!AO367</f>
        <v>0</v>
      </c>
      <c r="AP366">
        <f>'mk 001 10.3'!AP367</f>
        <v>0</v>
      </c>
      <c r="AQ366">
        <f>'mk 001 10.3'!AQ367</f>
        <v>0</v>
      </c>
      <c r="AR366">
        <f>'mk 001 10.3'!AR367</f>
        <v>0</v>
      </c>
      <c r="AS366">
        <f>'mk 001 10.3'!AS367</f>
        <v>0</v>
      </c>
      <c r="AT366">
        <f>'mk 001 10.3'!AT367</f>
        <v>0</v>
      </c>
      <c r="AU366">
        <f>'mk 001 10.3'!AU367</f>
        <v>0</v>
      </c>
      <c r="AV366">
        <f>'mk 001 10.3'!AV367</f>
        <v>0</v>
      </c>
      <c r="AW366">
        <f>'mk 001 10.3'!AW367</f>
        <v>0</v>
      </c>
      <c r="AX366">
        <f>'mk 001 10.3'!AX367</f>
        <v>0</v>
      </c>
      <c r="AY366">
        <f>'mk 001 10.3'!AY367</f>
        <v>0</v>
      </c>
      <c r="AZ366">
        <f>'mk 001 10.3'!AZ367</f>
        <v>0</v>
      </c>
      <c r="BA366" s="22">
        <f>'mk 001 10.3'!BA367</f>
        <v>0</v>
      </c>
      <c r="BB366">
        <f>'mk 001 10.3'!BB367</f>
        <v>0</v>
      </c>
      <c r="BC366">
        <f>'mk 001 10.3'!BC367</f>
        <v>0</v>
      </c>
      <c r="BD366">
        <f>'mk 001 10.3'!BD367</f>
        <v>0</v>
      </c>
      <c r="BE366">
        <f>'mk 001 10.3'!BE367</f>
        <v>0</v>
      </c>
      <c r="BF366">
        <f>'mk 001 10.3'!BF367</f>
        <v>0</v>
      </c>
      <c r="BG366">
        <f>'mk 001 10.3'!BG367</f>
        <v>0</v>
      </c>
      <c r="BH366">
        <f>'mk 001 10.3'!BH367</f>
        <v>0</v>
      </c>
      <c r="BI366">
        <f>'mk 001 10.3'!BI367</f>
        <v>0</v>
      </c>
      <c r="BJ366">
        <f>'mk 001 10.3'!BJ367</f>
        <v>0</v>
      </c>
      <c r="BK366">
        <f>'mk 001 10.3'!BK367</f>
        <v>0</v>
      </c>
      <c r="BL366">
        <f>'mk 001 10.3'!BL367</f>
        <v>0</v>
      </c>
      <c r="BM366">
        <f>'mk 001 10.3'!BM367</f>
        <v>0</v>
      </c>
      <c r="BN366">
        <f>'mk 001 10.3'!BN367</f>
        <v>0</v>
      </c>
    </row>
    <row r="367" spans="1:66" x14ac:dyDescent="0.35">
      <c r="A367">
        <f>'mk 001 10.3'!A368</f>
        <v>0</v>
      </c>
      <c r="B367">
        <f>'mk 001 10.3'!B368</f>
        <v>0</v>
      </c>
      <c r="C367" s="1">
        <f>'mk 001 10.3'!C368</f>
        <v>0</v>
      </c>
      <c r="D367" s="1">
        <f>'mk 001 10.3'!D368</f>
        <v>0</v>
      </c>
      <c r="E367">
        <f>'mk 001 10.3'!E368</f>
        <v>0</v>
      </c>
      <c r="F367">
        <f>'mk 001 10.3'!F368</f>
        <v>0</v>
      </c>
      <c r="G367">
        <f>'mk 001 10.3'!G368</f>
        <v>0</v>
      </c>
      <c r="H367">
        <f>'mk 001 10.3'!H368</f>
        <v>0</v>
      </c>
      <c r="I367">
        <f>'mk 001 10.3'!I368</f>
        <v>0</v>
      </c>
      <c r="J367">
        <f>'mk 001 10.3'!J368</f>
        <v>0</v>
      </c>
      <c r="K367">
        <f>'mk 001 10.3'!K368</f>
        <v>0</v>
      </c>
      <c r="L367">
        <f>'mk 001 10.3'!L368</f>
        <v>0</v>
      </c>
      <c r="M367">
        <f>'mk 001 10.3'!M368</f>
        <v>0</v>
      </c>
      <c r="N367">
        <f>'mk 001 10.3'!N368</f>
        <v>0</v>
      </c>
      <c r="O367">
        <f>'mk 001 10.3'!O368</f>
        <v>0</v>
      </c>
      <c r="P367">
        <f>'mk 001 10.3'!P368</f>
        <v>0</v>
      </c>
      <c r="Q367">
        <f>'mk 001 10.3'!Q368</f>
        <v>0</v>
      </c>
      <c r="R367" s="1">
        <f>'mk 001 10.3'!R368</f>
        <v>0</v>
      </c>
      <c r="S367" s="1">
        <f>'mk 001 10.3'!S368</f>
        <v>0</v>
      </c>
      <c r="T367">
        <f>'mk 001 10.3'!T368</f>
        <v>0</v>
      </c>
      <c r="U367">
        <f>'mk 001 10.3'!U368</f>
        <v>0</v>
      </c>
      <c r="V367">
        <f>'mk 001 10.3'!V368</f>
        <v>0</v>
      </c>
      <c r="W367">
        <f>'mk 001 10.3'!W368</f>
        <v>0</v>
      </c>
      <c r="X367">
        <f>'mk 001 10.3'!X368</f>
        <v>0</v>
      </c>
      <c r="Y367">
        <f t="shared" si="5"/>
        <v>0</v>
      </c>
      <c r="Z367" s="13">
        <f>IF(COUNTIFS(แปลงข้อมูล!H:H,Q367,แปลงข้อมูล!I:I,U367,แปลงข้อมูล!J:J,V367)&gt;0,SUMIFS(แปลงข้อมูล!Q:Q,แปลงข้อมูล!I:I,U367,แปลงข้อมูล!H:H,Q367,แปลงข้อมูล!J:J,V367),'mk 001 10.3'!Z368)</f>
        <v>0</v>
      </c>
      <c r="AA367">
        <f>'mk 001 10.3'!AA368</f>
        <v>0</v>
      </c>
      <c r="AB367">
        <f>'mk 001 10.3'!AB368</f>
        <v>0</v>
      </c>
      <c r="AC367">
        <f>'mk 001 10.3'!AC368</f>
        <v>0</v>
      </c>
      <c r="AD367">
        <f>'mk 001 10.3'!AD368</f>
        <v>0</v>
      </c>
      <c r="AE367">
        <f>'mk 001 10.3'!AE368</f>
        <v>0</v>
      </c>
      <c r="AF367">
        <f>'mk 001 10.3'!AF368</f>
        <v>0</v>
      </c>
      <c r="AG367">
        <f>'mk 001 10.3'!AG368</f>
        <v>0</v>
      </c>
      <c r="AH367">
        <f>'mk 001 10.3'!AH368</f>
        <v>0</v>
      </c>
      <c r="AI367">
        <f>'mk 001 10.3'!AI368</f>
        <v>0</v>
      </c>
      <c r="AJ367">
        <f>'mk 001 10.3'!AJ368</f>
        <v>0</v>
      </c>
      <c r="AK367">
        <f>'mk 001 10.3'!AK368</f>
        <v>0</v>
      </c>
      <c r="AL367">
        <f>'mk 001 10.3'!AL368</f>
        <v>0</v>
      </c>
      <c r="AM367">
        <f>'mk 001 10.3'!AM368</f>
        <v>0</v>
      </c>
      <c r="AN367">
        <f>'mk 001 10.3'!AN368</f>
        <v>0</v>
      </c>
      <c r="AO367">
        <f>'mk 001 10.3'!AO368</f>
        <v>0</v>
      </c>
      <c r="AP367">
        <f>'mk 001 10.3'!AP368</f>
        <v>0</v>
      </c>
      <c r="AQ367">
        <f>'mk 001 10.3'!AQ368</f>
        <v>0</v>
      </c>
      <c r="AR367">
        <f>'mk 001 10.3'!AR368</f>
        <v>0</v>
      </c>
      <c r="AS367">
        <f>'mk 001 10.3'!AS368</f>
        <v>0</v>
      </c>
      <c r="AT367">
        <f>'mk 001 10.3'!AT368</f>
        <v>0</v>
      </c>
      <c r="AU367">
        <f>'mk 001 10.3'!AU368</f>
        <v>0</v>
      </c>
      <c r="AV367">
        <f>'mk 001 10.3'!AV368</f>
        <v>0</v>
      </c>
      <c r="AW367">
        <f>'mk 001 10.3'!AW368</f>
        <v>0</v>
      </c>
      <c r="AX367">
        <f>'mk 001 10.3'!AX368</f>
        <v>0</v>
      </c>
      <c r="AY367">
        <f>'mk 001 10.3'!AY368</f>
        <v>0</v>
      </c>
      <c r="AZ367">
        <f>'mk 001 10.3'!AZ368</f>
        <v>0</v>
      </c>
      <c r="BA367" s="22">
        <f>'mk 001 10.3'!BA368</f>
        <v>0</v>
      </c>
      <c r="BB367">
        <f>'mk 001 10.3'!BB368</f>
        <v>0</v>
      </c>
      <c r="BC367">
        <f>'mk 001 10.3'!BC368</f>
        <v>0</v>
      </c>
      <c r="BD367">
        <f>'mk 001 10.3'!BD368</f>
        <v>0</v>
      </c>
      <c r="BE367">
        <f>'mk 001 10.3'!BE368</f>
        <v>0</v>
      </c>
      <c r="BF367">
        <f>'mk 001 10.3'!BF368</f>
        <v>0</v>
      </c>
      <c r="BG367">
        <f>'mk 001 10.3'!BG368</f>
        <v>0</v>
      </c>
      <c r="BH367">
        <f>'mk 001 10.3'!BH368</f>
        <v>0</v>
      </c>
      <c r="BI367">
        <f>'mk 001 10.3'!BI368</f>
        <v>0</v>
      </c>
      <c r="BJ367">
        <f>'mk 001 10.3'!BJ368</f>
        <v>0</v>
      </c>
      <c r="BK367">
        <f>'mk 001 10.3'!BK368</f>
        <v>0</v>
      </c>
      <c r="BL367">
        <f>'mk 001 10.3'!BL368</f>
        <v>0</v>
      </c>
      <c r="BM367">
        <f>'mk 001 10.3'!BM368</f>
        <v>0</v>
      </c>
      <c r="BN367">
        <f>'mk 001 10.3'!BN368</f>
        <v>0</v>
      </c>
    </row>
    <row r="368" spans="1:66" x14ac:dyDescent="0.35">
      <c r="A368">
        <f>'mk 001 10.3'!A369</f>
        <v>0</v>
      </c>
      <c r="B368">
        <f>'mk 001 10.3'!B369</f>
        <v>0</v>
      </c>
      <c r="C368" s="1">
        <f>'mk 001 10.3'!C369</f>
        <v>0</v>
      </c>
      <c r="D368" s="1">
        <f>'mk 001 10.3'!D369</f>
        <v>0</v>
      </c>
      <c r="E368">
        <f>'mk 001 10.3'!E369</f>
        <v>0</v>
      </c>
      <c r="F368">
        <f>'mk 001 10.3'!F369</f>
        <v>0</v>
      </c>
      <c r="G368">
        <f>'mk 001 10.3'!G369</f>
        <v>0</v>
      </c>
      <c r="H368">
        <f>'mk 001 10.3'!H369</f>
        <v>0</v>
      </c>
      <c r="I368">
        <f>'mk 001 10.3'!I369</f>
        <v>0</v>
      </c>
      <c r="J368">
        <f>'mk 001 10.3'!J369</f>
        <v>0</v>
      </c>
      <c r="K368">
        <f>'mk 001 10.3'!K369</f>
        <v>0</v>
      </c>
      <c r="L368">
        <f>'mk 001 10.3'!L369</f>
        <v>0</v>
      </c>
      <c r="M368">
        <f>'mk 001 10.3'!M369</f>
        <v>0</v>
      </c>
      <c r="N368">
        <f>'mk 001 10.3'!N369</f>
        <v>0</v>
      </c>
      <c r="O368">
        <f>'mk 001 10.3'!O369</f>
        <v>0</v>
      </c>
      <c r="P368">
        <f>'mk 001 10.3'!P369</f>
        <v>0</v>
      </c>
      <c r="Q368">
        <f>'mk 001 10.3'!Q369</f>
        <v>0</v>
      </c>
      <c r="R368" s="1">
        <f>'mk 001 10.3'!R369</f>
        <v>0</v>
      </c>
      <c r="S368" s="1">
        <f>'mk 001 10.3'!S369</f>
        <v>0</v>
      </c>
      <c r="T368">
        <f>'mk 001 10.3'!T369</f>
        <v>0</v>
      </c>
      <c r="U368">
        <f>'mk 001 10.3'!U369</f>
        <v>0</v>
      </c>
      <c r="V368">
        <f>'mk 001 10.3'!V369</f>
        <v>0</v>
      </c>
      <c r="W368">
        <f>'mk 001 10.3'!W369</f>
        <v>0</v>
      </c>
      <c r="X368">
        <f>'mk 001 10.3'!X369</f>
        <v>0</v>
      </c>
      <c r="Y368">
        <f t="shared" si="5"/>
        <v>0</v>
      </c>
      <c r="Z368" s="13">
        <f>IF(COUNTIFS(แปลงข้อมูล!H:H,Q368,แปลงข้อมูล!I:I,U368,แปลงข้อมูล!J:J,V368)&gt;0,SUMIFS(แปลงข้อมูล!Q:Q,แปลงข้อมูล!I:I,U368,แปลงข้อมูล!H:H,Q368,แปลงข้อมูล!J:J,V368),'mk 001 10.3'!Z369)</f>
        <v>0</v>
      </c>
      <c r="AA368">
        <f>'mk 001 10.3'!AA369</f>
        <v>0</v>
      </c>
      <c r="AB368">
        <f>'mk 001 10.3'!AB369</f>
        <v>0</v>
      </c>
      <c r="AC368">
        <f>'mk 001 10.3'!AC369</f>
        <v>0</v>
      </c>
      <c r="AD368">
        <f>'mk 001 10.3'!AD369</f>
        <v>0</v>
      </c>
      <c r="AE368">
        <f>'mk 001 10.3'!AE369</f>
        <v>0</v>
      </c>
      <c r="AF368">
        <f>'mk 001 10.3'!AF369</f>
        <v>0</v>
      </c>
      <c r="AG368">
        <f>'mk 001 10.3'!AG369</f>
        <v>0</v>
      </c>
      <c r="AH368">
        <f>'mk 001 10.3'!AH369</f>
        <v>0</v>
      </c>
      <c r="AI368">
        <f>'mk 001 10.3'!AI369</f>
        <v>0</v>
      </c>
      <c r="AJ368">
        <f>'mk 001 10.3'!AJ369</f>
        <v>0</v>
      </c>
      <c r="AK368">
        <f>'mk 001 10.3'!AK369</f>
        <v>0</v>
      </c>
      <c r="AL368">
        <f>'mk 001 10.3'!AL369</f>
        <v>0</v>
      </c>
      <c r="AM368">
        <f>'mk 001 10.3'!AM369</f>
        <v>0</v>
      </c>
      <c r="AN368">
        <f>'mk 001 10.3'!AN369</f>
        <v>0</v>
      </c>
      <c r="AO368">
        <f>'mk 001 10.3'!AO369</f>
        <v>0</v>
      </c>
      <c r="AP368">
        <f>'mk 001 10.3'!AP369</f>
        <v>0</v>
      </c>
      <c r="AQ368">
        <f>'mk 001 10.3'!AQ369</f>
        <v>0</v>
      </c>
      <c r="AR368">
        <f>'mk 001 10.3'!AR369</f>
        <v>0</v>
      </c>
      <c r="AS368">
        <f>'mk 001 10.3'!AS369</f>
        <v>0</v>
      </c>
      <c r="AT368">
        <f>'mk 001 10.3'!AT369</f>
        <v>0</v>
      </c>
      <c r="AU368">
        <f>'mk 001 10.3'!AU369</f>
        <v>0</v>
      </c>
      <c r="AV368">
        <f>'mk 001 10.3'!AV369</f>
        <v>0</v>
      </c>
      <c r="AW368">
        <f>'mk 001 10.3'!AW369</f>
        <v>0</v>
      </c>
      <c r="AX368">
        <f>'mk 001 10.3'!AX369</f>
        <v>0</v>
      </c>
      <c r="AY368">
        <f>'mk 001 10.3'!AY369</f>
        <v>0</v>
      </c>
      <c r="AZ368">
        <f>'mk 001 10.3'!AZ369</f>
        <v>0</v>
      </c>
      <c r="BA368" s="22">
        <f>'mk 001 10.3'!BA369</f>
        <v>0</v>
      </c>
      <c r="BB368">
        <f>'mk 001 10.3'!BB369</f>
        <v>0</v>
      </c>
      <c r="BC368">
        <f>'mk 001 10.3'!BC369</f>
        <v>0</v>
      </c>
      <c r="BD368">
        <f>'mk 001 10.3'!BD369</f>
        <v>0</v>
      </c>
      <c r="BE368">
        <f>'mk 001 10.3'!BE369</f>
        <v>0</v>
      </c>
      <c r="BF368">
        <f>'mk 001 10.3'!BF369</f>
        <v>0</v>
      </c>
      <c r="BG368">
        <f>'mk 001 10.3'!BG369</f>
        <v>0</v>
      </c>
      <c r="BH368">
        <f>'mk 001 10.3'!BH369</f>
        <v>0</v>
      </c>
      <c r="BI368">
        <f>'mk 001 10.3'!BI369</f>
        <v>0</v>
      </c>
      <c r="BJ368">
        <f>'mk 001 10.3'!BJ369</f>
        <v>0</v>
      </c>
      <c r="BK368">
        <f>'mk 001 10.3'!BK369</f>
        <v>0</v>
      </c>
      <c r="BL368">
        <f>'mk 001 10.3'!BL369</f>
        <v>0</v>
      </c>
      <c r="BM368">
        <f>'mk 001 10.3'!BM369</f>
        <v>0</v>
      </c>
      <c r="BN368">
        <f>'mk 001 10.3'!BN369</f>
        <v>0</v>
      </c>
    </row>
    <row r="369" spans="1:66" x14ac:dyDescent="0.35">
      <c r="A369">
        <f>'mk 001 10.3'!A370</f>
        <v>0</v>
      </c>
      <c r="B369">
        <f>'mk 001 10.3'!B370</f>
        <v>0</v>
      </c>
      <c r="C369" s="1">
        <f>'mk 001 10.3'!C370</f>
        <v>0</v>
      </c>
      <c r="D369" s="1">
        <f>'mk 001 10.3'!D370</f>
        <v>0</v>
      </c>
      <c r="E369">
        <f>'mk 001 10.3'!E370</f>
        <v>0</v>
      </c>
      <c r="F369">
        <f>'mk 001 10.3'!F370</f>
        <v>0</v>
      </c>
      <c r="G369">
        <f>'mk 001 10.3'!G370</f>
        <v>0</v>
      </c>
      <c r="H369">
        <f>'mk 001 10.3'!H370</f>
        <v>0</v>
      </c>
      <c r="I369">
        <f>'mk 001 10.3'!I370</f>
        <v>0</v>
      </c>
      <c r="J369">
        <f>'mk 001 10.3'!J370</f>
        <v>0</v>
      </c>
      <c r="K369">
        <f>'mk 001 10.3'!K370</f>
        <v>0</v>
      </c>
      <c r="L369">
        <f>'mk 001 10.3'!L370</f>
        <v>0</v>
      </c>
      <c r="M369">
        <f>'mk 001 10.3'!M370</f>
        <v>0</v>
      </c>
      <c r="N369">
        <f>'mk 001 10.3'!N370</f>
        <v>0</v>
      </c>
      <c r="O369">
        <f>'mk 001 10.3'!O370</f>
        <v>0</v>
      </c>
      <c r="P369">
        <f>'mk 001 10.3'!P370</f>
        <v>0</v>
      </c>
      <c r="Q369">
        <f>'mk 001 10.3'!Q370</f>
        <v>0</v>
      </c>
      <c r="R369" s="1">
        <f>'mk 001 10.3'!R370</f>
        <v>0</v>
      </c>
      <c r="S369" s="1">
        <f>'mk 001 10.3'!S370</f>
        <v>0</v>
      </c>
      <c r="T369">
        <f>'mk 001 10.3'!T370</f>
        <v>0</v>
      </c>
      <c r="U369">
        <f>'mk 001 10.3'!U370</f>
        <v>0</v>
      </c>
      <c r="V369">
        <f>'mk 001 10.3'!V370</f>
        <v>0</v>
      </c>
      <c r="W369">
        <f>'mk 001 10.3'!W370</f>
        <v>0</v>
      </c>
      <c r="X369">
        <f>'mk 001 10.3'!X370</f>
        <v>0</v>
      </c>
      <c r="Y369">
        <f t="shared" si="5"/>
        <v>0</v>
      </c>
      <c r="Z369" s="13">
        <f>IF(COUNTIFS(แปลงข้อมูล!H:H,Q369,แปลงข้อมูล!I:I,U369,แปลงข้อมูล!J:J,V369)&gt;0,SUMIFS(แปลงข้อมูล!Q:Q,แปลงข้อมูล!I:I,U369,แปลงข้อมูล!H:H,Q369,แปลงข้อมูล!J:J,V369),'mk 001 10.3'!Z370)</f>
        <v>0</v>
      </c>
      <c r="AA369">
        <f>'mk 001 10.3'!AA370</f>
        <v>0</v>
      </c>
      <c r="AB369">
        <f>'mk 001 10.3'!AB370</f>
        <v>0</v>
      </c>
      <c r="AC369">
        <f>'mk 001 10.3'!AC370</f>
        <v>0</v>
      </c>
      <c r="AD369">
        <f>'mk 001 10.3'!AD370</f>
        <v>0</v>
      </c>
      <c r="AE369">
        <f>'mk 001 10.3'!AE370</f>
        <v>0</v>
      </c>
      <c r="AF369">
        <f>'mk 001 10.3'!AF370</f>
        <v>0</v>
      </c>
      <c r="AG369">
        <f>'mk 001 10.3'!AG370</f>
        <v>0</v>
      </c>
      <c r="AH369">
        <f>'mk 001 10.3'!AH370</f>
        <v>0</v>
      </c>
      <c r="AI369">
        <f>'mk 001 10.3'!AI370</f>
        <v>0</v>
      </c>
      <c r="AJ369">
        <f>'mk 001 10.3'!AJ370</f>
        <v>0</v>
      </c>
      <c r="AK369">
        <f>'mk 001 10.3'!AK370</f>
        <v>0</v>
      </c>
      <c r="AL369">
        <f>'mk 001 10.3'!AL370</f>
        <v>0</v>
      </c>
      <c r="AM369">
        <f>'mk 001 10.3'!AM370</f>
        <v>0</v>
      </c>
      <c r="AN369">
        <f>'mk 001 10.3'!AN370</f>
        <v>0</v>
      </c>
      <c r="AO369">
        <f>'mk 001 10.3'!AO370</f>
        <v>0</v>
      </c>
      <c r="AP369">
        <f>'mk 001 10.3'!AP370</f>
        <v>0</v>
      </c>
      <c r="AQ369">
        <f>'mk 001 10.3'!AQ370</f>
        <v>0</v>
      </c>
      <c r="AR369">
        <f>'mk 001 10.3'!AR370</f>
        <v>0</v>
      </c>
      <c r="AS369">
        <f>'mk 001 10.3'!AS370</f>
        <v>0</v>
      </c>
      <c r="AT369">
        <f>'mk 001 10.3'!AT370</f>
        <v>0</v>
      </c>
      <c r="AU369">
        <f>'mk 001 10.3'!AU370</f>
        <v>0</v>
      </c>
      <c r="AV369">
        <f>'mk 001 10.3'!AV370</f>
        <v>0</v>
      </c>
      <c r="AW369">
        <f>'mk 001 10.3'!AW370</f>
        <v>0</v>
      </c>
      <c r="AX369">
        <f>'mk 001 10.3'!AX370</f>
        <v>0</v>
      </c>
      <c r="AY369">
        <f>'mk 001 10.3'!AY370</f>
        <v>0</v>
      </c>
      <c r="AZ369">
        <f>'mk 001 10.3'!AZ370</f>
        <v>0</v>
      </c>
      <c r="BA369" s="22">
        <f>'mk 001 10.3'!BA370</f>
        <v>0</v>
      </c>
      <c r="BB369">
        <f>'mk 001 10.3'!BB370</f>
        <v>0</v>
      </c>
      <c r="BC369">
        <f>'mk 001 10.3'!BC370</f>
        <v>0</v>
      </c>
      <c r="BD369">
        <f>'mk 001 10.3'!BD370</f>
        <v>0</v>
      </c>
      <c r="BE369">
        <f>'mk 001 10.3'!BE370</f>
        <v>0</v>
      </c>
      <c r="BF369">
        <f>'mk 001 10.3'!BF370</f>
        <v>0</v>
      </c>
      <c r="BG369">
        <f>'mk 001 10.3'!BG370</f>
        <v>0</v>
      </c>
      <c r="BH369">
        <f>'mk 001 10.3'!BH370</f>
        <v>0</v>
      </c>
      <c r="BI369">
        <f>'mk 001 10.3'!BI370</f>
        <v>0</v>
      </c>
      <c r="BJ369">
        <f>'mk 001 10.3'!BJ370</f>
        <v>0</v>
      </c>
      <c r="BK369">
        <f>'mk 001 10.3'!BK370</f>
        <v>0</v>
      </c>
      <c r="BL369">
        <f>'mk 001 10.3'!BL370</f>
        <v>0</v>
      </c>
      <c r="BM369">
        <f>'mk 001 10.3'!BM370</f>
        <v>0</v>
      </c>
      <c r="BN369">
        <f>'mk 001 10.3'!BN370</f>
        <v>0</v>
      </c>
    </row>
    <row r="370" spans="1:66" x14ac:dyDescent="0.35">
      <c r="A370">
        <f>'mk 001 10.3'!A371</f>
        <v>0</v>
      </c>
      <c r="B370">
        <f>'mk 001 10.3'!B371</f>
        <v>0</v>
      </c>
      <c r="C370" s="1">
        <f>'mk 001 10.3'!C371</f>
        <v>0</v>
      </c>
      <c r="D370" s="1">
        <f>'mk 001 10.3'!D371</f>
        <v>0</v>
      </c>
      <c r="E370">
        <f>'mk 001 10.3'!E371</f>
        <v>0</v>
      </c>
      <c r="F370">
        <f>'mk 001 10.3'!F371</f>
        <v>0</v>
      </c>
      <c r="G370">
        <f>'mk 001 10.3'!G371</f>
        <v>0</v>
      </c>
      <c r="H370">
        <f>'mk 001 10.3'!H371</f>
        <v>0</v>
      </c>
      <c r="I370">
        <f>'mk 001 10.3'!I371</f>
        <v>0</v>
      </c>
      <c r="J370">
        <f>'mk 001 10.3'!J371</f>
        <v>0</v>
      </c>
      <c r="K370">
        <f>'mk 001 10.3'!K371</f>
        <v>0</v>
      </c>
      <c r="L370">
        <f>'mk 001 10.3'!L371</f>
        <v>0</v>
      </c>
      <c r="M370">
        <f>'mk 001 10.3'!M371</f>
        <v>0</v>
      </c>
      <c r="N370">
        <f>'mk 001 10.3'!N371</f>
        <v>0</v>
      </c>
      <c r="O370">
        <f>'mk 001 10.3'!O371</f>
        <v>0</v>
      </c>
      <c r="P370">
        <f>'mk 001 10.3'!P371</f>
        <v>0</v>
      </c>
      <c r="Q370">
        <f>'mk 001 10.3'!Q371</f>
        <v>0</v>
      </c>
      <c r="R370" s="1">
        <f>'mk 001 10.3'!R371</f>
        <v>0</v>
      </c>
      <c r="S370" s="1">
        <f>'mk 001 10.3'!S371</f>
        <v>0</v>
      </c>
      <c r="T370">
        <f>'mk 001 10.3'!T371</f>
        <v>0</v>
      </c>
      <c r="U370">
        <f>'mk 001 10.3'!U371</f>
        <v>0</v>
      </c>
      <c r="V370">
        <f>'mk 001 10.3'!V371</f>
        <v>0</v>
      </c>
      <c r="W370">
        <f>'mk 001 10.3'!W371</f>
        <v>0</v>
      </c>
      <c r="X370">
        <f>'mk 001 10.3'!X371</f>
        <v>0</v>
      </c>
      <c r="Y370">
        <f t="shared" si="5"/>
        <v>0</v>
      </c>
      <c r="Z370" s="13">
        <f>IF(COUNTIFS(แปลงข้อมูล!H:H,Q370,แปลงข้อมูล!I:I,U370,แปลงข้อมูล!J:J,V370)&gt;0,SUMIFS(แปลงข้อมูล!Q:Q,แปลงข้อมูล!I:I,U370,แปลงข้อมูล!H:H,Q370,แปลงข้อมูล!J:J,V370),'mk 001 10.3'!Z371)</f>
        <v>0</v>
      </c>
      <c r="AA370">
        <f>'mk 001 10.3'!AA371</f>
        <v>0</v>
      </c>
      <c r="AB370">
        <f>'mk 001 10.3'!AB371</f>
        <v>0</v>
      </c>
      <c r="AC370">
        <f>'mk 001 10.3'!AC371</f>
        <v>0</v>
      </c>
      <c r="AD370">
        <f>'mk 001 10.3'!AD371</f>
        <v>0</v>
      </c>
      <c r="AE370">
        <f>'mk 001 10.3'!AE371</f>
        <v>0</v>
      </c>
      <c r="AF370">
        <f>'mk 001 10.3'!AF371</f>
        <v>0</v>
      </c>
      <c r="AG370">
        <f>'mk 001 10.3'!AG371</f>
        <v>0</v>
      </c>
      <c r="AH370">
        <f>'mk 001 10.3'!AH371</f>
        <v>0</v>
      </c>
      <c r="AI370">
        <f>'mk 001 10.3'!AI371</f>
        <v>0</v>
      </c>
      <c r="AJ370">
        <f>'mk 001 10.3'!AJ371</f>
        <v>0</v>
      </c>
      <c r="AK370">
        <f>'mk 001 10.3'!AK371</f>
        <v>0</v>
      </c>
      <c r="AL370">
        <f>'mk 001 10.3'!AL371</f>
        <v>0</v>
      </c>
      <c r="AM370">
        <f>'mk 001 10.3'!AM371</f>
        <v>0</v>
      </c>
      <c r="AN370">
        <f>'mk 001 10.3'!AN371</f>
        <v>0</v>
      </c>
      <c r="AO370">
        <f>'mk 001 10.3'!AO371</f>
        <v>0</v>
      </c>
      <c r="AP370">
        <f>'mk 001 10.3'!AP371</f>
        <v>0</v>
      </c>
      <c r="AQ370">
        <f>'mk 001 10.3'!AQ371</f>
        <v>0</v>
      </c>
      <c r="AR370">
        <f>'mk 001 10.3'!AR371</f>
        <v>0</v>
      </c>
      <c r="AS370">
        <f>'mk 001 10.3'!AS371</f>
        <v>0</v>
      </c>
      <c r="AT370">
        <f>'mk 001 10.3'!AT371</f>
        <v>0</v>
      </c>
      <c r="AU370">
        <f>'mk 001 10.3'!AU371</f>
        <v>0</v>
      </c>
      <c r="AV370">
        <f>'mk 001 10.3'!AV371</f>
        <v>0</v>
      </c>
      <c r="AW370">
        <f>'mk 001 10.3'!AW371</f>
        <v>0</v>
      </c>
      <c r="AX370">
        <f>'mk 001 10.3'!AX371</f>
        <v>0</v>
      </c>
      <c r="AY370">
        <f>'mk 001 10.3'!AY371</f>
        <v>0</v>
      </c>
      <c r="AZ370">
        <f>'mk 001 10.3'!AZ371</f>
        <v>0</v>
      </c>
      <c r="BA370" s="22">
        <f>'mk 001 10.3'!BA371</f>
        <v>0</v>
      </c>
      <c r="BB370">
        <f>'mk 001 10.3'!BB371</f>
        <v>0</v>
      </c>
      <c r="BC370">
        <f>'mk 001 10.3'!BC371</f>
        <v>0</v>
      </c>
      <c r="BD370">
        <f>'mk 001 10.3'!BD371</f>
        <v>0</v>
      </c>
      <c r="BE370">
        <f>'mk 001 10.3'!BE371</f>
        <v>0</v>
      </c>
      <c r="BF370">
        <f>'mk 001 10.3'!BF371</f>
        <v>0</v>
      </c>
      <c r="BG370">
        <f>'mk 001 10.3'!BG371</f>
        <v>0</v>
      </c>
      <c r="BH370">
        <f>'mk 001 10.3'!BH371</f>
        <v>0</v>
      </c>
      <c r="BI370">
        <f>'mk 001 10.3'!BI371</f>
        <v>0</v>
      </c>
      <c r="BJ370">
        <f>'mk 001 10.3'!BJ371</f>
        <v>0</v>
      </c>
      <c r="BK370">
        <f>'mk 001 10.3'!BK371</f>
        <v>0</v>
      </c>
      <c r="BL370">
        <f>'mk 001 10.3'!BL371</f>
        <v>0</v>
      </c>
      <c r="BM370">
        <f>'mk 001 10.3'!BM371</f>
        <v>0</v>
      </c>
      <c r="BN370">
        <f>'mk 001 10.3'!BN371</f>
        <v>0</v>
      </c>
    </row>
    <row r="371" spans="1:66" x14ac:dyDescent="0.35">
      <c r="A371">
        <f>'mk 001 10.3'!A372</f>
        <v>0</v>
      </c>
      <c r="B371">
        <f>'mk 001 10.3'!B372</f>
        <v>0</v>
      </c>
      <c r="C371" s="1">
        <f>'mk 001 10.3'!C372</f>
        <v>0</v>
      </c>
      <c r="D371" s="1">
        <f>'mk 001 10.3'!D372</f>
        <v>0</v>
      </c>
      <c r="E371">
        <f>'mk 001 10.3'!E372</f>
        <v>0</v>
      </c>
      <c r="F371">
        <f>'mk 001 10.3'!F372</f>
        <v>0</v>
      </c>
      <c r="G371">
        <f>'mk 001 10.3'!G372</f>
        <v>0</v>
      </c>
      <c r="H371">
        <f>'mk 001 10.3'!H372</f>
        <v>0</v>
      </c>
      <c r="I371">
        <f>'mk 001 10.3'!I372</f>
        <v>0</v>
      </c>
      <c r="J371">
        <f>'mk 001 10.3'!J372</f>
        <v>0</v>
      </c>
      <c r="K371">
        <f>'mk 001 10.3'!K372</f>
        <v>0</v>
      </c>
      <c r="L371">
        <f>'mk 001 10.3'!L372</f>
        <v>0</v>
      </c>
      <c r="M371">
        <f>'mk 001 10.3'!M372</f>
        <v>0</v>
      </c>
      <c r="N371">
        <f>'mk 001 10.3'!N372</f>
        <v>0</v>
      </c>
      <c r="O371">
        <f>'mk 001 10.3'!O372</f>
        <v>0</v>
      </c>
      <c r="P371">
        <f>'mk 001 10.3'!P372</f>
        <v>0</v>
      </c>
      <c r="Q371">
        <f>'mk 001 10.3'!Q372</f>
        <v>0</v>
      </c>
      <c r="R371" s="1">
        <f>'mk 001 10.3'!R372</f>
        <v>0</v>
      </c>
      <c r="S371" s="1">
        <f>'mk 001 10.3'!S372</f>
        <v>0</v>
      </c>
      <c r="T371">
        <f>'mk 001 10.3'!T372</f>
        <v>0</v>
      </c>
      <c r="U371">
        <f>'mk 001 10.3'!U372</f>
        <v>0</v>
      </c>
      <c r="V371">
        <f>'mk 001 10.3'!V372</f>
        <v>0</v>
      </c>
      <c r="W371">
        <f>'mk 001 10.3'!W372</f>
        <v>0</v>
      </c>
      <c r="X371">
        <f>'mk 001 10.3'!X372</f>
        <v>0</v>
      </c>
      <c r="Y371">
        <f t="shared" si="5"/>
        <v>0</v>
      </c>
      <c r="Z371" s="13">
        <f>IF(COUNTIFS(แปลงข้อมูล!H:H,Q371,แปลงข้อมูล!I:I,U371,แปลงข้อมูล!J:J,V371)&gt;0,SUMIFS(แปลงข้อมูล!Q:Q,แปลงข้อมูล!I:I,U371,แปลงข้อมูล!H:H,Q371,แปลงข้อมูล!J:J,V371),'mk 001 10.3'!Z372)</f>
        <v>0</v>
      </c>
      <c r="AA371">
        <f>'mk 001 10.3'!AA372</f>
        <v>0</v>
      </c>
      <c r="AB371">
        <f>'mk 001 10.3'!AB372</f>
        <v>0</v>
      </c>
      <c r="AC371">
        <f>'mk 001 10.3'!AC372</f>
        <v>0</v>
      </c>
      <c r="AD371">
        <f>'mk 001 10.3'!AD372</f>
        <v>0</v>
      </c>
      <c r="AE371">
        <f>'mk 001 10.3'!AE372</f>
        <v>0</v>
      </c>
      <c r="AF371">
        <f>'mk 001 10.3'!AF372</f>
        <v>0</v>
      </c>
      <c r="AG371">
        <f>'mk 001 10.3'!AG372</f>
        <v>0</v>
      </c>
      <c r="AH371">
        <f>'mk 001 10.3'!AH372</f>
        <v>0</v>
      </c>
      <c r="AI371">
        <f>'mk 001 10.3'!AI372</f>
        <v>0</v>
      </c>
      <c r="AJ371">
        <f>'mk 001 10.3'!AJ372</f>
        <v>0</v>
      </c>
      <c r="AK371">
        <f>'mk 001 10.3'!AK372</f>
        <v>0</v>
      </c>
      <c r="AL371">
        <f>'mk 001 10.3'!AL372</f>
        <v>0</v>
      </c>
      <c r="AM371">
        <f>'mk 001 10.3'!AM372</f>
        <v>0</v>
      </c>
      <c r="AN371">
        <f>'mk 001 10.3'!AN372</f>
        <v>0</v>
      </c>
      <c r="AO371">
        <f>'mk 001 10.3'!AO372</f>
        <v>0</v>
      </c>
      <c r="AP371">
        <f>'mk 001 10.3'!AP372</f>
        <v>0</v>
      </c>
      <c r="AQ371">
        <f>'mk 001 10.3'!AQ372</f>
        <v>0</v>
      </c>
      <c r="AR371">
        <f>'mk 001 10.3'!AR372</f>
        <v>0</v>
      </c>
      <c r="AS371">
        <f>'mk 001 10.3'!AS372</f>
        <v>0</v>
      </c>
      <c r="AT371">
        <f>'mk 001 10.3'!AT372</f>
        <v>0</v>
      </c>
      <c r="AU371">
        <f>'mk 001 10.3'!AU372</f>
        <v>0</v>
      </c>
      <c r="AV371">
        <f>'mk 001 10.3'!AV372</f>
        <v>0</v>
      </c>
      <c r="AW371">
        <f>'mk 001 10.3'!AW372</f>
        <v>0</v>
      </c>
      <c r="AX371">
        <f>'mk 001 10.3'!AX372</f>
        <v>0</v>
      </c>
      <c r="AY371">
        <f>'mk 001 10.3'!AY372</f>
        <v>0</v>
      </c>
      <c r="AZ371">
        <f>'mk 001 10.3'!AZ372</f>
        <v>0</v>
      </c>
      <c r="BA371" s="22">
        <f>'mk 001 10.3'!BA372</f>
        <v>0</v>
      </c>
      <c r="BB371">
        <f>'mk 001 10.3'!BB372</f>
        <v>0</v>
      </c>
      <c r="BC371">
        <f>'mk 001 10.3'!BC372</f>
        <v>0</v>
      </c>
      <c r="BD371">
        <f>'mk 001 10.3'!BD372</f>
        <v>0</v>
      </c>
      <c r="BE371">
        <f>'mk 001 10.3'!BE372</f>
        <v>0</v>
      </c>
      <c r="BF371">
        <f>'mk 001 10.3'!BF372</f>
        <v>0</v>
      </c>
      <c r="BG371">
        <f>'mk 001 10.3'!BG372</f>
        <v>0</v>
      </c>
      <c r="BH371">
        <f>'mk 001 10.3'!BH372</f>
        <v>0</v>
      </c>
      <c r="BI371">
        <f>'mk 001 10.3'!BI372</f>
        <v>0</v>
      </c>
      <c r="BJ371">
        <f>'mk 001 10.3'!BJ372</f>
        <v>0</v>
      </c>
      <c r="BK371">
        <f>'mk 001 10.3'!BK372</f>
        <v>0</v>
      </c>
      <c r="BL371">
        <f>'mk 001 10.3'!BL372</f>
        <v>0</v>
      </c>
      <c r="BM371">
        <f>'mk 001 10.3'!BM372</f>
        <v>0</v>
      </c>
      <c r="BN371">
        <f>'mk 001 10.3'!BN372</f>
        <v>0</v>
      </c>
    </row>
    <row r="372" spans="1:66" x14ac:dyDescent="0.35">
      <c r="A372">
        <f>'mk 001 10.3'!A373</f>
        <v>0</v>
      </c>
      <c r="B372">
        <f>'mk 001 10.3'!B373</f>
        <v>0</v>
      </c>
      <c r="C372" s="1">
        <f>'mk 001 10.3'!C373</f>
        <v>0</v>
      </c>
      <c r="D372" s="1">
        <f>'mk 001 10.3'!D373</f>
        <v>0</v>
      </c>
      <c r="E372">
        <f>'mk 001 10.3'!E373</f>
        <v>0</v>
      </c>
      <c r="F372">
        <f>'mk 001 10.3'!F373</f>
        <v>0</v>
      </c>
      <c r="G372">
        <f>'mk 001 10.3'!G373</f>
        <v>0</v>
      </c>
      <c r="H372">
        <f>'mk 001 10.3'!H373</f>
        <v>0</v>
      </c>
      <c r="I372">
        <f>'mk 001 10.3'!I373</f>
        <v>0</v>
      </c>
      <c r="J372">
        <f>'mk 001 10.3'!J373</f>
        <v>0</v>
      </c>
      <c r="K372">
        <f>'mk 001 10.3'!K373</f>
        <v>0</v>
      </c>
      <c r="L372">
        <f>'mk 001 10.3'!L373</f>
        <v>0</v>
      </c>
      <c r="M372">
        <f>'mk 001 10.3'!M373</f>
        <v>0</v>
      </c>
      <c r="N372">
        <f>'mk 001 10.3'!N373</f>
        <v>0</v>
      </c>
      <c r="O372">
        <f>'mk 001 10.3'!O373</f>
        <v>0</v>
      </c>
      <c r="P372">
        <f>'mk 001 10.3'!P373</f>
        <v>0</v>
      </c>
      <c r="Q372">
        <f>'mk 001 10.3'!Q373</f>
        <v>0</v>
      </c>
      <c r="R372" s="1">
        <f>'mk 001 10.3'!R373</f>
        <v>0</v>
      </c>
      <c r="S372" s="1">
        <f>'mk 001 10.3'!S373</f>
        <v>0</v>
      </c>
      <c r="T372">
        <f>'mk 001 10.3'!T373</f>
        <v>0</v>
      </c>
      <c r="U372">
        <f>'mk 001 10.3'!U373</f>
        <v>0</v>
      </c>
      <c r="V372">
        <f>'mk 001 10.3'!V373</f>
        <v>0</v>
      </c>
      <c r="W372">
        <f>'mk 001 10.3'!W373</f>
        <v>0</v>
      </c>
      <c r="X372">
        <f>'mk 001 10.3'!X373</f>
        <v>0</v>
      </c>
      <c r="Y372">
        <f t="shared" si="5"/>
        <v>0</v>
      </c>
      <c r="Z372" s="13">
        <f>IF(COUNTIFS(แปลงข้อมูล!H:H,Q372,แปลงข้อมูล!I:I,U372,แปลงข้อมูล!J:J,V372)&gt;0,SUMIFS(แปลงข้อมูล!Q:Q,แปลงข้อมูล!I:I,U372,แปลงข้อมูล!H:H,Q372,แปลงข้อมูล!J:J,V372),'mk 001 10.3'!Z373)</f>
        <v>0</v>
      </c>
      <c r="AA372">
        <f>'mk 001 10.3'!AA373</f>
        <v>0</v>
      </c>
      <c r="AB372">
        <f>'mk 001 10.3'!AB373</f>
        <v>0</v>
      </c>
      <c r="AC372">
        <f>'mk 001 10.3'!AC373</f>
        <v>0</v>
      </c>
      <c r="AD372">
        <f>'mk 001 10.3'!AD373</f>
        <v>0</v>
      </c>
      <c r="AE372">
        <f>'mk 001 10.3'!AE373</f>
        <v>0</v>
      </c>
      <c r="AF372">
        <f>'mk 001 10.3'!AF373</f>
        <v>0</v>
      </c>
      <c r="AG372">
        <f>'mk 001 10.3'!AG373</f>
        <v>0</v>
      </c>
      <c r="AH372">
        <f>'mk 001 10.3'!AH373</f>
        <v>0</v>
      </c>
      <c r="AI372">
        <f>'mk 001 10.3'!AI373</f>
        <v>0</v>
      </c>
      <c r="AJ372">
        <f>'mk 001 10.3'!AJ373</f>
        <v>0</v>
      </c>
      <c r="AK372">
        <f>'mk 001 10.3'!AK373</f>
        <v>0</v>
      </c>
      <c r="AL372">
        <f>'mk 001 10.3'!AL373</f>
        <v>0</v>
      </c>
      <c r="AM372">
        <f>'mk 001 10.3'!AM373</f>
        <v>0</v>
      </c>
      <c r="AN372">
        <f>'mk 001 10.3'!AN373</f>
        <v>0</v>
      </c>
      <c r="AO372">
        <f>'mk 001 10.3'!AO373</f>
        <v>0</v>
      </c>
      <c r="AP372">
        <f>'mk 001 10.3'!AP373</f>
        <v>0</v>
      </c>
      <c r="AQ372">
        <f>'mk 001 10.3'!AQ373</f>
        <v>0</v>
      </c>
      <c r="AR372">
        <f>'mk 001 10.3'!AR373</f>
        <v>0</v>
      </c>
      <c r="AS372">
        <f>'mk 001 10.3'!AS373</f>
        <v>0</v>
      </c>
      <c r="AT372">
        <f>'mk 001 10.3'!AT373</f>
        <v>0</v>
      </c>
      <c r="AU372">
        <f>'mk 001 10.3'!AU373</f>
        <v>0</v>
      </c>
      <c r="AV372">
        <f>'mk 001 10.3'!AV373</f>
        <v>0</v>
      </c>
      <c r="AW372">
        <f>'mk 001 10.3'!AW373</f>
        <v>0</v>
      </c>
      <c r="AX372">
        <f>'mk 001 10.3'!AX373</f>
        <v>0</v>
      </c>
      <c r="AY372">
        <f>'mk 001 10.3'!AY373</f>
        <v>0</v>
      </c>
      <c r="AZ372">
        <f>'mk 001 10.3'!AZ373</f>
        <v>0</v>
      </c>
      <c r="BA372" s="22">
        <f>'mk 001 10.3'!BA373</f>
        <v>0</v>
      </c>
      <c r="BB372">
        <f>'mk 001 10.3'!BB373</f>
        <v>0</v>
      </c>
      <c r="BC372">
        <f>'mk 001 10.3'!BC373</f>
        <v>0</v>
      </c>
      <c r="BD372">
        <f>'mk 001 10.3'!BD373</f>
        <v>0</v>
      </c>
      <c r="BE372">
        <f>'mk 001 10.3'!BE373</f>
        <v>0</v>
      </c>
      <c r="BF372">
        <f>'mk 001 10.3'!BF373</f>
        <v>0</v>
      </c>
      <c r="BG372">
        <f>'mk 001 10.3'!BG373</f>
        <v>0</v>
      </c>
      <c r="BH372">
        <f>'mk 001 10.3'!BH373</f>
        <v>0</v>
      </c>
      <c r="BI372">
        <f>'mk 001 10.3'!BI373</f>
        <v>0</v>
      </c>
      <c r="BJ372">
        <f>'mk 001 10.3'!BJ373</f>
        <v>0</v>
      </c>
      <c r="BK372">
        <f>'mk 001 10.3'!BK373</f>
        <v>0</v>
      </c>
      <c r="BL372">
        <f>'mk 001 10.3'!BL373</f>
        <v>0</v>
      </c>
      <c r="BM372">
        <f>'mk 001 10.3'!BM373</f>
        <v>0</v>
      </c>
      <c r="BN372">
        <f>'mk 001 10.3'!BN373</f>
        <v>0</v>
      </c>
    </row>
    <row r="373" spans="1:66" x14ac:dyDescent="0.35">
      <c r="A373">
        <f>'mk 001 10.3'!A374</f>
        <v>0</v>
      </c>
      <c r="B373">
        <f>'mk 001 10.3'!B374</f>
        <v>0</v>
      </c>
      <c r="C373" s="1">
        <f>'mk 001 10.3'!C374</f>
        <v>0</v>
      </c>
      <c r="D373" s="1">
        <f>'mk 001 10.3'!D374</f>
        <v>0</v>
      </c>
      <c r="E373">
        <f>'mk 001 10.3'!E374</f>
        <v>0</v>
      </c>
      <c r="F373">
        <f>'mk 001 10.3'!F374</f>
        <v>0</v>
      </c>
      <c r="G373">
        <f>'mk 001 10.3'!G374</f>
        <v>0</v>
      </c>
      <c r="H373">
        <f>'mk 001 10.3'!H374</f>
        <v>0</v>
      </c>
      <c r="I373">
        <f>'mk 001 10.3'!I374</f>
        <v>0</v>
      </c>
      <c r="J373">
        <f>'mk 001 10.3'!J374</f>
        <v>0</v>
      </c>
      <c r="K373">
        <f>'mk 001 10.3'!K374</f>
        <v>0</v>
      </c>
      <c r="L373">
        <f>'mk 001 10.3'!L374</f>
        <v>0</v>
      </c>
      <c r="M373">
        <f>'mk 001 10.3'!M374</f>
        <v>0</v>
      </c>
      <c r="N373">
        <f>'mk 001 10.3'!N374</f>
        <v>0</v>
      </c>
      <c r="O373">
        <f>'mk 001 10.3'!O374</f>
        <v>0</v>
      </c>
      <c r="P373">
        <f>'mk 001 10.3'!P374</f>
        <v>0</v>
      </c>
      <c r="Q373">
        <f>'mk 001 10.3'!Q374</f>
        <v>0</v>
      </c>
      <c r="R373" s="1">
        <f>'mk 001 10.3'!R374</f>
        <v>0</v>
      </c>
      <c r="S373" s="1">
        <f>'mk 001 10.3'!S374</f>
        <v>0</v>
      </c>
      <c r="T373">
        <f>'mk 001 10.3'!T374</f>
        <v>0</v>
      </c>
      <c r="U373">
        <f>'mk 001 10.3'!U374</f>
        <v>0</v>
      </c>
      <c r="V373">
        <f>'mk 001 10.3'!V374</f>
        <v>0</v>
      </c>
      <c r="W373">
        <f>'mk 001 10.3'!W374</f>
        <v>0</v>
      </c>
      <c r="X373">
        <f>'mk 001 10.3'!X374</f>
        <v>0</v>
      </c>
      <c r="Y373">
        <f t="shared" si="5"/>
        <v>0</v>
      </c>
      <c r="Z373" s="13">
        <f>IF(COUNTIFS(แปลงข้อมูล!H:H,Q373,แปลงข้อมูล!I:I,U373,แปลงข้อมูล!J:J,V373)&gt;0,SUMIFS(แปลงข้อมูล!Q:Q,แปลงข้อมูล!I:I,U373,แปลงข้อมูล!H:H,Q373,แปลงข้อมูล!J:J,V373),'mk 001 10.3'!Z374)</f>
        <v>0</v>
      </c>
      <c r="AA373">
        <f>'mk 001 10.3'!AA374</f>
        <v>0</v>
      </c>
      <c r="AB373">
        <f>'mk 001 10.3'!AB374</f>
        <v>0</v>
      </c>
      <c r="AC373">
        <f>'mk 001 10.3'!AC374</f>
        <v>0</v>
      </c>
      <c r="AD373">
        <f>'mk 001 10.3'!AD374</f>
        <v>0</v>
      </c>
      <c r="AE373">
        <f>'mk 001 10.3'!AE374</f>
        <v>0</v>
      </c>
      <c r="AF373">
        <f>'mk 001 10.3'!AF374</f>
        <v>0</v>
      </c>
      <c r="AG373">
        <f>'mk 001 10.3'!AG374</f>
        <v>0</v>
      </c>
      <c r="AH373">
        <f>'mk 001 10.3'!AH374</f>
        <v>0</v>
      </c>
      <c r="AI373">
        <f>'mk 001 10.3'!AI374</f>
        <v>0</v>
      </c>
      <c r="AJ373">
        <f>'mk 001 10.3'!AJ374</f>
        <v>0</v>
      </c>
      <c r="AK373">
        <f>'mk 001 10.3'!AK374</f>
        <v>0</v>
      </c>
      <c r="AL373">
        <f>'mk 001 10.3'!AL374</f>
        <v>0</v>
      </c>
      <c r="AM373">
        <f>'mk 001 10.3'!AM374</f>
        <v>0</v>
      </c>
      <c r="AN373">
        <f>'mk 001 10.3'!AN374</f>
        <v>0</v>
      </c>
      <c r="AO373">
        <f>'mk 001 10.3'!AO374</f>
        <v>0</v>
      </c>
      <c r="AP373">
        <f>'mk 001 10.3'!AP374</f>
        <v>0</v>
      </c>
      <c r="AQ373">
        <f>'mk 001 10.3'!AQ374</f>
        <v>0</v>
      </c>
      <c r="AR373">
        <f>'mk 001 10.3'!AR374</f>
        <v>0</v>
      </c>
      <c r="AS373">
        <f>'mk 001 10.3'!AS374</f>
        <v>0</v>
      </c>
      <c r="AT373">
        <f>'mk 001 10.3'!AT374</f>
        <v>0</v>
      </c>
      <c r="AU373">
        <f>'mk 001 10.3'!AU374</f>
        <v>0</v>
      </c>
      <c r="AV373">
        <f>'mk 001 10.3'!AV374</f>
        <v>0</v>
      </c>
      <c r="AW373">
        <f>'mk 001 10.3'!AW374</f>
        <v>0</v>
      </c>
      <c r="AX373">
        <f>'mk 001 10.3'!AX374</f>
        <v>0</v>
      </c>
      <c r="AY373">
        <f>'mk 001 10.3'!AY374</f>
        <v>0</v>
      </c>
      <c r="AZ373">
        <f>'mk 001 10.3'!AZ374</f>
        <v>0</v>
      </c>
      <c r="BA373" s="22">
        <f>'mk 001 10.3'!BA374</f>
        <v>0</v>
      </c>
      <c r="BB373">
        <f>'mk 001 10.3'!BB374</f>
        <v>0</v>
      </c>
      <c r="BC373">
        <f>'mk 001 10.3'!BC374</f>
        <v>0</v>
      </c>
      <c r="BD373">
        <f>'mk 001 10.3'!BD374</f>
        <v>0</v>
      </c>
      <c r="BE373">
        <f>'mk 001 10.3'!BE374</f>
        <v>0</v>
      </c>
      <c r="BF373">
        <f>'mk 001 10.3'!BF374</f>
        <v>0</v>
      </c>
      <c r="BG373">
        <f>'mk 001 10.3'!BG374</f>
        <v>0</v>
      </c>
      <c r="BH373">
        <f>'mk 001 10.3'!BH374</f>
        <v>0</v>
      </c>
      <c r="BI373">
        <f>'mk 001 10.3'!BI374</f>
        <v>0</v>
      </c>
      <c r="BJ373">
        <f>'mk 001 10.3'!BJ374</f>
        <v>0</v>
      </c>
      <c r="BK373">
        <f>'mk 001 10.3'!BK374</f>
        <v>0</v>
      </c>
      <c r="BL373">
        <f>'mk 001 10.3'!BL374</f>
        <v>0</v>
      </c>
      <c r="BM373">
        <f>'mk 001 10.3'!BM374</f>
        <v>0</v>
      </c>
      <c r="BN373">
        <f>'mk 001 10.3'!BN374</f>
        <v>0</v>
      </c>
    </row>
    <row r="374" spans="1:66" x14ac:dyDescent="0.35">
      <c r="A374">
        <f>'mk 001 10.3'!A375</f>
        <v>0</v>
      </c>
      <c r="B374">
        <f>'mk 001 10.3'!B375</f>
        <v>0</v>
      </c>
      <c r="C374" s="1">
        <f>'mk 001 10.3'!C375</f>
        <v>0</v>
      </c>
      <c r="D374" s="1">
        <f>'mk 001 10.3'!D375</f>
        <v>0</v>
      </c>
      <c r="E374">
        <f>'mk 001 10.3'!E375</f>
        <v>0</v>
      </c>
      <c r="F374">
        <f>'mk 001 10.3'!F375</f>
        <v>0</v>
      </c>
      <c r="G374">
        <f>'mk 001 10.3'!G375</f>
        <v>0</v>
      </c>
      <c r="H374">
        <f>'mk 001 10.3'!H375</f>
        <v>0</v>
      </c>
      <c r="I374">
        <f>'mk 001 10.3'!I375</f>
        <v>0</v>
      </c>
      <c r="J374">
        <f>'mk 001 10.3'!J375</f>
        <v>0</v>
      </c>
      <c r="K374">
        <f>'mk 001 10.3'!K375</f>
        <v>0</v>
      </c>
      <c r="L374">
        <f>'mk 001 10.3'!L375</f>
        <v>0</v>
      </c>
      <c r="M374">
        <f>'mk 001 10.3'!M375</f>
        <v>0</v>
      </c>
      <c r="N374">
        <f>'mk 001 10.3'!N375</f>
        <v>0</v>
      </c>
      <c r="O374">
        <f>'mk 001 10.3'!O375</f>
        <v>0</v>
      </c>
      <c r="P374">
        <f>'mk 001 10.3'!P375</f>
        <v>0</v>
      </c>
      <c r="Q374">
        <f>'mk 001 10.3'!Q375</f>
        <v>0</v>
      </c>
      <c r="R374" s="1">
        <f>'mk 001 10.3'!R375</f>
        <v>0</v>
      </c>
      <c r="S374" s="1">
        <f>'mk 001 10.3'!S375</f>
        <v>0</v>
      </c>
      <c r="T374">
        <f>'mk 001 10.3'!T375</f>
        <v>0</v>
      </c>
      <c r="U374">
        <f>'mk 001 10.3'!U375</f>
        <v>0</v>
      </c>
      <c r="V374">
        <f>'mk 001 10.3'!V375</f>
        <v>0</v>
      </c>
      <c r="W374">
        <f>'mk 001 10.3'!W375</f>
        <v>0</v>
      </c>
      <c r="X374">
        <f>'mk 001 10.3'!X375</f>
        <v>0</v>
      </c>
      <c r="Y374">
        <f t="shared" si="5"/>
        <v>0</v>
      </c>
      <c r="Z374" s="13">
        <f>IF(COUNTIFS(แปลงข้อมูล!H:H,Q374,แปลงข้อมูล!I:I,U374,แปลงข้อมูล!J:J,V374)&gt;0,SUMIFS(แปลงข้อมูล!Q:Q,แปลงข้อมูล!I:I,U374,แปลงข้อมูล!H:H,Q374,แปลงข้อมูล!J:J,V374),'mk 001 10.3'!Z375)</f>
        <v>0</v>
      </c>
      <c r="AA374">
        <f>'mk 001 10.3'!AA375</f>
        <v>0</v>
      </c>
      <c r="AB374">
        <f>'mk 001 10.3'!AB375</f>
        <v>0</v>
      </c>
      <c r="AC374">
        <f>'mk 001 10.3'!AC375</f>
        <v>0</v>
      </c>
      <c r="AD374">
        <f>'mk 001 10.3'!AD375</f>
        <v>0</v>
      </c>
      <c r="AE374">
        <f>'mk 001 10.3'!AE375</f>
        <v>0</v>
      </c>
      <c r="AF374">
        <f>'mk 001 10.3'!AF375</f>
        <v>0</v>
      </c>
      <c r="AG374">
        <f>'mk 001 10.3'!AG375</f>
        <v>0</v>
      </c>
      <c r="AH374">
        <f>'mk 001 10.3'!AH375</f>
        <v>0</v>
      </c>
      <c r="AI374">
        <f>'mk 001 10.3'!AI375</f>
        <v>0</v>
      </c>
      <c r="AJ374">
        <f>'mk 001 10.3'!AJ375</f>
        <v>0</v>
      </c>
      <c r="AK374">
        <f>'mk 001 10.3'!AK375</f>
        <v>0</v>
      </c>
      <c r="AL374">
        <f>'mk 001 10.3'!AL375</f>
        <v>0</v>
      </c>
      <c r="AM374">
        <f>'mk 001 10.3'!AM375</f>
        <v>0</v>
      </c>
      <c r="AN374">
        <f>'mk 001 10.3'!AN375</f>
        <v>0</v>
      </c>
      <c r="AO374">
        <f>'mk 001 10.3'!AO375</f>
        <v>0</v>
      </c>
      <c r="AP374">
        <f>'mk 001 10.3'!AP375</f>
        <v>0</v>
      </c>
      <c r="AQ374">
        <f>'mk 001 10.3'!AQ375</f>
        <v>0</v>
      </c>
      <c r="AR374">
        <f>'mk 001 10.3'!AR375</f>
        <v>0</v>
      </c>
      <c r="AS374">
        <f>'mk 001 10.3'!AS375</f>
        <v>0</v>
      </c>
      <c r="AT374">
        <f>'mk 001 10.3'!AT375</f>
        <v>0</v>
      </c>
      <c r="AU374">
        <f>'mk 001 10.3'!AU375</f>
        <v>0</v>
      </c>
      <c r="AV374">
        <f>'mk 001 10.3'!AV375</f>
        <v>0</v>
      </c>
      <c r="AW374">
        <f>'mk 001 10.3'!AW375</f>
        <v>0</v>
      </c>
      <c r="AX374">
        <f>'mk 001 10.3'!AX375</f>
        <v>0</v>
      </c>
      <c r="AY374">
        <f>'mk 001 10.3'!AY375</f>
        <v>0</v>
      </c>
      <c r="AZ374">
        <f>'mk 001 10.3'!AZ375</f>
        <v>0</v>
      </c>
      <c r="BA374" s="22">
        <f>'mk 001 10.3'!BA375</f>
        <v>0</v>
      </c>
      <c r="BB374">
        <f>'mk 001 10.3'!BB375</f>
        <v>0</v>
      </c>
      <c r="BC374">
        <f>'mk 001 10.3'!BC375</f>
        <v>0</v>
      </c>
      <c r="BD374">
        <f>'mk 001 10.3'!BD375</f>
        <v>0</v>
      </c>
      <c r="BE374">
        <f>'mk 001 10.3'!BE375</f>
        <v>0</v>
      </c>
      <c r="BF374">
        <f>'mk 001 10.3'!BF375</f>
        <v>0</v>
      </c>
      <c r="BG374">
        <f>'mk 001 10.3'!BG375</f>
        <v>0</v>
      </c>
      <c r="BH374">
        <f>'mk 001 10.3'!BH375</f>
        <v>0</v>
      </c>
      <c r="BI374">
        <f>'mk 001 10.3'!BI375</f>
        <v>0</v>
      </c>
      <c r="BJ374">
        <f>'mk 001 10.3'!BJ375</f>
        <v>0</v>
      </c>
      <c r="BK374">
        <f>'mk 001 10.3'!BK375</f>
        <v>0</v>
      </c>
      <c r="BL374">
        <f>'mk 001 10.3'!BL375</f>
        <v>0</v>
      </c>
      <c r="BM374">
        <f>'mk 001 10.3'!BM375</f>
        <v>0</v>
      </c>
      <c r="BN374">
        <f>'mk 001 10.3'!BN375</f>
        <v>0</v>
      </c>
    </row>
    <row r="375" spans="1:66" x14ac:dyDescent="0.35">
      <c r="A375">
        <f>'mk 001 10.3'!A376</f>
        <v>0</v>
      </c>
      <c r="B375">
        <f>'mk 001 10.3'!B376</f>
        <v>0</v>
      </c>
      <c r="C375" s="1">
        <f>'mk 001 10.3'!C376</f>
        <v>0</v>
      </c>
      <c r="D375" s="1">
        <f>'mk 001 10.3'!D376</f>
        <v>0</v>
      </c>
      <c r="E375">
        <f>'mk 001 10.3'!E376</f>
        <v>0</v>
      </c>
      <c r="F375">
        <f>'mk 001 10.3'!F376</f>
        <v>0</v>
      </c>
      <c r="G375">
        <f>'mk 001 10.3'!G376</f>
        <v>0</v>
      </c>
      <c r="H375">
        <f>'mk 001 10.3'!H376</f>
        <v>0</v>
      </c>
      <c r="I375">
        <f>'mk 001 10.3'!I376</f>
        <v>0</v>
      </c>
      <c r="J375">
        <f>'mk 001 10.3'!J376</f>
        <v>0</v>
      </c>
      <c r="K375">
        <f>'mk 001 10.3'!K376</f>
        <v>0</v>
      </c>
      <c r="L375">
        <f>'mk 001 10.3'!L376</f>
        <v>0</v>
      </c>
      <c r="M375">
        <f>'mk 001 10.3'!M376</f>
        <v>0</v>
      </c>
      <c r="N375">
        <f>'mk 001 10.3'!N376</f>
        <v>0</v>
      </c>
      <c r="O375">
        <f>'mk 001 10.3'!O376</f>
        <v>0</v>
      </c>
      <c r="P375">
        <f>'mk 001 10.3'!P376</f>
        <v>0</v>
      </c>
      <c r="Q375">
        <f>'mk 001 10.3'!Q376</f>
        <v>0</v>
      </c>
      <c r="R375" s="1">
        <f>'mk 001 10.3'!R376</f>
        <v>0</v>
      </c>
      <c r="S375" s="1">
        <f>'mk 001 10.3'!S376</f>
        <v>0</v>
      </c>
      <c r="T375">
        <f>'mk 001 10.3'!T376</f>
        <v>0</v>
      </c>
      <c r="U375">
        <f>'mk 001 10.3'!U376</f>
        <v>0</v>
      </c>
      <c r="V375">
        <f>'mk 001 10.3'!V376</f>
        <v>0</v>
      </c>
      <c r="W375">
        <f>'mk 001 10.3'!W376</f>
        <v>0</v>
      </c>
      <c r="X375">
        <f>'mk 001 10.3'!X376</f>
        <v>0</v>
      </c>
      <c r="Y375">
        <f t="shared" si="5"/>
        <v>0</v>
      </c>
      <c r="Z375" s="13">
        <f>IF(COUNTIFS(แปลงข้อมูล!H:H,Q375,แปลงข้อมูล!I:I,U375,แปลงข้อมูล!J:J,V375)&gt;0,SUMIFS(แปลงข้อมูล!Q:Q,แปลงข้อมูล!I:I,U375,แปลงข้อมูล!H:H,Q375,แปลงข้อมูล!J:J,V375),'mk 001 10.3'!Z376)</f>
        <v>0</v>
      </c>
      <c r="AA375">
        <f>'mk 001 10.3'!AA376</f>
        <v>0</v>
      </c>
      <c r="AB375">
        <f>'mk 001 10.3'!AB376</f>
        <v>0</v>
      </c>
      <c r="AC375">
        <f>'mk 001 10.3'!AC376</f>
        <v>0</v>
      </c>
      <c r="AD375">
        <f>'mk 001 10.3'!AD376</f>
        <v>0</v>
      </c>
      <c r="AE375">
        <f>'mk 001 10.3'!AE376</f>
        <v>0</v>
      </c>
      <c r="AF375">
        <f>'mk 001 10.3'!AF376</f>
        <v>0</v>
      </c>
      <c r="AG375">
        <f>'mk 001 10.3'!AG376</f>
        <v>0</v>
      </c>
      <c r="AH375">
        <f>'mk 001 10.3'!AH376</f>
        <v>0</v>
      </c>
      <c r="AI375">
        <f>'mk 001 10.3'!AI376</f>
        <v>0</v>
      </c>
      <c r="AJ375">
        <f>'mk 001 10.3'!AJ376</f>
        <v>0</v>
      </c>
      <c r="AK375">
        <f>'mk 001 10.3'!AK376</f>
        <v>0</v>
      </c>
      <c r="AL375">
        <f>'mk 001 10.3'!AL376</f>
        <v>0</v>
      </c>
      <c r="AM375">
        <f>'mk 001 10.3'!AM376</f>
        <v>0</v>
      </c>
      <c r="AN375">
        <f>'mk 001 10.3'!AN376</f>
        <v>0</v>
      </c>
      <c r="AO375">
        <f>'mk 001 10.3'!AO376</f>
        <v>0</v>
      </c>
      <c r="AP375">
        <f>'mk 001 10.3'!AP376</f>
        <v>0</v>
      </c>
      <c r="AQ375">
        <f>'mk 001 10.3'!AQ376</f>
        <v>0</v>
      </c>
      <c r="AR375">
        <f>'mk 001 10.3'!AR376</f>
        <v>0</v>
      </c>
      <c r="AS375">
        <f>'mk 001 10.3'!AS376</f>
        <v>0</v>
      </c>
      <c r="AT375">
        <f>'mk 001 10.3'!AT376</f>
        <v>0</v>
      </c>
      <c r="AU375">
        <f>'mk 001 10.3'!AU376</f>
        <v>0</v>
      </c>
      <c r="AV375">
        <f>'mk 001 10.3'!AV376</f>
        <v>0</v>
      </c>
      <c r="AW375">
        <f>'mk 001 10.3'!AW376</f>
        <v>0</v>
      </c>
      <c r="AX375">
        <f>'mk 001 10.3'!AX376</f>
        <v>0</v>
      </c>
      <c r="AY375">
        <f>'mk 001 10.3'!AY376</f>
        <v>0</v>
      </c>
      <c r="AZ375">
        <f>'mk 001 10.3'!AZ376</f>
        <v>0</v>
      </c>
      <c r="BA375" s="22">
        <f>'mk 001 10.3'!BA376</f>
        <v>0</v>
      </c>
      <c r="BB375">
        <f>'mk 001 10.3'!BB376</f>
        <v>0</v>
      </c>
      <c r="BC375">
        <f>'mk 001 10.3'!BC376</f>
        <v>0</v>
      </c>
      <c r="BD375">
        <f>'mk 001 10.3'!BD376</f>
        <v>0</v>
      </c>
      <c r="BE375">
        <f>'mk 001 10.3'!BE376</f>
        <v>0</v>
      </c>
      <c r="BF375">
        <f>'mk 001 10.3'!BF376</f>
        <v>0</v>
      </c>
      <c r="BG375">
        <f>'mk 001 10.3'!BG376</f>
        <v>0</v>
      </c>
      <c r="BH375">
        <f>'mk 001 10.3'!BH376</f>
        <v>0</v>
      </c>
      <c r="BI375">
        <f>'mk 001 10.3'!BI376</f>
        <v>0</v>
      </c>
      <c r="BJ375">
        <f>'mk 001 10.3'!BJ376</f>
        <v>0</v>
      </c>
      <c r="BK375">
        <f>'mk 001 10.3'!BK376</f>
        <v>0</v>
      </c>
      <c r="BL375">
        <f>'mk 001 10.3'!BL376</f>
        <v>0</v>
      </c>
      <c r="BM375">
        <f>'mk 001 10.3'!BM376</f>
        <v>0</v>
      </c>
      <c r="BN375">
        <f>'mk 001 10.3'!BN376</f>
        <v>0</v>
      </c>
    </row>
    <row r="376" spans="1:66" x14ac:dyDescent="0.35">
      <c r="A376">
        <f>'mk 001 10.3'!A377</f>
        <v>0</v>
      </c>
      <c r="B376">
        <f>'mk 001 10.3'!B377</f>
        <v>0</v>
      </c>
      <c r="C376" s="1">
        <f>'mk 001 10.3'!C377</f>
        <v>0</v>
      </c>
      <c r="D376" s="1">
        <f>'mk 001 10.3'!D377</f>
        <v>0</v>
      </c>
      <c r="E376">
        <f>'mk 001 10.3'!E377</f>
        <v>0</v>
      </c>
      <c r="F376">
        <f>'mk 001 10.3'!F377</f>
        <v>0</v>
      </c>
      <c r="G376">
        <f>'mk 001 10.3'!G377</f>
        <v>0</v>
      </c>
      <c r="H376">
        <f>'mk 001 10.3'!H377</f>
        <v>0</v>
      </c>
      <c r="I376">
        <f>'mk 001 10.3'!I377</f>
        <v>0</v>
      </c>
      <c r="J376">
        <f>'mk 001 10.3'!J377</f>
        <v>0</v>
      </c>
      <c r="K376">
        <f>'mk 001 10.3'!K377</f>
        <v>0</v>
      </c>
      <c r="L376">
        <f>'mk 001 10.3'!L377</f>
        <v>0</v>
      </c>
      <c r="M376">
        <f>'mk 001 10.3'!M377</f>
        <v>0</v>
      </c>
      <c r="N376">
        <f>'mk 001 10.3'!N377</f>
        <v>0</v>
      </c>
      <c r="O376">
        <f>'mk 001 10.3'!O377</f>
        <v>0</v>
      </c>
      <c r="P376">
        <f>'mk 001 10.3'!P377</f>
        <v>0</v>
      </c>
      <c r="Q376">
        <f>'mk 001 10.3'!Q377</f>
        <v>0</v>
      </c>
      <c r="R376" s="1">
        <f>'mk 001 10.3'!R377</f>
        <v>0</v>
      </c>
      <c r="S376" s="1">
        <f>'mk 001 10.3'!S377</f>
        <v>0</v>
      </c>
      <c r="T376">
        <f>'mk 001 10.3'!T377</f>
        <v>0</v>
      </c>
      <c r="U376">
        <f>'mk 001 10.3'!U377</f>
        <v>0</v>
      </c>
      <c r="V376">
        <f>'mk 001 10.3'!V377</f>
        <v>0</v>
      </c>
      <c r="W376">
        <f>'mk 001 10.3'!W377</f>
        <v>0</v>
      </c>
      <c r="X376">
        <f>'mk 001 10.3'!X377</f>
        <v>0</v>
      </c>
      <c r="Y376">
        <f t="shared" si="5"/>
        <v>0</v>
      </c>
      <c r="Z376" s="13">
        <f>IF(COUNTIFS(แปลงข้อมูล!H:H,Q376,แปลงข้อมูล!I:I,U376,แปลงข้อมูล!J:J,V376)&gt;0,SUMIFS(แปลงข้อมูล!Q:Q,แปลงข้อมูล!I:I,U376,แปลงข้อมูล!H:H,Q376,แปลงข้อมูล!J:J,V376),'mk 001 10.3'!Z377)</f>
        <v>0</v>
      </c>
      <c r="AA376">
        <f>'mk 001 10.3'!AA377</f>
        <v>0</v>
      </c>
      <c r="AB376">
        <f>'mk 001 10.3'!AB377</f>
        <v>0</v>
      </c>
      <c r="AC376">
        <f>'mk 001 10.3'!AC377</f>
        <v>0</v>
      </c>
      <c r="AD376">
        <f>'mk 001 10.3'!AD377</f>
        <v>0</v>
      </c>
      <c r="AE376">
        <f>'mk 001 10.3'!AE377</f>
        <v>0</v>
      </c>
      <c r="AF376">
        <f>'mk 001 10.3'!AF377</f>
        <v>0</v>
      </c>
      <c r="AG376">
        <f>'mk 001 10.3'!AG377</f>
        <v>0</v>
      </c>
      <c r="AH376">
        <f>'mk 001 10.3'!AH377</f>
        <v>0</v>
      </c>
      <c r="AI376">
        <f>'mk 001 10.3'!AI377</f>
        <v>0</v>
      </c>
      <c r="AJ376">
        <f>'mk 001 10.3'!AJ377</f>
        <v>0</v>
      </c>
      <c r="AK376">
        <f>'mk 001 10.3'!AK377</f>
        <v>0</v>
      </c>
      <c r="AL376">
        <f>'mk 001 10.3'!AL377</f>
        <v>0</v>
      </c>
      <c r="AM376">
        <f>'mk 001 10.3'!AM377</f>
        <v>0</v>
      </c>
      <c r="AN376">
        <f>'mk 001 10.3'!AN377</f>
        <v>0</v>
      </c>
      <c r="AO376">
        <f>'mk 001 10.3'!AO377</f>
        <v>0</v>
      </c>
      <c r="AP376">
        <f>'mk 001 10.3'!AP377</f>
        <v>0</v>
      </c>
      <c r="AQ376">
        <f>'mk 001 10.3'!AQ377</f>
        <v>0</v>
      </c>
      <c r="AR376">
        <f>'mk 001 10.3'!AR377</f>
        <v>0</v>
      </c>
      <c r="AS376">
        <f>'mk 001 10.3'!AS377</f>
        <v>0</v>
      </c>
      <c r="AT376">
        <f>'mk 001 10.3'!AT377</f>
        <v>0</v>
      </c>
      <c r="AU376">
        <f>'mk 001 10.3'!AU377</f>
        <v>0</v>
      </c>
      <c r="AV376">
        <f>'mk 001 10.3'!AV377</f>
        <v>0</v>
      </c>
      <c r="AW376">
        <f>'mk 001 10.3'!AW377</f>
        <v>0</v>
      </c>
      <c r="AX376">
        <f>'mk 001 10.3'!AX377</f>
        <v>0</v>
      </c>
      <c r="AY376">
        <f>'mk 001 10.3'!AY377</f>
        <v>0</v>
      </c>
      <c r="AZ376">
        <f>'mk 001 10.3'!AZ377</f>
        <v>0</v>
      </c>
      <c r="BA376" s="22">
        <f>'mk 001 10.3'!BA377</f>
        <v>0</v>
      </c>
      <c r="BB376">
        <f>'mk 001 10.3'!BB377</f>
        <v>0</v>
      </c>
      <c r="BC376">
        <f>'mk 001 10.3'!BC377</f>
        <v>0</v>
      </c>
      <c r="BD376">
        <f>'mk 001 10.3'!BD377</f>
        <v>0</v>
      </c>
      <c r="BE376">
        <f>'mk 001 10.3'!BE377</f>
        <v>0</v>
      </c>
      <c r="BF376">
        <f>'mk 001 10.3'!BF377</f>
        <v>0</v>
      </c>
      <c r="BG376">
        <f>'mk 001 10.3'!BG377</f>
        <v>0</v>
      </c>
      <c r="BH376">
        <f>'mk 001 10.3'!BH377</f>
        <v>0</v>
      </c>
      <c r="BI376">
        <f>'mk 001 10.3'!BI377</f>
        <v>0</v>
      </c>
      <c r="BJ376">
        <f>'mk 001 10.3'!BJ377</f>
        <v>0</v>
      </c>
      <c r="BK376">
        <f>'mk 001 10.3'!BK377</f>
        <v>0</v>
      </c>
      <c r="BL376">
        <f>'mk 001 10.3'!BL377</f>
        <v>0</v>
      </c>
      <c r="BM376">
        <f>'mk 001 10.3'!BM377</f>
        <v>0</v>
      </c>
      <c r="BN376">
        <f>'mk 001 10.3'!BN377</f>
        <v>0</v>
      </c>
    </row>
    <row r="377" spans="1:66" x14ac:dyDescent="0.35">
      <c r="A377">
        <f>'mk 001 10.3'!A378</f>
        <v>0</v>
      </c>
      <c r="B377">
        <f>'mk 001 10.3'!B378</f>
        <v>0</v>
      </c>
      <c r="C377" s="1">
        <f>'mk 001 10.3'!C378</f>
        <v>0</v>
      </c>
      <c r="D377" s="1">
        <f>'mk 001 10.3'!D378</f>
        <v>0</v>
      </c>
      <c r="E377">
        <f>'mk 001 10.3'!E378</f>
        <v>0</v>
      </c>
      <c r="F377">
        <f>'mk 001 10.3'!F378</f>
        <v>0</v>
      </c>
      <c r="G377">
        <f>'mk 001 10.3'!G378</f>
        <v>0</v>
      </c>
      <c r="H377">
        <f>'mk 001 10.3'!H378</f>
        <v>0</v>
      </c>
      <c r="I377">
        <f>'mk 001 10.3'!I378</f>
        <v>0</v>
      </c>
      <c r="J377">
        <f>'mk 001 10.3'!J378</f>
        <v>0</v>
      </c>
      <c r="K377">
        <f>'mk 001 10.3'!K378</f>
        <v>0</v>
      </c>
      <c r="L377">
        <f>'mk 001 10.3'!L378</f>
        <v>0</v>
      </c>
      <c r="M377">
        <f>'mk 001 10.3'!M378</f>
        <v>0</v>
      </c>
      <c r="N377">
        <f>'mk 001 10.3'!N378</f>
        <v>0</v>
      </c>
      <c r="O377">
        <f>'mk 001 10.3'!O378</f>
        <v>0</v>
      </c>
      <c r="P377">
        <f>'mk 001 10.3'!P378</f>
        <v>0</v>
      </c>
      <c r="Q377">
        <f>'mk 001 10.3'!Q378</f>
        <v>0</v>
      </c>
      <c r="R377" s="1">
        <f>'mk 001 10.3'!R378</f>
        <v>0</v>
      </c>
      <c r="S377" s="1">
        <f>'mk 001 10.3'!S378</f>
        <v>0</v>
      </c>
      <c r="T377">
        <f>'mk 001 10.3'!T378</f>
        <v>0</v>
      </c>
      <c r="U377">
        <f>'mk 001 10.3'!U378</f>
        <v>0</v>
      </c>
      <c r="V377">
        <f>'mk 001 10.3'!V378</f>
        <v>0</v>
      </c>
      <c r="W377">
        <f>'mk 001 10.3'!W378</f>
        <v>0</v>
      </c>
      <c r="X377">
        <f>'mk 001 10.3'!X378</f>
        <v>0</v>
      </c>
      <c r="Y377">
        <f t="shared" si="5"/>
        <v>0</v>
      </c>
      <c r="Z377" s="13">
        <f>IF(COUNTIFS(แปลงข้อมูล!H:H,Q377,แปลงข้อมูล!I:I,U377,แปลงข้อมูล!J:J,V377)&gt;0,SUMIFS(แปลงข้อมูล!Q:Q,แปลงข้อมูล!I:I,U377,แปลงข้อมูล!H:H,Q377,แปลงข้อมูล!J:J,V377),'mk 001 10.3'!Z378)</f>
        <v>0</v>
      </c>
      <c r="AA377">
        <f>'mk 001 10.3'!AA378</f>
        <v>0</v>
      </c>
      <c r="AB377">
        <f>'mk 001 10.3'!AB378</f>
        <v>0</v>
      </c>
      <c r="AC377">
        <f>'mk 001 10.3'!AC378</f>
        <v>0</v>
      </c>
      <c r="AD377">
        <f>'mk 001 10.3'!AD378</f>
        <v>0</v>
      </c>
      <c r="AE377">
        <f>'mk 001 10.3'!AE378</f>
        <v>0</v>
      </c>
      <c r="AF377">
        <f>'mk 001 10.3'!AF378</f>
        <v>0</v>
      </c>
      <c r="AG377">
        <f>'mk 001 10.3'!AG378</f>
        <v>0</v>
      </c>
      <c r="AH377">
        <f>'mk 001 10.3'!AH378</f>
        <v>0</v>
      </c>
      <c r="AI377">
        <f>'mk 001 10.3'!AI378</f>
        <v>0</v>
      </c>
      <c r="AJ377">
        <f>'mk 001 10.3'!AJ378</f>
        <v>0</v>
      </c>
      <c r="AK377">
        <f>'mk 001 10.3'!AK378</f>
        <v>0</v>
      </c>
      <c r="AL377">
        <f>'mk 001 10.3'!AL378</f>
        <v>0</v>
      </c>
      <c r="AM377">
        <f>'mk 001 10.3'!AM378</f>
        <v>0</v>
      </c>
      <c r="AN377">
        <f>'mk 001 10.3'!AN378</f>
        <v>0</v>
      </c>
      <c r="AO377">
        <f>'mk 001 10.3'!AO378</f>
        <v>0</v>
      </c>
      <c r="AP377">
        <f>'mk 001 10.3'!AP378</f>
        <v>0</v>
      </c>
      <c r="AQ377">
        <f>'mk 001 10.3'!AQ378</f>
        <v>0</v>
      </c>
      <c r="AR377">
        <f>'mk 001 10.3'!AR378</f>
        <v>0</v>
      </c>
      <c r="AS377">
        <f>'mk 001 10.3'!AS378</f>
        <v>0</v>
      </c>
      <c r="AT377">
        <f>'mk 001 10.3'!AT378</f>
        <v>0</v>
      </c>
      <c r="AU377">
        <f>'mk 001 10.3'!AU378</f>
        <v>0</v>
      </c>
      <c r="AV377">
        <f>'mk 001 10.3'!AV378</f>
        <v>0</v>
      </c>
      <c r="AW377">
        <f>'mk 001 10.3'!AW378</f>
        <v>0</v>
      </c>
      <c r="AX377">
        <f>'mk 001 10.3'!AX378</f>
        <v>0</v>
      </c>
      <c r="AY377">
        <f>'mk 001 10.3'!AY378</f>
        <v>0</v>
      </c>
      <c r="AZ377">
        <f>'mk 001 10.3'!AZ378</f>
        <v>0</v>
      </c>
      <c r="BA377" s="22">
        <f>'mk 001 10.3'!BA378</f>
        <v>0</v>
      </c>
      <c r="BB377">
        <f>'mk 001 10.3'!BB378</f>
        <v>0</v>
      </c>
      <c r="BC377">
        <f>'mk 001 10.3'!BC378</f>
        <v>0</v>
      </c>
      <c r="BD377">
        <f>'mk 001 10.3'!BD378</f>
        <v>0</v>
      </c>
      <c r="BE377">
        <f>'mk 001 10.3'!BE378</f>
        <v>0</v>
      </c>
      <c r="BF377">
        <f>'mk 001 10.3'!BF378</f>
        <v>0</v>
      </c>
      <c r="BG377">
        <f>'mk 001 10.3'!BG378</f>
        <v>0</v>
      </c>
      <c r="BH377">
        <f>'mk 001 10.3'!BH378</f>
        <v>0</v>
      </c>
      <c r="BI377">
        <f>'mk 001 10.3'!BI378</f>
        <v>0</v>
      </c>
      <c r="BJ377">
        <f>'mk 001 10.3'!BJ378</f>
        <v>0</v>
      </c>
      <c r="BK377">
        <f>'mk 001 10.3'!BK378</f>
        <v>0</v>
      </c>
      <c r="BL377">
        <f>'mk 001 10.3'!BL378</f>
        <v>0</v>
      </c>
      <c r="BM377">
        <f>'mk 001 10.3'!BM378</f>
        <v>0</v>
      </c>
      <c r="BN377">
        <f>'mk 001 10.3'!BN378</f>
        <v>0</v>
      </c>
    </row>
    <row r="378" spans="1:66" x14ac:dyDescent="0.35">
      <c r="A378">
        <f>'mk 001 10.3'!A379</f>
        <v>0</v>
      </c>
      <c r="B378">
        <f>'mk 001 10.3'!B379</f>
        <v>0</v>
      </c>
      <c r="C378" s="1">
        <f>'mk 001 10.3'!C379</f>
        <v>0</v>
      </c>
      <c r="D378" s="1">
        <f>'mk 001 10.3'!D379</f>
        <v>0</v>
      </c>
      <c r="E378">
        <f>'mk 001 10.3'!E379</f>
        <v>0</v>
      </c>
      <c r="F378">
        <f>'mk 001 10.3'!F379</f>
        <v>0</v>
      </c>
      <c r="G378">
        <f>'mk 001 10.3'!G379</f>
        <v>0</v>
      </c>
      <c r="H378">
        <f>'mk 001 10.3'!H379</f>
        <v>0</v>
      </c>
      <c r="I378">
        <f>'mk 001 10.3'!I379</f>
        <v>0</v>
      </c>
      <c r="J378">
        <f>'mk 001 10.3'!J379</f>
        <v>0</v>
      </c>
      <c r="K378">
        <f>'mk 001 10.3'!K379</f>
        <v>0</v>
      </c>
      <c r="L378">
        <f>'mk 001 10.3'!L379</f>
        <v>0</v>
      </c>
      <c r="M378">
        <f>'mk 001 10.3'!M379</f>
        <v>0</v>
      </c>
      <c r="N378">
        <f>'mk 001 10.3'!N379</f>
        <v>0</v>
      </c>
      <c r="O378">
        <f>'mk 001 10.3'!O379</f>
        <v>0</v>
      </c>
      <c r="P378">
        <f>'mk 001 10.3'!P379</f>
        <v>0</v>
      </c>
      <c r="Q378">
        <f>'mk 001 10.3'!Q379</f>
        <v>0</v>
      </c>
      <c r="R378" s="1">
        <f>'mk 001 10.3'!R379</f>
        <v>0</v>
      </c>
      <c r="S378" s="1">
        <f>'mk 001 10.3'!S379</f>
        <v>0</v>
      </c>
      <c r="T378">
        <f>'mk 001 10.3'!T379</f>
        <v>0</v>
      </c>
      <c r="U378">
        <f>'mk 001 10.3'!U379</f>
        <v>0</v>
      </c>
      <c r="V378">
        <f>'mk 001 10.3'!V379</f>
        <v>0</v>
      </c>
      <c r="W378">
        <f>'mk 001 10.3'!W379</f>
        <v>0</v>
      </c>
      <c r="X378">
        <f>'mk 001 10.3'!X379</f>
        <v>0</v>
      </c>
      <c r="Y378">
        <f t="shared" si="5"/>
        <v>0</v>
      </c>
      <c r="Z378" s="13">
        <f>IF(COUNTIFS(แปลงข้อมูล!H:H,Q378,แปลงข้อมูล!I:I,U378,แปลงข้อมูล!J:J,V378)&gt;0,SUMIFS(แปลงข้อมูล!Q:Q,แปลงข้อมูล!I:I,U378,แปลงข้อมูล!H:H,Q378,แปลงข้อมูล!J:J,V378),'mk 001 10.3'!Z379)</f>
        <v>0</v>
      </c>
      <c r="AA378">
        <f>'mk 001 10.3'!AA379</f>
        <v>0</v>
      </c>
      <c r="AB378">
        <f>'mk 001 10.3'!AB379</f>
        <v>0</v>
      </c>
      <c r="AC378">
        <f>'mk 001 10.3'!AC379</f>
        <v>0</v>
      </c>
      <c r="AD378">
        <f>'mk 001 10.3'!AD379</f>
        <v>0</v>
      </c>
      <c r="AE378">
        <f>'mk 001 10.3'!AE379</f>
        <v>0</v>
      </c>
      <c r="AF378">
        <f>'mk 001 10.3'!AF379</f>
        <v>0</v>
      </c>
      <c r="AG378">
        <f>'mk 001 10.3'!AG379</f>
        <v>0</v>
      </c>
      <c r="AH378">
        <f>'mk 001 10.3'!AH379</f>
        <v>0</v>
      </c>
      <c r="AI378">
        <f>'mk 001 10.3'!AI379</f>
        <v>0</v>
      </c>
      <c r="AJ378">
        <f>'mk 001 10.3'!AJ379</f>
        <v>0</v>
      </c>
      <c r="AK378">
        <f>'mk 001 10.3'!AK379</f>
        <v>0</v>
      </c>
      <c r="AL378">
        <f>'mk 001 10.3'!AL379</f>
        <v>0</v>
      </c>
      <c r="AM378">
        <f>'mk 001 10.3'!AM379</f>
        <v>0</v>
      </c>
      <c r="AN378">
        <f>'mk 001 10.3'!AN379</f>
        <v>0</v>
      </c>
      <c r="AO378">
        <f>'mk 001 10.3'!AO379</f>
        <v>0</v>
      </c>
      <c r="AP378">
        <f>'mk 001 10.3'!AP379</f>
        <v>0</v>
      </c>
      <c r="AQ378">
        <f>'mk 001 10.3'!AQ379</f>
        <v>0</v>
      </c>
      <c r="AR378">
        <f>'mk 001 10.3'!AR379</f>
        <v>0</v>
      </c>
      <c r="AS378">
        <f>'mk 001 10.3'!AS379</f>
        <v>0</v>
      </c>
      <c r="AT378">
        <f>'mk 001 10.3'!AT379</f>
        <v>0</v>
      </c>
      <c r="AU378">
        <f>'mk 001 10.3'!AU379</f>
        <v>0</v>
      </c>
      <c r="AV378">
        <f>'mk 001 10.3'!AV379</f>
        <v>0</v>
      </c>
      <c r="AW378">
        <f>'mk 001 10.3'!AW379</f>
        <v>0</v>
      </c>
      <c r="AX378">
        <f>'mk 001 10.3'!AX379</f>
        <v>0</v>
      </c>
      <c r="AY378">
        <f>'mk 001 10.3'!AY379</f>
        <v>0</v>
      </c>
      <c r="AZ378">
        <f>'mk 001 10.3'!AZ379</f>
        <v>0</v>
      </c>
      <c r="BA378" s="22">
        <f>'mk 001 10.3'!BA379</f>
        <v>0</v>
      </c>
      <c r="BB378">
        <f>'mk 001 10.3'!BB379</f>
        <v>0</v>
      </c>
      <c r="BC378">
        <f>'mk 001 10.3'!BC379</f>
        <v>0</v>
      </c>
      <c r="BD378">
        <f>'mk 001 10.3'!BD379</f>
        <v>0</v>
      </c>
      <c r="BE378">
        <f>'mk 001 10.3'!BE379</f>
        <v>0</v>
      </c>
      <c r="BF378">
        <f>'mk 001 10.3'!BF379</f>
        <v>0</v>
      </c>
      <c r="BG378">
        <f>'mk 001 10.3'!BG379</f>
        <v>0</v>
      </c>
      <c r="BH378">
        <f>'mk 001 10.3'!BH379</f>
        <v>0</v>
      </c>
      <c r="BI378">
        <f>'mk 001 10.3'!BI379</f>
        <v>0</v>
      </c>
      <c r="BJ378">
        <f>'mk 001 10.3'!BJ379</f>
        <v>0</v>
      </c>
      <c r="BK378">
        <f>'mk 001 10.3'!BK379</f>
        <v>0</v>
      </c>
      <c r="BL378">
        <f>'mk 001 10.3'!BL379</f>
        <v>0</v>
      </c>
      <c r="BM378">
        <f>'mk 001 10.3'!BM379</f>
        <v>0</v>
      </c>
      <c r="BN378">
        <f>'mk 001 10.3'!BN379</f>
        <v>0</v>
      </c>
    </row>
    <row r="379" spans="1:66" x14ac:dyDescent="0.35">
      <c r="A379">
        <f>'mk 001 10.3'!A380</f>
        <v>0</v>
      </c>
      <c r="B379">
        <f>'mk 001 10.3'!B380</f>
        <v>0</v>
      </c>
      <c r="C379" s="1">
        <f>'mk 001 10.3'!C380</f>
        <v>0</v>
      </c>
      <c r="D379" s="1">
        <f>'mk 001 10.3'!D380</f>
        <v>0</v>
      </c>
      <c r="E379">
        <f>'mk 001 10.3'!E380</f>
        <v>0</v>
      </c>
      <c r="F379">
        <f>'mk 001 10.3'!F380</f>
        <v>0</v>
      </c>
      <c r="G379">
        <f>'mk 001 10.3'!G380</f>
        <v>0</v>
      </c>
      <c r="H379">
        <f>'mk 001 10.3'!H380</f>
        <v>0</v>
      </c>
      <c r="I379">
        <f>'mk 001 10.3'!I380</f>
        <v>0</v>
      </c>
      <c r="J379">
        <f>'mk 001 10.3'!J380</f>
        <v>0</v>
      </c>
      <c r="K379">
        <f>'mk 001 10.3'!K380</f>
        <v>0</v>
      </c>
      <c r="L379">
        <f>'mk 001 10.3'!L380</f>
        <v>0</v>
      </c>
      <c r="M379">
        <f>'mk 001 10.3'!M380</f>
        <v>0</v>
      </c>
      <c r="N379">
        <f>'mk 001 10.3'!N380</f>
        <v>0</v>
      </c>
      <c r="O379">
        <f>'mk 001 10.3'!O380</f>
        <v>0</v>
      </c>
      <c r="P379">
        <f>'mk 001 10.3'!P380</f>
        <v>0</v>
      </c>
      <c r="Q379">
        <f>'mk 001 10.3'!Q380</f>
        <v>0</v>
      </c>
      <c r="R379" s="1">
        <f>'mk 001 10.3'!R380</f>
        <v>0</v>
      </c>
      <c r="S379" s="1">
        <f>'mk 001 10.3'!S380</f>
        <v>0</v>
      </c>
      <c r="T379">
        <f>'mk 001 10.3'!T380</f>
        <v>0</v>
      </c>
      <c r="U379">
        <f>'mk 001 10.3'!U380</f>
        <v>0</v>
      </c>
      <c r="V379">
        <f>'mk 001 10.3'!V380</f>
        <v>0</v>
      </c>
      <c r="W379">
        <f>'mk 001 10.3'!W380</f>
        <v>0</v>
      </c>
      <c r="X379">
        <f>'mk 001 10.3'!X380</f>
        <v>0</v>
      </c>
      <c r="Y379">
        <f t="shared" si="5"/>
        <v>0</v>
      </c>
      <c r="Z379" s="13">
        <f>IF(COUNTIFS(แปลงข้อมูล!H:H,Q379,แปลงข้อมูล!I:I,U379,แปลงข้อมูล!J:J,V379)&gt;0,SUMIFS(แปลงข้อมูล!Q:Q,แปลงข้อมูล!I:I,U379,แปลงข้อมูล!H:H,Q379,แปลงข้อมูล!J:J,V379),'mk 001 10.3'!Z380)</f>
        <v>0</v>
      </c>
      <c r="AA379">
        <f>'mk 001 10.3'!AA380</f>
        <v>0</v>
      </c>
      <c r="AB379">
        <f>'mk 001 10.3'!AB380</f>
        <v>0</v>
      </c>
      <c r="AC379">
        <f>'mk 001 10.3'!AC380</f>
        <v>0</v>
      </c>
      <c r="AD379">
        <f>'mk 001 10.3'!AD380</f>
        <v>0</v>
      </c>
      <c r="AE379">
        <f>'mk 001 10.3'!AE380</f>
        <v>0</v>
      </c>
      <c r="AF379">
        <f>'mk 001 10.3'!AF380</f>
        <v>0</v>
      </c>
      <c r="AG379">
        <f>'mk 001 10.3'!AG380</f>
        <v>0</v>
      </c>
      <c r="AH379">
        <f>'mk 001 10.3'!AH380</f>
        <v>0</v>
      </c>
      <c r="AI379">
        <f>'mk 001 10.3'!AI380</f>
        <v>0</v>
      </c>
      <c r="AJ379">
        <f>'mk 001 10.3'!AJ380</f>
        <v>0</v>
      </c>
      <c r="AK379">
        <f>'mk 001 10.3'!AK380</f>
        <v>0</v>
      </c>
      <c r="AL379">
        <f>'mk 001 10.3'!AL380</f>
        <v>0</v>
      </c>
      <c r="AM379">
        <f>'mk 001 10.3'!AM380</f>
        <v>0</v>
      </c>
      <c r="AN379">
        <f>'mk 001 10.3'!AN380</f>
        <v>0</v>
      </c>
      <c r="AO379">
        <f>'mk 001 10.3'!AO380</f>
        <v>0</v>
      </c>
      <c r="AP379">
        <f>'mk 001 10.3'!AP380</f>
        <v>0</v>
      </c>
      <c r="AQ379">
        <f>'mk 001 10.3'!AQ380</f>
        <v>0</v>
      </c>
      <c r="AR379">
        <f>'mk 001 10.3'!AR380</f>
        <v>0</v>
      </c>
      <c r="AS379">
        <f>'mk 001 10.3'!AS380</f>
        <v>0</v>
      </c>
      <c r="AT379">
        <f>'mk 001 10.3'!AT380</f>
        <v>0</v>
      </c>
      <c r="AU379">
        <f>'mk 001 10.3'!AU380</f>
        <v>0</v>
      </c>
      <c r="AV379">
        <f>'mk 001 10.3'!AV380</f>
        <v>0</v>
      </c>
      <c r="AW379">
        <f>'mk 001 10.3'!AW380</f>
        <v>0</v>
      </c>
      <c r="AX379">
        <f>'mk 001 10.3'!AX380</f>
        <v>0</v>
      </c>
      <c r="AY379">
        <f>'mk 001 10.3'!AY380</f>
        <v>0</v>
      </c>
      <c r="AZ379">
        <f>'mk 001 10.3'!AZ380</f>
        <v>0</v>
      </c>
      <c r="BA379" s="22">
        <f>'mk 001 10.3'!BA380</f>
        <v>0</v>
      </c>
      <c r="BB379">
        <f>'mk 001 10.3'!BB380</f>
        <v>0</v>
      </c>
      <c r="BC379">
        <f>'mk 001 10.3'!BC380</f>
        <v>0</v>
      </c>
      <c r="BD379">
        <f>'mk 001 10.3'!BD380</f>
        <v>0</v>
      </c>
      <c r="BE379">
        <f>'mk 001 10.3'!BE380</f>
        <v>0</v>
      </c>
      <c r="BF379">
        <f>'mk 001 10.3'!BF380</f>
        <v>0</v>
      </c>
      <c r="BG379">
        <f>'mk 001 10.3'!BG380</f>
        <v>0</v>
      </c>
      <c r="BH379">
        <f>'mk 001 10.3'!BH380</f>
        <v>0</v>
      </c>
      <c r="BI379">
        <f>'mk 001 10.3'!BI380</f>
        <v>0</v>
      </c>
      <c r="BJ379">
        <f>'mk 001 10.3'!BJ380</f>
        <v>0</v>
      </c>
      <c r="BK379">
        <f>'mk 001 10.3'!BK380</f>
        <v>0</v>
      </c>
      <c r="BL379">
        <f>'mk 001 10.3'!BL380</f>
        <v>0</v>
      </c>
      <c r="BM379">
        <f>'mk 001 10.3'!BM380</f>
        <v>0</v>
      </c>
      <c r="BN379">
        <f>'mk 001 10.3'!BN380</f>
        <v>0</v>
      </c>
    </row>
    <row r="380" spans="1:66" x14ac:dyDescent="0.35">
      <c r="A380">
        <f>'mk 001 10.3'!A381</f>
        <v>0</v>
      </c>
      <c r="B380">
        <f>'mk 001 10.3'!B381</f>
        <v>0</v>
      </c>
      <c r="C380" s="1">
        <f>'mk 001 10.3'!C381</f>
        <v>0</v>
      </c>
      <c r="D380" s="1">
        <f>'mk 001 10.3'!D381</f>
        <v>0</v>
      </c>
      <c r="E380">
        <f>'mk 001 10.3'!E381</f>
        <v>0</v>
      </c>
      <c r="F380">
        <f>'mk 001 10.3'!F381</f>
        <v>0</v>
      </c>
      <c r="G380">
        <f>'mk 001 10.3'!G381</f>
        <v>0</v>
      </c>
      <c r="H380">
        <f>'mk 001 10.3'!H381</f>
        <v>0</v>
      </c>
      <c r="I380">
        <f>'mk 001 10.3'!I381</f>
        <v>0</v>
      </c>
      <c r="J380">
        <f>'mk 001 10.3'!J381</f>
        <v>0</v>
      </c>
      <c r="K380">
        <f>'mk 001 10.3'!K381</f>
        <v>0</v>
      </c>
      <c r="L380">
        <f>'mk 001 10.3'!L381</f>
        <v>0</v>
      </c>
      <c r="M380">
        <f>'mk 001 10.3'!M381</f>
        <v>0</v>
      </c>
      <c r="N380">
        <f>'mk 001 10.3'!N381</f>
        <v>0</v>
      </c>
      <c r="O380">
        <f>'mk 001 10.3'!O381</f>
        <v>0</v>
      </c>
      <c r="P380">
        <f>'mk 001 10.3'!P381</f>
        <v>0</v>
      </c>
      <c r="Q380">
        <f>'mk 001 10.3'!Q381</f>
        <v>0</v>
      </c>
      <c r="R380" s="1">
        <f>'mk 001 10.3'!R381</f>
        <v>0</v>
      </c>
      <c r="S380" s="1">
        <f>'mk 001 10.3'!S381</f>
        <v>0</v>
      </c>
      <c r="T380">
        <f>'mk 001 10.3'!T381</f>
        <v>0</v>
      </c>
      <c r="U380">
        <f>'mk 001 10.3'!U381</f>
        <v>0</v>
      </c>
      <c r="V380">
        <f>'mk 001 10.3'!V381</f>
        <v>0</v>
      </c>
      <c r="W380">
        <f>'mk 001 10.3'!W381</f>
        <v>0</v>
      </c>
      <c r="X380">
        <f>'mk 001 10.3'!X381</f>
        <v>0</v>
      </c>
      <c r="Y380">
        <f t="shared" si="5"/>
        <v>0</v>
      </c>
      <c r="Z380" s="13">
        <f>IF(COUNTIFS(แปลงข้อมูล!H:H,Q380,แปลงข้อมูล!I:I,U380,แปลงข้อมูล!J:J,V380)&gt;0,SUMIFS(แปลงข้อมูล!Q:Q,แปลงข้อมูล!I:I,U380,แปลงข้อมูล!H:H,Q380,แปลงข้อมูล!J:J,V380),'mk 001 10.3'!Z381)</f>
        <v>0</v>
      </c>
      <c r="AA380">
        <f>'mk 001 10.3'!AA381</f>
        <v>0</v>
      </c>
      <c r="AB380">
        <f>'mk 001 10.3'!AB381</f>
        <v>0</v>
      </c>
      <c r="AC380">
        <f>'mk 001 10.3'!AC381</f>
        <v>0</v>
      </c>
      <c r="AD380">
        <f>'mk 001 10.3'!AD381</f>
        <v>0</v>
      </c>
      <c r="AE380">
        <f>'mk 001 10.3'!AE381</f>
        <v>0</v>
      </c>
      <c r="AF380">
        <f>'mk 001 10.3'!AF381</f>
        <v>0</v>
      </c>
      <c r="AG380">
        <f>'mk 001 10.3'!AG381</f>
        <v>0</v>
      </c>
      <c r="AH380">
        <f>'mk 001 10.3'!AH381</f>
        <v>0</v>
      </c>
      <c r="AI380">
        <f>'mk 001 10.3'!AI381</f>
        <v>0</v>
      </c>
      <c r="AJ380">
        <f>'mk 001 10.3'!AJ381</f>
        <v>0</v>
      </c>
      <c r="AK380">
        <f>'mk 001 10.3'!AK381</f>
        <v>0</v>
      </c>
      <c r="AL380">
        <f>'mk 001 10.3'!AL381</f>
        <v>0</v>
      </c>
      <c r="AM380">
        <f>'mk 001 10.3'!AM381</f>
        <v>0</v>
      </c>
      <c r="AN380">
        <f>'mk 001 10.3'!AN381</f>
        <v>0</v>
      </c>
      <c r="AO380">
        <f>'mk 001 10.3'!AO381</f>
        <v>0</v>
      </c>
      <c r="AP380">
        <f>'mk 001 10.3'!AP381</f>
        <v>0</v>
      </c>
      <c r="AQ380">
        <f>'mk 001 10.3'!AQ381</f>
        <v>0</v>
      </c>
      <c r="AR380">
        <f>'mk 001 10.3'!AR381</f>
        <v>0</v>
      </c>
      <c r="AS380">
        <f>'mk 001 10.3'!AS381</f>
        <v>0</v>
      </c>
      <c r="AT380">
        <f>'mk 001 10.3'!AT381</f>
        <v>0</v>
      </c>
      <c r="AU380">
        <f>'mk 001 10.3'!AU381</f>
        <v>0</v>
      </c>
      <c r="AV380">
        <f>'mk 001 10.3'!AV381</f>
        <v>0</v>
      </c>
      <c r="AW380">
        <f>'mk 001 10.3'!AW381</f>
        <v>0</v>
      </c>
      <c r="AX380">
        <f>'mk 001 10.3'!AX381</f>
        <v>0</v>
      </c>
      <c r="AY380">
        <f>'mk 001 10.3'!AY381</f>
        <v>0</v>
      </c>
      <c r="AZ380">
        <f>'mk 001 10.3'!AZ381</f>
        <v>0</v>
      </c>
      <c r="BA380" s="22">
        <f>'mk 001 10.3'!BA381</f>
        <v>0</v>
      </c>
      <c r="BB380">
        <f>'mk 001 10.3'!BB381</f>
        <v>0</v>
      </c>
      <c r="BC380">
        <f>'mk 001 10.3'!BC381</f>
        <v>0</v>
      </c>
      <c r="BD380">
        <f>'mk 001 10.3'!BD381</f>
        <v>0</v>
      </c>
      <c r="BE380">
        <f>'mk 001 10.3'!BE381</f>
        <v>0</v>
      </c>
      <c r="BF380">
        <f>'mk 001 10.3'!BF381</f>
        <v>0</v>
      </c>
      <c r="BG380">
        <f>'mk 001 10.3'!BG381</f>
        <v>0</v>
      </c>
      <c r="BH380">
        <f>'mk 001 10.3'!BH381</f>
        <v>0</v>
      </c>
      <c r="BI380">
        <f>'mk 001 10.3'!BI381</f>
        <v>0</v>
      </c>
      <c r="BJ380">
        <f>'mk 001 10.3'!BJ381</f>
        <v>0</v>
      </c>
      <c r="BK380">
        <f>'mk 001 10.3'!BK381</f>
        <v>0</v>
      </c>
      <c r="BL380">
        <f>'mk 001 10.3'!BL381</f>
        <v>0</v>
      </c>
      <c r="BM380">
        <f>'mk 001 10.3'!BM381</f>
        <v>0</v>
      </c>
      <c r="BN380">
        <f>'mk 001 10.3'!BN381</f>
        <v>0</v>
      </c>
    </row>
    <row r="381" spans="1:66" x14ac:dyDescent="0.35">
      <c r="A381">
        <f>'mk 001 10.3'!A382</f>
        <v>0</v>
      </c>
      <c r="B381">
        <f>'mk 001 10.3'!B382</f>
        <v>0</v>
      </c>
      <c r="C381" s="1">
        <f>'mk 001 10.3'!C382</f>
        <v>0</v>
      </c>
      <c r="D381" s="1">
        <f>'mk 001 10.3'!D382</f>
        <v>0</v>
      </c>
      <c r="E381">
        <f>'mk 001 10.3'!E382</f>
        <v>0</v>
      </c>
      <c r="F381">
        <f>'mk 001 10.3'!F382</f>
        <v>0</v>
      </c>
      <c r="G381">
        <f>'mk 001 10.3'!G382</f>
        <v>0</v>
      </c>
      <c r="H381">
        <f>'mk 001 10.3'!H382</f>
        <v>0</v>
      </c>
      <c r="I381">
        <f>'mk 001 10.3'!I382</f>
        <v>0</v>
      </c>
      <c r="J381">
        <f>'mk 001 10.3'!J382</f>
        <v>0</v>
      </c>
      <c r="K381">
        <f>'mk 001 10.3'!K382</f>
        <v>0</v>
      </c>
      <c r="L381">
        <f>'mk 001 10.3'!L382</f>
        <v>0</v>
      </c>
      <c r="M381">
        <f>'mk 001 10.3'!M382</f>
        <v>0</v>
      </c>
      <c r="N381">
        <f>'mk 001 10.3'!N382</f>
        <v>0</v>
      </c>
      <c r="O381">
        <f>'mk 001 10.3'!O382</f>
        <v>0</v>
      </c>
      <c r="P381">
        <f>'mk 001 10.3'!P382</f>
        <v>0</v>
      </c>
      <c r="Q381">
        <f>'mk 001 10.3'!Q382</f>
        <v>0</v>
      </c>
      <c r="R381" s="1">
        <f>'mk 001 10.3'!R382</f>
        <v>0</v>
      </c>
      <c r="S381" s="1">
        <f>'mk 001 10.3'!S382</f>
        <v>0</v>
      </c>
      <c r="T381">
        <f>'mk 001 10.3'!T382</f>
        <v>0</v>
      </c>
      <c r="U381">
        <f>'mk 001 10.3'!U382</f>
        <v>0</v>
      </c>
      <c r="V381">
        <f>'mk 001 10.3'!V382</f>
        <v>0</v>
      </c>
      <c r="W381">
        <f>'mk 001 10.3'!W382</f>
        <v>0</v>
      </c>
      <c r="X381">
        <f>'mk 001 10.3'!X382</f>
        <v>0</v>
      </c>
      <c r="Y381">
        <f t="shared" si="5"/>
        <v>0</v>
      </c>
      <c r="Z381" s="13">
        <f>IF(COUNTIFS(แปลงข้อมูล!H:H,Q381,แปลงข้อมูล!I:I,U381,แปลงข้อมูล!J:J,V381)&gt;0,SUMIFS(แปลงข้อมูล!Q:Q,แปลงข้อมูล!I:I,U381,แปลงข้อมูล!H:H,Q381,แปลงข้อมูล!J:J,V381),'mk 001 10.3'!Z382)</f>
        <v>0</v>
      </c>
      <c r="AA381">
        <f>'mk 001 10.3'!AA382</f>
        <v>0</v>
      </c>
      <c r="AB381">
        <f>'mk 001 10.3'!AB382</f>
        <v>0</v>
      </c>
      <c r="AC381">
        <f>'mk 001 10.3'!AC382</f>
        <v>0</v>
      </c>
      <c r="AD381">
        <f>'mk 001 10.3'!AD382</f>
        <v>0</v>
      </c>
      <c r="AE381">
        <f>'mk 001 10.3'!AE382</f>
        <v>0</v>
      </c>
      <c r="AF381">
        <f>'mk 001 10.3'!AF382</f>
        <v>0</v>
      </c>
      <c r="AG381">
        <f>'mk 001 10.3'!AG382</f>
        <v>0</v>
      </c>
      <c r="AH381">
        <f>'mk 001 10.3'!AH382</f>
        <v>0</v>
      </c>
      <c r="AI381">
        <f>'mk 001 10.3'!AI382</f>
        <v>0</v>
      </c>
      <c r="AJ381">
        <f>'mk 001 10.3'!AJ382</f>
        <v>0</v>
      </c>
      <c r="AK381">
        <f>'mk 001 10.3'!AK382</f>
        <v>0</v>
      </c>
      <c r="AL381">
        <f>'mk 001 10.3'!AL382</f>
        <v>0</v>
      </c>
      <c r="AM381">
        <f>'mk 001 10.3'!AM382</f>
        <v>0</v>
      </c>
      <c r="AN381">
        <f>'mk 001 10.3'!AN382</f>
        <v>0</v>
      </c>
      <c r="AO381">
        <f>'mk 001 10.3'!AO382</f>
        <v>0</v>
      </c>
      <c r="AP381">
        <f>'mk 001 10.3'!AP382</f>
        <v>0</v>
      </c>
      <c r="AQ381">
        <f>'mk 001 10.3'!AQ382</f>
        <v>0</v>
      </c>
      <c r="AR381">
        <f>'mk 001 10.3'!AR382</f>
        <v>0</v>
      </c>
      <c r="AS381">
        <f>'mk 001 10.3'!AS382</f>
        <v>0</v>
      </c>
      <c r="AT381">
        <f>'mk 001 10.3'!AT382</f>
        <v>0</v>
      </c>
      <c r="AU381">
        <f>'mk 001 10.3'!AU382</f>
        <v>0</v>
      </c>
      <c r="AV381">
        <f>'mk 001 10.3'!AV382</f>
        <v>0</v>
      </c>
      <c r="AW381">
        <f>'mk 001 10.3'!AW382</f>
        <v>0</v>
      </c>
      <c r="AX381">
        <f>'mk 001 10.3'!AX382</f>
        <v>0</v>
      </c>
      <c r="AY381">
        <f>'mk 001 10.3'!AY382</f>
        <v>0</v>
      </c>
      <c r="AZ381">
        <f>'mk 001 10.3'!AZ382</f>
        <v>0</v>
      </c>
      <c r="BA381" s="22">
        <f>'mk 001 10.3'!BA382</f>
        <v>0</v>
      </c>
      <c r="BB381">
        <f>'mk 001 10.3'!BB382</f>
        <v>0</v>
      </c>
      <c r="BC381">
        <f>'mk 001 10.3'!BC382</f>
        <v>0</v>
      </c>
      <c r="BD381">
        <f>'mk 001 10.3'!BD382</f>
        <v>0</v>
      </c>
      <c r="BE381">
        <f>'mk 001 10.3'!BE382</f>
        <v>0</v>
      </c>
      <c r="BF381">
        <f>'mk 001 10.3'!BF382</f>
        <v>0</v>
      </c>
      <c r="BG381">
        <f>'mk 001 10.3'!BG382</f>
        <v>0</v>
      </c>
      <c r="BH381">
        <f>'mk 001 10.3'!BH382</f>
        <v>0</v>
      </c>
      <c r="BI381">
        <f>'mk 001 10.3'!BI382</f>
        <v>0</v>
      </c>
      <c r="BJ381">
        <f>'mk 001 10.3'!BJ382</f>
        <v>0</v>
      </c>
      <c r="BK381">
        <f>'mk 001 10.3'!BK382</f>
        <v>0</v>
      </c>
      <c r="BL381">
        <f>'mk 001 10.3'!BL382</f>
        <v>0</v>
      </c>
      <c r="BM381">
        <f>'mk 001 10.3'!BM382</f>
        <v>0</v>
      </c>
      <c r="BN381">
        <f>'mk 001 10.3'!BN382</f>
        <v>0</v>
      </c>
    </row>
    <row r="382" spans="1:66" x14ac:dyDescent="0.35">
      <c r="A382">
        <f>'mk 001 10.3'!A383</f>
        <v>0</v>
      </c>
      <c r="B382">
        <f>'mk 001 10.3'!B383</f>
        <v>0</v>
      </c>
      <c r="C382" s="1">
        <f>'mk 001 10.3'!C383</f>
        <v>0</v>
      </c>
      <c r="D382" s="1">
        <f>'mk 001 10.3'!D383</f>
        <v>0</v>
      </c>
      <c r="E382">
        <f>'mk 001 10.3'!E383</f>
        <v>0</v>
      </c>
      <c r="F382">
        <f>'mk 001 10.3'!F383</f>
        <v>0</v>
      </c>
      <c r="G382">
        <f>'mk 001 10.3'!G383</f>
        <v>0</v>
      </c>
      <c r="H382">
        <f>'mk 001 10.3'!H383</f>
        <v>0</v>
      </c>
      <c r="I382">
        <f>'mk 001 10.3'!I383</f>
        <v>0</v>
      </c>
      <c r="J382">
        <f>'mk 001 10.3'!J383</f>
        <v>0</v>
      </c>
      <c r="K382">
        <f>'mk 001 10.3'!K383</f>
        <v>0</v>
      </c>
      <c r="L382">
        <f>'mk 001 10.3'!L383</f>
        <v>0</v>
      </c>
      <c r="M382">
        <f>'mk 001 10.3'!M383</f>
        <v>0</v>
      </c>
      <c r="N382">
        <f>'mk 001 10.3'!N383</f>
        <v>0</v>
      </c>
      <c r="O382">
        <f>'mk 001 10.3'!O383</f>
        <v>0</v>
      </c>
      <c r="P382">
        <f>'mk 001 10.3'!P383</f>
        <v>0</v>
      </c>
      <c r="Q382">
        <f>'mk 001 10.3'!Q383</f>
        <v>0</v>
      </c>
      <c r="R382" s="1">
        <f>'mk 001 10.3'!R383</f>
        <v>0</v>
      </c>
      <c r="S382" s="1">
        <f>'mk 001 10.3'!S383</f>
        <v>0</v>
      </c>
      <c r="T382">
        <f>'mk 001 10.3'!T383</f>
        <v>0</v>
      </c>
      <c r="U382">
        <f>'mk 001 10.3'!U383</f>
        <v>0</v>
      </c>
      <c r="V382">
        <f>'mk 001 10.3'!V383</f>
        <v>0</v>
      </c>
      <c r="W382">
        <f>'mk 001 10.3'!W383</f>
        <v>0</v>
      </c>
      <c r="X382">
        <f>'mk 001 10.3'!X383</f>
        <v>0</v>
      </c>
      <c r="Y382">
        <f t="shared" si="5"/>
        <v>0</v>
      </c>
      <c r="Z382" s="13">
        <f>IF(COUNTIFS(แปลงข้อมูล!H:H,Q382,แปลงข้อมูล!I:I,U382,แปลงข้อมูล!J:J,V382)&gt;0,SUMIFS(แปลงข้อมูล!Q:Q,แปลงข้อมูล!I:I,U382,แปลงข้อมูล!H:H,Q382,แปลงข้อมูล!J:J,V382),'mk 001 10.3'!Z383)</f>
        <v>0</v>
      </c>
      <c r="AA382">
        <f>'mk 001 10.3'!AA383</f>
        <v>0</v>
      </c>
      <c r="AB382">
        <f>'mk 001 10.3'!AB383</f>
        <v>0</v>
      </c>
      <c r="AC382">
        <f>'mk 001 10.3'!AC383</f>
        <v>0</v>
      </c>
      <c r="AD382">
        <f>'mk 001 10.3'!AD383</f>
        <v>0</v>
      </c>
      <c r="AE382">
        <f>'mk 001 10.3'!AE383</f>
        <v>0</v>
      </c>
      <c r="AF382">
        <f>'mk 001 10.3'!AF383</f>
        <v>0</v>
      </c>
      <c r="AG382">
        <f>'mk 001 10.3'!AG383</f>
        <v>0</v>
      </c>
      <c r="AH382">
        <f>'mk 001 10.3'!AH383</f>
        <v>0</v>
      </c>
      <c r="AI382">
        <f>'mk 001 10.3'!AI383</f>
        <v>0</v>
      </c>
      <c r="AJ382">
        <f>'mk 001 10.3'!AJ383</f>
        <v>0</v>
      </c>
      <c r="AK382">
        <f>'mk 001 10.3'!AK383</f>
        <v>0</v>
      </c>
      <c r="AL382">
        <f>'mk 001 10.3'!AL383</f>
        <v>0</v>
      </c>
      <c r="AM382">
        <f>'mk 001 10.3'!AM383</f>
        <v>0</v>
      </c>
      <c r="AN382">
        <f>'mk 001 10.3'!AN383</f>
        <v>0</v>
      </c>
      <c r="AO382">
        <f>'mk 001 10.3'!AO383</f>
        <v>0</v>
      </c>
      <c r="AP382">
        <f>'mk 001 10.3'!AP383</f>
        <v>0</v>
      </c>
      <c r="AQ382">
        <f>'mk 001 10.3'!AQ383</f>
        <v>0</v>
      </c>
      <c r="AR382">
        <f>'mk 001 10.3'!AR383</f>
        <v>0</v>
      </c>
      <c r="AS382">
        <f>'mk 001 10.3'!AS383</f>
        <v>0</v>
      </c>
      <c r="AT382">
        <f>'mk 001 10.3'!AT383</f>
        <v>0</v>
      </c>
      <c r="AU382">
        <f>'mk 001 10.3'!AU383</f>
        <v>0</v>
      </c>
      <c r="AV382">
        <f>'mk 001 10.3'!AV383</f>
        <v>0</v>
      </c>
      <c r="AW382">
        <f>'mk 001 10.3'!AW383</f>
        <v>0</v>
      </c>
      <c r="AX382">
        <f>'mk 001 10.3'!AX383</f>
        <v>0</v>
      </c>
      <c r="AY382">
        <f>'mk 001 10.3'!AY383</f>
        <v>0</v>
      </c>
      <c r="AZ382">
        <f>'mk 001 10.3'!AZ383</f>
        <v>0</v>
      </c>
      <c r="BA382" s="22">
        <f>'mk 001 10.3'!BA383</f>
        <v>0</v>
      </c>
      <c r="BB382">
        <f>'mk 001 10.3'!BB383</f>
        <v>0</v>
      </c>
      <c r="BC382">
        <f>'mk 001 10.3'!BC383</f>
        <v>0</v>
      </c>
      <c r="BD382">
        <f>'mk 001 10.3'!BD383</f>
        <v>0</v>
      </c>
      <c r="BE382">
        <f>'mk 001 10.3'!BE383</f>
        <v>0</v>
      </c>
      <c r="BF382">
        <f>'mk 001 10.3'!BF383</f>
        <v>0</v>
      </c>
      <c r="BG382">
        <f>'mk 001 10.3'!BG383</f>
        <v>0</v>
      </c>
      <c r="BH382">
        <f>'mk 001 10.3'!BH383</f>
        <v>0</v>
      </c>
      <c r="BI382">
        <f>'mk 001 10.3'!BI383</f>
        <v>0</v>
      </c>
      <c r="BJ382">
        <f>'mk 001 10.3'!BJ383</f>
        <v>0</v>
      </c>
      <c r="BK382">
        <f>'mk 001 10.3'!BK383</f>
        <v>0</v>
      </c>
      <c r="BL382">
        <f>'mk 001 10.3'!BL383</f>
        <v>0</v>
      </c>
      <c r="BM382">
        <f>'mk 001 10.3'!BM383</f>
        <v>0</v>
      </c>
      <c r="BN382">
        <f>'mk 001 10.3'!BN383</f>
        <v>0</v>
      </c>
    </row>
    <row r="383" spans="1:66" x14ac:dyDescent="0.35">
      <c r="A383">
        <f>'mk 001 10.3'!A384</f>
        <v>0</v>
      </c>
      <c r="B383">
        <f>'mk 001 10.3'!B384</f>
        <v>0</v>
      </c>
      <c r="C383" s="1">
        <f>'mk 001 10.3'!C384</f>
        <v>0</v>
      </c>
      <c r="D383" s="1">
        <f>'mk 001 10.3'!D384</f>
        <v>0</v>
      </c>
      <c r="E383">
        <f>'mk 001 10.3'!E384</f>
        <v>0</v>
      </c>
      <c r="F383">
        <f>'mk 001 10.3'!F384</f>
        <v>0</v>
      </c>
      <c r="G383">
        <f>'mk 001 10.3'!G384</f>
        <v>0</v>
      </c>
      <c r="H383">
        <f>'mk 001 10.3'!H384</f>
        <v>0</v>
      </c>
      <c r="I383">
        <f>'mk 001 10.3'!I384</f>
        <v>0</v>
      </c>
      <c r="J383">
        <f>'mk 001 10.3'!J384</f>
        <v>0</v>
      </c>
      <c r="K383">
        <f>'mk 001 10.3'!K384</f>
        <v>0</v>
      </c>
      <c r="L383">
        <f>'mk 001 10.3'!L384</f>
        <v>0</v>
      </c>
      <c r="M383">
        <f>'mk 001 10.3'!M384</f>
        <v>0</v>
      </c>
      <c r="N383">
        <f>'mk 001 10.3'!N384</f>
        <v>0</v>
      </c>
      <c r="O383">
        <f>'mk 001 10.3'!O384</f>
        <v>0</v>
      </c>
      <c r="P383">
        <f>'mk 001 10.3'!P384</f>
        <v>0</v>
      </c>
      <c r="Q383">
        <f>'mk 001 10.3'!Q384</f>
        <v>0</v>
      </c>
      <c r="R383" s="1">
        <f>'mk 001 10.3'!R384</f>
        <v>0</v>
      </c>
      <c r="S383" s="1">
        <f>'mk 001 10.3'!S384</f>
        <v>0</v>
      </c>
      <c r="T383">
        <f>'mk 001 10.3'!T384</f>
        <v>0</v>
      </c>
      <c r="U383">
        <f>'mk 001 10.3'!U384</f>
        <v>0</v>
      </c>
      <c r="V383">
        <f>'mk 001 10.3'!V384</f>
        <v>0</v>
      </c>
      <c r="W383">
        <f>'mk 001 10.3'!W384</f>
        <v>0</v>
      </c>
      <c r="X383">
        <f>'mk 001 10.3'!X384</f>
        <v>0</v>
      </c>
      <c r="Y383">
        <f t="shared" si="5"/>
        <v>0</v>
      </c>
      <c r="Z383" s="13">
        <f>IF(COUNTIFS(แปลงข้อมูล!H:H,Q383,แปลงข้อมูล!I:I,U383,แปลงข้อมูล!J:J,V383)&gt;0,SUMIFS(แปลงข้อมูล!Q:Q,แปลงข้อมูล!I:I,U383,แปลงข้อมูล!H:H,Q383,แปลงข้อมูล!J:J,V383),'mk 001 10.3'!Z384)</f>
        <v>0</v>
      </c>
      <c r="AA383">
        <f>'mk 001 10.3'!AA384</f>
        <v>0</v>
      </c>
      <c r="AB383">
        <f>'mk 001 10.3'!AB384</f>
        <v>0</v>
      </c>
      <c r="AC383">
        <f>'mk 001 10.3'!AC384</f>
        <v>0</v>
      </c>
      <c r="AD383">
        <f>'mk 001 10.3'!AD384</f>
        <v>0</v>
      </c>
      <c r="AE383">
        <f>'mk 001 10.3'!AE384</f>
        <v>0</v>
      </c>
      <c r="AF383">
        <f>'mk 001 10.3'!AF384</f>
        <v>0</v>
      </c>
      <c r="AG383">
        <f>'mk 001 10.3'!AG384</f>
        <v>0</v>
      </c>
      <c r="AH383">
        <f>'mk 001 10.3'!AH384</f>
        <v>0</v>
      </c>
      <c r="AI383">
        <f>'mk 001 10.3'!AI384</f>
        <v>0</v>
      </c>
      <c r="AJ383">
        <f>'mk 001 10.3'!AJ384</f>
        <v>0</v>
      </c>
      <c r="AK383">
        <f>'mk 001 10.3'!AK384</f>
        <v>0</v>
      </c>
      <c r="AL383">
        <f>'mk 001 10.3'!AL384</f>
        <v>0</v>
      </c>
      <c r="AM383">
        <f>'mk 001 10.3'!AM384</f>
        <v>0</v>
      </c>
      <c r="AN383">
        <f>'mk 001 10.3'!AN384</f>
        <v>0</v>
      </c>
      <c r="AO383">
        <f>'mk 001 10.3'!AO384</f>
        <v>0</v>
      </c>
      <c r="AP383">
        <f>'mk 001 10.3'!AP384</f>
        <v>0</v>
      </c>
      <c r="AQ383">
        <f>'mk 001 10.3'!AQ384</f>
        <v>0</v>
      </c>
      <c r="AR383">
        <f>'mk 001 10.3'!AR384</f>
        <v>0</v>
      </c>
      <c r="AS383">
        <f>'mk 001 10.3'!AS384</f>
        <v>0</v>
      </c>
      <c r="AT383">
        <f>'mk 001 10.3'!AT384</f>
        <v>0</v>
      </c>
      <c r="AU383">
        <f>'mk 001 10.3'!AU384</f>
        <v>0</v>
      </c>
      <c r="AV383">
        <f>'mk 001 10.3'!AV384</f>
        <v>0</v>
      </c>
      <c r="AW383">
        <f>'mk 001 10.3'!AW384</f>
        <v>0</v>
      </c>
      <c r="AX383">
        <f>'mk 001 10.3'!AX384</f>
        <v>0</v>
      </c>
      <c r="AY383">
        <f>'mk 001 10.3'!AY384</f>
        <v>0</v>
      </c>
      <c r="AZ383">
        <f>'mk 001 10.3'!AZ384</f>
        <v>0</v>
      </c>
      <c r="BA383" s="22">
        <f>'mk 001 10.3'!BA384</f>
        <v>0</v>
      </c>
      <c r="BB383">
        <f>'mk 001 10.3'!BB384</f>
        <v>0</v>
      </c>
      <c r="BC383">
        <f>'mk 001 10.3'!BC384</f>
        <v>0</v>
      </c>
      <c r="BD383">
        <f>'mk 001 10.3'!BD384</f>
        <v>0</v>
      </c>
      <c r="BE383">
        <f>'mk 001 10.3'!BE384</f>
        <v>0</v>
      </c>
      <c r="BF383">
        <f>'mk 001 10.3'!BF384</f>
        <v>0</v>
      </c>
      <c r="BG383">
        <f>'mk 001 10.3'!BG384</f>
        <v>0</v>
      </c>
      <c r="BH383">
        <f>'mk 001 10.3'!BH384</f>
        <v>0</v>
      </c>
      <c r="BI383">
        <f>'mk 001 10.3'!BI384</f>
        <v>0</v>
      </c>
      <c r="BJ383">
        <f>'mk 001 10.3'!BJ384</f>
        <v>0</v>
      </c>
      <c r="BK383">
        <f>'mk 001 10.3'!BK384</f>
        <v>0</v>
      </c>
      <c r="BL383">
        <f>'mk 001 10.3'!BL384</f>
        <v>0</v>
      </c>
      <c r="BM383">
        <f>'mk 001 10.3'!BM384</f>
        <v>0</v>
      </c>
      <c r="BN383">
        <f>'mk 001 10.3'!BN384</f>
        <v>0</v>
      </c>
    </row>
    <row r="384" spans="1:66" x14ac:dyDescent="0.35">
      <c r="A384">
        <f>'mk 001 10.3'!A385</f>
        <v>0</v>
      </c>
      <c r="B384">
        <f>'mk 001 10.3'!B385</f>
        <v>0</v>
      </c>
      <c r="C384" s="1">
        <f>'mk 001 10.3'!C385</f>
        <v>0</v>
      </c>
      <c r="D384" s="1">
        <f>'mk 001 10.3'!D385</f>
        <v>0</v>
      </c>
      <c r="E384">
        <f>'mk 001 10.3'!E385</f>
        <v>0</v>
      </c>
      <c r="F384">
        <f>'mk 001 10.3'!F385</f>
        <v>0</v>
      </c>
      <c r="G384">
        <f>'mk 001 10.3'!G385</f>
        <v>0</v>
      </c>
      <c r="H384">
        <f>'mk 001 10.3'!H385</f>
        <v>0</v>
      </c>
      <c r="I384">
        <f>'mk 001 10.3'!I385</f>
        <v>0</v>
      </c>
      <c r="J384">
        <f>'mk 001 10.3'!J385</f>
        <v>0</v>
      </c>
      <c r="K384">
        <f>'mk 001 10.3'!K385</f>
        <v>0</v>
      </c>
      <c r="L384">
        <f>'mk 001 10.3'!L385</f>
        <v>0</v>
      </c>
      <c r="M384">
        <f>'mk 001 10.3'!M385</f>
        <v>0</v>
      </c>
      <c r="N384">
        <f>'mk 001 10.3'!N385</f>
        <v>0</v>
      </c>
      <c r="O384">
        <f>'mk 001 10.3'!O385</f>
        <v>0</v>
      </c>
      <c r="P384">
        <f>'mk 001 10.3'!P385</f>
        <v>0</v>
      </c>
      <c r="Q384">
        <f>'mk 001 10.3'!Q385</f>
        <v>0</v>
      </c>
      <c r="R384" s="1">
        <f>'mk 001 10.3'!R385</f>
        <v>0</v>
      </c>
      <c r="S384" s="1">
        <f>'mk 001 10.3'!S385</f>
        <v>0</v>
      </c>
      <c r="T384">
        <f>'mk 001 10.3'!T385</f>
        <v>0</v>
      </c>
      <c r="U384">
        <f>'mk 001 10.3'!U385</f>
        <v>0</v>
      </c>
      <c r="V384">
        <f>'mk 001 10.3'!V385</f>
        <v>0</v>
      </c>
      <c r="W384">
        <f>'mk 001 10.3'!W385</f>
        <v>0</v>
      </c>
      <c r="X384">
        <f>'mk 001 10.3'!X385</f>
        <v>0</v>
      </c>
      <c r="Y384">
        <f t="shared" si="5"/>
        <v>0</v>
      </c>
      <c r="Z384" s="13">
        <f>IF(COUNTIFS(แปลงข้อมูล!H:H,Q384,แปลงข้อมูล!I:I,U384,แปลงข้อมูล!J:J,V384)&gt;0,SUMIFS(แปลงข้อมูล!Q:Q,แปลงข้อมูล!I:I,U384,แปลงข้อมูล!H:H,Q384,แปลงข้อมูล!J:J,V384),'mk 001 10.3'!Z385)</f>
        <v>0</v>
      </c>
      <c r="AA384">
        <f>'mk 001 10.3'!AA385</f>
        <v>0</v>
      </c>
      <c r="AB384">
        <f>'mk 001 10.3'!AB385</f>
        <v>0</v>
      </c>
      <c r="AC384">
        <f>'mk 001 10.3'!AC385</f>
        <v>0</v>
      </c>
      <c r="AD384">
        <f>'mk 001 10.3'!AD385</f>
        <v>0</v>
      </c>
      <c r="AE384">
        <f>'mk 001 10.3'!AE385</f>
        <v>0</v>
      </c>
      <c r="AF384">
        <f>'mk 001 10.3'!AF385</f>
        <v>0</v>
      </c>
      <c r="AG384">
        <f>'mk 001 10.3'!AG385</f>
        <v>0</v>
      </c>
      <c r="AH384">
        <f>'mk 001 10.3'!AH385</f>
        <v>0</v>
      </c>
      <c r="AI384">
        <f>'mk 001 10.3'!AI385</f>
        <v>0</v>
      </c>
      <c r="AJ384">
        <f>'mk 001 10.3'!AJ385</f>
        <v>0</v>
      </c>
      <c r="AK384">
        <f>'mk 001 10.3'!AK385</f>
        <v>0</v>
      </c>
      <c r="AL384">
        <f>'mk 001 10.3'!AL385</f>
        <v>0</v>
      </c>
      <c r="AM384">
        <f>'mk 001 10.3'!AM385</f>
        <v>0</v>
      </c>
      <c r="AN384">
        <f>'mk 001 10.3'!AN385</f>
        <v>0</v>
      </c>
      <c r="AO384">
        <f>'mk 001 10.3'!AO385</f>
        <v>0</v>
      </c>
      <c r="AP384">
        <f>'mk 001 10.3'!AP385</f>
        <v>0</v>
      </c>
      <c r="AQ384">
        <f>'mk 001 10.3'!AQ385</f>
        <v>0</v>
      </c>
      <c r="AR384">
        <f>'mk 001 10.3'!AR385</f>
        <v>0</v>
      </c>
      <c r="AS384">
        <f>'mk 001 10.3'!AS385</f>
        <v>0</v>
      </c>
      <c r="AT384">
        <f>'mk 001 10.3'!AT385</f>
        <v>0</v>
      </c>
      <c r="AU384">
        <f>'mk 001 10.3'!AU385</f>
        <v>0</v>
      </c>
      <c r="AV384">
        <f>'mk 001 10.3'!AV385</f>
        <v>0</v>
      </c>
      <c r="AW384">
        <f>'mk 001 10.3'!AW385</f>
        <v>0</v>
      </c>
      <c r="AX384">
        <f>'mk 001 10.3'!AX385</f>
        <v>0</v>
      </c>
      <c r="AY384">
        <f>'mk 001 10.3'!AY385</f>
        <v>0</v>
      </c>
      <c r="AZ384">
        <f>'mk 001 10.3'!AZ385</f>
        <v>0</v>
      </c>
      <c r="BA384" s="22">
        <f>'mk 001 10.3'!BA385</f>
        <v>0</v>
      </c>
      <c r="BB384">
        <f>'mk 001 10.3'!BB385</f>
        <v>0</v>
      </c>
      <c r="BC384">
        <f>'mk 001 10.3'!BC385</f>
        <v>0</v>
      </c>
      <c r="BD384">
        <f>'mk 001 10.3'!BD385</f>
        <v>0</v>
      </c>
      <c r="BE384">
        <f>'mk 001 10.3'!BE385</f>
        <v>0</v>
      </c>
      <c r="BF384">
        <f>'mk 001 10.3'!BF385</f>
        <v>0</v>
      </c>
      <c r="BG384">
        <f>'mk 001 10.3'!BG385</f>
        <v>0</v>
      </c>
      <c r="BH384">
        <f>'mk 001 10.3'!BH385</f>
        <v>0</v>
      </c>
      <c r="BI384">
        <f>'mk 001 10.3'!BI385</f>
        <v>0</v>
      </c>
      <c r="BJ384">
        <f>'mk 001 10.3'!BJ385</f>
        <v>0</v>
      </c>
      <c r="BK384">
        <f>'mk 001 10.3'!BK385</f>
        <v>0</v>
      </c>
      <c r="BL384">
        <f>'mk 001 10.3'!BL385</f>
        <v>0</v>
      </c>
      <c r="BM384">
        <f>'mk 001 10.3'!BM385</f>
        <v>0</v>
      </c>
      <c r="BN384">
        <f>'mk 001 10.3'!BN385</f>
        <v>0</v>
      </c>
    </row>
    <row r="385" spans="1:66" x14ac:dyDescent="0.35">
      <c r="A385">
        <f>'mk 001 10.3'!A386</f>
        <v>0</v>
      </c>
      <c r="B385">
        <f>'mk 001 10.3'!B386</f>
        <v>0</v>
      </c>
      <c r="C385" s="1">
        <f>'mk 001 10.3'!C386</f>
        <v>0</v>
      </c>
      <c r="D385" s="1">
        <f>'mk 001 10.3'!D386</f>
        <v>0</v>
      </c>
      <c r="E385">
        <f>'mk 001 10.3'!E386</f>
        <v>0</v>
      </c>
      <c r="F385">
        <f>'mk 001 10.3'!F386</f>
        <v>0</v>
      </c>
      <c r="G385">
        <f>'mk 001 10.3'!G386</f>
        <v>0</v>
      </c>
      <c r="H385">
        <f>'mk 001 10.3'!H386</f>
        <v>0</v>
      </c>
      <c r="I385">
        <f>'mk 001 10.3'!I386</f>
        <v>0</v>
      </c>
      <c r="J385">
        <f>'mk 001 10.3'!J386</f>
        <v>0</v>
      </c>
      <c r="K385">
        <f>'mk 001 10.3'!K386</f>
        <v>0</v>
      </c>
      <c r="L385">
        <f>'mk 001 10.3'!L386</f>
        <v>0</v>
      </c>
      <c r="M385">
        <f>'mk 001 10.3'!M386</f>
        <v>0</v>
      </c>
      <c r="N385">
        <f>'mk 001 10.3'!N386</f>
        <v>0</v>
      </c>
      <c r="O385">
        <f>'mk 001 10.3'!O386</f>
        <v>0</v>
      </c>
      <c r="P385">
        <f>'mk 001 10.3'!P386</f>
        <v>0</v>
      </c>
      <c r="Q385">
        <f>'mk 001 10.3'!Q386</f>
        <v>0</v>
      </c>
      <c r="R385" s="1">
        <f>'mk 001 10.3'!R386</f>
        <v>0</v>
      </c>
      <c r="S385" s="1">
        <f>'mk 001 10.3'!S386</f>
        <v>0</v>
      </c>
      <c r="T385">
        <f>'mk 001 10.3'!T386</f>
        <v>0</v>
      </c>
      <c r="U385">
        <f>'mk 001 10.3'!U386</f>
        <v>0</v>
      </c>
      <c r="V385">
        <f>'mk 001 10.3'!V386</f>
        <v>0</v>
      </c>
      <c r="W385">
        <f>'mk 001 10.3'!W386</f>
        <v>0</v>
      </c>
      <c r="X385">
        <f>'mk 001 10.3'!X386</f>
        <v>0</v>
      </c>
      <c r="Y385">
        <f t="shared" si="5"/>
        <v>0</v>
      </c>
      <c r="Z385" s="13">
        <f>IF(COUNTIFS(แปลงข้อมูล!H:H,Q385,แปลงข้อมูล!I:I,U385,แปลงข้อมูล!J:J,V385)&gt;0,SUMIFS(แปลงข้อมูล!Q:Q,แปลงข้อมูล!I:I,U385,แปลงข้อมูล!H:H,Q385,แปลงข้อมูล!J:J,V385),'mk 001 10.3'!Z386)</f>
        <v>0</v>
      </c>
      <c r="AA385">
        <f>'mk 001 10.3'!AA386</f>
        <v>0</v>
      </c>
      <c r="AB385">
        <f>'mk 001 10.3'!AB386</f>
        <v>0</v>
      </c>
      <c r="AC385">
        <f>'mk 001 10.3'!AC386</f>
        <v>0</v>
      </c>
      <c r="AD385">
        <f>'mk 001 10.3'!AD386</f>
        <v>0</v>
      </c>
      <c r="AE385">
        <f>'mk 001 10.3'!AE386</f>
        <v>0</v>
      </c>
      <c r="AF385">
        <f>'mk 001 10.3'!AF386</f>
        <v>0</v>
      </c>
      <c r="AG385">
        <f>'mk 001 10.3'!AG386</f>
        <v>0</v>
      </c>
      <c r="AH385">
        <f>'mk 001 10.3'!AH386</f>
        <v>0</v>
      </c>
      <c r="AI385">
        <f>'mk 001 10.3'!AI386</f>
        <v>0</v>
      </c>
      <c r="AJ385">
        <f>'mk 001 10.3'!AJ386</f>
        <v>0</v>
      </c>
      <c r="AK385">
        <f>'mk 001 10.3'!AK386</f>
        <v>0</v>
      </c>
      <c r="AL385">
        <f>'mk 001 10.3'!AL386</f>
        <v>0</v>
      </c>
      <c r="AM385">
        <f>'mk 001 10.3'!AM386</f>
        <v>0</v>
      </c>
      <c r="AN385">
        <f>'mk 001 10.3'!AN386</f>
        <v>0</v>
      </c>
      <c r="AO385">
        <f>'mk 001 10.3'!AO386</f>
        <v>0</v>
      </c>
      <c r="AP385">
        <f>'mk 001 10.3'!AP386</f>
        <v>0</v>
      </c>
      <c r="AQ385">
        <f>'mk 001 10.3'!AQ386</f>
        <v>0</v>
      </c>
      <c r="AR385">
        <f>'mk 001 10.3'!AR386</f>
        <v>0</v>
      </c>
      <c r="AS385">
        <f>'mk 001 10.3'!AS386</f>
        <v>0</v>
      </c>
      <c r="AT385">
        <f>'mk 001 10.3'!AT386</f>
        <v>0</v>
      </c>
      <c r="AU385">
        <f>'mk 001 10.3'!AU386</f>
        <v>0</v>
      </c>
      <c r="AV385">
        <f>'mk 001 10.3'!AV386</f>
        <v>0</v>
      </c>
      <c r="AW385">
        <f>'mk 001 10.3'!AW386</f>
        <v>0</v>
      </c>
      <c r="AX385">
        <f>'mk 001 10.3'!AX386</f>
        <v>0</v>
      </c>
      <c r="AY385">
        <f>'mk 001 10.3'!AY386</f>
        <v>0</v>
      </c>
      <c r="AZ385">
        <f>'mk 001 10.3'!AZ386</f>
        <v>0</v>
      </c>
      <c r="BA385" s="22">
        <f>'mk 001 10.3'!BA386</f>
        <v>0</v>
      </c>
      <c r="BB385">
        <f>'mk 001 10.3'!BB386</f>
        <v>0</v>
      </c>
      <c r="BC385">
        <f>'mk 001 10.3'!BC386</f>
        <v>0</v>
      </c>
      <c r="BD385">
        <f>'mk 001 10.3'!BD386</f>
        <v>0</v>
      </c>
      <c r="BE385">
        <f>'mk 001 10.3'!BE386</f>
        <v>0</v>
      </c>
      <c r="BF385">
        <f>'mk 001 10.3'!BF386</f>
        <v>0</v>
      </c>
      <c r="BG385">
        <f>'mk 001 10.3'!BG386</f>
        <v>0</v>
      </c>
      <c r="BH385">
        <f>'mk 001 10.3'!BH386</f>
        <v>0</v>
      </c>
      <c r="BI385">
        <f>'mk 001 10.3'!BI386</f>
        <v>0</v>
      </c>
      <c r="BJ385">
        <f>'mk 001 10.3'!BJ386</f>
        <v>0</v>
      </c>
      <c r="BK385">
        <f>'mk 001 10.3'!BK386</f>
        <v>0</v>
      </c>
      <c r="BL385">
        <f>'mk 001 10.3'!BL386</f>
        <v>0</v>
      </c>
      <c r="BM385">
        <f>'mk 001 10.3'!BM386</f>
        <v>0</v>
      </c>
      <c r="BN385">
        <f>'mk 001 10.3'!BN386</f>
        <v>0</v>
      </c>
    </row>
    <row r="386" spans="1:66" x14ac:dyDescent="0.35">
      <c r="A386">
        <f>'mk 001 10.3'!A387</f>
        <v>0</v>
      </c>
      <c r="B386">
        <f>'mk 001 10.3'!B387</f>
        <v>0</v>
      </c>
      <c r="C386" s="1">
        <f>'mk 001 10.3'!C387</f>
        <v>0</v>
      </c>
      <c r="D386" s="1">
        <f>'mk 001 10.3'!D387</f>
        <v>0</v>
      </c>
      <c r="E386">
        <f>'mk 001 10.3'!E387</f>
        <v>0</v>
      </c>
      <c r="F386">
        <f>'mk 001 10.3'!F387</f>
        <v>0</v>
      </c>
      <c r="G386">
        <f>'mk 001 10.3'!G387</f>
        <v>0</v>
      </c>
      <c r="H386">
        <f>'mk 001 10.3'!H387</f>
        <v>0</v>
      </c>
      <c r="I386">
        <f>'mk 001 10.3'!I387</f>
        <v>0</v>
      </c>
      <c r="J386">
        <f>'mk 001 10.3'!J387</f>
        <v>0</v>
      </c>
      <c r="K386">
        <f>'mk 001 10.3'!K387</f>
        <v>0</v>
      </c>
      <c r="L386">
        <f>'mk 001 10.3'!L387</f>
        <v>0</v>
      </c>
      <c r="M386">
        <f>'mk 001 10.3'!M387</f>
        <v>0</v>
      </c>
      <c r="N386">
        <f>'mk 001 10.3'!N387</f>
        <v>0</v>
      </c>
      <c r="O386">
        <f>'mk 001 10.3'!O387</f>
        <v>0</v>
      </c>
      <c r="P386">
        <f>'mk 001 10.3'!P387</f>
        <v>0</v>
      </c>
      <c r="Q386">
        <f>'mk 001 10.3'!Q387</f>
        <v>0</v>
      </c>
      <c r="R386" s="1">
        <f>'mk 001 10.3'!R387</f>
        <v>0</v>
      </c>
      <c r="S386" s="1">
        <f>'mk 001 10.3'!S387</f>
        <v>0</v>
      </c>
      <c r="T386">
        <f>'mk 001 10.3'!T387</f>
        <v>0</v>
      </c>
      <c r="U386">
        <f>'mk 001 10.3'!U387</f>
        <v>0</v>
      </c>
      <c r="V386">
        <f>'mk 001 10.3'!V387</f>
        <v>0</v>
      </c>
      <c r="W386">
        <f>'mk 001 10.3'!W387</f>
        <v>0</v>
      </c>
      <c r="X386">
        <f>'mk 001 10.3'!X387</f>
        <v>0</v>
      </c>
      <c r="Y386">
        <f t="shared" si="5"/>
        <v>0</v>
      </c>
      <c r="Z386" s="13">
        <f>IF(COUNTIFS(แปลงข้อมูล!H:H,Q386,แปลงข้อมูล!I:I,U386,แปลงข้อมูล!J:J,V386)&gt;0,SUMIFS(แปลงข้อมูล!Q:Q,แปลงข้อมูล!I:I,U386,แปลงข้อมูล!H:H,Q386,แปลงข้อมูล!J:J,V386),'mk 001 10.3'!Z387)</f>
        <v>0</v>
      </c>
      <c r="AA386">
        <f>'mk 001 10.3'!AA387</f>
        <v>0</v>
      </c>
      <c r="AB386">
        <f>'mk 001 10.3'!AB387</f>
        <v>0</v>
      </c>
      <c r="AC386">
        <f>'mk 001 10.3'!AC387</f>
        <v>0</v>
      </c>
      <c r="AD386">
        <f>'mk 001 10.3'!AD387</f>
        <v>0</v>
      </c>
      <c r="AE386">
        <f>'mk 001 10.3'!AE387</f>
        <v>0</v>
      </c>
      <c r="AF386">
        <f>'mk 001 10.3'!AF387</f>
        <v>0</v>
      </c>
      <c r="AG386">
        <f>'mk 001 10.3'!AG387</f>
        <v>0</v>
      </c>
      <c r="AH386">
        <f>'mk 001 10.3'!AH387</f>
        <v>0</v>
      </c>
      <c r="AI386">
        <f>'mk 001 10.3'!AI387</f>
        <v>0</v>
      </c>
      <c r="AJ386">
        <f>'mk 001 10.3'!AJ387</f>
        <v>0</v>
      </c>
      <c r="AK386">
        <f>'mk 001 10.3'!AK387</f>
        <v>0</v>
      </c>
      <c r="AL386">
        <f>'mk 001 10.3'!AL387</f>
        <v>0</v>
      </c>
      <c r="AM386">
        <f>'mk 001 10.3'!AM387</f>
        <v>0</v>
      </c>
      <c r="AN386">
        <f>'mk 001 10.3'!AN387</f>
        <v>0</v>
      </c>
      <c r="AO386">
        <f>'mk 001 10.3'!AO387</f>
        <v>0</v>
      </c>
      <c r="AP386">
        <f>'mk 001 10.3'!AP387</f>
        <v>0</v>
      </c>
      <c r="AQ386">
        <f>'mk 001 10.3'!AQ387</f>
        <v>0</v>
      </c>
      <c r="AR386">
        <f>'mk 001 10.3'!AR387</f>
        <v>0</v>
      </c>
      <c r="AS386">
        <f>'mk 001 10.3'!AS387</f>
        <v>0</v>
      </c>
      <c r="AT386">
        <f>'mk 001 10.3'!AT387</f>
        <v>0</v>
      </c>
      <c r="AU386">
        <f>'mk 001 10.3'!AU387</f>
        <v>0</v>
      </c>
      <c r="AV386">
        <f>'mk 001 10.3'!AV387</f>
        <v>0</v>
      </c>
      <c r="AW386">
        <f>'mk 001 10.3'!AW387</f>
        <v>0</v>
      </c>
      <c r="AX386">
        <f>'mk 001 10.3'!AX387</f>
        <v>0</v>
      </c>
      <c r="AY386">
        <f>'mk 001 10.3'!AY387</f>
        <v>0</v>
      </c>
      <c r="AZ386">
        <f>'mk 001 10.3'!AZ387</f>
        <v>0</v>
      </c>
      <c r="BA386" s="22">
        <f>'mk 001 10.3'!BA387</f>
        <v>0</v>
      </c>
      <c r="BB386">
        <f>'mk 001 10.3'!BB387</f>
        <v>0</v>
      </c>
      <c r="BC386">
        <f>'mk 001 10.3'!BC387</f>
        <v>0</v>
      </c>
      <c r="BD386">
        <f>'mk 001 10.3'!BD387</f>
        <v>0</v>
      </c>
      <c r="BE386">
        <f>'mk 001 10.3'!BE387</f>
        <v>0</v>
      </c>
      <c r="BF386">
        <f>'mk 001 10.3'!BF387</f>
        <v>0</v>
      </c>
      <c r="BG386">
        <f>'mk 001 10.3'!BG387</f>
        <v>0</v>
      </c>
      <c r="BH386">
        <f>'mk 001 10.3'!BH387</f>
        <v>0</v>
      </c>
      <c r="BI386">
        <f>'mk 001 10.3'!BI387</f>
        <v>0</v>
      </c>
      <c r="BJ386">
        <f>'mk 001 10.3'!BJ387</f>
        <v>0</v>
      </c>
      <c r="BK386">
        <f>'mk 001 10.3'!BK387</f>
        <v>0</v>
      </c>
      <c r="BL386">
        <f>'mk 001 10.3'!BL387</f>
        <v>0</v>
      </c>
      <c r="BM386">
        <f>'mk 001 10.3'!BM387</f>
        <v>0</v>
      </c>
      <c r="BN386">
        <f>'mk 001 10.3'!BN387</f>
        <v>0</v>
      </c>
    </row>
    <row r="387" spans="1:66" x14ac:dyDescent="0.35">
      <c r="A387">
        <f>'mk 001 10.3'!A388</f>
        <v>0</v>
      </c>
      <c r="B387">
        <f>'mk 001 10.3'!B388</f>
        <v>0</v>
      </c>
      <c r="C387" s="1">
        <f>'mk 001 10.3'!C388</f>
        <v>0</v>
      </c>
      <c r="D387" s="1">
        <f>'mk 001 10.3'!D388</f>
        <v>0</v>
      </c>
      <c r="E387">
        <f>'mk 001 10.3'!E388</f>
        <v>0</v>
      </c>
      <c r="F387">
        <f>'mk 001 10.3'!F388</f>
        <v>0</v>
      </c>
      <c r="G387">
        <f>'mk 001 10.3'!G388</f>
        <v>0</v>
      </c>
      <c r="H387">
        <f>'mk 001 10.3'!H388</f>
        <v>0</v>
      </c>
      <c r="I387">
        <f>'mk 001 10.3'!I388</f>
        <v>0</v>
      </c>
      <c r="J387">
        <f>'mk 001 10.3'!J388</f>
        <v>0</v>
      </c>
      <c r="K387">
        <f>'mk 001 10.3'!K388</f>
        <v>0</v>
      </c>
      <c r="L387">
        <f>'mk 001 10.3'!L388</f>
        <v>0</v>
      </c>
      <c r="M387">
        <f>'mk 001 10.3'!M388</f>
        <v>0</v>
      </c>
      <c r="N387">
        <f>'mk 001 10.3'!N388</f>
        <v>0</v>
      </c>
      <c r="O387">
        <f>'mk 001 10.3'!O388</f>
        <v>0</v>
      </c>
      <c r="P387">
        <f>'mk 001 10.3'!P388</f>
        <v>0</v>
      </c>
      <c r="Q387">
        <f>'mk 001 10.3'!Q388</f>
        <v>0</v>
      </c>
      <c r="R387" s="1">
        <f>'mk 001 10.3'!R388</f>
        <v>0</v>
      </c>
      <c r="S387" s="1">
        <f>'mk 001 10.3'!S388</f>
        <v>0</v>
      </c>
      <c r="T387">
        <f>'mk 001 10.3'!T388</f>
        <v>0</v>
      </c>
      <c r="U387">
        <f>'mk 001 10.3'!U388</f>
        <v>0</v>
      </c>
      <c r="V387">
        <f>'mk 001 10.3'!V388</f>
        <v>0</v>
      </c>
      <c r="W387">
        <f>'mk 001 10.3'!W388</f>
        <v>0</v>
      </c>
      <c r="X387">
        <f>'mk 001 10.3'!X388</f>
        <v>0</v>
      </c>
      <c r="Y387">
        <f t="shared" ref="Y387:Y400" si="6">IFERROR(W387*Z387/X387,0)</f>
        <v>0</v>
      </c>
      <c r="Z387" s="13">
        <f>IF(COUNTIFS(แปลงข้อมูล!H:H,Q387,แปลงข้อมูล!I:I,U387,แปลงข้อมูล!J:J,V387)&gt;0,SUMIFS(แปลงข้อมูล!Q:Q,แปลงข้อมูล!I:I,U387,แปลงข้อมูล!H:H,Q387,แปลงข้อมูล!J:J,V387),'mk 001 10.3'!Z388)</f>
        <v>0</v>
      </c>
      <c r="AA387">
        <f>'mk 001 10.3'!AA388</f>
        <v>0</v>
      </c>
      <c r="AB387">
        <f>'mk 001 10.3'!AB388</f>
        <v>0</v>
      </c>
      <c r="AC387">
        <f>'mk 001 10.3'!AC388</f>
        <v>0</v>
      </c>
      <c r="AD387">
        <f>'mk 001 10.3'!AD388</f>
        <v>0</v>
      </c>
      <c r="AE387">
        <f>'mk 001 10.3'!AE388</f>
        <v>0</v>
      </c>
      <c r="AF387">
        <f>'mk 001 10.3'!AF388</f>
        <v>0</v>
      </c>
      <c r="AG387">
        <f>'mk 001 10.3'!AG388</f>
        <v>0</v>
      </c>
      <c r="AH387">
        <f>'mk 001 10.3'!AH388</f>
        <v>0</v>
      </c>
      <c r="AI387">
        <f>'mk 001 10.3'!AI388</f>
        <v>0</v>
      </c>
      <c r="AJ387">
        <f>'mk 001 10.3'!AJ388</f>
        <v>0</v>
      </c>
      <c r="AK387">
        <f>'mk 001 10.3'!AK388</f>
        <v>0</v>
      </c>
      <c r="AL387">
        <f>'mk 001 10.3'!AL388</f>
        <v>0</v>
      </c>
      <c r="AM387">
        <f>'mk 001 10.3'!AM388</f>
        <v>0</v>
      </c>
      <c r="AN387">
        <f>'mk 001 10.3'!AN388</f>
        <v>0</v>
      </c>
      <c r="AO387">
        <f>'mk 001 10.3'!AO388</f>
        <v>0</v>
      </c>
      <c r="AP387">
        <f>'mk 001 10.3'!AP388</f>
        <v>0</v>
      </c>
      <c r="AQ387">
        <f>'mk 001 10.3'!AQ388</f>
        <v>0</v>
      </c>
      <c r="AR387">
        <f>'mk 001 10.3'!AR388</f>
        <v>0</v>
      </c>
      <c r="AS387">
        <f>'mk 001 10.3'!AS388</f>
        <v>0</v>
      </c>
      <c r="AT387">
        <f>'mk 001 10.3'!AT388</f>
        <v>0</v>
      </c>
      <c r="AU387">
        <f>'mk 001 10.3'!AU388</f>
        <v>0</v>
      </c>
      <c r="AV387">
        <f>'mk 001 10.3'!AV388</f>
        <v>0</v>
      </c>
      <c r="AW387">
        <f>'mk 001 10.3'!AW388</f>
        <v>0</v>
      </c>
      <c r="AX387">
        <f>'mk 001 10.3'!AX388</f>
        <v>0</v>
      </c>
      <c r="AY387">
        <f>'mk 001 10.3'!AY388</f>
        <v>0</v>
      </c>
      <c r="AZ387">
        <f>'mk 001 10.3'!AZ388</f>
        <v>0</v>
      </c>
      <c r="BA387" s="22">
        <f>'mk 001 10.3'!BA388</f>
        <v>0</v>
      </c>
      <c r="BB387">
        <f>'mk 001 10.3'!BB388</f>
        <v>0</v>
      </c>
      <c r="BC387">
        <f>'mk 001 10.3'!BC388</f>
        <v>0</v>
      </c>
      <c r="BD387">
        <f>'mk 001 10.3'!BD388</f>
        <v>0</v>
      </c>
      <c r="BE387">
        <f>'mk 001 10.3'!BE388</f>
        <v>0</v>
      </c>
      <c r="BF387">
        <f>'mk 001 10.3'!BF388</f>
        <v>0</v>
      </c>
      <c r="BG387">
        <f>'mk 001 10.3'!BG388</f>
        <v>0</v>
      </c>
      <c r="BH387">
        <f>'mk 001 10.3'!BH388</f>
        <v>0</v>
      </c>
      <c r="BI387">
        <f>'mk 001 10.3'!BI388</f>
        <v>0</v>
      </c>
      <c r="BJ387">
        <f>'mk 001 10.3'!BJ388</f>
        <v>0</v>
      </c>
      <c r="BK387">
        <f>'mk 001 10.3'!BK388</f>
        <v>0</v>
      </c>
      <c r="BL387">
        <f>'mk 001 10.3'!BL388</f>
        <v>0</v>
      </c>
      <c r="BM387">
        <f>'mk 001 10.3'!BM388</f>
        <v>0</v>
      </c>
      <c r="BN387">
        <f>'mk 001 10.3'!BN388</f>
        <v>0</v>
      </c>
    </row>
    <row r="388" spans="1:66" x14ac:dyDescent="0.35">
      <c r="A388">
        <f>'mk 001 10.3'!A389</f>
        <v>0</v>
      </c>
      <c r="B388">
        <f>'mk 001 10.3'!B389</f>
        <v>0</v>
      </c>
      <c r="C388" s="1">
        <f>'mk 001 10.3'!C389</f>
        <v>0</v>
      </c>
      <c r="D388" s="1">
        <f>'mk 001 10.3'!D389</f>
        <v>0</v>
      </c>
      <c r="E388">
        <f>'mk 001 10.3'!E389</f>
        <v>0</v>
      </c>
      <c r="F388">
        <f>'mk 001 10.3'!F389</f>
        <v>0</v>
      </c>
      <c r="G388">
        <f>'mk 001 10.3'!G389</f>
        <v>0</v>
      </c>
      <c r="H388">
        <f>'mk 001 10.3'!H389</f>
        <v>0</v>
      </c>
      <c r="I388">
        <f>'mk 001 10.3'!I389</f>
        <v>0</v>
      </c>
      <c r="J388">
        <f>'mk 001 10.3'!J389</f>
        <v>0</v>
      </c>
      <c r="K388">
        <f>'mk 001 10.3'!K389</f>
        <v>0</v>
      </c>
      <c r="L388">
        <f>'mk 001 10.3'!L389</f>
        <v>0</v>
      </c>
      <c r="M388">
        <f>'mk 001 10.3'!M389</f>
        <v>0</v>
      </c>
      <c r="N388">
        <f>'mk 001 10.3'!N389</f>
        <v>0</v>
      </c>
      <c r="O388">
        <f>'mk 001 10.3'!O389</f>
        <v>0</v>
      </c>
      <c r="P388">
        <f>'mk 001 10.3'!P389</f>
        <v>0</v>
      </c>
      <c r="Q388">
        <f>'mk 001 10.3'!Q389</f>
        <v>0</v>
      </c>
      <c r="R388" s="1">
        <f>'mk 001 10.3'!R389</f>
        <v>0</v>
      </c>
      <c r="S388" s="1">
        <f>'mk 001 10.3'!S389</f>
        <v>0</v>
      </c>
      <c r="T388">
        <f>'mk 001 10.3'!T389</f>
        <v>0</v>
      </c>
      <c r="U388">
        <f>'mk 001 10.3'!U389</f>
        <v>0</v>
      </c>
      <c r="V388">
        <f>'mk 001 10.3'!V389</f>
        <v>0</v>
      </c>
      <c r="W388">
        <f>'mk 001 10.3'!W389</f>
        <v>0</v>
      </c>
      <c r="X388">
        <f>'mk 001 10.3'!X389</f>
        <v>0</v>
      </c>
      <c r="Y388">
        <f t="shared" si="6"/>
        <v>0</v>
      </c>
      <c r="Z388" s="13">
        <f>IF(COUNTIFS(แปลงข้อมูล!H:H,Q388,แปลงข้อมูล!I:I,U388,แปลงข้อมูล!J:J,V388)&gt;0,SUMIFS(แปลงข้อมูล!Q:Q,แปลงข้อมูล!I:I,U388,แปลงข้อมูล!H:H,Q388,แปลงข้อมูล!J:J,V388),'mk 001 10.3'!Z389)</f>
        <v>0</v>
      </c>
      <c r="AA388">
        <f>'mk 001 10.3'!AA389</f>
        <v>0</v>
      </c>
      <c r="AB388">
        <f>'mk 001 10.3'!AB389</f>
        <v>0</v>
      </c>
      <c r="AC388">
        <f>'mk 001 10.3'!AC389</f>
        <v>0</v>
      </c>
      <c r="AD388">
        <f>'mk 001 10.3'!AD389</f>
        <v>0</v>
      </c>
      <c r="AE388">
        <f>'mk 001 10.3'!AE389</f>
        <v>0</v>
      </c>
      <c r="AF388">
        <f>'mk 001 10.3'!AF389</f>
        <v>0</v>
      </c>
      <c r="AG388">
        <f>'mk 001 10.3'!AG389</f>
        <v>0</v>
      </c>
      <c r="AH388">
        <f>'mk 001 10.3'!AH389</f>
        <v>0</v>
      </c>
      <c r="AI388">
        <f>'mk 001 10.3'!AI389</f>
        <v>0</v>
      </c>
      <c r="AJ388">
        <f>'mk 001 10.3'!AJ389</f>
        <v>0</v>
      </c>
      <c r="AK388">
        <f>'mk 001 10.3'!AK389</f>
        <v>0</v>
      </c>
      <c r="AL388">
        <f>'mk 001 10.3'!AL389</f>
        <v>0</v>
      </c>
      <c r="AM388">
        <f>'mk 001 10.3'!AM389</f>
        <v>0</v>
      </c>
      <c r="AN388">
        <f>'mk 001 10.3'!AN389</f>
        <v>0</v>
      </c>
      <c r="AO388">
        <f>'mk 001 10.3'!AO389</f>
        <v>0</v>
      </c>
      <c r="AP388">
        <f>'mk 001 10.3'!AP389</f>
        <v>0</v>
      </c>
      <c r="AQ388">
        <f>'mk 001 10.3'!AQ389</f>
        <v>0</v>
      </c>
      <c r="AR388">
        <f>'mk 001 10.3'!AR389</f>
        <v>0</v>
      </c>
      <c r="AS388">
        <f>'mk 001 10.3'!AS389</f>
        <v>0</v>
      </c>
      <c r="AT388">
        <f>'mk 001 10.3'!AT389</f>
        <v>0</v>
      </c>
      <c r="AU388">
        <f>'mk 001 10.3'!AU389</f>
        <v>0</v>
      </c>
      <c r="AV388">
        <f>'mk 001 10.3'!AV389</f>
        <v>0</v>
      </c>
      <c r="AW388">
        <f>'mk 001 10.3'!AW389</f>
        <v>0</v>
      </c>
      <c r="AX388">
        <f>'mk 001 10.3'!AX389</f>
        <v>0</v>
      </c>
      <c r="AY388">
        <f>'mk 001 10.3'!AY389</f>
        <v>0</v>
      </c>
      <c r="AZ388">
        <f>'mk 001 10.3'!AZ389</f>
        <v>0</v>
      </c>
      <c r="BA388" s="22">
        <f>'mk 001 10.3'!BA389</f>
        <v>0</v>
      </c>
      <c r="BB388">
        <f>'mk 001 10.3'!BB389</f>
        <v>0</v>
      </c>
      <c r="BC388">
        <f>'mk 001 10.3'!BC389</f>
        <v>0</v>
      </c>
      <c r="BD388">
        <f>'mk 001 10.3'!BD389</f>
        <v>0</v>
      </c>
      <c r="BE388">
        <f>'mk 001 10.3'!BE389</f>
        <v>0</v>
      </c>
      <c r="BF388">
        <f>'mk 001 10.3'!BF389</f>
        <v>0</v>
      </c>
      <c r="BG388">
        <f>'mk 001 10.3'!BG389</f>
        <v>0</v>
      </c>
      <c r="BH388">
        <f>'mk 001 10.3'!BH389</f>
        <v>0</v>
      </c>
      <c r="BI388">
        <f>'mk 001 10.3'!BI389</f>
        <v>0</v>
      </c>
      <c r="BJ388">
        <f>'mk 001 10.3'!BJ389</f>
        <v>0</v>
      </c>
      <c r="BK388">
        <f>'mk 001 10.3'!BK389</f>
        <v>0</v>
      </c>
      <c r="BL388">
        <f>'mk 001 10.3'!BL389</f>
        <v>0</v>
      </c>
      <c r="BM388">
        <f>'mk 001 10.3'!BM389</f>
        <v>0</v>
      </c>
      <c r="BN388">
        <f>'mk 001 10.3'!BN389</f>
        <v>0</v>
      </c>
    </row>
    <row r="389" spans="1:66" x14ac:dyDescent="0.35">
      <c r="A389">
        <f>'mk 001 10.3'!A390</f>
        <v>0</v>
      </c>
      <c r="B389">
        <f>'mk 001 10.3'!B390</f>
        <v>0</v>
      </c>
      <c r="C389" s="1">
        <f>'mk 001 10.3'!C390</f>
        <v>0</v>
      </c>
      <c r="D389" s="1">
        <f>'mk 001 10.3'!D390</f>
        <v>0</v>
      </c>
      <c r="E389">
        <f>'mk 001 10.3'!E390</f>
        <v>0</v>
      </c>
      <c r="F389">
        <f>'mk 001 10.3'!F390</f>
        <v>0</v>
      </c>
      <c r="G389">
        <f>'mk 001 10.3'!G390</f>
        <v>0</v>
      </c>
      <c r="H389">
        <f>'mk 001 10.3'!H390</f>
        <v>0</v>
      </c>
      <c r="I389">
        <f>'mk 001 10.3'!I390</f>
        <v>0</v>
      </c>
      <c r="J389">
        <f>'mk 001 10.3'!J390</f>
        <v>0</v>
      </c>
      <c r="K389">
        <f>'mk 001 10.3'!K390</f>
        <v>0</v>
      </c>
      <c r="L389">
        <f>'mk 001 10.3'!L390</f>
        <v>0</v>
      </c>
      <c r="M389">
        <f>'mk 001 10.3'!M390</f>
        <v>0</v>
      </c>
      <c r="N389">
        <f>'mk 001 10.3'!N390</f>
        <v>0</v>
      </c>
      <c r="O389">
        <f>'mk 001 10.3'!O390</f>
        <v>0</v>
      </c>
      <c r="P389">
        <f>'mk 001 10.3'!P390</f>
        <v>0</v>
      </c>
      <c r="Q389">
        <f>'mk 001 10.3'!Q390</f>
        <v>0</v>
      </c>
      <c r="R389" s="1">
        <f>'mk 001 10.3'!R390</f>
        <v>0</v>
      </c>
      <c r="S389" s="1">
        <f>'mk 001 10.3'!S390</f>
        <v>0</v>
      </c>
      <c r="T389">
        <f>'mk 001 10.3'!T390</f>
        <v>0</v>
      </c>
      <c r="U389">
        <f>'mk 001 10.3'!U390</f>
        <v>0</v>
      </c>
      <c r="V389">
        <f>'mk 001 10.3'!V390</f>
        <v>0</v>
      </c>
      <c r="W389">
        <f>'mk 001 10.3'!W390</f>
        <v>0</v>
      </c>
      <c r="X389">
        <f>'mk 001 10.3'!X390</f>
        <v>0</v>
      </c>
      <c r="Y389">
        <f t="shared" si="6"/>
        <v>0</v>
      </c>
      <c r="Z389" s="13">
        <f>IF(COUNTIFS(แปลงข้อมูล!H:H,Q389,แปลงข้อมูล!I:I,U389,แปลงข้อมูล!J:J,V389)&gt;0,SUMIFS(แปลงข้อมูล!Q:Q,แปลงข้อมูล!I:I,U389,แปลงข้อมูล!H:H,Q389,แปลงข้อมูล!J:J,V389),'mk 001 10.3'!Z390)</f>
        <v>0</v>
      </c>
      <c r="AA389">
        <f>'mk 001 10.3'!AA390</f>
        <v>0</v>
      </c>
      <c r="AB389">
        <f>'mk 001 10.3'!AB390</f>
        <v>0</v>
      </c>
      <c r="AC389">
        <f>'mk 001 10.3'!AC390</f>
        <v>0</v>
      </c>
      <c r="AD389">
        <f>'mk 001 10.3'!AD390</f>
        <v>0</v>
      </c>
      <c r="AE389">
        <f>'mk 001 10.3'!AE390</f>
        <v>0</v>
      </c>
      <c r="AF389">
        <f>'mk 001 10.3'!AF390</f>
        <v>0</v>
      </c>
      <c r="AG389">
        <f>'mk 001 10.3'!AG390</f>
        <v>0</v>
      </c>
      <c r="AH389">
        <f>'mk 001 10.3'!AH390</f>
        <v>0</v>
      </c>
      <c r="AI389">
        <f>'mk 001 10.3'!AI390</f>
        <v>0</v>
      </c>
      <c r="AJ389">
        <f>'mk 001 10.3'!AJ390</f>
        <v>0</v>
      </c>
      <c r="AK389">
        <f>'mk 001 10.3'!AK390</f>
        <v>0</v>
      </c>
      <c r="AL389">
        <f>'mk 001 10.3'!AL390</f>
        <v>0</v>
      </c>
      <c r="AM389">
        <f>'mk 001 10.3'!AM390</f>
        <v>0</v>
      </c>
      <c r="AN389">
        <f>'mk 001 10.3'!AN390</f>
        <v>0</v>
      </c>
      <c r="AO389">
        <f>'mk 001 10.3'!AO390</f>
        <v>0</v>
      </c>
      <c r="AP389">
        <f>'mk 001 10.3'!AP390</f>
        <v>0</v>
      </c>
      <c r="AQ389">
        <f>'mk 001 10.3'!AQ390</f>
        <v>0</v>
      </c>
      <c r="AR389">
        <f>'mk 001 10.3'!AR390</f>
        <v>0</v>
      </c>
      <c r="AS389">
        <f>'mk 001 10.3'!AS390</f>
        <v>0</v>
      </c>
      <c r="AT389">
        <f>'mk 001 10.3'!AT390</f>
        <v>0</v>
      </c>
      <c r="AU389">
        <f>'mk 001 10.3'!AU390</f>
        <v>0</v>
      </c>
      <c r="AV389">
        <f>'mk 001 10.3'!AV390</f>
        <v>0</v>
      </c>
      <c r="AW389">
        <f>'mk 001 10.3'!AW390</f>
        <v>0</v>
      </c>
      <c r="AX389">
        <f>'mk 001 10.3'!AX390</f>
        <v>0</v>
      </c>
      <c r="AY389">
        <f>'mk 001 10.3'!AY390</f>
        <v>0</v>
      </c>
      <c r="AZ389">
        <f>'mk 001 10.3'!AZ390</f>
        <v>0</v>
      </c>
      <c r="BA389" s="22">
        <f>'mk 001 10.3'!BA390</f>
        <v>0</v>
      </c>
      <c r="BB389">
        <f>'mk 001 10.3'!BB390</f>
        <v>0</v>
      </c>
      <c r="BC389">
        <f>'mk 001 10.3'!BC390</f>
        <v>0</v>
      </c>
      <c r="BD389">
        <f>'mk 001 10.3'!BD390</f>
        <v>0</v>
      </c>
      <c r="BE389">
        <f>'mk 001 10.3'!BE390</f>
        <v>0</v>
      </c>
      <c r="BF389">
        <f>'mk 001 10.3'!BF390</f>
        <v>0</v>
      </c>
      <c r="BG389">
        <f>'mk 001 10.3'!BG390</f>
        <v>0</v>
      </c>
      <c r="BH389">
        <f>'mk 001 10.3'!BH390</f>
        <v>0</v>
      </c>
      <c r="BI389">
        <f>'mk 001 10.3'!BI390</f>
        <v>0</v>
      </c>
      <c r="BJ389">
        <f>'mk 001 10.3'!BJ390</f>
        <v>0</v>
      </c>
      <c r="BK389">
        <f>'mk 001 10.3'!BK390</f>
        <v>0</v>
      </c>
      <c r="BL389">
        <f>'mk 001 10.3'!BL390</f>
        <v>0</v>
      </c>
      <c r="BM389">
        <f>'mk 001 10.3'!BM390</f>
        <v>0</v>
      </c>
      <c r="BN389">
        <f>'mk 001 10.3'!BN390</f>
        <v>0</v>
      </c>
    </row>
    <row r="390" spans="1:66" x14ac:dyDescent="0.35">
      <c r="A390">
        <f>'mk 001 10.3'!A391</f>
        <v>0</v>
      </c>
      <c r="B390">
        <f>'mk 001 10.3'!B391</f>
        <v>0</v>
      </c>
      <c r="C390" s="1">
        <f>'mk 001 10.3'!C391</f>
        <v>0</v>
      </c>
      <c r="D390" s="1">
        <f>'mk 001 10.3'!D391</f>
        <v>0</v>
      </c>
      <c r="E390">
        <f>'mk 001 10.3'!E391</f>
        <v>0</v>
      </c>
      <c r="F390">
        <f>'mk 001 10.3'!F391</f>
        <v>0</v>
      </c>
      <c r="G390">
        <f>'mk 001 10.3'!G391</f>
        <v>0</v>
      </c>
      <c r="H390">
        <f>'mk 001 10.3'!H391</f>
        <v>0</v>
      </c>
      <c r="I390">
        <f>'mk 001 10.3'!I391</f>
        <v>0</v>
      </c>
      <c r="J390">
        <f>'mk 001 10.3'!J391</f>
        <v>0</v>
      </c>
      <c r="K390">
        <f>'mk 001 10.3'!K391</f>
        <v>0</v>
      </c>
      <c r="L390">
        <f>'mk 001 10.3'!L391</f>
        <v>0</v>
      </c>
      <c r="M390">
        <f>'mk 001 10.3'!M391</f>
        <v>0</v>
      </c>
      <c r="N390">
        <f>'mk 001 10.3'!N391</f>
        <v>0</v>
      </c>
      <c r="O390">
        <f>'mk 001 10.3'!O391</f>
        <v>0</v>
      </c>
      <c r="P390">
        <f>'mk 001 10.3'!P391</f>
        <v>0</v>
      </c>
      <c r="Q390">
        <f>'mk 001 10.3'!Q391</f>
        <v>0</v>
      </c>
      <c r="R390" s="1">
        <f>'mk 001 10.3'!R391</f>
        <v>0</v>
      </c>
      <c r="S390" s="1">
        <f>'mk 001 10.3'!S391</f>
        <v>0</v>
      </c>
      <c r="T390">
        <f>'mk 001 10.3'!T391</f>
        <v>0</v>
      </c>
      <c r="U390">
        <f>'mk 001 10.3'!U391</f>
        <v>0</v>
      </c>
      <c r="V390">
        <f>'mk 001 10.3'!V391</f>
        <v>0</v>
      </c>
      <c r="W390">
        <f>'mk 001 10.3'!W391</f>
        <v>0</v>
      </c>
      <c r="X390">
        <f>'mk 001 10.3'!X391</f>
        <v>0</v>
      </c>
      <c r="Y390">
        <f t="shared" si="6"/>
        <v>0</v>
      </c>
      <c r="Z390" s="13">
        <f>IF(COUNTIFS(แปลงข้อมูล!H:H,Q390,แปลงข้อมูล!I:I,U390,แปลงข้อมูล!J:J,V390)&gt;0,SUMIFS(แปลงข้อมูล!Q:Q,แปลงข้อมูล!I:I,U390,แปลงข้อมูล!H:H,Q390,แปลงข้อมูล!J:J,V390),'mk 001 10.3'!Z391)</f>
        <v>0</v>
      </c>
      <c r="AA390">
        <f>'mk 001 10.3'!AA391</f>
        <v>0</v>
      </c>
      <c r="AB390">
        <f>'mk 001 10.3'!AB391</f>
        <v>0</v>
      </c>
      <c r="AC390">
        <f>'mk 001 10.3'!AC391</f>
        <v>0</v>
      </c>
      <c r="AD390">
        <f>'mk 001 10.3'!AD391</f>
        <v>0</v>
      </c>
      <c r="AE390">
        <f>'mk 001 10.3'!AE391</f>
        <v>0</v>
      </c>
      <c r="AF390">
        <f>'mk 001 10.3'!AF391</f>
        <v>0</v>
      </c>
      <c r="AG390">
        <f>'mk 001 10.3'!AG391</f>
        <v>0</v>
      </c>
      <c r="AH390">
        <f>'mk 001 10.3'!AH391</f>
        <v>0</v>
      </c>
      <c r="AI390">
        <f>'mk 001 10.3'!AI391</f>
        <v>0</v>
      </c>
      <c r="AJ390">
        <f>'mk 001 10.3'!AJ391</f>
        <v>0</v>
      </c>
      <c r="AK390">
        <f>'mk 001 10.3'!AK391</f>
        <v>0</v>
      </c>
      <c r="AL390">
        <f>'mk 001 10.3'!AL391</f>
        <v>0</v>
      </c>
      <c r="AM390">
        <f>'mk 001 10.3'!AM391</f>
        <v>0</v>
      </c>
      <c r="AN390">
        <f>'mk 001 10.3'!AN391</f>
        <v>0</v>
      </c>
      <c r="AO390">
        <f>'mk 001 10.3'!AO391</f>
        <v>0</v>
      </c>
      <c r="AP390">
        <f>'mk 001 10.3'!AP391</f>
        <v>0</v>
      </c>
      <c r="AQ390">
        <f>'mk 001 10.3'!AQ391</f>
        <v>0</v>
      </c>
      <c r="AR390">
        <f>'mk 001 10.3'!AR391</f>
        <v>0</v>
      </c>
      <c r="AS390">
        <f>'mk 001 10.3'!AS391</f>
        <v>0</v>
      </c>
      <c r="AT390">
        <f>'mk 001 10.3'!AT391</f>
        <v>0</v>
      </c>
      <c r="AU390">
        <f>'mk 001 10.3'!AU391</f>
        <v>0</v>
      </c>
      <c r="AV390">
        <f>'mk 001 10.3'!AV391</f>
        <v>0</v>
      </c>
      <c r="AW390">
        <f>'mk 001 10.3'!AW391</f>
        <v>0</v>
      </c>
      <c r="AX390">
        <f>'mk 001 10.3'!AX391</f>
        <v>0</v>
      </c>
      <c r="AY390">
        <f>'mk 001 10.3'!AY391</f>
        <v>0</v>
      </c>
      <c r="AZ390">
        <f>'mk 001 10.3'!AZ391</f>
        <v>0</v>
      </c>
      <c r="BA390" s="22">
        <f>'mk 001 10.3'!BA391</f>
        <v>0</v>
      </c>
      <c r="BB390">
        <f>'mk 001 10.3'!BB391</f>
        <v>0</v>
      </c>
      <c r="BC390">
        <f>'mk 001 10.3'!BC391</f>
        <v>0</v>
      </c>
      <c r="BD390">
        <f>'mk 001 10.3'!BD391</f>
        <v>0</v>
      </c>
      <c r="BE390">
        <f>'mk 001 10.3'!BE391</f>
        <v>0</v>
      </c>
      <c r="BF390">
        <f>'mk 001 10.3'!BF391</f>
        <v>0</v>
      </c>
      <c r="BG390">
        <f>'mk 001 10.3'!BG391</f>
        <v>0</v>
      </c>
      <c r="BH390">
        <f>'mk 001 10.3'!BH391</f>
        <v>0</v>
      </c>
      <c r="BI390">
        <f>'mk 001 10.3'!BI391</f>
        <v>0</v>
      </c>
      <c r="BJ390">
        <f>'mk 001 10.3'!BJ391</f>
        <v>0</v>
      </c>
      <c r="BK390">
        <f>'mk 001 10.3'!BK391</f>
        <v>0</v>
      </c>
      <c r="BL390">
        <f>'mk 001 10.3'!BL391</f>
        <v>0</v>
      </c>
      <c r="BM390">
        <f>'mk 001 10.3'!BM391</f>
        <v>0</v>
      </c>
      <c r="BN390">
        <f>'mk 001 10.3'!BN391</f>
        <v>0</v>
      </c>
    </row>
    <row r="391" spans="1:66" x14ac:dyDescent="0.35">
      <c r="A391">
        <f>'mk 001 10.3'!A392</f>
        <v>0</v>
      </c>
      <c r="B391">
        <f>'mk 001 10.3'!B392</f>
        <v>0</v>
      </c>
      <c r="C391" s="1">
        <f>'mk 001 10.3'!C392</f>
        <v>0</v>
      </c>
      <c r="D391" s="1">
        <f>'mk 001 10.3'!D392</f>
        <v>0</v>
      </c>
      <c r="E391">
        <f>'mk 001 10.3'!E392</f>
        <v>0</v>
      </c>
      <c r="F391">
        <f>'mk 001 10.3'!F392</f>
        <v>0</v>
      </c>
      <c r="G391">
        <f>'mk 001 10.3'!G392</f>
        <v>0</v>
      </c>
      <c r="H391">
        <f>'mk 001 10.3'!H392</f>
        <v>0</v>
      </c>
      <c r="I391">
        <f>'mk 001 10.3'!I392</f>
        <v>0</v>
      </c>
      <c r="J391">
        <f>'mk 001 10.3'!J392</f>
        <v>0</v>
      </c>
      <c r="K391">
        <f>'mk 001 10.3'!K392</f>
        <v>0</v>
      </c>
      <c r="L391">
        <f>'mk 001 10.3'!L392</f>
        <v>0</v>
      </c>
      <c r="M391">
        <f>'mk 001 10.3'!M392</f>
        <v>0</v>
      </c>
      <c r="N391">
        <f>'mk 001 10.3'!N392</f>
        <v>0</v>
      </c>
      <c r="O391">
        <f>'mk 001 10.3'!O392</f>
        <v>0</v>
      </c>
      <c r="P391">
        <f>'mk 001 10.3'!P392</f>
        <v>0</v>
      </c>
      <c r="Q391">
        <f>'mk 001 10.3'!Q392</f>
        <v>0</v>
      </c>
      <c r="R391" s="1">
        <f>'mk 001 10.3'!R392</f>
        <v>0</v>
      </c>
      <c r="S391" s="1">
        <f>'mk 001 10.3'!S392</f>
        <v>0</v>
      </c>
      <c r="T391">
        <f>'mk 001 10.3'!T392</f>
        <v>0</v>
      </c>
      <c r="U391">
        <f>'mk 001 10.3'!U392</f>
        <v>0</v>
      </c>
      <c r="V391">
        <f>'mk 001 10.3'!V392</f>
        <v>0</v>
      </c>
      <c r="W391">
        <f>'mk 001 10.3'!W392</f>
        <v>0</v>
      </c>
      <c r="X391">
        <f>'mk 001 10.3'!X392</f>
        <v>0</v>
      </c>
      <c r="Y391">
        <f t="shared" si="6"/>
        <v>0</v>
      </c>
      <c r="Z391" s="13">
        <f>IF(COUNTIFS(แปลงข้อมูล!H:H,Q391,แปลงข้อมูล!I:I,U391,แปลงข้อมูล!J:J,V391)&gt;0,SUMIFS(แปลงข้อมูล!Q:Q,แปลงข้อมูล!I:I,U391,แปลงข้อมูล!H:H,Q391,แปลงข้อมูล!J:J,V391),'mk 001 10.3'!Z392)</f>
        <v>0</v>
      </c>
      <c r="AA391">
        <f>'mk 001 10.3'!AA392</f>
        <v>0</v>
      </c>
      <c r="AB391">
        <f>'mk 001 10.3'!AB392</f>
        <v>0</v>
      </c>
      <c r="AC391">
        <f>'mk 001 10.3'!AC392</f>
        <v>0</v>
      </c>
      <c r="AD391">
        <f>'mk 001 10.3'!AD392</f>
        <v>0</v>
      </c>
      <c r="AE391">
        <f>'mk 001 10.3'!AE392</f>
        <v>0</v>
      </c>
      <c r="AF391">
        <f>'mk 001 10.3'!AF392</f>
        <v>0</v>
      </c>
      <c r="AG391">
        <f>'mk 001 10.3'!AG392</f>
        <v>0</v>
      </c>
      <c r="AH391">
        <f>'mk 001 10.3'!AH392</f>
        <v>0</v>
      </c>
      <c r="AI391">
        <f>'mk 001 10.3'!AI392</f>
        <v>0</v>
      </c>
      <c r="AJ391">
        <f>'mk 001 10.3'!AJ392</f>
        <v>0</v>
      </c>
      <c r="AK391">
        <f>'mk 001 10.3'!AK392</f>
        <v>0</v>
      </c>
      <c r="AL391">
        <f>'mk 001 10.3'!AL392</f>
        <v>0</v>
      </c>
      <c r="AM391">
        <f>'mk 001 10.3'!AM392</f>
        <v>0</v>
      </c>
      <c r="AN391">
        <f>'mk 001 10.3'!AN392</f>
        <v>0</v>
      </c>
      <c r="AO391">
        <f>'mk 001 10.3'!AO392</f>
        <v>0</v>
      </c>
      <c r="AP391">
        <f>'mk 001 10.3'!AP392</f>
        <v>0</v>
      </c>
      <c r="AQ391">
        <f>'mk 001 10.3'!AQ392</f>
        <v>0</v>
      </c>
      <c r="AR391">
        <f>'mk 001 10.3'!AR392</f>
        <v>0</v>
      </c>
      <c r="AS391">
        <f>'mk 001 10.3'!AS392</f>
        <v>0</v>
      </c>
      <c r="AT391">
        <f>'mk 001 10.3'!AT392</f>
        <v>0</v>
      </c>
      <c r="AU391">
        <f>'mk 001 10.3'!AU392</f>
        <v>0</v>
      </c>
      <c r="AV391">
        <f>'mk 001 10.3'!AV392</f>
        <v>0</v>
      </c>
      <c r="AW391">
        <f>'mk 001 10.3'!AW392</f>
        <v>0</v>
      </c>
      <c r="AX391">
        <f>'mk 001 10.3'!AX392</f>
        <v>0</v>
      </c>
      <c r="AY391">
        <f>'mk 001 10.3'!AY392</f>
        <v>0</v>
      </c>
      <c r="AZ391">
        <f>'mk 001 10.3'!AZ392</f>
        <v>0</v>
      </c>
      <c r="BA391" s="22">
        <f>'mk 001 10.3'!BA392</f>
        <v>0</v>
      </c>
      <c r="BB391">
        <f>'mk 001 10.3'!BB392</f>
        <v>0</v>
      </c>
      <c r="BC391">
        <f>'mk 001 10.3'!BC392</f>
        <v>0</v>
      </c>
      <c r="BD391">
        <f>'mk 001 10.3'!BD392</f>
        <v>0</v>
      </c>
      <c r="BE391">
        <f>'mk 001 10.3'!BE392</f>
        <v>0</v>
      </c>
      <c r="BF391">
        <f>'mk 001 10.3'!BF392</f>
        <v>0</v>
      </c>
      <c r="BG391">
        <f>'mk 001 10.3'!BG392</f>
        <v>0</v>
      </c>
      <c r="BH391">
        <f>'mk 001 10.3'!BH392</f>
        <v>0</v>
      </c>
      <c r="BI391">
        <f>'mk 001 10.3'!BI392</f>
        <v>0</v>
      </c>
      <c r="BJ391">
        <f>'mk 001 10.3'!BJ392</f>
        <v>0</v>
      </c>
      <c r="BK391">
        <f>'mk 001 10.3'!BK392</f>
        <v>0</v>
      </c>
      <c r="BL391">
        <f>'mk 001 10.3'!BL392</f>
        <v>0</v>
      </c>
      <c r="BM391">
        <f>'mk 001 10.3'!BM392</f>
        <v>0</v>
      </c>
      <c r="BN391">
        <f>'mk 001 10.3'!BN392</f>
        <v>0</v>
      </c>
    </row>
    <row r="392" spans="1:66" x14ac:dyDescent="0.35">
      <c r="A392">
        <f>'mk 001 10.3'!A393</f>
        <v>0</v>
      </c>
      <c r="B392">
        <f>'mk 001 10.3'!B393</f>
        <v>0</v>
      </c>
      <c r="C392" s="1">
        <f>'mk 001 10.3'!C393</f>
        <v>0</v>
      </c>
      <c r="D392" s="1">
        <f>'mk 001 10.3'!D393</f>
        <v>0</v>
      </c>
      <c r="E392">
        <f>'mk 001 10.3'!E393</f>
        <v>0</v>
      </c>
      <c r="F392">
        <f>'mk 001 10.3'!F393</f>
        <v>0</v>
      </c>
      <c r="G392">
        <f>'mk 001 10.3'!G393</f>
        <v>0</v>
      </c>
      <c r="H392">
        <f>'mk 001 10.3'!H393</f>
        <v>0</v>
      </c>
      <c r="I392">
        <f>'mk 001 10.3'!I393</f>
        <v>0</v>
      </c>
      <c r="J392">
        <f>'mk 001 10.3'!J393</f>
        <v>0</v>
      </c>
      <c r="K392">
        <f>'mk 001 10.3'!K393</f>
        <v>0</v>
      </c>
      <c r="L392">
        <f>'mk 001 10.3'!L393</f>
        <v>0</v>
      </c>
      <c r="M392">
        <f>'mk 001 10.3'!M393</f>
        <v>0</v>
      </c>
      <c r="N392">
        <f>'mk 001 10.3'!N393</f>
        <v>0</v>
      </c>
      <c r="O392">
        <f>'mk 001 10.3'!O393</f>
        <v>0</v>
      </c>
      <c r="P392">
        <f>'mk 001 10.3'!P393</f>
        <v>0</v>
      </c>
      <c r="Q392">
        <f>'mk 001 10.3'!Q393</f>
        <v>0</v>
      </c>
      <c r="R392" s="1">
        <f>'mk 001 10.3'!R393</f>
        <v>0</v>
      </c>
      <c r="S392" s="1">
        <f>'mk 001 10.3'!S393</f>
        <v>0</v>
      </c>
      <c r="T392">
        <f>'mk 001 10.3'!T393</f>
        <v>0</v>
      </c>
      <c r="U392">
        <f>'mk 001 10.3'!U393</f>
        <v>0</v>
      </c>
      <c r="V392">
        <f>'mk 001 10.3'!V393</f>
        <v>0</v>
      </c>
      <c r="W392">
        <f>'mk 001 10.3'!W393</f>
        <v>0</v>
      </c>
      <c r="X392">
        <f>'mk 001 10.3'!X393</f>
        <v>0</v>
      </c>
      <c r="Y392">
        <f t="shared" si="6"/>
        <v>0</v>
      </c>
      <c r="Z392" s="13">
        <f>IF(COUNTIFS(แปลงข้อมูล!H:H,Q392,แปลงข้อมูล!I:I,U392,แปลงข้อมูล!J:J,V392)&gt;0,SUMIFS(แปลงข้อมูล!Q:Q,แปลงข้อมูล!I:I,U392,แปลงข้อมูล!H:H,Q392,แปลงข้อมูล!J:J,V392),'mk 001 10.3'!Z393)</f>
        <v>0</v>
      </c>
      <c r="AA392">
        <f>'mk 001 10.3'!AA393</f>
        <v>0</v>
      </c>
      <c r="AB392">
        <f>'mk 001 10.3'!AB393</f>
        <v>0</v>
      </c>
      <c r="AC392">
        <f>'mk 001 10.3'!AC393</f>
        <v>0</v>
      </c>
      <c r="AD392">
        <f>'mk 001 10.3'!AD393</f>
        <v>0</v>
      </c>
      <c r="AE392">
        <f>'mk 001 10.3'!AE393</f>
        <v>0</v>
      </c>
      <c r="AF392">
        <f>'mk 001 10.3'!AF393</f>
        <v>0</v>
      </c>
      <c r="AG392">
        <f>'mk 001 10.3'!AG393</f>
        <v>0</v>
      </c>
      <c r="AH392">
        <f>'mk 001 10.3'!AH393</f>
        <v>0</v>
      </c>
      <c r="AI392">
        <f>'mk 001 10.3'!AI393</f>
        <v>0</v>
      </c>
      <c r="AJ392">
        <f>'mk 001 10.3'!AJ393</f>
        <v>0</v>
      </c>
      <c r="AK392">
        <f>'mk 001 10.3'!AK393</f>
        <v>0</v>
      </c>
      <c r="AL392">
        <f>'mk 001 10.3'!AL393</f>
        <v>0</v>
      </c>
      <c r="AM392">
        <f>'mk 001 10.3'!AM393</f>
        <v>0</v>
      </c>
      <c r="AN392">
        <f>'mk 001 10.3'!AN393</f>
        <v>0</v>
      </c>
      <c r="AO392">
        <f>'mk 001 10.3'!AO393</f>
        <v>0</v>
      </c>
      <c r="AP392">
        <f>'mk 001 10.3'!AP393</f>
        <v>0</v>
      </c>
      <c r="AQ392">
        <f>'mk 001 10.3'!AQ393</f>
        <v>0</v>
      </c>
      <c r="AR392">
        <f>'mk 001 10.3'!AR393</f>
        <v>0</v>
      </c>
      <c r="AS392">
        <f>'mk 001 10.3'!AS393</f>
        <v>0</v>
      </c>
      <c r="AT392">
        <f>'mk 001 10.3'!AT393</f>
        <v>0</v>
      </c>
      <c r="AU392">
        <f>'mk 001 10.3'!AU393</f>
        <v>0</v>
      </c>
      <c r="AV392">
        <f>'mk 001 10.3'!AV393</f>
        <v>0</v>
      </c>
      <c r="AW392">
        <f>'mk 001 10.3'!AW393</f>
        <v>0</v>
      </c>
      <c r="AX392">
        <f>'mk 001 10.3'!AX393</f>
        <v>0</v>
      </c>
      <c r="AY392">
        <f>'mk 001 10.3'!AY393</f>
        <v>0</v>
      </c>
      <c r="AZ392">
        <f>'mk 001 10.3'!AZ393</f>
        <v>0</v>
      </c>
      <c r="BA392" s="22">
        <f>'mk 001 10.3'!BA393</f>
        <v>0</v>
      </c>
      <c r="BB392">
        <f>'mk 001 10.3'!BB393</f>
        <v>0</v>
      </c>
      <c r="BC392">
        <f>'mk 001 10.3'!BC393</f>
        <v>0</v>
      </c>
      <c r="BD392">
        <f>'mk 001 10.3'!BD393</f>
        <v>0</v>
      </c>
      <c r="BE392">
        <f>'mk 001 10.3'!BE393</f>
        <v>0</v>
      </c>
      <c r="BF392">
        <f>'mk 001 10.3'!BF393</f>
        <v>0</v>
      </c>
      <c r="BG392">
        <f>'mk 001 10.3'!BG393</f>
        <v>0</v>
      </c>
      <c r="BH392">
        <f>'mk 001 10.3'!BH393</f>
        <v>0</v>
      </c>
      <c r="BI392">
        <f>'mk 001 10.3'!BI393</f>
        <v>0</v>
      </c>
      <c r="BJ392">
        <f>'mk 001 10.3'!BJ393</f>
        <v>0</v>
      </c>
      <c r="BK392">
        <f>'mk 001 10.3'!BK393</f>
        <v>0</v>
      </c>
      <c r="BL392">
        <f>'mk 001 10.3'!BL393</f>
        <v>0</v>
      </c>
      <c r="BM392">
        <f>'mk 001 10.3'!BM393</f>
        <v>0</v>
      </c>
      <c r="BN392">
        <f>'mk 001 10.3'!BN393</f>
        <v>0</v>
      </c>
    </row>
    <row r="393" spans="1:66" x14ac:dyDescent="0.35">
      <c r="A393">
        <f>'mk 001 10.3'!A394</f>
        <v>0</v>
      </c>
      <c r="B393">
        <f>'mk 001 10.3'!B394</f>
        <v>0</v>
      </c>
      <c r="C393" s="1">
        <f>'mk 001 10.3'!C394</f>
        <v>0</v>
      </c>
      <c r="D393" s="1">
        <f>'mk 001 10.3'!D394</f>
        <v>0</v>
      </c>
      <c r="E393">
        <f>'mk 001 10.3'!E394</f>
        <v>0</v>
      </c>
      <c r="F393">
        <f>'mk 001 10.3'!F394</f>
        <v>0</v>
      </c>
      <c r="G393">
        <f>'mk 001 10.3'!G394</f>
        <v>0</v>
      </c>
      <c r="H393">
        <f>'mk 001 10.3'!H394</f>
        <v>0</v>
      </c>
      <c r="I393">
        <f>'mk 001 10.3'!I394</f>
        <v>0</v>
      </c>
      <c r="J393">
        <f>'mk 001 10.3'!J394</f>
        <v>0</v>
      </c>
      <c r="K393">
        <f>'mk 001 10.3'!K394</f>
        <v>0</v>
      </c>
      <c r="L393">
        <f>'mk 001 10.3'!L394</f>
        <v>0</v>
      </c>
      <c r="M393">
        <f>'mk 001 10.3'!M394</f>
        <v>0</v>
      </c>
      <c r="N393">
        <f>'mk 001 10.3'!N394</f>
        <v>0</v>
      </c>
      <c r="O393">
        <f>'mk 001 10.3'!O394</f>
        <v>0</v>
      </c>
      <c r="P393">
        <f>'mk 001 10.3'!P394</f>
        <v>0</v>
      </c>
      <c r="Q393">
        <f>'mk 001 10.3'!Q394</f>
        <v>0</v>
      </c>
      <c r="R393" s="1">
        <f>'mk 001 10.3'!R394</f>
        <v>0</v>
      </c>
      <c r="S393" s="1">
        <f>'mk 001 10.3'!S394</f>
        <v>0</v>
      </c>
      <c r="T393">
        <f>'mk 001 10.3'!T394</f>
        <v>0</v>
      </c>
      <c r="U393">
        <f>'mk 001 10.3'!U394</f>
        <v>0</v>
      </c>
      <c r="V393">
        <f>'mk 001 10.3'!V394</f>
        <v>0</v>
      </c>
      <c r="W393">
        <f>'mk 001 10.3'!W394</f>
        <v>0</v>
      </c>
      <c r="X393">
        <f>'mk 001 10.3'!X394</f>
        <v>0</v>
      </c>
      <c r="Y393">
        <f t="shared" si="6"/>
        <v>0</v>
      </c>
      <c r="Z393" s="13">
        <f>IF(COUNTIFS(แปลงข้อมูล!H:H,Q393,แปลงข้อมูล!I:I,U393,แปลงข้อมูล!J:J,V393)&gt;0,SUMIFS(แปลงข้อมูล!Q:Q,แปลงข้อมูล!I:I,U393,แปลงข้อมูล!H:H,Q393,แปลงข้อมูล!J:J,V393),'mk 001 10.3'!Z394)</f>
        <v>0</v>
      </c>
      <c r="AA393">
        <f>'mk 001 10.3'!AA394</f>
        <v>0</v>
      </c>
      <c r="AB393">
        <f>'mk 001 10.3'!AB394</f>
        <v>0</v>
      </c>
      <c r="AC393">
        <f>'mk 001 10.3'!AC394</f>
        <v>0</v>
      </c>
      <c r="AD393">
        <f>'mk 001 10.3'!AD394</f>
        <v>0</v>
      </c>
      <c r="AE393">
        <f>'mk 001 10.3'!AE394</f>
        <v>0</v>
      </c>
      <c r="AF393">
        <f>'mk 001 10.3'!AF394</f>
        <v>0</v>
      </c>
      <c r="AG393">
        <f>'mk 001 10.3'!AG394</f>
        <v>0</v>
      </c>
      <c r="AH393">
        <f>'mk 001 10.3'!AH394</f>
        <v>0</v>
      </c>
      <c r="AI393">
        <f>'mk 001 10.3'!AI394</f>
        <v>0</v>
      </c>
      <c r="AJ393">
        <f>'mk 001 10.3'!AJ394</f>
        <v>0</v>
      </c>
      <c r="AK393">
        <f>'mk 001 10.3'!AK394</f>
        <v>0</v>
      </c>
      <c r="AL393">
        <f>'mk 001 10.3'!AL394</f>
        <v>0</v>
      </c>
      <c r="AM393">
        <f>'mk 001 10.3'!AM394</f>
        <v>0</v>
      </c>
      <c r="AN393">
        <f>'mk 001 10.3'!AN394</f>
        <v>0</v>
      </c>
      <c r="AO393">
        <f>'mk 001 10.3'!AO394</f>
        <v>0</v>
      </c>
      <c r="AP393">
        <f>'mk 001 10.3'!AP394</f>
        <v>0</v>
      </c>
      <c r="AQ393">
        <f>'mk 001 10.3'!AQ394</f>
        <v>0</v>
      </c>
      <c r="AR393">
        <f>'mk 001 10.3'!AR394</f>
        <v>0</v>
      </c>
      <c r="AS393">
        <f>'mk 001 10.3'!AS394</f>
        <v>0</v>
      </c>
      <c r="AT393">
        <f>'mk 001 10.3'!AT394</f>
        <v>0</v>
      </c>
      <c r="AU393">
        <f>'mk 001 10.3'!AU394</f>
        <v>0</v>
      </c>
      <c r="AV393">
        <f>'mk 001 10.3'!AV394</f>
        <v>0</v>
      </c>
      <c r="AW393">
        <f>'mk 001 10.3'!AW394</f>
        <v>0</v>
      </c>
      <c r="AX393">
        <f>'mk 001 10.3'!AX394</f>
        <v>0</v>
      </c>
      <c r="AY393">
        <f>'mk 001 10.3'!AY394</f>
        <v>0</v>
      </c>
      <c r="AZ393">
        <f>'mk 001 10.3'!AZ394</f>
        <v>0</v>
      </c>
      <c r="BA393" s="22">
        <f>'mk 001 10.3'!BA394</f>
        <v>0</v>
      </c>
      <c r="BB393">
        <f>'mk 001 10.3'!BB394</f>
        <v>0</v>
      </c>
      <c r="BC393">
        <f>'mk 001 10.3'!BC394</f>
        <v>0</v>
      </c>
      <c r="BD393">
        <f>'mk 001 10.3'!BD394</f>
        <v>0</v>
      </c>
      <c r="BE393">
        <f>'mk 001 10.3'!BE394</f>
        <v>0</v>
      </c>
      <c r="BF393">
        <f>'mk 001 10.3'!BF394</f>
        <v>0</v>
      </c>
      <c r="BG393">
        <f>'mk 001 10.3'!BG394</f>
        <v>0</v>
      </c>
      <c r="BH393">
        <f>'mk 001 10.3'!BH394</f>
        <v>0</v>
      </c>
      <c r="BI393">
        <f>'mk 001 10.3'!BI394</f>
        <v>0</v>
      </c>
      <c r="BJ393">
        <f>'mk 001 10.3'!BJ394</f>
        <v>0</v>
      </c>
      <c r="BK393">
        <f>'mk 001 10.3'!BK394</f>
        <v>0</v>
      </c>
      <c r="BL393">
        <f>'mk 001 10.3'!BL394</f>
        <v>0</v>
      </c>
      <c r="BM393">
        <f>'mk 001 10.3'!BM394</f>
        <v>0</v>
      </c>
      <c r="BN393">
        <f>'mk 001 10.3'!BN394</f>
        <v>0</v>
      </c>
    </row>
    <row r="394" spans="1:66" x14ac:dyDescent="0.35">
      <c r="A394">
        <f>'mk 001 10.3'!A395</f>
        <v>0</v>
      </c>
      <c r="B394">
        <f>'mk 001 10.3'!B395</f>
        <v>0</v>
      </c>
      <c r="C394" s="1">
        <f>'mk 001 10.3'!C395</f>
        <v>0</v>
      </c>
      <c r="D394" s="1">
        <f>'mk 001 10.3'!D395</f>
        <v>0</v>
      </c>
      <c r="E394">
        <f>'mk 001 10.3'!E395</f>
        <v>0</v>
      </c>
      <c r="F394">
        <f>'mk 001 10.3'!F395</f>
        <v>0</v>
      </c>
      <c r="G394">
        <f>'mk 001 10.3'!G395</f>
        <v>0</v>
      </c>
      <c r="H394">
        <f>'mk 001 10.3'!H395</f>
        <v>0</v>
      </c>
      <c r="I394">
        <f>'mk 001 10.3'!I395</f>
        <v>0</v>
      </c>
      <c r="J394">
        <f>'mk 001 10.3'!J395</f>
        <v>0</v>
      </c>
      <c r="K394">
        <f>'mk 001 10.3'!K395</f>
        <v>0</v>
      </c>
      <c r="L394">
        <f>'mk 001 10.3'!L395</f>
        <v>0</v>
      </c>
      <c r="M394">
        <f>'mk 001 10.3'!M395</f>
        <v>0</v>
      </c>
      <c r="N394">
        <f>'mk 001 10.3'!N395</f>
        <v>0</v>
      </c>
      <c r="O394">
        <f>'mk 001 10.3'!O395</f>
        <v>0</v>
      </c>
      <c r="P394">
        <f>'mk 001 10.3'!P395</f>
        <v>0</v>
      </c>
      <c r="Q394">
        <f>'mk 001 10.3'!Q395</f>
        <v>0</v>
      </c>
      <c r="R394" s="1">
        <f>'mk 001 10.3'!R395</f>
        <v>0</v>
      </c>
      <c r="S394" s="1">
        <f>'mk 001 10.3'!S395</f>
        <v>0</v>
      </c>
      <c r="T394">
        <f>'mk 001 10.3'!T395</f>
        <v>0</v>
      </c>
      <c r="U394">
        <f>'mk 001 10.3'!U395</f>
        <v>0</v>
      </c>
      <c r="V394">
        <f>'mk 001 10.3'!V395</f>
        <v>0</v>
      </c>
      <c r="W394">
        <f>'mk 001 10.3'!W395</f>
        <v>0</v>
      </c>
      <c r="X394">
        <f>'mk 001 10.3'!X395</f>
        <v>0</v>
      </c>
      <c r="Y394">
        <f t="shared" si="6"/>
        <v>0</v>
      </c>
      <c r="Z394" s="13">
        <f>IF(COUNTIFS(แปลงข้อมูล!H:H,Q394,แปลงข้อมูล!I:I,U394,แปลงข้อมูล!J:J,V394)&gt;0,SUMIFS(แปลงข้อมูล!Q:Q,แปลงข้อมูล!I:I,U394,แปลงข้อมูล!H:H,Q394,แปลงข้อมูล!J:J,V394),'mk 001 10.3'!Z395)</f>
        <v>0</v>
      </c>
      <c r="AA394">
        <f>'mk 001 10.3'!AA395</f>
        <v>0</v>
      </c>
      <c r="AB394">
        <f>'mk 001 10.3'!AB395</f>
        <v>0</v>
      </c>
      <c r="AC394">
        <f>'mk 001 10.3'!AC395</f>
        <v>0</v>
      </c>
      <c r="AD394">
        <f>'mk 001 10.3'!AD395</f>
        <v>0</v>
      </c>
      <c r="AE394">
        <f>'mk 001 10.3'!AE395</f>
        <v>0</v>
      </c>
      <c r="AF394">
        <f>'mk 001 10.3'!AF395</f>
        <v>0</v>
      </c>
      <c r="AG394">
        <f>'mk 001 10.3'!AG395</f>
        <v>0</v>
      </c>
      <c r="AH394">
        <f>'mk 001 10.3'!AH395</f>
        <v>0</v>
      </c>
      <c r="AI394">
        <f>'mk 001 10.3'!AI395</f>
        <v>0</v>
      </c>
      <c r="AJ394">
        <f>'mk 001 10.3'!AJ395</f>
        <v>0</v>
      </c>
      <c r="AK394">
        <f>'mk 001 10.3'!AK395</f>
        <v>0</v>
      </c>
      <c r="AL394">
        <f>'mk 001 10.3'!AL395</f>
        <v>0</v>
      </c>
      <c r="AM394">
        <f>'mk 001 10.3'!AM395</f>
        <v>0</v>
      </c>
      <c r="AN394">
        <f>'mk 001 10.3'!AN395</f>
        <v>0</v>
      </c>
      <c r="AO394">
        <f>'mk 001 10.3'!AO395</f>
        <v>0</v>
      </c>
      <c r="AP394">
        <f>'mk 001 10.3'!AP395</f>
        <v>0</v>
      </c>
      <c r="AQ394">
        <f>'mk 001 10.3'!AQ395</f>
        <v>0</v>
      </c>
      <c r="AR394">
        <f>'mk 001 10.3'!AR395</f>
        <v>0</v>
      </c>
      <c r="AS394">
        <f>'mk 001 10.3'!AS395</f>
        <v>0</v>
      </c>
      <c r="AT394">
        <f>'mk 001 10.3'!AT395</f>
        <v>0</v>
      </c>
      <c r="AU394">
        <f>'mk 001 10.3'!AU395</f>
        <v>0</v>
      </c>
      <c r="AV394">
        <f>'mk 001 10.3'!AV395</f>
        <v>0</v>
      </c>
      <c r="AW394">
        <f>'mk 001 10.3'!AW395</f>
        <v>0</v>
      </c>
      <c r="AX394">
        <f>'mk 001 10.3'!AX395</f>
        <v>0</v>
      </c>
      <c r="AY394">
        <f>'mk 001 10.3'!AY395</f>
        <v>0</v>
      </c>
      <c r="AZ394">
        <f>'mk 001 10.3'!AZ395</f>
        <v>0</v>
      </c>
      <c r="BA394" s="22">
        <f>'mk 001 10.3'!BA395</f>
        <v>0</v>
      </c>
      <c r="BB394">
        <f>'mk 001 10.3'!BB395</f>
        <v>0</v>
      </c>
      <c r="BC394">
        <f>'mk 001 10.3'!BC395</f>
        <v>0</v>
      </c>
      <c r="BD394">
        <f>'mk 001 10.3'!BD395</f>
        <v>0</v>
      </c>
      <c r="BE394">
        <f>'mk 001 10.3'!BE395</f>
        <v>0</v>
      </c>
      <c r="BF394">
        <f>'mk 001 10.3'!BF395</f>
        <v>0</v>
      </c>
      <c r="BG394">
        <f>'mk 001 10.3'!BG395</f>
        <v>0</v>
      </c>
      <c r="BH394">
        <f>'mk 001 10.3'!BH395</f>
        <v>0</v>
      </c>
      <c r="BI394">
        <f>'mk 001 10.3'!BI395</f>
        <v>0</v>
      </c>
      <c r="BJ394">
        <f>'mk 001 10.3'!BJ395</f>
        <v>0</v>
      </c>
      <c r="BK394">
        <f>'mk 001 10.3'!BK395</f>
        <v>0</v>
      </c>
      <c r="BL394">
        <f>'mk 001 10.3'!BL395</f>
        <v>0</v>
      </c>
      <c r="BM394">
        <f>'mk 001 10.3'!BM395</f>
        <v>0</v>
      </c>
      <c r="BN394">
        <f>'mk 001 10.3'!BN395</f>
        <v>0</v>
      </c>
    </row>
    <row r="395" spans="1:66" x14ac:dyDescent="0.35">
      <c r="A395">
        <f>'mk 001 10.3'!A396</f>
        <v>0</v>
      </c>
      <c r="B395">
        <f>'mk 001 10.3'!B396</f>
        <v>0</v>
      </c>
      <c r="C395" s="1">
        <f>'mk 001 10.3'!C396</f>
        <v>0</v>
      </c>
      <c r="D395" s="1">
        <f>'mk 001 10.3'!D396</f>
        <v>0</v>
      </c>
      <c r="E395">
        <f>'mk 001 10.3'!E396</f>
        <v>0</v>
      </c>
      <c r="F395">
        <f>'mk 001 10.3'!F396</f>
        <v>0</v>
      </c>
      <c r="G395">
        <f>'mk 001 10.3'!G396</f>
        <v>0</v>
      </c>
      <c r="H395">
        <f>'mk 001 10.3'!H396</f>
        <v>0</v>
      </c>
      <c r="I395">
        <f>'mk 001 10.3'!I396</f>
        <v>0</v>
      </c>
      <c r="J395">
        <f>'mk 001 10.3'!J396</f>
        <v>0</v>
      </c>
      <c r="K395">
        <f>'mk 001 10.3'!K396</f>
        <v>0</v>
      </c>
      <c r="L395">
        <f>'mk 001 10.3'!L396</f>
        <v>0</v>
      </c>
      <c r="M395">
        <f>'mk 001 10.3'!M396</f>
        <v>0</v>
      </c>
      <c r="N395">
        <f>'mk 001 10.3'!N396</f>
        <v>0</v>
      </c>
      <c r="O395">
        <f>'mk 001 10.3'!O396</f>
        <v>0</v>
      </c>
      <c r="P395">
        <f>'mk 001 10.3'!P396</f>
        <v>0</v>
      </c>
      <c r="Q395">
        <f>'mk 001 10.3'!Q396</f>
        <v>0</v>
      </c>
      <c r="R395" s="1">
        <f>'mk 001 10.3'!R396</f>
        <v>0</v>
      </c>
      <c r="S395" s="1">
        <f>'mk 001 10.3'!S396</f>
        <v>0</v>
      </c>
      <c r="T395">
        <f>'mk 001 10.3'!T396</f>
        <v>0</v>
      </c>
      <c r="U395">
        <f>'mk 001 10.3'!U396</f>
        <v>0</v>
      </c>
      <c r="V395">
        <f>'mk 001 10.3'!V396</f>
        <v>0</v>
      </c>
      <c r="W395">
        <f>'mk 001 10.3'!W396</f>
        <v>0</v>
      </c>
      <c r="X395">
        <f>'mk 001 10.3'!X396</f>
        <v>0</v>
      </c>
      <c r="Y395">
        <f t="shared" si="6"/>
        <v>0</v>
      </c>
      <c r="Z395" s="13">
        <f>IF(COUNTIFS(แปลงข้อมูล!H:H,Q395,แปลงข้อมูล!I:I,U395,แปลงข้อมูล!J:J,V395)&gt;0,SUMIFS(แปลงข้อมูล!Q:Q,แปลงข้อมูล!I:I,U395,แปลงข้อมูล!H:H,Q395,แปลงข้อมูล!J:J,V395),'mk 001 10.3'!Z396)</f>
        <v>0</v>
      </c>
      <c r="AA395">
        <f>'mk 001 10.3'!AA396</f>
        <v>0</v>
      </c>
      <c r="AB395">
        <f>'mk 001 10.3'!AB396</f>
        <v>0</v>
      </c>
      <c r="AC395">
        <f>'mk 001 10.3'!AC396</f>
        <v>0</v>
      </c>
      <c r="AD395">
        <f>'mk 001 10.3'!AD396</f>
        <v>0</v>
      </c>
      <c r="AE395">
        <f>'mk 001 10.3'!AE396</f>
        <v>0</v>
      </c>
      <c r="AF395">
        <f>'mk 001 10.3'!AF396</f>
        <v>0</v>
      </c>
      <c r="AG395">
        <f>'mk 001 10.3'!AG396</f>
        <v>0</v>
      </c>
      <c r="AH395">
        <f>'mk 001 10.3'!AH396</f>
        <v>0</v>
      </c>
      <c r="AI395">
        <f>'mk 001 10.3'!AI396</f>
        <v>0</v>
      </c>
      <c r="AJ395">
        <f>'mk 001 10.3'!AJ396</f>
        <v>0</v>
      </c>
      <c r="AK395">
        <f>'mk 001 10.3'!AK396</f>
        <v>0</v>
      </c>
      <c r="AL395">
        <f>'mk 001 10.3'!AL396</f>
        <v>0</v>
      </c>
      <c r="AM395">
        <f>'mk 001 10.3'!AM396</f>
        <v>0</v>
      </c>
      <c r="AN395">
        <f>'mk 001 10.3'!AN396</f>
        <v>0</v>
      </c>
      <c r="AO395">
        <f>'mk 001 10.3'!AO396</f>
        <v>0</v>
      </c>
      <c r="AP395">
        <f>'mk 001 10.3'!AP396</f>
        <v>0</v>
      </c>
      <c r="AQ395">
        <f>'mk 001 10.3'!AQ396</f>
        <v>0</v>
      </c>
      <c r="AR395">
        <f>'mk 001 10.3'!AR396</f>
        <v>0</v>
      </c>
      <c r="AS395">
        <f>'mk 001 10.3'!AS396</f>
        <v>0</v>
      </c>
      <c r="AT395">
        <f>'mk 001 10.3'!AT396</f>
        <v>0</v>
      </c>
      <c r="AU395">
        <f>'mk 001 10.3'!AU396</f>
        <v>0</v>
      </c>
      <c r="AV395">
        <f>'mk 001 10.3'!AV396</f>
        <v>0</v>
      </c>
      <c r="AW395">
        <f>'mk 001 10.3'!AW396</f>
        <v>0</v>
      </c>
      <c r="AX395">
        <f>'mk 001 10.3'!AX396</f>
        <v>0</v>
      </c>
      <c r="AY395">
        <f>'mk 001 10.3'!AY396</f>
        <v>0</v>
      </c>
      <c r="AZ395">
        <f>'mk 001 10.3'!AZ396</f>
        <v>0</v>
      </c>
      <c r="BA395" s="22">
        <f>'mk 001 10.3'!BA396</f>
        <v>0</v>
      </c>
      <c r="BB395">
        <f>'mk 001 10.3'!BB396</f>
        <v>0</v>
      </c>
      <c r="BC395">
        <f>'mk 001 10.3'!BC396</f>
        <v>0</v>
      </c>
      <c r="BD395">
        <f>'mk 001 10.3'!BD396</f>
        <v>0</v>
      </c>
      <c r="BE395">
        <f>'mk 001 10.3'!BE396</f>
        <v>0</v>
      </c>
      <c r="BF395">
        <f>'mk 001 10.3'!BF396</f>
        <v>0</v>
      </c>
      <c r="BG395">
        <f>'mk 001 10.3'!BG396</f>
        <v>0</v>
      </c>
      <c r="BH395">
        <f>'mk 001 10.3'!BH396</f>
        <v>0</v>
      </c>
      <c r="BI395">
        <f>'mk 001 10.3'!BI396</f>
        <v>0</v>
      </c>
      <c r="BJ395">
        <f>'mk 001 10.3'!BJ396</f>
        <v>0</v>
      </c>
      <c r="BK395">
        <f>'mk 001 10.3'!BK396</f>
        <v>0</v>
      </c>
      <c r="BL395">
        <f>'mk 001 10.3'!BL396</f>
        <v>0</v>
      </c>
      <c r="BM395">
        <f>'mk 001 10.3'!BM396</f>
        <v>0</v>
      </c>
      <c r="BN395">
        <f>'mk 001 10.3'!BN396</f>
        <v>0</v>
      </c>
    </row>
    <row r="396" spans="1:66" x14ac:dyDescent="0.35">
      <c r="A396">
        <f>'mk 001 10.3'!A397</f>
        <v>0</v>
      </c>
      <c r="B396">
        <f>'mk 001 10.3'!B397</f>
        <v>0</v>
      </c>
      <c r="C396" s="1">
        <f>'mk 001 10.3'!C397</f>
        <v>0</v>
      </c>
      <c r="D396" s="1">
        <f>'mk 001 10.3'!D397</f>
        <v>0</v>
      </c>
      <c r="E396">
        <f>'mk 001 10.3'!E397</f>
        <v>0</v>
      </c>
      <c r="F396">
        <f>'mk 001 10.3'!F397</f>
        <v>0</v>
      </c>
      <c r="G396">
        <f>'mk 001 10.3'!G397</f>
        <v>0</v>
      </c>
      <c r="H396">
        <f>'mk 001 10.3'!H397</f>
        <v>0</v>
      </c>
      <c r="I396">
        <f>'mk 001 10.3'!I397</f>
        <v>0</v>
      </c>
      <c r="J396">
        <f>'mk 001 10.3'!J397</f>
        <v>0</v>
      </c>
      <c r="K396">
        <f>'mk 001 10.3'!K397</f>
        <v>0</v>
      </c>
      <c r="L396">
        <f>'mk 001 10.3'!L397</f>
        <v>0</v>
      </c>
      <c r="M396">
        <f>'mk 001 10.3'!M397</f>
        <v>0</v>
      </c>
      <c r="N396">
        <f>'mk 001 10.3'!N397</f>
        <v>0</v>
      </c>
      <c r="O396">
        <f>'mk 001 10.3'!O397</f>
        <v>0</v>
      </c>
      <c r="P396">
        <f>'mk 001 10.3'!P397</f>
        <v>0</v>
      </c>
      <c r="Q396">
        <f>'mk 001 10.3'!Q397</f>
        <v>0</v>
      </c>
      <c r="R396" s="1">
        <f>'mk 001 10.3'!R397</f>
        <v>0</v>
      </c>
      <c r="S396" s="1">
        <f>'mk 001 10.3'!S397</f>
        <v>0</v>
      </c>
      <c r="T396">
        <f>'mk 001 10.3'!T397</f>
        <v>0</v>
      </c>
      <c r="U396">
        <f>'mk 001 10.3'!U397</f>
        <v>0</v>
      </c>
      <c r="V396">
        <f>'mk 001 10.3'!V397</f>
        <v>0</v>
      </c>
      <c r="W396">
        <f>'mk 001 10.3'!W397</f>
        <v>0</v>
      </c>
      <c r="X396">
        <f>'mk 001 10.3'!X397</f>
        <v>0</v>
      </c>
      <c r="Y396">
        <f t="shared" si="6"/>
        <v>0</v>
      </c>
      <c r="Z396" s="13">
        <f>IF(COUNTIFS(แปลงข้อมูล!H:H,Q396,แปลงข้อมูล!I:I,U396,แปลงข้อมูล!J:J,V396)&gt;0,SUMIFS(แปลงข้อมูล!Q:Q,แปลงข้อมูล!I:I,U396,แปลงข้อมูล!H:H,Q396,แปลงข้อมูล!J:J,V396),'mk 001 10.3'!Z397)</f>
        <v>0</v>
      </c>
      <c r="AA396">
        <f>'mk 001 10.3'!AA397</f>
        <v>0</v>
      </c>
      <c r="AB396">
        <f>'mk 001 10.3'!AB397</f>
        <v>0</v>
      </c>
      <c r="AC396">
        <f>'mk 001 10.3'!AC397</f>
        <v>0</v>
      </c>
      <c r="AD396">
        <f>'mk 001 10.3'!AD397</f>
        <v>0</v>
      </c>
      <c r="AE396">
        <f>'mk 001 10.3'!AE397</f>
        <v>0</v>
      </c>
      <c r="AF396">
        <f>'mk 001 10.3'!AF397</f>
        <v>0</v>
      </c>
      <c r="AG396">
        <f>'mk 001 10.3'!AG397</f>
        <v>0</v>
      </c>
      <c r="AH396">
        <f>'mk 001 10.3'!AH397</f>
        <v>0</v>
      </c>
      <c r="AI396">
        <f>'mk 001 10.3'!AI397</f>
        <v>0</v>
      </c>
      <c r="AJ396">
        <f>'mk 001 10.3'!AJ397</f>
        <v>0</v>
      </c>
      <c r="AK396">
        <f>'mk 001 10.3'!AK397</f>
        <v>0</v>
      </c>
      <c r="AL396">
        <f>'mk 001 10.3'!AL397</f>
        <v>0</v>
      </c>
      <c r="AM396">
        <f>'mk 001 10.3'!AM397</f>
        <v>0</v>
      </c>
      <c r="AN396">
        <f>'mk 001 10.3'!AN397</f>
        <v>0</v>
      </c>
      <c r="AO396">
        <f>'mk 001 10.3'!AO397</f>
        <v>0</v>
      </c>
      <c r="AP396">
        <f>'mk 001 10.3'!AP397</f>
        <v>0</v>
      </c>
      <c r="AQ396">
        <f>'mk 001 10.3'!AQ397</f>
        <v>0</v>
      </c>
      <c r="AR396">
        <f>'mk 001 10.3'!AR397</f>
        <v>0</v>
      </c>
      <c r="AS396">
        <f>'mk 001 10.3'!AS397</f>
        <v>0</v>
      </c>
      <c r="AT396">
        <f>'mk 001 10.3'!AT397</f>
        <v>0</v>
      </c>
      <c r="AU396">
        <f>'mk 001 10.3'!AU397</f>
        <v>0</v>
      </c>
      <c r="AV396">
        <f>'mk 001 10.3'!AV397</f>
        <v>0</v>
      </c>
      <c r="AW396">
        <f>'mk 001 10.3'!AW397</f>
        <v>0</v>
      </c>
      <c r="AX396">
        <f>'mk 001 10.3'!AX397</f>
        <v>0</v>
      </c>
      <c r="AY396">
        <f>'mk 001 10.3'!AY397</f>
        <v>0</v>
      </c>
      <c r="AZ396">
        <f>'mk 001 10.3'!AZ397</f>
        <v>0</v>
      </c>
      <c r="BA396" s="22">
        <f>'mk 001 10.3'!BA397</f>
        <v>0</v>
      </c>
      <c r="BB396">
        <f>'mk 001 10.3'!BB397</f>
        <v>0</v>
      </c>
      <c r="BC396">
        <f>'mk 001 10.3'!BC397</f>
        <v>0</v>
      </c>
      <c r="BD396">
        <f>'mk 001 10.3'!BD397</f>
        <v>0</v>
      </c>
      <c r="BE396">
        <f>'mk 001 10.3'!BE397</f>
        <v>0</v>
      </c>
      <c r="BF396">
        <f>'mk 001 10.3'!BF397</f>
        <v>0</v>
      </c>
      <c r="BG396">
        <f>'mk 001 10.3'!BG397</f>
        <v>0</v>
      </c>
      <c r="BH396">
        <f>'mk 001 10.3'!BH397</f>
        <v>0</v>
      </c>
      <c r="BI396">
        <f>'mk 001 10.3'!BI397</f>
        <v>0</v>
      </c>
      <c r="BJ396">
        <f>'mk 001 10.3'!BJ397</f>
        <v>0</v>
      </c>
      <c r="BK396">
        <f>'mk 001 10.3'!BK397</f>
        <v>0</v>
      </c>
      <c r="BL396">
        <f>'mk 001 10.3'!BL397</f>
        <v>0</v>
      </c>
      <c r="BM396">
        <f>'mk 001 10.3'!BM397</f>
        <v>0</v>
      </c>
      <c r="BN396">
        <f>'mk 001 10.3'!BN397</f>
        <v>0</v>
      </c>
    </row>
    <row r="397" spans="1:66" x14ac:dyDescent="0.35">
      <c r="A397">
        <f>'mk 001 10.3'!A398</f>
        <v>0</v>
      </c>
      <c r="B397">
        <f>'mk 001 10.3'!B398</f>
        <v>0</v>
      </c>
      <c r="C397" s="1">
        <f>'mk 001 10.3'!C398</f>
        <v>0</v>
      </c>
      <c r="D397" s="1">
        <f>'mk 001 10.3'!D398</f>
        <v>0</v>
      </c>
      <c r="E397">
        <f>'mk 001 10.3'!E398</f>
        <v>0</v>
      </c>
      <c r="F397">
        <f>'mk 001 10.3'!F398</f>
        <v>0</v>
      </c>
      <c r="G397">
        <f>'mk 001 10.3'!G398</f>
        <v>0</v>
      </c>
      <c r="H397">
        <f>'mk 001 10.3'!H398</f>
        <v>0</v>
      </c>
      <c r="I397">
        <f>'mk 001 10.3'!I398</f>
        <v>0</v>
      </c>
      <c r="J397">
        <f>'mk 001 10.3'!J398</f>
        <v>0</v>
      </c>
      <c r="K397">
        <f>'mk 001 10.3'!K398</f>
        <v>0</v>
      </c>
      <c r="L397">
        <f>'mk 001 10.3'!L398</f>
        <v>0</v>
      </c>
      <c r="M397">
        <f>'mk 001 10.3'!M398</f>
        <v>0</v>
      </c>
      <c r="N397">
        <f>'mk 001 10.3'!N398</f>
        <v>0</v>
      </c>
      <c r="O397">
        <f>'mk 001 10.3'!O398</f>
        <v>0</v>
      </c>
      <c r="P397">
        <f>'mk 001 10.3'!P398</f>
        <v>0</v>
      </c>
      <c r="Q397">
        <f>'mk 001 10.3'!Q398</f>
        <v>0</v>
      </c>
      <c r="R397" s="1">
        <f>'mk 001 10.3'!R398</f>
        <v>0</v>
      </c>
      <c r="S397" s="1">
        <f>'mk 001 10.3'!S398</f>
        <v>0</v>
      </c>
      <c r="T397">
        <f>'mk 001 10.3'!T398</f>
        <v>0</v>
      </c>
      <c r="U397">
        <f>'mk 001 10.3'!U398</f>
        <v>0</v>
      </c>
      <c r="V397">
        <f>'mk 001 10.3'!V398</f>
        <v>0</v>
      </c>
      <c r="W397">
        <f>'mk 001 10.3'!W398</f>
        <v>0</v>
      </c>
      <c r="X397">
        <f>'mk 001 10.3'!X398</f>
        <v>0</v>
      </c>
      <c r="Y397">
        <f t="shared" si="6"/>
        <v>0</v>
      </c>
      <c r="Z397" s="13">
        <f>IF(COUNTIFS(แปลงข้อมูล!H:H,Q397,แปลงข้อมูล!I:I,U397,แปลงข้อมูล!J:J,V397)&gt;0,SUMIFS(แปลงข้อมูล!Q:Q,แปลงข้อมูล!I:I,U397,แปลงข้อมูล!H:H,Q397,แปลงข้อมูล!J:J,V397),'mk 001 10.3'!Z398)</f>
        <v>0</v>
      </c>
      <c r="AA397">
        <f>'mk 001 10.3'!AA398</f>
        <v>0</v>
      </c>
      <c r="AB397">
        <f>'mk 001 10.3'!AB398</f>
        <v>0</v>
      </c>
      <c r="AC397">
        <f>'mk 001 10.3'!AC398</f>
        <v>0</v>
      </c>
      <c r="AD397">
        <f>'mk 001 10.3'!AD398</f>
        <v>0</v>
      </c>
      <c r="AE397">
        <f>'mk 001 10.3'!AE398</f>
        <v>0</v>
      </c>
      <c r="AF397">
        <f>'mk 001 10.3'!AF398</f>
        <v>0</v>
      </c>
      <c r="AG397">
        <f>'mk 001 10.3'!AG398</f>
        <v>0</v>
      </c>
      <c r="AH397">
        <f>'mk 001 10.3'!AH398</f>
        <v>0</v>
      </c>
      <c r="AI397">
        <f>'mk 001 10.3'!AI398</f>
        <v>0</v>
      </c>
      <c r="AJ397">
        <f>'mk 001 10.3'!AJ398</f>
        <v>0</v>
      </c>
      <c r="AK397">
        <f>'mk 001 10.3'!AK398</f>
        <v>0</v>
      </c>
      <c r="AL397">
        <f>'mk 001 10.3'!AL398</f>
        <v>0</v>
      </c>
      <c r="AM397">
        <f>'mk 001 10.3'!AM398</f>
        <v>0</v>
      </c>
      <c r="AN397">
        <f>'mk 001 10.3'!AN398</f>
        <v>0</v>
      </c>
      <c r="AO397">
        <f>'mk 001 10.3'!AO398</f>
        <v>0</v>
      </c>
      <c r="AP397">
        <f>'mk 001 10.3'!AP398</f>
        <v>0</v>
      </c>
      <c r="AQ397">
        <f>'mk 001 10.3'!AQ398</f>
        <v>0</v>
      </c>
      <c r="AR397">
        <f>'mk 001 10.3'!AR398</f>
        <v>0</v>
      </c>
      <c r="AS397">
        <f>'mk 001 10.3'!AS398</f>
        <v>0</v>
      </c>
      <c r="AT397">
        <f>'mk 001 10.3'!AT398</f>
        <v>0</v>
      </c>
      <c r="AU397">
        <f>'mk 001 10.3'!AU398</f>
        <v>0</v>
      </c>
      <c r="AV397">
        <f>'mk 001 10.3'!AV398</f>
        <v>0</v>
      </c>
      <c r="AW397">
        <f>'mk 001 10.3'!AW398</f>
        <v>0</v>
      </c>
      <c r="AX397">
        <f>'mk 001 10.3'!AX398</f>
        <v>0</v>
      </c>
      <c r="AY397">
        <f>'mk 001 10.3'!AY398</f>
        <v>0</v>
      </c>
      <c r="AZ397">
        <f>'mk 001 10.3'!AZ398</f>
        <v>0</v>
      </c>
      <c r="BA397" s="22">
        <f>'mk 001 10.3'!BA398</f>
        <v>0</v>
      </c>
      <c r="BB397">
        <f>'mk 001 10.3'!BB398</f>
        <v>0</v>
      </c>
      <c r="BC397">
        <f>'mk 001 10.3'!BC398</f>
        <v>0</v>
      </c>
      <c r="BD397">
        <f>'mk 001 10.3'!BD398</f>
        <v>0</v>
      </c>
      <c r="BE397">
        <f>'mk 001 10.3'!BE398</f>
        <v>0</v>
      </c>
      <c r="BF397">
        <f>'mk 001 10.3'!BF398</f>
        <v>0</v>
      </c>
      <c r="BG397">
        <f>'mk 001 10.3'!BG398</f>
        <v>0</v>
      </c>
      <c r="BH397">
        <f>'mk 001 10.3'!BH398</f>
        <v>0</v>
      </c>
      <c r="BI397">
        <f>'mk 001 10.3'!BI398</f>
        <v>0</v>
      </c>
      <c r="BJ397">
        <f>'mk 001 10.3'!BJ398</f>
        <v>0</v>
      </c>
      <c r="BK397">
        <f>'mk 001 10.3'!BK398</f>
        <v>0</v>
      </c>
      <c r="BL397">
        <f>'mk 001 10.3'!BL398</f>
        <v>0</v>
      </c>
      <c r="BM397">
        <f>'mk 001 10.3'!BM398</f>
        <v>0</v>
      </c>
      <c r="BN397">
        <f>'mk 001 10.3'!BN398</f>
        <v>0</v>
      </c>
    </row>
    <row r="398" spans="1:66" x14ac:dyDescent="0.35">
      <c r="A398">
        <f>'mk 001 10.3'!A399</f>
        <v>0</v>
      </c>
      <c r="B398">
        <f>'mk 001 10.3'!B399</f>
        <v>0</v>
      </c>
      <c r="C398" s="1">
        <f>'mk 001 10.3'!C399</f>
        <v>0</v>
      </c>
      <c r="D398" s="1">
        <f>'mk 001 10.3'!D399</f>
        <v>0</v>
      </c>
      <c r="E398">
        <f>'mk 001 10.3'!E399</f>
        <v>0</v>
      </c>
      <c r="F398">
        <f>'mk 001 10.3'!F399</f>
        <v>0</v>
      </c>
      <c r="G398">
        <f>'mk 001 10.3'!G399</f>
        <v>0</v>
      </c>
      <c r="H398">
        <f>'mk 001 10.3'!H399</f>
        <v>0</v>
      </c>
      <c r="I398">
        <f>'mk 001 10.3'!I399</f>
        <v>0</v>
      </c>
      <c r="J398">
        <f>'mk 001 10.3'!J399</f>
        <v>0</v>
      </c>
      <c r="K398">
        <f>'mk 001 10.3'!K399</f>
        <v>0</v>
      </c>
      <c r="L398">
        <f>'mk 001 10.3'!L399</f>
        <v>0</v>
      </c>
      <c r="M398">
        <f>'mk 001 10.3'!M399</f>
        <v>0</v>
      </c>
      <c r="N398">
        <f>'mk 001 10.3'!N399</f>
        <v>0</v>
      </c>
      <c r="O398">
        <f>'mk 001 10.3'!O399</f>
        <v>0</v>
      </c>
      <c r="P398">
        <f>'mk 001 10.3'!P399</f>
        <v>0</v>
      </c>
      <c r="Q398">
        <f>'mk 001 10.3'!Q399</f>
        <v>0</v>
      </c>
      <c r="R398" s="1">
        <f>'mk 001 10.3'!R399</f>
        <v>0</v>
      </c>
      <c r="S398" s="1">
        <f>'mk 001 10.3'!S399</f>
        <v>0</v>
      </c>
      <c r="T398">
        <f>'mk 001 10.3'!T399</f>
        <v>0</v>
      </c>
      <c r="U398">
        <f>'mk 001 10.3'!U399</f>
        <v>0</v>
      </c>
      <c r="V398">
        <f>'mk 001 10.3'!V399</f>
        <v>0</v>
      </c>
      <c r="W398">
        <f>'mk 001 10.3'!W399</f>
        <v>0</v>
      </c>
      <c r="X398">
        <f>'mk 001 10.3'!X399</f>
        <v>0</v>
      </c>
      <c r="Y398">
        <f t="shared" si="6"/>
        <v>0</v>
      </c>
      <c r="Z398" s="13">
        <f>IF(COUNTIFS(แปลงข้อมูล!H:H,Q398,แปลงข้อมูล!I:I,U398,แปลงข้อมูล!J:J,V398)&gt;0,SUMIFS(แปลงข้อมูล!Q:Q,แปลงข้อมูล!I:I,U398,แปลงข้อมูล!H:H,Q398,แปลงข้อมูล!J:J,V398),'mk 001 10.3'!Z399)</f>
        <v>0</v>
      </c>
      <c r="AA398">
        <f>'mk 001 10.3'!AA399</f>
        <v>0</v>
      </c>
      <c r="AB398">
        <f>'mk 001 10.3'!AB399</f>
        <v>0</v>
      </c>
      <c r="AC398">
        <f>'mk 001 10.3'!AC399</f>
        <v>0</v>
      </c>
      <c r="AD398">
        <f>'mk 001 10.3'!AD399</f>
        <v>0</v>
      </c>
      <c r="AE398">
        <f>'mk 001 10.3'!AE399</f>
        <v>0</v>
      </c>
      <c r="AF398">
        <f>'mk 001 10.3'!AF399</f>
        <v>0</v>
      </c>
      <c r="AG398">
        <f>'mk 001 10.3'!AG399</f>
        <v>0</v>
      </c>
      <c r="AH398">
        <f>'mk 001 10.3'!AH399</f>
        <v>0</v>
      </c>
      <c r="AI398">
        <f>'mk 001 10.3'!AI399</f>
        <v>0</v>
      </c>
      <c r="AJ398">
        <f>'mk 001 10.3'!AJ399</f>
        <v>0</v>
      </c>
      <c r="AK398">
        <f>'mk 001 10.3'!AK399</f>
        <v>0</v>
      </c>
      <c r="AL398">
        <f>'mk 001 10.3'!AL399</f>
        <v>0</v>
      </c>
      <c r="AM398">
        <f>'mk 001 10.3'!AM399</f>
        <v>0</v>
      </c>
      <c r="AN398">
        <f>'mk 001 10.3'!AN399</f>
        <v>0</v>
      </c>
      <c r="AO398">
        <f>'mk 001 10.3'!AO399</f>
        <v>0</v>
      </c>
      <c r="AP398">
        <f>'mk 001 10.3'!AP399</f>
        <v>0</v>
      </c>
      <c r="AQ398">
        <f>'mk 001 10.3'!AQ399</f>
        <v>0</v>
      </c>
      <c r="AR398">
        <f>'mk 001 10.3'!AR399</f>
        <v>0</v>
      </c>
      <c r="AS398">
        <f>'mk 001 10.3'!AS399</f>
        <v>0</v>
      </c>
      <c r="AT398">
        <f>'mk 001 10.3'!AT399</f>
        <v>0</v>
      </c>
      <c r="AU398">
        <f>'mk 001 10.3'!AU399</f>
        <v>0</v>
      </c>
      <c r="AV398">
        <f>'mk 001 10.3'!AV399</f>
        <v>0</v>
      </c>
      <c r="AW398">
        <f>'mk 001 10.3'!AW399</f>
        <v>0</v>
      </c>
      <c r="AX398">
        <f>'mk 001 10.3'!AX399</f>
        <v>0</v>
      </c>
      <c r="AY398">
        <f>'mk 001 10.3'!AY399</f>
        <v>0</v>
      </c>
      <c r="AZ398">
        <f>'mk 001 10.3'!AZ399</f>
        <v>0</v>
      </c>
      <c r="BA398" s="22">
        <f>'mk 001 10.3'!BA399</f>
        <v>0</v>
      </c>
      <c r="BB398">
        <f>'mk 001 10.3'!BB399</f>
        <v>0</v>
      </c>
      <c r="BC398">
        <f>'mk 001 10.3'!BC399</f>
        <v>0</v>
      </c>
      <c r="BD398">
        <f>'mk 001 10.3'!BD399</f>
        <v>0</v>
      </c>
      <c r="BE398">
        <f>'mk 001 10.3'!BE399</f>
        <v>0</v>
      </c>
      <c r="BF398">
        <f>'mk 001 10.3'!BF399</f>
        <v>0</v>
      </c>
      <c r="BG398">
        <f>'mk 001 10.3'!BG399</f>
        <v>0</v>
      </c>
      <c r="BH398">
        <f>'mk 001 10.3'!BH399</f>
        <v>0</v>
      </c>
      <c r="BI398">
        <f>'mk 001 10.3'!BI399</f>
        <v>0</v>
      </c>
      <c r="BJ398">
        <f>'mk 001 10.3'!BJ399</f>
        <v>0</v>
      </c>
      <c r="BK398">
        <f>'mk 001 10.3'!BK399</f>
        <v>0</v>
      </c>
      <c r="BL398">
        <f>'mk 001 10.3'!BL399</f>
        <v>0</v>
      </c>
      <c r="BM398">
        <f>'mk 001 10.3'!BM399</f>
        <v>0</v>
      </c>
      <c r="BN398">
        <f>'mk 001 10.3'!BN399</f>
        <v>0</v>
      </c>
    </row>
    <row r="399" spans="1:66" x14ac:dyDescent="0.35">
      <c r="A399">
        <f>'mk 001 10.3'!A400</f>
        <v>0</v>
      </c>
      <c r="B399">
        <f>'mk 001 10.3'!B400</f>
        <v>0</v>
      </c>
      <c r="C399" s="1">
        <f>'mk 001 10.3'!C400</f>
        <v>0</v>
      </c>
      <c r="D399" s="1">
        <f>'mk 001 10.3'!D400</f>
        <v>0</v>
      </c>
      <c r="E399">
        <f>'mk 001 10.3'!E400</f>
        <v>0</v>
      </c>
      <c r="F399">
        <f>'mk 001 10.3'!F400</f>
        <v>0</v>
      </c>
      <c r="G399">
        <f>'mk 001 10.3'!G400</f>
        <v>0</v>
      </c>
      <c r="H399">
        <f>'mk 001 10.3'!H400</f>
        <v>0</v>
      </c>
      <c r="I399">
        <f>'mk 001 10.3'!I400</f>
        <v>0</v>
      </c>
      <c r="J399">
        <f>'mk 001 10.3'!J400</f>
        <v>0</v>
      </c>
      <c r="K399">
        <f>'mk 001 10.3'!K400</f>
        <v>0</v>
      </c>
      <c r="L399">
        <f>'mk 001 10.3'!L400</f>
        <v>0</v>
      </c>
      <c r="M399">
        <f>'mk 001 10.3'!M400</f>
        <v>0</v>
      </c>
      <c r="N399">
        <f>'mk 001 10.3'!N400</f>
        <v>0</v>
      </c>
      <c r="O399">
        <f>'mk 001 10.3'!O400</f>
        <v>0</v>
      </c>
      <c r="P399">
        <f>'mk 001 10.3'!P400</f>
        <v>0</v>
      </c>
      <c r="Q399">
        <f>'mk 001 10.3'!Q400</f>
        <v>0</v>
      </c>
      <c r="R399" s="1">
        <f>'mk 001 10.3'!R400</f>
        <v>0</v>
      </c>
      <c r="S399" s="1">
        <f>'mk 001 10.3'!S400</f>
        <v>0</v>
      </c>
      <c r="T399">
        <f>'mk 001 10.3'!T400</f>
        <v>0</v>
      </c>
      <c r="U399">
        <f>'mk 001 10.3'!U400</f>
        <v>0</v>
      </c>
      <c r="V399">
        <f>'mk 001 10.3'!V400</f>
        <v>0</v>
      </c>
      <c r="W399">
        <f>'mk 001 10.3'!W400</f>
        <v>0</v>
      </c>
      <c r="X399">
        <f>'mk 001 10.3'!X400</f>
        <v>0</v>
      </c>
      <c r="Y399">
        <f t="shared" si="6"/>
        <v>0</v>
      </c>
      <c r="Z399" s="13">
        <f>IF(COUNTIFS(แปลงข้อมูล!H:H,Q399,แปลงข้อมูล!I:I,U399,แปลงข้อมูล!J:J,V399)&gt;0,SUMIFS(แปลงข้อมูล!Q:Q,แปลงข้อมูล!I:I,U399,แปลงข้อมูล!H:H,Q399,แปลงข้อมูล!J:J,V399),'mk 001 10.3'!Z400)</f>
        <v>0</v>
      </c>
      <c r="AA399">
        <f>'mk 001 10.3'!AA400</f>
        <v>0</v>
      </c>
      <c r="AB399">
        <f>'mk 001 10.3'!AB400</f>
        <v>0</v>
      </c>
      <c r="AC399">
        <f>'mk 001 10.3'!AC400</f>
        <v>0</v>
      </c>
      <c r="AD399">
        <f>'mk 001 10.3'!AD400</f>
        <v>0</v>
      </c>
      <c r="AE399">
        <f>'mk 001 10.3'!AE400</f>
        <v>0</v>
      </c>
      <c r="AF399">
        <f>'mk 001 10.3'!AF400</f>
        <v>0</v>
      </c>
      <c r="AG399">
        <f>'mk 001 10.3'!AG400</f>
        <v>0</v>
      </c>
      <c r="AH399">
        <f>'mk 001 10.3'!AH400</f>
        <v>0</v>
      </c>
      <c r="AI399">
        <f>'mk 001 10.3'!AI400</f>
        <v>0</v>
      </c>
      <c r="AJ399">
        <f>'mk 001 10.3'!AJ400</f>
        <v>0</v>
      </c>
      <c r="AK399">
        <f>'mk 001 10.3'!AK400</f>
        <v>0</v>
      </c>
      <c r="AL399">
        <f>'mk 001 10.3'!AL400</f>
        <v>0</v>
      </c>
      <c r="AM399">
        <f>'mk 001 10.3'!AM400</f>
        <v>0</v>
      </c>
      <c r="AN399">
        <f>'mk 001 10.3'!AN400</f>
        <v>0</v>
      </c>
      <c r="AO399">
        <f>'mk 001 10.3'!AO400</f>
        <v>0</v>
      </c>
      <c r="AP399">
        <f>'mk 001 10.3'!AP400</f>
        <v>0</v>
      </c>
      <c r="AQ399">
        <f>'mk 001 10.3'!AQ400</f>
        <v>0</v>
      </c>
      <c r="AR399">
        <f>'mk 001 10.3'!AR400</f>
        <v>0</v>
      </c>
      <c r="AS399">
        <f>'mk 001 10.3'!AS400</f>
        <v>0</v>
      </c>
      <c r="AT399">
        <f>'mk 001 10.3'!AT400</f>
        <v>0</v>
      </c>
      <c r="AU399">
        <f>'mk 001 10.3'!AU400</f>
        <v>0</v>
      </c>
      <c r="AV399">
        <f>'mk 001 10.3'!AV400</f>
        <v>0</v>
      </c>
      <c r="AW399">
        <f>'mk 001 10.3'!AW400</f>
        <v>0</v>
      </c>
      <c r="AX399">
        <f>'mk 001 10.3'!AX400</f>
        <v>0</v>
      </c>
      <c r="AY399">
        <f>'mk 001 10.3'!AY400</f>
        <v>0</v>
      </c>
      <c r="AZ399">
        <f>'mk 001 10.3'!AZ400</f>
        <v>0</v>
      </c>
      <c r="BA399" s="22">
        <f>'mk 001 10.3'!BA400</f>
        <v>0</v>
      </c>
      <c r="BB399">
        <f>'mk 001 10.3'!BB400</f>
        <v>0</v>
      </c>
      <c r="BC399">
        <f>'mk 001 10.3'!BC400</f>
        <v>0</v>
      </c>
      <c r="BD399">
        <f>'mk 001 10.3'!BD400</f>
        <v>0</v>
      </c>
      <c r="BE399">
        <f>'mk 001 10.3'!BE400</f>
        <v>0</v>
      </c>
      <c r="BF399">
        <f>'mk 001 10.3'!BF400</f>
        <v>0</v>
      </c>
      <c r="BG399">
        <f>'mk 001 10.3'!BG400</f>
        <v>0</v>
      </c>
      <c r="BH399">
        <f>'mk 001 10.3'!BH400</f>
        <v>0</v>
      </c>
      <c r="BI399">
        <f>'mk 001 10.3'!BI400</f>
        <v>0</v>
      </c>
      <c r="BJ399">
        <f>'mk 001 10.3'!BJ400</f>
        <v>0</v>
      </c>
      <c r="BK399">
        <f>'mk 001 10.3'!BK400</f>
        <v>0</v>
      </c>
      <c r="BL399">
        <f>'mk 001 10.3'!BL400</f>
        <v>0</v>
      </c>
      <c r="BM399">
        <f>'mk 001 10.3'!BM400</f>
        <v>0</v>
      </c>
      <c r="BN399">
        <f>'mk 001 10.3'!BN400</f>
        <v>0</v>
      </c>
    </row>
    <row r="400" spans="1:66" x14ac:dyDescent="0.35">
      <c r="A400">
        <f>'mk 001 10.3'!A401</f>
        <v>0</v>
      </c>
      <c r="B400">
        <f>'mk 001 10.3'!B401</f>
        <v>0</v>
      </c>
      <c r="C400" s="1">
        <f>'mk 001 10.3'!C401</f>
        <v>0</v>
      </c>
      <c r="D400" s="1">
        <f>'mk 001 10.3'!D401</f>
        <v>0</v>
      </c>
      <c r="E400">
        <f>'mk 001 10.3'!E401</f>
        <v>0</v>
      </c>
      <c r="F400">
        <f>'mk 001 10.3'!F401</f>
        <v>0</v>
      </c>
      <c r="G400">
        <f>'mk 001 10.3'!G401</f>
        <v>0</v>
      </c>
      <c r="H400">
        <f>'mk 001 10.3'!H401</f>
        <v>0</v>
      </c>
      <c r="I400">
        <f>'mk 001 10.3'!I401</f>
        <v>0</v>
      </c>
      <c r="J400">
        <f>'mk 001 10.3'!J401</f>
        <v>0</v>
      </c>
      <c r="K400">
        <f>'mk 001 10.3'!K401</f>
        <v>0</v>
      </c>
      <c r="L400">
        <f>'mk 001 10.3'!L401</f>
        <v>0</v>
      </c>
      <c r="M400">
        <f>'mk 001 10.3'!M401</f>
        <v>0</v>
      </c>
      <c r="N400">
        <f>'mk 001 10.3'!N401</f>
        <v>0</v>
      </c>
      <c r="O400">
        <f>'mk 001 10.3'!O401</f>
        <v>0</v>
      </c>
      <c r="P400">
        <f>'mk 001 10.3'!P401</f>
        <v>0</v>
      </c>
      <c r="Q400">
        <f>'mk 001 10.3'!Q401</f>
        <v>0</v>
      </c>
      <c r="R400" s="1">
        <f>'mk 001 10.3'!R401</f>
        <v>0</v>
      </c>
      <c r="S400" s="1">
        <f>'mk 001 10.3'!S401</f>
        <v>0</v>
      </c>
      <c r="T400">
        <f>'mk 001 10.3'!T401</f>
        <v>0</v>
      </c>
      <c r="U400">
        <f>'mk 001 10.3'!U401</f>
        <v>0</v>
      </c>
      <c r="V400">
        <f>'mk 001 10.3'!V401</f>
        <v>0</v>
      </c>
      <c r="W400">
        <f>'mk 001 10.3'!W401</f>
        <v>0</v>
      </c>
      <c r="X400">
        <f>'mk 001 10.3'!X401</f>
        <v>0</v>
      </c>
      <c r="Y400">
        <f t="shared" si="6"/>
        <v>0</v>
      </c>
      <c r="Z400" s="13">
        <f>IF(COUNTIFS(แปลงข้อมูล!H:H,Q400,แปลงข้อมูล!I:I,U400,แปลงข้อมูล!J:J,V400)&gt;0,SUMIFS(แปลงข้อมูล!Q:Q,แปลงข้อมูล!I:I,U400,แปลงข้อมูล!H:H,Q400,แปลงข้อมูล!J:J,V400),'mk 001 10.3'!Z401)</f>
        <v>0</v>
      </c>
      <c r="AA400">
        <f>'mk 001 10.3'!AA401</f>
        <v>0</v>
      </c>
      <c r="AB400">
        <f>'mk 001 10.3'!AB401</f>
        <v>0</v>
      </c>
      <c r="AC400">
        <f>'mk 001 10.3'!AC401</f>
        <v>0</v>
      </c>
      <c r="AD400">
        <f>'mk 001 10.3'!AD401</f>
        <v>0</v>
      </c>
      <c r="AE400">
        <f>'mk 001 10.3'!AE401</f>
        <v>0</v>
      </c>
      <c r="AF400">
        <f>'mk 001 10.3'!AF401</f>
        <v>0</v>
      </c>
      <c r="AG400">
        <f>'mk 001 10.3'!AG401</f>
        <v>0</v>
      </c>
      <c r="AH400">
        <f>'mk 001 10.3'!AH401</f>
        <v>0</v>
      </c>
      <c r="AI400">
        <f>'mk 001 10.3'!AI401</f>
        <v>0</v>
      </c>
      <c r="AJ400">
        <f>'mk 001 10.3'!AJ401</f>
        <v>0</v>
      </c>
      <c r="AK400">
        <f>'mk 001 10.3'!AK401</f>
        <v>0</v>
      </c>
      <c r="AL400">
        <f>'mk 001 10.3'!AL401</f>
        <v>0</v>
      </c>
      <c r="AM400">
        <f>'mk 001 10.3'!AM401</f>
        <v>0</v>
      </c>
      <c r="AN400">
        <f>'mk 001 10.3'!AN401</f>
        <v>0</v>
      </c>
      <c r="AO400">
        <f>'mk 001 10.3'!AO401</f>
        <v>0</v>
      </c>
      <c r="AP400">
        <f>'mk 001 10.3'!AP401</f>
        <v>0</v>
      </c>
      <c r="AQ400">
        <f>'mk 001 10.3'!AQ401</f>
        <v>0</v>
      </c>
      <c r="AR400">
        <f>'mk 001 10.3'!AR401</f>
        <v>0</v>
      </c>
      <c r="AS400">
        <f>'mk 001 10.3'!AS401</f>
        <v>0</v>
      </c>
      <c r="AT400">
        <f>'mk 001 10.3'!AT401</f>
        <v>0</v>
      </c>
      <c r="AU400">
        <f>'mk 001 10.3'!AU401</f>
        <v>0</v>
      </c>
      <c r="AV400">
        <f>'mk 001 10.3'!AV401</f>
        <v>0</v>
      </c>
      <c r="AW400">
        <f>'mk 001 10.3'!AW401</f>
        <v>0</v>
      </c>
      <c r="AX400">
        <f>'mk 001 10.3'!AX401</f>
        <v>0</v>
      </c>
      <c r="AY400">
        <f>'mk 001 10.3'!AY401</f>
        <v>0</v>
      </c>
      <c r="AZ400">
        <f>'mk 001 10.3'!AZ401</f>
        <v>0</v>
      </c>
      <c r="BA400" s="22">
        <f>'mk 001 10.3'!BA401</f>
        <v>0</v>
      </c>
      <c r="BB400">
        <f>'mk 001 10.3'!BB401</f>
        <v>0</v>
      </c>
      <c r="BC400">
        <f>'mk 001 10.3'!BC401</f>
        <v>0</v>
      </c>
      <c r="BD400">
        <f>'mk 001 10.3'!BD401</f>
        <v>0</v>
      </c>
      <c r="BE400">
        <f>'mk 001 10.3'!BE401</f>
        <v>0</v>
      </c>
      <c r="BF400">
        <f>'mk 001 10.3'!BF401</f>
        <v>0</v>
      </c>
      <c r="BG400">
        <f>'mk 001 10.3'!BG401</f>
        <v>0</v>
      </c>
      <c r="BH400">
        <f>'mk 001 10.3'!BH401</f>
        <v>0</v>
      </c>
      <c r="BI400">
        <f>'mk 001 10.3'!BI401</f>
        <v>0</v>
      </c>
      <c r="BJ400">
        <f>'mk 001 10.3'!BJ401</f>
        <v>0</v>
      </c>
      <c r="BK400">
        <f>'mk 001 10.3'!BK401</f>
        <v>0</v>
      </c>
      <c r="BL400">
        <f>'mk 001 10.3'!BL401</f>
        <v>0</v>
      </c>
      <c r="BM400">
        <f>'mk 001 10.3'!BM401</f>
        <v>0</v>
      </c>
      <c r="BN400">
        <f>'mk 001 10.3'!BN401</f>
        <v>0</v>
      </c>
    </row>
    <row r="401" spans="1:66" x14ac:dyDescent="0.35">
      <c r="A401">
        <f>'mk 001 10.3'!A402</f>
        <v>0</v>
      </c>
      <c r="B401">
        <f>'mk 001 10.3'!B402</f>
        <v>0</v>
      </c>
      <c r="C401" s="1">
        <f>'mk 001 10.3'!C402</f>
        <v>0</v>
      </c>
      <c r="D401" s="1">
        <f>'mk 001 10.3'!D402</f>
        <v>0</v>
      </c>
      <c r="E401">
        <f>'mk 001 10.3'!E402</f>
        <v>0</v>
      </c>
      <c r="F401">
        <f>'mk 001 10.3'!F402</f>
        <v>0</v>
      </c>
      <c r="G401">
        <f>'mk 001 10.3'!G402</f>
        <v>0</v>
      </c>
      <c r="H401">
        <f>'mk 001 10.3'!H402</f>
        <v>0</v>
      </c>
      <c r="I401">
        <f>'mk 001 10.3'!I402</f>
        <v>0</v>
      </c>
      <c r="J401">
        <f>'mk 001 10.3'!J402</f>
        <v>0</v>
      </c>
      <c r="K401">
        <f>'mk 001 10.3'!K402</f>
        <v>0</v>
      </c>
      <c r="L401">
        <f>'mk 001 10.3'!L402</f>
        <v>0</v>
      </c>
      <c r="M401">
        <f>'mk 001 10.3'!M402</f>
        <v>0</v>
      </c>
      <c r="N401">
        <f>'mk 001 10.3'!N402</f>
        <v>0</v>
      </c>
      <c r="O401">
        <f>'mk 001 10.3'!O402</f>
        <v>0</v>
      </c>
      <c r="P401">
        <f>'mk 001 10.3'!P402</f>
        <v>0</v>
      </c>
      <c r="Q401">
        <f>'mk 001 10.3'!Q402</f>
        <v>0</v>
      </c>
      <c r="R401" s="1">
        <f>'mk 001 10.3'!R402</f>
        <v>0</v>
      </c>
      <c r="S401" s="1">
        <f>'mk 001 10.3'!S402</f>
        <v>0</v>
      </c>
      <c r="T401">
        <f>'mk 001 10.3'!T402</f>
        <v>0</v>
      </c>
      <c r="U401">
        <f>'mk 001 10.3'!U402</f>
        <v>0</v>
      </c>
      <c r="V401">
        <f>'mk 001 10.3'!V402</f>
        <v>0</v>
      </c>
      <c r="W401">
        <f>'mk 001 10.3'!W402</f>
        <v>0</v>
      </c>
      <c r="X401">
        <f>'mk 001 10.3'!X402</f>
        <v>0</v>
      </c>
      <c r="Y401">
        <f t="shared" ref="Y401:Y464" si="7">IFERROR(W401*Z401/X401,0)</f>
        <v>0</v>
      </c>
      <c r="Z401" s="13">
        <f>IF(COUNTIFS(แปลงข้อมูล!H:H,Q401,แปลงข้อมูล!I:I,U401,แปลงข้อมูล!J:J,V401)&gt;0,SUMIFS(แปลงข้อมูล!Q:Q,แปลงข้อมูล!I:I,U401,แปลงข้อมูล!H:H,Q401,แปลงข้อมูล!J:J,V401),'mk 001 10.3'!Z402)</f>
        <v>0</v>
      </c>
      <c r="AA401">
        <f>'mk 001 10.3'!AA402</f>
        <v>0</v>
      </c>
      <c r="AB401">
        <f>'mk 001 10.3'!AB402</f>
        <v>0</v>
      </c>
      <c r="AC401">
        <f>'mk 001 10.3'!AC402</f>
        <v>0</v>
      </c>
      <c r="AD401">
        <f>'mk 001 10.3'!AD402</f>
        <v>0</v>
      </c>
      <c r="AE401">
        <f>'mk 001 10.3'!AE402</f>
        <v>0</v>
      </c>
      <c r="AF401">
        <f>'mk 001 10.3'!AF402</f>
        <v>0</v>
      </c>
      <c r="AG401">
        <f>'mk 001 10.3'!AG402</f>
        <v>0</v>
      </c>
      <c r="AH401">
        <f>'mk 001 10.3'!AH402</f>
        <v>0</v>
      </c>
      <c r="AI401">
        <f>'mk 001 10.3'!AI402</f>
        <v>0</v>
      </c>
      <c r="AJ401">
        <f>'mk 001 10.3'!AJ402</f>
        <v>0</v>
      </c>
      <c r="AK401">
        <f>'mk 001 10.3'!AK402</f>
        <v>0</v>
      </c>
      <c r="AL401">
        <f>'mk 001 10.3'!AL402</f>
        <v>0</v>
      </c>
      <c r="AM401">
        <f>'mk 001 10.3'!AM402</f>
        <v>0</v>
      </c>
      <c r="AN401">
        <f>'mk 001 10.3'!AN402</f>
        <v>0</v>
      </c>
      <c r="AO401">
        <f>'mk 001 10.3'!AO402</f>
        <v>0</v>
      </c>
      <c r="AP401">
        <f>'mk 001 10.3'!AP402</f>
        <v>0</v>
      </c>
      <c r="AQ401">
        <f>'mk 001 10.3'!AQ402</f>
        <v>0</v>
      </c>
      <c r="AR401">
        <f>'mk 001 10.3'!AR402</f>
        <v>0</v>
      </c>
      <c r="AS401">
        <f>'mk 001 10.3'!AS402</f>
        <v>0</v>
      </c>
      <c r="AT401">
        <f>'mk 001 10.3'!AT402</f>
        <v>0</v>
      </c>
      <c r="AU401">
        <f>'mk 001 10.3'!AU402</f>
        <v>0</v>
      </c>
      <c r="AV401">
        <f>'mk 001 10.3'!AV402</f>
        <v>0</v>
      </c>
      <c r="AW401">
        <f>'mk 001 10.3'!AW402</f>
        <v>0</v>
      </c>
      <c r="AX401">
        <f>'mk 001 10.3'!AX402</f>
        <v>0</v>
      </c>
      <c r="AY401">
        <f>'mk 001 10.3'!AY402</f>
        <v>0</v>
      </c>
      <c r="AZ401">
        <f>'mk 001 10.3'!AZ402</f>
        <v>0</v>
      </c>
      <c r="BA401" s="22">
        <f>'mk 001 10.3'!BA402</f>
        <v>0</v>
      </c>
      <c r="BB401">
        <f>'mk 001 10.3'!BB402</f>
        <v>0</v>
      </c>
      <c r="BC401">
        <f>'mk 001 10.3'!BC402</f>
        <v>0</v>
      </c>
      <c r="BD401">
        <f>'mk 001 10.3'!BD402</f>
        <v>0</v>
      </c>
      <c r="BE401">
        <f>'mk 001 10.3'!BE402</f>
        <v>0</v>
      </c>
      <c r="BF401">
        <f>'mk 001 10.3'!BF402</f>
        <v>0</v>
      </c>
      <c r="BG401">
        <f>'mk 001 10.3'!BG402</f>
        <v>0</v>
      </c>
      <c r="BH401">
        <f>'mk 001 10.3'!BH402</f>
        <v>0</v>
      </c>
      <c r="BI401">
        <f>'mk 001 10.3'!BI402</f>
        <v>0</v>
      </c>
      <c r="BJ401">
        <f>'mk 001 10.3'!BJ402</f>
        <v>0</v>
      </c>
      <c r="BK401">
        <f>'mk 001 10.3'!BK402</f>
        <v>0</v>
      </c>
      <c r="BL401">
        <f>'mk 001 10.3'!BL402</f>
        <v>0</v>
      </c>
      <c r="BM401">
        <f>'mk 001 10.3'!BM402</f>
        <v>0</v>
      </c>
      <c r="BN401">
        <f>'mk 001 10.3'!BN402</f>
        <v>0</v>
      </c>
    </row>
    <row r="402" spans="1:66" x14ac:dyDescent="0.35">
      <c r="A402">
        <f>'mk 001 10.3'!A403</f>
        <v>0</v>
      </c>
      <c r="B402">
        <f>'mk 001 10.3'!B403</f>
        <v>0</v>
      </c>
      <c r="C402" s="1">
        <f>'mk 001 10.3'!C403</f>
        <v>0</v>
      </c>
      <c r="D402" s="1">
        <f>'mk 001 10.3'!D403</f>
        <v>0</v>
      </c>
      <c r="E402">
        <f>'mk 001 10.3'!E403</f>
        <v>0</v>
      </c>
      <c r="F402">
        <f>'mk 001 10.3'!F403</f>
        <v>0</v>
      </c>
      <c r="G402">
        <f>'mk 001 10.3'!G403</f>
        <v>0</v>
      </c>
      <c r="H402">
        <f>'mk 001 10.3'!H403</f>
        <v>0</v>
      </c>
      <c r="I402">
        <f>'mk 001 10.3'!I403</f>
        <v>0</v>
      </c>
      <c r="J402">
        <f>'mk 001 10.3'!J403</f>
        <v>0</v>
      </c>
      <c r="K402">
        <f>'mk 001 10.3'!K403</f>
        <v>0</v>
      </c>
      <c r="L402">
        <f>'mk 001 10.3'!L403</f>
        <v>0</v>
      </c>
      <c r="M402">
        <f>'mk 001 10.3'!M403</f>
        <v>0</v>
      </c>
      <c r="N402">
        <f>'mk 001 10.3'!N403</f>
        <v>0</v>
      </c>
      <c r="O402">
        <f>'mk 001 10.3'!O403</f>
        <v>0</v>
      </c>
      <c r="P402">
        <f>'mk 001 10.3'!P403</f>
        <v>0</v>
      </c>
      <c r="Q402">
        <f>'mk 001 10.3'!Q403</f>
        <v>0</v>
      </c>
      <c r="R402" s="1">
        <f>'mk 001 10.3'!R403</f>
        <v>0</v>
      </c>
      <c r="S402" s="1">
        <f>'mk 001 10.3'!S403</f>
        <v>0</v>
      </c>
      <c r="T402">
        <f>'mk 001 10.3'!T403</f>
        <v>0</v>
      </c>
      <c r="U402">
        <f>'mk 001 10.3'!U403</f>
        <v>0</v>
      </c>
      <c r="V402">
        <f>'mk 001 10.3'!V403</f>
        <v>0</v>
      </c>
      <c r="W402">
        <f>'mk 001 10.3'!W403</f>
        <v>0</v>
      </c>
      <c r="X402">
        <f>'mk 001 10.3'!X403</f>
        <v>0</v>
      </c>
      <c r="Y402">
        <f t="shared" si="7"/>
        <v>0</v>
      </c>
      <c r="Z402" s="13">
        <f>IF(COUNTIFS(แปลงข้อมูล!H:H,Q402,แปลงข้อมูล!I:I,U402,แปลงข้อมูล!J:J,V402)&gt;0,SUMIFS(แปลงข้อมูล!Q:Q,แปลงข้อมูล!I:I,U402,แปลงข้อมูล!H:H,Q402,แปลงข้อมูล!J:J,V402),'mk 001 10.3'!Z403)</f>
        <v>0</v>
      </c>
      <c r="AA402">
        <f>'mk 001 10.3'!AA403</f>
        <v>0</v>
      </c>
      <c r="AB402">
        <f>'mk 001 10.3'!AB403</f>
        <v>0</v>
      </c>
      <c r="AC402">
        <f>'mk 001 10.3'!AC403</f>
        <v>0</v>
      </c>
      <c r="AD402">
        <f>'mk 001 10.3'!AD403</f>
        <v>0</v>
      </c>
      <c r="AE402">
        <f>'mk 001 10.3'!AE403</f>
        <v>0</v>
      </c>
      <c r="AF402">
        <f>'mk 001 10.3'!AF403</f>
        <v>0</v>
      </c>
      <c r="AG402">
        <f>'mk 001 10.3'!AG403</f>
        <v>0</v>
      </c>
      <c r="AH402">
        <f>'mk 001 10.3'!AH403</f>
        <v>0</v>
      </c>
      <c r="AI402">
        <f>'mk 001 10.3'!AI403</f>
        <v>0</v>
      </c>
      <c r="AJ402">
        <f>'mk 001 10.3'!AJ403</f>
        <v>0</v>
      </c>
      <c r="AK402">
        <f>'mk 001 10.3'!AK403</f>
        <v>0</v>
      </c>
      <c r="AL402">
        <f>'mk 001 10.3'!AL403</f>
        <v>0</v>
      </c>
      <c r="AM402">
        <f>'mk 001 10.3'!AM403</f>
        <v>0</v>
      </c>
      <c r="AN402">
        <f>'mk 001 10.3'!AN403</f>
        <v>0</v>
      </c>
      <c r="AO402">
        <f>'mk 001 10.3'!AO403</f>
        <v>0</v>
      </c>
      <c r="AP402">
        <f>'mk 001 10.3'!AP403</f>
        <v>0</v>
      </c>
      <c r="AQ402">
        <f>'mk 001 10.3'!AQ403</f>
        <v>0</v>
      </c>
      <c r="AR402">
        <f>'mk 001 10.3'!AR403</f>
        <v>0</v>
      </c>
      <c r="AS402">
        <f>'mk 001 10.3'!AS403</f>
        <v>0</v>
      </c>
      <c r="AT402">
        <f>'mk 001 10.3'!AT403</f>
        <v>0</v>
      </c>
      <c r="AU402">
        <f>'mk 001 10.3'!AU403</f>
        <v>0</v>
      </c>
      <c r="AV402">
        <f>'mk 001 10.3'!AV403</f>
        <v>0</v>
      </c>
      <c r="AW402">
        <f>'mk 001 10.3'!AW403</f>
        <v>0</v>
      </c>
      <c r="AX402">
        <f>'mk 001 10.3'!AX403</f>
        <v>0</v>
      </c>
      <c r="AY402">
        <f>'mk 001 10.3'!AY403</f>
        <v>0</v>
      </c>
      <c r="AZ402">
        <f>'mk 001 10.3'!AZ403</f>
        <v>0</v>
      </c>
      <c r="BA402" s="22">
        <f>'mk 001 10.3'!BA403</f>
        <v>0</v>
      </c>
      <c r="BB402">
        <f>'mk 001 10.3'!BB403</f>
        <v>0</v>
      </c>
      <c r="BC402">
        <f>'mk 001 10.3'!BC403</f>
        <v>0</v>
      </c>
      <c r="BD402">
        <f>'mk 001 10.3'!BD403</f>
        <v>0</v>
      </c>
      <c r="BE402">
        <f>'mk 001 10.3'!BE403</f>
        <v>0</v>
      </c>
      <c r="BF402">
        <f>'mk 001 10.3'!BF403</f>
        <v>0</v>
      </c>
      <c r="BG402">
        <f>'mk 001 10.3'!BG403</f>
        <v>0</v>
      </c>
      <c r="BH402">
        <f>'mk 001 10.3'!BH403</f>
        <v>0</v>
      </c>
      <c r="BI402">
        <f>'mk 001 10.3'!BI403</f>
        <v>0</v>
      </c>
      <c r="BJ402">
        <f>'mk 001 10.3'!BJ403</f>
        <v>0</v>
      </c>
      <c r="BK402">
        <f>'mk 001 10.3'!BK403</f>
        <v>0</v>
      </c>
      <c r="BL402">
        <f>'mk 001 10.3'!BL403</f>
        <v>0</v>
      </c>
      <c r="BM402">
        <f>'mk 001 10.3'!BM403</f>
        <v>0</v>
      </c>
      <c r="BN402">
        <f>'mk 001 10.3'!BN403</f>
        <v>0</v>
      </c>
    </row>
    <row r="403" spans="1:66" x14ac:dyDescent="0.35">
      <c r="A403">
        <f>'mk 001 10.3'!A404</f>
        <v>0</v>
      </c>
      <c r="B403">
        <f>'mk 001 10.3'!B404</f>
        <v>0</v>
      </c>
      <c r="C403" s="1">
        <f>'mk 001 10.3'!C404</f>
        <v>0</v>
      </c>
      <c r="D403" s="1">
        <f>'mk 001 10.3'!D404</f>
        <v>0</v>
      </c>
      <c r="E403">
        <f>'mk 001 10.3'!E404</f>
        <v>0</v>
      </c>
      <c r="F403">
        <f>'mk 001 10.3'!F404</f>
        <v>0</v>
      </c>
      <c r="G403">
        <f>'mk 001 10.3'!G404</f>
        <v>0</v>
      </c>
      <c r="H403">
        <f>'mk 001 10.3'!H404</f>
        <v>0</v>
      </c>
      <c r="I403">
        <f>'mk 001 10.3'!I404</f>
        <v>0</v>
      </c>
      <c r="J403">
        <f>'mk 001 10.3'!J404</f>
        <v>0</v>
      </c>
      <c r="K403">
        <f>'mk 001 10.3'!K404</f>
        <v>0</v>
      </c>
      <c r="L403">
        <f>'mk 001 10.3'!L404</f>
        <v>0</v>
      </c>
      <c r="M403">
        <f>'mk 001 10.3'!M404</f>
        <v>0</v>
      </c>
      <c r="N403">
        <f>'mk 001 10.3'!N404</f>
        <v>0</v>
      </c>
      <c r="O403">
        <f>'mk 001 10.3'!O404</f>
        <v>0</v>
      </c>
      <c r="P403">
        <f>'mk 001 10.3'!P404</f>
        <v>0</v>
      </c>
      <c r="Q403">
        <f>'mk 001 10.3'!Q404</f>
        <v>0</v>
      </c>
      <c r="R403" s="1">
        <f>'mk 001 10.3'!R404</f>
        <v>0</v>
      </c>
      <c r="S403" s="1">
        <f>'mk 001 10.3'!S404</f>
        <v>0</v>
      </c>
      <c r="T403">
        <f>'mk 001 10.3'!T404</f>
        <v>0</v>
      </c>
      <c r="U403">
        <f>'mk 001 10.3'!U404</f>
        <v>0</v>
      </c>
      <c r="V403">
        <f>'mk 001 10.3'!V404</f>
        <v>0</v>
      </c>
      <c r="W403">
        <f>'mk 001 10.3'!W404</f>
        <v>0</v>
      </c>
      <c r="X403">
        <f>'mk 001 10.3'!X404</f>
        <v>0</v>
      </c>
      <c r="Y403">
        <f t="shared" si="7"/>
        <v>0</v>
      </c>
      <c r="Z403" s="13">
        <f>IF(COUNTIFS(แปลงข้อมูล!H:H,Q403,แปลงข้อมูล!I:I,U403,แปลงข้อมูล!J:J,V403)&gt;0,SUMIFS(แปลงข้อมูล!Q:Q,แปลงข้อมูล!I:I,U403,แปลงข้อมูล!H:H,Q403,แปลงข้อมูล!J:J,V403),'mk 001 10.3'!Z404)</f>
        <v>0</v>
      </c>
      <c r="AA403">
        <f>'mk 001 10.3'!AA404</f>
        <v>0</v>
      </c>
      <c r="AB403">
        <f>'mk 001 10.3'!AB404</f>
        <v>0</v>
      </c>
      <c r="AC403">
        <f>'mk 001 10.3'!AC404</f>
        <v>0</v>
      </c>
      <c r="AD403">
        <f>'mk 001 10.3'!AD404</f>
        <v>0</v>
      </c>
      <c r="AE403">
        <f>'mk 001 10.3'!AE404</f>
        <v>0</v>
      </c>
      <c r="AF403">
        <f>'mk 001 10.3'!AF404</f>
        <v>0</v>
      </c>
      <c r="AG403">
        <f>'mk 001 10.3'!AG404</f>
        <v>0</v>
      </c>
      <c r="AH403">
        <f>'mk 001 10.3'!AH404</f>
        <v>0</v>
      </c>
      <c r="AI403">
        <f>'mk 001 10.3'!AI404</f>
        <v>0</v>
      </c>
      <c r="AJ403">
        <f>'mk 001 10.3'!AJ404</f>
        <v>0</v>
      </c>
      <c r="AK403">
        <f>'mk 001 10.3'!AK404</f>
        <v>0</v>
      </c>
      <c r="AL403">
        <f>'mk 001 10.3'!AL404</f>
        <v>0</v>
      </c>
      <c r="AM403">
        <f>'mk 001 10.3'!AM404</f>
        <v>0</v>
      </c>
      <c r="AN403">
        <f>'mk 001 10.3'!AN404</f>
        <v>0</v>
      </c>
      <c r="AO403">
        <f>'mk 001 10.3'!AO404</f>
        <v>0</v>
      </c>
      <c r="AP403">
        <f>'mk 001 10.3'!AP404</f>
        <v>0</v>
      </c>
      <c r="AQ403">
        <f>'mk 001 10.3'!AQ404</f>
        <v>0</v>
      </c>
      <c r="AR403">
        <f>'mk 001 10.3'!AR404</f>
        <v>0</v>
      </c>
      <c r="AS403">
        <f>'mk 001 10.3'!AS404</f>
        <v>0</v>
      </c>
      <c r="AT403">
        <f>'mk 001 10.3'!AT404</f>
        <v>0</v>
      </c>
      <c r="AU403">
        <f>'mk 001 10.3'!AU404</f>
        <v>0</v>
      </c>
      <c r="AV403">
        <f>'mk 001 10.3'!AV404</f>
        <v>0</v>
      </c>
      <c r="AW403">
        <f>'mk 001 10.3'!AW404</f>
        <v>0</v>
      </c>
      <c r="AX403">
        <f>'mk 001 10.3'!AX404</f>
        <v>0</v>
      </c>
      <c r="AY403">
        <f>'mk 001 10.3'!AY404</f>
        <v>0</v>
      </c>
      <c r="AZ403">
        <f>'mk 001 10.3'!AZ404</f>
        <v>0</v>
      </c>
      <c r="BA403" s="22">
        <f>'mk 001 10.3'!BA404</f>
        <v>0</v>
      </c>
      <c r="BB403">
        <f>'mk 001 10.3'!BB404</f>
        <v>0</v>
      </c>
      <c r="BC403">
        <f>'mk 001 10.3'!BC404</f>
        <v>0</v>
      </c>
      <c r="BD403">
        <f>'mk 001 10.3'!BD404</f>
        <v>0</v>
      </c>
      <c r="BE403">
        <f>'mk 001 10.3'!BE404</f>
        <v>0</v>
      </c>
      <c r="BF403">
        <f>'mk 001 10.3'!BF404</f>
        <v>0</v>
      </c>
      <c r="BG403">
        <f>'mk 001 10.3'!BG404</f>
        <v>0</v>
      </c>
      <c r="BH403">
        <f>'mk 001 10.3'!BH404</f>
        <v>0</v>
      </c>
      <c r="BI403">
        <f>'mk 001 10.3'!BI404</f>
        <v>0</v>
      </c>
      <c r="BJ403">
        <f>'mk 001 10.3'!BJ404</f>
        <v>0</v>
      </c>
      <c r="BK403">
        <f>'mk 001 10.3'!BK404</f>
        <v>0</v>
      </c>
      <c r="BL403">
        <f>'mk 001 10.3'!BL404</f>
        <v>0</v>
      </c>
      <c r="BM403">
        <f>'mk 001 10.3'!BM404</f>
        <v>0</v>
      </c>
      <c r="BN403">
        <f>'mk 001 10.3'!BN404</f>
        <v>0</v>
      </c>
    </row>
    <row r="404" spans="1:66" x14ac:dyDescent="0.35">
      <c r="A404">
        <f>'mk 001 10.3'!A405</f>
        <v>0</v>
      </c>
      <c r="B404">
        <f>'mk 001 10.3'!B405</f>
        <v>0</v>
      </c>
      <c r="C404" s="1">
        <f>'mk 001 10.3'!C405</f>
        <v>0</v>
      </c>
      <c r="D404" s="1">
        <f>'mk 001 10.3'!D405</f>
        <v>0</v>
      </c>
      <c r="E404">
        <f>'mk 001 10.3'!E405</f>
        <v>0</v>
      </c>
      <c r="F404">
        <f>'mk 001 10.3'!F405</f>
        <v>0</v>
      </c>
      <c r="G404">
        <f>'mk 001 10.3'!G405</f>
        <v>0</v>
      </c>
      <c r="H404">
        <f>'mk 001 10.3'!H405</f>
        <v>0</v>
      </c>
      <c r="I404">
        <f>'mk 001 10.3'!I405</f>
        <v>0</v>
      </c>
      <c r="J404">
        <f>'mk 001 10.3'!J405</f>
        <v>0</v>
      </c>
      <c r="K404">
        <f>'mk 001 10.3'!K405</f>
        <v>0</v>
      </c>
      <c r="L404">
        <f>'mk 001 10.3'!L405</f>
        <v>0</v>
      </c>
      <c r="M404">
        <f>'mk 001 10.3'!M405</f>
        <v>0</v>
      </c>
      <c r="N404">
        <f>'mk 001 10.3'!N405</f>
        <v>0</v>
      </c>
      <c r="O404">
        <f>'mk 001 10.3'!O405</f>
        <v>0</v>
      </c>
      <c r="P404">
        <f>'mk 001 10.3'!P405</f>
        <v>0</v>
      </c>
      <c r="Q404">
        <f>'mk 001 10.3'!Q405</f>
        <v>0</v>
      </c>
      <c r="R404" s="1">
        <f>'mk 001 10.3'!R405</f>
        <v>0</v>
      </c>
      <c r="S404" s="1">
        <f>'mk 001 10.3'!S405</f>
        <v>0</v>
      </c>
      <c r="T404">
        <f>'mk 001 10.3'!T405</f>
        <v>0</v>
      </c>
      <c r="U404">
        <f>'mk 001 10.3'!U405</f>
        <v>0</v>
      </c>
      <c r="V404">
        <f>'mk 001 10.3'!V405</f>
        <v>0</v>
      </c>
      <c r="W404">
        <f>'mk 001 10.3'!W405</f>
        <v>0</v>
      </c>
      <c r="X404">
        <f>'mk 001 10.3'!X405</f>
        <v>0</v>
      </c>
      <c r="Y404">
        <f t="shared" si="7"/>
        <v>0</v>
      </c>
      <c r="Z404" s="13">
        <f>IF(COUNTIFS(แปลงข้อมูล!H:H,Q404,แปลงข้อมูล!I:I,U404,แปลงข้อมูล!J:J,V404)&gt;0,SUMIFS(แปลงข้อมูล!Q:Q,แปลงข้อมูล!I:I,U404,แปลงข้อมูล!H:H,Q404,แปลงข้อมูล!J:J,V404),'mk 001 10.3'!Z405)</f>
        <v>0</v>
      </c>
      <c r="AA404">
        <f>'mk 001 10.3'!AA405</f>
        <v>0</v>
      </c>
      <c r="AB404">
        <f>'mk 001 10.3'!AB405</f>
        <v>0</v>
      </c>
      <c r="AC404">
        <f>'mk 001 10.3'!AC405</f>
        <v>0</v>
      </c>
      <c r="AD404">
        <f>'mk 001 10.3'!AD405</f>
        <v>0</v>
      </c>
      <c r="AE404">
        <f>'mk 001 10.3'!AE405</f>
        <v>0</v>
      </c>
      <c r="AF404">
        <f>'mk 001 10.3'!AF405</f>
        <v>0</v>
      </c>
      <c r="AG404">
        <f>'mk 001 10.3'!AG405</f>
        <v>0</v>
      </c>
      <c r="AH404">
        <f>'mk 001 10.3'!AH405</f>
        <v>0</v>
      </c>
      <c r="AI404">
        <f>'mk 001 10.3'!AI405</f>
        <v>0</v>
      </c>
      <c r="AJ404">
        <f>'mk 001 10.3'!AJ405</f>
        <v>0</v>
      </c>
      <c r="AK404">
        <f>'mk 001 10.3'!AK405</f>
        <v>0</v>
      </c>
      <c r="AL404">
        <f>'mk 001 10.3'!AL405</f>
        <v>0</v>
      </c>
      <c r="AM404">
        <f>'mk 001 10.3'!AM405</f>
        <v>0</v>
      </c>
      <c r="AN404">
        <f>'mk 001 10.3'!AN405</f>
        <v>0</v>
      </c>
      <c r="AO404">
        <f>'mk 001 10.3'!AO405</f>
        <v>0</v>
      </c>
      <c r="AP404">
        <f>'mk 001 10.3'!AP405</f>
        <v>0</v>
      </c>
      <c r="AQ404">
        <f>'mk 001 10.3'!AQ405</f>
        <v>0</v>
      </c>
      <c r="AR404">
        <f>'mk 001 10.3'!AR405</f>
        <v>0</v>
      </c>
      <c r="AS404">
        <f>'mk 001 10.3'!AS405</f>
        <v>0</v>
      </c>
      <c r="AT404">
        <f>'mk 001 10.3'!AT405</f>
        <v>0</v>
      </c>
      <c r="AU404">
        <f>'mk 001 10.3'!AU405</f>
        <v>0</v>
      </c>
      <c r="AV404">
        <f>'mk 001 10.3'!AV405</f>
        <v>0</v>
      </c>
      <c r="AW404">
        <f>'mk 001 10.3'!AW405</f>
        <v>0</v>
      </c>
      <c r="AX404">
        <f>'mk 001 10.3'!AX405</f>
        <v>0</v>
      </c>
      <c r="AY404">
        <f>'mk 001 10.3'!AY405</f>
        <v>0</v>
      </c>
      <c r="AZ404">
        <f>'mk 001 10.3'!AZ405</f>
        <v>0</v>
      </c>
      <c r="BA404" s="22">
        <f>'mk 001 10.3'!BA405</f>
        <v>0</v>
      </c>
      <c r="BB404">
        <f>'mk 001 10.3'!BB405</f>
        <v>0</v>
      </c>
      <c r="BC404">
        <f>'mk 001 10.3'!BC405</f>
        <v>0</v>
      </c>
      <c r="BD404">
        <f>'mk 001 10.3'!BD405</f>
        <v>0</v>
      </c>
      <c r="BE404">
        <f>'mk 001 10.3'!BE405</f>
        <v>0</v>
      </c>
      <c r="BF404">
        <f>'mk 001 10.3'!BF405</f>
        <v>0</v>
      </c>
      <c r="BG404">
        <f>'mk 001 10.3'!BG405</f>
        <v>0</v>
      </c>
      <c r="BH404">
        <f>'mk 001 10.3'!BH405</f>
        <v>0</v>
      </c>
      <c r="BI404">
        <f>'mk 001 10.3'!BI405</f>
        <v>0</v>
      </c>
      <c r="BJ404">
        <f>'mk 001 10.3'!BJ405</f>
        <v>0</v>
      </c>
      <c r="BK404">
        <f>'mk 001 10.3'!BK405</f>
        <v>0</v>
      </c>
      <c r="BL404">
        <f>'mk 001 10.3'!BL405</f>
        <v>0</v>
      </c>
      <c r="BM404">
        <f>'mk 001 10.3'!BM405</f>
        <v>0</v>
      </c>
      <c r="BN404">
        <f>'mk 001 10.3'!BN405</f>
        <v>0</v>
      </c>
    </row>
    <row r="405" spans="1:66" x14ac:dyDescent="0.35">
      <c r="A405">
        <f>'mk 001 10.3'!A406</f>
        <v>0</v>
      </c>
      <c r="B405">
        <f>'mk 001 10.3'!B406</f>
        <v>0</v>
      </c>
      <c r="C405" s="1">
        <f>'mk 001 10.3'!C406</f>
        <v>0</v>
      </c>
      <c r="D405" s="1">
        <f>'mk 001 10.3'!D406</f>
        <v>0</v>
      </c>
      <c r="E405">
        <f>'mk 001 10.3'!E406</f>
        <v>0</v>
      </c>
      <c r="F405">
        <f>'mk 001 10.3'!F406</f>
        <v>0</v>
      </c>
      <c r="G405">
        <f>'mk 001 10.3'!G406</f>
        <v>0</v>
      </c>
      <c r="H405">
        <f>'mk 001 10.3'!H406</f>
        <v>0</v>
      </c>
      <c r="I405">
        <f>'mk 001 10.3'!I406</f>
        <v>0</v>
      </c>
      <c r="J405">
        <f>'mk 001 10.3'!J406</f>
        <v>0</v>
      </c>
      <c r="K405">
        <f>'mk 001 10.3'!K406</f>
        <v>0</v>
      </c>
      <c r="L405">
        <f>'mk 001 10.3'!L406</f>
        <v>0</v>
      </c>
      <c r="M405">
        <f>'mk 001 10.3'!M406</f>
        <v>0</v>
      </c>
      <c r="N405">
        <f>'mk 001 10.3'!N406</f>
        <v>0</v>
      </c>
      <c r="O405">
        <f>'mk 001 10.3'!O406</f>
        <v>0</v>
      </c>
      <c r="P405">
        <f>'mk 001 10.3'!P406</f>
        <v>0</v>
      </c>
      <c r="Q405">
        <f>'mk 001 10.3'!Q406</f>
        <v>0</v>
      </c>
      <c r="R405" s="1">
        <f>'mk 001 10.3'!R406</f>
        <v>0</v>
      </c>
      <c r="S405" s="1">
        <f>'mk 001 10.3'!S406</f>
        <v>0</v>
      </c>
      <c r="T405">
        <f>'mk 001 10.3'!T406</f>
        <v>0</v>
      </c>
      <c r="U405">
        <f>'mk 001 10.3'!U406</f>
        <v>0</v>
      </c>
      <c r="V405">
        <f>'mk 001 10.3'!V406</f>
        <v>0</v>
      </c>
      <c r="W405">
        <f>'mk 001 10.3'!W406</f>
        <v>0</v>
      </c>
      <c r="X405">
        <f>'mk 001 10.3'!X406</f>
        <v>0</v>
      </c>
      <c r="Y405">
        <f t="shared" si="7"/>
        <v>0</v>
      </c>
      <c r="Z405" s="13">
        <f>IF(COUNTIFS(แปลงข้อมูล!H:H,Q405,แปลงข้อมูล!I:I,U405,แปลงข้อมูล!J:J,V405)&gt;0,SUMIFS(แปลงข้อมูล!Q:Q,แปลงข้อมูล!I:I,U405,แปลงข้อมูล!H:H,Q405,แปลงข้อมูล!J:J,V405),'mk 001 10.3'!Z406)</f>
        <v>0</v>
      </c>
      <c r="AA405">
        <f>'mk 001 10.3'!AA406</f>
        <v>0</v>
      </c>
      <c r="AB405">
        <f>'mk 001 10.3'!AB406</f>
        <v>0</v>
      </c>
      <c r="AC405">
        <f>'mk 001 10.3'!AC406</f>
        <v>0</v>
      </c>
      <c r="AD405">
        <f>'mk 001 10.3'!AD406</f>
        <v>0</v>
      </c>
      <c r="AE405">
        <f>'mk 001 10.3'!AE406</f>
        <v>0</v>
      </c>
      <c r="AF405">
        <f>'mk 001 10.3'!AF406</f>
        <v>0</v>
      </c>
      <c r="AG405">
        <f>'mk 001 10.3'!AG406</f>
        <v>0</v>
      </c>
      <c r="AH405">
        <f>'mk 001 10.3'!AH406</f>
        <v>0</v>
      </c>
      <c r="AI405">
        <f>'mk 001 10.3'!AI406</f>
        <v>0</v>
      </c>
      <c r="AJ405">
        <f>'mk 001 10.3'!AJ406</f>
        <v>0</v>
      </c>
      <c r="AK405">
        <f>'mk 001 10.3'!AK406</f>
        <v>0</v>
      </c>
      <c r="AL405">
        <f>'mk 001 10.3'!AL406</f>
        <v>0</v>
      </c>
      <c r="AM405">
        <f>'mk 001 10.3'!AM406</f>
        <v>0</v>
      </c>
      <c r="AN405">
        <f>'mk 001 10.3'!AN406</f>
        <v>0</v>
      </c>
      <c r="AO405">
        <f>'mk 001 10.3'!AO406</f>
        <v>0</v>
      </c>
      <c r="AP405">
        <f>'mk 001 10.3'!AP406</f>
        <v>0</v>
      </c>
      <c r="AQ405">
        <f>'mk 001 10.3'!AQ406</f>
        <v>0</v>
      </c>
      <c r="AR405">
        <f>'mk 001 10.3'!AR406</f>
        <v>0</v>
      </c>
      <c r="AS405">
        <f>'mk 001 10.3'!AS406</f>
        <v>0</v>
      </c>
      <c r="AT405">
        <f>'mk 001 10.3'!AT406</f>
        <v>0</v>
      </c>
      <c r="AU405">
        <f>'mk 001 10.3'!AU406</f>
        <v>0</v>
      </c>
      <c r="AV405">
        <f>'mk 001 10.3'!AV406</f>
        <v>0</v>
      </c>
      <c r="AW405">
        <f>'mk 001 10.3'!AW406</f>
        <v>0</v>
      </c>
      <c r="AX405">
        <f>'mk 001 10.3'!AX406</f>
        <v>0</v>
      </c>
      <c r="AY405">
        <f>'mk 001 10.3'!AY406</f>
        <v>0</v>
      </c>
      <c r="AZ405">
        <f>'mk 001 10.3'!AZ406</f>
        <v>0</v>
      </c>
      <c r="BA405" s="22">
        <f>'mk 001 10.3'!BA406</f>
        <v>0</v>
      </c>
      <c r="BB405">
        <f>'mk 001 10.3'!BB406</f>
        <v>0</v>
      </c>
      <c r="BC405">
        <f>'mk 001 10.3'!BC406</f>
        <v>0</v>
      </c>
      <c r="BD405">
        <f>'mk 001 10.3'!BD406</f>
        <v>0</v>
      </c>
      <c r="BE405">
        <f>'mk 001 10.3'!BE406</f>
        <v>0</v>
      </c>
      <c r="BF405">
        <f>'mk 001 10.3'!BF406</f>
        <v>0</v>
      </c>
      <c r="BG405">
        <f>'mk 001 10.3'!BG406</f>
        <v>0</v>
      </c>
      <c r="BH405">
        <f>'mk 001 10.3'!BH406</f>
        <v>0</v>
      </c>
      <c r="BI405">
        <f>'mk 001 10.3'!BI406</f>
        <v>0</v>
      </c>
      <c r="BJ405">
        <f>'mk 001 10.3'!BJ406</f>
        <v>0</v>
      </c>
      <c r="BK405">
        <f>'mk 001 10.3'!BK406</f>
        <v>0</v>
      </c>
      <c r="BL405">
        <f>'mk 001 10.3'!BL406</f>
        <v>0</v>
      </c>
      <c r="BM405">
        <f>'mk 001 10.3'!BM406</f>
        <v>0</v>
      </c>
      <c r="BN405">
        <f>'mk 001 10.3'!BN406</f>
        <v>0</v>
      </c>
    </row>
    <row r="406" spans="1:66" x14ac:dyDescent="0.35">
      <c r="A406">
        <f>'mk 001 10.3'!A407</f>
        <v>0</v>
      </c>
      <c r="B406">
        <f>'mk 001 10.3'!B407</f>
        <v>0</v>
      </c>
      <c r="C406" s="1">
        <f>'mk 001 10.3'!C407</f>
        <v>0</v>
      </c>
      <c r="D406" s="1">
        <f>'mk 001 10.3'!D407</f>
        <v>0</v>
      </c>
      <c r="E406">
        <f>'mk 001 10.3'!E407</f>
        <v>0</v>
      </c>
      <c r="F406">
        <f>'mk 001 10.3'!F407</f>
        <v>0</v>
      </c>
      <c r="G406">
        <f>'mk 001 10.3'!G407</f>
        <v>0</v>
      </c>
      <c r="H406">
        <f>'mk 001 10.3'!H407</f>
        <v>0</v>
      </c>
      <c r="I406">
        <f>'mk 001 10.3'!I407</f>
        <v>0</v>
      </c>
      <c r="J406">
        <f>'mk 001 10.3'!J407</f>
        <v>0</v>
      </c>
      <c r="K406">
        <f>'mk 001 10.3'!K407</f>
        <v>0</v>
      </c>
      <c r="L406">
        <f>'mk 001 10.3'!L407</f>
        <v>0</v>
      </c>
      <c r="M406">
        <f>'mk 001 10.3'!M407</f>
        <v>0</v>
      </c>
      <c r="N406">
        <f>'mk 001 10.3'!N407</f>
        <v>0</v>
      </c>
      <c r="O406">
        <f>'mk 001 10.3'!O407</f>
        <v>0</v>
      </c>
      <c r="P406">
        <f>'mk 001 10.3'!P407</f>
        <v>0</v>
      </c>
      <c r="Q406">
        <f>'mk 001 10.3'!Q407</f>
        <v>0</v>
      </c>
      <c r="R406" s="1">
        <f>'mk 001 10.3'!R407</f>
        <v>0</v>
      </c>
      <c r="S406" s="1">
        <f>'mk 001 10.3'!S407</f>
        <v>0</v>
      </c>
      <c r="T406">
        <f>'mk 001 10.3'!T407</f>
        <v>0</v>
      </c>
      <c r="U406">
        <f>'mk 001 10.3'!U407</f>
        <v>0</v>
      </c>
      <c r="V406">
        <f>'mk 001 10.3'!V407</f>
        <v>0</v>
      </c>
      <c r="W406">
        <f>'mk 001 10.3'!W407</f>
        <v>0</v>
      </c>
      <c r="X406">
        <f>'mk 001 10.3'!X407</f>
        <v>0</v>
      </c>
      <c r="Y406">
        <f t="shared" si="7"/>
        <v>0</v>
      </c>
      <c r="Z406" s="13">
        <f>IF(COUNTIFS(แปลงข้อมูล!H:H,Q406,แปลงข้อมูล!I:I,U406,แปลงข้อมูล!J:J,V406)&gt;0,SUMIFS(แปลงข้อมูล!Q:Q,แปลงข้อมูล!I:I,U406,แปลงข้อมูล!H:H,Q406,แปลงข้อมูล!J:J,V406),'mk 001 10.3'!Z407)</f>
        <v>0</v>
      </c>
      <c r="AA406">
        <f>'mk 001 10.3'!AA407</f>
        <v>0</v>
      </c>
      <c r="AB406">
        <f>'mk 001 10.3'!AB407</f>
        <v>0</v>
      </c>
      <c r="AC406">
        <f>'mk 001 10.3'!AC407</f>
        <v>0</v>
      </c>
      <c r="AD406">
        <f>'mk 001 10.3'!AD407</f>
        <v>0</v>
      </c>
      <c r="AE406">
        <f>'mk 001 10.3'!AE407</f>
        <v>0</v>
      </c>
      <c r="AF406">
        <f>'mk 001 10.3'!AF407</f>
        <v>0</v>
      </c>
      <c r="AG406">
        <f>'mk 001 10.3'!AG407</f>
        <v>0</v>
      </c>
      <c r="AH406">
        <f>'mk 001 10.3'!AH407</f>
        <v>0</v>
      </c>
      <c r="AI406">
        <f>'mk 001 10.3'!AI407</f>
        <v>0</v>
      </c>
      <c r="AJ406">
        <f>'mk 001 10.3'!AJ407</f>
        <v>0</v>
      </c>
      <c r="AK406">
        <f>'mk 001 10.3'!AK407</f>
        <v>0</v>
      </c>
      <c r="AL406">
        <f>'mk 001 10.3'!AL407</f>
        <v>0</v>
      </c>
      <c r="AM406">
        <f>'mk 001 10.3'!AM407</f>
        <v>0</v>
      </c>
      <c r="AN406">
        <f>'mk 001 10.3'!AN407</f>
        <v>0</v>
      </c>
      <c r="AO406">
        <f>'mk 001 10.3'!AO407</f>
        <v>0</v>
      </c>
      <c r="AP406">
        <f>'mk 001 10.3'!AP407</f>
        <v>0</v>
      </c>
      <c r="AQ406">
        <f>'mk 001 10.3'!AQ407</f>
        <v>0</v>
      </c>
      <c r="AR406">
        <f>'mk 001 10.3'!AR407</f>
        <v>0</v>
      </c>
      <c r="AS406">
        <f>'mk 001 10.3'!AS407</f>
        <v>0</v>
      </c>
      <c r="AT406">
        <f>'mk 001 10.3'!AT407</f>
        <v>0</v>
      </c>
      <c r="AU406">
        <f>'mk 001 10.3'!AU407</f>
        <v>0</v>
      </c>
      <c r="AV406">
        <f>'mk 001 10.3'!AV407</f>
        <v>0</v>
      </c>
      <c r="AW406">
        <f>'mk 001 10.3'!AW407</f>
        <v>0</v>
      </c>
      <c r="AX406">
        <f>'mk 001 10.3'!AX407</f>
        <v>0</v>
      </c>
      <c r="AY406">
        <f>'mk 001 10.3'!AY407</f>
        <v>0</v>
      </c>
      <c r="AZ406">
        <f>'mk 001 10.3'!AZ407</f>
        <v>0</v>
      </c>
      <c r="BA406" s="22">
        <f>'mk 001 10.3'!BA407</f>
        <v>0</v>
      </c>
      <c r="BB406">
        <f>'mk 001 10.3'!BB407</f>
        <v>0</v>
      </c>
      <c r="BC406">
        <f>'mk 001 10.3'!BC407</f>
        <v>0</v>
      </c>
      <c r="BD406">
        <f>'mk 001 10.3'!BD407</f>
        <v>0</v>
      </c>
      <c r="BE406">
        <f>'mk 001 10.3'!BE407</f>
        <v>0</v>
      </c>
      <c r="BF406">
        <f>'mk 001 10.3'!BF407</f>
        <v>0</v>
      </c>
      <c r="BG406">
        <f>'mk 001 10.3'!BG407</f>
        <v>0</v>
      </c>
      <c r="BH406">
        <f>'mk 001 10.3'!BH407</f>
        <v>0</v>
      </c>
      <c r="BI406">
        <f>'mk 001 10.3'!BI407</f>
        <v>0</v>
      </c>
      <c r="BJ406">
        <f>'mk 001 10.3'!BJ407</f>
        <v>0</v>
      </c>
      <c r="BK406">
        <f>'mk 001 10.3'!BK407</f>
        <v>0</v>
      </c>
      <c r="BL406">
        <f>'mk 001 10.3'!BL407</f>
        <v>0</v>
      </c>
      <c r="BM406">
        <f>'mk 001 10.3'!BM407</f>
        <v>0</v>
      </c>
      <c r="BN406">
        <f>'mk 001 10.3'!BN407</f>
        <v>0</v>
      </c>
    </row>
    <row r="407" spans="1:66" x14ac:dyDescent="0.35">
      <c r="A407">
        <f>'mk 001 10.3'!A408</f>
        <v>0</v>
      </c>
      <c r="B407">
        <f>'mk 001 10.3'!B408</f>
        <v>0</v>
      </c>
      <c r="C407" s="1">
        <f>'mk 001 10.3'!C408</f>
        <v>0</v>
      </c>
      <c r="D407" s="1">
        <f>'mk 001 10.3'!D408</f>
        <v>0</v>
      </c>
      <c r="E407">
        <f>'mk 001 10.3'!E408</f>
        <v>0</v>
      </c>
      <c r="F407">
        <f>'mk 001 10.3'!F408</f>
        <v>0</v>
      </c>
      <c r="G407">
        <f>'mk 001 10.3'!G408</f>
        <v>0</v>
      </c>
      <c r="H407">
        <f>'mk 001 10.3'!H408</f>
        <v>0</v>
      </c>
      <c r="I407">
        <f>'mk 001 10.3'!I408</f>
        <v>0</v>
      </c>
      <c r="J407">
        <f>'mk 001 10.3'!J408</f>
        <v>0</v>
      </c>
      <c r="K407">
        <f>'mk 001 10.3'!K408</f>
        <v>0</v>
      </c>
      <c r="L407">
        <f>'mk 001 10.3'!L408</f>
        <v>0</v>
      </c>
      <c r="M407">
        <f>'mk 001 10.3'!M408</f>
        <v>0</v>
      </c>
      <c r="N407">
        <f>'mk 001 10.3'!N408</f>
        <v>0</v>
      </c>
      <c r="O407">
        <f>'mk 001 10.3'!O408</f>
        <v>0</v>
      </c>
      <c r="P407">
        <f>'mk 001 10.3'!P408</f>
        <v>0</v>
      </c>
      <c r="Q407">
        <f>'mk 001 10.3'!Q408</f>
        <v>0</v>
      </c>
      <c r="R407" s="1">
        <f>'mk 001 10.3'!R408</f>
        <v>0</v>
      </c>
      <c r="S407" s="1">
        <f>'mk 001 10.3'!S408</f>
        <v>0</v>
      </c>
      <c r="T407">
        <f>'mk 001 10.3'!T408</f>
        <v>0</v>
      </c>
      <c r="U407">
        <f>'mk 001 10.3'!U408</f>
        <v>0</v>
      </c>
      <c r="V407">
        <f>'mk 001 10.3'!V408</f>
        <v>0</v>
      </c>
      <c r="W407">
        <f>'mk 001 10.3'!W408</f>
        <v>0</v>
      </c>
      <c r="X407">
        <f>'mk 001 10.3'!X408</f>
        <v>0</v>
      </c>
      <c r="Y407">
        <f t="shared" si="7"/>
        <v>0</v>
      </c>
      <c r="Z407" s="13">
        <f>IF(COUNTIFS(แปลงข้อมูล!H:H,Q407,แปลงข้อมูล!I:I,U407,แปลงข้อมูล!J:J,V407)&gt;0,SUMIFS(แปลงข้อมูล!Q:Q,แปลงข้อมูล!I:I,U407,แปลงข้อมูล!H:H,Q407,แปลงข้อมูล!J:J,V407),'mk 001 10.3'!Z408)</f>
        <v>0</v>
      </c>
      <c r="AA407">
        <f>'mk 001 10.3'!AA408</f>
        <v>0</v>
      </c>
      <c r="AB407">
        <f>'mk 001 10.3'!AB408</f>
        <v>0</v>
      </c>
      <c r="AC407">
        <f>'mk 001 10.3'!AC408</f>
        <v>0</v>
      </c>
      <c r="AD407">
        <f>'mk 001 10.3'!AD408</f>
        <v>0</v>
      </c>
      <c r="AE407">
        <f>'mk 001 10.3'!AE408</f>
        <v>0</v>
      </c>
      <c r="AF407">
        <f>'mk 001 10.3'!AF408</f>
        <v>0</v>
      </c>
      <c r="AG407">
        <f>'mk 001 10.3'!AG408</f>
        <v>0</v>
      </c>
      <c r="AH407">
        <f>'mk 001 10.3'!AH408</f>
        <v>0</v>
      </c>
      <c r="AI407">
        <f>'mk 001 10.3'!AI408</f>
        <v>0</v>
      </c>
      <c r="AJ407">
        <f>'mk 001 10.3'!AJ408</f>
        <v>0</v>
      </c>
      <c r="AK407">
        <f>'mk 001 10.3'!AK408</f>
        <v>0</v>
      </c>
      <c r="AL407">
        <f>'mk 001 10.3'!AL408</f>
        <v>0</v>
      </c>
      <c r="AM407">
        <f>'mk 001 10.3'!AM408</f>
        <v>0</v>
      </c>
      <c r="AN407">
        <f>'mk 001 10.3'!AN408</f>
        <v>0</v>
      </c>
      <c r="AO407">
        <f>'mk 001 10.3'!AO408</f>
        <v>0</v>
      </c>
      <c r="AP407">
        <f>'mk 001 10.3'!AP408</f>
        <v>0</v>
      </c>
      <c r="AQ407">
        <f>'mk 001 10.3'!AQ408</f>
        <v>0</v>
      </c>
      <c r="AR407">
        <f>'mk 001 10.3'!AR408</f>
        <v>0</v>
      </c>
      <c r="AS407">
        <f>'mk 001 10.3'!AS408</f>
        <v>0</v>
      </c>
      <c r="AT407">
        <f>'mk 001 10.3'!AT408</f>
        <v>0</v>
      </c>
      <c r="AU407">
        <f>'mk 001 10.3'!AU408</f>
        <v>0</v>
      </c>
      <c r="AV407">
        <f>'mk 001 10.3'!AV408</f>
        <v>0</v>
      </c>
      <c r="AW407">
        <f>'mk 001 10.3'!AW408</f>
        <v>0</v>
      </c>
      <c r="AX407">
        <f>'mk 001 10.3'!AX408</f>
        <v>0</v>
      </c>
      <c r="AY407">
        <f>'mk 001 10.3'!AY408</f>
        <v>0</v>
      </c>
      <c r="AZ407">
        <f>'mk 001 10.3'!AZ408</f>
        <v>0</v>
      </c>
      <c r="BA407" s="22">
        <f>'mk 001 10.3'!BA408</f>
        <v>0</v>
      </c>
      <c r="BB407">
        <f>'mk 001 10.3'!BB408</f>
        <v>0</v>
      </c>
      <c r="BC407">
        <f>'mk 001 10.3'!BC408</f>
        <v>0</v>
      </c>
      <c r="BD407">
        <f>'mk 001 10.3'!BD408</f>
        <v>0</v>
      </c>
      <c r="BE407">
        <f>'mk 001 10.3'!BE408</f>
        <v>0</v>
      </c>
      <c r="BF407">
        <f>'mk 001 10.3'!BF408</f>
        <v>0</v>
      </c>
      <c r="BG407">
        <f>'mk 001 10.3'!BG408</f>
        <v>0</v>
      </c>
      <c r="BH407">
        <f>'mk 001 10.3'!BH408</f>
        <v>0</v>
      </c>
      <c r="BI407">
        <f>'mk 001 10.3'!BI408</f>
        <v>0</v>
      </c>
      <c r="BJ407">
        <f>'mk 001 10.3'!BJ408</f>
        <v>0</v>
      </c>
      <c r="BK407">
        <f>'mk 001 10.3'!BK408</f>
        <v>0</v>
      </c>
      <c r="BL407">
        <f>'mk 001 10.3'!BL408</f>
        <v>0</v>
      </c>
      <c r="BM407">
        <f>'mk 001 10.3'!BM408</f>
        <v>0</v>
      </c>
      <c r="BN407">
        <f>'mk 001 10.3'!BN408</f>
        <v>0</v>
      </c>
    </row>
    <row r="408" spans="1:66" x14ac:dyDescent="0.35">
      <c r="A408">
        <f>'mk 001 10.3'!A409</f>
        <v>0</v>
      </c>
      <c r="B408">
        <f>'mk 001 10.3'!B409</f>
        <v>0</v>
      </c>
      <c r="C408" s="1">
        <f>'mk 001 10.3'!C409</f>
        <v>0</v>
      </c>
      <c r="D408" s="1">
        <f>'mk 001 10.3'!D409</f>
        <v>0</v>
      </c>
      <c r="E408">
        <f>'mk 001 10.3'!E409</f>
        <v>0</v>
      </c>
      <c r="F408">
        <f>'mk 001 10.3'!F409</f>
        <v>0</v>
      </c>
      <c r="G408">
        <f>'mk 001 10.3'!G409</f>
        <v>0</v>
      </c>
      <c r="H408">
        <f>'mk 001 10.3'!H409</f>
        <v>0</v>
      </c>
      <c r="I408">
        <f>'mk 001 10.3'!I409</f>
        <v>0</v>
      </c>
      <c r="J408">
        <f>'mk 001 10.3'!J409</f>
        <v>0</v>
      </c>
      <c r="K408">
        <f>'mk 001 10.3'!K409</f>
        <v>0</v>
      </c>
      <c r="L408">
        <f>'mk 001 10.3'!L409</f>
        <v>0</v>
      </c>
      <c r="M408">
        <f>'mk 001 10.3'!M409</f>
        <v>0</v>
      </c>
      <c r="N408">
        <f>'mk 001 10.3'!N409</f>
        <v>0</v>
      </c>
      <c r="O408">
        <f>'mk 001 10.3'!O409</f>
        <v>0</v>
      </c>
      <c r="P408">
        <f>'mk 001 10.3'!P409</f>
        <v>0</v>
      </c>
      <c r="Q408">
        <f>'mk 001 10.3'!Q409</f>
        <v>0</v>
      </c>
      <c r="R408" s="1">
        <f>'mk 001 10.3'!R409</f>
        <v>0</v>
      </c>
      <c r="S408" s="1">
        <f>'mk 001 10.3'!S409</f>
        <v>0</v>
      </c>
      <c r="T408">
        <f>'mk 001 10.3'!T409</f>
        <v>0</v>
      </c>
      <c r="U408">
        <f>'mk 001 10.3'!U409</f>
        <v>0</v>
      </c>
      <c r="V408">
        <f>'mk 001 10.3'!V409</f>
        <v>0</v>
      </c>
      <c r="W408">
        <f>'mk 001 10.3'!W409</f>
        <v>0</v>
      </c>
      <c r="X408">
        <f>'mk 001 10.3'!X409</f>
        <v>0</v>
      </c>
      <c r="Y408">
        <f t="shared" si="7"/>
        <v>0</v>
      </c>
      <c r="Z408" s="13">
        <f>IF(COUNTIFS(แปลงข้อมูล!H:H,Q408,แปลงข้อมูล!I:I,U408,แปลงข้อมูล!J:J,V408)&gt;0,SUMIFS(แปลงข้อมูล!Q:Q,แปลงข้อมูล!I:I,U408,แปลงข้อมูล!H:H,Q408,แปลงข้อมูล!J:J,V408),'mk 001 10.3'!Z409)</f>
        <v>0</v>
      </c>
      <c r="AA408">
        <f>'mk 001 10.3'!AA409</f>
        <v>0</v>
      </c>
      <c r="AB408">
        <f>'mk 001 10.3'!AB409</f>
        <v>0</v>
      </c>
      <c r="AC408">
        <f>'mk 001 10.3'!AC409</f>
        <v>0</v>
      </c>
      <c r="AD408">
        <f>'mk 001 10.3'!AD409</f>
        <v>0</v>
      </c>
      <c r="AE408">
        <f>'mk 001 10.3'!AE409</f>
        <v>0</v>
      </c>
      <c r="AF408">
        <f>'mk 001 10.3'!AF409</f>
        <v>0</v>
      </c>
      <c r="AG408">
        <f>'mk 001 10.3'!AG409</f>
        <v>0</v>
      </c>
      <c r="AH408">
        <f>'mk 001 10.3'!AH409</f>
        <v>0</v>
      </c>
      <c r="AI408">
        <f>'mk 001 10.3'!AI409</f>
        <v>0</v>
      </c>
      <c r="AJ408">
        <f>'mk 001 10.3'!AJ409</f>
        <v>0</v>
      </c>
      <c r="AK408">
        <f>'mk 001 10.3'!AK409</f>
        <v>0</v>
      </c>
      <c r="AL408">
        <f>'mk 001 10.3'!AL409</f>
        <v>0</v>
      </c>
      <c r="AM408">
        <f>'mk 001 10.3'!AM409</f>
        <v>0</v>
      </c>
      <c r="AN408">
        <f>'mk 001 10.3'!AN409</f>
        <v>0</v>
      </c>
      <c r="AO408">
        <f>'mk 001 10.3'!AO409</f>
        <v>0</v>
      </c>
      <c r="AP408">
        <f>'mk 001 10.3'!AP409</f>
        <v>0</v>
      </c>
      <c r="AQ408">
        <f>'mk 001 10.3'!AQ409</f>
        <v>0</v>
      </c>
      <c r="AR408">
        <f>'mk 001 10.3'!AR409</f>
        <v>0</v>
      </c>
      <c r="AS408">
        <f>'mk 001 10.3'!AS409</f>
        <v>0</v>
      </c>
      <c r="AT408">
        <f>'mk 001 10.3'!AT409</f>
        <v>0</v>
      </c>
      <c r="AU408">
        <f>'mk 001 10.3'!AU409</f>
        <v>0</v>
      </c>
      <c r="AV408">
        <f>'mk 001 10.3'!AV409</f>
        <v>0</v>
      </c>
      <c r="AW408">
        <f>'mk 001 10.3'!AW409</f>
        <v>0</v>
      </c>
      <c r="AX408">
        <f>'mk 001 10.3'!AX409</f>
        <v>0</v>
      </c>
      <c r="AY408">
        <f>'mk 001 10.3'!AY409</f>
        <v>0</v>
      </c>
      <c r="AZ408">
        <f>'mk 001 10.3'!AZ409</f>
        <v>0</v>
      </c>
      <c r="BA408" s="22">
        <f>'mk 001 10.3'!BA409</f>
        <v>0</v>
      </c>
      <c r="BB408">
        <f>'mk 001 10.3'!BB409</f>
        <v>0</v>
      </c>
      <c r="BC408">
        <f>'mk 001 10.3'!BC409</f>
        <v>0</v>
      </c>
      <c r="BD408">
        <f>'mk 001 10.3'!BD409</f>
        <v>0</v>
      </c>
      <c r="BE408">
        <f>'mk 001 10.3'!BE409</f>
        <v>0</v>
      </c>
      <c r="BF408">
        <f>'mk 001 10.3'!BF409</f>
        <v>0</v>
      </c>
      <c r="BG408">
        <f>'mk 001 10.3'!BG409</f>
        <v>0</v>
      </c>
      <c r="BH408">
        <f>'mk 001 10.3'!BH409</f>
        <v>0</v>
      </c>
      <c r="BI408">
        <f>'mk 001 10.3'!BI409</f>
        <v>0</v>
      </c>
      <c r="BJ408">
        <f>'mk 001 10.3'!BJ409</f>
        <v>0</v>
      </c>
      <c r="BK408">
        <f>'mk 001 10.3'!BK409</f>
        <v>0</v>
      </c>
      <c r="BL408">
        <f>'mk 001 10.3'!BL409</f>
        <v>0</v>
      </c>
      <c r="BM408">
        <f>'mk 001 10.3'!BM409</f>
        <v>0</v>
      </c>
      <c r="BN408">
        <f>'mk 001 10.3'!BN409</f>
        <v>0</v>
      </c>
    </row>
    <row r="409" spans="1:66" x14ac:dyDescent="0.35">
      <c r="A409">
        <f>'mk 001 10.3'!A410</f>
        <v>0</v>
      </c>
      <c r="B409">
        <f>'mk 001 10.3'!B410</f>
        <v>0</v>
      </c>
      <c r="C409" s="1">
        <f>'mk 001 10.3'!C410</f>
        <v>0</v>
      </c>
      <c r="D409" s="1">
        <f>'mk 001 10.3'!D410</f>
        <v>0</v>
      </c>
      <c r="E409">
        <f>'mk 001 10.3'!E410</f>
        <v>0</v>
      </c>
      <c r="F409">
        <f>'mk 001 10.3'!F410</f>
        <v>0</v>
      </c>
      <c r="G409">
        <f>'mk 001 10.3'!G410</f>
        <v>0</v>
      </c>
      <c r="H409">
        <f>'mk 001 10.3'!H410</f>
        <v>0</v>
      </c>
      <c r="I409">
        <f>'mk 001 10.3'!I410</f>
        <v>0</v>
      </c>
      <c r="J409">
        <f>'mk 001 10.3'!J410</f>
        <v>0</v>
      </c>
      <c r="K409">
        <f>'mk 001 10.3'!K410</f>
        <v>0</v>
      </c>
      <c r="L409">
        <f>'mk 001 10.3'!L410</f>
        <v>0</v>
      </c>
      <c r="M409">
        <f>'mk 001 10.3'!M410</f>
        <v>0</v>
      </c>
      <c r="N409">
        <f>'mk 001 10.3'!N410</f>
        <v>0</v>
      </c>
      <c r="O409">
        <f>'mk 001 10.3'!O410</f>
        <v>0</v>
      </c>
      <c r="P409">
        <f>'mk 001 10.3'!P410</f>
        <v>0</v>
      </c>
      <c r="Q409">
        <f>'mk 001 10.3'!Q410</f>
        <v>0</v>
      </c>
      <c r="R409" s="1">
        <f>'mk 001 10.3'!R410</f>
        <v>0</v>
      </c>
      <c r="S409" s="1">
        <f>'mk 001 10.3'!S410</f>
        <v>0</v>
      </c>
      <c r="T409">
        <f>'mk 001 10.3'!T410</f>
        <v>0</v>
      </c>
      <c r="U409">
        <f>'mk 001 10.3'!U410</f>
        <v>0</v>
      </c>
      <c r="V409">
        <f>'mk 001 10.3'!V410</f>
        <v>0</v>
      </c>
      <c r="W409">
        <f>'mk 001 10.3'!W410</f>
        <v>0</v>
      </c>
      <c r="X409">
        <f>'mk 001 10.3'!X410</f>
        <v>0</v>
      </c>
      <c r="Y409">
        <f t="shared" si="7"/>
        <v>0</v>
      </c>
      <c r="Z409" s="13">
        <f>IF(COUNTIFS(แปลงข้อมูล!H:H,Q409,แปลงข้อมูล!I:I,U409,แปลงข้อมูล!J:J,V409)&gt;0,SUMIFS(แปลงข้อมูล!Q:Q,แปลงข้อมูล!I:I,U409,แปลงข้อมูล!H:H,Q409,แปลงข้อมูล!J:J,V409),'mk 001 10.3'!Z410)</f>
        <v>0</v>
      </c>
      <c r="AA409">
        <f>'mk 001 10.3'!AA410</f>
        <v>0</v>
      </c>
      <c r="AB409">
        <f>'mk 001 10.3'!AB410</f>
        <v>0</v>
      </c>
      <c r="AC409">
        <f>'mk 001 10.3'!AC410</f>
        <v>0</v>
      </c>
      <c r="AD409">
        <f>'mk 001 10.3'!AD410</f>
        <v>0</v>
      </c>
      <c r="AE409">
        <f>'mk 001 10.3'!AE410</f>
        <v>0</v>
      </c>
      <c r="AF409">
        <f>'mk 001 10.3'!AF410</f>
        <v>0</v>
      </c>
      <c r="AG409">
        <f>'mk 001 10.3'!AG410</f>
        <v>0</v>
      </c>
      <c r="AH409">
        <f>'mk 001 10.3'!AH410</f>
        <v>0</v>
      </c>
      <c r="AI409">
        <f>'mk 001 10.3'!AI410</f>
        <v>0</v>
      </c>
      <c r="AJ409">
        <f>'mk 001 10.3'!AJ410</f>
        <v>0</v>
      </c>
      <c r="AK409">
        <f>'mk 001 10.3'!AK410</f>
        <v>0</v>
      </c>
      <c r="AL409">
        <f>'mk 001 10.3'!AL410</f>
        <v>0</v>
      </c>
      <c r="AM409">
        <f>'mk 001 10.3'!AM410</f>
        <v>0</v>
      </c>
      <c r="AN409">
        <f>'mk 001 10.3'!AN410</f>
        <v>0</v>
      </c>
      <c r="AO409">
        <f>'mk 001 10.3'!AO410</f>
        <v>0</v>
      </c>
      <c r="AP409">
        <f>'mk 001 10.3'!AP410</f>
        <v>0</v>
      </c>
      <c r="AQ409">
        <f>'mk 001 10.3'!AQ410</f>
        <v>0</v>
      </c>
      <c r="AR409">
        <f>'mk 001 10.3'!AR410</f>
        <v>0</v>
      </c>
      <c r="AS409">
        <f>'mk 001 10.3'!AS410</f>
        <v>0</v>
      </c>
      <c r="AT409">
        <f>'mk 001 10.3'!AT410</f>
        <v>0</v>
      </c>
      <c r="AU409">
        <f>'mk 001 10.3'!AU410</f>
        <v>0</v>
      </c>
      <c r="AV409">
        <f>'mk 001 10.3'!AV410</f>
        <v>0</v>
      </c>
      <c r="AW409">
        <f>'mk 001 10.3'!AW410</f>
        <v>0</v>
      </c>
      <c r="AX409">
        <f>'mk 001 10.3'!AX410</f>
        <v>0</v>
      </c>
      <c r="AY409">
        <f>'mk 001 10.3'!AY410</f>
        <v>0</v>
      </c>
      <c r="AZ409">
        <f>'mk 001 10.3'!AZ410</f>
        <v>0</v>
      </c>
      <c r="BA409" s="22">
        <f>'mk 001 10.3'!BA410</f>
        <v>0</v>
      </c>
      <c r="BB409">
        <f>'mk 001 10.3'!BB410</f>
        <v>0</v>
      </c>
      <c r="BC409">
        <f>'mk 001 10.3'!BC410</f>
        <v>0</v>
      </c>
      <c r="BD409">
        <f>'mk 001 10.3'!BD410</f>
        <v>0</v>
      </c>
      <c r="BE409">
        <f>'mk 001 10.3'!BE410</f>
        <v>0</v>
      </c>
      <c r="BF409">
        <f>'mk 001 10.3'!BF410</f>
        <v>0</v>
      </c>
      <c r="BG409">
        <f>'mk 001 10.3'!BG410</f>
        <v>0</v>
      </c>
      <c r="BH409">
        <f>'mk 001 10.3'!BH410</f>
        <v>0</v>
      </c>
      <c r="BI409">
        <f>'mk 001 10.3'!BI410</f>
        <v>0</v>
      </c>
      <c r="BJ409">
        <f>'mk 001 10.3'!BJ410</f>
        <v>0</v>
      </c>
      <c r="BK409">
        <f>'mk 001 10.3'!BK410</f>
        <v>0</v>
      </c>
      <c r="BL409">
        <f>'mk 001 10.3'!BL410</f>
        <v>0</v>
      </c>
      <c r="BM409">
        <f>'mk 001 10.3'!BM410</f>
        <v>0</v>
      </c>
      <c r="BN409">
        <f>'mk 001 10.3'!BN410</f>
        <v>0</v>
      </c>
    </row>
    <row r="410" spans="1:66" x14ac:dyDescent="0.35">
      <c r="A410">
        <f>'mk 001 10.3'!A411</f>
        <v>0</v>
      </c>
      <c r="B410">
        <f>'mk 001 10.3'!B411</f>
        <v>0</v>
      </c>
      <c r="C410" s="1">
        <f>'mk 001 10.3'!C411</f>
        <v>0</v>
      </c>
      <c r="D410" s="1">
        <f>'mk 001 10.3'!D411</f>
        <v>0</v>
      </c>
      <c r="E410">
        <f>'mk 001 10.3'!E411</f>
        <v>0</v>
      </c>
      <c r="F410">
        <f>'mk 001 10.3'!F411</f>
        <v>0</v>
      </c>
      <c r="G410">
        <f>'mk 001 10.3'!G411</f>
        <v>0</v>
      </c>
      <c r="H410">
        <f>'mk 001 10.3'!H411</f>
        <v>0</v>
      </c>
      <c r="I410">
        <f>'mk 001 10.3'!I411</f>
        <v>0</v>
      </c>
      <c r="J410">
        <f>'mk 001 10.3'!J411</f>
        <v>0</v>
      </c>
      <c r="K410">
        <f>'mk 001 10.3'!K411</f>
        <v>0</v>
      </c>
      <c r="L410">
        <f>'mk 001 10.3'!L411</f>
        <v>0</v>
      </c>
      <c r="M410">
        <f>'mk 001 10.3'!M411</f>
        <v>0</v>
      </c>
      <c r="N410">
        <f>'mk 001 10.3'!N411</f>
        <v>0</v>
      </c>
      <c r="O410">
        <f>'mk 001 10.3'!O411</f>
        <v>0</v>
      </c>
      <c r="P410">
        <f>'mk 001 10.3'!P411</f>
        <v>0</v>
      </c>
      <c r="Q410">
        <f>'mk 001 10.3'!Q411</f>
        <v>0</v>
      </c>
      <c r="R410" s="1">
        <f>'mk 001 10.3'!R411</f>
        <v>0</v>
      </c>
      <c r="S410" s="1">
        <f>'mk 001 10.3'!S411</f>
        <v>0</v>
      </c>
      <c r="T410">
        <f>'mk 001 10.3'!T411</f>
        <v>0</v>
      </c>
      <c r="U410">
        <f>'mk 001 10.3'!U411</f>
        <v>0</v>
      </c>
      <c r="V410">
        <f>'mk 001 10.3'!V411</f>
        <v>0</v>
      </c>
      <c r="W410">
        <f>'mk 001 10.3'!W411</f>
        <v>0</v>
      </c>
      <c r="X410">
        <f>'mk 001 10.3'!X411</f>
        <v>0</v>
      </c>
      <c r="Y410">
        <f t="shared" si="7"/>
        <v>0</v>
      </c>
      <c r="Z410" s="13">
        <f>IF(COUNTIFS(แปลงข้อมูล!H:H,Q410,แปลงข้อมูล!I:I,U410,แปลงข้อมูล!J:J,V410)&gt;0,SUMIFS(แปลงข้อมูล!Q:Q,แปลงข้อมูล!I:I,U410,แปลงข้อมูล!H:H,Q410,แปลงข้อมูล!J:J,V410),'mk 001 10.3'!Z411)</f>
        <v>0</v>
      </c>
      <c r="AA410">
        <f>'mk 001 10.3'!AA411</f>
        <v>0</v>
      </c>
      <c r="AB410">
        <f>'mk 001 10.3'!AB411</f>
        <v>0</v>
      </c>
      <c r="AC410">
        <f>'mk 001 10.3'!AC411</f>
        <v>0</v>
      </c>
      <c r="AD410">
        <f>'mk 001 10.3'!AD411</f>
        <v>0</v>
      </c>
      <c r="AE410">
        <f>'mk 001 10.3'!AE411</f>
        <v>0</v>
      </c>
      <c r="AF410">
        <f>'mk 001 10.3'!AF411</f>
        <v>0</v>
      </c>
      <c r="AG410">
        <f>'mk 001 10.3'!AG411</f>
        <v>0</v>
      </c>
      <c r="AH410">
        <f>'mk 001 10.3'!AH411</f>
        <v>0</v>
      </c>
      <c r="AI410">
        <f>'mk 001 10.3'!AI411</f>
        <v>0</v>
      </c>
      <c r="AJ410">
        <f>'mk 001 10.3'!AJ411</f>
        <v>0</v>
      </c>
      <c r="AK410">
        <f>'mk 001 10.3'!AK411</f>
        <v>0</v>
      </c>
      <c r="AL410">
        <f>'mk 001 10.3'!AL411</f>
        <v>0</v>
      </c>
      <c r="AM410">
        <f>'mk 001 10.3'!AM411</f>
        <v>0</v>
      </c>
      <c r="AN410">
        <f>'mk 001 10.3'!AN411</f>
        <v>0</v>
      </c>
      <c r="AO410">
        <f>'mk 001 10.3'!AO411</f>
        <v>0</v>
      </c>
      <c r="AP410">
        <f>'mk 001 10.3'!AP411</f>
        <v>0</v>
      </c>
      <c r="AQ410">
        <f>'mk 001 10.3'!AQ411</f>
        <v>0</v>
      </c>
      <c r="AR410">
        <f>'mk 001 10.3'!AR411</f>
        <v>0</v>
      </c>
      <c r="AS410">
        <f>'mk 001 10.3'!AS411</f>
        <v>0</v>
      </c>
      <c r="AT410">
        <f>'mk 001 10.3'!AT411</f>
        <v>0</v>
      </c>
      <c r="AU410">
        <f>'mk 001 10.3'!AU411</f>
        <v>0</v>
      </c>
      <c r="AV410">
        <f>'mk 001 10.3'!AV411</f>
        <v>0</v>
      </c>
      <c r="AW410">
        <f>'mk 001 10.3'!AW411</f>
        <v>0</v>
      </c>
      <c r="AX410">
        <f>'mk 001 10.3'!AX411</f>
        <v>0</v>
      </c>
      <c r="AY410">
        <f>'mk 001 10.3'!AY411</f>
        <v>0</v>
      </c>
      <c r="AZ410">
        <f>'mk 001 10.3'!AZ411</f>
        <v>0</v>
      </c>
      <c r="BA410" s="22">
        <f>'mk 001 10.3'!BA411</f>
        <v>0</v>
      </c>
      <c r="BB410">
        <f>'mk 001 10.3'!BB411</f>
        <v>0</v>
      </c>
      <c r="BC410">
        <f>'mk 001 10.3'!BC411</f>
        <v>0</v>
      </c>
      <c r="BD410">
        <f>'mk 001 10.3'!BD411</f>
        <v>0</v>
      </c>
      <c r="BE410">
        <f>'mk 001 10.3'!BE411</f>
        <v>0</v>
      </c>
      <c r="BF410">
        <f>'mk 001 10.3'!BF411</f>
        <v>0</v>
      </c>
      <c r="BG410">
        <f>'mk 001 10.3'!BG411</f>
        <v>0</v>
      </c>
      <c r="BH410">
        <f>'mk 001 10.3'!BH411</f>
        <v>0</v>
      </c>
      <c r="BI410">
        <f>'mk 001 10.3'!BI411</f>
        <v>0</v>
      </c>
      <c r="BJ410">
        <f>'mk 001 10.3'!BJ411</f>
        <v>0</v>
      </c>
      <c r="BK410">
        <f>'mk 001 10.3'!BK411</f>
        <v>0</v>
      </c>
      <c r="BL410">
        <f>'mk 001 10.3'!BL411</f>
        <v>0</v>
      </c>
      <c r="BM410">
        <f>'mk 001 10.3'!BM411</f>
        <v>0</v>
      </c>
      <c r="BN410">
        <f>'mk 001 10.3'!BN411</f>
        <v>0</v>
      </c>
    </row>
    <row r="411" spans="1:66" x14ac:dyDescent="0.35">
      <c r="A411">
        <f>'mk 001 10.3'!A412</f>
        <v>0</v>
      </c>
      <c r="B411">
        <f>'mk 001 10.3'!B412</f>
        <v>0</v>
      </c>
      <c r="C411" s="1">
        <f>'mk 001 10.3'!C412</f>
        <v>0</v>
      </c>
      <c r="D411" s="1">
        <f>'mk 001 10.3'!D412</f>
        <v>0</v>
      </c>
      <c r="E411">
        <f>'mk 001 10.3'!E412</f>
        <v>0</v>
      </c>
      <c r="F411">
        <f>'mk 001 10.3'!F412</f>
        <v>0</v>
      </c>
      <c r="G411">
        <f>'mk 001 10.3'!G412</f>
        <v>0</v>
      </c>
      <c r="H411">
        <f>'mk 001 10.3'!H412</f>
        <v>0</v>
      </c>
      <c r="I411">
        <f>'mk 001 10.3'!I412</f>
        <v>0</v>
      </c>
      <c r="J411">
        <f>'mk 001 10.3'!J412</f>
        <v>0</v>
      </c>
      <c r="K411">
        <f>'mk 001 10.3'!K412</f>
        <v>0</v>
      </c>
      <c r="L411">
        <f>'mk 001 10.3'!L412</f>
        <v>0</v>
      </c>
      <c r="M411">
        <f>'mk 001 10.3'!M412</f>
        <v>0</v>
      </c>
      <c r="N411">
        <f>'mk 001 10.3'!N412</f>
        <v>0</v>
      </c>
      <c r="O411">
        <f>'mk 001 10.3'!O412</f>
        <v>0</v>
      </c>
      <c r="P411">
        <f>'mk 001 10.3'!P412</f>
        <v>0</v>
      </c>
      <c r="Q411">
        <f>'mk 001 10.3'!Q412</f>
        <v>0</v>
      </c>
      <c r="R411" s="1">
        <f>'mk 001 10.3'!R412</f>
        <v>0</v>
      </c>
      <c r="S411" s="1">
        <f>'mk 001 10.3'!S412</f>
        <v>0</v>
      </c>
      <c r="T411">
        <f>'mk 001 10.3'!T412</f>
        <v>0</v>
      </c>
      <c r="U411">
        <f>'mk 001 10.3'!U412</f>
        <v>0</v>
      </c>
      <c r="V411">
        <f>'mk 001 10.3'!V412</f>
        <v>0</v>
      </c>
      <c r="W411">
        <f>'mk 001 10.3'!W412</f>
        <v>0</v>
      </c>
      <c r="X411">
        <f>'mk 001 10.3'!X412</f>
        <v>0</v>
      </c>
      <c r="Y411">
        <f t="shared" si="7"/>
        <v>0</v>
      </c>
      <c r="Z411" s="13">
        <f>IF(COUNTIFS(แปลงข้อมูล!H:H,Q411,แปลงข้อมูล!I:I,U411,แปลงข้อมูล!J:J,V411)&gt;0,SUMIFS(แปลงข้อมูล!Q:Q,แปลงข้อมูล!I:I,U411,แปลงข้อมูล!H:H,Q411,แปลงข้อมูล!J:J,V411),'mk 001 10.3'!Z412)</f>
        <v>0</v>
      </c>
      <c r="AA411">
        <f>'mk 001 10.3'!AA412</f>
        <v>0</v>
      </c>
      <c r="AB411">
        <f>'mk 001 10.3'!AB412</f>
        <v>0</v>
      </c>
      <c r="AC411">
        <f>'mk 001 10.3'!AC412</f>
        <v>0</v>
      </c>
      <c r="AD411">
        <f>'mk 001 10.3'!AD412</f>
        <v>0</v>
      </c>
      <c r="AE411">
        <f>'mk 001 10.3'!AE412</f>
        <v>0</v>
      </c>
      <c r="AF411">
        <f>'mk 001 10.3'!AF412</f>
        <v>0</v>
      </c>
      <c r="AG411">
        <f>'mk 001 10.3'!AG412</f>
        <v>0</v>
      </c>
      <c r="AH411">
        <f>'mk 001 10.3'!AH412</f>
        <v>0</v>
      </c>
      <c r="AI411">
        <f>'mk 001 10.3'!AI412</f>
        <v>0</v>
      </c>
      <c r="AJ411">
        <f>'mk 001 10.3'!AJ412</f>
        <v>0</v>
      </c>
      <c r="AK411">
        <f>'mk 001 10.3'!AK412</f>
        <v>0</v>
      </c>
      <c r="AL411">
        <f>'mk 001 10.3'!AL412</f>
        <v>0</v>
      </c>
      <c r="AM411">
        <f>'mk 001 10.3'!AM412</f>
        <v>0</v>
      </c>
      <c r="AN411">
        <f>'mk 001 10.3'!AN412</f>
        <v>0</v>
      </c>
      <c r="AO411">
        <f>'mk 001 10.3'!AO412</f>
        <v>0</v>
      </c>
      <c r="AP411">
        <f>'mk 001 10.3'!AP412</f>
        <v>0</v>
      </c>
      <c r="AQ411">
        <f>'mk 001 10.3'!AQ412</f>
        <v>0</v>
      </c>
      <c r="AR411">
        <f>'mk 001 10.3'!AR412</f>
        <v>0</v>
      </c>
      <c r="AS411">
        <f>'mk 001 10.3'!AS412</f>
        <v>0</v>
      </c>
      <c r="AT411">
        <f>'mk 001 10.3'!AT412</f>
        <v>0</v>
      </c>
      <c r="AU411">
        <f>'mk 001 10.3'!AU412</f>
        <v>0</v>
      </c>
      <c r="AV411">
        <f>'mk 001 10.3'!AV412</f>
        <v>0</v>
      </c>
      <c r="AW411">
        <f>'mk 001 10.3'!AW412</f>
        <v>0</v>
      </c>
      <c r="AX411">
        <f>'mk 001 10.3'!AX412</f>
        <v>0</v>
      </c>
      <c r="AY411">
        <f>'mk 001 10.3'!AY412</f>
        <v>0</v>
      </c>
      <c r="AZ411">
        <f>'mk 001 10.3'!AZ412</f>
        <v>0</v>
      </c>
      <c r="BA411" s="22">
        <f>'mk 001 10.3'!BA412</f>
        <v>0</v>
      </c>
      <c r="BB411">
        <f>'mk 001 10.3'!BB412</f>
        <v>0</v>
      </c>
      <c r="BC411">
        <f>'mk 001 10.3'!BC412</f>
        <v>0</v>
      </c>
      <c r="BD411">
        <f>'mk 001 10.3'!BD412</f>
        <v>0</v>
      </c>
      <c r="BE411">
        <f>'mk 001 10.3'!BE412</f>
        <v>0</v>
      </c>
      <c r="BF411">
        <f>'mk 001 10.3'!BF412</f>
        <v>0</v>
      </c>
      <c r="BG411">
        <f>'mk 001 10.3'!BG412</f>
        <v>0</v>
      </c>
      <c r="BH411">
        <f>'mk 001 10.3'!BH412</f>
        <v>0</v>
      </c>
      <c r="BI411">
        <f>'mk 001 10.3'!BI412</f>
        <v>0</v>
      </c>
      <c r="BJ411">
        <f>'mk 001 10.3'!BJ412</f>
        <v>0</v>
      </c>
      <c r="BK411">
        <f>'mk 001 10.3'!BK412</f>
        <v>0</v>
      </c>
      <c r="BL411">
        <f>'mk 001 10.3'!BL412</f>
        <v>0</v>
      </c>
      <c r="BM411">
        <f>'mk 001 10.3'!BM412</f>
        <v>0</v>
      </c>
      <c r="BN411">
        <f>'mk 001 10.3'!BN412</f>
        <v>0</v>
      </c>
    </row>
    <row r="412" spans="1:66" x14ac:dyDescent="0.35">
      <c r="A412">
        <f>'mk 001 10.3'!A413</f>
        <v>0</v>
      </c>
      <c r="B412">
        <f>'mk 001 10.3'!B413</f>
        <v>0</v>
      </c>
      <c r="C412" s="1">
        <f>'mk 001 10.3'!C413</f>
        <v>0</v>
      </c>
      <c r="D412" s="1">
        <f>'mk 001 10.3'!D413</f>
        <v>0</v>
      </c>
      <c r="E412">
        <f>'mk 001 10.3'!E413</f>
        <v>0</v>
      </c>
      <c r="F412">
        <f>'mk 001 10.3'!F413</f>
        <v>0</v>
      </c>
      <c r="G412">
        <f>'mk 001 10.3'!G413</f>
        <v>0</v>
      </c>
      <c r="H412">
        <f>'mk 001 10.3'!H413</f>
        <v>0</v>
      </c>
      <c r="I412">
        <f>'mk 001 10.3'!I413</f>
        <v>0</v>
      </c>
      <c r="J412">
        <f>'mk 001 10.3'!J413</f>
        <v>0</v>
      </c>
      <c r="K412">
        <f>'mk 001 10.3'!K413</f>
        <v>0</v>
      </c>
      <c r="L412">
        <f>'mk 001 10.3'!L413</f>
        <v>0</v>
      </c>
      <c r="M412">
        <f>'mk 001 10.3'!M413</f>
        <v>0</v>
      </c>
      <c r="N412">
        <f>'mk 001 10.3'!N413</f>
        <v>0</v>
      </c>
      <c r="O412">
        <f>'mk 001 10.3'!O413</f>
        <v>0</v>
      </c>
      <c r="P412">
        <f>'mk 001 10.3'!P413</f>
        <v>0</v>
      </c>
      <c r="Q412">
        <f>'mk 001 10.3'!Q413</f>
        <v>0</v>
      </c>
      <c r="R412" s="1">
        <f>'mk 001 10.3'!R413</f>
        <v>0</v>
      </c>
      <c r="S412" s="1">
        <f>'mk 001 10.3'!S413</f>
        <v>0</v>
      </c>
      <c r="T412">
        <f>'mk 001 10.3'!T413</f>
        <v>0</v>
      </c>
      <c r="U412">
        <f>'mk 001 10.3'!U413</f>
        <v>0</v>
      </c>
      <c r="V412">
        <f>'mk 001 10.3'!V413</f>
        <v>0</v>
      </c>
      <c r="W412">
        <f>'mk 001 10.3'!W413</f>
        <v>0</v>
      </c>
      <c r="X412">
        <f>'mk 001 10.3'!X413</f>
        <v>0</v>
      </c>
      <c r="Y412">
        <f t="shared" si="7"/>
        <v>0</v>
      </c>
      <c r="Z412" s="13">
        <f>IF(COUNTIFS(แปลงข้อมูล!H:H,Q412,แปลงข้อมูล!I:I,U412,แปลงข้อมูล!J:J,V412)&gt;0,SUMIFS(แปลงข้อมูล!Q:Q,แปลงข้อมูล!I:I,U412,แปลงข้อมูล!H:H,Q412,แปลงข้อมูล!J:J,V412),'mk 001 10.3'!Z413)</f>
        <v>0</v>
      </c>
      <c r="AA412">
        <f>'mk 001 10.3'!AA413</f>
        <v>0</v>
      </c>
      <c r="AB412">
        <f>'mk 001 10.3'!AB413</f>
        <v>0</v>
      </c>
      <c r="AC412">
        <f>'mk 001 10.3'!AC413</f>
        <v>0</v>
      </c>
      <c r="AD412">
        <f>'mk 001 10.3'!AD413</f>
        <v>0</v>
      </c>
      <c r="AE412">
        <f>'mk 001 10.3'!AE413</f>
        <v>0</v>
      </c>
      <c r="AF412">
        <f>'mk 001 10.3'!AF413</f>
        <v>0</v>
      </c>
      <c r="AG412">
        <f>'mk 001 10.3'!AG413</f>
        <v>0</v>
      </c>
      <c r="AH412">
        <f>'mk 001 10.3'!AH413</f>
        <v>0</v>
      </c>
      <c r="AI412">
        <f>'mk 001 10.3'!AI413</f>
        <v>0</v>
      </c>
      <c r="AJ412">
        <f>'mk 001 10.3'!AJ413</f>
        <v>0</v>
      </c>
      <c r="AK412">
        <f>'mk 001 10.3'!AK413</f>
        <v>0</v>
      </c>
      <c r="AL412">
        <f>'mk 001 10.3'!AL413</f>
        <v>0</v>
      </c>
      <c r="AM412">
        <f>'mk 001 10.3'!AM413</f>
        <v>0</v>
      </c>
      <c r="AN412">
        <f>'mk 001 10.3'!AN413</f>
        <v>0</v>
      </c>
      <c r="AO412">
        <f>'mk 001 10.3'!AO413</f>
        <v>0</v>
      </c>
      <c r="AP412">
        <f>'mk 001 10.3'!AP413</f>
        <v>0</v>
      </c>
      <c r="AQ412">
        <f>'mk 001 10.3'!AQ413</f>
        <v>0</v>
      </c>
      <c r="AR412">
        <f>'mk 001 10.3'!AR413</f>
        <v>0</v>
      </c>
      <c r="AS412">
        <f>'mk 001 10.3'!AS413</f>
        <v>0</v>
      </c>
      <c r="AT412">
        <f>'mk 001 10.3'!AT413</f>
        <v>0</v>
      </c>
      <c r="AU412">
        <f>'mk 001 10.3'!AU413</f>
        <v>0</v>
      </c>
      <c r="AV412">
        <f>'mk 001 10.3'!AV413</f>
        <v>0</v>
      </c>
      <c r="AW412">
        <f>'mk 001 10.3'!AW413</f>
        <v>0</v>
      </c>
      <c r="AX412">
        <f>'mk 001 10.3'!AX413</f>
        <v>0</v>
      </c>
      <c r="AY412">
        <f>'mk 001 10.3'!AY413</f>
        <v>0</v>
      </c>
      <c r="AZ412">
        <f>'mk 001 10.3'!AZ413</f>
        <v>0</v>
      </c>
      <c r="BA412" s="22">
        <f>'mk 001 10.3'!BA413</f>
        <v>0</v>
      </c>
      <c r="BB412">
        <f>'mk 001 10.3'!BB413</f>
        <v>0</v>
      </c>
      <c r="BC412">
        <f>'mk 001 10.3'!BC413</f>
        <v>0</v>
      </c>
      <c r="BD412">
        <f>'mk 001 10.3'!BD413</f>
        <v>0</v>
      </c>
      <c r="BE412">
        <f>'mk 001 10.3'!BE413</f>
        <v>0</v>
      </c>
      <c r="BF412">
        <f>'mk 001 10.3'!BF413</f>
        <v>0</v>
      </c>
      <c r="BG412">
        <f>'mk 001 10.3'!BG413</f>
        <v>0</v>
      </c>
      <c r="BH412">
        <f>'mk 001 10.3'!BH413</f>
        <v>0</v>
      </c>
      <c r="BI412">
        <f>'mk 001 10.3'!BI413</f>
        <v>0</v>
      </c>
      <c r="BJ412">
        <f>'mk 001 10.3'!BJ413</f>
        <v>0</v>
      </c>
      <c r="BK412">
        <f>'mk 001 10.3'!BK413</f>
        <v>0</v>
      </c>
      <c r="BL412">
        <f>'mk 001 10.3'!BL413</f>
        <v>0</v>
      </c>
      <c r="BM412">
        <f>'mk 001 10.3'!BM413</f>
        <v>0</v>
      </c>
      <c r="BN412">
        <f>'mk 001 10.3'!BN413</f>
        <v>0</v>
      </c>
    </row>
    <row r="413" spans="1:66" x14ac:dyDescent="0.35">
      <c r="A413">
        <f>'mk 001 10.3'!A414</f>
        <v>0</v>
      </c>
      <c r="B413">
        <f>'mk 001 10.3'!B414</f>
        <v>0</v>
      </c>
      <c r="C413" s="1">
        <f>'mk 001 10.3'!C414</f>
        <v>0</v>
      </c>
      <c r="D413" s="1">
        <f>'mk 001 10.3'!D414</f>
        <v>0</v>
      </c>
      <c r="E413">
        <f>'mk 001 10.3'!E414</f>
        <v>0</v>
      </c>
      <c r="F413">
        <f>'mk 001 10.3'!F414</f>
        <v>0</v>
      </c>
      <c r="G413">
        <f>'mk 001 10.3'!G414</f>
        <v>0</v>
      </c>
      <c r="H413">
        <f>'mk 001 10.3'!H414</f>
        <v>0</v>
      </c>
      <c r="I413">
        <f>'mk 001 10.3'!I414</f>
        <v>0</v>
      </c>
      <c r="J413">
        <f>'mk 001 10.3'!J414</f>
        <v>0</v>
      </c>
      <c r="K413">
        <f>'mk 001 10.3'!K414</f>
        <v>0</v>
      </c>
      <c r="L413">
        <f>'mk 001 10.3'!L414</f>
        <v>0</v>
      </c>
      <c r="M413">
        <f>'mk 001 10.3'!M414</f>
        <v>0</v>
      </c>
      <c r="N413">
        <f>'mk 001 10.3'!N414</f>
        <v>0</v>
      </c>
      <c r="O413">
        <f>'mk 001 10.3'!O414</f>
        <v>0</v>
      </c>
      <c r="P413">
        <f>'mk 001 10.3'!P414</f>
        <v>0</v>
      </c>
      <c r="Q413">
        <f>'mk 001 10.3'!Q414</f>
        <v>0</v>
      </c>
      <c r="R413" s="1">
        <f>'mk 001 10.3'!R414</f>
        <v>0</v>
      </c>
      <c r="S413" s="1">
        <f>'mk 001 10.3'!S414</f>
        <v>0</v>
      </c>
      <c r="T413">
        <f>'mk 001 10.3'!T414</f>
        <v>0</v>
      </c>
      <c r="U413">
        <f>'mk 001 10.3'!U414</f>
        <v>0</v>
      </c>
      <c r="V413">
        <f>'mk 001 10.3'!V414</f>
        <v>0</v>
      </c>
      <c r="W413">
        <f>'mk 001 10.3'!W414</f>
        <v>0</v>
      </c>
      <c r="X413">
        <f>'mk 001 10.3'!X414</f>
        <v>0</v>
      </c>
      <c r="Y413">
        <f t="shared" si="7"/>
        <v>0</v>
      </c>
      <c r="Z413" s="13">
        <f>IF(COUNTIFS(แปลงข้อมูล!H:H,Q413,แปลงข้อมูล!I:I,U413,แปลงข้อมูล!J:J,V413)&gt;0,SUMIFS(แปลงข้อมูล!Q:Q,แปลงข้อมูล!I:I,U413,แปลงข้อมูล!H:H,Q413,แปลงข้อมูล!J:J,V413),'mk 001 10.3'!Z414)</f>
        <v>0</v>
      </c>
      <c r="AA413">
        <f>'mk 001 10.3'!AA414</f>
        <v>0</v>
      </c>
      <c r="AB413">
        <f>'mk 001 10.3'!AB414</f>
        <v>0</v>
      </c>
      <c r="AC413">
        <f>'mk 001 10.3'!AC414</f>
        <v>0</v>
      </c>
      <c r="AD413">
        <f>'mk 001 10.3'!AD414</f>
        <v>0</v>
      </c>
      <c r="AE413">
        <f>'mk 001 10.3'!AE414</f>
        <v>0</v>
      </c>
      <c r="AF413">
        <f>'mk 001 10.3'!AF414</f>
        <v>0</v>
      </c>
      <c r="AG413">
        <f>'mk 001 10.3'!AG414</f>
        <v>0</v>
      </c>
      <c r="AH413">
        <f>'mk 001 10.3'!AH414</f>
        <v>0</v>
      </c>
      <c r="AI413">
        <f>'mk 001 10.3'!AI414</f>
        <v>0</v>
      </c>
      <c r="AJ413">
        <f>'mk 001 10.3'!AJ414</f>
        <v>0</v>
      </c>
      <c r="AK413">
        <f>'mk 001 10.3'!AK414</f>
        <v>0</v>
      </c>
      <c r="AL413">
        <f>'mk 001 10.3'!AL414</f>
        <v>0</v>
      </c>
      <c r="AM413">
        <f>'mk 001 10.3'!AM414</f>
        <v>0</v>
      </c>
      <c r="AN413">
        <f>'mk 001 10.3'!AN414</f>
        <v>0</v>
      </c>
      <c r="AO413">
        <f>'mk 001 10.3'!AO414</f>
        <v>0</v>
      </c>
      <c r="AP413">
        <f>'mk 001 10.3'!AP414</f>
        <v>0</v>
      </c>
      <c r="AQ413">
        <f>'mk 001 10.3'!AQ414</f>
        <v>0</v>
      </c>
      <c r="AR413">
        <f>'mk 001 10.3'!AR414</f>
        <v>0</v>
      </c>
      <c r="AS413">
        <f>'mk 001 10.3'!AS414</f>
        <v>0</v>
      </c>
      <c r="AT413">
        <f>'mk 001 10.3'!AT414</f>
        <v>0</v>
      </c>
      <c r="AU413">
        <f>'mk 001 10.3'!AU414</f>
        <v>0</v>
      </c>
      <c r="AV413">
        <f>'mk 001 10.3'!AV414</f>
        <v>0</v>
      </c>
      <c r="AW413">
        <f>'mk 001 10.3'!AW414</f>
        <v>0</v>
      </c>
      <c r="AX413">
        <f>'mk 001 10.3'!AX414</f>
        <v>0</v>
      </c>
      <c r="AY413">
        <f>'mk 001 10.3'!AY414</f>
        <v>0</v>
      </c>
      <c r="AZ413">
        <f>'mk 001 10.3'!AZ414</f>
        <v>0</v>
      </c>
      <c r="BA413" s="22">
        <f>'mk 001 10.3'!BA414</f>
        <v>0</v>
      </c>
      <c r="BB413">
        <f>'mk 001 10.3'!BB414</f>
        <v>0</v>
      </c>
      <c r="BC413">
        <f>'mk 001 10.3'!BC414</f>
        <v>0</v>
      </c>
      <c r="BD413">
        <f>'mk 001 10.3'!BD414</f>
        <v>0</v>
      </c>
      <c r="BE413">
        <f>'mk 001 10.3'!BE414</f>
        <v>0</v>
      </c>
      <c r="BF413">
        <f>'mk 001 10.3'!BF414</f>
        <v>0</v>
      </c>
      <c r="BG413">
        <f>'mk 001 10.3'!BG414</f>
        <v>0</v>
      </c>
      <c r="BH413">
        <f>'mk 001 10.3'!BH414</f>
        <v>0</v>
      </c>
      <c r="BI413">
        <f>'mk 001 10.3'!BI414</f>
        <v>0</v>
      </c>
      <c r="BJ413">
        <f>'mk 001 10.3'!BJ414</f>
        <v>0</v>
      </c>
      <c r="BK413">
        <f>'mk 001 10.3'!BK414</f>
        <v>0</v>
      </c>
      <c r="BL413">
        <f>'mk 001 10.3'!BL414</f>
        <v>0</v>
      </c>
      <c r="BM413">
        <f>'mk 001 10.3'!BM414</f>
        <v>0</v>
      </c>
      <c r="BN413">
        <f>'mk 001 10.3'!BN414</f>
        <v>0</v>
      </c>
    </row>
    <row r="414" spans="1:66" x14ac:dyDescent="0.35">
      <c r="A414">
        <f>'mk 001 10.3'!A415</f>
        <v>0</v>
      </c>
      <c r="B414">
        <f>'mk 001 10.3'!B415</f>
        <v>0</v>
      </c>
      <c r="C414" s="1">
        <f>'mk 001 10.3'!C415</f>
        <v>0</v>
      </c>
      <c r="D414" s="1">
        <f>'mk 001 10.3'!D415</f>
        <v>0</v>
      </c>
      <c r="E414">
        <f>'mk 001 10.3'!E415</f>
        <v>0</v>
      </c>
      <c r="F414">
        <f>'mk 001 10.3'!F415</f>
        <v>0</v>
      </c>
      <c r="G414">
        <f>'mk 001 10.3'!G415</f>
        <v>0</v>
      </c>
      <c r="H414">
        <f>'mk 001 10.3'!H415</f>
        <v>0</v>
      </c>
      <c r="I414">
        <f>'mk 001 10.3'!I415</f>
        <v>0</v>
      </c>
      <c r="J414">
        <f>'mk 001 10.3'!J415</f>
        <v>0</v>
      </c>
      <c r="K414">
        <f>'mk 001 10.3'!K415</f>
        <v>0</v>
      </c>
      <c r="L414">
        <f>'mk 001 10.3'!L415</f>
        <v>0</v>
      </c>
      <c r="M414">
        <f>'mk 001 10.3'!M415</f>
        <v>0</v>
      </c>
      <c r="N414">
        <f>'mk 001 10.3'!N415</f>
        <v>0</v>
      </c>
      <c r="O414">
        <f>'mk 001 10.3'!O415</f>
        <v>0</v>
      </c>
      <c r="P414">
        <f>'mk 001 10.3'!P415</f>
        <v>0</v>
      </c>
      <c r="Q414">
        <f>'mk 001 10.3'!Q415</f>
        <v>0</v>
      </c>
      <c r="R414" s="1">
        <f>'mk 001 10.3'!R415</f>
        <v>0</v>
      </c>
      <c r="S414" s="1">
        <f>'mk 001 10.3'!S415</f>
        <v>0</v>
      </c>
      <c r="T414">
        <f>'mk 001 10.3'!T415</f>
        <v>0</v>
      </c>
      <c r="U414">
        <f>'mk 001 10.3'!U415</f>
        <v>0</v>
      </c>
      <c r="V414">
        <f>'mk 001 10.3'!V415</f>
        <v>0</v>
      </c>
      <c r="W414">
        <f>'mk 001 10.3'!W415</f>
        <v>0</v>
      </c>
      <c r="X414">
        <f>'mk 001 10.3'!X415</f>
        <v>0</v>
      </c>
      <c r="Y414">
        <f t="shared" si="7"/>
        <v>0</v>
      </c>
      <c r="Z414" s="13">
        <f>IF(COUNTIFS(แปลงข้อมูล!H:H,Q414,แปลงข้อมูล!I:I,U414,แปลงข้อมูล!J:J,V414)&gt;0,SUMIFS(แปลงข้อมูล!Q:Q,แปลงข้อมูล!I:I,U414,แปลงข้อมูล!H:H,Q414,แปลงข้อมูล!J:J,V414),'mk 001 10.3'!Z415)</f>
        <v>0</v>
      </c>
      <c r="AA414">
        <f>'mk 001 10.3'!AA415</f>
        <v>0</v>
      </c>
      <c r="AB414">
        <f>'mk 001 10.3'!AB415</f>
        <v>0</v>
      </c>
      <c r="AC414">
        <f>'mk 001 10.3'!AC415</f>
        <v>0</v>
      </c>
      <c r="AD414">
        <f>'mk 001 10.3'!AD415</f>
        <v>0</v>
      </c>
      <c r="AE414">
        <f>'mk 001 10.3'!AE415</f>
        <v>0</v>
      </c>
      <c r="AF414">
        <f>'mk 001 10.3'!AF415</f>
        <v>0</v>
      </c>
      <c r="AG414">
        <f>'mk 001 10.3'!AG415</f>
        <v>0</v>
      </c>
      <c r="AH414">
        <f>'mk 001 10.3'!AH415</f>
        <v>0</v>
      </c>
      <c r="AI414">
        <f>'mk 001 10.3'!AI415</f>
        <v>0</v>
      </c>
      <c r="AJ414">
        <f>'mk 001 10.3'!AJ415</f>
        <v>0</v>
      </c>
      <c r="AK414">
        <f>'mk 001 10.3'!AK415</f>
        <v>0</v>
      </c>
      <c r="AL414">
        <f>'mk 001 10.3'!AL415</f>
        <v>0</v>
      </c>
      <c r="AM414">
        <f>'mk 001 10.3'!AM415</f>
        <v>0</v>
      </c>
      <c r="AN414">
        <f>'mk 001 10.3'!AN415</f>
        <v>0</v>
      </c>
      <c r="AO414">
        <f>'mk 001 10.3'!AO415</f>
        <v>0</v>
      </c>
      <c r="AP414">
        <f>'mk 001 10.3'!AP415</f>
        <v>0</v>
      </c>
      <c r="AQ414">
        <f>'mk 001 10.3'!AQ415</f>
        <v>0</v>
      </c>
      <c r="AR414">
        <f>'mk 001 10.3'!AR415</f>
        <v>0</v>
      </c>
      <c r="AS414">
        <f>'mk 001 10.3'!AS415</f>
        <v>0</v>
      </c>
      <c r="AT414">
        <f>'mk 001 10.3'!AT415</f>
        <v>0</v>
      </c>
      <c r="AU414">
        <f>'mk 001 10.3'!AU415</f>
        <v>0</v>
      </c>
      <c r="AV414">
        <f>'mk 001 10.3'!AV415</f>
        <v>0</v>
      </c>
      <c r="AW414">
        <f>'mk 001 10.3'!AW415</f>
        <v>0</v>
      </c>
      <c r="AX414">
        <f>'mk 001 10.3'!AX415</f>
        <v>0</v>
      </c>
      <c r="AY414">
        <f>'mk 001 10.3'!AY415</f>
        <v>0</v>
      </c>
      <c r="AZ414">
        <f>'mk 001 10.3'!AZ415</f>
        <v>0</v>
      </c>
      <c r="BA414" s="22">
        <f>'mk 001 10.3'!BA415</f>
        <v>0</v>
      </c>
      <c r="BB414">
        <f>'mk 001 10.3'!BB415</f>
        <v>0</v>
      </c>
      <c r="BC414">
        <f>'mk 001 10.3'!BC415</f>
        <v>0</v>
      </c>
      <c r="BD414">
        <f>'mk 001 10.3'!BD415</f>
        <v>0</v>
      </c>
      <c r="BE414">
        <f>'mk 001 10.3'!BE415</f>
        <v>0</v>
      </c>
      <c r="BF414">
        <f>'mk 001 10.3'!BF415</f>
        <v>0</v>
      </c>
      <c r="BG414">
        <f>'mk 001 10.3'!BG415</f>
        <v>0</v>
      </c>
      <c r="BH414">
        <f>'mk 001 10.3'!BH415</f>
        <v>0</v>
      </c>
      <c r="BI414">
        <f>'mk 001 10.3'!BI415</f>
        <v>0</v>
      </c>
      <c r="BJ414">
        <f>'mk 001 10.3'!BJ415</f>
        <v>0</v>
      </c>
      <c r="BK414">
        <f>'mk 001 10.3'!BK415</f>
        <v>0</v>
      </c>
      <c r="BL414">
        <f>'mk 001 10.3'!BL415</f>
        <v>0</v>
      </c>
      <c r="BM414">
        <f>'mk 001 10.3'!BM415</f>
        <v>0</v>
      </c>
      <c r="BN414">
        <f>'mk 001 10.3'!BN415</f>
        <v>0</v>
      </c>
    </row>
    <row r="415" spans="1:66" x14ac:dyDescent="0.35">
      <c r="A415">
        <f>'mk 001 10.3'!A416</f>
        <v>0</v>
      </c>
      <c r="B415">
        <f>'mk 001 10.3'!B416</f>
        <v>0</v>
      </c>
      <c r="C415" s="1">
        <f>'mk 001 10.3'!C416</f>
        <v>0</v>
      </c>
      <c r="D415" s="1">
        <f>'mk 001 10.3'!D416</f>
        <v>0</v>
      </c>
      <c r="E415">
        <f>'mk 001 10.3'!E416</f>
        <v>0</v>
      </c>
      <c r="F415">
        <f>'mk 001 10.3'!F416</f>
        <v>0</v>
      </c>
      <c r="G415">
        <f>'mk 001 10.3'!G416</f>
        <v>0</v>
      </c>
      <c r="H415">
        <f>'mk 001 10.3'!H416</f>
        <v>0</v>
      </c>
      <c r="I415">
        <f>'mk 001 10.3'!I416</f>
        <v>0</v>
      </c>
      <c r="J415">
        <f>'mk 001 10.3'!J416</f>
        <v>0</v>
      </c>
      <c r="K415">
        <f>'mk 001 10.3'!K416</f>
        <v>0</v>
      </c>
      <c r="L415">
        <f>'mk 001 10.3'!L416</f>
        <v>0</v>
      </c>
      <c r="M415">
        <f>'mk 001 10.3'!M416</f>
        <v>0</v>
      </c>
      <c r="N415">
        <f>'mk 001 10.3'!N416</f>
        <v>0</v>
      </c>
      <c r="O415">
        <f>'mk 001 10.3'!O416</f>
        <v>0</v>
      </c>
      <c r="P415">
        <f>'mk 001 10.3'!P416</f>
        <v>0</v>
      </c>
      <c r="Q415">
        <f>'mk 001 10.3'!Q416</f>
        <v>0</v>
      </c>
      <c r="R415" s="1">
        <f>'mk 001 10.3'!R416</f>
        <v>0</v>
      </c>
      <c r="S415" s="1">
        <f>'mk 001 10.3'!S416</f>
        <v>0</v>
      </c>
      <c r="T415">
        <f>'mk 001 10.3'!T416</f>
        <v>0</v>
      </c>
      <c r="U415">
        <f>'mk 001 10.3'!U416</f>
        <v>0</v>
      </c>
      <c r="V415">
        <f>'mk 001 10.3'!V416</f>
        <v>0</v>
      </c>
      <c r="W415">
        <f>'mk 001 10.3'!W416</f>
        <v>0</v>
      </c>
      <c r="X415">
        <f>'mk 001 10.3'!X416</f>
        <v>0</v>
      </c>
      <c r="Y415">
        <f t="shared" si="7"/>
        <v>0</v>
      </c>
      <c r="Z415" s="13">
        <f>IF(COUNTIFS(แปลงข้อมูล!H:H,Q415,แปลงข้อมูล!I:I,U415,แปลงข้อมูล!J:J,V415)&gt;0,SUMIFS(แปลงข้อมูล!Q:Q,แปลงข้อมูล!I:I,U415,แปลงข้อมูล!H:H,Q415,แปลงข้อมูล!J:J,V415),'mk 001 10.3'!Z416)</f>
        <v>0</v>
      </c>
      <c r="AA415">
        <f>'mk 001 10.3'!AA416</f>
        <v>0</v>
      </c>
      <c r="AB415">
        <f>'mk 001 10.3'!AB416</f>
        <v>0</v>
      </c>
      <c r="AC415">
        <f>'mk 001 10.3'!AC416</f>
        <v>0</v>
      </c>
      <c r="AD415">
        <f>'mk 001 10.3'!AD416</f>
        <v>0</v>
      </c>
      <c r="AE415">
        <f>'mk 001 10.3'!AE416</f>
        <v>0</v>
      </c>
      <c r="AF415">
        <f>'mk 001 10.3'!AF416</f>
        <v>0</v>
      </c>
      <c r="AG415">
        <f>'mk 001 10.3'!AG416</f>
        <v>0</v>
      </c>
      <c r="AH415">
        <f>'mk 001 10.3'!AH416</f>
        <v>0</v>
      </c>
      <c r="AI415">
        <f>'mk 001 10.3'!AI416</f>
        <v>0</v>
      </c>
      <c r="AJ415">
        <f>'mk 001 10.3'!AJ416</f>
        <v>0</v>
      </c>
      <c r="AK415">
        <f>'mk 001 10.3'!AK416</f>
        <v>0</v>
      </c>
      <c r="AL415">
        <f>'mk 001 10.3'!AL416</f>
        <v>0</v>
      </c>
      <c r="AM415">
        <f>'mk 001 10.3'!AM416</f>
        <v>0</v>
      </c>
      <c r="AN415">
        <f>'mk 001 10.3'!AN416</f>
        <v>0</v>
      </c>
      <c r="AO415">
        <f>'mk 001 10.3'!AO416</f>
        <v>0</v>
      </c>
      <c r="AP415">
        <f>'mk 001 10.3'!AP416</f>
        <v>0</v>
      </c>
      <c r="AQ415">
        <f>'mk 001 10.3'!AQ416</f>
        <v>0</v>
      </c>
      <c r="AR415">
        <f>'mk 001 10.3'!AR416</f>
        <v>0</v>
      </c>
      <c r="AS415">
        <f>'mk 001 10.3'!AS416</f>
        <v>0</v>
      </c>
      <c r="AT415">
        <f>'mk 001 10.3'!AT416</f>
        <v>0</v>
      </c>
      <c r="AU415">
        <f>'mk 001 10.3'!AU416</f>
        <v>0</v>
      </c>
      <c r="AV415">
        <f>'mk 001 10.3'!AV416</f>
        <v>0</v>
      </c>
      <c r="AW415">
        <f>'mk 001 10.3'!AW416</f>
        <v>0</v>
      </c>
      <c r="AX415">
        <f>'mk 001 10.3'!AX416</f>
        <v>0</v>
      </c>
      <c r="AY415">
        <f>'mk 001 10.3'!AY416</f>
        <v>0</v>
      </c>
      <c r="AZ415">
        <f>'mk 001 10.3'!AZ416</f>
        <v>0</v>
      </c>
      <c r="BA415" s="22">
        <f>'mk 001 10.3'!BA416</f>
        <v>0</v>
      </c>
      <c r="BB415">
        <f>'mk 001 10.3'!BB416</f>
        <v>0</v>
      </c>
      <c r="BC415">
        <f>'mk 001 10.3'!BC416</f>
        <v>0</v>
      </c>
      <c r="BD415">
        <f>'mk 001 10.3'!BD416</f>
        <v>0</v>
      </c>
      <c r="BE415">
        <f>'mk 001 10.3'!BE416</f>
        <v>0</v>
      </c>
      <c r="BF415">
        <f>'mk 001 10.3'!BF416</f>
        <v>0</v>
      </c>
      <c r="BG415">
        <f>'mk 001 10.3'!BG416</f>
        <v>0</v>
      </c>
      <c r="BH415">
        <f>'mk 001 10.3'!BH416</f>
        <v>0</v>
      </c>
      <c r="BI415">
        <f>'mk 001 10.3'!BI416</f>
        <v>0</v>
      </c>
      <c r="BJ415">
        <f>'mk 001 10.3'!BJ416</f>
        <v>0</v>
      </c>
      <c r="BK415">
        <f>'mk 001 10.3'!BK416</f>
        <v>0</v>
      </c>
      <c r="BL415">
        <f>'mk 001 10.3'!BL416</f>
        <v>0</v>
      </c>
      <c r="BM415">
        <f>'mk 001 10.3'!BM416</f>
        <v>0</v>
      </c>
      <c r="BN415">
        <f>'mk 001 10.3'!BN416</f>
        <v>0</v>
      </c>
    </row>
    <row r="416" spans="1:66" x14ac:dyDescent="0.35">
      <c r="A416">
        <f>'mk 001 10.3'!A417</f>
        <v>0</v>
      </c>
      <c r="B416">
        <f>'mk 001 10.3'!B417</f>
        <v>0</v>
      </c>
      <c r="C416" s="1">
        <f>'mk 001 10.3'!C417</f>
        <v>0</v>
      </c>
      <c r="D416" s="1">
        <f>'mk 001 10.3'!D417</f>
        <v>0</v>
      </c>
      <c r="E416">
        <f>'mk 001 10.3'!E417</f>
        <v>0</v>
      </c>
      <c r="F416">
        <f>'mk 001 10.3'!F417</f>
        <v>0</v>
      </c>
      <c r="G416">
        <f>'mk 001 10.3'!G417</f>
        <v>0</v>
      </c>
      <c r="H416">
        <f>'mk 001 10.3'!H417</f>
        <v>0</v>
      </c>
      <c r="I416">
        <f>'mk 001 10.3'!I417</f>
        <v>0</v>
      </c>
      <c r="J416">
        <f>'mk 001 10.3'!J417</f>
        <v>0</v>
      </c>
      <c r="K416">
        <f>'mk 001 10.3'!K417</f>
        <v>0</v>
      </c>
      <c r="L416">
        <f>'mk 001 10.3'!L417</f>
        <v>0</v>
      </c>
      <c r="M416">
        <f>'mk 001 10.3'!M417</f>
        <v>0</v>
      </c>
      <c r="N416">
        <f>'mk 001 10.3'!N417</f>
        <v>0</v>
      </c>
      <c r="O416">
        <f>'mk 001 10.3'!O417</f>
        <v>0</v>
      </c>
      <c r="P416">
        <f>'mk 001 10.3'!P417</f>
        <v>0</v>
      </c>
      <c r="Q416">
        <f>'mk 001 10.3'!Q417</f>
        <v>0</v>
      </c>
      <c r="R416" s="1">
        <f>'mk 001 10.3'!R417</f>
        <v>0</v>
      </c>
      <c r="S416" s="1">
        <f>'mk 001 10.3'!S417</f>
        <v>0</v>
      </c>
      <c r="T416">
        <f>'mk 001 10.3'!T417</f>
        <v>0</v>
      </c>
      <c r="U416">
        <f>'mk 001 10.3'!U417</f>
        <v>0</v>
      </c>
      <c r="V416">
        <f>'mk 001 10.3'!V417</f>
        <v>0</v>
      </c>
      <c r="W416">
        <f>'mk 001 10.3'!W417</f>
        <v>0</v>
      </c>
      <c r="X416">
        <f>'mk 001 10.3'!X417</f>
        <v>0</v>
      </c>
      <c r="Y416">
        <f t="shared" si="7"/>
        <v>0</v>
      </c>
      <c r="Z416" s="13">
        <f>IF(COUNTIFS(แปลงข้อมูล!H:H,Q416,แปลงข้อมูล!I:I,U416,แปลงข้อมูล!J:J,V416)&gt;0,SUMIFS(แปลงข้อมูล!Q:Q,แปลงข้อมูล!I:I,U416,แปลงข้อมูล!H:H,Q416,แปลงข้อมูล!J:J,V416),'mk 001 10.3'!Z417)</f>
        <v>0</v>
      </c>
      <c r="AA416">
        <f>'mk 001 10.3'!AA417</f>
        <v>0</v>
      </c>
      <c r="AB416">
        <f>'mk 001 10.3'!AB417</f>
        <v>0</v>
      </c>
      <c r="AC416">
        <f>'mk 001 10.3'!AC417</f>
        <v>0</v>
      </c>
      <c r="AD416">
        <f>'mk 001 10.3'!AD417</f>
        <v>0</v>
      </c>
      <c r="AE416">
        <f>'mk 001 10.3'!AE417</f>
        <v>0</v>
      </c>
      <c r="AF416">
        <f>'mk 001 10.3'!AF417</f>
        <v>0</v>
      </c>
      <c r="AG416">
        <f>'mk 001 10.3'!AG417</f>
        <v>0</v>
      </c>
      <c r="AH416">
        <f>'mk 001 10.3'!AH417</f>
        <v>0</v>
      </c>
      <c r="AI416">
        <f>'mk 001 10.3'!AI417</f>
        <v>0</v>
      </c>
      <c r="AJ416">
        <f>'mk 001 10.3'!AJ417</f>
        <v>0</v>
      </c>
      <c r="AK416">
        <f>'mk 001 10.3'!AK417</f>
        <v>0</v>
      </c>
      <c r="AL416">
        <f>'mk 001 10.3'!AL417</f>
        <v>0</v>
      </c>
      <c r="AM416">
        <f>'mk 001 10.3'!AM417</f>
        <v>0</v>
      </c>
      <c r="AN416">
        <f>'mk 001 10.3'!AN417</f>
        <v>0</v>
      </c>
      <c r="AO416">
        <f>'mk 001 10.3'!AO417</f>
        <v>0</v>
      </c>
      <c r="AP416">
        <f>'mk 001 10.3'!AP417</f>
        <v>0</v>
      </c>
      <c r="AQ416">
        <f>'mk 001 10.3'!AQ417</f>
        <v>0</v>
      </c>
      <c r="AR416">
        <f>'mk 001 10.3'!AR417</f>
        <v>0</v>
      </c>
      <c r="AS416">
        <f>'mk 001 10.3'!AS417</f>
        <v>0</v>
      </c>
      <c r="AT416">
        <f>'mk 001 10.3'!AT417</f>
        <v>0</v>
      </c>
      <c r="AU416">
        <f>'mk 001 10.3'!AU417</f>
        <v>0</v>
      </c>
      <c r="AV416">
        <f>'mk 001 10.3'!AV417</f>
        <v>0</v>
      </c>
      <c r="AW416">
        <f>'mk 001 10.3'!AW417</f>
        <v>0</v>
      </c>
      <c r="AX416">
        <f>'mk 001 10.3'!AX417</f>
        <v>0</v>
      </c>
      <c r="AY416">
        <f>'mk 001 10.3'!AY417</f>
        <v>0</v>
      </c>
      <c r="AZ416">
        <f>'mk 001 10.3'!AZ417</f>
        <v>0</v>
      </c>
      <c r="BA416" s="22">
        <f>'mk 001 10.3'!BA417</f>
        <v>0</v>
      </c>
      <c r="BB416">
        <f>'mk 001 10.3'!BB417</f>
        <v>0</v>
      </c>
      <c r="BC416">
        <f>'mk 001 10.3'!BC417</f>
        <v>0</v>
      </c>
      <c r="BD416">
        <f>'mk 001 10.3'!BD417</f>
        <v>0</v>
      </c>
      <c r="BE416">
        <f>'mk 001 10.3'!BE417</f>
        <v>0</v>
      </c>
      <c r="BF416">
        <f>'mk 001 10.3'!BF417</f>
        <v>0</v>
      </c>
      <c r="BG416">
        <f>'mk 001 10.3'!BG417</f>
        <v>0</v>
      </c>
      <c r="BH416">
        <f>'mk 001 10.3'!BH417</f>
        <v>0</v>
      </c>
      <c r="BI416">
        <f>'mk 001 10.3'!BI417</f>
        <v>0</v>
      </c>
      <c r="BJ416">
        <f>'mk 001 10.3'!BJ417</f>
        <v>0</v>
      </c>
      <c r="BK416">
        <f>'mk 001 10.3'!BK417</f>
        <v>0</v>
      </c>
      <c r="BL416">
        <f>'mk 001 10.3'!BL417</f>
        <v>0</v>
      </c>
      <c r="BM416">
        <f>'mk 001 10.3'!BM417</f>
        <v>0</v>
      </c>
      <c r="BN416">
        <f>'mk 001 10.3'!BN417</f>
        <v>0</v>
      </c>
    </row>
    <row r="417" spans="1:66" x14ac:dyDescent="0.35">
      <c r="A417">
        <f>'mk 001 10.3'!A418</f>
        <v>0</v>
      </c>
      <c r="B417">
        <f>'mk 001 10.3'!B418</f>
        <v>0</v>
      </c>
      <c r="C417" s="1">
        <f>'mk 001 10.3'!C418</f>
        <v>0</v>
      </c>
      <c r="D417" s="1">
        <f>'mk 001 10.3'!D418</f>
        <v>0</v>
      </c>
      <c r="E417">
        <f>'mk 001 10.3'!E418</f>
        <v>0</v>
      </c>
      <c r="F417">
        <f>'mk 001 10.3'!F418</f>
        <v>0</v>
      </c>
      <c r="G417">
        <f>'mk 001 10.3'!G418</f>
        <v>0</v>
      </c>
      <c r="H417">
        <f>'mk 001 10.3'!H418</f>
        <v>0</v>
      </c>
      <c r="I417">
        <f>'mk 001 10.3'!I418</f>
        <v>0</v>
      </c>
      <c r="J417">
        <f>'mk 001 10.3'!J418</f>
        <v>0</v>
      </c>
      <c r="K417">
        <f>'mk 001 10.3'!K418</f>
        <v>0</v>
      </c>
      <c r="L417">
        <f>'mk 001 10.3'!L418</f>
        <v>0</v>
      </c>
      <c r="M417">
        <f>'mk 001 10.3'!M418</f>
        <v>0</v>
      </c>
      <c r="N417">
        <f>'mk 001 10.3'!N418</f>
        <v>0</v>
      </c>
      <c r="O417">
        <f>'mk 001 10.3'!O418</f>
        <v>0</v>
      </c>
      <c r="P417">
        <f>'mk 001 10.3'!P418</f>
        <v>0</v>
      </c>
      <c r="Q417">
        <f>'mk 001 10.3'!Q418</f>
        <v>0</v>
      </c>
      <c r="R417" s="1">
        <f>'mk 001 10.3'!R418</f>
        <v>0</v>
      </c>
      <c r="S417" s="1">
        <f>'mk 001 10.3'!S418</f>
        <v>0</v>
      </c>
      <c r="T417">
        <f>'mk 001 10.3'!T418</f>
        <v>0</v>
      </c>
      <c r="U417">
        <f>'mk 001 10.3'!U418</f>
        <v>0</v>
      </c>
      <c r="V417">
        <f>'mk 001 10.3'!V418</f>
        <v>0</v>
      </c>
      <c r="W417">
        <f>'mk 001 10.3'!W418</f>
        <v>0</v>
      </c>
      <c r="X417">
        <f>'mk 001 10.3'!X418</f>
        <v>0</v>
      </c>
      <c r="Y417">
        <f t="shared" si="7"/>
        <v>0</v>
      </c>
      <c r="Z417" s="13">
        <f>IF(COUNTIFS(แปลงข้อมูล!H:H,Q417,แปลงข้อมูล!I:I,U417,แปลงข้อมูล!J:J,V417)&gt;0,SUMIFS(แปลงข้อมูล!Q:Q,แปลงข้อมูล!I:I,U417,แปลงข้อมูล!H:H,Q417,แปลงข้อมูล!J:J,V417),'mk 001 10.3'!Z418)</f>
        <v>0</v>
      </c>
      <c r="AA417">
        <f>'mk 001 10.3'!AA418</f>
        <v>0</v>
      </c>
      <c r="AB417">
        <f>'mk 001 10.3'!AB418</f>
        <v>0</v>
      </c>
      <c r="AC417">
        <f>'mk 001 10.3'!AC418</f>
        <v>0</v>
      </c>
      <c r="AD417">
        <f>'mk 001 10.3'!AD418</f>
        <v>0</v>
      </c>
      <c r="AE417">
        <f>'mk 001 10.3'!AE418</f>
        <v>0</v>
      </c>
      <c r="AF417">
        <f>'mk 001 10.3'!AF418</f>
        <v>0</v>
      </c>
      <c r="AG417">
        <f>'mk 001 10.3'!AG418</f>
        <v>0</v>
      </c>
      <c r="AH417">
        <f>'mk 001 10.3'!AH418</f>
        <v>0</v>
      </c>
      <c r="AI417">
        <f>'mk 001 10.3'!AI418</f>
        <v>0</v>
      </c>
      <c r="AJ417">
        <f>'mk 001 10.3'!AJ418</f>
        <v>0</v>
      </c>
      <c r="AK417">
        <f>'mk 001 10.3'!AK418</f>
        <v>0</v>
      </c>
      <c r="AL417">
        <f>'mk 001 10.3'!AL418</f>
        <v>0</v>
      </c>
      <c r="AM417">
        <f>'mk 001 10.3'!AM418</f>
        <v>0</v>
      </c>
      <c r="AN417">
        <f>'mk 001 10.3'!AN418</f>
        <v>0</v>
      </c>
      <c r="AO417">
        <f>'mk 001 10.3'!AO418</f>
        <v>0</v>
      </c>
      <c r="AP417">
        <f>'mk 001 10.3'!AP418</f>
        <v>0</v>
      </c>
      <c r="AQ417">
        <f>'mk 001 10.3'!AQ418</f>
        <v>0</v>
      </c>
      <c r="AR417">
        <f>'mk 001 10.3'!AR418</f>
        <v>0</v>
      </c>
      <c r="AS417">
        <f>'mk 001 10.3'!AS418</f>
        <v>0</v>
      </c>
      <c r="AT417">
        <f>'mk 001 10.3'!AT418</f>
        <v>0</v>
      </c>
      <c r="AU417">
        <f>'mk 001 10.3'!AU418</f>
        <v>0</v>
      </c>
      <c r="AV417">
        <f>'mk 001 10.3'!AV418</f>
        <v>0</v>
      </c>
      <c r="AW417">
        <f>'mk 001 10.3'!AW418</f>
        <v>0</v>
      </c>
      <c r="AX417">
        <f>'mk 001 10.3'!AX418</f>
        <v>0</v>
      </c>
      <c r="AY417">
        <f>'mk 001 10.3'!AY418</f>
        <v>0</v>
      </c>
      <c r="AZ417">
        <f>'mk 001 10.3'!AZ418</f>
        <v>0</v>
      </c>
      <c r="BA417" s="22">
        <f>'mk 001 10.3'!BA418</f>
        <v>0</v>
      </c>
      <c r="BB417">
        <f>'mk 001 10.3'!BB418</f>
        <v>0</v>
      </c>
      <c r="BC417">
        <f>'mk 001 10.3'!BC418</f>
        <v>0</v>
      </c>
      <c r="BD417">
        <f>'mk 001 10.3'!BD418</f>
        <v>0</v>
      </c>
      <c r="BE417">
        <f>'mk 001 10.3'!BE418</f>
        <v>0</v>
      </c>
      <c r="BF417">
        <f>'mk 001 10.3'!BF418</f>
        <v>0</v>
      </c>
      <c r="BG417">
        <f>'mk 001 10.3'!BG418</f>
        <v>0</v>
      </c>
      <c r="BH417">
        <f>'mk 001 10.3'!BH418</f>
        <v>0</v>
      </c>
      <c r="BI417">
        <f>'mk 001 10.3'!BI418</f>
        <v>0</v>
      </c>
      <c r="BJ417">
        <f>'mk 001 10.3'!BJ418</f>
        <v>0</v>
      </c>
      <c r="BK417">
        <f>'mk 001 10.3'!BK418</f>
        <v>0</v>
      </c>
      <c r="BL417">
        <f>'mk 001 10.3'!BL418</f>
        <v>0</v>
      </c>
      <c r="BM417">
        <f>'mk 001 10.3'!BM418</f>
        <v>0</v>
      </c>
      <c r="BN417">
        <f>'mk 001 10.3'!BN418</f>
        <v>0</v>
      </c>
    </row>
    <row r="418" spans="1:66" x14ac:dyDescent="0.35">
      <c r="A418">
        <f>'mk 001 10.3'!A419</f>
        <v>0</v>
      </c>
      <c r="B418">
        <f>'mk 001 10.3'!B419</f>
        <v>0</v>
      </c>
      <c r="C418" s="1">
        <f>'mk 001 10.3'!C419</f>
        <v>0</v>
      </c>
      <c r="D418" s="1">
        <f>'mk 001 10.3'!D419</f>
        <v>0</v>
      </c>
      <c r="E418">
        <f>'mk 001 10.3'!E419</f>
        <v>0</v>
      </c>
      <c r="F418">
        <f>'mk 001 10.3'!F419</f>
        <v>0</v>
      </c>
      <c r="G418">
        <f>'mk 001 10.3'!G419</f>
        <v>0</v>
      </c>
      <c r="H418">
        <f>'mk 001 10.3'!H419</f>
        <v>0</v>
      </c>
      <c r="I418">
        <f>'mk 001 10.3'!I419</f>
        <v>0</v>
      </c>
      <c r="J418">
        <f>'mk 001 10.3'!J419</f>
        <v>0</v>
      </c>
      <c r="K418">
        <f>'mk 001 10.3'!K419</f>
        <v>0</v>
      </c>
      <c r="L418">
        <f>'mk 001 10.3'!L419</f>
        <v>0</v>
      </c>
      <c r="M418">
        <f>'mk 001 10.3'!M419</f>
        <v>0</v>
      </c>
      <c r="N418">
        <f>'mk 001 10.3'!N419</f>
        <v>0</v>
      </c>
      <c r="O418">
        <f>'mk 001 10.3'!O419</f>
        <v>0</v>
      </c>
      <c r="P418">
        <f>'mk 001 10.3'!P419</f>
        <v>0</v>
      </c>
      <c r="Q418">
        <f>'mk 001 10.3'!Q419</f>
        <v>0</v>
      </c>
      <c r="R418" s="1">
        <f>'mk 001 10.3'!R419</f>
        <v>0</v>
      </c>
      <c r="S418" s="1">
        <f>'mk 001 10.3'!S419</f>
        <v>0</v>
      </c>
      <c r="T418">
        <f>'mk 001 10.3'!T419</f>
        <v>0</v>
      </c>
      <c r="U418">
        <f>'mk 001 10.3'!U419</f>
        <v>0</v>
      </c>
      <c r="V418">
        <f>'mk 001 10.3'!V419</f>
        <v>0</v>
      </c>
      <c r="W418">
        <f>'mk 001 10.3'!W419</f>
        <v>0</v>
      </c>
      <c r="X418">
        <f>'mk 001 10.3'!X419</f>
        <v>0</v>
      </c>
      <c r="Y418">
        <f t="shared" si="7"/>
        <v>0</v>
      </c>
      <c r="Z418" s="13">
        <f>IF(COUNTIFS(แปลงข้อมูล!H:H,Q418,แปลงข้อมูล!I:I,U418,แปลงข้อมูล!J:J,V418)&gt;0,SUMIFS(แปลงข้อมูล!Q:Q,แปลงข้อมูล!I:I,U418,แปลงข้อมูล!H:H,Q418,แปลงข้อมูล!J:J,V418),'mk 001 10.3'!Z419)</f>
        <v>0</v>
      </c>
      <c r="AA418">
        <f>'mk 001 10.3'!AA419</f>
        <v>0</v>
      </c>
      <c r="AB418">
        <f>'mk 001 10.3'!AB419</f>
        <v>0</v>
      </c>
      <c r="AC418">
        <f>'mk 001 10.3'!AC419</f>
        <v>0</v>
      </c>
      <c r="AD418">
        <f>'mk 001 10.3'!AD419</f>
        <v>0</v>
      </c>
      <c r="AE418">
        <f>'mk 001 10.3'!AE419</f>
        <v>0</v>
      </c>
      <c r="AF418">
        <f>'mk 001 10.3'!AF419</f>
        <v>0</v>
      </c>
      <c r="AG418">
        <f>'mk 001 10.3'!AG419</f>
        <v>0</v>
      </c>
      <c r="AH418">
        <f>'mk 001 10.3'!AH419</f>
        <v>0</v>
      </c>
      <c r="AI418">
        <f>'mk 001 10.3'!AI419</f>
        <v>0</v>
      </c>
      <c r="AJ418">
        <f>'mk 001 10.3'!AJ419</f>
        <v>0</v>
      </c>
      <c r="AK418">
        <f>'mk 001 10.3'!AK419</f>
        <v>0</v>
      </c>
      <c r="AL418">
        <f>'mk 001 10.3'!AL419</f>
        <v>0</v>
      </c>
      <c r="AM418">
        <f>'mk 001 10.3'!AM419</f>
        <v>0</v>
      </c>
      <c r="AN418">
        <f>'mk 001 10.3'!AN419</f>
        <v>0</v>
      </c>
      <c r="AO418">
        <f>'mk 001 10.3'!AO419</f>
        <v>0</v>
      </c>
      <c r="AP418">
        <f>'mk 001 10.3'!AP419</f>
        <v>0</v>
      </c>
      <c r="AQ418">
        <f>'mk 001 10.3'!AQ419</f>
        <v>0</v>
      </c>
      <c r="AR418">
        <f>'mk 001 10.3'!AR419</f>
        <v>0</v>
      </c>
      <c r="AS418">
        <f>'mk 001 10.3'!AS419</f>
        <v>0</v>
      </c>
      <c r="AT418">
        <f>'mk 001 10.3'!AT419</f>
        <v>0</v>
      </c>
      <c r="AU418">
        <f>'mk 001 10.3'!AU419</f>
        <v>0</v>
      </c>
      <c r="AV418">
        <f>'mk 001 10.3'!AV419</f>
        <v>0</v>
      </c>
      <c r="AW418">
        <f>'mk 001 10.3'!AW419</f>
        <v>0</v>
      </c>
      <c r="AX418">
        <f>'mk 001 10.3'!AX419</f>
        <v>0</v>
      </c>
      <c r="AY418">
        <f>'mk 001 10.3'!AY419</f>
        <v>0</v>
      </c>
      <c r="AZ418">
        <f>'mk 001 10.3'!AZ419</f>
        <v>0</v>
      </c>
      <c r="BA418" s="22">
        <f>'mk 001 10.3'!BA419</f>
        <v>0</v>
      </c>
      <c r="BB418">
        <f>'mk 001 10.3'!BB419</f>
        <v>0</v>
      </c>
      <c r="BC418">
        <f>'mk 001 10.3'!BC419</f>
        <v>0</v>
      </c>
      <c r="BD418">
        <f>'mk 001 10.3'!BD419</f>
        <v>0</v>
      </c>
      <c r="BE418">
        <f>'mk 001 10.3'!BE419</f>
        <v>0</v>
      </c>
      <c r="BF418">
        <f>'mk 001 10.3'!BF419</f>
        <v>0</v>
      </c>
      <c r="BG418">
        <f>'mk 001 10.3'!BG419</f>
        <v>0</v>
      </c>
      <c r="BH418">
        <f>'mk 001 10.3'!BH419</f>
        <v>0</v>
      </c>
      <c r="BI418">
        <f>'mk 001 10.3'!BI419</f>
        <v>0</v>
      </c>
      <c r="BJ418">
        <f>'mk 001 10.3'!BJ419</f>
        <v>0</v>
      </c>
      <c r="BK418">
        <f>'mk 001 10.3'!BK419</f>
        <v>0</v>
      </c>
      <c r="BL418">
        <f>'mk 001 10.3'!BL419</f>
        <v>0</v>
      </c>
      <c r="BM418">
        <f>'mk 001 10.3'!BM419</f>
        <v>0</v>
      </c>
      <c r="BN418">
        <f>'mk 001 10.3'!BN419</f>
        <v>0</v>
      </c>
    </row>
    <row r="419" spans="1:66" x14ac:dyDescent="0.35">
      <c r="A419">
        <f>'mk 001 10.3'!A420</f>
        <v>0</v>
      </c>
      <c r="B419">
        <f>'mk 001 10.3'!B420</f>
        <v>0</v>
      </c>
      <c r="C419" s="1">
        <f>'mk 001 10.3'!C420</f>
        <v>0</v>
      </c>
      <c r="D419" s="1">
        <f>'mk 001 10.3'!D420</f>
        <v>0</v>
      </c>
      <c r="E419">
        <f>'mk 001 10.3'!E420</f>
        <v>0</v>
      </c>
      <c r="F419">
        <f>'mk 001 10.3'!F420</f>
        <v>0</v>
      </c>
      <c r="G419">
        <f>'mk 001 10.3'!G420</f>
        <v>0</v>
      </c>
      <c r="H419">
        <f>'mk 001 10.3'!H420</f>
        <v>0</v>
      </c>
      <c r="I419">
        <f>'mk 001 10.3'!I420</f>
        <v>0</v>
      </c>
      <c r="J419">
        <f>'mk 001 10.3'!J420</f>
        <v>0</v>
      </c>
      <c r="K419">
        <f>'mk 001 10.3'!K420</f>
        <v>0</v>
      </c>
      <c r="L419">
        <f>'mk 001 10.3'!L420</f>
        <v>0</v>
      </c>
      <c r="M419">
        <f>'mk 001 10.3'!M420</f>
        <v>0</v>
      </c>
      <c r="N419">
        <f>'mk 001 10.3'!N420</f>
        <v>0</v>
      </c>
      <c r="O419">
        <f>'mk 001 10.3'!O420</f>
        <v>0</v>
      </c>
      <c r="P419">
        <f>'mk 001 10.3'!P420</f>
        <v>0</v>
      </c>
      <c r="Q419">
        <f>'mk 001 10.3'!Q420</f>
        <v>0</v>
      </c>
      <c r="R419" s="1">
        <f>'mk 001 10.3'!R420</f>
        <v>0</v>
      </c>
      <c r="S419" s="1">
        <f>'mk 001 10.3'!S420</f>
        <v>0</v>
      </c>
      <c r="T419">
        <f>'mk 001 10.3'!T420</f>
        <v>0</v>
      </c>
      <c r="U419">
        <f>'mk 001 10.3'!U420</f>
        <v>0</v>
      </c>
      <c r="V419">
        <f>'mk 001 10.3'!V420</f>
        <v>0</v>
      </c>
      <c r="W419">
        <f>'mk 001 10.3'!W420</f>
        <v>0</v>
      </c>
      <c r="X419">
        <f>'mk 001 10.3'!X420</f>
        <v>0</v>
      </c>
      <c r="Y419">
        <f t="shared" si="7"/>
        <v>0</v>
      </c>
      <c r="Z419" s="13">
        <f>IF(COUNTIFS(แปลงข้อมูล!H:H,Q419,แปลงข้อมูล!I:I,U419,แปลงข้อมูล!J:J,V419)&gt;0,SUMIFS(แปลงข้อมูล!Q:Q,แปลงข้อมูล!I:I,U419,แปลงข้อมูล!H:H,Q419,แปลงข้อมูล!J:J,V419),'mk 001 10.3'!Z420)</f>
        <v>0</v>
      </c>
      <c r="AA419">
        <f>'mk 001 10.3'!AA420</f>
        <v>0</v>
      </c>
      <c r="AB419">
        <f>'mk 001 10.3'!AB420</f>
        <v>0</v>
      </c>
      <c r="AC419">
        <f>'mk 001 10.3'!AC420</f>
        <v>0</v>
      </c>
      <c r="AD419">
        <f>'mk 001 10.3'!AD420</f>
        <v>0</v>
      </c>
      <c r="AE419">
        <f>'mk 001 10.3'!AE420</f>
        <v>0</v>
      </c>
      <c r="AF419">
        <f>'mk 001 10.3'!AF420</f>
        <v>0</v>
      </c>
      <c r="AG419">
        <f>'mk 001 10.3'!AG420</f>
        <v>0</v>
      </c>
      <c r="AH419">
        <f>'mk 001 10.3'!AH420</f>
        <v>0</v>
      </c>
      <c r="AI419">
        <f>'mk 001 10.3'!AI420</f>
        <v>0</v>
      </c>
      <c r="AJ419">
        <f>'mk 001 10.3'!AJ420</f>
        <v>0</v>
      </c>
      <c r="AK419">
        <f>'mk 001 10.3'!AK420</f>
        <v>0</v>
      </c>
      <c r="AL419">
        <f>'mk 001 10.3'!AL420</f>
        <v>0</v>
      </c>
      <c r="AM419">
        <f>'mk 001 10.3'!AM420</f>
        <v>0</v>
      </c>
      <c r="AN419">
        <f>'mk 001 10.3'!AN420</f>
        <v>0</v>
      </c>
      <c r="AO419">
        <f>'mk 001 10.3'!AO420</f>
        <v>0</v>
      </c>
      <c r="AP419">
        <f>'mk 001 10.3'!AP420</f>
        <v>0</v>
      </c>
      <c r="AQ419">
        <f>'mk 001 10.3'!AQ420</f>
        <v>0</v>
      </c>
      <c r="AR419">
        <f>'mk 001 10.3'!AR420</f>
        <v>0</v>
      </c>
      <c r="AS419">
        <f>'mk 001 10.3'!AS420</f>
        <v>0</v>
      </c>
      <c r="AT419">
        <f>'mk 001 10.3'!AT420</f>
        <v>0</v>
      </c>
      <c r="AU419">
        <f>'mk 001 10.3'!AU420</f>
        <v>0</v>
      </c>
      <c r="AV419">
        <f>'mk 001 10.3'!AV420</f>
        <v>0</v>
      </c>
      <c r="AW419">
        <f>'mk 001 10.3'!AW420</f>
        <v>0</v>
      </c>
      <c r="AX419">
        <f>'mk 001 10.3'!AX420</f>
        <v>0</v>
      </c>
      <c r="AY419">
        <f>'mk 001 10.3'!AY420</f>
        <v>0</v>
      </c>
      <c r="AZ419">
        <f>'mk 001 10.3'!AZ420</f>
        <v>0</v>
      </c>
      <c r="BA419" s="22">
        <f>'mk 001 10.3'!BA420</f>
        <v>0</v>
      </c>
      <c r="BB419">
        <f>'mk 001 10.3'!BB420</f>
        <v>0</v>
      </c>
      <c r="BC419">
        <f>'mk 001 10.3'!BC420</f>
        <v>0</v>
      </c>
      <c r="BD419">
        <f>'mk 001 10.3'!BD420</f>
        <v>0</v>
      </c>
      <c r="BE419">
        <f>'mk 001 10.3'!BE420</f>
        <v>0</v>
      </c>
      <c r="BF419">
        <f>'mk 001 10.3'!BF420</f>
        <v>0</v>
      </c>
      <c r="BG419">
        <f>'mk 001 10.3'!BG420</f>
        <v>0</v>
      </c>
      <c r="BH419">
        <f>'mk 001 10.3'!BH420</f>
        <v>0</v>
      </c>
      <c r="BI419">
        <f>'mk 001 10.3'!BI420</f>
        <v>0</v>
      </c>
      <c r="BJ419">
        <f>'mk 001 10.3'!BJ420</f>
        <v>0</v>
      </c>
      <c r="BK419">
        <f>'mk 001 10.3'!BK420</f>
        <v>0</v>
      </c>
      <c r="BL419">
        <f>'mk 001 10.3'!BL420</f>
        <v>0</v>
      </c>
      <c r="BM419">
        <f>'mk 001 10.3'!BM420</f>
        <v>0</v>
      </c>
      <c r="BN419">
        <f>'mk 001 10.3'!BN420</f>
        <v>0</v>
      </c>
    </row>
    <row r="420" spans="1:66" x14ac:dyDescent="0.35">
      <c r="A420">
        <f>'mk 001 10.3'!A421</f>
        <v>0</v>
      </c>
      <c r="B420">
        <f>'mk 001 10.3'!B421</f>
        <v>0</v>
      </c>
      <c r="C420" s="1">
        <f>'mk 001 10.3'!C421</f>
        <v>0</v>
      </c>
      <c r="D420" s="1">
        <f>'mk 001 10.3'!D421</f>
        <v>0</v>
      </c>
      <c r="E420">
        <f>'mk 001 10.3'!E421</f>
        <v>0</v>
      </c>
      <c r="F420">
        <f>'mk 001 10.3'!F421</f>
        <v>0</v>
      </c>
      <c r="G420">
        <f>'mk 001 10.3'!G421</f>
        <v>0</v>
      </c>
      <c r="H420">
        <f>'mk 001 10.3'!H421</f>
        <v>0</v>
      </c>
      <c r="I420">
        <f>'mk 001 10.3'!I421</f>
        <v>0</v>
      </c>
      <c r="J420">
        <f>'mk 001 10.3'!J421</f>
        <v>0</v>
      </c>
      <c r="K420">
        <f>'mk 001 10.3'!K421</f>
        <v>0</v>
      </c>
      <c r="L420">
        <f>'mk 001 10.3'!L421</f>
        <v>0</v>
      </c>
      <c r="M420">
        <f>'mk 001 10.3'!M421</f>
        <v>0</v>
      </c>
      <c r="N420">
        <f>'mk 001 10.3'!N421</f>
        <v>0</v>
      </c>
      <c r="O420">
        <f>'mk 001 10.3'!O421</f>
        <v>0</v>
      </c>
      <c r="P420">
        <f>'mk 001 10.3'!P421</f>
        <v>0</v>
      </c>
      <c r="Q420">
        <f>'mk 001 10.3'!Q421</f>
        <v>0</v>
      </c>
      <c r="R420" s="1">
        <f>'mk 001 10.3'!R421</f>
        <v>0</v>
      </c>
      <c r="S420" s="1">
        <f>'mk 001 10.3'!S421</f>
        <v>0</v>
      </c>
      <c r="T420">
        <f>'mk 001 10.3'!T421</f>
        <v>0</v>
      </c>
      <c r="U420">
        <f>'mk 001 10.3'!U421</f>
        <v>0</v>
      </c>
      <c r="V420">
        <f>'mk 001 10.3'!V421</f>
        <v>0</v>
      </c>
      <c r="W420">
        <f>'mk 001 10.3'!W421</f>
        <v>0</v>
      </c>
      <c r="X420">
        <f>'mk 001 10.3'!X421</f>
        <v>0</v>
      </c>
      <c r="Y420">
        <f t="shared" si="7"/>
        <v>0</v>
      </c>
      <c r="Z420" s="13">
        <f>IF(COUNTIFS(แปลงข้อมูล!H:H,Q420,แปลงข้อมูล!I:I,U420,แปลงข้อมูล!J:J,V420)&gt;0,SUMIFS(แปลงข้อมูล!Q:Q,แปลงข้อมูล!I:I,U420,แปลงข้อมูล!H:H,Q420,แปลงข้อมูล!J:J,V420),'mk 001 10.3'!Z421)</f>
        <v>0</v>
      </c>
      <c r="AA420">
        <f>'mk 001 10.3'!AA421</f>
        <v>0</v>
      </c>
      <c r="AB420">
        <f>'mk 001 10.3'!AB421</f>
        <v>0</v>
      </c>
      <c r="AC420">
        <f>'mk 001 10.3'!AC421</f>
        <v>0</v>
      </c>
      <c r="AD420">
        <f>'mk 001 10.3'!AD421</f>
        <v>0</v>
      </c>
      <c r="AE420">
        <f>'mk 001 10.3'!AE421</f>
        <v>0</v>
      </c>
      <c r="AF420">
        <f>'mk 001 10.3'!AF421</f>
        <v>0</v>
      </c>
      <c r="AG420">
        <f>'mk 001 10.3'!AG421</f>
        <v>0</v>
      </c>
      <c r="AH420">
        <f>'mk 001 10.3'!AH421</f>
        <v>0</v>
      </c>
      <c r="AI420">
        <f>'mk 001 10.3'!AI421</f>
        <v>0</v>
      </c>
      <c r="AJ420">
        <f>'mk 001 10.3'!AJ421</f>
        <v>0</v>
      </c>
      <c r="AK420">
        <f>'mk 001 10.3'!AK421</f>
        <v>0</v>
      </c>
      <c r="AL420">
        <f>'mk 001 10.3'!AL421</f>
        <v>0</v>
      </c>
      <c r="AM420">
        <f>'mk 001 10.3'!AM421</f>
        <v>0</v>
      </c>
      <c r="AN420">
        <f>'mk 001 10.3'!AN421</f>
        <v>0</v>
      </c>
      <c r="AO420">
        <f>'mk 001 10.3'!AO421</f>
        <v>0</v>
      </c>
      <c r="AP420">
        <f>'mk 001 10.3'!AP421</f>
        <v>0</v>
      </c>
      <c r="AQ420">
        <f>'mk 001 10.3'!AQ421</f>
        <v>0</v>
      </c>
      <c r="AR420">
        <f>'mk 001 10.3'!AR421</f>
        <v>0</v>
      </c>
      <c r="AS420">
        <f>'mk 001 10.3'!AS421</f>
        <v>0</v>
      </c>
      <c r="AT420">
        <f>'mk 001 10.3'!AT421</f>
        <v>0</v>
      </c>
      <c r="AU420">
        <f>'mk 001 10.3'!AU421</f>
        <v>0</v>
      </c>
      <c r="AV420">
        <f>'mk 001 10.3'!AV421</f>
        <v>0</v>
      </c>
      <c r="AW420">
        <f>'mk 001 10.3'!AW421</f>
        <v>0</v>
      </c>
      <c r="AX420">
        <f>'mk 001 10.3'!AX421</f>
        <v>0</v>
      </c>
      <c r="AY420">
        <f>'mk 001 10.3'!AY421</f>
        <v>0</v>
      </c>
      <c r="AZ420">
        <f>'mk 001 10.3'!AZ421</f>
        <v>0</v>
      </c>
      <c r="BA420" s="22">
        <f>'mk 001 10.3'!BA421</f>
        <v>0</v>
      </c>
      <c r="BB420">
        <f>'mk 001 10.3'!BB421</f>
        <v>0</v>
      </c>
      <c r="BC420">
        <f>'mk 001 10.3'!BC421</f>
        <v>0</v>
      </c>
      <c r="BD420">
        <f>'mk 001 10.3'!BD421</f>
        <v>0</v>
      </c>
      <c r="BE420">
        <f>'mk 001 10.3'!BE421</f>
        <v>0</v>
      </c>
      <c r="BF420">
        <f>'mk 001 10.3'!BF421</f>
        <v>0</v>
      </c>
      <c r="BG420">
        <f>'mk 001 10.3'!BG421</f>
        <v>0</v>
      </c>
      <c r="BH420">
        <f>'mk 001 10.3'!BH421</f>
        <v>0</v>
      </c>
      <c r="BI420">
        <f>'mk 001 10.3'!BI421</f>
        <v>0</v>
      </c>
      <c r="BJ420">
        <f>'mk 001 10.3'!BJ421</f>
        <v>0</v>
      </c>
      <c r="BK420">
        <f>'mk 001 10.3'!BK421</f>
        <v>0</v>
      </c>
      <c r="BL420">
        <f>'mk 001 10.3'!BL421</f>
        <v>0</v>
      </c>
      <c r="BM420">
        <f>'mk 001 10.3'!BM421</f>
        <v>0</v>
      </c>
      <c r="BN420">
        <f>'mk 001 10.3'!BN421</f>
        <v>0</v>
      </c>
    </row>
    <row r="421" spans="1:66" x14ac:dyDescent="0.35">
      <c r="A421">
        <f>'mk 001 10.3'!A422</f>
        <v>0</v>
      </c>
      <c r="B421">
        <f>'mk 001 10.3'!B422</f>
        <v>0</v>
      </c>
      <c r="C421" s="1">
        <f>'mk 001 10.3'!C422</f>
        <v>0</v>
      </c>
      <c r="D421" s="1">
        <f>'mk 001 10.3'!D422</f>
        <v>0</v>
      </c>
      <c r="E421">
        <f>'mk 001 10.3'!E422</f>
        <v>0</v>
      </c>
      <c r="F421">
        <f>'mk 001 10.3'!F422</f>
        <v>0</v>
      </c>
      <c r="G421">
        <f>'mk 001 10.3'!G422</f>
        <v>0</v>
      </c>
      <c r="H421">
        <f>'mk 001 10.3'!H422</f>
        <v>0</v>
      </c>
      <c r="I421">
        <f>'mk 001 10.3'!I422</f>
        <v>0</v>
      </c>
      <c r="J421">
        <f>'mk 001 10.3'!J422</f>
        <v>0</v>
      </c>
      <c r="K421">
        <f>'mk 001 10.3'!K422</f>
        <v>0</v>
      </c>
      <c r="L421">
        <f>'mk 001 10.3'!L422</f>
        <v>0</v>
      </c>
      <c r="M421">
        <f>'mk 001 10.3'!M422</f>
        <v>0</v>
      </c>
      <c r="N421">
        <f>'mk 001 10.3'!N422</f>
        <v>0</v>
      </c>
      <c r="O421">
        <f>'mk 001 10.3'!O422</f>
        <v>0</v>
      </c>
      <c r="P421">
        <f>'mk 001 10.3'!P422</f>
        <v>0</v>
      </c>
      <c r="Q421">
        <f>'mk 001 10.3'!Q422</f>
        <v>0</v>
      </c>
      <c r="R421" s="1">
        <f>'mk 001 10.3'!R422</f>
        <v>0</v>
      </c>
      <c r="S421" s="1">
        <f>'mk 001 10.3'!S422</f>
        <v>0</v>
      </c>
      <c r="T421">
        <f>'mk 001 10.3'!T422</f>
        <v>0</v>
      </c>
      <c r="U421">
        <f>'mk 001 10.3'!U422</f>
        <v>0</v>
      </c>
      <c r="V421">
        <f>'mk 001 10.3'!V422</f>
        <v>0</v>
      </c>
      <c r="W421">
        <f>'mk 001 10.3'!W422</f>
        <v>0</v>
      </c>
      <c r="X421">
        <f>'mk 001 10.3'!X422</f>
        <v>0</v>
      </c>
      <c r="Y421">
        <f t="shared" si="7"/>
        <v>0</v>
      </c>
      <c r="Z421" s="13">
        <f>IF(COUNTIFS(แปลงข้อมูล!H:H,Q421,แปลงข้อมูล!I:I,U421,แปลงข้อมูล!J:J,V421)&gt;0,SUMIFS(แปลงข้อมูล!Q:Q,แปลงข้อมูล!I:I,U421,แปลงข้อมูล!H:H,Q421,แปลงข้อมูล!J:J,V421),'mk 001 10.3'!Z422)</f>
        <v>0</v>
      </c>
      <c r="AA421">
        <f>'mk 001 10.3'!AA422</f>
        <v>0</v>
      </c>
      <c r="AB421">
        <f>'mk 001 10.3'!AB422</f>
        <v>0</v>
      </c>
      <c r="AC421">
        <f>'mk 001 10.3'!AC422</f>
        <v>0</v>
      </c>
      <c r="AD421">
        <f>'mk 001 10.3'!AD422</f>
        <v>0</v>
      </c>
      <c r="AE421">
        <f>'mk 001 10.3'!AE422</f>
        <v>0</v>
      </c>
      <c r="AF421">
        <f>'mk 001 10.3'!AF422</f>
        <v>0</v>
      </c>
      <c r="AG421">
        <f>'mk 001 10.3'!AG422</f>
        <v>0</v>
      </c>
      <c r="AH421">
        <f>'mk 001 10.3'!AH422</f>
        <v>0</v>
      </c>
      <c r="AI421">
        <f>'mk 001 10.3'!AI422</f>
        <v>0</v>
      </c>
      <c r="AJ421">
        <f>'mk 001 10.3'!AJ422</f>
        <v>0</v>
      </c>
      <c r="AK421">
        <f>'mk 001 10.3'!AK422</f>
        <v>0</v>
      </c>
      <c r="AL421">
        <f>'mk 001 10.3'!AL422</f>
        <v>0</v>
      </c>
      <c r="AM421">
        <f>'mk 001 10.3'!AM422</f>
        <v>0</v>
      </c>
      <c r="AN421">
        <f>'mk 001 10.3'!AN422</f>
        <v>0</v>
      </c>
      <c r="AO421">
        <f>'mk 001 10.3'!AO422</f>
        <v>0</v>
      </c>
      <c r="AP421">
        <f>'mk 001 10.3'!AP422</f>
        <v>0</v>
      </c>
      <c r="AQ421">
        <f>'mk 001 10.3'!AQ422</f>
        <v>0</v>
      </c>
      <c r="AR421">
        <f>'mk 001 10.3'!AR422</f>
        <v>0</v>
      </c>
      <c r="AS421">
        <f>'mk 001 10.3'!AS422</f>
        <v>0</v>
      </c>
      <c r="AT421">
        <f>'mk 001 10.3'!AT422</f>
        <v>0</v>
      </c>
      <c r="AU421">
        <f>'mk 001 10.3'!AU422</f>
        <v>0</v>
      </c>
      <c r="AV421">
        <f>'mk 001 10.3'!AV422</f>
        <v>0</v>
      </c>
      <c r="AW421">
        <f>'mk 001 10.3'!AW422</f>
        <v>0</v>
      </c>
      <c r="AX421">
        <f>'mk 001 10.3'!AX422</f>
        <v>0</v>
      </c>
      <c r="AY421">
        <f>'mk 001 10.3'!AY422</f>
        <v>0</v>
      </c>
      <c r="AZ421">
        <f>'mk 001 10.3'!AZ422</f>
        <v>0</v>
      </c>
      <c r="BA421" s="22">
        <f>'mk 001 10.3'!BA422</f>
        <v>0</v>
      </c>
      <c r="BB421">
        <f>'mk 001 10.3'!BB422</f>
        <v>0</v>
      </c>
      <c r="BC421">
        <f>'mk 001 10.3'!BC422</f>
        <v>0</v>
      </c>
      <c r="BD421">
        <f>'mk 001 10.3'!BD422</f>
        <v>0</v>
      </c>
      <c r="BE421">
        <f>'mk 001 10.3'!BE422</f>
        <v>0</v>
      </c>
      <c r="BF421">
        <f>'mk 001 10.3'!BF422</f>
        <v>0</v>
      </c>
      <c r="BG421">
        <f>'mk 001 10.3'!BG422</f>
        <v>0</v>
      </c>
      <c r="BH421">
        <f>'mk 001 10.3'!BH422</f>
        <v>0</v>
      </c>
      <c r="BI421">
        <f>'mk 001 10.3'!BI422</f>
        <v>0</v>
      </c>
      <c r="BJ421">
        <f>'mk 001 10.3'!BJ422</f>
        <v>0</v>
      </c>
      <c r="BK421">
        <f>'mk 001 10.3'!BK422</f>
        <v>0</v>
      </c>
      <c r="BL421">
        <f>'mk 001 10.3'!BL422</f>
        <v>0</v>
      </c>
      <c r="BM421">
        <f>'mk 001 10.3'!BM422</f>
        <v>0</v>
      </c>
      <c r="BN421">
        <f>'mk 001 10.3'!BN422</f>
        <v>0</v>
      </c>
    </row>
    <row r="422" spans="1:66" x14ac:dyDescent="0.35">
      <c r="A422">
        <f>'mk 001 10.3'!A423</f>
        <v>0</v>
      </c>
      <c r="B422">
        <f>'mk 001 10.3'!B423</f>
        <v>0</v>
      </c>
      <c r="C422" s="1">
        <f>'mk 001 10.3'!C423</f>
        <v>0</v>
      </c>
      <c r="D422" s="1">
        <f>'mk 001 10.3'!D423</f>
        <v>0</v>
      </c>
      <c r="E422">
        <f>'mk 001 10.3'!E423</f>
        <v>0</v>
      </c>
      <c r="F422">
        <f>'mk 001 10.3'!F423</f>
        <v>0</v>
      </c>
      <c r="G422">
        <f>'mk 001 10.3'!G423</f>
        <v>0</v>
      </c>
      <c r="H422">
        <f>'mk 001 10.3'!H423</f>
        <v>0</v>
      </c>
      <c r="I422">
        <f>'mk 001 10.3'!I423</f>
        <v>0</v>
      </c>
      <c r="J422">
        <f>'mk 001 10.3'!J423</f>
        <v>0</v>
      </c>
      <c r="K422">
        <f>'mk 001 10.3'!K423</f>
        <v>0</v>
      </c>
      <c r="L422">
        <f>'mk 001 10.3'!L423</f>
        <v>0</v>
      </c>
      <c r="M422">
        <f>'mk 001 10.3'!M423</f>
        <v>0</v>
      </c>
      <c r="N422">
        <f>'mk 001 10.3'!N423</f>
        <v>0</v>
      </c>
      <c r="O422">
        <f>'mk 001 10.3'!O423</f>
        <v>0</v>
      </c>
      <c r="P422">
        <f>'mk 001 10.3'!P423</f>
        <v>0</v>
      </c>
      <c r="Q422">
        <f>'mk 001 10.3'!Q423</f>
        <v>0</v>
      </c>
      <c r="R422" s="1">
        <f>'mk 001 10.3'!R423</f>
        <v>0</v>
      </c>
      <c r="S422" s="1">
        <f>'mk 001 10.3'!S423</f>
        <v>0</v>
      </c>
      <c r="T422">
        <f>'mk 001 10.3'!T423</f>
        <v>0</v>
      </c>
      <c r="U422">
        <f>'mk 001 10.3'!U423</f>
        <v>0</v>
      </c>
      <c r="V422">
        <f>'mk 001 10.3'!V423</f>
        <v>0</v>
      </c>
      <c r="W422">
        <f>'mk 001 10.3'!W423</f>
        <v>0</v>
      </c>
      <c r="X422">
        <f>'mk 001 10.3'!X423</f>
        <v>0</v>
      </c>
      <c r="Y422">
        <f t="shared" si="7"/>
        <v>0</v>
      </c>
      <c r="Z422" s="13">
        <f>IF(COUNTIFS(แปลงข้อมูล!H:H,Q422,แปลงข้อมูล!I:I,U422,แปลงข้อมูล!J:J,V422)&gt;0,SUMIFS(แปลงข้อมูล!Q:Q,แปลงข้อมูล!I:I,U422,แปลงข้อมูล!H:H,Q422,แปลงข้อมูล!J:J,V422),'mk 001 10.3'!Z423)</f>
        <v>0</v>
      </c>
      <c r="AA422">
        <f>'mk 001 10.3'!AA423</f>
        <v>0</v>
      </c>
      <c r="AB422">
        <f>'mk 001 10.3'!AB423</f>
        <v>0</v>
      </c>
      <c r="AC422">
        <f>'mk 001 10.3'!AC423</f>
        <v>0</v>
      </c>
      <c r="AD422">
        <f>'mk 001 10.3'!AD423</f>
        <v>0</v>
      </c>
      <c r="AE422">
        <f>'mk 001 10.3'!AE423</f>
        <v>0</v>
      </c>
      <c r="AF422">
        <f>'mk 001 10.3'!AF423</f>
        <v>0</v>
      </c>
      <c r="AG422">
        <f>'mk 001 10.3'!AG423</f>
        <v>0</v>
      </c>
      <c r="AH422">
        <f>'mk 001 10.3'!AH423</f>
        <v>0</v>
      </c>
      <c r="AI422">
        <f>'mk 001 10.3'!AI423</f>
        <v>0</v>
      </c>
      <c r="AJ422">
        <f>'mk 001 10.3'!AJ423</f>
        <v>0</v>
      </c>
      <c r="AK422">
        <f>'mk 001 10.3'!AK423</f>
        <v>0</v>
      </c>
      <c r="AL422">
        <f>'mk 001 10.3'!AL423</f>
        <v>0</v>
      </c>
      <c r="AM422">
        <f>'mk 001 10.3'!AM423</f>
        <v>0</v>
      </c>
      <c r="AN422">
        <f>'mk 001 10.3'!AN423</f>
        <v>0</v>
      </c>
      <c r="AO422">
        <f>'mk 001 10.3'!AO423</f>
        <v>0</v>
      </c>
      <c r="AP422">
        <f>'mk 001 10.3'!AP423</f>
        <v>0</v>
      </c>
      <c r="AQ422">
        <f>'mk 001 10.3'!AQ423</f>
        <v>0</v>
      </c>
      <c r="AR422">
        <f>'mk 001 10.3'!AR423</f>
        <v>0</v>
      </c>
      <c r="AS422">
        <f>'mk 001 10.3'!AS423</f>
        <v>0</v>
      </c>
      <c r="AT422">
        <f>'mk 001 10.3'!AT423</f>
        <v>0</v>
      </c>
      <c r="AU422">
        <f>'mk 001 10.3'!AU423</f>
        <v>0</v>
      </c>
      <c r="AV422">
        <f>'mk 001 10.3'!AV423</f>
        <v>0</v>
      </c>
      <c r="AW422">
        <f>'mk 001 10.3'!AW423</f>
        <v>0</v>
      </c>
      <c r="AX422">
        <f>'mk 001 10.3'!AX423</f>
        <v>0</v>
      </c>
      <c r="AY422">
        <f>'mk 001 10.3'!AY423</f>
        <v>0</v>
      </c>
      <c r="AZ422">
        <f>'mk 001 10.3'!AZ423</f>
        <v>0</v>
      </c>
      <c r="BA422" s="22">
        <f>'mk 001 10.3'!BA423</f>
        <v>0</v>
      </c>
      <c r="BB422">
        <f>'mk 001 10.3'!BB423</f>
        <v>0</v>
      </c>
      <c r="BC422">
        <f>'mk 001 10.3'!BC423</f>
        <v>0</v>
      </c>
      <c r="BD422">
        <f>'mk 001 10.3'!BD423</f>
        <v>0</v>
      </c>
      <c r="BE422">
        <f>'mk 001 10.3'!BE423</f>
        <v>0</v>
      </c>
      <c r="BF422">
        <f>'mk 001 10.3'!BF423</f>
        <v>0</v>
      </c>
      <c r="BG422">
        <f>'mk 001 10.3'!BG423</f>
        <v>0</v>
      </c>
      <c r="BH422">
        <f>'mk 001 10.3'!BH423</f>
        <v>0</v>
      </c>
      <c r="BI422">
        <f>'mk 001 10.3'!BI423</f>
        <v>0</v>
      </c>
      <c r="BJ422">
        <f>'mk 001 10.3'!BJ423</f>
        <v>0</v>
      </c>
      <c r="BK422">
        <f>'mk 001 10.3'!BK423</f>
        <v>0</v>
      </c>
      <c r="BL422">
        <f>'mk 001 10.3'!BL423</f>
        <v>0</v>
      </c>
      <c r="BM422">
        <f>'mk 001 10.3'!BM423</f>
        <v>0</v>
      </c>
      <c r="BN422">
        <f>'mk 001 10.3'!BN423</f>
        <v>0</v>
      </c>
    </row>
    <row r="423" spans="1:66" x14ac:dyDescent="0.35">
      <c r="A423">
        <f>'mk 001 10.3'!A424</f>
        <v>0</v>
      </c>
      <c r="B423">
        <f>'mk 001 10.3'!B424</f>
        <v>0</v>
      </c>
      <c r="C423" s="1">
        <f>'mk 001 10.3'!C424</f>
        <v>0</v>
      </c>
      <c r="D423" s="1">
        <f>'mk 001 10.3'!D424</f>
        <v>0</v>
      </c>
      <c r="E423">
        <f>'mk 001 10.3'!E424</f>
        <v>0</v>
      </c>
      <c r="F423">
        <f>'mk 001 10.3'!F424</f>
        <v>0</v>
      </c>
      <c r="G423">
        <f>'mk 001 10.3'!G424</f>
        <v>0</v>
      </c>
      <c r="H423">
        <f>'mk 001 10.3'!H424</f>
        <v>0</v>
      </c>
      <c r="I423">
        <f>'mk 001 10.3'!I424</f>
        <v>0</v>
      </c>
      <c r="J423">
        <f>'mk 001 10.3'!J424</f>
        <v>0</v>
      </c>
      <c r="K423">
        <f>'mk 001 10.3'!K424</f>
        <v>0</v>
      </c>
      <c r="L423">
        <f>'mk 001 10.3'!L424</f>
        <v>0</v>
      </c>
      <c r="M423">
        <f>'mk 001 10.3'!M424</f>
        <v>0</v>
      </c>
      <c r="N423">
        <f>'mk 001 10.3'!N424</f>
        <v>0</v>
      </c>
      <c r="O423">
        <f>'mk 001 10.3'!O424</f>
        <v>0</v>
      </c>
      <c r="P423">
        <f>'mk 001 10.3'!P424</f>
        <v>0</v>
      </c>
      <c r="Q423">
        <f>'mk 001 10.3'!Q424</f>
        <v>0</v>
      </c>
      <c r="R423" s="1">
        <f>'mk 001 10.3'!R424</f>
        <v>0</v>
      </c>
      <c r="S423" s="1">
        <f>'mk 001 10.3'!S424</f>
        <v>0</v>
      </c>
      <c r="T423">
        <f>'mk 001 10.3'!T424</f>
        <v>0</v>
      </c>
      <c r="U423">
        <f>'mk 001 10.3'!U424</f>
        <v>0</v>
      </c>
      <c r="V423">
        <f>'mk 001 10.3'!V424</f>
        <v>0</v>
      </c>
      <c r="W423">
        <f>'mk 001 10.3'!W424</f>
        <v>0</v>
      </c>
      <c r="X423">
        <f>'mk 001 10.3'!X424</f>
        <v>0</v>
      </c>
      <c r="Y423">
        <f t="shared" si="7"/>
        <v>0</v>
      </c>
      <c r="Z423" s="13">
        <f>IF(COUNTIFS(แปลงข้อมูล!H:H,Q423,แปลงข้อมูล!I:I,U423,แปลงข้อมูล!J:J,V423)&gt;0,SUMIFS(แปลงข้อมูล!Q:Q,แปลงข้อมูล!I:I,U423,แปลงข้อมูล!H:H,Q423,แปลงข้อมูล!J:J,V423),'mk 001 10.3'!Z424)</f>
        <v>0</v>
      </c>
      <c r="AA423">
        <f>'mk 001 10.3'!AA424</f>
        <v>0</v>
      </c>
      <c r="AB423">
        <f>'mk 001 10.3'!AB424</f>
        <v>0</v>
      </c>
      <c r="AC423">
        <f>'mk 001 10.3'!AC424</f>
        <v>0</v>
      </c>
      <c r="AD423">
        <f>'mk 001 10.3'!AD424</f>
        <v>0</v>
      </c>
      <c r="AE423">
        <f>'mk 001 10.3'!AE424</f>
        <v>0</v>
      </c>
      <c r="AF423">
        <f>'mk 001 10.3'!AF424</f>
        <v>0</v>
      </c>
      <c r="AG423">
        <f>'mk 001 10.3'!AG424</f>
        <v>0</v>
      </c>
      <c r="AH423">
        <f>'mk 001 10.3'!AH424</f>
        <v>0</v>
      </c>
      <c r="AI423">
        <f>'mk 001 10.3'!AI424</f>
        <v>0</v>
      </c>
      <c r="AJ423">
        <f>'mk 001 10.3'!AJ424</f>
        <v>0</v>
      </c>
      <c r="AK423">
        <f>'mk 001 10.3'!AK424</f>
        <v>0</v>
      </c>
      <c r="AL423">
        <f>'mk 001 10.3'!AL424</f>
        <v>0</v>
      </c>
      <c r="AM423">
        <f>'mk 001 10.3'!AM424</f>
        <v>0</v>
      </c>
      <c r="AN423">
        <f>'mk 001 10.3'!AN424</f>
        <v>0</v>
      </c>
      <c r="AO423">
        <f>'mk 001 10.3'!AO424</f>
        <v>0</v>
      </c>
      <c r="AP423">
        <f>'mk 001 10.3'!AP424</f>
        <v>0</v>
      </c>
      <c r="AQ423">
        <f>'mk 001 10.3'!AQ424</f>
        <v>0</v>
      </c>
      <c r="AR423">
        <f>'mk 001 10.3'!AR424</f>
        <v>0</v>
      </c>
      <c r="AS423">
        <f>'mk 001 10.3'!AS424</f>
        <v>0</v>
      </c>
      <c r="AT423">
        <f>'mk 001 10.3'!AT424</f>
        <v>0</v>
      </c>
      <c r="AU423">
        <f>'mk 001 10.3'!AU424</f>
        <v>0</v>
      </c>
      <c r="AV423">
        <f>'mk 001 10.3'!AV424</f>
        <v>0</v>
      </c>
      <c r="AW423">
        <f>'mk 001 10.3'!AW424</f>
        <v>0</v>
      </c>
      <c r="AX423">
        <f>'mk 001 10.3'!AX424</f>
        <v>0</v>
      </c>
      <c r="AY423">
        <f>'mk 001 10.3'!AY424</f>
        <v>0</v>
      </c>
      <c r="AZ423">
        <f>'mk 001 10.3'!AZ424</f>
        <v>0</v>
      </c>
      <c r="BA423" s="22">
        <f>'mk 001 10.3'!BA424</f>
        <v>0</v>
      </c>
      <c r="BB423">
        <f>'mk 001 10.3'!BB424</f>
        <v>0</v>
      </c>
      <c r="BC423">
        <f>'mk 001 10.3'!BC424</f>
        <v>0</v>
      </c>
      <c r="BD423">
        <f>'mk 001 10.3'!BD424</f>
        <v>0</v>
      </c>
      <c r="BE423">
        <f>'mk 001 10.3'!BE424</f>
        <v>0</v>
      </c>
      <c r="BF423">
        <f>'mk 001 10.3'!BF424</f>
        <v>0</v>
      </c>
      <c r="BG423">
        <f>'mk 001 10.3'!BG424</f>
        <v>0</v>
      </c>
      <c r="BH423">
        <f>'mk 001 10.3'!BH424</f>
        <v>0</v>
      </c>
      <c r="BI423">
        <f>'mk 001 10.3'!BI424</f>
        <v>0</v>
      </c>
      <c r="BJ423">
        <f>'mk 001 10.3'!BJ424</f>
        <v>0</v>
      </c>
      <c r="BK423">
        <f>'mk 001 10.3'!BK424</f>
        <v>0</v>
      </c>
      <c r="BL423">
        <f>'mk 001 10.3'!BL424</f>
        <v>0</v>
      </c>
      <c r="BM423">
        <f>'mk 001 10.3'!BM424</f>
        <v>0</v>
      </c>
      <c r="BN423">
        <f>'mk 001 10.3'!BN424</f>
        <v>0</v>
      </c>
    </row>
    <row r="424" spans="1:66" x14ac:dyDescent="0.35">
      <c r="A424">
        <f>'mk 001 10.3'!A425</f>
        <v>0</v>
      </c>
      <c r="B424">
        <f>'mk 001 10.3'!B425</f>
        <v>0</v>
      </c>
      <c r="C424" s="1">
        <f>'mk 001 10.3'!C425</f>
        <v>0</v>
      </c>
      <c r="D424" s="1">
        <f>'mk 001 10.3'!D425</f>
        <v>0</v>
      </c>
      <c r="E424">
        <f>'mk 001 10.3'!E425</f>
        <v>0</v>
      </c>
      <c r="F424">
        <f>'mk 001 10.3'!F425</f>
        <v>0</v>
      </c>
      <c r="G424">
        <f>'mk 001 10.3'!G425</f>
        <v>0</v>
      </c>
      <c r="H424">
        <f>'mk 001 10.3'!H425</f>
        <v>0</v>
      </c>
      <c r="I424">
        <f>'mk 001 10.3'!I425</f>
        <v>0</v>
      </c>
      <c r="J424">
        <f>'mk 001 10.3'!J425</f>
        <v>0</v>
      </c>
      <c r="K424">
        <f>'mk 001 10.3'!K425</f>
        <v>0</v>
      </c>
      <c r="L424">
        <f>'mk 001 10.3'!L425</f>
        <v>0</v>
      </c>
      <c r="M424">
        <f>'mk 001 10.3'!M425</f>
        <v>0</v>
      </c>
      <c r="N424">
        <f>'mk 001 10.3'!N425</f>
        <v>0</v>
      </c>
      <c r="O424">
        <f>'mk 001 10.3'!O425</f>
        <v>0</v>
      </c>
      <c r="P424">
        <f>'mk 001 10.3'!P425</f>
        <v>0</v>
      </c>
      <c r="Q424">
        <f>'mk 001 10.3'!Q425</f>
        <v>0</v>
      </c>
      <c r="R424" s="1">
        <f>'mk 001 10.3'!R425</f>
        <v>0</v>
      </c>
      <c r="S424" s="1">
        <f>'mk 001 10.3'!S425</f>
        <v>0</v>
      </c>
      <c r="T424">
        <f>'mk 001 10.3'!T425</f>
        <v>0</v>
      </c>
      <c r="U424">
        <f>'mk 001 10.3'!U425</f>
        <v>0</v>
      </c>
      <c r="V424">
        <f>'mk 001 10.3'!V425</f>
        <v>0</v>
      </c>
      <c r="W424">
        <f>'mk 001 10.3'!W425</f>
        <v>0</v>
      </c>
      <c r="X424">
        <f>'mk 001 10.3'!X425</f>
        <v>0</v>
      </c>
      <c r="Y424">
        <f t="shared" si="7"/>
        <v>0</v>
      </c>
      <c r="Z424" s="13">
        <f>IF(COUNTIFS(แปลงข้อมูล!H:H,Q424,แปลงข้อมูล!I:I,U424,แปลงข้อมูล!J:J,V424)&gt;0,SUMIFS(แปลงข้อมูล!Q:Q,แปลงข้อมูล!I:I,U424,แปลงข้อมูล!H:H,Q424,แปลงข้อมูล!J:J,V424),'mk 001 10.3'!Z425)</f>
        <v>0</v>
      </c>
      <c r="AA424">
        <f>'mk 001 10.3'!AA425</f>
        <v>0</v>
      </c>
      <c r="AB424">
        <f>'mk 001 10.3'!AB425</f>
        <v>0</v>
      </c>
      <c r="AC424">
        <f>'mk 001 10.3'!AC425</f>
        <v>0</v>
      </c>
      <c r="AD424">
        <f>'mk 001 10.3'!AD425</f>
        <v>0</v>
      </c>
      <c r="AE424">
        <f>'mk 001 10.3'!AE425</f>
        <v>0</v>
      </c>
      <c r="AF424">
        <f>'mk 001 10.3'!AF425</f>
        <v>0</v>
      </c>
      <c r="AG424">
        <f>'mk 001 10.3'!AG425</f>
        <v>0</v>
      </c>
      <c r="AH424">
        <f>'mk 001 10.3'!AH425</f>
        <v>0</v>
      </c>
      <c r="AI424">
        <f>'mk 001 10.3'!AI425</f>
        <v>0</v>
      </c>
      <c r="AJ424">
        <f>'mk 001 10.3'!AJ425</f>
        <v>0</v>
      </c>
      <c r="AK424">
        <f>'mk 001 10.3'!AK425</f>
        <v>0</v>
      </c>
      <c r="AL424">
        <f>'mk 001 10.3'!AL425</f>
        <v>0</v>
      </c>
      <c r="AM424">
        <f>'mk 001 10.3'!AM425</f>
        <v>0</v>
      </c>
      <c r="AN424">
        <f>'mk 001 10.3'!AN425</f>
        <v>0</v>
      </c>
      <c r="AO424">
        <f>'mk 001 10.3'!AO425</f>
        <v>0</v>
      </c>
      <c r="AP424">
        <f>'mk 001 10.3'!AP425</f>
        <v>0</v>
      </c>
      <c r="AQ424">
        <f>'mk 001 10.3'!AQ425</f>
        <v>0</v>
      </c>
      <c r="AR424">
        <f>'mk 001 10.3'!AR425</f>
        <v>0</v>
      </c>
      <c r="AS424">
        <f>'mk 001 10.3'!AS425</f>
        <v>0</v>
      </c>
      <c r="AT424">
        <f>'mk 001 10.3'!AT425</f>
        <v>0</v>
      </c>
      <c r="AU424">
        <f>'mk 001 10.3'!AU425</f>
        <v>0</v>
      </c>
      <c r="AV424">
        <f>'mk 001 10.3'!AV425</f>
        <v>0</v>
      </c>
      <c r="AW424">
        <f>'mk 001 10.3'!AW425</f>
        <v>0</v>
      </c>
      <c r="AX424">
        <f>'mk 001 10.3'!AX425</f>
        <v>0</v>
      </c>
      <c r="AY424">
        <f>'mk 001 10.3'!AY425</f>
        <v>0</v>
      </c>
      <c r="AZ424">
        <f>'mk 001 10.3'!AZ425</f>
        <v>0</v>
      </c>
      <c r="BA424" s="22">
        <f>'mk 001 10.3'!BA425</f>
        <v>0</v>
      </c>
      <c r="BB424">
        <f>'mk 001 10.3'!BB425</f>
        <v>0</v>
      </c>
      <c r="BC424">
        <f>'mk 001 10.3'!BC425</f>
        <v>0</v>
      </c>
      <c r="BD424">
        <f>'mk 001 10.3'!BD425</f>
        <v>0</v>
      </c>
      <c r="BE424">
        <f>'mk 001 10.3'!BE425</f>
        <v>0</v>
      </c>
      <c r="BF424">
        <f>'mk 001 10.3'!BF425</f>
        <v>0</v>
      </c>
      <c r="BG424">
        <f>'mk 001 10.3'!BG425</f>
        <v>0</v>
      </c>
      <c r="BH424">
        <f>'mk 001 10.3'!BH425</f>
        <v>0</v>
      </c>
      <c r="BI424">
        <f>'mk 001 10.3'!BI425</f>
        <v>0</v>
      </c>
      <c r="BJ424">
        <f>'mk 001 10.3'!BJ425</f>
        <v>0</v>
      </c>
      <c r="BK424">
        <f>'mk 001 10.3'!BK425</f>
        <v>0</v>
      </c>
      <c r="BL424">
        <f>'mk 001 10.3'!BL425</f>
        <v>0</v>
      </c>
      <c r="BM424">
        <f>'mk 001 10.3'!BM425</f>
        <v>0</v>
      </c>
      <c r="BN424">
        <f>'mk 001 10.3'!BN425</f>
        <v>0</v>
      </c>
    </row>
    <row r="425" spans="1:66" x14ac:dyDescent="0.35">
      <c r="A425">
        <f>'mk 001 10.3'!A426</f>
        <v>0</v>
      </c>
      <c r="B425">
        <f>'mk 001 10.3'!B426</f>
        <v>0</v>
      </c>
      <c r="C425" s="1">
        <f>'mk 001 10.3'!C426</f>
        <v>0</v>
      </c>
      <c r="D425" s="1">
        <f>'mk 001 10.3'!D426</f>
        <v>0</v>
      </c>
      <c r="E425">
        <f>'mk 001 10.3'!E426</f>
        <v>0</v>
      </c>
      <c r="F425">
        <f>'mk 001 10.3'!F426</f>
        <v>0</v>
      </c>
      <c r="G425">
        <f>'mk 001 10.3'!G426</f>
        <v>0</v>
      </c>
      <c r="H425">
        <f>'mk 001 10.3'!H426</f>
        <v>0</v>
      </c>
      <c r="I425">
        <f>'mk 001 10.3'!I426</f>
        <v>0</v>
      </c>
      <c r="J425">
        <f>'mk 001 10.3'!J426</f>
        <v>0</v>
      </c>
      <c r="K425">
        <f>'mk 001 10.3'!K426</f>
        <v>0</v>
      </c>
      <c r="L425">
        <f>'mk 001 10.3'!L426</f>
        <v>0</v>
      </c>
      <c r="M425">
        <f>'mk 001 10.3'!M426</f>
        <v>0</v>
      </c>
      <c r="N425">
        <f>'mk 001 10.3'!N426</f>
        <v>0</v>
      </c>
      <c r="O425">
        <f>'mk 001 10.3'!O426</f>
        <v>0</v>
      </c>
      <c r="P425">
        <f>'mk 001 10.3'!P426</f>
        <v>0</v>
      </c>
      <c r="Q425">
        <f>'mk 001 10.3'!Q426</f>
        <v>0</v>
      </c>
      <c r="R425" s="1">
        <f>'mk 001 10.3'!R426</f>
        <v>0</v>
      </c>
      <c r="S425" s="1">
        <f>'mk 001 10.3'!S426</f>
        <v>0</v>
      </c>
      <c r="T425">
        <f>'mk 001 10.3'!T426</f>
        <v>0</v>
      </c>
      <c r="U425">
        <f>'mk 001 10.3'!U426</f>
        <v>0</v>
      </c>
      <c r="V425">
        <f>'mk 001 10.3'!V426</f>
        <v>0</v>
      </c>
      <c r="W425">
        <f>'mk 001 10.3'!W426</f>
        <v>0</v>
      </c>
      <c r="X425">
        <f>'mk 001 10.3'!X426</f>
        <v>0</v>
      </c>
      <c r="Y425">
        <f t="shared" si="7"/>
        <v>0</v>
      </c>
      <c r="Z425" s="13">
        <f>IF(COUNTIFS(แปลงข้อมูล!H:H,Q425,แปลงข้อมูล!I:I,U425,แปลงข้อมูล!J:J,V425)&gt;0,SUMIFS(แปลงข้อมูล!Q:Q,แปลงข้อมูล!I:I,U425,แปลงข้อมูล!H:H,Q425,แปลงข้อมูล!J:J,V425),'mk 001 10.3'!Z426)</f>
        <v>0</v>
      </c>
      <c r="AA425">
        <f>'mk 001 10.3'!AA426</f>
        <v>0</v>
      </c>
      <c r="AB425">
        <f>'mk 001 10.3'!AB426</f>
        <v>0</v>
      </c>
      <c r="AC425">
        <f>'mk 001 10.3'!AC426</f>
        <v>0</v>
      </c>
      <c r="AD425">
        <f>'mk 001 10.3'!AD426</f>
        <v>0</v>
      </c>
      <c r="AE425">
        <f>'mk 001 10.3'!AE426</f>
        <v>0</v>
      </c>
      <c r="AF425">
        <f>'mk 001 10.3'!AF426</f>
        <v>0</v>
      </c>
      <c r="AG425">
        <f>'mk 001 10.3'!AG426</f>
        <v>0</v>
      </c>
      <c r="AH425">
        <f>'mk 001 10.3'!AH426</f>
        <v>0</v>
      </c>
      <c r="AI425">
        <f>'mk 001 10.3'!AI426</f>
        <v>0</v>
      </c>
      <c r="AJ425">
        <f>'mk 001 10.3'!AJ426</f>
        <v>0</v>
      </c>
      <c r="AK425">
        <f>'mk 001 10.3'!AK426</f>
        <v>0</v>
      </c>
      <c r="AL425">
        <f>'mk 001 10.3'!AL426</f>
        <v>0</v>
      </c>
      <c r="AM425">
        <f>'mk 001 10.3'!AM426</f>
        <v>0</v>
      </c>
      <c r="AN425">
        <f>'mk 001 10.3'!AN426</f>
        <v>0</v>
      </c>
      <c r="AO425">
        <f>'mk 001 10.3'!AO426</f>
        <v>0</v>
      </c>
      <c r="AP425">
        <f>'mk 001 10.3'!AP426</f>
        <v>0</v>
      </c>
      <c r="AQ425">
        <f>'mk 001 10.3'!AQ426</f>
        <v>0</v>
      </c>
      <c r="AR425">
        <f>'mk 001 10.3'!AR426</f>
        <v>0</v>
      </c>
      <c r="AS425">
        <f>'mk 001 10.3'!AS426</f>
        <v>0</v>
      </c>
      <c r="AT425">
        <f>'mk 001 10.3'!AT426</f>
        <v>0</v>
      </c>
      <c r="AU425">
        <f>'mk 001 10.3'!AU426</f>
        <v>0</v>
      </c>
      <c r="AV425">
        <f>'mk 001 10.3'!AV426</f>
        <v>0</v>
      </c>
      <c r="AW425">
        <f>'mk 001 10.3'!AW426</f>
        <v>0</v>
      </c>
      <c r="AX425">
        <f>'mk 001 10.3'!AX426</f>
        <v>0</v>
      </c>
      <c r="AY425">
        <f>'mk 001 10.3'!AY426</f>
        <v>0</v>
      </c>
      <c r="AZ425">
        <f>'mk 001 10.3'!AZ426</f>
        <v>0</v>
      </c>
      <c r="BA425" s="22">
        <f>'mk 001 10.3'!BA426</f>
        <v>0</v>
      </c>
      <c r="BB425">
        <f>'mk 001 10.3'!BB426</f>
        <v>0</v>
      </c>
      <c r="BC425">
        <f>'mk 001 10.3'!BC426</f>
        <v>0</v>
      </c>
      <c r="BD425">
        <f>'mk 001 10.3'!BD426</f>
        <v>0</v>
      </c>
      <c r="BE425">
        <f>'mk 001 10.3'!BE426</f>
        <v>0</v>
      </c>
      <c r="BF425">
        <f>'mk 001 10.3'!BF426</f>
        <v>0</v>
      </c>
      <c r="BG425">
        <f>'mk 001 10.3'!BG426</f>
        <v>0</v>
      </c>
      <c r="BH425">
        <f>'mk 001 10.3'!BH426</f>
        <v>0</v>
      </c>
      <c r="BI425">
        <f>'mk 001 10.3'!BI426</f>
        <v>0</v>
      </c>
      <c r="BJ425">
        <f>'mk 001 10.3'!BJ426</f>
        <v>0</v>
      </c>
      <c r="BK425">
        <f>'mk 001 10.3'!BK426</f>
        <v>0</v>
      </c>
      <c r="BL425">
        <f>'mk 001 10.3'!BL426</f>
        <v>0</v>
      </c>
      <c r="BM425">
        <f>'mk 001 10.3'!BM426</f>
        <v>0</v>
      </c>
      <c r="BN425">
        <f>'mk 001 10.3'!BN426</f>
        <v>0</v>
      </c>
    </row>
    <row r="426" spans="1:66" x14ac:dyDescent="0.35">
      <c r="A426">
        <f>'mk 001 10.3'!A427</f>
        <v>0</v>
      </c>
      <c r="B426">
        <f>'mk 001 10.3'!B427</f>
        <v>0</v>
      </c>
      <c r="C426" s="1">
        <f>'mk 001 10.3'!C427</f>
        <v>0</v>
      </c>
      <c r="D426" s="1">
        <f>'mk 001 10.3'!D427</f>
        <v>0</v>
      </c>
      <c r="E426">
        <f>'mk 001 10.3'!E427</f>
        <v>0</v>
      </c>
      <c r="F426">
        <f>'mk 001 10.3'!F427</f>
        <v>0</v>
      </c>
      <c r="G426">
        <f>'mk 001 10.3'!G427</f>
        <v>0</v>
      </c>
      <c r="H426">
        <f>'mk 001 10.3'!H427</f>
        <v>0</v>
      </c>
      <c r="I426">
        <f>'mk 001 10.3'!I427</f>
        <v>0</v>
      </c>
      <c r="J426">
        <f>'mk 001 10.3'!J427</f>
        <v>0</v>
      </c>
      <c r="K426">
        <f>'mk 001 10.3'!K427</f>
        <v>0</v>
      </c>
      <c r="L426">
        <f>'mk 001 10.3'!L427</f>
        <v>0</v>
      </c>
      <c r="M426">
        <f>'mk 001 10.3'!M427</f>
        <v>0</v>
      </c>
      <c r="N426">
        <f>'mk 001 10.3'!N427</f>
        <v>0</v>
      </c>
      <c r="O426">
        <f>'mk 001 10.3'!O427</f>
        <v>0</v>
      </c>
      <c r="P426">
        <f>'mk 001 10.3'!P427</f>
        <v>0</v>
      </c>
      <c r="Q426">
        <f>'mk 001 10.3'!Q427</f>
        <v>0</v>
      </c>
      <c r="R426" s="1">
        <f>'mk 001 10.3'!R427</f>
        <v>0</v>
      </c>
      <c r="S426" s="1">
        <f>'mk 001 10.3'!S427</f>
        <v>0</v>
      </c>
      <c r="T426">
        <f>'mk 001 10.3'!T427</f>
        <v>0</v>
      </c>
      <c r="U426">
        <f>'mk 001 10.3'!U427</f>
        <v>0</v>
      </c>
      <c r="V426">
        <f>'mk 001 10.3'!V427</f>
        <v>0</v>
      </c>
      <c r="W426">
        <f>'mk 001 10.3'!W427</f>
        <v>0</v>
      </c>
      <c r="X426">
        <f>'mk 001 10.3'!X427</f>
        <v>0</v>
      </c>
      <c r="Y426">
        <f t="shared" si="7"/>
        <v>0</v>
      </c>
      <c r="Z426" s="13">
        <f>IF(COUNTIFS(แปลงข้อมูล!H:H,Q426,แปลงข้อมูล!I:I,U426,แปลงข้อมูล!J:J,V426)&gt;0,SUMIFS(แปลงข้อมูล!Q:Q,แปลงข้อมูล!I:I,U426,แปลงข้อมูล!H:H,Q426,แปลงข้อมูล!J:J,V426),'mk 001 10.3'!Z427)</f>
        <v>0</v>
      </c>
      <c r="AA426">
        <f>'mk 001 10.3'!AA427</f>
        <v>0</v>
      </c>
      <c r="AB426">
        <f>'mk 001 10.3'!AB427</f>
        <v>0</v>
      </c>
      <c r="AC426">
        <f>'mk 001 10.3'!AC427</f>
        <v>0</v>
      </c>
      <c r="AD426">
        <f>'mk 001 10.3'!AD427</f>
        <v>0</v>
      </c>
      <c r="AE426">
        <f>'mk 001 10.3'!AE427</f>
        <v>0</v>
      </c>
      <c r="AF426">
        <f>'mk 001 10.3'!AF427</f>
        <v>0</v>
      </c>
      <c r="AG426">
        <f>'mk 001 10.3'!AG427</f>
        <v>0</v>
      </c>
      <c r="AH426">
        <f>'mk 001 10.3'!AH427</f>
        <v>0</v>
      </c>
      <c r="AI426">
        <f>'mk 001 10.3'!AI427</f>
        <v>0</v>
      </c>
      <c r="AJ426">
        <f>'mk 001 10.3'!AJ427</f>
        <v>0</v>
      </c>
      <c r="AK426">
        <f>'mk 001 10.3'!AK427</f>
        <v>0</v>
      </c>
      <c r="AL426">
        <f>'mk 001 10.3'!AL427</f>
        <v>0</v>
      </c>
      <c r="AM426">
        <f>'mk 001 10.3'!AM427</f>
        <v>0</v>
      </c>
      <c r="AN426">
        <f>'mk 001 10.3'!AN427</f>
        <v>0</v>
      </c>
      <c r="AO426">
        <f>'mk 001 10.3'!AO427</f>
        <v>0</v>
      </c>
      <c r="AP426">
        <f>'mk 001 10.3'!AP427</f>
        <v>0</v>
      </c>
      <c r="AQ426">
        <f>'mk 001 10.3'!AQ427</f>
        <v>0</v>
      </c>
      <c r="AR426">
        <f>'mk 001 10.3'!AR427</f>
        <v>0</v>
      </c>
      <c r="AS426">
        <f>'mk 001 10.3'!AS427</f>
        <v>0</v>
      </c>
      <c r="AT426">
        <f>'mk 001 10.3'!AT427</f>
        <v>0</v>
      </c>
      <c r="AU426">
        <f>'mk 001 10.3'!AU427</f>
        <v>0</v>
      </c>
      <c r="AV426">
        <f>'mk 001 10.3'!AV427</f>
        <v>0</v>
      </c>
      <c r="AW426">
        <f>'mk 001 10.3'!AW427</f>
        <v>0</v>
      </c>
      <c r="AX426">
        <f>'mk 001 10.3'!AX427</f>
        <v>0</v>
      </c>
      <c r="AY426">
        <f>'mk 001 10.3'!AY427</f>
        <v>0</v>
      </c>
      <c r="AZ426">
        <f>'mk 001 10.3'!AZ427</f>
        <v>0</v>
      </c>
      <c r="BA426" s="22">
        <f>'mk 001 10.3'!BA427</f>
        <v>0</v>
      </c>
      <c r="BB426">
        <f>'mk 001 10.3'!BB427</f>
        <v>0</v>
      </c>
      <c r="BC426">
        <f>'mk 001 10.3'!BC427</f>
        <v>0</v>
      </c>
      <c r="BD426">
        <f>'mk 001 10.3'!BD427</f>
        <v>0</v>
      </c>
      <c r="BE426">
        <f>'mk 001 10.3'!BE427</f>
        <v>0</v>
      </c>
      <c r="BF426">
        <f>'mk 001 10.3'!BF427</f>
        <v>0</v>
      </c>
      <c r="BG426">
        <f>'mk 001 10.3'!BG427</f>
        <v>0</v>
      </c>
      <c r="BH426">
        <f>'mk 001 10.3'!BH427</f>
        <v>0</v>
      </c>
      <c r="BI426">
        <f>'mk 001 10.3'!BI427</f>
        <v>0</v>
      </c>
      <c r="BJ426">
        <f>'mk 001 10.3'!BJ427</f>
        <v>0</v>
      </c>
      <c r="BK426">
        <f>'mk 001 10.3'!BK427</f>
        <v>0</v>
      </c>
      <c r="BL426">
        <f>'mk 001 10.3'!BL427</f>
        <v>0</v>
      </c>
      <c r="BM426">
        <f>'mk 001 10.3'!BM427</f>
        <v>0</v>
      </c>
      <c r="BN426">
        <f>'mk 001 10.3'!BN427</f>
        <v>0</v>
      </c>
    </row>
    <row r="427" spans="1:66" x14ac:dyDescent="0.35">
      <c r="A427">
        <f>'mk 001 10.3'!A428</f>
        <v>0</v>
      </c>
      <c r="B427">
        <f>'mk 001 10.3'!B428</f>
        <v>0</v>
      </c>
      <c r="C427" s="1">
        <f>'mk 001 10.3'!C428</f>
        <v>0</v>
      </c>
      <c r="D427" s="1">
        <f>'mk 001 10.3'!D428</f>
        <v>0</v>
      </c>
      <c r="E427">
        <f>'mk 001 10.3'!E428</f>
        <v>0</v>
      </c>
      <c r="F427">
        <f>'mk 001 10.3'!F428</f>
        <v>0</v>
      </c>
      <c r="G427">
        <f>'mk 001 10.3'!G428</f>
        <v>0</v>
      </c>
      <c r="H427">
        <f>'mk 001 10.3'!H428</f>
        <v>0</v>
      </c>
      <c r="I427">
        <f>'mk 001 10.3'!I428</f>
        <v>0</v>
      </c>
      <c r="J427">
        <f>'mk 001 10.3'!J428</f>
        <v>0</v>
      </c>
      <c r="K427">
        <f>'mk 001 10.3'!K428</f>
        <v>0</v>
      </c>
      <c r="L427">
        <f>'mk 001 10.3'!L428</f>
        <v>0</v>
      </c>
      <c r="M427">
        <f>'mk 001 10.3'!M428</f>
        <v>0</v>
      </c>
      <c r="N427">
        <f>'mk 001 10.3'!N428</f>
        <v>0</v>
      </c>
      <c r="O427">
        <f>'mk 001 10.3'!O428</f>
        <v>0</v>
      </c>
      <c r="P427">
        <f>'mk 001 10.3'!P428</f>
        <v>0</v>
      </c>
      <c r="Q427">
        <f>'mk 001 10.3'!Q428</f>
        <v>0</v>
      </c>
      <c r="R427" s="1">
        <f>'mk 001 10.3'!R428</f>
        <v>0</v>
      </c>
      <c r="S427" s="1">
        <f>'mk 001 10.3'!S428</f>
        <v>0</v>
      </c>
      <c r="T427">
        <f>'mk 001 10.3'!T428</f>
        <v>0</v>
      </c>
      <c r="U427">
        <f>'mk 001 10.3'!U428</f>
        <v>0</v>
      </c>
      <c r="V427">
        <f>'mk 001 10.3'!V428</f>
        <v>0</v>
      </c>
      <c r="W427">
        <f>'mk 001 10.3'!W428</f>
        <v>0</v>
      </c>
      <c r="X427">
        <f>'mk 001 10.3'!X428</f>
        <v>0</v>
      </c>
      <c r="Y427">
        <f t="shared" si="7"/>
        <v>0</v>
      </c>
      <c r="Z427" s="13">
        <f>IF(COUNTIFS(แปลงข้อมูล!H:H,Q427,แปลงข้อมูล!I:I,U427,แปลงข้อมูล!J:J,V427)&gt;0,SUMIFS(แปลงข้อมูล!Q:Q,แปลงข้อมูล!I:I,U427,แปลงข้อมูล!H:H,Q427,แปลงข้อมูล!J:J,V427),'mk 001 10.3'!Z428)</f>
        <v>0</v>
      </c>
      <c r="AA427">
        <f>'mk 001 10.3'!AA428</f>
        <v>0</v>
      </c>
      <c r="AB427">
        <f>'mk 001 10.3'!AB428</f>
        <v>0</v>
      </c>
      <c r="AC427">
        <f>'mk 001 10.3'!AC428</f>
        <v>0</v>
      </c>
      <c r="AD427">
        <f>'mk 001 10.3'!AD428</f>
        <v>0</v>
      </c>
      <c r="AE427">
        <f>'mk 001 10.3'!AE428</f>
        <v>0</v>
      </c>
      <c r="AF427">
        <f>'mk 001 10.3'!AF428</f>
        <v>0</v>
      </c>
      <c r="AG427">
        <f>'mk 001 10.3'!AG428</f>
        <v>0</v>
      </c>
      <c r="AH427">
        <f>'mk 001 10.3'!AH428</f>
        <v>0</v>
      </c>
      <c r="AI427">
        <f>'mk 001 10.3'!AI428</f>
        <v>0</v>
      </c>
      <c r="AJ427">
        <f>'mk 001 10.3'!AJ428</f>
        <v>0</v>
      </c>
      <c r="AK427">
        <f>'mk 001 10.3'!AK428</f>
        <v>0</v>
      </c>
      <c r="AL427">
        <f>'mk 001 10.3'!AL428</f>
        <v>0</v>
      </c>
      <c r="AM427">
        <f>'mk 001 10.3'!AM428</f>
        <v>0</v>
      </c>
      <c r="AN427">
        <f>'mk 001 10.3'!AN428</f>
        <v>0</v>
      </c>
      <c r="AO427">
        <f>'mk 001 10.3'!AO428</f>
        <v>0</v>
      </c>
      <c r="AP427">
        <f>'mk 001 10.3'!AP428</f>
        <v>0</v>
      </c>
      <c r="AQ427">
        <f>'mk 001 10.3'!AQ428</f>
        <v>0</v>
      </c>
      <c r="AR427">
        <f>'mk 001 10.3'!AR428</f>
        <v>0</v>
      </c>
      <c r="AS427">
        <f>'mk 001 10.3'!AS428</f>
        <v>0</v>
      </c>
      <c r="AT427">
        <f>'mk 001 10.3'!AT428</f>
        <v>0</v>
      </c>
      <c r="AU427">
        <f>'mk 001 10.3'!AU428</f>
        <v>0</v>
      </c>
      <c r="AV427">
        <f>'mk 001 10.3'!AV428</f>
        <v>0</v>
      </c>
      <c r="AW427">
        <f>'mk 001 10.3'!AW428</f>
        <v>0</v>
      </c>
      <c r="AX427">
        <f>'mk 001 10.3'!AX428</f>
        <v>0</v>
      </c>
      <c r="AY427">
        <f>'mk 001 10.3'!AY428</f>
        <v>0</v>
      </c>
      <c r="AZ427">
        <f>'mk 001 10.3'!AZ428</f>
        <v>0</v>
      </c>
      <c r="BA427" s="22">
        <f>'mk 001 10.3'!BA428</f>
        <v>0</v>
      </c>
      <c r="BB427">
        <f>'mk 001 10.3'!BB428</f>
        <v>0</v>
      </c>
      <c r="BC427">
        <f>'mk 001 10.3'!BC428</f>
        <v>0</v>
      </c>
      <c r="BD427">
        <f>'mk 001 10.3'!BD428</f>
        <v>0</v>
      </c>
      <c r="BE427">
        <f>'mk 001 10.3'!BE428</f>
        <v>0</v>
      </c>
      <c r="BF427">
        <f>'mk 001 10.3'!BF428</f>
        <v>0</v>
      </c>
      <c r="BG427">
        <f>'mk 001 10.3'!BG428</f>
        <v>0</v>
      </c>
      <c r="BH427">
        <f>'mk 001 10.3'!BH428</f>
        <v>0</v>
      </c>
      <c r="BI427">
        <f>'mk 001 10.3'!BI428</f>
        <v>0</v>
      </c>
      <c r="BJ427">
        <f>'mk 001 10.3'!BJ428</f>
        <v>0</v>
      </c>
      <c r="BK427">
        <f>'mk 001 10.3'!BK428</f>
        <v>0</v>
      </c>
      <c r="BL427">
        <f>'mk 001 10.3'!BL428</f>
        <v>0</v>
      </c>
      <c r="BM427">
        <f>'mk 001 10.3'!BM428</f>
        <v>0</v>
      </c>
      <c r="BN427">
        <f>'mk 001 10.3'!BN428</f>
        <v>0</v>
      </c>
    </row>
    <row r="428" spans="1:66" x14ac:dyDescent="0.35">
      <c r="A428">
        <f>'mk 001 10.3'!A429</f>
        <v>0</v>
      </c>
      <c r="B428">
        <f>'mk 001 10.3'!B429</f>
        <v>0</v>
      </c>
      <c r="C428" s="1">
        <f>'mk 001 10.3'!C429</f>
        <v>0</v>
      </c>
      <c r="D428" s="1">
        <f>'mk 001 10.3'!D429</f>
        <v>0</v>
      </c>
      <c r="E428">
        <f>'mk 001 10.3'!E429</f>
        <v>0</v>
      </c>
      <c r="F428">
        <f>'mk 001 10.3'!F429</f>
        <v>0</v>
      </c>
      <c r="G428">
        <f>'mk 001 10.3'!G429</f>
        <v>0</v>
      </c>
      <c r="H428">
        <f>'mk 001 10.3'!H429</f>
        <v>0</v>
      </c>
      <c r="I428">
        <f>'mk 001 10.3'!I429</f>
        <v>0</v>
      </c>
      <c r="J428">
        <f>'mk 001 10.3'!J429</f>
        <v>0</v>
      </c>
      <c r="K428">
        <f>'mk 001 10.3'!K429</f>
        <v>0</v>
      </c>
      <c r="L428">
        <f>'mk 001 10.3'!L429</f>
        <v>0</v>
      </c>
      <c r="M428">
        <f>'mk 001 10.3'!M429</f>
        <v>0</v>
      </c>
      <c r="N428">
        <f>'mk 001 10.3'!N429</f>
        <v>0</v>
      </c>
      <c r="O428">
        <f>'mk 001 10.3'!O429</f>
        <v>0</v>
      </c>
      <c r="P428">
        <f>'mk 001 10.3'!P429</f>
        <v>0</v>
      </c>
      <c r="Q428">
        <f>'mk 001 10.3'!Q429</f>
        <v>0</v>
      </c>
      <c r="R428" s="1">
        <f>'mk 001 10.3'!R429</f>
        <v>0</v>
      </c>
      <c r="S428" s="1">
        <f>'mk 001 10.3'!S429</f>
        <v>0</v>
      </c>
      <c r="T428">
        <f>'mk 001 10.3'!T429</f>
        <v>0</v>
      </c>
      <c r="U428">
        <f>'mk 001 10.3'!U429</f>
        <v>0</v>
      </c>
      <c r="V428">
        <f>'mk 001 10.3'!V429</f>
        <v>0</v>
      </c>
      <c r="W428">
        <f>'mk 001 10.3'!W429</f>
        <v>0</v>
      </c>
      <c r="X428">
        <f>'mk 001 10.3'!X429</f>
        <v>0</v>
      </c>
      <c r="Y428">
        <f t="shared" si="7"/>
        <v>0</v>
      </c>
      <c r="Z428" s="13">
        <f>IF(COUNTIFS(แปลงข้อมูล!H:H,Q428,แปลงข้อมูล!I:I,U428,แปลงข้อมูล!J:J,V428)&gt;0,SUMIFS(แปลงข้อมูล!Q:Q,แปลงข้อมูล!I:I,U428,แปลงข้อมูล!H:H,Q428,แปลงข้อมูล!J:J,V428),'mk 001 10.3'!Z429)</f>
        <v>0</v>
      </c>
      <c r="AA428">
        <f>'mk 001 10.3'!AA429</f>
        <v>0</v>
      </c>
      <c r="AB428">
        <f>'mk 001 10.3'!AB429</f>
        <v>0</v>
      </c>
      <c r="AC428">
        <f>'mk 001 10.3'!AC429</f>
        <v>0</v>
      </c>
      <c r="AD428">
        <f>'mk 001 10.3'!AD429</f>
        <v>0</v>
      </c>
      <c r="AE428">
        <f>'mk 001 10.3'!AE429</f>
        <v>0</v>
      </c>
      <c r="AF428">
        <f>'mk 001 10.3'!AF429</f>
        <v>0</v>
      </c>
      <c r="AG428">
        <f>'mk 001 10.3'!AG429</f>
        <v>0</v>
      </c>
      <c r="AH428">
        <f>'mk 001 10.3'!AH429</f>
        <v>0</v>
      </c>
      <c r="AI428">
        <f>'mk 001 10.3'!AI429</f>
        <v>0</v>
      </c>
      <c r="AJ428">
        <f>'mk 001 10.3'!AJ429</f>
        <v>0</v>
      </c>
      <c r="AK428">
        <f>'mk 001 10.3'!AK429</f>
        <v>0</v>
      </c>
      <c r="AL428">
        <f>'mk 001 10.3'!AL429</f>
        <v>0</v>
      </c>
      <c r="AM428">
        <f>'mk 001 10.3'!AM429</f>
        <v>0</v>
      </c>
      <c r="AN428">
        <f>'mk 001 10.3'!AN429</f>
        <v>0</v>
      </c>
      <c r="AO428">
        <f>'mk 001 10.3'!AO429</f>
        <v>0</v>
      </c>
      <c r="AP428">
        <f>'mk 001 10.3'!AP429</f>
        <v>0</v>
      </c>
      <c r="AQ428">
        <f>'mk 001 10.3'!AQ429</f>
        <v>0</v>
      </c>
      <c r="AR428">
        <f>'mk 001 10.3'!AR429</f>
        <v>0</v>
      </c>
      <c r="AS428">
        <f>'mk 001 10.3'!AS429</f>
        <v>0</v>
      </c>
      <c r="AT428">
        <f>'mk 001 10.3'!AT429</f>
        <v>0</v>
      </c>
      <c r="AU428">
        <f>'mk 001 10.3'!AU429</f>
        <v>0</v>
      </c>
      <c r="AV428">
        <f>'mk 001 10.3'!AV429</f>
        <v>0</v>
      </c>
      <c r="AW428">
        <f>'mk 001 10.3'!AW429</f>
        <v>0</v>
      </c>
      <c r="AX428">
        <f>'mk 001 10.3'!AX429</f>
        <v>0</v>
      </c>
      <c r="AY428">
        <f>'mk 001 10.3'!AY429</f>
        <v>0</v>
      </c>
      <c r="AZ428">
        <f>'mk 001 10.3'!AZ429</f>
        <v>0</v>
      </c>
      <c r="BA428" s="22">
        <f>'mk 001 10.3'!BA429</f>
        <v>0</v>
      </c>
      <c r="BB428">
        <f>'mk 001 10.3'!BB429</f>
        <v>0</v>
      </c>
      <c r="BC428">
        <f>'mk 001 10.3'!BC429</f>
        <v>0</v>
      </c>
      <c r="BD428">
        <f>'mk 001 10.3'!BD429</f>
        <v>0</v>
      </c>
      <c r="BE428">
        <f>'mk 001 10.3'!BE429</f>
        <v>0</v>
      </c>
      <c r="BF428">
        <f>'mk 001 10.3'!BF429</f>
        <v>0</v>
      </c>
      <c r="BG428">
        <f>'mk 001 10.3'!BG429</f>
        <v>0</v>
      </c>
      <c r="BH428">
        <f>'mk 001 10.3'!BH429</f>
        <v>0</v>
      </c>
      <c r="BI428">
        <f>'mk 001 10.3'!BI429</f>
        <v>0</v>
      </c>
      <c r="BJ428">
        <f>'mk 001 10.3'!BJ429</f>
        <v>0</v>
      </c>
      <c r="BK428">
        <f>'mk 001 10.3'!BK429</f>
        <v>0</v>
      </c>
      <c r="BL428">
        <f>'mk 001 10.3'!BL429</f>
        <v>0</v>
      </c>
      <c r="BM428">
        <f>'mk 001 10.3'!BM429</f>
        <v>0</v>
      </c>
      <c r="BN428">
        <f>'mk 001 10.3'!BN429</f>
        <v>0</v>
      </c>
    </row>
    <row r="429" spans="1:66" x14ac:dyDescent="0.35">
      <c r="A429">
        <f>'mk 001 10.3'!A430</f>
        <v>0</v>
      </c>
      <c r="B429">
        <f>'mk 001 10.3'!B430</f>
        <v>0</v>
      </c>
      <c r="C429" s="1">
        <f>'mk 001 10.3'!C430</f>
        <v>0</v>
      </c>
      <c r="D429" s="1">
        <f>'mk 001 10.3'!D430</f>
        <v>0</v>
      </c>
      <c r="E429">
        <f>'mk 001 10.3'!E430</f>
        <v>0</v>
      </c>
      <c r="F429">
        <f>'mk 001 10.3'!F430</f>
        <v>0</v>
      </c>
      <c r="G429">
        <f>'mk 001 10.3'!G430</f>
        <v>0</v>
      </c>
      <c r="H429">
        <f>'mk 001 10.3'!H430</f>
        <v>0</v>
      </c>
      <c r="I429">
        <f>'mk 001 10.3'!I430</f>
        <v>0</v>
      </c>
      <c r="J429">
        <f>'mk 001 10.3'!J430</f>
        <v>0</v>
      </c>
      <c r="K429">
        <f>'mk 001 10.3'!K430</f>
        <v>0</v>
      </c>
      <c r="L429">
        <f>'mk 001 10.3'!L430</f>
        <v>0</v>
      </c>
      <c r="M429">
        <f>'mk 001 10.3'!M430</f>
        <v>0</v>
      </c>
      <c r="N429">
        <f>'mk 001 10.3'!N430</f>
        <v>0</v>
      </c>
      <c r="O429">
        <f>'mk 001 10.3'!O430</f>
        <v>0</v>
      </c>
      <c r="P429">
        <f>'mk 001 10.3'!P430</f>
        <v>0</v>
      </c>
      <c r="Q429">
        <f>'mk 001 10.3'!Q430</f>
        <v>0</v>
      </c>
      <c r="R429" s="1">
        <f>'mk 001 10.3'!R430</f>
        <v>0</v>
      </c>
      <c r="S429" s="1">
        <f>'mk 001 10.3'!S430</f>
        <v>0</v>
      </c>
      <c r="T429">
        <f>'mk 001 10.3'!T430</f>
        <v>0</v>
      </c>
      <c r="U429">
        <f>'mk 001 10.3'!U430</f>
        <v>0</v>
      </c>
      <c r="V429">
        <f>'mk 001 10.3'!V430</f>
        <v>0</v>
      </c>
      <c r="W429">
        <f>'mk 001 10.3'!W430</f>
        <v>0</v>
      </c>
      <c r="X429">
        <f>'mk 001 10.3'!X430</f>
        <v>0</v>
      </c>
      <c r="Y429">
        <f t="shared" si="7"/>
        <v>0</v>
      </c>
      <c r="Z429" s="13">
        <f>IF(COUNTIFS(แปลงข้อมูล!H:H,Q429,แปลงข้อมูล!I:I,U429,แปลงข้อมูล!J:J,V429)&gt;0,SUMIFS(แปลงข้อมูล!Q:Q,แปลงข้อมูล!I:I,U429,แปลงข้อมูล!H:H,Q429,แปลงข้อมูล!J:J,V429),'mk 001 10.3'!Z430)</f>
        <v>0</v>
      </c>
      <c r="AA429">
        <f>'mk 001 10.3'!AA430</f>
        <v>0</v>
      </c>
      <c r="AB429">
        <f>'mk 001 10.3'!AB430</f>
        <v>0</v>
      </c>
      <c r="AC429">
        <f>'mk 001 10.3'!AC430</f>
        <v>0</v>
      </c>
      <c r="AD429">
        <f>'mk 001 10.3'!AD430</f>
        <v>0</v>
      </c>
      <c r="AE429">
        <f>'mk 001 10.3'!AE430</f>
        <v>0</v>
      </c>
      <c r="AF429">
        <f>'mk 001 10.3'!AF430</f>
        <v>0</v>
      </c>
      <c r="AG429">
        <f>'mk 001 10.3'!AG430</f>
        <v>0</v>
      </c>
      <c r="AH429">
        <f>'mk 001 10.3'!AH430</f>
        <v>0</v>
      </c>
      <c r="AI429">
        <f>'mk 001 10.3'!AI430</f>
        <v>0</v>
      </c>
      <c r="AJ429">
        <f>'mk 001 10.3'!AJ430</f>
        <v>0</v>
      </c>
      <c r="AK429">
        <f>'mk 001 10.3'!AK430</f>
        <v>0</v>
      </c>
      <c r="AL429">
        <f>'mk 001 10.3'!AL430</f>
        <v>0</v>
      </c>
      <c r="AM429">
        <f>'mk 001 10.3'!AM430</f>
        <v>0</v>
      </c>
      <c r="AN429">
        <f>'mk 001 10.3'!AN430</f>
        <v>0</v>
      </c>
      <c r="AO429">
        <f>'mk 001 10.3'!AO430</f>
        <v>0</v>
      </c>
      <c r="AP429">
        <f>'mk 001 10.3'!AP430</f>
        <v>0</v>
      </c>
      <c r="AQ429">
        <f>'mk 001 10.3'!AQ430</f>
        <v>0</v>
      </c>
      <c r="AR429">
        <f>'mk 001 10.3'!AR430</f>
        <v>0</v>
      </c>
      <c r="AS429">
        <f>'mk 001 10.3'!AS430</f>
        <v>0</v>
      </c>
      <c r="AT429">
        <f>'mk 001 10.3'!AT430</f>
        <v>0</v>
      </c>
      <c r="AU429">
        <f>'mk 001 10.3'!AU430</f>
        <v>0</v>
      </c>
      <c r="AV429">
        <f>'mk 001 10.3'!AV430</f>
        <v>0</v>
      </c>
      <c r="AW429">
        <f>'mk 001 10.3'!AW430</f>
        <v>0</v>
      </c>
      <c r="AX429">
        <f>'mk 001 10.3'!AX430</f>
        <v>0</v>
      </c>
      <c r="AY429">
        <f>'mk 001 10.3'!AY430</f>
        <v>0</v>
      </c>
      <c r="AZ429">
        <f>'mk 001 10.3'!AZ430</f>
        <v>0</v>
      </c>
      <c r="BA429" s="22">
        <f>'mk 001 10.3'!BA430</f>
        <v>0</v>
      </c>
      <c r="BB429">
        <f>'mk 001 10.3'!BB430</f>
        <v>0</v>
      </c>
      <c r="BC429">
        <f>'mk 001 10.3'!BC430</f>
        <v>0</v>
      </c>
      <c r="BD429">
        <f>'mk 001 10.3'!BD430</f>
        <v>0</v>
      </c>
      <c r="BE429">
        <f>'mk 001 10.3'!BE430</f>
        <v>0</v>
      </c>
      <c r="BF429">
        <f>'mk 001 10.3'!BF430</f>
        <v>0</v>
      </c>
      <c r="BG429">
        <f>'mk 001 10.3'!BG430</f>
        <v>0</v>
      </c>
      <c r="BH429">
        <f>'mk 001 10.3'!BH430</f>
        <v>0</v>
      </c>
      <c r="BI429">
        <f>'mk 001 10.3'!BI430</f>
        <v>0</v>
      </c>
      <c r="BJ429">
        <f>'mk 001 10.3'!BJ430</f>
        <v>0</v>
      </c>
      <c r="BK429">
        <f>'mk 001 10.3'!BK430</f>
        <v>0</v>
      </c>
      <c r="BL429">
        <f>'mk 001 10.3'!BL430</f>
        <v>0</v>
      </c>
      <c r="BM429">
        <f>'mk 001 10.3'!BM430</f>
        <v>0</v>
      </c>
      <c r="BN429">
        <f>'mk 001 10.3'!BN430</f>
        <v>0</v>
      </c>
    </row>
    <row r="430" spans="1:66" x14ac:dyDescent="0.35">
      <c r="A430">
        <f>'mk 001 10.3'!A431</f>
        <v>0</v>
      </c>
      <c r="B430">
        <f>'mk 001 10.3'!B431</f>
        <v>0</v>
      </c>
      <c r="C430" s="1">
        <f>'mk 001 10.3'!C431</f>
        <v>0</v>
      </c>
      <c r="D430" s="1">
        <f>'mk 001 10.3'!D431</f>
        <v>0</v>
      </c>
      <c r="E430">
        <f>'mk 001 10.3'!E431</f>
        <v>0</v>
      </c>
      <c r="F430">
        <f>'mk 001 10.3'!F431</f>
        <v>0</v>
      </c>
      <c r="G430">
        <f>'mk 001 10.3'!G431</f>
        <v>0</v>
      </c>
      <c r="H430">
        <f>'mk 001 10.3'!H431</f>
        <v>0</v>
      </c>
      <c r="I430">
        <f>'mk 001 10.3'!I431</f>
        <v>0</v>
      </c>
      <c r="J430">
        <f>'mk 001 10.3'!J431</f>
        <v>0</v>
      </c>
      <c r="K430">
        <f>'mk 001 10.3'!K431</f>
        <v>0</v>
      </c>
      <c r="L430">
        <f>'mk 001 10.3'!L431</f>
        <v>0</v>
      </c>
      <c r="M430">
        <f>'mk 001 10.3'!M431</f>
        <v>0</v>
      </c>
      <c r="N430">
        <f>'mk 001 10.3'!N431</f>
        <v>0</v>
      </c>
      <c r="O430">
        <f>'mk 001 10.3'!O431</f>
        <v>0</v>
      </c>
      <c r="P430">
        <f>'mk 001 10.3'!P431</f>
        <v>0</v>
      </c>
      <c r="Q430">
        <f>'mk 001 10.3'!Q431</f>
        <v>0</v>
      </c>
      <c r="R430" s="1">
        <f>'mk 001 10.3'!R431</f>
        <v>0</v>
      </c>
      <c r="S430" s="1">
        <f>'mk 001 10.3'!S431</f>
        <v>0</v>
      </c>
      <c r="T430">
        <f>'mk 001 10.3'!T431</f>
        <v>0</v>
      </c>
      <c r="U430">
        <f>'mk 001 10.3'!U431</f>
        <v>0</v>
      </c>
      <c r="V430">
        <f>'mk 001 10.3'!V431</f>
        <v>0</v>
      </c>
      <c r="W430">
        <f>'mk 001 10.3'!W431</f>
        <v>0</v>
      </c>
      <c r="X430">
        <f>'mk 001 10.3'!X431</f>
        <v>0</v>
      </c>
      <c r="Y430">
        <f t="shared" si="7"/>
        <v>0</v>
      </c>
      <c r="Z430" s="13">
        <f>IF(COUNTIFS(แปลงข้อมูล!H:H,Q430,แปลงข้อมูล!I:I,U430,แปลงข้อมูล!J:J,V430)&gt;0,SUMIFS(แปลงข้อมูล!Q:Q,แปลงข้อมูล!I:I,U430,แปลงข้อมูล!H:H,Q430,แปลงข้อมูล!J:J,V430),'mk 001 10.3'!Z431)</f>
        <v>0</v>
      </c>
      <c r="AA430">
        <f>'mk 001 10.3'!AA431</f>
        <v>0</v>
      </c>
      <c r="AB430">
        <f>'mk 001 10.3'!AB431</f>
        <v>0</v>
      </c>
      <c r="AC430">
        <f>'mk 001 10.3'!AC431</f>
        <v>0</v>
      </c>
      <c r="AD430">
        <f>'mk 001 10.3'!AD431</f>
        <v>0</v>
      </c>
      <c r="AE430">
        <f>'mk 001 10.3'!AE431</f>
        <v>0</v>
      </c>
      <c r="AF430">
        <f>'mk 001 10.3'!AF431</f>
        <v>0</v>
      </c>
      <c r="AG430">
        <f>'mk 001 10.3'!AG431</f>
        <v>0</v>
      </c>
      <c r="AH430">
        <f>'mk 001 10.3'!AH431</f>
        <v>0</v>
      </c>
      <c r="AI430">
        <f>'mk 001 10.3'!AI431</f>
        <v>0</v>
      </c>
      <c r="AJ430">
        <f>'mk 001 10.3'!AJ431</f>
        <v>0</v>
      </c>
      <c r="AK430">
        <f>'mk 001 10.3'!AK431</f>
        <v>0</v>
      </c>
      <c r="AL430">
        <f>'mk 001 10.3'!AL431</f>
        <v>0</v>
      </c>
      <c r="AM430">
        <f>'mk 001 10.3'!AM431</f>
        <v>0</v>
      </c>
      <c r="AN430">
        <f>'mk 001 10.3'!AN431</f>
        <v>0</v>
      </c>
      <c r="AO430">
        <f>'mk 001 10.3'!AO431</f>
        <v>0</v>
      </c>
      <c r="AP430">
        <f>'mk 001 10.3'!AP431</f>
        <v>0</v>
      </c>
      <c r="AQ430">
        <f>'mk 001 10.3'!AQ431</f>
        <v>0</v>
      </c>
      <c r="AR430">
        <f>'mk 001 10.3'!AR431</f>
        <v>0</v>
      </c>
      <c r="AS430">
        <f>'mk 001 10.3'!AS431</f>
        <v>0</v>
      </c>
      <c r="AT430">
        <f>'mk 001 10.3'!AT431</f>
        <v>0</v>
      </c>
      <c r="AU430">
        <f>'mk 001 10.3'!AU431</f>
        <v>0</v>
      </c>
      <c r="AV430">
        <f>'mk 001 10.3'!AV431</f>
        <v>0</v>
      </c>
      <c r="AW430">
        <f>'mk 001 10.3'!AW431</f>
        <v>0</v>
      </c>
      <c r="AX430">
        <f>'mk 001 10.3'!AX431</f>
        <v>0</v>
      </c>
      <c r="AY430">
        <f>'mk 001 10.3'!AY431</f>
        <v>0</v>
      </c>
      <c r="AZ430">
        <f>'mk 001 10.3'!AZ431</f>
        <v>0</v>
      </c>
      <c r="BA430" s="22">
        <f>'mk 001 10.3'!BA431</f>
        <v>0</v>
      </c>
      <c r="BB430">
        <f>'mk 001 10.3'!BB431</f>
        <v>0</v>
      </c>
      <c r="BC430">
        <f>'mk 001 10.3'!BC431</f>
        <v>0</v>
      </c>
      <c r="BD430">
        <f>'mk 001 10.3'!BD431</f>
        <v>0</v>
      </c>
      <c r="BE430">
        <f>'mk 001 10.3'!BE431</f>
        <v>0</v>
      </c>
      <c r="BF430">
        <f>'mk 001 10.3'!BF431</f>
        <v>0</v>
      </c>
      <c r="BG430">
        <f>'mk 001 10.3'!BG431</f>
        <v>0</v>
      </c>
      <c r="BH430">
        <f>'mk 001 10.3'!BH431</f>
        <v>0</v>
      </c>
      <c r="BI430">
        <f>'mk 001 10.3'!BI431</f>
        <v>0</v>
      </c>
      <c r="BJ430">
        <f>'mk 001 10.3'!BJ431</f>
        <v>0</v>
      </c>
      <c r="BK430">
        <f>'mk 001 10.3'!BK431</f>
        <v>0</v>
      </c>
      <c r="BL430">
        <f>'mk 001 10.3'!BL431</f>
        <v>0</v>
      </c>
      <c r="BM430">
        <f>'mk 001 10.3'!BM431</f>
        <v>0</v>
      </c>
      <c r="BN430">
        <f>'mk 001 10.3'!BN431</f>
        <v>0</v>
      </c>
    </row>
    <row r="431" spans="1:66" x14ac:dyDescent="0.35">
      <c r="A431">
        <f>'mk 001 10.3'!A432</f>
        <v>0</v>
      </c>
      <c r="B431">
        <f>'mk 001 10.3'!B432</f>
        <v>0</v>
      </c>
      <c r="C431" s="1">
        <f>'mk 001 10.3'!C432</f>
        <v>0</v>
      </c>
      <c r="D431" s="1">
        <f>'mk 001 10.3'!D432</f>
        <v>0</v>
      </c>
      <c r="E431">
        <f>'mk 001 10.3'!E432</f>
        <v>0</v>
      </c>
      <c r="F431">
        <f>'mk 001 10.3'!F432</f>
        <v>0</v>
      </c>
      <c r="G431">
        <f>'mk 001 10.3'!G432</f>
        <v>0</v>
      </c>
      <c r="H431">
        <f>'mk 001 10.3'!H432</f>
        <v>0</v>
      </c>
      <c r="I431">
        <f>'mk 001 10.3'!I432</f>
        <v>0</v>
      </c>
      <c r="J431">
        <f>'mk 001 10.3'!J432</f>
        <v>0</v>
      </c>
      <c r="K431">
        <f>'mk 001 10.3'!K432</f>
        <v>0</v>
      </c>
      <c r="L431">
        <f>'mk 001 10.3'!L432</f>
        <v>0</v>
      </c>
      <c r="M431">
        <f>'mk 001 10.3'!M432</f>
        <v>0</v>
      </c>
      <c r="N431">
        <f>'mk 001 10.3'!N432</f>
        <v>0</v>
      </c>
      <c r="O431">
        <f>'mk 001 10.3'!O432</f>
        <v>0</v>
      </c>
      <c r="P431">
        <f>'mk 001 10.3'!P432</f>
        <v>0</v>
      </c>
      <c r="Q431">
        <f>'mk 001 10.3'!Q432</f>
        <v>0</v>
      </c>
      <c r="R431" s="1">
        <f>'mk 001 10.3'!R432</f>
        <v>0</v>
      </c>
      <c r="S431" s="1">
        <f>'mk 001 10.3'!S432</f>
        <v>0</v>
      </c>
      <c r="T431">
        <f>'mk 001 10.3'!T432</f>
        <v>0</v>
      </c>
      <c r="U431">
        <f>'mk 001 10.3'!U432</f>
        <v>0</v>
      </c>
      <c r="V431">
        <f>'mk 001 10.3'!V432</f>
        <v>0</v>
      </c>
      <c r="W431">
        <f>'mk 001 10.3'!W432</f>
        <v>0</v>
      </c>
      <c r="X431">
        <f>'mk 001 10.3'!X432</f>
        <v>0</v>
      </c>
      <c r="Y431">
        <f t="shared" si="7"/>
        <v>0</v>
      </c>
      <c r="Z431" s="13">
        <f>IF(COUNTIFS(แปลงข้อมูล!H:H,Q431,แปลงข้อมูล!I:I,U431,แปลงข้อมูล!J:J,V431)&gt;0,SUMIFS(แปลงข้อมูล!Q:Q,แปลงข้อมูล!I:I,U431,แปลงข้อมูล!H:H,Q431,แปลงข้อมูล!J:J,V431),'mk 001 10.3'!Z432)</f>
        <v>0</v>
      </c>
      <c r="AA431">
        <f>'mk 001 10.3'!AA432</f>
        <v>0</v>
      </c>
      <c r="AB431">
        <f>'mk 001 10.3'!AB432</f>
        <v>0</v>
      </c>
      <c r="AC431">
        <f>'mk 001 10.3'!AC432</f>
        <v>0</v>
      </c>
      <c r="AD431">
        <f>'mk 001 10.3'!AD432</f>
        <v>0</v>
      </c>
      <c r="AE431">
        <f>'mk 001 10.3'!AE432</f>
        <v>0</v>
      </c>
      <c r="AF431">
        <f>'mk 001 10.3'!AF432</f>
        <v>0</v>
      </c>
      <c r="AG431">
        <f>'mk 001 10.3'!AG432</f>
        <v>0</v>
      </c>
      <c r="AH431">
        <f>'mk 001 10.3'!AH432</f>
        <v>0</v>
      </c>
      <c r="AI431">
        <f>'mk 001 10.3'!AI432</f>
        <v>0</v>
      </c>
      <c r="AJ431">
        <f>'mk 001 10.3'!AJ432</f>
        <v>0</v>
      </c>
      <c r="AK431">
        <f>'mk 001 10.3'!AK432</f>
        <v>0</v>
      </c>
      <c r="AL431">
        <f>'mk 001 10.3'!AL432</f>
        <v>0</v>
      </c>
      <c r="AM431">
        <f>'mk 001 10.3'!AM432</f>
        <v>0</v>
      </c>
      <c r="AN431">
        <f>'mk 001 10.3'!AN432</f>
        <v>0</v>
      </c>
      <c r="AO431">
        <f>'mk 001 10.3'!AO432</f>
        <v>0</v>
      </c>
      <c r="AP431">
        <f>'mk 001 10.3'!AP432</f>
        <v>0</v>
      </c>
      <c r="AQ431">
        <f>'mk 001 10.3'!AQ432</f>
        <v>0</v>
      </c>
      <c r="AR431">
        <f>'mk 001 10.3'!AR432</f>
        <v>0</v>
      </c>
      <c r="AS431">
        <f>'mk 001 10.3'!AS432</f>
        <v>0</v>
      </c>
      <c r="AT431">
        <f>'mk 001 10.3'!AT432</f>
        <v>0</v>
      </c>
      <c r="AU431">
        <f>'mk 001 10.3'!AU432</f>
        <v>0</v>
      </c>
      <c r="AV431">
        <f>'mk 001 10.3'!AV432</f>
        <v>0</v>
      </c>
      <c r="AW431">
        <f>'mk 001 10.3'!AW432</f>
        <v>0</v>
      </c>
      <c r="AX431">
        <f>'mk 001 10.3'!AX432</f>
        <v>0</v>
      </c>
      <c r="AY431">
        <f>'mk 001 10.3'!AY432</f>
        <v>0</v>
      </c>
      <c r="AZ431">
        <f>'mk 001 10.3'!AZ432</f>
        <v>0</v>
      </c>
      <c r="BA431" s="22">
        <f>'mk 001 10.3'!BA432</f>
        <v>0</v>
      </c>
      <c r="BB431">
        <f>'mk 001 10.3'!BB432</f>
        <v>0</v>
      </c>
      <c r="BC431">
        <f>'mk 001 10.3'!BC432</f>
        <v>0</v>
      </c>
      <c r="BD431">
        <f>'mk 001 10.3'!BD432</f>
        <v>0</v>
      </c>
      <c r="BE431">
        <f>'mk 001 10.3'!BE432</f>
        <v>0</v>
      </c>
      <c r="BF431">
        <f>'mk 001 10.3'!BF432</f>
        <v>0</v>
      </c>
      <c r="BG431">
        <f>'mk 001 10.3'!BG432</f>
        <v>0</v>
      </c>
      <c r="BH431">
        <f>'mk 001 10.3'!BH432</f>
        <v>0</v>
      </c>
      <c r="BI431">
        <f>'mk 001 10.3'!BI432</f>
        <v>0</v>
      </c>
      <c r="BJ431">
        <f>'mk 001 10.3'!BJ432</f>
        <v>0</v>
      </c>
      <c r="BK431">
        <f>'mk 001 10.3'!BK432</f>
        <v>0</v>
      </c>
      <c r="BL431">
        <f>'mk 001 10.3'!BL432</f>
        <v>0</v>
      </c>
      <c r="BM431">
        <f>'mk 001 10.3'!BM432</f>
        <v>0</v>
      </c>
      <c r="BN431">
        <f>'mk 001 10.3'!BN432</f>
        <v>0</v>
      </c>
    </row>
    <row r="432" spans="1:66" x14ac:dyDescent="0.35">
      <c r="A432">
        <f>'mk 001 10.3'!A433</f>
        <v>0</v>
      </c>
      <c r="B432">
        <f>'mk 001 10.3'!B433</f>
        <v>0</v>
      </c>
      <c r="C432" s="1">
        <f>'mk 001 10.3'!C433</f>
        <v>0</v>
      </c>
      <c r="D432" s="1">
        <f>'mk 001 10.3'!D433</f>
        <v>0</v>
      </c>
      <c r="E432">
        <f>'mk 001 10.3'!E433</f>
        <v>0</v>
      </c>
      <c r="F432">
        <f>'mk 001 10.3'!F433</f>
        <v>0</v>
      </c>
      <c r="G432">
        <f>'mk 001 10.3'!G433</f>
        <v>0</v>
      </c>
      <c r="H432">
        <f>'mk 001 10.3'!H433</f>
        <v>0</v>
      </c>
      <c r="I432">
        <f>'mk 001 10.3'!I433</f>
        <v>0</v>
      </c>
      <c r="J432">
        <f>'mk 001 10.3'!J433</f>
        <v>0</v>
      </c>
      <c r="K432">
        <f>'mk 001 10.3'!K433</f>
        <v>0</v>
      </c>
      <c r="L432">
        <f>'mk 001 10.3'!L433</f>
        <v>0</v>
      </c>
      <c r="M432">
        <f>'mk 001 10.3'!M433</f>
        <v>0</v>
      </c>
      <c r="N432">
        <f>'mk 001 10.3'!N433</f>
        <v>0</v>
      </c>
      <c r="O432">
        <f>'mk 001 10.3'!O433</f>
        <v>0</v>
      </c>
      <c r="P432">
        <f>'mk 001 10.3'!P433</f>
        <v>0</v>
      </c>
      <c r="Q432">
        <f>'mk 001 10.3'!Q433</f>
        <v>0</v>
      </c>
      <c r="R432" s="1">
        <f>'mk 001 10.3'!R433</f>
        <v>0</v>
      </c>
      <c r="S432" s="1">
        <f>'mk 001 10.3'!S433</f>
        <v>0</v>
      </c>
      <c r="T432">
        <f>'mk 001 10.3'!T433</f>
        <v>0</v>
      </c>
      <c r="U432">
        <f>'mk 001 10.3'!U433</f>
        <v>0</v>
      </c>
      <c r="V432">
        <f>'mk 001 10.3'!V433</f>
        <v>0</v>
      </c>
      <c r="W432">
        <f>'mk 001 10.3'!W433</f>
        <v>0</v>
      </c>
      <c r="X432">
        <f>'mk 001 10.3'!X433</f>
        <v>0</v>
      </c>
      <c r="Y432">
        <f t="shared" si="7"/>
        <v>0</v>
      </c>
      <c r="Z432" s="13">
        <f>IF(COUNTIFS(แปลงข้อมูล!H:H,Q432,แปลงข้อมูล!I:I,U432,แปลงข้อมูล!J:J,V432)&gt;0,SUMIFS(แปลงข้อมูล!Q:Q,แปลงข้อมูล!I:I,U432,แปลงข้อมูล!H:H,Q432,แปลงข้อมูล!J:J,V432),'mk 001 10.3'!Z433)</f>
        <v>0</v>
      </c>
      <c r="AA432">
        <f>'mk 001 10.3'!AA433</f>
        <v>0</v>
      </c>
      <c r="AB432">
        <f>'mk 001 10.3'!AB433</f>
        <v>0</v>
      </c>
      <c r="AC432">
        <f>'mk 001 10.3'!AC433</f>
        <v>0</v>
      </c>
      <c r="AD432">
        <f>'mk 001 10.3'!AD433</f>
        <v>0</v>
      </c>
      <c r="AE432">
        <f>'mk 001 10.3'!AE433</f>
        <v>0</v>
      </c>
      <c r="AF432">
        <f>'mk 001 10.3'!AF433</f>
        <v>0</v>
      </c>
      <c r="AG432">
        <f>'mk 001 10.3'!AG433</f>
        <v>0</v>
      </c>
      <c r="AH432">
        <f>'mk 001 10.3'!AH433</f>
        <v>0</v>
      </c>
      <c r="AI432">
        <f>'mk 001 10.3'!AI433</f>
        <v>0</v>
      </c>
      <c r="AJ432">
        <f>'mk 001 10.3'!AJ433</f>
        <v>0</v>
      </c>
      <c r="AK432">
        <f>'mk 001 10.3'!AK433</f>
        <v>0</v>
      </c>
      <c r="AL432">
        <f>'mk 001 10.3'!AL433</f>
        <v>0</v>
      </c>
      <c r="AM432">
        <f>'mk 001 10.3'!AM433</f>
        <v>0</v>
      </c>
      <c r="AN432">
        <f>'mk 001 10.3'!AN433</f>
        <v>0</v>
      </c>
      <c r="AO432">
        <f>'mk 001 10.3'!AO433</f>
        <v>0</v>
      </c>
      <c r="AP432">
        <f>'mk 001 10.3'!AP433</f>
        <v>0</v>
      </c>
      <c r="AQ432">
        <f>'mk 001 10.3'!AQ433</f>
        <v>0</v>
      </c>
      <c r="AR432">
        <f>'mk 001 10.3'!AR433</f>
        <v>0</v>
      </c>
      <c r="AS432">
        <f>'mk 001 10.3'!AS433</f>
        <v>0</v>
      </c>
      <c r="AT432">
        <f>'mk 001 10.3'!AT433</f>
        <v>0</v>
      </c>
      <c r="AU432">
        <f>'mk 001 10.3'!AU433</f>
        <v>0</v>
      </c>
      <c r="AV432">
        <f>'mk 001 10.3'!AV433</f>
        <v>0</v>
      </c>
      <c r="AW432">
        <f>'mk 001 10.3'!AW433</f>
        <v>0</v>
      </c>
      <c r="AX432">
        <f>'mk 001 10.3'!AX433</f>
        <v>0</v>
      </c>
      <c r="AY432">
        <f>'mk 001 10.3'!AY433</f>
        <v>0</v>
      </c>
      <c r="AZ432">
        <f>'mk 001 10.3'!AZ433</f>
        <v>0</v>
      </c>
      <c r="BA432" s="22">
        <f>'mk 001 10.3'!BA433</f>
        <v>0</v>
      </c>
      <c r="BB432">
        <f>'mk 001 10.3'!BB433</f>
        <v>0</v>
      </c>
      <c r="BC432">
        <f>'mk 001 10.3'!BC433</f>
        <v>0</v>
      </c>
      <c r="BD432">
        <f>'mk 001 10.3'!BD433</f>
        <v>0</v>
      </c>
      <c r="BE432">
        <f>'mk 001 10.3'!BE433</f>
        <v>0</v>
      </c>
      <c r="BF432">
        <f>'mk 001 10.3'!BF433</f>
        <v>0</v>
      </c>
      <c r="BG432">
        <f>'mk 001 10.3'!BG433</f>
        <v>0</v>
      </c>
      <c r="BH432">
        <f>'mk 001 10.3'!BH433</f>
        <v>0</v>
      </c>
      <c r="BI432">
        <f>'mk 001 10.3'!BI433</f>
        <v>0</v>
      </c>
      <c r="BJ432">
        <f>'mk 001 10.3'!BJ433</f>
        <v>0</v>
      </c>
      <c r="BK432">
        <f>'mk 001 10.3'!BK433</f>
        <v>0</v>
      </c>
      <c r="BL432">
        <f>'mk 001 10.3'!BL433</f>
        <v>0</v>
      </c>
      <c r="BM432">
        <f>'mk 001 10.3'!BM433</f>
        <v>0</v>
      </c>
      <c r="BN432">
        <f>'mk 001 10.3'!BN433</f>
        <v>0</v>
      </c>
    </row>
    <row r="433" spans="1:66" x14ac:dyDescent="0.35">
      <c r="A433">
        <f>'mk 001 10.3'!A434</f>
        <v>0</v>
      </c>
      <c r="B433">
        <f>'mk 001 10.3'!B434</f>
        <v>0</v>
      </c>
      <c r="C433" s="1">
        <f>'mk 001 10.3'!C434</f>
        <v>0</v>
      </c>
      <c r="D433" s="1">
        <f>'mk 001 10.3'!D434</f>
        <v>0</v>
      </c>
      <c r="E433">
        <f>'mk 001 10.3'!E434</f>
        <v>0</v>
      </c>
      <c r="F433">
        <f>'mk 001 10.3'!F434</f>
        <v>0</v>
      </c>
      <c r="G433">
        <f>'mk 001 10.3'!G434</f>
        <v>0</v>
      </c>
      <c r="H433">
        <f>'mk 001 10.3'!H434</f>
        <v>0</v>
      </c>
      <c r="I433">
        <f>'mk 001 10.3'!I434</f>
        <v>0</v>
      </c>
      <c r="J433">
        <f>'mk 001 10.3'!J434</f>
        <v>0</v>
      </c>
      <c r="K433">
        <f>'mk 001 10.3'!K434</f>
        <v>0</v>
      </c>
      <c r="L433">
        <f>'mk 001 10.3'!L434</f>
        <v>0</v>
      </c>
      <c r="M433">
        <f>'mk 001 10.3'!M434</f>
        <v>0</v>
      </c>
      <c r="N433">
        <f>'mk 001 10.3'!N434</f>
        <v>0</v>
      </c>
      <c r="O433">
        <f>'mk 001 10.3'!O434</f>
        <v>0</v>
      </c>
      <c r="P433">
        <f>'mk 001 10.3'!P434</f>
        <v>0</v>
      </c>
      <c r="Q433">
        <f>'mk 001 10.3'!Q434</f>
        <v>0</v>
      </c>
      <c r="R433" s="1">
        <f>'mk 001 10.3'!R434</f>
        <v>0</v>
      </c>
      <c r="S433" s="1">
        <f>'mk 001 10.3'!S434</f>
        <v>0</v>
      </c>
      <c r="T433">
        <f>'mk 001 10.3'!T434</f>
        <v>0</v>
      </c>
      <c r="U433">
        <f>'mk 001 10.3'!U434</f>
        <v>0</v>
      </c>
      <c r="V433">
        <f>'mk 001 10.3'!V434</f>
        <v>0</v>
      </c>
      <c r="W433">
        <f>'mk 001 10.3'!W434</f>
        <v>0</v>
      </c>
      <c r="X433">
        <f>'mk 001 10.3'!X434</f>
        <v>0</v>
      </c>
      <c r="Y433">
        <f t="shared" si="7"/>
        <v>0</v>
      </c>
      <c r="Z433" s="13">
        <f>IF(COUNTIFS(แปลงข้อมูล!H:H,Q433,แปลงข้อมูล!I:I,U433,แปลงข้อมูล!J:J,V433)&gt;0,SUMIFS(แปลงข้อมูล!Q:Q,แปลงข้อมูล!I:I,U433,แปลงข้อมูล!H:H,Q433,แปลงข้อมูล!J:J,V433),'mk 001 10.3'!Z434)</f>
        <v>0</v>
      </c>
      <c r="AA433">
        <f>'mk 001 10.3'!AA434</f>
        <v>0</v>
      </c>
      <c r="AB433">
        <f>'mk 001 10.3'!AB434</f>
        <v>0</v>
      </c>
      <c r="AC433">
        <f>'mk 001 10.3'!AC434</f>
        <v>0</v>
      </c>
      <c r="AD433">
        <f>'mk 001 10.3'!AD434</f>
        <v>0</v>
      </c>
      <c r="AE433">
        <f>'mk 001 10.3'!AE434</f>
        <v>0</v>
      </c>
      <c r="AF433">
        <f>'mk 001 10.3'!AF434</f>
        <v>0</v>
      </c>
      <c r="AG433">
        <f>'mk 001 10.3'!AG434</f>
        <v>0</v>
      </c>
      <c r="AH433">
        <f>'mk 001 10.3'!AH434</f>
        <v>0</v>
      </c>
      <c r="AI433">
        <f>'mk 001 10.3'!AI434</f>
        <v>0</v>
      </c>
      <c r="AJ433">
        <f>'mk 001 10.3'!AJ434</f>
        <v>0</v>
      </c>
      <c r="AK433">
        <f>'mk 001 10.3'!AK434</f>
        <v>0</v>
      </c>
      <c r="AL433">
        <f>'mk 001 10.3'!AL434</f>
        <v>0</v>
      </c>
      <c r="AM433">
        <f>'mk 001 10.3'!AM434</f>
        <v>0</v>
      </c>
      <c r="AN433">
        <f>'mk 001 10.3'!AN434</f>
        <v>0</v>
      </c>
      <c r="AO433">
        <f>'mk 001 10.3'!AO434</f>
        <v>0</v>
      </c>
      <c r="AP433">
        <f>'mk 001 10.3'!AP434</f>
        <v>0</v>
      </c>
      <c r="AQ433">
        <f>'mk 001 10.3'!AQ434</f>
        <v>0</v>
      </c>
      <c r="AR433">
        <f>'mk 001 10.3'!AR434</f>
        <v>0</v>
      </c>
      <c r="AS433">
        <f>'mk 001 10.3'!AS434</f>
        <v>0</v>
      </c>
      <c r="AT433">
        <f>'mk 001 10.3'!AT434</f>
        <v>0</v>
      </c>
      <c r="AU433">
        <f>'mk 001 10.3'!AU434</f>
        <v>0</v>
      </c>
      <c r="AV433">
        <f>'mk 001 10.3'!AV434</f>
        <v>0</v>
      </c>
      <c r="AW433">
        <f>'mk 001 10.3'!AW434</f>
        <v>0</v>
      </c>
      <c r="AX433">
        <f>'mk 001 10.3'!AX434</f>
        <v>0</v>
      </c>
      <c r="AY433">
        <f>'mk 001 10.3'!AY434</f>
        <v>0</v>
      </c>
      <c r="AZ433">
        <f>'mk 001 10.3'!AZ434</f>
        <v>0</v>
      </c>
      <c r="BA433" s="22">
        <f>'mk 001 10.3'!BA434</f>
        <v>0</v>
      </c>
      <c r="BB433">
        <f>'mk 001 10.3'!BB434</f>
        <v>0</v>
      </c>
      <c r="BC433">
        <f>'mk 001 10.3'!BC434</f>
        <v>0</v>
      </c>
      <c r="BD433">
        <f>'mk 001 10.3'!BD434</f>
        <v>0</v>
      </c>
      <c r="BE433">
        <f>'mk 001 10.3'!BE434</f>
        <v>0</v>
      </c>
      <c r="BF433">
        <f>'mk 001 10.3'!BF434</f>
        <v>0</v>
      </c>
      <c r="BG433">
        <f>'mk 001 10.3'!BG434</f>
        <v>0</v>
      </c>
      <c r="BH433">
        <f>'mk 001 10.3'!BH434</f>
        <v>0</v>
      </c>
      <c r="BI433">
        <f>'mk 001 10.3'!BI434</f>
        <v>0</v>
      </c>
      <c r="BJ433">
        <f>'mk 001 10.3'!BJ434</f>
        <v>0</v>
      </c>
      <c r="BK433">
        <f>'mk 001 10.3'!BK434</f>
        <v>0</v>
      </c>
      <c r="BL433">
        <f>'mk 001 10.3'!BL434</f>
        <v>0</v>
      </c>
      <c r="BM433">
        <f>'mk 001 10.3'!BM434</f>
        <v>0</v>
      </c>
      <c r="BN433">
        <f>'mk 001 10.3'!BN434</f>
        <v>0</v>
      </c>
    </row>
    <row r="434" spans="1:66" x14ac:dyDescent="0.35">
      <c r="A434">
        <f>'mk 001 10.3'!A435</f>
        <v>0</v>
      </c>
      <c r="B434">
        <f>'mk 001 10.3'!B435</f>
        <v>0</v>
      </c>
      <c r="C434" s="1">
        <f>'mk 001 10.3'!C435</f>
        <v>0</v>
      </c>
      <c r="D434" s="1">
        <f>'mk 001 10.3'!D435</f>
        <v>0</v>
      </c>
      <c r="E434">
        <f>'mk 001 10.3'!E435</f>
        <v>0</v>
      </c>
      <c r="F434">
        <f>'mk 001 10.3'!F435</f>
        <v>0</v>
      </c>
      <c r="G434">
        <f>'mk 001 10.3'!G435</f>
        <v>0</v>
      </c>
      <c r="H434">
        <f>'mk 001 10.3'!H435</f>
        <v>0</v>
      </c>
      <c r="I434">
        <f>'mk 001 10.3'!I435</f>
        <v>0</v>
      </c>
      <c r="J434">
        <f>'mk 001 10.3'!J435</f>
        <v>0</v>
      </c>
      <c r="K434">
        <f>'mk 001 10.3'!K435</f>
        <v>0</v>
      </c>
      <c r="L434">
        <f>'mk 001 10.3'!L435</f>
        <v>0</v>
      </c>
      <c r="M434">
        <f>'mk 001 10.3'!M435</f>
        <v>0</v>
      </c>
      <c r="N434">
        <f>'mk 001 10.3'!N435</f>
        <v>0</v>
      </c>
      <c r="O434">
        <f>'mk 001 10.3'!O435</f>
        <v>0</v>
      </c>
      <c r="P434">
        <f>'mk 001 10.3'!P435</f>
        <v>0</v>
      </c>
      <c r="Q434">
        <f>'mk 001 10.3'!Q435</f>
        <v>0</v>
      </c>
      <c r="R434" s="1">
        <f>'mk 001 10.3'!R435</f>
        <v>0</v>
      </c>
      <c r="S434" s="1">
        <f>'mk 001 10.3'!S435</f>
        <v>0</v>
      </c>
      <c r="T434">
        <f>'mk 001 10.3'!T435</f>
        <v>0</v>
      </c>
      <c r="U434">
        <f>'mk 001 10.3'!U435</f>
        <v>0</v>
      </c>
      <c r="V434">
        <f>'mk 001 10.3'!V435</f>
        <v>0</v>
      </c>
      <c r="W434">
        <f>'mk 001 10.3'!W435</f>
        <v>0</v>
      </c>
      <c r="X434">
        <f>'mk 001 10.3'!X435</f>
        <v>0</v>
      </c>
      <c r="Y434">
        <f t="shared" si="7"/>
        <v>0</v>
      </c>
      <c r="Z434" s="13">
        <f>IF(COUNTIFS(แปลงข้อมูล!H:H,Q434,แปลงข้อมูล!I:I,U434,แปลงข้อมูล!J:J,V434)&gt;0,SUMIFS(แปลงข้อมูล!Q:Q,แปลงข้อมูล!I:I,U434,แปลงข้อมูล!H:H,Q434,แปลงข้อมูล!J:J,V434),'mk 001 10.3'!Z435)</f>
        <v>0</v>
      </c>
      <c r="AA434">
        <f>'mk 001 10.3'!AA435</f>
        <v>0</v>
      </c>
      <c r="AB434">
        <f>'mk 001 10.3'!AB435</f>
        <v>0</v>
      </c>
      <c r="AC434">
        <f>'mk 001 10.3'!AC435</f>
        <v>0</v>
      </c>
      <c r="AD434">
        <f>'mk 001 10.3'!AD435</f>
        <v>0</v>
      </c>
      <c r="AE434">
        <f>'mk 001 10.3'!AE435</f>
        <v>0</v>
      </c>
      <c r="AF434">
        <f>'mk 001 10.3'!AF435</f>
        <v>0</v>
      </c>
      <c r="AG434">
        <f>'mk 001 10.3'!AG435</f>
        <v>0</v>
      </c>
      <c r="AH434">
        <f>'mk 001 10.3'!AH435</f>
        <v>0</v>
      </c>
      <c r="AI434">
        <f>'mk 001 10.3'!AI435</f>
        <v>0</v>
      </c>
      <c r="AJ434">
        <f>'mk 001 10.3'!AJ435</f>
        <v>0</v>
      </c>
      <c r="AK434">
        <f>'mk 001 10.3'!AK435</f>
        <v>0</v>
      </c>
      <c r="AL434">
        <f>'mk 001 10.3'!AL435</f>
        <v>0</v>
      </c>
      <c r="AM434">
        <f>'mk 001 10.3'!AM435</f>
        <v>0</v>
      </c>
      <c r="AN434">
        <f>'mk 001 10.3'!AN435</f>
        <v>0</v>
      </c>
      <c r="AO434">
        <f>'mk 001 10.3'!AO435</f>
        <v>0</v>
      </c>
      <c r="AP434">
        <f>'mk 001 10.3'!AP435</f>
        <v>0</v>
      </c>
      <c r="AQ434">
        <f>'mk 001 10.3'!AQ435</f>
        <v>0</v>
      </c>
      <c r="AR434">
        <f>'mk 001 10.3'!AR435</f>
        <v>0</v>
      </c>
      <c r="AS434">
        <f>'mk 001 10.3'!AS435</f>
        <v>0</v>
      </c>
      <c r="AT434">
        <f>'mk 001 10.3'!AT435</f>
        <v>0</v>
      </c>
      <c r="AU434">
        <f>'mk 001 10.3'!AU435</f>
        <v>0</v>
      </c>
      <c r="AV434">
        <f>'mk 001 10.3'!AV435</f>
        <v>0</v>
      </c>
      <c r="AW434">
        <f>'mk 001 10.3'!AW435</f>
        <v>0</v>
      </c>
      <c r="AX434">
        <f>'mk 001 10.3'!AX435</f>
        <v>0</v>
      </c>
      <c r="AY434">
        <f>'mk 001 10.3'!AY435</f>
        <v>0</v>
      </c>
      <c r="AZ434">
        <f>'mk 001 10.3'!AZ435</f>
        <v>0</v>
      </c>
      <c r="BA434" s="22">
        <f>'mk 001 10.3'!BA435</f>
        <v>0</v>
      </c>
      <c r="BB434">
        <f>'mk 001 10.3'!BB435</f>
        <v>0</v>
      </c>
      <c r="BC434">
        <f>'mk 001 10.3'!BC435</f>
        <v>0</v>
      </c>
      <c r="BD434">
        <f>'mk 001 10.3'!BD435</f>
        <v>0</v>
      </c>
      <c r="BE434">
        <f>'mk 001 10.3'!BE435</f>
        <v>0</v>
      </c>
      <c r="BF434">
        <f>'mk 001 10.3'!BF435</f>
        <v>0</v>
      </c>
      <c r="BG434">
        <f>'mk 001 10.3'!BG435</f>
        <v>0</v>
      </c>
      <c r="BH434">
        <f>'mk 001 10.3'!BH435</f>
        <v>0</v>
      </c>
      <c r="BI434">
        <f>'mk 001 10.3'!BI435</f>
        <v>0</v>
      </c>
      <c r="BJ434">
        <f>'mk 001 10.3'!BJ435</f>
        <v>0</v>
      </c>
      <c r="BK434">
        <f>'mk 001 10.3'!BK435</f>
        <v>0</v>
      </c>
      <c r="BL434">
        <f>'mk 001 10.3'!BL435</f>
        <v>0</v>
      </c>
      <c r="BM434">
        <f>'mk 001 10.3'!BM435</f>
        <v>0</v>
      </c>
      <c r="BN434">
        <f>'mk 001 10.3'!BN435</f>
        <v>0</v>
      </c>
    </row>
    <row r="435" spans="1:66" x14ac:dyDescent="0.35">
      <c r="A435">
        <f>'mk 001 10.3'!A436</f>
        <v>0</v>
      </c>
      <c r="B435">
        <f>'mk 001 10.3'!B436</f>
        <v>0</v>
      </c>
      <c r="C435" s="1">
        <f>'mk 001 10.3'!C436</f>
        <v>0</v>
      </c>
      <c r="D435" s="1">
        <f>'mk 001 10.3'!D436</f>
        <v>0</v>
      </c>
      <c r="E435">
        <f>'mk 001 10.3'!E436</f>
        <v>0</v>
      </c>
      <c r="F435">
        <f>'mk 001 10.3'!F436</f>
        <v>0</v>
      </c>
      <c r="G435">
        <f>'mk 001 10.3'!G436</f>
        <v>0</v>
      </c>
      <c r="H435">
        <f>'mk 001 10.3'!H436</f>
        <v>0</v>
      </c>
      <c r="I435">
        <f>'mk 001 10.3'!I436</f>
        <v>0</v>
      </c>
      <c r="J435">
        <f>'mk 001 10.3'!J436</f>
        <v>0</v>
      </c>
      <c r="K435">
        <f>'mk 001 10.3'!K436</f>
        <v>0</v>
      </c>
      <c r="L435">
        <f>'mk 001 10.3'!L436</f>
        <v>0</v>
      </c>
      <c r="M435">
        <f>'mk 001 10.3'!M436</f>
        <v>0</v>
      </c>
      <c r="N435">
        <f>'mk 001 10.3'!N436</f>
        <v>0</v>
      </c>
      <c r="O435">
        <f>'mk 001 10.3'!O436</f>
        <v>0</v>
      </c>
      <c r="P435">
        <f>'mk 001 10.3'!P436</f>
        <v>0</v>
      </c>
      <c r="Q435">
        <f>'mk 001 10.3'!Q436</f>
        <v>0</v>
      </c>
      <c r="R435" s="1">
        <f>'mk 001 10.3'!R436</f>
        <v>0</v>
      </c>
      <c r="S435" s="1">
        <f>'mk 001 10.3'!S436</f>
        <v>0</v>
      </c>
      <c r="T435">
        <f>'mk 001 10.3'!T436</f>
        <v>0</v>
      </c>
      <c r="U435">
        <f>'mk 001 10.3'!U436</f>
        <v>0</v>
      </c>
      <c r="V435">
        <f>'mk 001 10.3'!V436</f>
        <v>0</v>
      </c>
      <c r="W435">
        <f>'mk 001 10.3'!W436</f>
        <v>0</v>
      </c>
      <c r="X435">
        <f>'mk 001 10.3'!X436</f>
        <v>0</v>
      </c>
      <c r="Y435">
        <f t="shared" si="7"/>
        <v>0</v>
      </c>
      <c r="Z435" s="13">
        <f>IF(COUNTIFS(แปลงข้อมูล!H:H,Q435,แปลงข้อมูล!I:I,U435,แปลงข้อมูล!J:J,V435)&gt;0,SUMIFS(แปลงข้อมูล!Q:Q,แปลงข้อมูล!I:I,U435,แปลงข้อมูล!H:H,Q435,แปลงข้อมูล!J:J,V435),'mk 001 10.3'!Z436)</f>
        <v>0</v>
      </c>
      <c r="AA435">
        <f>'mk 001 10.3'!AA436</f>
        <v>0</v>
      </c>
      <c r="AB435">
        <f>'mk 001 10.3'!AB436</f>
        <v>0</v>
      </c>
      <c r="AC435">
        <f>'mk 001 10.3'!AC436</f>
        <v>0</v>
      </c>
      <c r="AD435">
        <f>'mk 001 10.3'!AD436</f>
        <v>0</v>
      </c>
      <c r="AE435">
        <f>'mk 001 10.3'!AE436</f>
        <v>0</v>
      </c>
      <c r="AF435">
        <f>'mk 001 10.3'!AF436</f>
        <v>0</v>
      </c>
      <c r="AG435">
        <f>'mk 001 10.3'!AG436</f>
        <v>0</v>
      </c>
      <c r="AH435">
        <f>'mk 001 10.3'!AH436</f>
        <v>0</v>
      </c>
      <c r="AI435">
        <f>'mk 001 10.3'!AI436</f>
        <v>0</v>
      </c>
      <c r="AJ435">
        <f>'mk 001 10.3'!AJ436</f>
        <v>0</v>
      </c>
      <c r="AK435">
        <f>'mk 001 10.3'!AK436</f>
        <v>0</v>
      </c>
      <c r="AL435">
        <f>'mk 001 10.3'!AL436</f>
        <v>0</v>
      </c>
      <c r="AM435">
        <f>'mk 001 10.3'!AM436</f>
        <v>0</v>
      </c>
      <c r="AN435">
        <f>'mk 001 10.3'!AN436</f>
        <v>0</v>
      </c>
      <c r="AO435">
        <f>'mk 001 10.3'!AO436</f>
        <v>0</v>
      </c>
      <c r="AP435">
        <f>'mk 001 10.3'!AP436</f>
        <v>0</v>
      </c>
      <c r="AQ435">
        <f>'mk 001 10.3'!AQ436</f>
        <v>0</v>
      </c>
      <c r="AR435">
        <f>'mk 001 10.3'!AR436</f>
        <v>0</v>
      </c>
      <c r="AS435">
        <f>'mk 001 10.3'!AS436</f>
        <v>0</v>
      </c>
      <c r="AT435">
        <f>'mk 001 10.3'!AT436</f>
        <v>0</v>
      </c>
      <c r="AU435">
        <f>'mk 001 10.3'!AU436</f>
        <v>0</v>
      </c>
      <c r="AV435">
        <f>'mk 001 10.3'!AV436</f>
        <v>0</v>
      </c>
      <c r="AW435">
        <f>'mk 001 10.3'!AW436</f>
        <v>0</v>
      </c>
      <c r="AX435">
        <f>'mk 001 10.3'!AX436</f>
        <v>0</v>
      </c>
      <c r="AY435">
        <f>'mk 001 10.3'!AY436</f>
        <v>0</v>
      </c>
      <c r="AZ435">
        <f>'mk 001 10.3'!AZ436</f>
        <v>0</v>
      </c>
      <c r="BA435" s="22">
        <f>'mk 001 10.3'!BA436</f>
        <v>0</v>
      </c>
      <c r="BB435">
        <f>'mk 001 10.3'!BB436</f>
        <v>0</v>
      </c>
      <c r="BC435">
        <f>'mk 001 10.3'!BC436</f>
        <v>0</v>
      </c>
      <c r="BD435">
        <f>'mk 001 10.3'!BD436</f>
        <v>0</v>
      </c>
      <c r="BE435">
        <f>'mk 001 10.3'!BE436</f>
        <v>0</v>
      </c>
      <c r="BF435">
        <f>'mk 001 10.3'!BF436</f>
        <v>0</v>
      </c>
      <c r="BG435">
        <f>'mk 001 10.3'!BG436</f>
        <v>0</v>
      </c>
      <c r="BH435">
        <f>'mk 001 10.3'!BH436</f>
        <v>0</v>
      </c>
      <c r="BI435">
        <f>'mk 001 10.3'!BI436</f>
        <v>0</v>
      </c>
      <c r="BJ435">
        <f>'mk 001 10.3'!BJ436</f>
        <v>0</v>
      </c>
      <c r="BK435">
        <f>'mk 001 10.3'!BK436</f>
        <v>0</v>
      </c>
      <c r="BL435">
        <f>'mk 001 10.3'!BL436</f>
        <v>0</v>
      </c>
      <c r="BM435">
        <f>'mk 001 10.3'!BM436</f>
        <v>0</v>
      </c>
      <c r="BN435">
        <f>'mk 001 10.3'!BN436</f>
        <v>0</v>
      </c>
    </row>
    <row r="436" spans="1:66" x14ac:dyDescent="0.35">
      <c r="A436">
        <f>'mk 001 10.3'!A437</f>
        <v>0</v>
      </c>
      <c r="B436">
        <f>'mk 001 10.3'!B437</f>
        <v>0</v>
      </c>
      <c r="C436" s="1">
        <f>'mk 001 10.3'!C437</f>
        <v>0</v>
      </c>
      <c r="D436" s="1">
        <f>'mk 001 10.3'!D437</f>
        <v>0</v>
      </c>
      <c r="E436">
        <f>'mk 001 10.3'!E437</f>
        <v>0</v>
      </c>
      <c r="F436">
        <f>'mk 001 10.3'!F437</f>
        <v>0</v>
      </c>
      <c r="G436">
        <f>'mk 001 10.3'!G437</f>
        <v>0</v>
      </c>
      <c r="H436">
        <f>'mk 001 10.3'!H437</f>
        <v>0</v>
      </c>
      <c r="I436">
        <f>'mk 001 10.3'!I437</f>
        <v>0</v>
      </c>
      <c r="J436">
        <f>'mk 001 10.3'!J437</f>
        <v>0</v>
      </c>
      <c r="K436">
        <f>'mk 001 10.3'!K437</f>
        <v>0</v>
      </c>
      <c r="L436">
        <f>'mk 001 10.3'!L437</f>
        <v>0</v>
      </c>
      <c r="M436">
        <f>'mk 001 10.3'!M437</f>
        <v>0</v>
      </c>
      <c r="N436">
        <f>'mk 001 10.3'!N437</f>
        <v>0</v>
      </c>
      <c r="O436">
        <f>'mk 001 10.3'!O437</f>
        <v>0</v>
      </c>
      <c r="P436">
        <f>'mk 001 10.3'!P437</f>
        <v>0</v>
      </c>
      <c r="Q436">
        <f>'mk 001 10.3'!Q437</f>
        <v>0</v>
      </c>
      <c r="R436" s="1">
        <f>'mk 001 10.3'!R437</f>
        <v>0</v>
      </c>
      <c r="S436" s="1">
        <f>'mk 001 10.3'!S437</f>
        <v>0</v>
      </c>
      <c r="T436">
        <f>'mk 001 10.3'!T437</f>
        <v>0</v>
      </c>
      <c r="U436">
        <f>'mk 001 10.3'!U437</f>
        <v>0</v>
      </c>
      <c r="V436">
        <f>'mk 001 10.3'!V437</f>
        <v>0</v>
      </c>
      <c r="W436">
        <f>'mk 001 10.3'!W437</f>
        <v>0</v>
      </c>
      <c r="X436">
        <f>'mk 001 10.3'!X437</f>
        <v>0</v>
      </c>
      <c r="Y436">
        <f t="shared" si="7"/>
        <v>0</v>
      </c>
      <c r="Z436" s="13">
        <f>IF(COUNTIFS(แปลงข้อมูล!H:H,Q436,แปลงข้อมูล!I:I,U436,แปลงข้อมูล!J:J,V436)&gt;0,SUMIFS(แปลงข้อมูล!Q:Q,แปลงข้อมูล!I:I,U436,แปลงข้อมูล!H:H,Q436,แปลงข้อมูล!J:J,V436),'mk 001 10.3'!Z437)</f>
        <v>0</v>
      </c>
      <c r="AA436">
        <f>'mk 001 10.3'!AA437</f>
        <v>0</v>
      </c>
      <c r="AB436">
        <f>'mk 001 10.3'!AB437</f>
        <v>0</v>
      </c>
      <c r="AC436">
        <f>'mk 001 10.3'!AC437</f>
        <v>0</v>
      </c>
      <c r="AD436">
        <f>'mk 001 10.3'!AD437</f>
        <v>0</v>
      </c>
      <c r="AE436">
        <f>'mk 001 10.3'!AE437</f>
        <v>0</v>
      </c>
      <c r="AF436">
        <f>'mk 001 10.3'!AF437</f>
        <v>0</v>
      </c>
      <c r="AG436">
        <f>'mk 001 10.3'!AG437</f>
        <v>0</v>
      </c>
      <c r="AH436">
        <f>'mk 001 10.3'!AH437</f>
        <v>0</v>
      </c>
      <c r="AI436">
        <f>'mk 001 10.3'!AI437</f>
        <v>0</v>
      </c>
      <c r="AJ436">
        <f>'mk 001 10.3'!AJ437</f>
        <v>0</v>
      </c>
      <c r="AK436">
        <f>'mk 001 10.3'!AK437</f>
        <v>0</v>
      </c>
      <c r="AL436">
        <f>'mk 001 10.3'!AL437</f>
        <v>0</v>
      </c>
      <c r="AM436">
        <f>'mk 001 10.3'!AM437</f>
        <v>0</v>
      </c>
      <c r="AN436">
        <f>'mk 001 10.3'!AN437</f>
        <v>0</v>
      </c>
      <c r="AO436">
        <f>'mk 001 10.3'!AO437</f>
        <v>0</v>
      </c>
      <c r="AP436">
        <f>'mk 001 10.3'!AP437</f>
        <v>0</v>
      </c>
      <c r="AQ436">
        <f>'mk 001 10.3'!AQ437</f>
        <v>0</v>
      </c>
      <c r="AR436">
        <f>'mk 001 10.3'!AR437</f>
        <v>0</v>
      </c>
      <c r="AS436">
        <f>'mk 001 10.3'!AS437</f>
        <v>0</v>
      </c>
      <c r="AT436">
        <f>'mk 001 10.3'!AT437</f>
        <v>0</v>
      </c>
      <c r="AU436">
        <f>'mk 001 10.3'!AU437</f>
        <v>0</v>
      </c>
      <c r="AV436">
        <f>'mk 001 10.3'!AV437</f>
        <v>0</v>
      </c>
      <c r="AW436">
        <f>'mk 001 10.3'!AW437</f>
        <v>0</v>
      </c>
      <c r="AX436">
        <f>'mk 001 10.3'!AX437</f>
        <v>0</v>
      </c>
      <c r="AY436">
        <f>'mk 001 10.3'!AY437</f>
        <v>0</v>
      </c>
      <c r="AZ436">
        <f>'mk 001 10.3'!AZ437</f>
        <v>0</v>
      </c>
      <c r="BA436" s="22">
        <f>'mk 001 10.3'!BA437</f>
        <v>0</v>
      </c>
      <c r="BB436">
        <f>'mk 001 10.3'!BB437</f>
        <v>0</v>
      </c>
      <c r="BC436">
        <f>'mk 001 10.3'!BC437</f>
        <v>0</v>
      </c>
      <c r="BD436">
        <f>'mk 001 10.3'!BD437</f>
        <v>0</v>
      </c>
      <c r="BE436">
        <f>'mk 001 10.3'!BE437</f>
        <v>0</v>
      </c>
      <c r="BF436">
        <f>'mk 001 10.3'!BF437</f>
        <v>0</v>
      </c>
      <c r="BG436">
        <f>'mk 001 10.3'!BG437</f>
        <v>0</v>
      </c>
      <c r="BH436">
        <f>'mk 001 10.3'!BH437</f>
        <v>0</v>
      </c>
      <c r="BI436">
        <f>'mk 001 10.3'!BI437</f>
        <v>0</v>
      </c>
      <c r="BJ436">
        <f>'mk 001 10.3'!BJ437</f>
        <v>0</v>
      </c>
      <c r="BK436">
        <f>'mk 001 10.3'!BK437</f>
        <v>0</v>
      </c>
      <c r="BL436">
        <f>'mk 001 10.3'!BL437</f>
        <v>0</v>
      </c>
      <c r="BM436">
        <f>'mk 001 10.3'!BM437</f>
        <v>0</v>
      </c>
      <c r="BN436">
        <f>'mk 001 10.3'!BN437</f>
        <v>0</v>
      </c>
    </row>
    <row r="437" spans="1:66" x14ac:dyDescent="0.35">
      <c r="A437">
        <f>'mk 001 10.3'!A438</f>
        <v>0</v>
      </c>
      <c r="B437">
        <f>'mk 001 10.3'!B438</f>
        <v>0</v>
      </c>
      <c r="C437" s="1">
        <f>'mk 001 10.3'!C438</f>
        <v>0</v>
      </c>
      <c r="D437" s="1">
        <f>'mk 001 10.3'!D438</f>
        <v>0</v>
      </c>
      <c r="E437">
        <f>'mk 001 10.3'!E438</f>
        <v>0</v>
      </c>
      <c r="F437">
        <f>'mk 001 10.3'!F438</f>
        <v>0</v>
      </c>
      <c r="G437">
        <f>'mk 001 10.3'!G438</f>
        <v>0</v>
      </c>
      <c r="H437">
        <f>'mk 001 10.3'!H438</f>
        <v>0</v>
      </c>
      <c r="I437">
        <f>'mk 001 10.3'!I438</f>
        <v>0</v>
      </c>
      <c r="J437">
        <f>'mk 001 10.3'!J438</f>
        <v>0</v>
      </c>
      <c r="K437">
        <f>'mk 001 10.3'!K438</f>
        <v>0</v>
      </c>
      <c r="L437">
        <f>'mk 001 10.3'!L438</f>
        <v>0</v>
      </c>
      <c r="M437">
        <f>'mk 001 10.3'!M438</f>
        <v>0</v>
      </c>
      <c r="N437">
        <f>'mk 001 10.3'!N438</f>
        <v>0</v>
      </c>
      <c r="O437">
        <f>'mk 001 10.3'!O438</f>
        <v>0</v>
      </c>
      <c r="P437">
        <f>'mk 001 10.3'!P438</f>
        <v>0</v>
      </c>
      <c r="Q437">
        <f>'mk 001 10.3'!Q438</f>
        <v>0</v>
      </c>
      <c r="R437" s="1">
        <f>'mk 001 10.3'!R438</f>
        <v>0</v>
      </c>
      <c r="S437" s="1">
        <f>'mk 001 10.3'!S438</f>
        <v>0</v>
      </c>
      <c r="T437">
        <f>'mk 001 10.3'!T438</f>
        <v>0</v>
      </c>
      <c r="U437">
        <f>'mk 001 10.3'!U438</f>
        <v>0</v>
      </c>
      <c r="V437">
        <f>'mk 001 10.3'!V438</f>
        <v>0</v>
      </c>
      <c r="W437">
        <f>'mk 001 10.3'!W438</f>
        <v>0</v>
      </c>
      <c r="X437">
        <f>'mk 001 10.3'!X438</f>
        <v>0</v>
      </c>
      <c r="Y437">
        <f t="shared" si="7"/>
        <v>0</v>
      </c>
      <c r="Z437" s="13">
        <f>IF(COUNTIFS(แปลงข้อมูล!H:H,Q437,แปลงข้อมูล!I:I,U437,แปลงข้อมูล!J:J,V437)&gt;0,SUMIFS(แปลงข้อมูล!Q:Q,แปลงข้อมูล!I:I,U437,แปลงข้อมูล!H:H,Q437,แปลงข้อมูล!J:J,V437),'mk 001 10.3'!Z438)</f>
        <v>0</v>
      </c>
      <c r="AA437">
        <f>'mk 001 10.3'!AA438</f>
        <v>0</v>
      </c>
      <c r="AB437">
        <f>'mk 001 10.3'!AB438</f>
        <v>0</v>
      </c>
      <c r="AC437">
        <f>'mk 001 10.3'!AC438</f>
        <v>0</v>
      </c>
      <c r="AD437">
        <f>'mk 001 10.3'!AD438</f>
        <v>0</v>
      </c>
      <c r="AE437">
        <f>'mk 001 10.3'!AE438</f>
        <v>0</v>
      </c>
      <c r="AF437">
        <f>'mk 001 10.3'!AF438</f>
        <v>0</v>
      </c>
      <c r="AG437">
        <f>'mk 001 10.3'!AG438</f>
        <v>0</v>
      </c>
      <c r="AH437">
        <f>'mk 001 10.3'!AH438</f>
        <v>0</v>
      </c>
      <c r="AI437">
        <f>'mk 001 10.3'!AI438</f>
        <v>0</v>
      </c>
      <c r="AJ437">
        <f>'mk 001 10.3'!AJ438</f>
        <v>0</v>
      </c>
      <c r="AK437">
        <f>'mk 001 10.3'!AK438</f>
        <v>0</v>
      </c>
      <c r="AL437">
        <f>'mk 001 10.3'!AL438</f>
        <v>0</v>
      </c>
      <c r="AM437">
        <f>'mk 001 10.3'!AM438</f>
        <v>0</v>
      </c>
      <c r="AN437">
        <f>'mk 001 10.3'!AN438</f>
        <v>0</v>
      </c>
      <c r="AO437">
        <f>'mk 001 10.3'!AO438</f>
        <v>0</v>
      </c>
      <c r="AP437">
        <f>'mk 001 10.3'!AP438</f>
        <v>0</v>
      </c>
      <c r="AQ437">
        <f>'mk 001 10.3'!AQ438</f>
        <v>0</v>
      </c>
      <c r="AR437">
        <f>'mk 001 10.3'!AR438</f>
        <v>0</v>
      </c>
      <c r="AS437">
        <f>'mk 001 10.3'!AS438</f>
        <v>0</v>
      </c>
      <c r="AT437">
        <f>'mk 001 10.3'!AT438</f>
        <v>0</v>
      </c>
      <c r="AU437">
        <f>'mk 001 10.3'!AU438</f>
        <v>0</v>
      </c>
      <c r="AV437">
        <f>'mk 001 10.3'!AV438</f>
        <v>0</v>
      </c>
      <c r="AW437">
        <f>'mk 001 10.3'!AW438</f>
        <v>0</v>
      </c>
      <c r="AX437">
        <f>'mk 001 10.3'!AX438</f>
        <v>0</v>
      </c>
      <c r="AY437">
        <f>'mk 001 10.3'!AY438</f>
        <v>0</v>
      </c>
      <c r="AZ437">
        <f>'mk 001 10.3'!AZ438</f>
        <v>0</v>
      </c>
      <c r="BA437" s="22">
        <f>'mk 001 10.3'!BA438</f>
        <v>0</v>
      </c>
      <c r="BB437">
        <f>'mk 001 10.3'!BB438</f>
        <v>0</v>
      </c>
      <c r="BC437">
        <f>'mk 001 10.3'!BC438</f>
        <v>0</v>
      </c>
      <c r="BD437">
        <f>'mk 001 10.3'!BD438</f>
        <v>0</v>
      </c>
      <c r="BE437">
        <f>'mk 001 10.3'!BE438</f>
        <v>0</v>
      </c>
      <c r="BF437">
        <f>'mk 001 10.3'!BF438</f>
        <v>0</v>
      </c>
      <c r="BG437">
        <f>'mk 001 10.3'!BG438</f>
        <v>0</v>
      </c>
      <c r="BH437">
        <f>'mk 001 10.3'!BH438</f>
        <v>0</v>
      </c>
      <c r="BI437">
        <f>'mk 001 10.3'!BI438</f>
        <v>0</v>
      </c>
      <c r="BJ437">
        <f>'mk 001 10.3'!BJ438</f>
        <v>0</v>
      </c>
      <c r="BK437">
        <f>'mk 001 10.3'!BK438</f>
        <v>0</v>
      </c>
      <c r="BL437">
        <f>'mk 001 10.3'!BL438</f>
        <v>0</v>
      </c>
      <c r="BM437">
        <f>'mk 001 10.3'!BM438</f>
        <v>0</v>
      </c>
      <c r="BN437">
        <f>'mk 001 10.3'!BN438</f>
        <v>0</v>
      </c>
    </row>
    <row r="438" spans="1:66" x14ac:dyDescent="0.35">
      <c r="A438">
        <f>'mk 001 10.3'!A439</f>
        <v>0</v>
      </c>
      <c r="B438">
        <f>'mk 001 10.3'!B439</f>
        <v>0</v>
      </c>
      <c r="C438" s="1">
        <f>'mk 001 10.3'!C439</f>
        <v>0</v>
      </c>
      <c r="D438" s="1">
        <f>'mk 001 10.3'!D439</f>
        <v>0</v>
      </c>
      <c r="E438">
        <f>'mk 001 10.3'!E439</f>
        <v>0</v>
      </c>
      <c r="F438">
        <f>'mk 001 10.3'!F439</f>
        <v>0</v>
      </c>
      <c r="G438">
        <f>'mk 001 10.3'!G439</f>
        <v>0</v>
      </c>
      <c r="H438">
        <f>'mk 001 10.3'!H439</f>
        <v>0</v>
      </c>
      <c r="I438">
        <f>'mk 001 10.3'!I439</f>
        <v>0</v>
      </c>
      <c r="J438">
        <f>'mk 001 10.3'!J439</f>
        <v>0</v>
      </c>
      <c r="K438">
        <f>'mk 001 10.3'!K439</f>
        <v>0</v>
      </c>
      <c r="L438">
        <f>'mk 001 10.3'!L439</f>
        <v>0</v>
      </c>
      <c r="M438">
        <f>'mk 001 10.3'!M439</f>
        <v>0</v>
      </c>
      <c r="N438">
        <f>'mk 001 10.3'!N439</f>
        <v>0</v>
      </c>
      <c r="O438">
        <f>'mk 001 10.3'!O439</f>
        <v>0</v>
      </c>
      <c r="P438">
        <f>'mk 001 10.3'!P439</f>
        <v>0</v>
      </c>
      <c r="Q438">
        <f>'mk 001 10.3'!Q439</f>
        <v>0</v>
      </c>
      <c r="R438" s="1">
        <f>'mk 001 10.3'!R439</f>
        <v>0</v>
      </c>
      <c r="S438" s="1">
        <f>'mk 001 10.3'!S439</f>
        <v>0</v>
      </c>
      <c r="T438">
        <f>'mk 001 10.3'!T439</f>
        <v>0</v>
      </c>
      <c r="U438">
        <f>'mk 001 10.3'!U439</f>
        <v>0</v>
      </c>
      <c r="V438">
        <f>'mk 001 10.3'!V439</f>
        <v>0</v>
      </c>
      <c r="W438">
        <f>'mk 001 10.3'!W439</f>
        <v>0</v>
      </c>
      <c r="X438">
        <f>'mk 001 10.3'!X439</f>
        <v>0</v>
      </c>
      <c r="Y438">
        <f t="shared" si="7"/>
        <v>0</v>
      </c>
      <c r="Z438" s="13">
        <f>IF(COUNTIFS(แปลงข้อมูล!H:H,Q438,แปลงข้อมูล!I:I,U438,แปลงข้อมูล!J:J,V438)&gt;0,SUMIFS(แปลงข้อมูล!Q:Q,แปลงข้อมูล!I:I,U438,แปลงข้อมูล!H:H,Q438,แปลงข้อมูล!J:J,V438),'mk 001 10.3'!Z439)</f>
        <v>0</v>
      </c>
      <c r="AA438">
        <f>'mk 001 10.3'!AA439</f>
        <v>0</v>
      </c>
      <c r="AB438">
        <f>'mk 001 10.3'!AB439</f>
        <v>0</v>
      </c>
      <c r="AC438">
        <f>'mk 001 10.3'!AC439</f>
        <v>0</v>
      </c>
      <c r="AD438">
        <f>'mk 001 10.3'!AD439</f>
        <v>0</v>
      </c>
      <c r="AE438">
        <f>'mk 001 10.3'!AE439</f>
        <v>0</v>
      </c>
      <c r="AF438">
        <f>'mk 001 10.3'!AF439</f>
        <v>0</v>
      </c>
      <c r="AG438">
        <f>'mk 001 10.3'!AG439</f>
        <v>0</v>
      </c>
      <c r="AH438">
        <f>'mk 001 10.3'!AH439</f>
        <v>0</v>
      </c>
      <c r="AI438">
        <f>'mk 001 10.3'!AI439</f>
        <v>0</v>
      </c>
      <c r="AJ438">
        <f>'mk 001 10.3'!AJ439</f>
        <v>0</v>
      </c>
      <c r="AK438">
        <f>'mk 001 10.3'!AK439</f>
        <v>0</v>
      </c>
      <c r="AL438">
        <f>'mk 001 10.3'!AL439</f>
        <v>0</v>
      </c>
      <c r="AM438">
        <f>'mk 001 10.3'!AM439</f>
        <v>0</v>
      </c>
      <c r="AN438">
        <f>'mk 001 10.3'!AN439</f>
        <v>0</v>
      </c>
      <c r="AO438">
        <f>'mk 001 10.3'!AO439</f>
        <v>0</v>
      </c>
      <c r="AP438">
        <f>'mk 001 10.3'!AP439</f>
        <v>0</v>
      </c>
      <c r="AQ438">
        <f>'mk 001 10.3'!AQ439</f>
        <v>0</v>
      </c>
      <c r="AR438">
        <f>'mk 001 10.3'!AR439</f>
        <v>0</v>
      </c>
      <c r="AS438">
        <f>'mk 001 10.3'!AS439</f>
        <v>0</v>
      </c>
      <c r="AT438">
        <f>'mk 001 10.3'!AT439</f>
        <v>0</v>
      </c>
      <c r="AU438">
        <f>'mk 001 10.3'!AU439</f>
        <v>0</v>
      </c>
      <c r="AV438">
        <f>'mk 001 10.3'!AV439</f>
        <v>0</v>
      </c>
      <c r="AW438">
        <f>'mk 001 10.3'!AW439</f>
        <v>0</v>
      </c>
      <c r="AX438">
        <f>'mk 001 10.3'!AX439</f>
        <v>0</v>
      </c>
      <c r="AY438">
        <f>'mk 001 10.3'!AY439</f>
        <v>0</v>
      </c>
      <c r="AZ438">
        <f>'mk 001 10.3'!AZ439</f>
        <v>0</v>
      </c>
      <c r="BA438" s="22">
        <f>'mk 001 10.3'!BA439</f>
        <v>0</v>
      </c>
      <c r="BB438">
        <f>'mk 001 10.3'!BB439</f>
        <v>0</v>
      </c>
      <c r="BC438">
        <f>'mk 001 10.3'!BC439</f>
        <v>0</v>
      </c>
      <c r="BD438">
        <f>'mk 001 10.3'!BD439</f>
        <v>0</v>
      </c>
      <c r="BE438">
        <f>'mk 001 10.3'!BE439</f>
        <v>0</v>
      </c>
      <c r="BF438">
        <f>'mk 001 10.3'!BF439</f>
        <v>0</v>
      </c>
      <c r="BG438">
        <f>'mk 001 10.3'!BG439</f>
        <v>0</v>
      </c>
      <c r="BH438">
        <f>'mk 001 10.3'!BH439</f>
        <v>0</v>
      </c>
      <c r="BI438">
        <f>'mk 001 10.3'!BI439</f>
        <v>0</v>
      </c>
      <c r="BJ438">
        <f>'mk 001 10.3'!BJ439</f>
        <v>0</v>
      </c>
      <c r="BK438">
        <f>'mk 001 10.3'!BK439</f>
        <v>0</v>
      </c>
      <c r="BL438">
        <f>'mk 001 10.3'!BL439</f>
        <v>0</v>
      </c>
      <c r="BM438">
        <f>'mk 001 10.3'!BM439</f>
        <v>0</v>
      </c>
      <c r="BN438">
        <f>'mk 001 10.3'!BN439</f>
        <v>0</v>
      </c>
    </row>
    <row r="439" spans="1:66" x14ac:dyDescent="0.35">
      <c r="A439">
        <f>'mk 001 10.3'!A440</f>
        <v>0</v>
      </c>
      <c r="B439">
        <f>'mk 001 10.3'!B440</f>
        <v>0</v>
      </c>
      <c r="C439" s="1">
        <f>'mk 001 10.3'!C440</f>
        <v>0</v>
      </c>
      <c r="D439" s="1">
        <f>'mk 001 10.3'!D440</f>
        <v>0</v>
      </c>
      <c r="E439">
        <f>'mk 001 10.3'!E440</f>
        <v>0</v>
      </c>
      <c r="F439">
        <f>'mk 001 10.3'!F440</f>
        <v>0</v>
      </c>
      <c r="G439">
        <f>'mk 001 10.3'!G440</f>
        <v>0</v>
      </c>
      <c r="H439">
        <f>'mk 001 10.3'!H440</f>
        <v>0</v>
      </c>
      <c r="I439">
        <f>'mk 001 10.3'!I440</f>
        <v>0</v>
      </c>
      <c r="J439">
        <f>'mk 001 10.3'!J440</f>
        <v>0</v>
      </c>
      <c r="K439">
        <f>'mk 001 10.3'!K440</f>
        <v>0</v>
      </c>
      <c r="L439">
        <f>'mk 001 10.3'!L440</f>
        <v>0</v>
      </c>
      <c r="M439">
        <f>'mk 001 10.3'!M440</f>
        <v>0</v>
      </c>
      <c r="N439">
        <f>'mk 001 10.3'!N440</f>
        <v>0</v>
      </c>
      <c r="O439">
        <f>'mk 001 10.3'!O440</f>
        <v>0</v>
      </c>
      <c r="P439">
        <f>'mk 001 10.3'!P440</f>
        <v>0</v>
      </c>
      <c r="Q439">
        <f>'mk 001 10.3'!Q440</f>
        <v>0</v>
      </c>
      <c r="R439" s="1">
        <f>'mk 001 10.3'!R440</f>
        <v>0</v>
      </c>
      <c r="S439" s="1">
        <f>'mk 001 10.3'!S440</f>
        <v>0</v>
      </c>
      <c r="T439">
        <f>'mk 001 10.3'!T440</f>
        <v>0</v>
      </c>
      <c r="U439">
        <f>'mk 001 10.3'!U440</f>
        <v>0</v>
      </c>
      <c r="V439">
        <f>'mk 001 10.3'!V440</f>
        <v>0</v>
      </c>
      <c r="W439">
        <f>'mk 001 10.3'!W440</f>
        <v>0</v>
      </c>
      <c r="X439">
        <f>'mk 001 10.3'!X440</f>
        <v>0</v>
      </c>
      <c r="Y439">
        <f t="shared" si="7"/>
        <v>0</v>
      </c>
      <c r="Z439" s="13">
        <f>IF(COUNTIFS(แปลงข้อมูล!H:H,Q439,แปลงข้อมูล!I:I,U439,แปลงข้อมูล!J:J,V439)&gt;0,SUMIFS(แปลงข้อมูล!Q:Q,แปลงข้อมูล!I:I,U439,แปลงข้อมูล!H:H,Q439,แปลงข้อมูล!J:J,V439),'mk 001 10.3'!Z440)</f>
        <v>0</v>
      </c>
      <c r="AA439">
        <f>'mk 001 10.3'!AA440</f>
        <v>0</v>
      </c>
      <c r="AB439">
        <f>'mk 001 10.3'!AB440</f>
        <v>0</v>
      </c>
      <c r="AC439">
        <f>'mk 001 10.3'!AC440</f>
        <v>0</v>
      </c>
      <c r="AD439">
        <f>'mk 001 10.3'!AD440</f>
        <v>0</v>
      </c>
      <c r="AE439">
        <f>'mk 001 10.3'!AE440</f>
        <v>0</v>
      </c>
      <c r="AF439">
        <f>'mk 001 10.3'!AF440</f>
        <v>0</v>
      </c>
      <c r="AG439">
        <f>'mk 001 10.3'!AG440</f>
        <v>0</v>
      </c>
      <c r="AH439">
        <f>'mk 001 10.3'!AH440</f>
        <v>0</v>
      </c>
      <c r="AI439">
        <f>'mk 001 10.3'!AI440</f>
        <v>0</v>
      </c>
      <c r="AJ439">
        <f>'mk 001 10.3'!AJ440</f>
        <v>0</v>
      </c>
      <c r="AK439">
        <f>'mk 001 10.3'!AK440</f>
        <v>0</v>
      </c>
      <c r="AL439">
        <f>'mk 001 10.3'!AL440</f>
        <v>0</v>
      </c>
      <c r="AM439">
        <f>'mk 001 10.3'!AM440</f>
        <v>0</v>
      </c>
      <c r="AN439">
        <f>'mk 001 10.3'!AN440</f>
        <v>0</v>
      </c>
      <c r="AO439">
        <f>'mk 001 10.3'!AO440</f>
        <v>0</v>
      </c>
      <c r="AP439">
        <f>'mk 001 10.3'!AP440</f>
        <v>0</v>
      </c>
      <c r="AQ439">
        <f>'mk 001 10.3'!AQ440</f>
        <v>0</v>
      </c>
      <c r="AR439">
        <f>'mk 001 10.3'!AR440</f>
        <v>0</v>
      </c>
      <c r="AS439">
        <f>'mk 001 10.3'!AS440</f>
        <v>0</v>
      </c>
      <c r="AT439">
        <f>'mk 001 10.3'!AT440</f>
        <v>0</v>
      </c>
      <c r="AU439">
        <f>'mk 001 10.3'!AU440</f>
        <v>0</v>
      </c>
      <c r="AV439">
        <f>'mk 001 10.3'!AV440</f>
        <v>0</v>
      </c>
      <c r="AW439">
        <f>'mk 001 10.3'!AW440</f>
        <v>0</v>
      </c>
      <c r="AX439">
        <f>'mk 001 10.3'!AX440</f>
        <v>0</v>
      </c>
      <c r="AY439">
        <f>'mk 001 10.3'!AY440</f>
        <v>0</v>
      </c>
      <c r="AZ439">
        <f>'mk 001 10.3'!AZ440</f>
        <v>0</v>
      </c>
      <c r="BA439" s="22">
        <f>'mk 001 10.3'!BA440</f>
        <v>0</v>
      </c>
      <c r="BB439">
        <f>'mk 001 10.3'!BB440</f>
        <v>0</v>
      </c>
      <c r="BC439">
        <f>'mk 001 10.3'!BC440</f>
        <v>0</v>
      </c>
      <c r="BD439">
        <f>'mk 001 10.3'!BD440</f>
        <v>0</v>
      </c>
      <c r="BE439">
        <f>'mk 001 10.3'!BE440</f>
        <v>0</v>
      </c>
      <c r="BF439">
        <f>'mk 001 10.3'!BF440</f>
        <v>0</v>
      </c>
      <c r="BG439">
        <f>'mk 001 10.3'!BG440</f>
        <v>0</v>
      </c>
      <c r="BH439">
        <f>'mk 001 10.3'!BH440</f>
        <v>0</v>
      </c>
      <c r="BI439">
        <f>'mk 001 10.3'!BI440</f>
        <v>0</v>
      </c>
      <c r="BJ439">
        <f>'mk 001 10.3'!BJ440</f>
        <v>0</v>
      </c>
      <c r="BK439">
        <f>'mk 001 10.3'!BK440</f>
        <v>0</v>
      </c>
      <c r="BL439">
        <f>'mk 001 10.3'!BL440</f>
        <v>0</v>
      </c>
      <c r="BM439">
        <f>'mk 001 10.3'!BM440</f>
        <v>0</v>
      </c>
      <c r="BN439">
        <f>'mk 001 10.3'!BN440</f>
        <v>0</v>
      </c>
    </row>
    <row r="440" spans="1:66" x14ac:dyDescent="0.35">
      <c r="A440">
        <f>'mk 001 10.3'!A441</f>
        <v>0</v>
      </c>
      <c r="B440">
        <f>'mk 001 10.3'!B441</f>
        <v>0</v>
      </c>
      <c r="C440" s="1">
        <f>'mk 001 10.3'!C441</f>
        <v>0</v>
      </c>
      <c r="D440" s="1">
        <f>'mk 001 10.3'!D441</f>
        <v>0</v>
      </c>
      <c r="E440">
        <f>'mk 001 10.3'!E441</f>
        <v>0</v>
      </c>
      <c r="F440">
        <f>'mk 001 10.3'!F441</f>
        <v>0</v>
      </c>
      <c r="G440">
        <f>'mk 001 10.3'!G441</f>
        <v>0</v>
      </c>
      <c r="H440">
        <f>'mk 001 10.3'!H441</f>
        <v>0</v>
      </c>
      <c r="I440">
        <f>'mk 001 10.3'!I441</f>
        <v>0</v>
      </c>
      <c r="J440">
        <f>'mk 001 10.3'!J441</f>
        <v>0</v>
      </c>
      <c r="K440">
        <f>'mk 001 10.3'!K441</f>
        <v>0</v>
      </c>
      <c r="L440">
        <f>'mk 001 10.3'!L441</f>
        <v>0</v>
      </c>
      <c r="M440">
        <f>'mk 001 10.3'!M441</f>
        <v>0</v>
      </c>
      <c r="N440">
        <f>'mk 001 10.3'!N441</f>
        <v>0</v>
      </c>
      <c r="O440">
        <f>'mk 001 10.3'!O441</f>
        <v>0</v>
      </c>
      <c r="P440">
        <f>'mk 001 10.3'!P441</f>
        <v>0</v>
      </c>
      <c r="Q440">
        <f>'mk 001 10.3'!Q441</f>
        <v>0</v>
      </c>
      <c r="R440" s="1">
        <f>'mk 001 10.3'!R441</f>
        <v>0</v>
      </c>
      <c r="S440" s="1">
        <f>'mk 001 10.3'!S441</f>
        <v>0</v>
      </c>
      <c r="T440">
        <f>'mk 001 10.3'!T441</f>
        <v>0</v>
      </c>
      <c r="U440">
        <f>'mk 001 10.3'!U441</f>
        <v>0</v>
      </c>
      <c r="V440">
        <f>'mk 001 10.3'!V441</f>
        <v>0</v>
      </c>
      <c r="W440">
        <f>'mk 001 10.3'!W441</f>
        <v>0</v>
      </c>
      <c r="X440">
        <f>'mk 001 10.3'!X441</f>
        <v>0</v>
      </c>
      <c r="Y440">
        <f t="shared" si="7"/>
        <v>0</v>
      </c>
      <c r="Z440" s="13">
        <f>IF(COUNTIFS(แปลงข้อมูล!H:H,Q440,แปลงข้อมูล!I:I,U440,แปลงข้อมูล!J:J,V440)&gt;0,SUMIFS(แปลงข้อมูล!Q:Q,แปลงข้อมูล!I:I,U440,แปลงข้อมูล!H:H,Q440,แปลงข้อมูล!J:J,V440),'mk 001 10.3'!Z441)</f>
        <v>0</v>
      </c>
      <c r="AA440">
        <f>'mk 001 10.3'!AA441</f>
        <v>0</v>
      </c>
      <c r="AB440">
        <f>'mk 001 10.3'!AB441</f>
        <v>0</v>
      </c>
      <c r="AC440">
        <f>'mk 001 10.3'!AC441</f>
        <v>0</v>
      </c>
      <c r="AD440">
        <f>'mk 001 10.3'!AD441</f>
        <v>0</v>
      </c>
      <c r="AE440">
        <f>'mk 001 10.3'!AE441</f>
        <v>0</v>
      </c>
      <c r="AF440">
        <f>'mk 001 10.3'!AF441</f>
        <v>0</v>
      </c>
      <c r="AG440">
        <f>'mk 001 10.3'!AG441</f>
        <v>0</v>
      </c>
      <c r="AH440">
        <f>'mk 001 10.3'!AH441</f>
        <v>0</v>
      </c>
      <c r="AI440">
        <f>'mk 001 10.3'!AI441</f>
        <v>0</v>
      </c>
      <c r="AJ440">
        <f>'mk 001 10.3'!AJ441</f>
        <v>0</v>
      </c>
      <c r="AK440">
        <f>'mk 001 10.3'!AK441</f>
        <v>0</v>
      </c>
      <c r="AL440">
        <f>'mk 001 10.3'!AL441</f>
        <v>0</v>
      </c>
      <c r="AM440">
        <f>'mk 001 10.3'!AM441</f>
        <v>0</v>
      </c>
      <c r="AN440">
        <f>'mk 001 10.3'!AN441</f>
        <v>0</v>
      </c>
      <c r="AO440">
        <f>'mk 001 10.3'!AO441</f>
        <v>0</v>
      </c>
      <c r="AP440">
        <f>'mk 001 10.3'!AP441</f>
        <v>0</v>
      </c>
      <c r="AQ440">
        <f>'mk 001 10.3'!AQ441</f>
        <v>0</v>
      </c>
      <c r="AR440">
        <f>'mk 001 10.3'!AR441</f>
        <v>0</v>
      </c>
      <c r="AS440">
        <f>'mk 001 10.3'!AS441</f>
        <v>0</v>
      </c>
      <c r="AT440">
        <f>'mk 001 10.3'!AT441</f>
        <v>0</v>
      </c>
      <c r="AU440">
        <f>'mk 001 10.3'!AU441</f>
        <v>0</v>
      </c>
      <c r="AV440">
        <f>'mk 001 10.3'!AV441</f>
        <v>0</v>
      </c>
      <c r="AW440">
        <f>'mk 001 10.3'!AW441</f>
        <v>0</v>
      </c>
      <c r="AX440">
        <f>'mk 001 10.3'!AX441</f>
        <v>0</v>
      </c>
      <c r="AY440">
        <f>'mk 001 10.3'!AY441</f>
        <v>0</v>
      </c>
      <c r="AZ440">
        <f>'mk 001 10.3'!AZ441</f>
        <v>0</v>
      </c>
      <c r="BA440" s="22">
        <f>'mk 001 10.3'!BA441</f>
        <v>0</v>
      </c>
      <c r="BB440">
        <f>'mk 001 10.3'!BB441</f>
        <v>0</v>
      </c>
      <c r="BC440">
        <f>'mk 001 10.3'!BC441</f>
        <v>0</v>
      </c>
      <c r="BD440">
        <f>'mk 001 10.3'!BD441</f>
        <v>0</v>
      </c>
      <c r="BE440">
        <f>'mk 001 10.3'!BE441</f>
        <v>0</v>
      </c>
      <c r="BF440">
        <f>'mk 001 10.3'!BF441</f>
        <v>0</v>
      </c>
      <c r="BG440">
        <f>'mk 001 10.3'!BG441</f>
        <v>0</v>
      </c>
      <c r="BH440">
        <f>'mk 001 10.3'!BH441</f>
        <v>0</v>
      </c>
      <c r="BI440">
        <f>'mk 001 10.3'!BI441</f>
        <v>0</v>
      </c>
      <c r="BJ440">
        <f>'mk 001 10.3'!BJ441</f>
        <v>0</v>
      </c>
      <c r="BK440">
        <f>'mk 001 10.3'!BK441</f>
        <v>0</v>
      </c>
      <c r="BL440">
        <f>'mk 001 10.3'!BL441</f>
        <v>0</v>
      </c>
      <c r="BM440">
        <f>'mk 001 10.3'!BM441</f>
        <v>0</v>
      </c>
      <c r="BN440">
        <f>'mk 001 10.3'!BN441</f>
        <v>0</v>
      </c>
    </row>
    <row r="441" spans="1:66" x14ac:dyDescent="0.35">
      <c r="A441">
        <f>'mk 001 10.3'!A442</f>
        <v>0</v>
      </c>
      <c r="B441">
        <f>'mk 001 10.3'!B442</f>
        <v>0</v>
      </c>
      <c r="C441" s="1">
        <f>'mk 001 10.3'!C442</f>
        <v>0</v>
      </c>
      <c r="D441" s="1">
        <f>'mk 001 10.3'!D442</f>
        <v>0</v>
      </c>
      <c r="E441">
        <f>'mk 001 10.3'!E442</f>
        <v>0</v>
      </c>
      <c r="F441">
        <f>'mk 001 10.3'!F442</f>
        <v>0</v>
      </c>
      <c r="G441">
        <f>'mk 001 10.3'!G442</f>
        <v>0</v>
      </c>
      <c r="H441">
        <f>'mk 001 10.3'!H442</f>
        <v>0</v>
      </c>
      <c r="I441">
        <f>'mk 001 10.3'!I442</f>
        <v>0</v>
      </c>
      <c r="J441">
        <f>'mk 001 10.3'!J442</f>
        <v>0</v>
      </c>
      <c r="K441">
        <f>'mk 001 10.3'!K442</f>
        <v>0</v>
      </c>
      <c r="L441">
        <f>'mk 001 10.3'!L442</f>
        <v>0</v>
      </c>
      <c r="M441">
        <f>'mk 001 10.3'!M442</f>
        <v>0</v>
      </c>
      <c r="N441">
        <f>'mk 001 10.3'!N442</f>
        <v>0</v>
      </c>
      <c r="O441">
        <f>'mk 001 10.3'!O442</f>
        <v>0</v>
      </c>
      <c r="P441">
        <f>'mk 001 10.3'!P442</f>
        <v>0</v>
      </c>
      <c r="Q441">
        <f>'mk 001 10.3'!Q442</f>
        <v>0</v>
      </c>
      <c r="R441" s="1">
        <f>'mk 001 10.3'!R442</f>
        <v>0</v>
      </c>
      <c r="S441" s="1">
        <f>'mk 001 10.3'!S442</f>
        <v>0</v>
      </c>
      <c r="T441">
        <f>'mk 001 10.3'!T442</f>
        <v>0</v>
      </c>
      <c r="U441">
        <f>'mk 001 10.3'!U442</f>
        <v>0</v>
      </c>
      <c r="V441">
        <f>'mk 001 10.3'!V442</f>
        <v>0</v>
      </c>
      <c r="W441">
        <f>'mk 001 10.3'!W442</f>
        <v>0</v>
      </c>
      <c r="X441">
        <f>'mk 001 10.3'!X442</f>
        <v>0</v>
      </c>
      <c r="Y441">
        <f t="shared" si="7"/>
        <v>0</v>
      </c>
      <c r="Z441" s="13">
        <f>IF(COUNTIFS(แปลงข้อมูล!H:H,Q441,แปลงข้อมูล!I:I,U441,แปลงข้อมูล!J:J,V441)&gt;0,SUMIFS(แปลงข้อมูล!Q:Q,แปลงข้อมูล!I:I,U441,แปลงข้อมูล!H:H,Q441,แปลงข้อมูล!J:J,V441),'mk 001 10.3'!Z442)</f>
        <v>0</v>
      </c>
      <c r="AA441">
        <f>'mk 001 10.3'!AA442</f>
        <v>0</v>
      </c>
      <c r="AB441">
        <f>'mk 001 10.3'!AB442</f>
        <v>0</v>
      </c>
      <c r="AC441">
        <f>'mk 001 10.3'!AC442</f>
        <v>0</v>
      </c>
      <c r="AD441">
        <f>'mk 001 10.3'!AD442</f>
        <v>0</v>
      </c>
      <c r="AE441">
        <f>'mk 001 10.3'!AE442</f>
        <v>0</v>
      </c>
      <c r="AF441">
        <f>'mk 001 10.3'!AF442</f>
        <v>0</v>
      </c>
      <c r="AG441">
        <f>'mk 001 10.3'!AG442</f>
        <v>0</v>
      </c>
      <c r="AH441">
        <f>'mk 001 10.3'!AH442</f>
        <v>0</v>
      </c>
      <c r="AI441">
        <f>'mk 001 10.3'!AI442</f>
        <v>0</v>
      </c>
      <c r="AJ441">
        <f>'mk 001 10.3'!AJ442</f>
        <v>0</v>
      </c>
      <c r="AK441">
        <f>'mk 001 10.3'!AK442</f>
        <v>0</v>
      </c>
      <c r="AL441">
        <f>'mk 001 10.3'!AL442</f>
        <v>0</v>
      </c>
      <c r="AM441">
        <f>'mk 001 10.3'!AM442</f>
        <v>0</v>
      </c>
      <c r="AN441">
        <f>'mk 001 10.3'!AN442</f>
        <v>0</v>
      </c>
      <c r="AO441">
        <f>'mk 001 10.3'!AO442</f>
        <v>0</v>
      </c>
      <c r="AP441">
        <f>'mk 001 10.3'!AP442</f>
        <v>0</v>
      </c>
      <c r="AQ441">
        <f>'mk 001 10.3'!AQ442</f>
        <v>0</v>
      </c>
      <c r="AR441">
        <f>'mk 001 10.3'!AR442</f>
        <v>0</v>
      </c>
      <c r="AS441">
        <f>'mk 001 10.3'!AS442</f>
        <v>0</v>
      </c>
      <c r="AT441">
        <f>'mk 001 10.3'!AT442</f>
        <v>0</v>
      </c>
      <c r="AU441">
        <f>'mk 001 10.3'!AU442</f>
        <v>0</v>
      </c>
      <c r="AV441">
        <f>'mk 001 10.3'!AV442</f>
        <v>0</v>
      </c>
      <c r="AW441">
        <f>'mk 001 10.3'!AW442</f>
        <v>0</v>
      </c>
      <c r="AX441">
        <f>'mk 001 10.3'!AX442</f>
        <v>0</v>
      </c>
      <c r="AY441">
        <f>'mk 001 10.3'!AY442</f>
        <v>0</v>
      </c>
      <c r="AZ441">
        <f>'mk 001 10.3'!AZ442</f>
        <v>0</v>
      </c>
      <c r="BA441" s="22">
        <f>'mk 001 10.3'!BA442</f>
        <v>0</v>
      </c>
      <c r="BB441">
        <f>'mk 001 10.3'!BB442</f>
        <v>0</v>
      </c>
      <c r="BC441">
        <f>'mk 001 10.3'!BC442</f>
        <v>0</v>
      </c>
      <c r="BD441">
        <f>'mk 001 10.3'!BD442</f>
        <v>0</v>
      </c>
      <c r="BE441">
        <f>'mk 001 10.3'!BE442</f>
        <v>0</v>
      </c>
      <c r="BF441">
        <f>'mk 001 10.3'!BF442</f>
        <v>0</v>
      </c>
      <c r="BG441">
        <f>'mk 001 10.3'!BG442</f>
        <v>0</v>
      </c>
      <c r="BH441">
        <f>'mk 001 10.3'!BH442</f>
        <v>0</v>
      </c>
      <c r="BI441">
        <f>'mk 001 10.3'!BI442</f>
        <v>0</v>
      </c>
      <c r="BJ441">
        <f>'mk 001 10.3'!BJ442</f>
        <v>0</v>
      </c>
      <c r="BK441">
        <f>'mk 001 10.3'!BK442</f>
        <v>0</v>
      </c>
      <c r="BL441">
        <f>'mk 001 10.3'!BL442</f>
        <v>0</v>
      </c>
      <c r="BM441">
        <f>'mk 001 10.3'!BM442</f>
        <v>0</v>
      </c>
      <c r="BN441">
        <f>'mk 001 10.3'!BN442</f>
        <v>0</v>
      </c>
    </row>
    <row r="442" spans="1:66" x14ac:dyDescent="0.35">
      <c r="A442">
        <f>'mk 001 10.3'!A443</f>
        <v>0</v>
      </c>
      <c r="B442">
        <f>'mk 001 10.3'!B443</f>
        <v>0</v>
      </c>
      <c r="C442" s="1">
        <f>'mk 001 10.3'!C443</f>
        <v>0</v>
      </c>
      <c r="D442" s="1">
        <f>'mk 001 10.3'!D443</f>
        <v>0</v>
      </c>
      <c r="E442">
        <f>'mk 001 10.3'!E443</f>
        <v>0</v>
      </c>
      <c r="F442">
        <f>'mk 001 10.3'!F443</f>
        <v>0</v>
      </c>
      <c r="G442">
        <f>'mk 001 10.3'!G443</f>
        <v>0</v>
      </c>
      <c r="H442">
        <f>'mk 001 10.3'!H443</f>
        <v>0</v>
      </c>
      <c r="I442">
        <f>'mk 001 10.3'!I443</f>
        <v>0</v>
      </c>
      <c r="J442">
        <f>'mk 001 10.3'!J443</f>
        <v>0</v>
      </c>
      <c r="K442">
        <f>'mk 001 10.3'!K443</f>
        <v>0</v>
      </c>
      <c r="L442">
        <f>'mk 001 10.3'!L443</f>
        <v>0</v>
      </c>
      <c r="M442">
        <f>'mk 001 10.3'!M443</f>
        <v>0</v>
      </c>
      <c r="N442">
        <f>'mk 001 10.3'!N443</f>
        <v>0</v>
      </c>
      <c r="O442">
        <f>'mk 001 10.3'!O443</f>
        <v>0</v>
      </c>
      <c r="P442">
        <f>'mk 001 10.3'!P443</f>
        <v>0</v>
      </c>
      <c r="Q442">
        <f>'mk 001 10.3'!Q443</f>
        <v>0</v>
      </c>
      <c r="R442" s="1">
        <f>'mk 001 10.3'!R443</f>
        <v>0</v>
      </c>
      <c r="S442" s="1">
        <f>'mk 001 10.3'!S443</f>
        <v>0</v>
      </c>
      <c r="T442">
        <f>'mk 001 10.3'!T443</f>
        <v>0</v>
      </c>
      <c r="U442">
        <f>'mk 001 10.3'!U443</f>
        <v>0</v>
      </c>
      <c r="V442">
        <f>'mk 001 10.3'!V443</f>
        <v>0</v>
      </c>
      <c r="W442">
        <f>'mk 001 10.3'!W443</f>
        <v>0</v>
      </c>
      <c r="X442">
        <f>'mk 001 10.3'!X443</f>
        <v>0</v>
      </c>
      <c r="Y442">
        <f t="shared" si="7"/>
        <v>0</v>
      </c>
      <c r="Z442" s="13">
        <f>IF(COUNTIFS(แปลงข้อมูล!H:H,Q442,แปลงข้อมูล!I:I,U442,แปลงข้อมูล!J:J,V442)&gt;0,SUMIFS(แปลงข้อมูล!Q:Q,แปลงข้อมูล!I:I,U442,แปลงข้อมูล!H:H,Q442,แปลงข้อมูล!J:J,V442),'mk 001 10.3'!Z443)</f>
        <v>0</v>
      </c>
      <c r="AA442">
        <f>'mk 001 10.3'!AA443</f>
        <v>0</v>
      </c>
      <c r="AB442">
        <f>'mk 001 10.3'!AB443</f>
        <v>0</v>
      </c>
      <c r="AC442">
        <f>'mk 001 10.3'!AC443</f>
        <v>0</v>
      </c>
      <c r="AD442">
        <f>'mk 001 10.3'!AD443</f>
        <v>0</v>
      </c>
      <c r="AE442">
        <f>'mk 001 10.3'!AE443</f>
        <v>0</v>
      </c>
      <c r="AF442">
        <f>'mk 001 10.3'!AF443</f>
        <v>0</v>
      </c>
      <c r="AG442">
        <f>'mk 001 10.3'!AG443</f>
        <v>0</v>
      </c>
      <c r="AH442">
        <f>'mk 001 10.3'!AH443</f>
        <v>0</v>
      </c>
      <c r="AI442">
        <f>'mk 001 10.3'!AI443</f>
        <v>0</v>
      </c>
      <c r="AJ442">
        <f>'mk 001 10.3'!AJ443</f>
        <v>0</v>
      </c>
      <c r="AK442">
        <f>'mk 001 10.3'!AK443</f>
        <v>0</v>
      </c>
      <c r="AL442">
        <f>'mk 001 10.3'!AL443</f>
        <v>0</v>
      </c>
      <c r="AM442">
        <f>'mk 001 10.3'!AM443</f>
        <v>0</v>
      </c>
      <c r="AN442">
        <f>'mk 001 10.3'!AN443</f>
        <v>0</v>
      </c>
      <c r="AO442">
        <f>'mk 001 10.3'!AO443</f>
        <v>0</v>
      </c>
      <c r="AP442">
        <f>'mk 001 10.3'!AP443</f>
        <v>0</v>
      </c>
      <c r="AQ442">
        <f>'mk 001 10.3'!AQ443</f>
        <v>0</v>
      </c>
      <c r="AR442">
        <f>'mk 001 10.3'!AR443</f>
        <v>0</v>
      </c>
      <c r="AS442">
        <f>'mk 001 10.3'!AS443</f>
        <v>0</v>
      </c>
      <c r="AT442">
        <f>'mk 001 10.3'!AT443</f>
        <v>0</v>
      </c>
      <c r="AU442">
        <f>'mk 001 10.3'!AU443</f>
        <v>0</v>
      </c>
      <c r="AV442">
        <f>'mk 001 10.3'!AV443</f>
        <v>0</v>
      </c>
      <c r="AW442">
        <f>'mk 001 10.3'!AW443</f>
        <v>0</v>
      </c>
      <c r="AX442">
        <f>'mk 001 10.3'!AX443</f>
        <v>0</v>
      </c>
      <c r="AY442">
        <f>'mk 001 10.3'!AY443</f>
        <v>0</v>
      </c>
      <c r="AZ442">
        <f>'mk 001 10.3'!AZ443</f>
        <v>0</v>
      </c>
      <c r="BA442" s="22">
        <f>'mk 001 10.3'!BA443</f>
        <v>0</v>
      </c>
      <c r="BB442">
        <f>'mk 001 10.3'!BB443</f>
        <v>0</v>
      </c>
      <c r="BC442">
        <f>'mk 001 10.3'!BC443</f>
        <v>0</v>
      </c>
      <c r="BD442">
        <f>'mk 001 10.3'!BD443</f>
        <v>0</v>
      </c>
      <c r="BE442">
        <f>'mk 001 10.3'!BE443</f>
        <v>0</v>
      </c>
      <c r="BF442">
        <f>'mk 001 10.3'!BF443</f>
        <v>0</v>
      </c>
      <c r="BG442">
        <f>'mk 001 10.3'!BG443</f>
        <v>0</v>
      </c>
      <c r="BH442">
        <f>'mk 001 10.3'!BH443</f>
        <v>0</v>
      </c>
      <c r="BI442">
        <f>'mk 001 10.3'!BI443</f>
        <v>0</v>
      </c>
      <c r="BJ442">
        <f>'mk 001 10.3'!BJ443</f>
        <v>0</v>
      </c>
      <c r="BK442">
        <f>'mk 001 10.3'!BK443</f>
        <v>0</v>
      </c>
      <c r="BL442">
        <f>'mk 001 10.3'!BL443</f>
        <v>0</v>
      </c>
      <c r="BM442">
        <f>'mk 001 10.3'!BM443</f>
        <v>0</v>
      </c>
      <c r="BN442">
        <f>'mk 001 10.3'!BN443</f>
        <v>0</v>
      </c>
    </row>
    <row r="443" spans="1:66" x14ac:dyDescent="0.35">
      <c r="A443">
        <f>'mk 001 10.3'!A444</f>
        <v>0</v>
      </c>
      <c r="B443">
        <f>'mk 001 10.3'!B444</f>
        <v>0</v>
      </c>
      <c r="C443" s="1">
        <f>'mk 001 10.3'!C444</f>
        <v>0</v>
      </c>
      <c r="D443" s="1">
        <f>'mk 001 10.3'!D444</f>
        <v>0</v>
      </c>
      <c r="E443">
        <f>'mk 001 10.3'!E444</f>
        <v>0</v>
      </c>
      <c r="F443">
        <f>'mk 001 10.3'!F444</f>
        <v>0</v>
      </c>
      <c r="G443">
        <f>'mk 001 10.3'!G444</f>
        <v>0</v>
      </c>
      <c r="H443">
        <f>'mk 001 10.3'!H444</f>
        <v>0</v>
      </c>
      <c r="I443">
        <f>'mk 001 10.3'!I444</f>
        <v>0</v>
      </c>
      <c r="J443">
        <f>'mk 001 10.3'!J444</f>
        <v>0</v>
      </c>
      <c r="K443">
        <f>'mk 001 10.3'!K444</f>
        <v>0</v>
      </c>
      <c r="L443">
        <f>'mk 001 10.3'!L444</f>
        <v>0</v>
      </c>
      <c r="M443">
        <f>'mk 001 10.3'!M444</f>
        <v>0</v>
      </c>
      <c r="N443">
        <f>'mk 001 10.3'!N444</f>
        <v>0</v>
      </c>
      <c r="O443">
        <f>'mk 001 10.3'!O444</f>
        <v>0</v>
      </c>
      <c r="P443">
        <f>'mk 001 10.3'!P444</f>
        <v>0</v>
      </c>
      <c r="Q443">
        <f>'mk 001 10.3'!Q444</f>
        <v>0</v>
      </c>
      <c r="R443" s="1">
        <f>'mk 001 10.3'!R444</f>
        <v>0</v>
      </c>
      <c r="S443" s="1">
        <f>'mk 001 10.3'!S444</f>
        <v>0</v>
      </c>
      <c r="T443">
        <f>'mk 001 10.3'!T444</f>
        <v>0</v>
      </c>
      <c r="U443">
        <f>'mk 001 10.3'!U444</f>
        <v>0</v>
      </c>
      <c r="V443">
        <f>'mk 001 10.3'!V444</f>
        <v>0</v>
      </c>
      <c r="W443">
        <f>'mk 001 10.3'!W444</f>
        <v>0</v>
      </c>
      <c r="X443">
        <f>'mk 001 10.3'!X444</f>
        <v>0</v>
      </c>
      <c r="Y443">
        <f t="shared" si="7"/>
        <v>0</v>
      </c>
      <c r="Z443" s="13">
        <f>IF(COUNTIFS(แปลงข้อมูล!H:H,Q443,แปลงข้อมูล!I:I,U443,แปลงข้อมูล!J:J,V443)&gt;0,SUMIFS(แปลงข้อมูล!Q:Q,แปลงข้อมูล!I:I,U443,แปลงข้อมูล!H:H,Q443,แปลงข้อมูล!J:J,V443),'mk 001 10.3'!Z444)</f>
        <v>0</v>
      </c>
      <c r="AA443">
        <f>'mk 001 10.3'!AA444</f>
        <v>0</v>
      </c>
      <c r="AB443">
        <f>'mk 001 10.3'!AB444</f>
        <v>0</v>
      </c>
      <c r="AC443">
        <f>'mk 001 10.3'!AC444</f>
        <v>0</v>
      </c>
      <c r="AD443">
        <f>'mk 001 10.3'!AD444</f>
        <v>0</v>
      </c>
      <c r="AE443">
        <f>'mk 001 10.3'!AE444</f>
        <v>0</v>
      </c>
      <c r="AF443">
        <f>'mk 001 10.3'!AF444</f>
        <v>0</v>
      </c>
      <c r="AG443">
        <f>'mk 001 10.3'!AG444</f>
        <v>0</v>
      </c>
      <c r="AH443">
        <f>'mk 001 10.3'!AH444</f>
        <v>0</v>
      </c>
      <c r="AI443">
        <f>'mk 001 10.3'!AI444</f>
        <v>0</v>
      </c>
      <c r="AJ443">
        <f>'mk 001 10.3'!AJ444</f>
        <v>0</v>
      </c>
      <c r="AK443">
        <f>'mk 001 10.3'!AK444</f>
        <v>0</v>
      </c>
      <c r="AL443">
        <f>'mk 001 10.3'!AL444</f>
        <v>0</v>
      </c>
      <c r="AM443">
        <f>'mk 001 10.3'!AM444</f>
        <v>0</v>
      </c>
      <c r="AN443">
        <f>'mk 001 10.3'!AN444</f>
        <v>0</v>
      </c>
      <c r="AO443">
        <f>'mk 001 10.3'!AO444</f>
        <v>0</v>
      </c>
      <c r="AP443">
        <f>'mk 001 10.3'!AP444</f>
        <v>0</v>
      </c>
      <c r="AQ443">
        <f>'mk 001 10.3'!AQ444</f>
        <v>0</v>
      </c>
      <c r="AR443">
        <f>'mk 001 10.3'!AR444</f>
        <v>0</v>
      </c>
      <c r="AS443">
        <f>'mk 001 10.3'!AS444</f>
        <v>0</v>
      </c>
      <c r="AT443">
        <f>'mk 001 10.3'!AT444</f>
        <v>0</v>
      </c>
      <c r="AU443">
        <f>'mk 001 10.3'!AU444</f>
        <v>0</v>
      </c>
      <c r="AV443">
        <f>'mk 001 10.3'!AV444</f>
        <v>0</v>
      </c>
      <c r="AW443">
        <f>'mk 001 10.3'!AW444</f>
        <v>0</v>
      </c>
      <c r="AX443">
        <f>'mk 001 10.3'!AX444</f>
        <v>0</v>
      </c>
      <c r="AY443">
        <f>'mk 001 10.3'!AY444</f>
        <v>0</v>
      </c>
      <c r="AZ443">
        <f>'mk 001 10.3'!AZ444</f>
        <v>0</v>
      </c>
      <c r="BA443" s="22">
        <f>'mk 001 10.3'!BA444</f>
        <v>0</v>
      </c>
      <c r="BB443">
        <f>'mk 001 10.3'!BB444</f>
        <v>0</v>
      </c>
      <c r="BC443">
        <f>'mk 001 10.3'!BC444</f>
        <v>0</v>
      </c>
      <c r="BD443">
        <f>'mk 001 10.3'!BD444</f>
        <v>0</v>
      </c>
      <c r="BE443">
        <f>'mk 001 10.3'!BE444</f>
        <v>0</v>
      </c>
      <c r="BF443">
        <f>'mk 001 10.3'!BF444</f>
        <v>0</v>
      </c>
      <c r="BG443">
        <f>'mk 001 10.3'!BG444</f>
        <v>0</v>
      </c>
      <c r="BH443">
        <f>'mk 001 10.3'!BH444</f>
        <v>0</v>
      </c>
      <c r="BI443">
        <f>'mk 001 10.3'!BI444</f>
        <v>0</v>
      </c>
      <c r="BJ443">
        <f>'mk 001 10.3'!BJ444</f>
        <v>0</v>
      </c>
      <c r="BK443">
        <f>'mk 001 10.3'!BK444</f>
        <v>0</v>
      </c>
      <c r="BL443">
        <f>'mk 001 10.3'!BL444</f>
        <v>0</v>
      </c>
      <c r="BM443">
        <f>'mk 001 10.3'!BM444</f>
        <v>0</v>
      </c>
      <c r="BN443">
        <f>'mk 001 10.3'!BN444</f>
        <v>0</v>
      </c>
    </row>
    <row r="444" spans="1:66" x14ac:dyDescent="0.35">
      <c r="A444">
        <f>'mk 001 10.3'!A445</f>
        <v>0</v>
      </c>
      <c r="B444">
        <f>'mk 001 10.3'!B445</f>
        <v>0</v>
      </c>
      <c r="C444" s="1">
        <f>'mk 001 10.3'!C445</f>
        <v>0</v>
      </c>
      <c r="D444" s="1">
        <f>'mk 001 10.3'!D445</f>
        <v>0</v>
      </c>
      <c r="E444">
        <f>'mk 001 10.3'!E445</f>
        <v>0</v>
      </c>
      <c r="F444">
        <f>'mk 001 10.3'!F445</f>
        <v>0</v>
      </c>
      <c r="G444">
        <f>'mk 001 10.3'!G445</f>
        <v>0</v>
      </c>
      <c r="H444">
        <f>'mk 001 10.3'!H445</f>
        <v>0</v>
      </c>
      <c r="I444">
        <f>'mk 001 10.3'!I445</f>
        <v>0</v>
      </c>
      <c r="J444">
        <f>'mk 001 10.3'!J445</f>
        <v>0</v>
      </c>
      <c r="K444">
        <f>'mk 001 10.3'!K445</f>
        <v>0</v>
      </c>
      <c r="L444">
        <f>'mk 001 10.3'!L445</f>
        <v>0</v>
      </c>
      <c r="M444">
        <f>'mk 001 10.3'!M445</f>
        <v>0</v>
      </c>
      <c r="N444">
        <f>'mk 001 10.3'!N445</f>
        <v>0</v>
      </c>
      <c r="O444">
        <f>'mk 001 10.3'!O445</f>
        <v>0</v>
      </c>
      <c r="P444">
        <f>'mk 001 10.3'!P445</f>
        <v>0</v>
      </c>
      <c r="Q444">
        <f>'mk 001 10.3'!Q445</f>
        <v>0</v>
      </c>
      <c r="R444" s="1">
        <f>'mk 001 10.3'!R445</f>
        <v>0</v>
      </c>
      <c r="S444" s="1">
        <f>'mk 001 10.3'!S445</f>
        <v>0</v>
      </c>
      <c r="T444">
        <f>'mk 001 10.3'!T445</f>
        <v>0</v>
      </c>
      <c r="U444">
        <f>'mk 001 10.3'!U445</f>
        <v>0</v>
      </c>
      <c r="V444">
        <f>'mk 001 10.3'!V445</f>
        <v>0</v>
      </c>
      <c r="W444">
        <f>'mk 001 10.3'!W445</f>
        <v>0</v>
      </c>
      <c r="X444">
        <f>'mk 001 10.3'!X445</f>
        <v>0</v>
      </c>
      <c r="Y444">
        <f t="shared" si="7"/>
        <v>0</v>
      </c>
      <c r="Z444" s="13">
        <f>IF(COUNTIFS(แปลงข้อมูล!H:H,Q444,แปลงข้อมูล!I:I,U444,แปลงข้อมูล!J:J,V444)&gt;0,SUMIFS(แปลงข้อมูล!Q:Q,แปลงข้อมูล!I:I,U444,แปลงข้อมูล!H:H,Q444,แปลงข้อมูล!J:J,V444),'mk 001 10.3'!Z445)</f>
        <v>0</v>
      </c>
      <c r="AA444">
        <f>'mk 001 10.3'!AA445</f>
        <v>0</v>
      </c>
      <c r="AB444">
        <f>'mk 001 10.3'!AB445</f>
        <v>0</v>
      </c>
      <c r="AC444">
        <f>'mk 001 10.3'!AC445</f>
        <v>0</v>
      </c>
      <c r="AD444">
        <f>'mk 001 10.3'!AD445</f>
        <v>0</v>
      </c>
      <c r="AE444">
        <f>'mk 001 10.3'!AE445</f>
        <v>0</v>
      </c>
      <c r="AF444">
        <f>'mk 001 10.3'!AF445</f>
        <v>0</v>
      </c>
      <c r="AG444">
        <f>'mk 001 10.3'!AG445</f>
        <v>0</v>
      </c>
      <c r="AH444">
        <f>'mk 001 10.3'!AH445</f>
        <v>0</v>
      </c>
      <c r="AI444">
        <f>'mk 001 10.3'!AI445</f>
        <v>0</v>
      </c>
      <c r="AJ444">
        <f>'mk 001 10.3'!AJ445</f>
        <v>0</v>
      </c>
      <c r="AK444">
        <f>'mk 001 10.3'!AK445</f>
        <v>0</v>
      </c>
      <c r="AL444">
        <f>'mk 001 10.3'!AL445</f>
        <v>0</v>
      </c>
      <c r="AM444">
        <f>'mk 001 10.3'!AM445</f>
        <v>0</v>
      </c>
      <c r="AN444">
        <f>'mk 001 10.3'!AN445</f>
        <v>0</v>
      </c>
      <c r="AO444">
        <f>'mk 001 10.3'!AO445</f>
        <v>0</v>
      </c>
      <c r="AP444">
        <f>'mk 001 10.3'!AP445</f>
        <v>0</v>
      </c>
      <c r="AQ444">
        <f>'mk 001 10.3'!AQ445</f>
        <v>0</v>
      </c>
      <c r="AR444">
        <f>'mk 001 10.3'!AR445</f>
        <v>0</v>
      </c>
      <c r="AS444">
        <f>'mk 001 10.3'!AS445</f>
        <v>0</v>
      </c>
      <c r="AT444">
        <f>'mk 001 10.3'!AT445</f>
        <v>0</v>
      </c>
      <c r="AU444">
        <f>'mk 001 10.3'!AU445</f>
        <v>0</v>
      </c>
      <c r="AV444">
        <f>'mk 001 10.3'!AV445</f>
        <v>0</v>
      </c>
      <c r="AW444">
        <f>'mk 001 10.3'!AW445</f>
        <v>0</v>
      </c>
      <c r="AX444">
        <f>'mk 001 10.3'!AX445</f>
        <v>0</v>
      </c>
      <c r="AY444">
        <f>'mk 001 10.3'!AY445</f>
        <v>0</v>
      </c>
      <c r="AZ444">
        <f>'mk 001 10.3'!AZ445</f>
        <v>0</v>
      </c>
      <c r="BA444" s="22">
        <f>'mk 001 10.3'!BA445</f>
        <v>0</v>
      </c>
      <c r="BB444">
        <f>'mk 001 10.3'!BB445</f>
        <v>0</v>
      </c>
      <c r="BC444">
        <f>'mk 001 10.3'!BC445</f>
        <v>0</v>
      </c>
      <c r="BD444">
        <f>'mk 001 10.3'!BD445</f>
        <v>0</v>
      </c>
      <c r="BE444">
        <f>'mk 001 10.3'!BE445</f>
        <v>0</v>
      </c>
      <c r="BF444">
        <f>'mk 001 10.3'!BF445</f>
        <v>0</v>
      </c>
      <c r="BG444">
        <f>'mk 001 10.3'!BG445</f>
        <v>0</v>
      </c>
      <c r="BH444">
        <f>'mk 001 10.3'!BH445</f>
        <v>0</v>
      </c>
      <c r="BI444">
        <f>'mk 001 10.3'!BI445</f>
        <v>0</v>
      </c>
      <c r="BJ444">
        <f>'mk 001 10.3'!BJ445</f>
        <v>0</v>
      </c>
      <c r="BK444">
        <f>'mk 001 10.3'!BK445</f>
        <v>0</v>
      </c>
      <c r="BL444">
        <f>'mk 001 10.3'!BL445</f>
        <v>0</v>
      </c>
      <c r="BM444">
        <f>'mk 001 10.3'!BM445</f>
        <v>0</v>
      </c>
      <c r="BN444">
        <f>'mk 001 10.3'!BN445</f>
        <v>0</v>
      </c>
    </row>
    <row r="445" spans="1:66" x14ac:dyDescent="0.35">
      <c r="A445">
        <f>'mk 001 10.3'!A446</f>
        <v>0</v>
      </c>
      <c r="B445">
        <f>'mk 001 10.3'!B446</f>
        <v>0</v>
      </c>
      <c r="C445" s="1">
        <f>'mk 001 10.3'!C446</f>
        <v>0</v>
      </c>
      <c r="D445" s="1">
        <f>'mk 001 10.3'!D446</f>
        <v>0</v>
      </c>
      <c r="E445">
        <f>'mk 001 10.3'!E446</f>
        <v>0</v>
      </c>
      <c r="F445">
        <f>'mk 001 10.3'!F446</f>
        <v>0</v>
      </c>
      <c r="G445">
        <f>'mk 001 10.3'!G446</f>
        <v>0</v>
      </c>
      <c r="H445">
        <f>'mk 001 10.3'!H446</f>
        <v>0</v>
      </c>
      <c r="I445">
        <f>'mk 001 10.3'!I446</f>
        <v>0</v>
      </c>
      <c r="J445">
        <f>'mk 001 10.3'!J446</f>
        <v>0</v>
      </c>
      <c r="K445">
        <f>'mk 001 10.3'!K446</f>
        <v>0</v>
      </c>
      <c r="L445">
        <f>'mk 001 10.3'!L446</f>
        <v>0</v>
      </c>
      <c r="M445">
        <f>'mk 001 10.3'!M446</f>
        <v>0</v>
      </c>
      <c r="N445">
        <f>'mk 001 10.3'!N446</f>
        <v>0</v>
      </c>
      <c r="O445">
        <f>'mk 001 10.3'!O446</f>
        <v>0</v>
      </c>
      <c r="P445">
        <f>'mk 001 10.3'!P446</f>
        <v>0</v>
      </c>
      <c r="Q445">
        <f>'mk 001 10.3'!Q446</f>
        <v>0</v>
      </c>
      <c r="R445" s="1">
        <f>'mk 001 10.3'!R446</f>
        <v>0</v>
      </c>
      <c r="S445" s="1">
        <f>'mk 001 10.3'!S446</f>
        <v>0</v>
      </c>
      <c r="T445">
        <f>'mk 001 10.3'!T446</f>
        <v>0</v>
      </c>
      <c r="U445">
        <f>'mk 001 10.3'!U446</f>
        <v>0</v>
      </c>
      <c r="V445">
        <f>'mk 001 10.3'!V446</f>
        <v>0</v>
      </c>
      <c r="W445">
        <f>'mk 001 10.3'!W446</f>
        <v>0</v>
      </c>
      <c r="X445">
        <f>'mk 001 10.3'!X446</f>
        <v>0</v>
      </c>
      <c r="Y445">
        <f t="shared" si="7"/>
        <v>0</v>
      </c>
      <c r="Z445" s="13">
        <f>IF(COUNTIFS(แปลงข้อมูล!H:H,Q445,แปลงข้อมูล!I:I,U445,แปลงข้อมูล!J:J,V445)&gt;0,SUMIFS(แปลงข้อมูล!Q:Q,แปลงข้อมูล!I:I,U445,แปลงข้อมูล!H:H,Q445,แปลงข้อมูล!J:J,V445),'mk 001 10.3'!Z446)</f>
        <v>0</v>
      </c>
      <c r="AA445">
        <f>'mk 001 10.3'!AA446</f>
        <v>0</v>
      </c>
      <c r="AB445">
        <f>'mk 001 10.3'!AB446</f>
        <v>0</v>
      </c>
      <c r="AC445">
        <f>'mk 001 10.3'!AC446</f>
        <v>0</v>
      </c>
      <c r="AD445">
        <f>'mk 001 10.3'!AD446</f>
        <v>0</v>
      </c>
      <c r="AE445">
        <f>'mk 001 10.3'!AE446</f>
        <v>0</v>
      </c>
      <c r="AF445">
        <f>'mk 001 10.3'!AF446</f>
        <v>0</v>
      </c>
      <c r="AG445">
        <f>'mk 001 10.3'!AG446</f>
        <v>0</v>
      </c>
      <c r="AH445">
        <f>'mk 001 10.3'!AH446</f>
        <v>0</v>
      </c>
      <c r="AI445">
        <f>'mk 001 10.3'!AI446</f>
        <v>0</v>
      </c>
      <c r="AJ445">
        <f>'mk 001 10.3'!AJ446</f>
        <v>0</v>
      </c>
      <c r="AK445">
        <f>'mk 001 10.3'!AK446</f>
        <v>0</v>
      </c>
      <c r="AL445">
        <f>'mk 001 10.3'!AL446</f>
        <v>0</v>
      </c>
      <c r="AM445">
        <f>'mk 001 10.3'!AM446</f>
        <v>0</v>
      </c>
      <c r="AN445">
        <f>'mk 001 10.3'!AN446</f>
        <v>0</v>
      </c>
      <c r="AO445">
        <f>'mk 001 10.3'!AO446</f>
        <v>0</v>
      </c>
      <c r="AP445">
        <f>'mk 001 10.3'!AP446</f>
        <v>0</v>
      </c>
      <c r="AQ445">
        <f>'mk 001 10.3'!AQ446</f>
        <v>0</v>
      </c>
      <c r="AR445">
        <f>'mk 001 10.3'!AR446</f>
        <v>0</v>
      </c>
      <c r="AS445">
        <f>'mk 001 10.3'!AS446</f>
        <v>0</v>
      </c>
      <c r="AT445">
        <f>'mk 001 10.3'!AT446</f>
        <v>0</v>
      </c>
      <c r="AU445">
        <f>'mk 001 10.3'!AU446</f>
        <v>0</v>
      </c>
      <c r="AV445">
        <f>'mk 001 10.3'!AV446</f>
        <v>0</v>
      </c>
      <c r="AW445">
        <f>'mk 001 10.3'!AW446</f>
        <v>0</v>
      </c>
      <c r="AX445">
        <f>'mk 001 10.3'!AX446</f>
        <v>0</v>
      </c>
      <c r="AY445">
        <f>'mk 001 10.3'!AY446</f>
        <v>0</v>
      </c>
      <c r="AZ445">
        <f>'mk 001 10.3'!AZ446</f>
        <v>0</v>
      </c>
      <c r="BA445" s="22">
        <f>'mk 001 10.3'!BA446</f>
        <v>0</v>
      </c>
      <c r="BB445">
        <f>'mk 001 10.3'!BB446</f>
        <v>0</v>
      </c>
      <c r="BC445">
        <f>'mk 001 10.3'!BC446</f>
        <v>0</v>
      </c>
      <c r="BD445">
        <f>'mk 001 10.3'!BD446</f>
        <v>0</v>
      </c>
      <c r="BE445">
        <f>'mk 001 10.3'!BE446</f>
        <v>0</v>
      </c>
      <c r="BF445">
        <f>'mk 001 10.3'!BF446</f>
        <v>0</v>
      </c>
      <c r="BG445">
        <f>'mk 001 10.3'!BG446</f>
        <v>0</v>
      </c>
      <c r="BH445">
        <f>'mk 001 10.3'!BH446</f>
        <v>0</v>
      </c>
      <c r="BI445">
        <f>'mk 001 10.3'!BI446</f>
        <v>0</v>
      </c>
      <c r="BJ445">
        <f>'mk 001 10.3'!BJ446</f>
        <v>0</v>
      </c>
      <c r="BK445">
        <f>'mk 001 10.3'!BK446</f>
        <v>0</v>
      </c>
      <c r="BL445">
        <f>'mk 001 10.3'!BL446</f>
        <v>0</v>
      </c>
      <c r="BM445">
        <f>'mk 001 10.3'!BM446</f>
        <v>0</v>
      </c>
      <c r="BN445">
        <f>'mk 001 10.3'!BN446</f>
        <v>0</v>
      </c>
    </row>
    <row r="446" spans="1:66" x14ac:dyDescent="0.35">
      <c r="A446">
        <f>'mk 001 10.3'!A447</f>
        <v>0</v>
      </c>
      <c r="B446">
        <f>'mk 001 10.3'!B447</f>
        <v>0</v>
      </c>
      <c r="C446" s="1">
        <f>'mk 001 10.3'!C447</f>
        <v>0</v>
      </c>
      <c r="D446" s="1">
        <f>'mk 001 10.3'!D447</f>
        <v>0</v>
      </c>
      <c r="E446">
        <f>'mk 001 10.3'!E447</f>
        <v>0</v>
      </c>
      <c r="F446">
        <f>'mk 001 10.3'!F447</f>
        <v>0</v>
      </c>
      <c r="G446">
        <f>'mk 001 10.3'!G447</f>
        <v>0</v>
      </c>
      <c r="H446">
        <f>'mk 001 10.3'!H447</f>
        <v>0</v>
      </c>
      <c r="I446">
        <f>'mk 001 10.3'!I447</f>
        <v>0</v>
      </c>
      <c r="J446">
        <f>'mk 001 10.3'!J447</f>
        <v>0</v>
      </c>
      <c r="K446">
        <f>'mk 001 10.3'!K447</f>
        <v>0</v>
      </c>
      <c r="L446">
        <f>'mk 001 10.3'!L447</f>
        <v>0</v>
      </c>
      <c r="M446">
        <f>'mk 001 10.3'!M447</f>
        <v>0</v>
      </c>
      <c r="N446">
        <f>'mk 001 10.3'!N447</f>
        <v>0</v>
      </c>
      <c r="O446">
        <f>'mk 001 10.3'!O447</f>
        <v>0</v>
      </c>
      <c r="P446">
        <f>'mk 001 10.3'!P447</f>
        <v>0</v>
      </c>
      <c r="Q446">
        <f>'mk 001 10.3'!Q447</f>
        <v>0</v>
      </c>
      <c r="R446" s="1">
        <f>'mk 001 10.3'!R447</f>
        <v>0</v>
      </c>
      <c r="S446" s="1">
        <f>'mk 001 10.3'!S447</f>
        <v>0</v>
      </c>
      <c r="T446">
        <f>'mk 001 10.3'!T447</f>
        <v>0</v>
      </c>
      <c r="U446">
        <f>'mk 001 10.3'!U447</f>
        <v>0</v>
      </c>
      <c r="V446">
        <f>'mk 001 10.3'!V447</f>
        <v>0</v>
      </c>
      <c r="W446">
        <f>'mk 001 10.3'!W447</f>
        <v>0</v>
      </c>
      <c r="X446">
        <f>'mk 001 10.3'!X447</f>
        <v>0</v>
      </c>
      <c r="Y446">
        <f t="shared" si="7"/>
        <v>0</v>
      </c>
      <c r="Z446" s="13">
        <f>IF(COUNTIFS(แปลงข้อมูล!H:H,Q446,แปลงข้อมูล!I:I,U446,แปลงข้อมูล!J:J,V446)&gt;0,SUMIFS(แปลงข้อมูล!Q:Q,แปลงข้อมูล!I:I,U446,แปลงข้อมูล!H:H,Q446,แปลงข้อมูล!J:J,V446),'mk 001 10.3'!Z447)</f>
        <v>0</v>
      </c>
      <c r="AA446">
        <f>'mk 001 10.3'!AA447</f>
        <v>0</v>
      </c>
      <c r="AB446">
        <f>'mk 001 10.3'!AB447</f>
        <v>0</v>
      </c>
      <c r="AC446">
        <f>'mk 001 10.3'!AC447</f>
        <v>0</v>
      </c>
      <c r="AD446">
        <f>'mk 001 10.3'!AD447</f>
        <v>0</v>
      </c>
      <c r="AE446">
        <f>'mk 001 10.3'!AE447</f>
        <v>0</v>
      </c>
      <c r="AF446">
        <f>'mk 001 10.3'!AF447</f>
        <v>0</v>
      </c>
      <c r="AG446">
        <f>'mk 001 10.3'!AG447</f>
        <v>0</v>
      </c>
      <c r="AH446">
        <f>'mk 001 10.3'!AH447</f>
        <v>0</v>
      </c>
      <c r="AI446">
        <f>'mk 001 10.3'!AI447</f>
        <v>0</v>
      </c>
      <c r="AJ446">
        <f>'mk 001 10.3'!AJ447</f>
        <v>0</v>
      </c>
      <c r="AK446">
        <f>'mk 001 10.3'!AK447</f>
        <v>0</v>
      </c>
      <c r="AL446">
        <f>'mk 001 10.3'!AL447</f>
        <v>0</v>
      </c>
      <c r="AM446">
        <f>'mk 001 10.3'!AM447</f>
        <v>0</v>
      </c>
      <c r="AN446">
        <f>'mk 001 10.3'!AN447</f>
        <v>0</v>
      </c>
      <c r="AO446">
        <f>'mk 001 10.3'!AO447</f>
        <v>0</v>
      </c>
      <c r="AP446">
        <f>'mk 001 10.3'!AP447</f>
        <v>0</v>
      </c>
      <c r="AQ446">
        <f>'mk 001 10.3'!AQ447</f>
        <v>0</v>
      </c>
      <c r="AR446">
        <f>'mk 001 10.3'!AR447</f>
        <v>0</v>
      </c>
      <c r="AS446">
        <f>'mk 001 10.3'!AS447</f>
        <v>0</v>
      </c>
      <c r="AT446">
        <f>'mk 001 10.3'!AT447</f>
        <v>0</v>
      </c>
      <c r="AU446">
        <f>'mk 001 10.3'!AU447</f>
        <v>0</v>
      </c>
      <c r="AV446">
        <f>'mk 001 10.3'!AV447</f>
        <v>0</v>
      </c>
      <c r="AW446">
        <f>'mk 001 10.3'!AW447</f>
        <v>0</v>
      </c>
      <c r="AX446">
        <f>'mk 001 10.3'!AX447</f>
        <v>0</v>
      </c>
      <c r="AY446">
        <f>'mk 001 10.3'!AY447</f>
        <v>0</v>
      </c>
      <c r="AZ446">
        <f>'mk 001 10.3'!AZ447</f>
        <v>0</v>
      </c>
      <c r="BA446" s="22">
        <f>'mk 001 10.3'!BA447</f>
        <v>0</v>
      </c>
      <c r="BB446">
        <f>'mk 001 10.3'!BB447</f>
        <v>0</v>
      </c>
      <c r="BC446">
        <f>'mk 001 10.3'!BC447</f>
        <v>0</v>
      </c>
      <c r="BD446">
        <f>'mk 001 10.3'!BD447</f>
        <v>0</v>
      </c>
      <c r="BE446">
        <f>'mk 001 10.3'!BE447</f>
        <v>0</v>
      </c>
      <c r="BF446">
        <f>'mk 001 10.3'!BF447</f>
        <v>0</v>
      </c>
      <c r="BG446">
        <f>'mk 001 10.3'!BG447</f>
        <v>0</v>
      </c>
      <c r="BH446">
        <f>'mk 001 10.3'!BH447</f>
        <v>0</v>
      </c>
      <c r="BI446">
        <f>'mk 001 10.3'!BI447</f>
        <v>0</v>
      </c>
      <c r="BJ446">
        <f>'mk 001 10.3'!BJ447</f>
        <v>0</v>
      </c>
      <c r="BK446">
        <f>'mk 001 10.3'!BK447</f>
        <v>0</v>
      </c>
      <c r="BL446">
        <f>'mk 001 10.3'!BL447</f>
        <v>0</v>
      </c>
      <c r="BM446">
        <f>'mk 001 10.3'!BM447</f>
        <v>0</v>
      </c>
      <c r="BN446">
        <f>'mk 001 10.3'!BN447</f>
        <v>0</v>
      </c>
    </row>
    <row r="447" spans="1:66" x14ac:dyDescent="0.35">
      <c r="A447">
        <f>'mk 001 10.3'!A448</f>
        <v>0</v>
      </c>
      <c r="B447">
        <f>'mk 001 10.3'!B448</f>
        <v>0</v>
      </c>
      <c r="C447" s="1">
        <f>'mk 001 10.3'!C448</f>
        <v>0</v>
      </c>
      <c r="D447" s="1">
        <f>'mk 001 10.3'!D448</f>
        <v>0</v>
      </c>
      <c r="E447">
        <f>'mk 001 10.3'!E448</f>
        <v>0</v>
      </c>
      <c r="F447">
        <f>'mk 001 10.3'!F448</f>
        <v>0</v>
      </c>
      <c r="G447">
        <f>'mk 001 10.3'!G448</f>
        <v>0</v>
      </c>
      <c r="H447">
        <f>'mk 001 10.3'!H448</f>
        <v>0</v>
      </c>
      <c r="I447">
        <f>'mk 001 10.3'!I448</f>
        <v>0</v>
      </c>
      <c r="J447">
        <f>'mk 001 10.3'!J448</f>
        <v>0</v>
      </c>
      <c r="K447">
        <f>'mk 001 10.3'!K448</f>
        <v>0</v>
      </c>
      <c r="L447">
        <f>'mk 001 10.3'!L448</f>
        <v>0</v>
      </c>
      <c r="M447">
        <f>'mk 001 10.3'!M448</f>
        <v>0</v>
      </c>
      <c r="N447">
        <f>'mk 001 10.3'!N448</f>
        <v>0</v>
      </c>
      <c r="O447">
        <f>'mk 001 10.3'!O448</f>
        <v>0</v>
      </c>
      <c r="P447">
        <f>'mk 001 10.3'!P448</f>
        <v>0</v>
      </c>
      <c r="Q447">
        <f>'mk 001 10.3'!Q448</f>
        <v>0</v>
      </c>
      <c r="R447" s="1">
        <f>'mk 001 10.3'!R448</f>
        <v>0</v>
      </c>
      <c r="S447" s="1">
        <f>'mk 001 10.3'!S448</f>
        <v>0</v>
      </c>
      <c r="T447">
        <f>'mk 001 10.3'!T448</f>
        <v>0</v>
      </c>
      <c r="U447">
        <f>'mk 001 10.3'!U448</f>
        <v>0</v>
      </c>
      <c r="V447">
        <f>'mk 001 10.3'!V448</f>
        <v>0</v>
      </c>
      <c r="W447">
        <f>'mk 001 10.3'!W448</f>
        <v>0</v>
      </c>
      <c r="X447">
        <f>'mk 001 10.3'!X448</f>
        <v>0</v>
      </c>
      <c r="Y447">
        <f t="shared" si="7"/>
        <v>0</v>
      </c>
      <c r="Z447" s="13">
        <f>IF(COUNTIFS(แปลงข้อมูล!H:H,Q447,แปลงข้อมูล!I:I,U447,แปลงข้อมูล!J:J,V447)&gt;0,SUMIFS(แปลงข้อมูล!Q:Q,แปลงข้อมูล!I:I,U447,แปลงข้อมูล!H:H,Q447,แปลงข้อมูล!J:J,V447),'mk 001 10.3'!Z448)</f>
        <v>0</v>
      </c>
      <c r="AA447">
        <f>'mk 001 10.3'!AA448</f>
        <v>0</v>
      </c>
      <c r="AB447">
        <f>'mk 001 10.3'!AB448</f>
        <v>0</v>
      </c>
      <c r="AC447">
        <f>'mk 001 10.3'!AC448</f>
        <v>0</v>
      </c>
      <c r="AD447">
        <f>'mk 001 10.3'!AD448</f>
        <v>0</v>
      </c>
      <c r="AE447">
        <f>'mk 001 10.3'!AE448</f>
        <v>0</v>
      </c>
      <c r="AF447">
        <f>'mk 001 10.3'!AF448</f>
        <v>0</v>
      </c>
      <c r="AG447">
        <f>'mk 001 10.3'!AG448</f>
        <v>0</v>
      </c>
      <c r="AH447">
        <f>'mk 001 10.3'!AH448</f>
        <v>0</v>
      </c>
      <c r="AI447">
        <f>'mk 001 10.3'!AI448</f>
        <v>0</v>
      </c>
      <c r="AJ447">
        <f>'mk 001 10.3'!AJ448</f>
        <v>0</v>
      </c>
      <c r="AK447">
        <f>'mk 001 10.3'!AK448</f>
        <v>0</v>
      </c>
      <c r="AL447">
        <f>'mk 001 10.3'!AL448</f>
        <v>0</v>
      </c>
      <c r="AM447">
        <f>'mk 001 10.3'!AM448</f>
        <v>0</v>
      </c>
      <c r="AN447">
        <f>'mk 001 10.3'!AN448</f>
        <v>0</v>
      </c>
      <c r="AO447">
        <f>'mk 001 10.3'!AO448</f>
        <v>0</v>
      </c>
      <c r="AP447">
        <f>'mk 001 10.3'!AP448</f>
        <v>0</v>
      </c>
      <c r="AQ447">
        <f>'mk 001 10.3'!AQ448</f>
        <v>0</v>
      </c>
      <c r="AR447">
        <f>'mk 001 10.3'!AR448</f>
        <v>0</v>
      </c>
      <c r="AS447">
        <f>'mk 001 10.3'!AS448</f>
        <v>0</v>
      </c>
      <c r="AT447">
        <f>'mk 001 10.3'!AT448</f>
        <v>0</v>
      </c>
      <c r="AU447">
        <f>'mk 001 10.3'!AU448</f>
        <v>0</v>
      </c>
      <c r="AV447">
        <f>'mk 001 10.3'!AV448</f>
        <v>0</v>
      </c>
      <c r="AW447">
        <f>'mk 001 10.3'!AW448</f>
        <v>0</v>
      </c>
      <c r="AX447">
        <f>'mk 001 10.3'!AX448</f>
        <v>0</v>
      </c>
      <c r="AY447">
        <f>'mk 001 10.3'!AY448</f>
        <v>0</v>
      </c>
      <c r="AZ447">
        <f>'mk 001 10.3'!AZ448</f>
        <v>0</v>
      </c>
      <c r="BA447" s="22">
        <f>'mk 001 10.3'!BA448</f>
        <v>0</v>
      </c>
      <c r="BB447">
        <f>'mk 001 10.3'!BB448</f>
        <v>0</v>
      </c>
      <c r="BC447">
        <f>'mk 001 10.3'!BC448</f>
        <v>0</v>
      </c>
      <c r="BD447">
        <f>'mk 001 10.3'!BD448</f>
        <v>0</v>
      </c>
      <c r="BE447">
        <f>'mk 001 10.3'!BE448</f>
        <v>0</v>
      </c>
      <c r="BF447">
        <f>'mk 001 10.3'!BF448</f>
        <v>0</v>
      </c>
      <c r="BG447">
        <f>'mk 001 10.3'!BG448</f>
        <v>0</v>
      </c>
      <c r="BH447">
        <f>'mk 001 10.3'!BH448</f>
        <v>0</v>
      </c>
      <c r="BI447">
        <f>'mk 001 10.3'!BI448</f>
        <v>0</v>
      </c>
      <c r="BJ447">
        <f>'mk 001 10.3'!BJ448</f>
        <v>0</v>
      </c>
      <c r="BK447">
        <f>'mk 001 10.3'!BK448</f>
        <v>0</v>
      </c>
      <c r="BL447">
        <f>'mk 001 10.3'!BL448</f>
        <v>0</v>
      </c>
      <c r="BM447">
        <f>'mk 001 10.3'!BM448</f>
        <v>0</v>
      </c>
      <c r="BN447">
        <f>'mk 001 10.3'!BN448</f>
        <v>0</v>
      </c>
    </row>
    <row r="448" spans="1:66" x14ac:dyDescent="0.35">
      <c r="A448">
        <f>'mk 001 10.3'!A449</f>
        <v>0</v>
      </c>
      <c r="B448">
        <f>'mk 001 10.3'!B449</f>
        <v>0</v>
      </c>
      <c r="C448" s="1">
        <f>'mk 001 10.3'!C449</f>
        <v>0</v>
      </c>
      <c r="D448" s="1">
        <f>'mk 001 10.3'!D449</f>
        <v>0</v>
      </c>
      <c r="E448">
        <f>'mk 001 10.3'!E449</f>
        <v>0</v>
      </c>
      <c r="F448">
        <f>'mk 001 10.3'!F449</f>
        <v>0</v>
      </c>
      <c r="G448">
        <f>'mk 001 10.3'!G449</f>
        <v>0</v>
      </c>
      <c r="H448">
        <f>'mk 001 10.3'!H449</f>
        <v>0</v>
      </c>
      <c r="I448">
        <f>'mk 001 10.3'!I449</f>
        <v>0</v>
      </c>
      <c r="J448">
        <f>'mk 001 10.3'!J449</f>
        <v>0</v>
      </c>
      <c r="K448">
        <f>'mk 001 10.3'!K449</f>
        <v>0</v>
      </c>
      <c r="L448">
        <f>'mk 001 10.3'!L449</f>
        <v>0</v>
      </c>
      <c r="M448">
        <f>'mk 001 10.3'!M449</f>
        <v>0</v>
      </c>
      <c r="N448">
        <f>'mk 001 10.3'!N449</f>
        <v>0</v>
      </c>
      <c r="O448">
        <f>'mk 001 10.3'!O449</f>
        <v>0</v>
      </c>
      <c r="P448">
        <f>'mk 001 10.3'!P449</f>
        <v>0</v>
      </c>
      <c r="Q448">
        <f>'mk 001 10.3'!Q449</f>
        <v>0</v>
      </c>
      <c r="R448" s="1">
        <f>'mk 001 10.3'!R449</f>
        <v>0</v>
      </c>
      <c r="S448" s="1">
        <f>'mk 001 10.3'!S449</f>
        <v>0</v>
      </c>
      <c r="T448">
        <f>'mk 001 10.3'!T449</f>
        <v>0</v>
      </c>
      <c r="U448">
        <f>'mk 001 10.3'!U449</f>
        <v>0</v>
      </c>
      <c r="V448">
        <f>'mk 001 10.3'!V449</f>
        <v>0</v>
      </c>
      <c r="W448">
        <f>'mk 001 10.3'!W449</f>
        <v>0</v>
      </c>
      <c r="X448">
        <f>'mk 001 10.3'!X449</f>
        <v>0</v>
      </c>
      <c r="Y448">
        <f t="shared" si="7"/>
        <v>0</v>
      </c>
      <c r="Z448" s="13">
        <f>IF(COUNTIFS(แปลงข้อมูล!H:H,Q448,แปลงข้อมูล!I:I,U448,แปลงข้อมูล!J:J,V448)&gt;0,SUMIFS(แปลงข้อมูล!Q:Q,แปลงข้อมูล!I:I,U448,แปลงข้อมูล!H:H,Q448,แปลงข้อมูล!J:J,V448),'mk 001 10.3'!Z449)</f>
        <v>0</v>
      </c>
      <c r="AA448">
        <f>'mk 001 10.3'!AA449</f>
        <v>0</v>
      </c>
      <c r="AB448">
        <f>'mk 001 10.3'!AB449</f>
        <v>0</v>
      </c>
      <c r="AC448">
        <f>'mk 001 10.3'!AC449</f>
        <v>0</v>
      </c>
      <c r="AD448">
        <f>'mk 001 10.3'!AD449</f>
        <v>0</v>
      </c>
      <c r="AE448">
        <f>'mk 001 10.3'!AE449</f>
        <v>0</v>
      </c>
      <c r="AF448">
        <f>'mk 001 10.3'!AF449</f>
        <v>0</v>
      </c>
      <c r="AG448">
        <f>'mk 001 10.3'!AG449</f>
        <v>0</v>
      </c>
      <c r="AH448">
        <f>'mk 001 10.3'!AH449</f>
        <v>0</v>
      </c>
      <c r="AI448">
        <f>'mk 001 10.3'!AI449</f>
        <v>0</v>
      </c>
      <c r="AJ448">
        <f>'mk 001 10.3'!AJ449</f>
        <v>0</v>
      </c>
      <c r="AK448">
        <f>'mk 001 10.3'!AK449</f>
        <v>0</v>
      </c>
      <c r="AL448">
        <f>'mk 001 10.3'!AL449</f>
        <v>0</v>
      </c>
      <c r="AM448">
        <f>'mk 001 10.3'!AM449</f>
        <v>0</v>
      </c>
      <c r="AN448">
        <f>'mk 001 10.3'!AN449</f>
        <v>0</v>
      </c>
      <c r="AO448">
        <f>'mk 001 10.3'!AO449</f>
        <v>0</v>
      </c>
      <c r="AP448">
        <f>'mk 001 10.3'!AP449</f>
        <v>0</v>
      </c>
      <c r="AQ448">
        <f>'mk 001 10.3'!AQ449</f>
        <v>0</v>
      </c>
      <c r="AR448">
        <f>'mk 001 10.3'!AR449</f>
        <v>0</v>
      </c>
      <c r="AS448">
        <f>'mk 001 10.3'!AS449</f>
        <v>0</v>
      </c>
      <c r="AT448">
        <f>'mk 001 10.3'!AT449</f>
        <v>0</v>
      </c>
      <c r="AU448">
        <f>'mk 001 10.3'!AU449</f>
        <v>0</v>
      </c>
      <c r="AV448">
        <f>'mk 001 10.3'!AV449</f>
        <v>0</v>
      </c>
      <c r="AW448">
        <f>'mk 001 10.3'!AW449</f>
        <v>0</v>
      </c>
      <c r="AX448">
        <f>'mk 001 10.3'!AX449</f>
        <v>0</v>
      </c>
      <c r="AY448">
        <f>'mk 001 10.3'!AY449</f>
        <v>0</v>
      </c>
      <c r="AZ448">
        <f>'mk 001 10.3'!AZ449</f>
        <v>0</v>
      </c>
      <c r="BA448" s="22">
        <f>'mk 001 10.3'!BA449</f>
        <v>0</v>
      </c>
      <c r="BB448">
        <f>'mk 001 10.3'!BB449</f>
        <v>0</v>
      </c>
      <c r="BC448">
        <f>'mk 001 10.3'!BC449</f>
        <v>0</v>
      </c>
      <c r="BD448">
        <f>'mk 001 10.3'!BD449</f>
        <v>0</v>
      </c>
      <c r="BE448">
        <f>'mk 001 10.3'!BE449</f>
        <v>0</v>
      </c>
      <c r="BF448">
        <f>'mk 001 10.3'!BF449</f>
        <v>0</v>
      </c>
      <c r="BG448">
        <f>'mk 001 10.3'!BG449</f>
        <v>0</v>
      </c>
      <c r="BH448">
        <f>'mk 001 10.3'!BH449</f>
        <v>0</v>
      </c>
      <c r="BI448">
        <f>'mk 001 10.3'!BI449</f>
        <v>0</v>
      </c>
      <c r="BJ448">
        <f>'mk 001 10.3'!BJ449</f>
        <v>0</v>
      </c>
      <c r="BK448">
        <f>'mk 001 10.3'!BK449</f>
        <v>0</v>
      </c>
      <c r="BL448">
        <f>'mk 001 10.3'!BL449</f>
        <v>0</v>
      </c>
      <c r="BM448">
        <f>'mk 001 10.3'!BM449</f>
        <v>0</v>
      </c>
      <c r="BN448">
        <f>'mk 001 10.3'!BN449</f>
        <v>0</v>
      </c>
    </row>
    <row r="449" spans="1:66" x14ac:dyDescent="0.35">
      <c r="A449">
        <f>'mk 001 10.3'!A450</f>
        <v>0</v>
      </c>
      <c r="B449">
        <f>'mk 001 10.3'!B450</f>
        <v>0</v>
      </c>
      <c r="C449" s="1">
        <f>'mk 001 10.3'!C450</f>
        <v>0</v>
      </c>
      <c r="D449" s="1">
        <f>'mk 001 10.3'!D450</f>
        <v>0</v>
      </c>
      <c r="E449">
        <f>'mk 001 10.3'!E450</f>
        <v>0</v>
      </c>
      <c r="F449">
        <f>'mk 001 10.3'!F450</f>
        <v>0</v>
      </c>
      <c r="G449">
        <f>'mk 001 10.3'!G450</f>
        <v>0</v>
      </c>
      <c r="H449">
        <f>'mk 001 10.3'!H450</f>
        <v>0</v>
      </c>
      <c r="I449">
        <f>'mk 001 10.3'!I450</f>
        <v>0</v>
      </c>
      <c r="J449">
        <f>'mk 001 10.3'!J450</f>
        <v>0</v>
      </c>
      <c r="K449">
        <f>'mk 001 10.3'!K450</f>
        <v>0</v>
      </c>
      <c r="L449">
        <f>'mk 001 10.3'!L450</f>
        <v>0</v>
      </c>
      <c r="M449">
        <f>'mk 001 10.3'!M450</f>
        <v>0</v>
      </c>
      <c r="N449">
        <f>'mk 001 10.3'!N450</f>
        <v>0</v>
      </c>
      <c r="O449">
        <f>'mk 001 10.3'!O450</f>
        <v>0</v>
      </c>
      <c r="P449">
        <f>'mk 001 10.3'!P450</f>
        <v>0</v>
      </c>
      <c r="Q449">
        <f>'mk 001 10.3'!Q450</f>
        <v>0</v>
      </c>
      <c r="R449" s="1">
        <f>'mk 001 10.3'!R450</f>
        <v>0</v>
      </c>
      <c r="S449" s="1">
        <f>'mk 001 10.3'!S450</f>
        <v>0</v>
      </c>
      <c r="T449">
        <f>'mk 001 10.3'!T450</f>
        <v>0</v>
      </c>
      <c r="U449">
        <f>'mk 001 10.3'!U450</f>
        <v>0</v>
      </c>
      <c r="V449">
        <f>'mk 001 10.3'!V450</f>
        <v>0</v>
      </c>
      <c r="W449">
        <f>'mk 001 10.3'!W450</f>
        <v>0</v>
      </c>
      <c r="X449">
        <f>'mk 001 10.3'!X450</f>
        <v>0</v>
      </c>
      <c r="Y449">
        <f t="shared" si="7"/>
        <v>0</v>
      </c>
      <c r="Z449" s="13">
        <f>IF(COUNTIFS(แปลงข้อมูล!H:H,Q449,แปลงข้อมูล!I:I,U449,แปลงข้อมูล!J:J,V449)&gt;0,SUMIFS(แปลงข้อมูล!Q:Q,แปลงข้อมูล!I:I,U449,แปลงข้อมูล!H:H,Q449,แปลงข้อมูล!J:J,V449),'mk 001 10.3'!Z450)</f>
        <v>0</v>
      </c>
      <c r="AA449">
        <f>'mk 001 10.3'!AA450</f>
        <v>0</v>
      </c>
      <c r="AB449">
        <f>'mk 001 10.3'!AB450</f>
        <v>0</v>
      </c>
      <c r="AC449">
        <f>'mk 001 10.3'!AC450</f>
        <v>0</v>
      </c>
      <c r="AD449">
        <f>'mk 001 10.3'!AD450</f>
        <v>0</v>
      </c>
      <c r="AE449">
        <f>'mk 001 10.3'!AE450</f>
        <v>0</v>
      </c>
      <c r="AF449">
        <f>'mk 001 10.3'!AF450</f>
        <v>0</v>
      </c>
      <c r="AG449">
        <f>'mk 001 10.3'!AG450</f>
        <v>0</v>
      </c>
      <c r="AH449">
        <f>'mk 001 10.3'!AH450</f>
        <v>0</v>
      </c>
      <c r="AI449">
        <f>'mk 001 10.3'!AI450</f>
        <v>0</v>
      </c>
      <c r="AJ449">
        <f>'mk 001 10.3'!AJ450</f>
        <v>0</v>
      </c>
      <c r="AK449">
        <f>'mk 001 10.3'!AK450</f>
        <v>0</v>
      </c>
      <c r="AL449">
        <f>'mk 001 10.3'!AL450</f>
        <v>0</v>
      </c>
      <c r="AM449">
        <f>'mk 001 10.3'!AM450</f>
        <v>0</v>
      </c>
      <c r="AN449">
        <f>'mk 001 10.3'!AN450</f>
        <v>0</v>
      </c>
      <c r="AO449">
        <f>'mk 001 10.3'!AO450</f>
        <v>0</v>
      </c>
      <c r="AP449">
        <f>'mk 001 10.3'!AP450</f>
        <v>0</v>
      </c>
      <c r="AQ449">
        <f>'mk 001 10.3'!AQ450</f>
        <v>0</v>
      </c>
      <c r="AR449">
        <f>'mk 001 10.3'!AR450</f>
        <v>0</v>
      </c>
      <c r="AS449">
        <f>'mk 001 10.3'!AS450</f>
        <v>0</v>
      </c>
      <c r="AT449">
        <f>'mk 001 10.3'!AT450</f>
        <v>0</v>
      </c>
      <c r="AU449">
        <f>'mk 001 10.3'!AU450</f>
        <v>0</v>
      </c>
      <c r="AV449">
        <f>'mk 001 10.3'!AV450</f>
        <v>0</v>
      </c>
      <c r="AW449">
        <f>'mk 001 10.3'!AW450</f>
        <v>0</v>
      </c>
      <c r="AX449">
        <f>'mk 001 10.3'!AX450</f>
        <v>0</v>
      </c>
      <c r="AY449">
        <f>'mk 001 10.3'!AY450</f>
        <v>0</v>
      </c>
      <c r="AZ449">
        <f>'mk 001 10.3'!AZ450</f>
        <v>0</v>
      </c>
      <c r="BA449" s="22">
        <f>'mk 001 10.3'!BA450</f>
        <v>0</v>
      </c>
      <c r="BB449">
        <f>'mk 001 10.3'!BB450</f>
        <v>0</v>
      </c>
      <c r="BC449">
        <f>'mk 001 10.3'!BC450</f>
        <v>0</v>
      </c>
      <c r="BD449">
        <f>'mk 001 10.3'!BD450</f>
        <v>0</v>
      </c>
      <c r="BE449">
        <f>'mk 001 10.3'!BE450</f>
        <v>0</v>
      </c>
      <c r="BF449">
        <f>'mk 001 10.3'!BF450</f>
        <v>0</v>
      </c>
      <c r="BG449">
        <f>'mk 001 10.3'!BG450</f>
        <v>0</v>
      </c>
      <c r="BH449">
        <f>'mk 001 10.3'!BH450</f>
        <v>0</v>
      </c>
      <c r="BI449">
        <f>'mk 001 10.3'!BI450</f>
        <v>0</v>
      </c>
      <c r="BJ449">
        <f>'mk 001 10.3'!BJ450</f>
        <v>0</v>
      </c>
      <c r="BK449">
        <f>'mk 001 10.3'!BK450</f>
        <v>0</v>
      </c>
      <c r="BL449">
        <f>'mk 001 10.3'!BL450</f>
        <v>0</v>
      </c>
      <c r="BM449">
        <f>'mk 001 10.3'!BM450</f>
        <v>0</v>
      </c>
      <c r="BN449">
        <f>'mk 001 10.3'!BN450</f>
        <v>0</v>
      </c>
    </row>
    <row r="450" spans="1:66" x14ac:dyDescent="0.35">
      <c r="A450">
        <f>'mk 001 10.3'!A451</f>
        <v>0</v>
      </c>
      <c r="B450">
        <f>'mk 001 10.3'!B451</f>
        <v>0</v>
      </c>
      <c r="C450" s="1">
        <f>'mk 001 10.3'!C451</f>
        <v>0</v>
      </c>
      <c r="D450" s="1">
        <f>'mk 001 10.3'!D451</f>
        <v>0</v>
      </c>
      <c r="E450">
        <f>'mk 001 10.3'!E451</f>
        <v>0</v>
      </c>
      <c r="F450">
        <f>'mk 001 10.3'!F451</f>
        <v>0</v>
      </c>
      <c r="G450">
        <f>'mk 001 10.3'!G451</f>
        <v>0</v>
      </c>
      <c r="H450">
        <f>'mk 001 10.3'!H451</f>
        <v>0</v>
      </c>
      <c r="I450">
        <f>'mk 001 10.3'!I451</f>
        <v>0</v>
      </c>
      <c r="J450">
        <f>'mk 001 10.3'!J451</f>
        <v>0</v>
      </c>
      <c r="K450">
        <f>'mk 001 10.3'!K451</f>
        <v>0</v>
      </c>
      <c r="L450">
        <f>'mk 001 10.3'!L451</f>
        <v>0</v>
      </c>
      <c r="M450">
        <f>'mk 001 10.3'!M451</f>
        <v>0</v>
      </c>
      <c r="N450">
        <f>'mk 001 10.3'!N451</f>
        <v>0</v>
      </c>
      <c r="O450">
        <f>'mk 001 10.3'!O451</f>
        <v>0</v>
      </c>
      <c r="P450">
        <f>'mk 001 10.3'!P451</f>
        <v>0</v>
      </c>
      <c r="Q450">
        <f>'mk 001 10.3'!Q451</f>
        <v>0</v>
      </c>
      <c r="R450" s="1">
        <f>'mk 001 10.3'!R451</f>
        <v>0</v>
      </c>
      <c r="S450" s="1">
        <f>'mk 001 10.3'!S451</f>
        <v>0</v>
      </c>
      <c r="T450">
        <f>'mk 001 10.3'!T451</f>
        <v>0</v>
      </c>
      <c r="U450">
        <f>'mk 001 10.3'!U451</f>
        <v>0</v>
      </c>
      <c r="V450">
        <f>'mk 001 10.3'!V451</f>
        <v>0</v>
      </c>
      <c r="W450">
        <f>'mk 001 10.3'!W451</f>
        <v>0</v>
      </c>
      <c r="X450">
        <f>'mk 001 10.3'!X451</f>
        <v>0</v>
      </c>
      <c r="Y450">
        <f t="shared" si="7"/>
        <v>0</v>
      </c>
      <c r="Z450" s="13">
        <f>IF(COUNTIFS(แปลงข้อมูล!H:H,Q450,แปลงข้อมูล!I:I,U450,แปลงข้อมูล!J:J,V450)&gt;0,SUMIFS(แปลงข้อมูล!Q:Q,แปลงข้อมูล!I:I,U450,แปลงข้อมูล!H:H,Q450,แปลงข้อมูล!J:J,V450),'mk 001 10.3'!Z451)</f>
        <v>0</v>
      </c>
      <c r="AA450">
        <f>'mk 001 10.3'!AA451</f>
        <v>0</v>
      </c>
      <c r="AB450">
        <f>'mk 001 10.3'!AB451</f>
        <v>0</v>
      </c>
      <c r="AC450">
        <f>'mk 001 10.3'!AC451</f>
        <v>0</v>
      </c>
      <c r="AD450">
        <f>'mk 001 10.3'!AD451</f>
        <v>0</v>
      </c>
      <c r="AE450">
        <f>'mk 001 10.3'!AE451</f>
        <v>0</v>
      </c>
      <c r="AF450">
        <f>'mk 001 10.3'!AF451</f>
        <v>0</v>
      </c>
      <c r="AG450">
        <f>'mk 001 10.3'!AG451</f>
        <v>0</v>
      </c>
      <c r="AH450">
        <f>'mk 001 10.3'!AH451</f>
        <v>0</v>
      </c>
      <c r="AI450">
        <f>'mk 001 10.3'!AI451</f>
        <v>0</v>
      </c>
      <c r="AJ450">
        <f>'mk 001 10.3'!AJ451</f>
        <v>0</v>
      </c>
      <c r="AK450">
        <f>'mk 001 10.3'!AK451</f>
        <v>0</v>
      </c>
      <c r="AL450">
        <f>'mk 001 10.3'!AL451</f>
        <v>0</v>
      </c>
      <c r="AM450">
        <f>'mk 001 10.3'!AM451</f>
        <v>0</v>
      </c>
      <c r="AN450">
        <f>'mk 001 10.3'!AN451</f>
        <v>0</v>
      </c>
      <c r="AO450">
        <f>'mk 001 10.3'!AO451</f>
        <v>0</v>
      </c>
      <c r="AP450">
        <f>'mk 001 10.3'!AP451</f>
        <v>0</v>
      </c>
      <c r="AQ450">
        <f>'mk 001 10.3'!AQ451</f>
        <v>0</v>
      </c>
      <c r="AR450">
        <f>'mk 001 10.3'!AR451</f>
        <v>0</v>
      </c>
      <c r="AS450">
        <f>'mk 001 10.3'!AS451</f>
        <v>0</v>
      </c>
      <c r="AT450">
        <f>'mk 001 10.3'!AT451</f>
        <v>0</v>
      </c>
      <c r="AU450">
        <f>'mk 001 10.3'!AU451</f>
        <v>0</v>
      </c>
      <c r="AV450">
        <f>'mk 001 10.3'!AV451</f>
        <v>0</v>
      </c>
      <c r="AW450">
        <f>'mk 001 10.3'!AW451</f>
        <v>0</v>
      </c>
      <c r="AX450">
        <f>'mk 001 10.3'!AX451</f>
        <v>0</v>
      </c>
      <c r="AY450">
        <f>'mk 001 10.3'!AY451</f>
        <v>0</v>
      </c>
      <c r="AZ450">
        <f>'mk 001 10.3'!AZ451</f>
        <v>0</v>
      </c>
      <c r="BA450" s="22">
        <f>'mk 001 10.3'!BA451</f>
        <v>0</v>
      </c>
      <c r="BB450">
        <f>'mk 001 10.3'!BB451</f>
        <v>0</v>
      </c>
      <c r="BC450">
        <f>'mk 001 10.3'!BC451</f>
        <v>0</v>
      </c>
      <c r="BD450">
        <f>'mk 001 10.3'!BD451</f>
        <v>0</v>
      </c>
      <c r="BE450">
        <f>'mk 001 10.3'!BE451</f>
        <v>0</v>
      </c>
      <c r="BF450">
        <f>'mk 001 10.3'!BF451</f>
        <v>0</v>
      </c>
      <c r="BG450">
        <f>'mk 001 10.3'!BG451</f>
        <v>0</v>
      </c>
      <c r="BH450">
        <f>'mk 001 10.3'!BH451</f>
        <v>0</v>
      </c>
      <c r="BI450">
        <f>'mk 001 10.3'!BI451</f>
        <v>0</v>
      </c>
      <c r="BJ450">
        <f>'mk 001 10.3'!BJ451</f>
        <v>0</v>
      </c>
      <c r="BK450">
        <f>'mk 001 10.3'!BK451</f>
        <v>0</v>
      </c>
      <c r="BL450">
        <f>'mk 001 10.3'!BL451</f>
        <v>0</v>
      </c>
      <c r="BM450">
        <f>'mk 001 10.3'!BM451</f>
        <v>0</v>
      </c>
      <c r="BN450">
        <f>'mk 001 10.3'!BN451</f>
        <v>0</v>
      </c>
    </row>
    <row r="451" spans="1:66" x14ac:dyDescent="0.35">
      <c r="A451">
        <f>'mk 001 10.3'!A452</f>
        <v>0</v>
      </c>
      <c r="B451">
        <f>'mk 001 10.3'!B452</f>
        <v>0</v>
      </c>
      <c r="C451" s="1">
        <f>'mk 001 10.3'!C452</f>
        <v>0</v>
      </c>
      <c r="D451" s="1">
        <f>'mk 001 10.3'!D452</f>
        <v>0</v>
      </c>
      <c r="E451">
        <f>'mk 001 10.3'!E452</f>
        <v>0</v>
      </c>
      <c r="F451">
        <f>'mk 001 10.3'!F452</f>
        <v>0</v>
      </c>
      <c r="G451">
        <f>'mk 001 10.3'!G452</f>
        <v>0</v>
      </c>
      <c r="H451">
        <f>'mk 001 10.3'!H452</f>
        <v>0</v>
      </c>
      <c r="I451">
        <f>'mk 001 10.3'!I452</f>
        <v>0</v>
      </c>
      <c r="J451">
        <f>'mk 001 10.3'!J452</f>
        <v>0</v>
      </c>
      <c r="K451">
        <f>'mk 001 10.3'!K452</f>
        <v>0</v>
      </c>
      <c r="L451">
        <f>'mk 001 10.3'!L452</f>
        <v>0</v>
      </c>
      <c r="M451">
        <f>'mk 001 10.3'!M452</f>
        <v>0</v>
      </c>
      <c r="N451">
        <f>'mk 001 10.3'!N452</f>
        <v>0</v>
      </c>
      <c r="O451">
        <f>'mk 001 10.3'!O452</f>
        <v>0</v>
      </c>
      <c r="P451">
        <f>'mk 001 10.3'!P452</f>
        <v>0</v>
      </c>
      <c r="Q451">
        <f>'mk 001 10.3'!Q452</f>
        <v>0</v>
      </c>
      <c r="R451" s="1">
        <f>'mk 001 10.3'!R452</f>
        <v>0</v>
      </c>
      <c r="S451" s="1">
        <f>'mk 001 10.3'!S452</f>
        <v>0</v>
      </c>
      <c r="T451">
        <f>'mk 001 10.3'!T452</f>
        <v>0</v>
      </c>
      <c r="U451">
        <f>'mk 001 10.3'!U452</f>
        <v>0</v>
      </c>
      <c r="V451">
        <f>'mk 001 10.3'!V452</f>
        <v>0</v>
      </c>
      <c r="W451">
        <f>'mk 001 10.3'!W452</f>
        <v>0</v>
      </c>
      <c r="X451">
        <f>'mk 001 10.3'!X452</f>
        <v>0</v>
      </c>
      <c r="Y451">
        <f t="shared" si="7"/>
        <v>0</v>
      </c>
      <c r="Z451" s="13">
        <f>IF(COUNTIFS(แปลงข้อมูล!H:H,Q451,แปลงข้อมูล!I:I,U451,แปลงข้อมูล!J:J,V451)&gt;0,SUMIFS(แปลงข้อมูล!Q:Q,แปลงข้อมูล!I:I,U451,แปลงข้อมูล!H:H,Q451,แปลงข้อมูล!J:J,V451),'mk 001 10.3'!Z452)</f>
        <v>0</v>
      </c>
      <c r="AA451">
        <f>'mk 001 10.3'!AA452</f>
        <v>0</v>
      </c>
      <c r="AB451">
        <f>'mk 001 10.3'!AB452</f>
        <v>0</v>
      </c>
      <c r="AC451">
        <f>'mk 001 10.3'!AC452</f>
        <v>0</v>
      </c>
      <c r="AD451">
        <f>'mk 001 10.3'!AD452</f>
        <v>0</v>
      </c>
      <c r="AE451">
        <f>'mk 001 10.3'!AE452</f>
        <v>0</v>
      </c>
      <c r="AF451">
        <f>'mk 001 10.3'!AF452</f>
        <v>0</v>
      </c>
      <c r="AG451">
        <f>'mk 001 10.3'!AG452</f>
        <v>0</v>
      </c>
      <c r="AH451">
        <f>'mk 001 10.3'!AH452</f>
        <v>0</v>
      </c>
      <c r="AI451">
        <f>'mk 001 10.3'!AI452</f>
        <v>0</v>
      </c>
      <c r="AJ451">
        <f>'mk 001 10.3'!AJ452</f>
        <v>0</v>
      </c>
      <c r="AK451">
        <f>'mk 001 10.3'!AK452</f>
        <v>0</v>
      </c>
      <c r="AL451">
        <f>'mk 001 10.3'!AL452</f>
        <v>0</v>
      </c>
      <c r="AM451">
        <f>'mk 001 10.3'!AM452</f>
        <v>0</v>
      </c>
      <c r="AN451">
        <f>'mk 001 10.3'!AN452</f>
        <v>0</v>
      </c>
      <c r="AO451">
        <f>'mk 001 10.3'!AO452</f>
        <v>0</v>
      </c>
      <c r="AP451">
        <f>'mk 001 10.3'!AP452</f>
        <v>0</v>
      </c>
      <c r="AQ451">
        <f>'mk 001 10.3'!AQ452</f>
        <v>0</v>
      </c>
      <c r="AR451">
        <f>'mk 001 10.3'!AR452</f>
        <v>0</v>
      </c>
      <c r="AS451">
        <f>'mk 001 10.3'!AS452</f>
        <v>0</v>
      </c>
      <c r="AT451">
        <f>'mk 001 10.3'!AT452</f>
        <v>0</v>
      </c>
      <c r="AU451">
        <f>'mk 001 10.3'!AU452</f>
        <v>0</v>
      </c>
      <c r="AV451">
        <f>'mk 001 10.3'!AV452</f>
        <v>0</v>
      </c>
      <c r="AW451">
        <f>'mk 001 10.3'!AW452</f>
        <v>0</v>
      </c>
      <c r="AX451">
        <f>'mk 001 10.3'!AX452</f>
        <v>0</v>
      </c>
      <c r="AY451">
        <f>'mk 001 10.3'!AY452</f>
        <v>0</v>
      </c>
      <c r="AZ451">
        <f>'mk 001 10.3'!AZ452</f>
        <v>0</v>
      </c>
      <c r="BA451" s="22">
        <f>'mk 001 10.3'!BA452</f>
        <v>0</v>
      </c>
      <c r="BB451">
        <f>'mk 001 10.3'!BB452</f>
        <v>0</v>
      </c>
      <c r="BC451">
        <f>'mk 001 10.3'!BC452</f>
        <v>0</v>
      </c>
      <c r="BD451">
        <f>'mk 001 10.3'!BD452</f>
        <v>0</v>
      </c>
      <c r="BE451">
        <f>'mk 001 10.3'!BE452</f>
        <v>0</v>
      </c>
      <c r="BF451">
        <f>'mk 001 10.3'!BF452</f>
        <v>0</v>
      </c>
      <c r="BG451">
        <f>'mk 001 10.3'!BG452</f>
        <v>0</v>
      </c>
      <c r="BH451">
        <f>'mk 001 10.3'!BH452</f>
        <v>0</v>
      </c>
      <c r="BI451">
        <f>'mk 001 10.3'!BI452</f>
        <v>0</v>
      </c>
      <c r="BJ451">
        <f>'mk 001 10.3'!BJ452</f>
        <v>0</v>
      </c>
      <c r="BK451">
        <f>'mk 001 10.3'!BK452</f>
        <v>0</v>
      </c>
      <c r="BL451">
        <f>'mk 001 10.3'!BL452</f>
        <v>0</v>
      </c>
      <c r="BM451">
        <f>'mk 001 10.3'!BM452</f>
        <v>0</v>
      </c>
      <c r="BN451">
        <f>'mk 001 10.3'!BN452</f>
        <v>0</v>
      </c>
    </row>
    <row r="452" spans="1:66" x14ac:dyDescent="0.35">
      <c r="A452">
        <f>'mk 001 10.3'!A453</f>
        <v>0</v>
      </c>
      <c r="B452">
        <f>'mk 001 10.3'!B453</f>
        <v>0</v>
      </c>
      <c r="C452" s="1">
        <f>'mk 001 10.3'!C453</f>
        <v>0</v>
      </c>
      <c r="D452" s="1">
        <f>'mk 001 10.3'!D453</f>
        <v>0</v>
      </c>
      <c r="E452">
        <f>'mk 001 10.3'!E453</f>
        <v>0</v>
      </c>
      <c r="F452">
        <f>'mk 001 10.3'!F453</f>
        <v>0</v>
      </c>
      <c r="G452">
        <f>'mk 001 10.3'!G453</f>
        <v>0</v>
      </c>
      <c r="H452">
        <f>'mk 001 10.3'!H453</f>
        <v>0</v>
      </c>
      <c r="I452">
        <f>'mk 001 10.3'!I453</f>
        <v>0</v>
      </c>
      <c r="J452">
        <f>'mk 001 10.3'!J453</f>
        <v>0</v>
      </c>
      <c r="K452">
        <f>'mk 001 10.3'!K453</f>
        <v>0</v>
      </c>
      <c r="L452">
        <f>'mk 001 10.3'!L453</f>
        <v>0</v>
      </c>
      <c r="M452">
        <f>'mk 001 10.3'!M453</f>
        <v>0</v>
      </c>
      <c r="N452">
        <f>'mk 001 10.3'!N453</f>
        <v>0</v>
      </c>
      <c r="O452">
        <f>'mk 001 10.3'!O453</f>
        <v>0</v>
      </c>
      <c r="P452">
        <f>'mk 001 10.3'!P453</f>
        <v>0</v>
      </c>
      <c r="Q452">
        <f>'mk 001 10.3'!Q453</f>
        <v>0</v>
      </c>
      <c r="R452" s="1">
        <f>'mk 001 10.3'!R453</f>
        <v>0</v>
      </c>
      <c r="S452" s="1">
        <f>'mk 001 10.3'!S453</f>
        <v>0</v>
      </c>
      <c r="T452">
        <f>'mk 001 10.3'!T453</f>
        <v>0</v>
      </c>
      <c r="U452">
        <f>'mk 001 10.3'!U453</f>
        <v>0</v>
      </c>
      <c r="V452">
        <f>'mk 001 10.3'!V453</f>
        <v>0</v>
      </c>
      <c r="W452">
        <f>'mk 001 10.3'!W453</f>
        <v>0</v>
      </c>
      <c r="X452">
        <f>'mk 001 10.3'!X453</f>
        <v>0</v>
      </c>
      <c r="Y452">
        <f t="shared" si="7"/>
        <v>0</v>
      </c>
      <c r="Z452" s="13">
        <f>IF(COUNTIFS(แปลงข้อมูล!H:H,Q452,แปลงข้อมูล!I:I,U452,แปลงข้อมูล!J:J,V452)&gt;0,SUMIFS(แปลงข้อมูล!Q:Q,แปลงข้อมูล!I:I,U452,แปลงข้อมูล!H:H,Q452,แปลงข้อมูล!J:J,V452),'mk 001 10.3'!Z453)</f>
        <v>0</v>
      </c>
      <c r="AA452">
        <f>'mk 001 10.3'!AA453</f>
        <v>0</v>
      </c>
      <c r="AB452">
        <f>'mk 001 10.3'!AB453</f>
        <v>0</v>
      </c>
      <c r="AC452">
        <f>'mk 001 10.3'!AC453</f>
        <v>0</v>
      </c>
      <c r="AD452">
        <f>'mk 001 10.3'!AD453</f>
        <v>0</v>
      </c>
      <c r="AE452">
        <f>'mk 001 10.3'!AE453</f>
        <v>0</v>
      </c>
      <c r="AF452">
        <f>'mk 001 10.3'!AF453</f>
        <v>0</v>
      </c>
      <c r="AG452">
        <f>'mk 001 10.3'!AG453</f>
        <v>0</v>
      </c>
      <c r="AH452">
        <f>'mk 001 10.3'!AH453</f>
        <v>0</v>
      </c>
      <c r="AI452">
        <f>'mk 001 10.3'!AI453</f>
        <v>0</v>
      </c>
      <c r="AJ452">
        <f>'mk 001 10.3'!AJ453</f>
        <v>0</v>
      </c>
      <c r="AK452">
        <f>'mk 001 10.3'!AK453</f>
        <v>0</v>
      </c>
      <c r="AL452">
        <f>'mk 001 10.3'!AL453</f>
        <v>0</v>
      </c>
      <c r="AM452">
        <f>'mk 001 10.3'!AM453</f>
        <v>0</v>
      </c>
      <c r="AN452">
        <f>'mk 001 10.3'!AN453</f>
        <v>0</v>
      </c>
      <c r="AO452">
        <f>'mk 001 10.3'!AO453</f>
        <v>0</v>
      </c>
      <c r="AP452">
        <f>'mk 001 10.3'!AP453</f>
        <v>0</v>
      </c>
      <c r="AQ452">
        <f>'mk 001 10.3'!AQ453</f>
        <v>0</v>
      </c>
      <c r="AR452">
        <f>'mk 001 10.3'!AR453</f>
        <v>0</v>
      </c>
      <c r="AS452">
        <f>'mk 001 10.3'!AS453</f>
        <v>0</v>
      </c>
      <c r="AT452">
        <f>'mk 001 10.3'!AT453</f>
        <v>0</v>
      </c>
      <c r="AU452">
        <f>'mk 001 10.3'!AU453</f>
        <v>0</v>
      </c>
      <c r="AV452">
        <f>'mk 001 10.3'!AV453</f>
        <v>0</v>
      </c>
      <c r="AW452">
        <f>'mk 001 10.3'!AW453</f>
        <v>0</v>
      </c>
      <c r="AX452">
        <f>'mk 001 10.3'!AX453</f>
        <v>0</v>
      </c>
      <c r="AY452">
        <f>'mk 001 10.3'!AY453</f>
        <v>0</v>
      </c>
      <c r="AZ452">
        <f>'mk 001 10.3'!AZ453</f>
        <v>0</v>
      </c>
      <c r="BA452" s="22">
        <f>'mk 001 10.3'!BA453</f>
        <v>0</v>
      </c>
      <c r="BB452">
        <f>'mk 001 10.3'!BB453</f>
        <v>0</v>
      </c>
      <c r="BC452">
        <f>'mk 001 10.3'!BC453</f>
        <v>0</v>
      </c>
      <c r="BD452">
        <f>'mk 001 10.3'!BD453</f>
        <v>0</v>
      </c>
      <c r="BE452">
        <f>'mk 001 10.3'!BE453</f>
        <v>0</v>
      </c>
      <c r="BF452">
        <f>'mk 001 10.3'!BF453</f>
        <v>0</v>
      </c>
      <c r="BG452">
        <f>'mk 001 10.3'!BG453</f>
        <v>0</v>
      </c>
      <c r="BH452">
        <f>'mk 001 10.3'!BH453</f>
        <v>0</v>
      </c>
      <c r="BI452">
        <f>'mk 001 10.3'!BI453</f>
        <v>0</v>
      </c>
      <c r="BJ452">
        <f>'mk 001 10.3'!BJ453</f>
        <v>0</v>
      </c>
      <c r="BK452">
        <f>'mk 001 10.3'!BK453</f>
        <v>0</v>
      </c>
      <c r="BL452">
        <f>'mk 001 10.3'!BL453</f>
        <v>0</v>
      </c>
      <c r="BM452">
        <f>'mk 001 10.3'!BM453</f>
        <v>0</v>
      </c>
      <c r="BN452">
        <f>'mk 001 10.3'!BN453</f>
        <v>0</v>
      </c>
    </row>
    <row r="453" spans="1:66" x14ac:dyDescent="0.35">
      <c r="A453">
        <f>'mk 001 10.3'!A454</f>
        <v>0</v>
      </c>
      <c r="B453">
        <f>'mk 001 10.3'!B454</f>
        <v>0</v>
      </c>
      <c r="C453" s="1">
        <f>'mk 001 10.3'!C454</f>
        <v>0</v>
      </c>
      <c r="D453" s="1">
        <f>'mk 001 10.3'!D454</f>
        <v>0</v>
      </c>
      <c r="E453">
        <f>'mk 001 10.3'!E454</f>
        <v>0</v>
      </c>
      <c r="F453">
        <f>'mk 001 10.3'!F454</f>
        <v>0</v>
      </c>
      <c r="G453">
        <f>'mk 001 10.3'!G454</f>
        <v>0</v>
      </c>
      <c r="H453">
        <f>'mk 001 10.3'!H454</f>
        <v>0</v>
      </c>
      <c r="I453">
        <f>'mk 001 10.3'!I454</f>
        <v>0</v>
      </c>
      <c r="J453">
        <f>'mk 001 10.3'!J454</f>
        <v>0</v>
      </c>
      <c r="K453">
        <f>'mk 001 10.3'!K454</f>
        <v>0</v>
      </c>
      <c r="L453">
        <f>'mk 001 10.3'!L454</f>
        <v>0</v>
      </c>
      <c r="M453">
        <f>'mk 001 10.3'!M454</f>
        <v>0</v>
      </c>
      <c r="N453">
        <f>'mk 001 10.3'!N454</f>
        <v>0</v>
      </c>
      <c r="O453">
        <f>'mk 001 10.3'!O454</f>
        <v>0</v>
      </c>
      <c r="P453">
        <f>'mk 001 10.3'!P454</f>
        <v>0</v>
      </c>
      <c r="Q453">
        <f>'mk 001 10.3'!Q454</f>
        <v>0</v>
      </c>
      <c r="R453" s="1">
        <f>'mk 001 10.3'!R454</f>
        <v>0</v>
      </c>
      <c r="S453" s="1">
        <f>'mk 001 10.3'!S454</f>
        <v>0</v>
      </c>
      <c r="T453">
        <f>'mk 001 10.3'!T454</f>
        <v>0</v>
      </c>
      <c r="U453">
        <f>'mk 001 10.3'!U454</f>
        <v>0</v>
      </c>
      <c r="V453">
        <f>'mk 001 10.3'!V454</f>
        <v>0</v>
      </c>
      <c r="W453">
        <f>'mk 001 10.3'!W454</f>
        <v>0</v>
      </c>
      <c r="X453">
        <f>'mk 001 10.3'!X454</f>
        <v>0</v>
      </c>
      <c r="Y453">
        <f t="shared" si="7"/>
        <v>0</v>
      </c>
      <c r="Z453" s="13">
        <f>IF(COUNTIFS(แปลงข้อมูล!H:H,Q453,แปลงข้อมูล!I:I,U453,แปลงข้อมูล!J:J,V453)&gt;0,SUMIFS(แปลงข้อมูล!Q:Q,แปลงข้อมูล!I:I,U453,แปลงข้อมูล!H:H,Q453,แปลงข้อมูล!J:J,V453),'mk 001 10.3'!Z454)</f>
        <v>0</v>
      </c>
      <c r="AA453">
        <f>'mk 001 10.3'!AA454</f>
        <v>0</v>
      </c>
      <c r="AB453">
        <f>'mk 001 10.3'!AB454</f>
        <v>0</v>
      </c>
      <c r="AC453">
        <f>'mk 001 10.3'!AC454</f>
        <v>0</v>
      </c>
      <c r="AD453">
        <f>'mk 001 10.3'!AD454</f>
        <v>0</v>
      </c>
      <c r="AE453">
        <f>'mk 001 10.3'!AE454</f>
        <v>0</v>
      </c>
      <c r="AF453">
        <f>'mk 001 10.3'!AF454</f>
        <v>0</v>
      </c>
      <c r="AG453">
        <f>'mk 001 10.3'!AG454</f>
        <v>0</v>
      </c>
      <c r="AH453">
        <f>'mk 001 10.3'!AH454</f>
        <v>0</v>
      </c>
      <c r="AI453">
        <f>'mk 001 10.3'!AI454</f>
        <v>0</v>
      </c>
      <c r="AJ453">
        <f>'mk 001 10.3'!AJ454</f>
        <v>0</v>
      </c>
      <c r="AK453">
        <f>'mk 001 10.3'!AK454</f>
        <v>0</v>
      </c>
      <c r="AL453">
        <f>'mk 001 10.3'!AL454</f>
        <v>0</v>
      </c>
      <c r="AM453">
        <f>'mk 001 10.3'!AM454</f>
        <v>0</v>
      </c>
      <c r="AN453">
        <f>'mk 001 10.3'!AN454</f>
        <v>0</v>
      </c>
      <c r="AO453">
        <f>'mk 001 10.3'!AO454</f>
        <v>0</v>
      </c>
      <c r="AP453">
        <f>'mk 001 10.3'!AP454</f>
        <v>0</v>
      </c>
      <c r="AQ453">
        <f>'mk 001 10.3'!AQ454</f>
        <v>0</v>
      </c>
      <c r="AR453">
        <f>'mk 001 10.3'!AR454</f>
        <v>0</v>
      </c>
      <c r="AS453">
        <f>'mk 001 10.3'!AS454</f>
        <v>0</v>
      </c>
      <c r="AT453">
        <f>'mk 001 10.3'!AT454</f>
        <v>0</v>
      </c>
      <c r="AU453">
        <f>'mk 001 10.3'!AU454</f>
        <v>0</v>
      </c>
      <c r="AV453">
        <f>'mk 001 10.3'!AV454</f>
        <v>0</v>
      </c>
      <c r="AW453">
        <f>'mk 001 10.3'!AW454</f>
        <v>0</v>
      </c>
      <c r="AX453">
        <f>'mk 001 10.3'!AX454</f>
        <v>0</v>
      </c>
      <c r="AY453">
        <f>'mk 001 10.3'!AY454</f>
        <v>0</v>
      </c>
      <c r="AZ453">
        <f>'mk 001 10.3'!AZ454</f>
        <v>0</v>
      </c>
      <c r="BA453" s="22">
        <f>'mk 001 10.3'!BA454</f>
        <v>0</v>
      </c>
      <c r="BB453">
        <f>'mk 001 10.3'!BB454</f>
        <v>0</v>
      </c>
      <c r="BC453">
        <f>'mk 001 10.3'!BC454</f>
        <v>0</v>
      </c>
      <c r="BD453">
        <f>'mk 001 10.3'!BD454</f>
        <v>0</v>
      </c>
      <c r="BE453">
        <f>'mk 001 10.3'!BE454</f>
        <v>0</v>
      </c>
      <c r="BF453">
        <f>'mk 001 10.3'!BF454</f>
        <v>0</v>
      </c>
      <c r="BG453">
        <f>'mk 001 10.3'!BG454</f>
        <v>0</v>
      </c>
      <c r="BH453">
        <f>'mk 001 10.3'!BH454</f>
        <v>0</v>
      </c>
      <c r="BI453">
        <f>'mk 001 10.3'!BI454</f>
        <v>0</v>
      </c>
      <c r="BJ453">
        <f>'mk 001 10.3'!BJ454</f>
        <v>0</v>
      </c>
      <c r="BK453">
        <f>'mk 001 10.3'!BK454</f>
        <v>0</v>
      </c>
      <c r="BL453">
        <f>'mk 001 10.3'!BL454</f>
        <v>0</v>
      </c>
      <c r="BM453">
        <f>'mk 001 10.3'!BM454</f>
        <v>0</v>
      </c>
      <c r="BN453">
        <f>'mk 001 10.3'!BN454</f>
        <v>0</v>
      </c>
    </row>
    <row r="454" spans="1:66" x14ac:dyDescent="0.35">
      <c r="A454">
        <f>'mk 001 10.3'!A455</f>
        <v>0</v>
      </c>
      <c r="B454">
        <f>'mk 001 10.3'!B455</f>
        <v>0</v>
      </c>
      <c r="C454" s="1">
        <f>'mk 001 10.3'!C455</f>
        <v>0</v>
      </c>
      <c r="D454" s="1">
        <f>'mk 001 10.3'!D455</f>
        <v>0</v>
      </c>
      <c r="E454">
        <f>'mk 001 10.3'!E455</f>
        <v>0</v>
      </c>
      <c r="F454">
        <f>'mk 001 10.3'!F455</f>
        <v>0</v>
      </c>
      <c r="G454">
        <f>'mk 001 10.3'!G455</f>
        <v>0</v>
      </c>
      <c r="H454">
        <f>'mk 001 10.3'!H455</f>
        <v>0</v>
      </c>
      <c r="I454">
        <f>'mk 001 10.3'!I455</f>
        <v>0</v>
      </c>
      <c r="J454">
        <f>'mk 001 10.3'!J455</f>
        <v>0</v>
      </c>
      <c r="K454">
        <f>'mk 001 10.3'!K455</f>
        <v>0</v>
      </c>
      <c r="L454">
        <f>'mk 001 10.3'!L455</f>
        <v>0</v>
      </c>
      <c r="M454">
        <f>'mk 001 10.3'!M455</f>
        <v>0</v>
      </c>
      <c r="N454">
        <f>'mk 001 10.3'!N455</f>
        <v>0</v>
      </c>
      <c r="O454">
        <f>'mk 001 10.3'!O455</f>
        <v>0</v>
      </c>
      <c r="P454">
        <f>'mk 001 10.3'!P455</f>
        <v>0</v>
      </c>
      <c r="Q454">
        <f>'mk 001 10.3'!Q455</f>
        <v>0</v>
      </c>
      <c r="R454" s="1">
        <f>'mk 001 10.3'!R455</f>
        <v>0</v>
      </c>
      <c r="S454" s="1">
        <f>'mk 001 10.3'!S455</f>
        <v>0</v>
      </c>
      <c r="T454">
        <f>'mk 001 10.3'!T455</f>
        <v>0</v>
      </c>
      <c r="U454">
        <f>'mk 001 10.3'!U455</f>
        <v>0</v>
      </c>
      <c r="V454">
        <f>'mk 001 10.3'!V455</f>
        <v>0</v>
      </c>
      <c r="W454">
        <f>'mk 001 10.3'!W455</f>
        <v>0</v>
      </c>
      <c r="X454">
        <f>'mk 001 10.3'!X455</f>
        <v>0</v>
      </c>
      <c r="Y454">
        <f t="shared" si="7"/>
        <v>0</v>
      </c>
      <c r="Z454" s="13">
        <f>IF(COUNTIFS(แปลงข้อมูล!H:H,Q454,แปลงข้อมูล!I:I,U454,แปลงข้อมูล!J:J,V454)&gt;0,SUMIFS(แปลงข้อมูล!Q:Q,แปลงข้อมูล!I:I,U454,แปลงข้อมูล!H:H,Q454,แปลงข้อมูล!J:J,V454),'mk 001 10.3'!Z455)</f>
        <v>0</v>
      </c>
      <c r="AA454">
        <f>'mk 001 10.3'!AA455</f>
        <v>0</v>
      </c>
      <c r="AB454">
        <f>'mk 001 10.3'!AB455</f>
        <v>0</v>
      </c>
      <c r="AC454">
        <f>'mk 001 10.3'!AC455</f>
        <v>0</v>
      </c>
      <c r="AD454">
        <f>'mk 001 10.3'!AD455</f>
        <v>0</v>
      </c>
      <c r="AE454">
        <f>'mk 001 10.3'!AE455</f>
        <v>0</v>
      </c>
      <c r="AF454">
        <f>'mk 001 10.3'!AF455</f>
        <v>0</v>
      </c>
      <c r="AG454">
        <f>'mk 001 10.3'!AG455</f>
        <v>0</v>
      </c>
      <c r="AH454">
        <f>'mk 001 10.3'!AH455</f>
        <v>0</v>
      </c>
      <c r="AI454">
        <f>'mk 001 10.3'!AI455</f>
        <v>0</v>
      </c>
      <c r="AJ454">
        <f>'mk 001 10.3'!AJ455</f>
        <v>0</v>
      </c>
      <c r="AK454">
        <f>'mk 001 10.3'!AK455</f>
        <v>0</v>
      </c>
      <c r="AL454">
        <f>'mk 001 10.3'!AL455</f>
        <v>0</v>
      </c>
      <c r="AM454">
        <f>'mk 001 10.3'!AM455</f>
        <v>0</v>
      </c>
      <c r="AN454">
        <f>'mk 001 10.3'!AN455</f>
        <v>0</v>
      </c>
      <c r="AO454">
        <f>'mk 001 10.3'!AO455</f>
        <v>0</v>
      </c>
      <c r="AP454">
        <f>'mk 001 10.3'!AP455</f>
        <v>0</v>
      </c>
      <c r="AQ454">
        <f>'mk 001 10.3'!AQ455</f>
        <v>0</v>
      </c>
      <c r="AR454">
        <f>'mk 001 10.3'!AR455</f>
        <v>0</v>
      </c>
      <c r="AS454">
        <f>'mk 001 10.3'!AS455</f>
        <v>0</v>
      </c>
      <c r="AT454">
        <f>'mk 001 10.3'!AT455</f>
        <v>0</v>
      </c>
      <c r="AU454">
        <f>'mk 001 10.3'!AU455</f>
        <v>0</v>
      </c>
      <c r="AV454">
        <f>'mk 001 10.3'!AV455</f>
        <v>0</v>
      </c>
      <c r="AW454">
        <f>'mk 001 10.3'!AW455</f>
        <v>0</v>
      </c>
      <c r="AX454">
        <f>'mk 001 10.3'!AX455</f>
        <v>0</v>
      </c>
      <c r="AY454">
        <f>'mk 001 10.3'!AY455</f>
        <v>0</v>
      </c>
      <c r="AZ454">
        <f>'mk 001 10.3'!AZ455</f>
        <v>0</v>
      </c>
      <c r="BA454" s="22">
        <f>'mk 001 10.3'!BA455</f>
        <v>0</v>
      </c>
      <c r="BB454">
        <f>'mk 001 10.3'!BB455</f>
        <v>0</v>
      </c>
      <c r="BC454">
        <f>'mk 001 10.3'!BC455</f>
        <v>0</v>
      </c>
      <c r="BD454">
        <f>'mk 001 10.3'!BD455</f>
        <v>0</v>
      </c>
      <c r="BE454">
        <f>'mk 001 10.3'!BE455</f>
        <v>0</v>
      </c>
      <c r="BF454">
        <f>'mk 001 10.3'!BF455</f>
        <v>0</v>
      </c>
      <c r="BG454">
        <f>'mk 001 10.3'!BG455</f>
        <v>0</v>
      </c>
      <c r="BH454">
        <f>'mk 001 10.3'!BH455</f>
        <v>0</v>
      </c>
      <c r="BI454">
        <f>'mk 001 10.3'!BI455</f>
        <v>0</v>
      </c>
      <c r="BJ454">
        <f>'mk 001 10.3'!BJ455</f>
        <v>0</v>
      </c>
      <c r="BK454">
        <f>'mk 001 10.3'!BK455</f>
        <v>0</v>
      </c>
      <c r="BL454">
        <f>'mk 001 10.3'!BL455</f>
        <v>0</v>
      </c>
      <c r="BM454">
        <f>'mk 001 10.3'!BM455</f>
        <v>0</v>
      </c>
      <c r="BN454">
        <f>'mk 001 10.3'!BN455</f>
        <v>0</v>
      </c>
    </row>
    <row r="455" spans="1:66" x14ac:dyDescent="0.35">
      <c r="A455">
        <f>'mk 001 10.3'!A456</f>
        <v>0</v>
      </c>
      <c r="B455">
        <f>'mk 001 10.3'!B456</f>
        <v>0</v>
      </c>
      <c r="C455" s="1">
        <f>'mk 001 10.3'!C456</f>
        <v>0</v>
      </c>
      <c r="D455" s="1">
        <f>'mk 001 10.3'!D456</f>
        <v>0</v>
      </c>
      <c r="E455">
        <f>'mk 001 10.3'!E456</f>
        <v>0</v>
      </c>
      <c r="F455">
        <f>'mk 001 10.3'!F456</f>
        <v>0</v>
      </c>
      <c r="G455">
        <f>'mk 001 10.3'!G456</f>
        <v>0</v>
      </c>
      <c r="H455">
        <f>'mk 001 10.3'!H456</f>
        <v>0</v>
      </c>
      <c r="I455">
        <f>'mk 001 10.3'!I456</f>
        <v>0</v>
      </c>
      <c r="J455">
        <f>'mk 001 10.3'!J456</f>
        <v>0</v>
      </c>
      <c r="K455">
        <f>'mk 001 10.3'!K456</f>
        <v>0</v>
      </c>
      <c r="L455">
        <f>'mk 001 10.3'!L456</f>
        <v>0</v>
      </c>
      <c r="M455">
        <f>'mk 001 10.3'!M456</f>
        <v>0</v>
      </c>
      <c r="N455">
        <f>'mk 001 10.3'!N456</f>
        <v>0</v>
      </c>
      <c r="O455">
        <f>'mk 001 10.3'!O456</f>
        <v>0</v>
      </c>
      <c r="P455">
        <f>'mk 001 10.3'!P456</f>
        <v>0</v>
      </c>
      <c r="Q455">
        <f>'mk 001 10.3'!Q456</f>
        <v>0</v>
      </c>
      <c r="R455" s="1">
        <f>'mk 001 10.3'!R456</f>
        <v>0</v>
      </c>
      <c r="S455" s="1">
        <f>'mk 001 10.3'!S456</f>
        <v>0</v>
      </c>
      <c r="T455">
        <f>'mk 001 10.3'!T456</f>
        <v>0</v>
      </c>
      <c r="U455">
        <f>'mk 001 10.3'!U456</f>
        <v>0</v>
      </c>
      <c r="V455">
        <f>'mk 001 10.3'!V456</f>
        <v>0</v>
      </c>
      <c r="W455">
        <f>'mk 001 10.3'!W456</f>
        <v>0</v>
      </c>
      <c r="X455">
        <f>'mk 001 10.3'!X456</f>
        <v>0</v>
      </c>
      <c r="Y455">
        <f t="shared" si="7"/>
        <v>0</v>
      </c>
      <c r="Z455" s="13">
        <f>IF(COUNTIFS(แปลงข้อมูล!H:H,Q455,แปลงข้อมูล!I:I,U455,แปลงข้อมูล!J:J,V455)&gt;0,SUMIFS(แปลงข้อมูล!Q:Q,แปลงข้อมูล!I:I,U455,แปลงข้อมูล!H:H,Q455,แปลงข้อมูล!J:J,V455),'mk 001 10.3'!Z456)</f>
        <v>0</v>
      </c>
      <c r="AA455">
        <f>'mk 001 10.3'!AA456</f>
        <v>0</v>
      </c>
      <c r="AB455">
        <f>'mk 001 10.3'!AB456</f>
        <v>0</v>
      </c>
      <c r="AC455">
        <f>'mk 001 10.3'!AC456</f>
        <v>0</v>
      </c>
      <c r="AD455">
        <f>'mk 001 10.3'!AD456</f>
        <v>0</v>
      </c>
      <c r="AE455">
        <f>'mk 001 10.3'!AE456</f>
        <v>0</v>
      </c>
      <c r="AF455">
        <f>'mk 001 10.3'!AF456</f>
        <v>0</v>
      </c>
      <c r="AG455">
        <f>'mk 001 10.3'!AG456</f>
        <v>0</v>
      </c>
      <c r="AH455">
        <f>'mk 001 10.3'!AH456</f>
        <v>0</v>
      </c>
      <c r="AI455">
        <f>'mk 001 10.3'!AI456</f>
        <v>0</v>
      </c>
      <c r="AJ455">
        <f>'mk 001 10.3'!AJ456</f>
        <v>0</v>
      </c>
      <c r="AK455">
        <f>'mk 001 10.3'!AK456</f>
        <v>0</v>
      </c>
      <c r="AL455">
        <f>'mk 001 10.3'!AL456</f>
        <v>0</v>
      </c>
      <c r="AM455">
        <f>'mk 001 10.3'!AM456</f>
        <v>0</v>
      </c>
      <c r="AN455">
        <f>'mk 001 10.3'!AN456</f>
        <v>0</v>
      </c>
      <c r="AO455">
        <f>'mk 001 10.3'!AO456</f>
        <v>0</v>
      </c>
      <c r="AP455">
        <f>'mk 001 10.3'!AP456</f>
        <v>0</v>
      </c>
      <c r="AQ455">
        <f>'mk 001 10.3'!AQ456</f>
        <v>0</v>
      </c>
      <c r="AR455">
        <f>'mk 001 10.3'!AR456</f>
        <v>0</v>
      </c>
      <c r="AS455">
        <f>'mk 001 10.3'!AS456</f>
        <v>0</v>
      </c>
      <c r="AT455">
        <f>'mk 001 10.3'!AT456</f>
        <v>0</v>
      </c>
      <c r="AU455">
        <f>'mk 001 10.3'!AU456</f>
        <v>0</v>
      </c>
      <c r="AV455">
        <f>'mk 001 10.3'!AV456</f>
        <v>0</v>
      </c>
      <c r="AW455">
        <f>'mk 001 10.3'!AW456</f>
        <v>0</v>
      </c>
      <c r="AX455">
        <f>'mk 001 10.3'!AX456</f>
        <v>0</v>
      </c>
      <c r="AY455">
        <f>'mk 001 10.3'!AY456</f>
        <v>0</v>
      </c>
      <c r="AZ455">
        <f>'mk 001 10.3'!AZ456</f>
        <v>0</v>
      </c>
      <c r="BA455" s="22">
        <f>'mk 001 10.3'!BA456</f>
        <v>0</v>
      </c>
      <c r="BB455">
        <f>'mk 001 10.3'!BB456</f>
        <v>0</v>
      </c>
      <c r="BC455">
        <f>'mk 001 10.3'!BC456</f>
        <v>0</v>
      </c>
      <c r="BD455">
        <f>'mk 001 10.3'!BD456</f>
        <v>0</v>
      </c>
      <c r="BE455">
        <f>'mk 001 10.3'!BE456</f>
        <v>0</v>
      </c>
      <c r="BF455">
        <f>'mk 001 10.3'!BF456</f>
        <v>0</v>
      </c>
      <c r="BG455">
        <f>'mk 001 10.3'!BG456</f>
        <v>0</v>
      </c>
      <c r="BH455">
        <f>'mk 001 10.3'!BH456</f>
        <v>0</v>
      </c>
      <c r="BI455">
        <f>'mk 001 10.3'!BI456</f>
        <v>0</v>
      </c>
      <c r="BJ455">
        <f>'mk 001 10.3'!BJ456</f>
        <v>0</v>
      </c>
      <c r="BK455">
        <f>'mk 001 10.3'!BK456</f>
        <v>0</v>
      </c>
      <c r="BL455">
        <f>'mk 001 10.3'!BL456</f>
        <v>0</v>
      </c>
      <c r="BM455">
        <f>'mk 001 10.3'!BM456</f>
        <v>0</v>
      </c>
      <c r="BN455">
        <f>'mk 001 10.3'!BN456</f>
        <v>0</v>
      </c>
    </row>
    <row r="456" spans="1:66" x14ac:dyDescent="0.35">
      <c r="A456">
        <f>'mk 001 10.3'!A457</f>
        <v>0</v>
      </c>
      <c r="B456">
        <f>'mk 001 10.3'!B457</f>
        <v>0</v>
      </c>
      <c r="C456" s="1">
        <f>'mk 001 10.3'!C457</f>
        <v>0</v>
      </c>
      <c r="D456" s="1">
        <f>'mk 001 10.3'!D457</f>
        <v>0</v>
      </c>
      <c r="E456">
        <f>'mk 001 10.3'!E457</f>
        <v>0</v>
      </c>
      <c r="F456">
        <f>'mk 001 10.3'!F457</f>
        <v>0</v>
      </c>
      <c r="G456">
        <f>'mk 001 10.3'!G457</f>
        <v>0</v>
      </c>
      <c r="H456">
        <f>'mk 001 10.3'!H457</f>
        <v>0</v>
      </c>
      <c r="I456">
        <f>'mk 001 10.3'!I457</f>
        <v>0</v>
      </c>
      <c r="J456">
        <f>'mk 001 10.3'!J457</f>
        <v>0</v>
      </c>
      <c r="K456">
        <f>'mk 001 10.3'!K457</f>
        <v>0</v>
      </c>
      <c r="L456">
        <f>'mk 001 10.3'!L457</f>
        <v>0</v>
      </c>
      <c r="M456">
        <f>'mk 001 10.3'!M457</f>
        <v>0</v>
      </c>
      <c r="N456">
        <f>'mk 001 10.3'!N457</f>
        <v>0</v>
      </c>
      <c r="O456">
        <f>'mk 001 10.3'!O457</f>
        <v>0</v>
      </c>
      <c r="P456">
        <f>'mk 001 10.3'!P457</f>
        <v>0</v>
      </c>
      <c r="Q456">
        <f>'mk 001 10.3'!Q457</f>
        <v>0</v>
      </c>
      <c r="R456" s="1">
        <f>'mk 001 10.3'!R457</f>
        <v>0</v>
      </c>
      <c r="S456" s="1">
        <f>'mk 001 10.3'!S457</f>
        <v>0</v>
      </c>
      <c r="T456">
        <f>'mk 001 10.3'!T457</f>
        <v>0</v>
      </c>
      <c r="U456">
        <f>'mk 001 10.3'!U457</f>
        <v>0</v>
      </c>
      <c r="V456">
        <f>'mk 001 10.3'!V457</f>
        <v>0</v>
      </c>
      <c r="W456">
        <f>'mk 001 10.3'!W457</f>
        <v>0</v>
      </c>
      <c r="X456">
        <f>'mk 001 10.3'!X457</f>
        <v>0</v>
      </c>
      <c r="Y456">
        <f t="shared" si="7"/>
        <v>0</v>
      </c>
      <c r="Z456" s="13">
        <f>IF(COUNTIFS(แปลงข้อมูล!H:H,Q456,แปลงข้อมูล!I:I,U456,แปลงข้อมูล!J:J,V456)&gt;0,SUMIFS(แปลงข้อมูล!Q:Q,แปลงข้อมูล!I:I,U456,แปลงข้อมูล!H:H,Q456,แปลงข้อมูล!J:J,V456),'mk 001 10.3'!Z457)</f>
        <v>0</v>
      </c>
      <c r="AA456">
        <f>'mk 001 10.3'!AA457</f>
        <v>0</v>
      </c>
      <c r="AB456">
        <f>'mk 001 10.3'!AB457</f>
        <v>0</v>
      </c>
      <c r="AC456">
        <f>'mk 001 10.3'!AC457</f>
        <v>0</v>
      </c>
      <c r="AD456">
        <f>'mk 001 10.3'!AD457</f>
        <v>0</v>
      </c>
      <c r="AE456">
        <f>'mk 001 10.3'!AE457</f>
        <v>0</v>
      </c>
      <c r="AF456">
        <f>'mk 001 10.3'!AF457</f>
        <v>0</v>
      </c>
      <c r="AG456">
        <f>'mk 001 10.3'!AG457</f>
        <v>0</v>
      </c>
      <c r="AH456">
        <f>'mk 001 10.3'!AH457</f>
        <v>0</v>
      </c>
      <c r="AI456">
        <f>'mk 001 10.3'!AI457</f>
        <v>0</v>
      </c>
      <c r="AJ456">
        <f>'mk 001 10.3'!AJ457</f>
        <v>0</v>
      </c>
      <c r="AK456">
        <f>'mk 001 10.3'!AK457</f>
        <v>0</v>
      </c>
      <c r="AL456">
        <f>'mk 001 10.3'!AL457</f>
        <v>0</v>
      </c>
      <c r="AM456">
        <f>'mk 001 10.3'!AM457</f>
        <v>0</v>
      </c>
      <c r="AN456">
        <f>'mk 001 10.3'!AN457</f>
        <v>0</v>
      </c>
      <c r="AO456">
        <f>'mk 001 10.3'!AO457</f>
        <v>0</v>
      </c>
      <c r="AP456">
        <f>'mk 001 10.3'!AP457</f>
        <v>0</v>
      </c>
      <c r="AQ456">
        <f>'mk 001 10.3'!AQ457</f>
        <v>0</v>
      </c>
      <c r="AR456">
        <f>'mk 001 10.3'!AR457</f>
        <v>0</v>
      </c>
      <c r="AS456">
        <f>'mk 001 10.3'!AS457</f>
        <v>0</v>
      </c>
      <c r="AT456">
        <f>'mk 001 10.3'!AT457</f>
        <v>0</v>
      </c>
      <c r="AU456">
        <f>'mk 001 10.3'!AU457</f>
        <v>0</v>
      </c>
      <c r="AV456">
        <f>'mk 001 10.3'!AV457</f>
        <v>0</v>
      </c>
      <c r="AW456">
        <f>'mk 001 10.3'!AW457</f>
        <v>0</v>
      </c>
      <c r="AX456">
        <f>'mk 001 10.3'!AX457</f>
        <v>0</v>
      </c>
      <c r="AY456">
        <f>'mk 001 10.3'!AY457</f>
        <v>0</v>
      </c>
      <c r="AZ456">
        <f>'mk 001 10.3'!AZ457</f>
        <v>0</v>
      </c>
      <c r="BA456" s="22">
        <f>'mk 001 10.3'!BA457</f>
        <v>0</v>
      </c>
      <c r="BB456">
        <f>'mk 001 10.3'!BB457</f>
        <v>0</v>
      </c>
      <c r="BC456">
        <f>'mk 001 10.3'!BC457</f>
        <v>0</v>
      </c>
      <c r="BD456">
        <f>'mk 001 10.3'!BD457</f>
        <v>0</v>
      </c>
      <c r="BE456">
        <f>'mk 001 10.3'!BE457</f>
        <v>0</v>
      </c>
      <c r="BF456">
        <f>'mk 001 10.3'!BF457</f>
        <v>0</v>
      </c>
      <c r="BG456">
        <f>'mk 001 10.3'!BG457</f>
        <v>0</v>
      </c>
      <c r="BH456">
        <f>'mk 001 10.3'!BH457</f>
        <v>0</v>
      </c>
      <c r="BI456">
        <f>'mk 001 10.3'!BI457</f>
        <v>0</v>
      </c>
      <c r="BJ456">
        <f>'mk 001 10.3'!BJ457</f>
        <v>0</v>
      </c>
      <c r="BK456">
        <f>'mk 001 10.3'!BK457</f>
        <v>0</v>
      </c>
      <c r="BL456">
        <f>'mk 001 10.3'!BL457</f>
        <v>0</v>
      </c>
      <c r="BM456">
        <f>'mk 001 10.3'!BM457</f>
        <v>0</v>
      </c>
      <c r="BN456">
        <f>'mk 001 10.3'!BN457</f>
        <v>0</v>
      </c>
    </row>
    <row r="457" spans="1:66" x14ac:dyDescent="0.35">
      <c r="A457">
        <f>'mk 001 10.3'!A458</f>
        <v>0</v>
      </c>
      <c r="B457">
        <f>'mk 001 10.3'!B458</f>
        <v>0</v>
      </c>
      <c r="C457" s="1">
        <f>'mk 001 10.3'!C458</f>
        <v>0</v>
      </c>
      <c r="D457" s="1">
        <f>'mk 001 10.3'!D458</f>
        <v>0</v>
      </c>
      <c r="E457">
        <f>'mk 001 10.3'!E458</f>
        <v>0</v>
      </c>
      <c r="F457">
        <f>'mk 001 10.3'!F458</f>
        <v>0</v>
      </c>
      <c r="G457">
        <f>'mk 001 10.3'!G458</f>
        <v>0</v>
      </c>
      <c r="H457">
        <f>'mk 001 10.3'!H458</f>
        <v>0</v>
      </c>
      <c r="I457">
        <f>'mk 001 10.3'!I458</f>
        <v>0</v>
      </c>
      <c r="J457">
        <f>'mk 001 10.3'!J458</f>
        <v>0</v>
      </c>
      <c r="K457">
        <f>'mk 001 10.3'!K458</f>
        <v>0</v>
      </c>
      <c r="L457">
        <f>'mk 001 10.3'!L458</f>
        <v>0</v>
      </c>
      <c r="M457">
        <f>'mk 001 10.3'!M458</f>
        <v>0</v>
      </c>
      <c r="N457">
        <f>'mk 001 10.3'!N458</f>
        <v>0</v>
      </c>
      <c r="O457">
        <f>'mk 001 10.3'!O458</f>
        <v>0</v>
      </c>
      <c r="P457">
        <f>'mk 001 10.3'!P458</f>
        <v>0</v>
      </c>
      <c r="Q457">
        <f>'mk 001 10.3'!Q458</f>
        <v>0</v>
      </c>
      <c r="R457" s="1">
        <f>'mk 001 10.3'!R458</f>
        <v>0</v>
      </c>
      <c r="S457" s="1">
        <f>'mk 001 10.3'!S458</f>
        <v>0</v>
      </c>
      <c r="T457">
        <f>'mk 001 10.3'!T458</f>
        <v>0</v>
      </c>
      <c r="U457">
        <f>'mk 001 10.3'!U458</f>
        <v>0</v>
      </c>
      <c r="V457">
        <f>'mk 001 10.3'!V458</f>
        <v>0</v>
      </c>
      <c r="W457">
        <f>'mk 001 10.3'!W458</f>
        <v>0</v>
      </c>
      <c r="X457">
        <f>'mk 001 10.3'!X458</f>
        <v>0</v>
      </c>
      <c r="Y457">
        <f t="shared" si="7"/>
        <v>0</v>
      </c>
      <c r="Z457" s="13">
        <f>IF(COUNTIFS(แปลงข้อมูล!H:H,Q457,แปลงข้อมูล!I:I,U457,แปลงข้อมูล!J:J,V457)&gt;0,SUMIFS(แปลงข้อมูล!Q:Q,แปลงข้อมูล!I:I,U457,แปลงข้อมูล!H:H,Q457,แปลงข้อมูล!J:J,V457),'mk 001 10.3'!Z458)</f>
        <v>0</v>
      </c>
      <c r="AA457">
        <f>'mk 001 10.3'!AA458</f>
        <v>0</v>
      </c>
      <c r="AB457">
        <f>'mk 001 10.3'!AB458</f>
        <v>0</v>
      </c>
      <c r="AC457">
        <f>'mk 001 10.3'!AC458</f>
        <v>0</v>
      </c>
      <c r="AD457">
        <f>'mk 001 10.3'!AD458</f>
        <v>0</v>
      </c>
      <c r="AE457">
        <f>'mk 001 10.3'!AE458</f>
        <v>0</v>
      </c>
      <c r="AF457">
        <f>'mk 001 10.3'!AF458</f>
        <v>0</v>
      </c>
      <c r="AG457">
        <f>'mk 001 10.3'!AG458</f>
        <v>0</v>
      </c>
      <c r="AH457">
        <f>'mk 001 10.3'!AH458</f>
        <v>0</v>
      </c>
      <c r="AI457">
        <f>'mk 001 10.3'!AI458</f>
        <v>0</v>
      </c>
      <c r="AJ457">
        <f>'mk 001 10.3'!AJ458</f>
        <v>0</v>
      </c>
      <c r="AK457">
        <f>'mk 001 10.3'!AK458</f>
        <v>0</v>
      </c>
      <c r="AL457">
        <f>'mk 001 10.3'!AL458</f>
        <v>0</v>
      </c>
      <c r="AM457">
        <f>'mk 001 10.3'!AM458</f>
        <v>0</v>
      </c>
      <c r="AN457">
        <f>'mk 001 10.3'!AN458</f>
        <v>0</v>
      </c>
      <c r="AO457">
        <f>'mk 001 10.3'!AO458</f>
        <v>0</v>
      </c>
      <c r="AP457">
        <f>'mk 001 10.3'!AP458</f>
        <v>0</v>
      </c>
      <c r="AQ457">
        <f>'mk 001 10.3'!AQ458</f>
        <v>0</v>
      </c>
      <c r="AR457">
        <f>'mk 001 10.3'!AR458</f>
        <v>0</v>
      </c>
      <c r="AS457">
        <f>'mk 001 10.3'!AS458</f>
        <v>0</v>
      </c>
      <c r="AT457">
        <f>'mk 001 10.3'!AT458</f>
        <v>0</v>
      </c>
      <c r="AU457">
        <f>'mk 001 10.3'!AU458</f>
        <v>0</v>
      </c>
      <c r="AV457">
        <f>'mk 001 10.3'!AV458</f>
        <v>0</v>
      </c>
      <c r="AW457">
        <f>'mk 001 10.3'!AW458</f>
        <v>0</v>
      </c>
      <c r="AX457">
        <f>'mk 001 10.3'!AX458</f>
        <v>0</v>
      </c>
      <c r="AY457">
        <f>'mk 001 10.3'!AY458</f>
        <v>0</v>
      </c>
      <c r="AZ457">
        <f>'mk 001 10.3'!AZ458</f>
        <v>0</v>
      </c>
      <c r="BA457" s="22">
        <f>'mk 001 10.3'!BA458</f>
        <v>0</v>
      </c>
      <c r="BB457">
        <f>'mk 001 10.3'!BB458</f>
        <v>0</v>
      </c>
      <c r="BC457">
        <f>'mk 001 10.3'!BC458</f>
        <v>0</v>
      </c>
      <c r="BD457">
        <f>'mk 001 10.3'!BD458</f>
        <v>0</v>
      </c>
      <c r="BE457">
        <f>'mk 001 10.3'!BE458</f>
        <v>0</v>
      </c>
      <c r="BF457">
        <f>'mk 001 10.3'!BF458</f>
        <v>0</v>
      </c>
      <c r="BG457">
        <f>'mk 001 10.3'!BG458</f>
        <v>0</v>
      </c>
      <c r="BH457">
        <f>'mk 001 10.3'!BH458</f>
        <v>0</v>
      </c>
      <c r="BI457">
        <f>'mk 001 10.3'!BI458</f>
        <v>0</v>
      </c>
      <c r="BJ457">
        <f>'mk 001 10.3'!BJ458</f>
        <v>0</v>
      </c>
      <c r="BK457">
        <f>'mk 001 10.3'!BK458</f>
        <v>0</v>
      </c>
      <c r="BL457">
        <f>'mk 001 10.3'!BL458</f>
        <v>0</v>
      </c>
      <c r="BM457">
        <f>'mk 001 10.3'!BM458</f>
        <v>0</v>
      </c>
      <c r="BN457">
        <f>'mk 001 10.3'!BN458</f>
        <v>0</v>
      </c>
    </row>
    <row r="458" spans="1:66" x14ac:dyDescent="0.35">
      <c r="A458">
        <f>'mk 001 10.3'!A459</f>
        <v>0</v>
      </c>
      <c r="B458">
        <f>'mk 001 10.3'!B459</f>
        <v>0</v>
      </c>
      <c r="C458" s="1">
        <f>'mk 001 10.3'!C459</f>
        <v>0</v>
      </c>
      <c r="D458" s="1">
        <f>'mk 001 10.3'!D459</f>
        <v>0</v>
      </c>
      <c r="E458">
        <f>'mk 001 10.3'!E459</f>
        <v>0</v>
      </c>
      <c r="F458">
        <f>'mk 001 10.3'!F459</f>
        <v>0</v>
      </c>
      <c r="G458">
        <f>'mk 001 10.3'!G459</f>
        <v>0</v>
      </c>
      <c r="H458">
        <f>'mk 001 10.3'!H459</f>
        <v>0</v>
      </c>
      <c r="I458">
        <f>'mk 001 10.3'!I459</f>
        <v>0</v>
      </c>
      <c r="J458">
        <f>'mk 001 10.3'!J459</f>
        <v>0</v>
      </c>
      <c r="K458">
        <f>'mk 001 10.3'!K459</f>
        <v>0</v>
      </c>
      <c r="L458">
        <f>'mk 001 10.3'!L459</f>
        <v>0</v>
      </c>
      <c r="M458">
        <f>'mk 001 10.3'!M459</f>
        <v>0</v>
      </c>
      <c r="N458">
        <f>'mk 001 10.3'!N459</f>
        <v>0</v>
      </c>
      <c r="O458">
        <f>'mk 001 10.3'!O459</f>
        <v>0</v>
      </c>
      <c r="P458">
        <f>'mk 001 10.3'!P459</f>
        <v>0</v>
      </c>
      <c r="Q458">
        <f>'mk 001 10.3'!Q459</f>
        <v>0</v>
      </c>
      <c r="R458" s="1">
        <f>'mk 001 10.3'!R459</f>
        <v>0</v>
      </c>
      <c r="S458" s="1">
        <f>'mk 001 10.3'!S459</f>
        <v>0</v>
      </c>
      <c r="T458">
        <f>'mk 001 10.3'!T459</f>
        <v>0</v>
      </c>
      <c r="U458">
        <f>'mk 001 10.3'!U459</f>
        <v>0</v>
      </c>
      <c r="V458">
        <f>'mk 001 10.3'!V459</f>
        <v>0</v>
      </c>
      <c r="W458">
        <f>'mk 001 10.3'!W459</f>
        <v>0</v>
      </c>
      <c r="X458">
        <f>'mk 001 10.3'!X459</f>
        <v>0</v>
      </c>
      <c r="Y458">
        <f t="shared" si="7"/>
        <v>0</v>
      </c>
      <c r="Z458" s="13">
        <f>IF(COUNTIFS(แปลงข้อมูล!H:H,Q458,แปลงข้อมูล!I:I,U458,แปลงข้อมูล!J:J,V458)&gt;0,SUMIFS(แปลงข้อมูล!Q:Q,แปลงข้อมูล!I:I,U458,แปลงข้อมูล!H:H,Q458,แปลงข้อมูล!J:J,V458),'mk 001 10.3'!Z459)</f>
        <v>0</v>
      </c>
      <c r="AA458">
        <f>'mk 001 10.3'!AA459</f>
        <v>0</v>
      </c>
      <c r="AB458">
        <f>'mk 001 10.3'!AB459</f>
        <v>0</v>
      </c>
      <c r="AC458">
        <f>'mk 001 10.3'!AC459</f>
        <v>0</v>
      </c>
      <c r="AD458">
        <f>'mk 001 10.3'!AD459</f>
        <v>0</v>
      </c>
      <c r="AE458">
        <f>'mk 001 10.3'!AE459</f>
        <v>0</v>
      </c>
      <c r="AF458">
        <f>'mk 001 10.3'!AF459</f>
        <v>0</v>
      </c>
      <c r="AG458">
        <f>'mk 001 10.3'!AG459</f>
        <v>0</v>
      </c>
      <c r="AH458">
        <f>'mk 001 10.3'!AH459</f>
        <v>0</v>
      </c>
      <c r="AI458">
        <f>'mk 001 10.3'!AI459</f>
        <v>0</v>
      </c>
      <c r="AJ458">
        <f>'mk 001 10.3'!AJ459</f>
        <v>0</v>
      </c>
      <c r="AK458">
        <f>'mk 001 10.3'!AK459</f>
        <v>0</v>
      </c>
      <c r="AL458">
        <f>'mk 001 10.3'!AL459</f>
        <v>0</v>
      </c>
      <c r="AM458">
        <f>'mk 001 10.3'!AM459</f>
        <v>0</v>
      </c>
      <c r="AN458">
        <f>'mk 001 10.3'!AN459</f>
        <v>0</v>
      </c>
      <c r="AO458">
        <f>'mk 001 10.3'!AO459</f>
        <v>0</v>
      </c>
      <c r="AP458">
        <f>'mk 001 10.3'!AP459</f>
        <v>0</v>
      </c>
      <c r="AQ458">
        <f>'mk 001 10.3'!AQ459</f>
        <v>0</v>
      </c>
      <c r="AR458">
        <f>'mk 001 10.3'!AR459</f>
        <v>0</v>
      </c>
      <c r="AS458">
        <f>'mk 001 10.3'!AS459</f>
        <v>0</v>
      </c>
      <c r="AT458">
        <f>'mk 001 10.3'!AT459</f>
        <v>0</v>
      </c>
      <c r="AU458">
        <f>'mk 001 10.3'!AU459</f>
        <v>0</v>
      </c>
      <c r="AV458">
        <f>'mk 001 10.3'!AV459</f>
        <v>0</v>
      </c>
      <c r="AW458">
        <f>'mk 001 10.3'!AW459</f>
        <v>0</v>
      </c>
      <c r="AX458">
        <f>'mk 001 10.3'!AX459</f>
        <v>0</v>
      </c>
      <c r="AY458">
        <f>'mk 001 10.3'!AY459</f>
        <v>0</v>
      </c>
      <c r="AZ458">
        <f>'mk 001 10.3'!AZ459</f>
        <v>0</v>
      </c>
      <c r="BA458" s="22">
        <f>'mk 001 10.3'!BA459</f>
        <v>0</v>
      </c>
      <c r="BB458">
        <f>'mk 001 10.3'!BB459</f>
        <v>0</v>
      </c>
      <c r="BC458">
        <f>'mk 001 10.3'!BC459</f>
        <v>0</v>
      </c>
      <c r="BD458">
        <f>'mk 001 10.3'!BD459</f>
        <v>0</v>
      </c>
      <c r="BE458">
        <f>'mk 001 10.3'!BE459</f>
        <v>0</v>
      </c>
      <c r="BF458">
        <f>'mk 001 10.3'!BF459</f>
        <v>0</v>
      </c>
      <c r="BG458">
        <f>'mk 001 10.3'!BG459</f>
        <v>0</v>
      </c>
      <c r="BH458">
        <f>'mk 001 10.3'!BH459</f>
        <v>0</v>
      </c>
      <c r="BI458">
        <f>'mk 001 10.3'!BI459</f>
        <v>0</v>
      </c>
      <c r="BJ458">
        <f>'mk 001 10.3'!BJ459</f>
        <v>0</v>
      </c>
      <c r="BK458">
        <f>'mk 001 10.3'!BK459</f>
        <v>0</v>
      </c>
      <c r="BL458">
        <f>'mk 001 10.3'!BL459</f>
        <v>0</v>
      </c>
      <c r="BM458">
        <f>'mk 001 10.3'!BM459</f>
        <v>0</v>
      </c>
      <c r="BN458">
        <f>'mk 001 10.3'!BN459</f>
        <v>0</v>
      </c>
    </row>
    <row r="459" spans="1:66" x14ac:dyDescent="0.35">
      <c r="A459">
        <f>'mk 001 10.3'!A460</f>
        <v>0</v>
      </c>
      <c r="B459">
        <f>'mk 001 10.3'!B460</f>
        <v>0</v>
      </c>
      <c r="C459" s="1">
        <f>'mk 001 10.3'!C460</f>
        <v>0</v>
      </c>
      <c r="D459" s="1">
        <f>'mk 001 10.3'!D460</f>
        <v>0</v>
      </c>
      <c r="E459">
        <f>'mk 001 10.3'!E460</f>
        <v>0</v>
      </c>
      <c r="F459">
        <f>'mk 001 10.3'!F460</f>
        <v>0</v>
      </c>
      <c r="G459">
        <f>'mk 001 10.3'!G460</f>
        <v>0</v>
      </c>
      <c r="H459">
        <f>'mk 001 10.3'!H460</f>
        <v>0</v>
      </c>
      <c r="I459">
        <f>'mk 001 10.3'!I460</f>
        <v>0</v>
      </c>
      <c r="J459">
        <f>'mk 001 10.3'!J460</f>
        <v>0</v>
      </c>
      <c r="K459">
        <f>'mk 001 10.3'!K460</f>
        <v>0</v>
      </c>
      <c r="L459">
        <f>'mk 001 10.3'!L460</f>
        <v>0</v>
      </c>
      <c r="M459">
        <f>'mk 001 10.3'!M460</f>
        <v>0</v>
      </c>
      <c r="N459">
        <f>'mk 001 10.3'!N460</f>
        <v>0</v>
      </c>
      <c r="O459">
        <f>'mk 001 10.3'!O460</f>
        <v>0</v>
      </c>
      <c r="P459">
        <f>'mk 001 10.3'!P460</f>
        <v>0</v>
      </c>
      <c r="Q459">
        <f>'mk 001 10.3'!Q460</f>
        <v>0</v>
      </c>
      <c r="R459" s="1">
        <f>'mk 001 10.3'!R460</f>
        <v>0</v>
      </c>
      <c r="S459" s="1">
        <f>'mk 001 10.3'!S460</f>
        <v>0</v>
      </c>
      <c r="T459">
        <f>'mk 001 10.3'!T460</f>
        <v>0</v>
      </c>
      <c r="U459">
        <f>'mk 001 10.3'!U460</f>
        <v>0</v>
      </c>
      <c r="V459">
        <f>'mk 001 10.3'!V460</f>
        <v>0</v>
      </c>
      <c r="W459">
        <f>'mk 001 10.3'!W460</f>
        <v>0</v>
      </c>
      <c r="X459">
        <f>'mk 001 10.3'!X460</f>
        <v>0</v>
      </c>
      <c r="Y459">
        <f t="shared" si="7"/>
        <v>0</v>
      </c>
      <c r="Z459" s="13">
        <f>IF(COUNTIFS(แปลงข้อมูล!H:H,Q459,แปลงข้อมูล!I:I,U459,แปลงข้อมูล!J:J,V459)&gt;0,SUMIFS(แปลงข้อมูล!Q:Q,แปลงข้อมูล!I:I,U459,แปลงข้อมูล!H:H,Q459,แปลงข้อมูล!J:J,V459),'mk 001 10.3'!Z460)</f>
        <v>0</v>
      </c>
      <c r="AA459">
        <f>'mk 001 10.3'!AA460</f>
        <v>0</v>
      </c>
      <c r="AB459">
        <f>'mk 001 10.3'!AB460</f>
        <v>0</v>
      </c>
      <c r="AC459">
        <f>'mk 001 10.3'!AC460</f>
        <v>0</v>
      </c>
      <c r="AD459">
        <f>'mk 001 10.3'!AD460</f>
        <v>0</v>
      </c>
      <c r="AE459">
        <f>'mk 001 10.3'!AE460</f>
        <v>0</v>
      </c>
      <c r="AF459">
        <f>'mk 001 10.3'!AF460</f>
        <v>0</v>
      </c>
      <c r="AG459">
        <f>'mk 001 10.3'!AG460</f>
        <v>0</v>
      </c>
      <c r="AH459">
        <f>'mk 001 10.3'!AH460</f>
        <v>0</v>
      </c>
      <c r="AI459">
        <f>'mk 001 10.3'!AI460</f>
        <v>0</v>
      </c>
      <c r="AJ459">
        <f>'mk 001 10.3'!AJ460</f>
        <v>0</v>
      </c>
      <c r="AK459">
        <f>'mk 001 10.3'!AK460</f>
        <v>0</v>
      </c>
      <c r="AL459">
        <f>'mk 001 10.3'!AL460</f>
        <v>0</v>
      </c>
      <c r="AM459">
        <f>'mk 001 10.3'!AM460</f>
        <v>0</v>
      </c>
      <c r="AN459">
        <f>'mk 001 10.3'!AN460</f>
        <v>0</v>
      </c>
      <c r="AO459">
        <f>'mk 001 10.3'!AO460</f>
        <v>0</v>
      </c>
      <c r="AP459">
        <f>'mk 001 10.3'!AP460</f>
        <v>0</v>
      </c>
      <c r="AQ459">
        <f>'mk 001 10.3'!AQ460</f>
        <v>0</v>
      </c>
      <c r="AR459">
        <f>'mk 001 10.3'!AR460</f>
        <v>0</v>
      </c>
      <c r="AS459">
        <f>'mk 001 10.3'!AS460</f>
        <v>0</v>
      </c>
      <c r="AT459">
        <f>'mk 001 10.3'!AT460</f>
        <v>0</v>
      </c>
      <c r="AU459">
        <f>'mk 001 10.3'!AU460</f>
        <v>0</v>
      </c>
      <c r="AV459">
        <f>'mk 001 10.3'!AV460</f>
        <v>0</v>
      </c>
      <c r="AW459">
        <f>'mk 001 10.3'!AW460</f>
        <v>0</v>
      </c>
      <c r="AX459">
        <f>'mk 001 10.3'!AX460</f>
        <v>0</v>
      </c>
      <c r="AY459">
        <f>'mk 001 10.3'!AY460</f>
        <v>0</v>
      </c>
      <c r="AZ459">
        <f>'mk 001 10.3'!AZ460</f>
        <v>0</v>
      </c>
      <c r="BA459" s="22">
        <f>'mk 001 10.3'!BA460</f>
        <v>0</v>
      </c>
      <c r="BB459">
        <f>'mk 001 10.3'!BB460</f>
        <v>0</v>
      </c>
      <c r="BC459">
        <f>'mk 001 10.3'!BC460</f>
        <v>0</v>
      </c>
      <c r="BD459">
        <f>'mk 001 10.3'!BD460</f>
        <v>0</v>
      </c>
      <c r="BE459">
        <f>'mk 001 10.3'!BE460</f>
        <v>0</v>
      </c>
      <c r="BF459">
        <f>'mk 001 10.3'!BF460</f>
        <v>0</v>
      </c>
      <c r="BG459">
        <f>'mk 001 10.3'!BG460</f>
        <v>0</v>
      </c>
      <c r="BH459">
        <f>'mk 001 10.3'!BH460</f>
        <v>0</v>
      </c>
      <c r="BI459">
        <f>'mk 001 10.3'!BI460</f>
        <v>0</v>
      </c>
      <c r="BJ459">
        <f>'mk 001 10.3'!BJ460</f>
        <v>0</v>
      </c>
      <c r="BK459">
        <f>'mk 001 10.3'!BK460</f>
        <v>0</v>
      </c>
      <c r="BL459">
        <f>'mk 001 10.3'!BL460</f>
        <v>0</v>
      </c>
      <c r="BM459">
        <f>'mk 001 10.3'!BM460</f>
        <v>0</v>
      </c>
      <c r="BN459">
        <f>'mk 001 10.3'!BN460</f>
        <v>0</v>
      </c>
    </row>
    <row r="460" spans="1:66" x14ac:dyDescent="0.35">
      <c r="A460">
        <f>'mk 001 10.3'!A461</f>
        <v>0</v>
      </c>
      <c r="B460">
        <f>'mk 001 10.3'!B461</f>
        <v>0</v>
      </c>
      <c r="C460" s="1">
        <f>'mk 001 10.3'!C461</f>
        <v>0</v>
      </c>
      <c r="D460" s="1">
        <f>'mk 001 10.3'!D461</f>
        <v>0</v>
      </c>
      <c r="E460">
        <f>'mk 001 10.3'!E461</f>
        <v>0</v>
      </c>
      <c r="F460">
        <f>'mk 001 10.3'!F461</f>
        <v>0</v>
      </c>
      <c r="G460">
        <f>'mk 001 10.3'!G461</f>
        <v>0</v>
      </c>
      <c r="H460">
        <f>'mk 001 10.3'!H461</f>
        <v>0</v>
      </c>
      <c r="I460">
        <f>'mk 001 10.3'!I461</f>
        <v>0</v>
      </c>
      <c r="J460">
        <f>'mk 001 10.3'!J461</f>
        <v>0</v>
      </c>
      <c r="K460">
        <f>'mk 001 10.3'!K461</f>
        <v>0</v>
      </c>
      <c r="L460">
        <f>'mk 001 10.3'!L461</f>
        <v>0</v>
      </c>
      <c r="M460">
        <f>'mk 001 10.3'!M461</f>
        <v>0</v>
      </c>
      <c r="N460">
        <f>'mk 001 10.3'!N461</f>
        <v>0</v>
      </c>
      <c r="O460">
        <f>'mk 001 10.3'!O461</f>
        <v>0</v>
      </c>
      <c r="P460">
        <f>'mk 001 10.3'!P461</f>
        <v>0</v>
      </c>
      <c r="Q460">
        <f>'mk 001 10.3'!Q461</f>
        <v>0</v>
      </c>
      <c r="R460" s="1">
        <f>'mk 001 10.3'!R461</f>
        <v>0</v>
      </c>
      <c r="S460" s="1">
        <f>'mk 001 10.3'!S461</f>
        <v>0</v>
      </c>
      <c r="T460">
        <f>'mk 001 10.3'!T461</f>
        <v>0</v>
      </c>
      <c r="U460">
        <f>'mk 001 10.3'!U461</f>
        <v>0</v>
      </c>
      <c r="V460">
        <f>'mk 001 10.3'!V461</f>
        <v>0</v>
      </c>
      <c r="W460">
        <f>'mk 001 10.3'!W461</f>
        <v>0</v>
      </c>
      <c r="X460">
        <f>'mk 001 10.3'!X461</f>
        <v>0</v>
      </c>
      <c r="Y460">
        <f t="shared" si="7"/>
        <v>0</v>
      </c>
      <c r="Z460" s="13">
        <f>IF(COUNTIFS(แปลงข้อมูล!H:H,Q460,แปลงข้อมูล!I:I,U460,แปลงข้อมูล!J:J,V460)&gt;0,SUMIFS(แปลงข้อมูล!Q:Q,แปลงข้อมูล!I:I,U460,แปลงข้อมูล!H:H,Q460,แปลงข้อมูล!J:J,V460),'mk 001 10.3'!Z461)</f>
        <v>0</v>
      </c>
      <c r="AA460">
        <f>'mk 001 10.3'!AA461</f>
        <v>0</v>
      </c>
      <c r="AB460">
        <f>'mk 001 10.3'!AB461</f>
        <v>0</v>
      </c>
      <c r="AC460">
        <f>'mk 001 10.3'!AC461</f>
        <v>0</v>
      </c>
      <c r="AD460">
        <f>'mk 001 10.3'!AD461</f>
        <v>0</v>
      </c>
      <c r="AE460">
        <f>'mk 001 10.3'!AE461</f>
        <v>0</v>
      </c>
      <c r="AF460">
        <f>'mk 001 10.3'!AF461</f>
        <v>0</v>
      </c>
      <c r="AG460">
        <f>'mk 001 10.3'!AG461</f>
        <v>0</v>
      </c>
      <c r="AH460">
        <f>'mk 001 10.3'!AH461</f>
        <v>0</v>
      </c>
      <c r="AI460">
        <f>'mk 001 10.3'!AI461</f>
        <v>0</v>
      </c>
      <c r="AJ460">
        <f>'mk 001 10.3'!AJ461</f>
        <v>0</v>
      </c>
      <c r="AK460">
        <f>'mk 001 10.3'!AK461</f>
        <v>0</v>
      </c>
      <c r="AL460">
        <f>'mk 001 10.3'!AL461</f>
        <v>0</v>
      </c>
      <c r="AM460">
        <f>'mk 001 10.3'!AM461</f>
        <v>0</v>
      </c>
      <c r="AN460">
        <f>'mk 001 10.3'!AN461</f>
        <v>0</v>
      </c>
      <c r="AO460">
        <f>'mk 001 10.3'!AO461</f>
        <v>0</v>
      </c>
      <c r="AP460">
        <f>'mk 001 10.3'!AP461</f>
        <v>0</v>
      </c>
      <c r="AQ460">
        <f>'mk 001 10.3'!AQ461</f>
        <v>0</v>
      </c>
      <c r="AR460">
        <f>'mk 001 10.3'!AR461</f>
        <v>0</v>
      </c>
      <c r="AS460">
        <f>'mk 001 10.3'!AS461</f>
        <v>0</v>
      </c>
      <c r="AT460">
        <f>'mk 001 10.3'!AT461</f>
        <v>0</v>
      </c>
      <c r="AU460">
        <f>'mk 001 10.3'!AU461</f>
        <v>0</v>
      </c>
      <c r="AV460">
        <f>'mk 001 10.3'!AV461</f>
        <v>0</v>
      </c>
      <c r="AW460">
        <f>'mk 001 10.3'!AW461</f>
        <v>0</v>
      </c>
      <c r="AX460">
        <f>'mk 001 10.3'!AX461</f>
        <v>0</v>
      </c>
      <c r="AY460">
        <f>'mk 001 10.3'!AY461</f>
        <v>0</v>
      </c>
      <c r="AZ460">
        <f>'mk 001 10.3'!AZ461</f>
        <v>0</v>
      </c>
      <c r="BA460" s="22">
        <f>'mk 001 10.3'!BA461</f>
        <v>0</v>
      </c>
      <c r="BB460">
        <f>'mk 001 10.3'!BB461</f>
        <v>0</v>
      </c>
      <c r="BC460">
        <f>'mk 001 10.3'!BC461</f>
        <v>0</v>
      </c>
      <c r="BD460">
        <f>'mk 001 10.3'!BD461</f>
        <v>0</v>
      </c>
      <c r="BE460">
        <f>'mk 001 10.3'!BE461</f>
        <v>0</v>
      </c>
      <c r="BF460">
        <f>'mk 001 10.3'!BF461</f>
        <v>0</v>
      </c>
      <c r="BG460">
        <f>'mk 001 10.3'!BG461</f>
        <v>0</v>
      </c>
      <c r="BH460">
        <f>'mk 001 10.3'!BH461</f>
        <v>0</v>
      </c>
      <c r="BI460">
        <f>'mk 001 10.3'!BI461</f>
        <v>0</v>
      </c>
      <c r="BJ460">
        <f>'mk 001 10.3'!BJ461</f>
        <v>0</v>
      </c>
      <c r="BK460">
        <f>'mk 001 10.3'!BK461</f>
        <v>0</v>
      </c>
      <c r="BL460">
        <f>'mk 001 10.3'!BL461</f>
        <v>0</v>
      </c>
      <c r="BM460">
        <f>'mk 001 10.3'!BM461</f>
        <v>0</v>
      </c>
      <c r="BN460">
        <f>'mk 001 10.3'!BN461</f>
        <v>0</v>
      </c>
    </row>
    <row r="461" spans="1:66" x14ac:dyDescent="0.35">
      <c r="A461">
        <f>'mk 001 10.3'!A462</f>
        <v>0</v>
      </c>
      <c r="B461">
        <f>'mk 001 10.3'!B462</f>
        <v>0</v>
      </c>
      <c r="C461" s="1">
        <f>'mk 001 10.3'!C462</f>
        <v>0</v>
      </c>
      <c r="D461" s="1">
        <f>'mk 001 10.3'!D462</f>
        <v>0</v>
      </c>
      <c r="E461">
        <f>'mk 001 10.3'!E462</f>
        <v>0</v>
      </c>
      <c r="F461">
        <f>'mk 001 10.3'!F462</f>
        <v>0</v>
      </c>
      <c r="G461">
        <f>'mk 001 10.3'!G462</f>
        <v>0</v>
      </c>
      <c r="H461">
        <f>'mk 001 10.3'!H462</f>
        <v>0</v>
      </c>
      <c r="I461">
        <f>'mk 001 10.3'!I462</f>
        <v>0</v>
      </c>
      <c r="J461">
        <f>'mk 001 10.3'!J462</f>
        <v>0</v>
      </c>
      <c r="K461">
        <f>'mk 001 10.3'!K462</f>
        <v>0</v>
      </c>
      <c r="L461">
        <f>'mk 001 10.3'!L462</f>
        <v>0</v>
      </c>
      <c r="M461">
        <f>'mk 001 10.3'!M462</f>
        <v>0</v>
      </c>
      <c r="N461">
        <f>'mk 001 10.3'!N462</f>
        <v>0</v>
      </c>
      <c r="O461">
        <f>'mk 001 10.3'!O462</f>
        <v>0</v>
      </c>
      <c r="P461">
        <f>'mk 001 10.3'!P462</f>
        <v>0</v>
      </c>
      <c r="Q461">
        <f>'mk 001 10.3'!Q462</f>
        <v>0</v>
      </c>
      <c r="R461" s="1">
        <f>'mk 001 10.3'!R462</f>
        <v>0</v>
      </c>
      <c r="S461" s="1">
        <f>'mk 001 10.3'!S462</f>
        <v>0</v>
      </c>
      <c r="T461">
        <f>'mk 001 10.3'!T462</f>
        <v>0</v>
      </c>
      <c r="U461">
        <f>'mk 001 10.3'!U462</f>
        <v>0</v>
      </c>
      <c r="V461">
        <f>'mk 001 10.3'!V462</f>
        <v>0</v>
      </c>
      <c r="W461">
        <f>'mk 001 10.3'!W462</f>
        <v>0</v>
      </c>
      <c r="X461">
        <f>'mk 001 10.3'!X462</f>
        <v>0</v>
      </c>
      <c r="Y461">
        <f t="shared" si="7"/>
        <v>0</v>
      </c>
      <c r="Z461" s="13">
        <f>IF(COUNTIFS(แปลงข้อมูล!H:H,Q461,แปลงข้อมูล!I:I,U461,แปลงข้อมูล!J:J,V461)&gt;0,SUMIFS(แปลงข้อมูล!Q:Q,แปลงข้อมูล!I:I,U461,แปลงข้อมูล!H:H,Q461,แปลงข้อมูล!J:J,V461),'mk 001 10.3'!Z462)</f>
        <v>0</v>
      </c>
      <c r="AA461">
        <f>'mk 001 10.3'!AA462</f>
        <v>0</v>
      </c>
      <c r="AB461">
        <f>'mk 001 10.3'!AB462</f>
        <v>0</v>
      </c>
      <c r="AC461">
        <f>'mk 001 10.3'!AC462</f>
        <v>0</v>
      </c>
      <c r="AD461">
        <f>'mk 001 10.3'!AD462</f>
        <v>0</v>
      </c>
      <c r="AE461">
        <f>'mk 001 10.3'!AE462</f>
        <v>0</v>
      </c>
      <c r="AF461">
        <f>'mk 001 10.3'!AF462</f>
        <v>0</v>
      </c>
      <c r="AG461">
        <f>'mk 001 10.3'!AG462</f>
        <v>0</v>
      </c>
      <c r="AH461">
        <f>'mk 001 10.3'!AH462</f>
        <v>0</v>
      </c>
      <c r="AI461">
        <f>'mk 001 10.3'!AI462</f>
        <v>0</v>
      </c>
      <c r="AJ461">
        <f>'mk 001 10.3'!AJ462</f>
        <v>0</v>
      </c>
      <c r="AK461">
        <f>'mk 001 10.3'!AK462</f>
        <v>0</v>
      </c>
      <c r="AL461">
        <f>'mk 001 10.3'!AL462</f>
        <v>0</v>
      </c>
      <c r="AM461">
        <f>'mk 001 10.3'!AM462</f>
        <v>0</v>
      </c>
      <c r="AN461">
        <f>'mk 001 10.3'!AN462</f>
        <v>0</v>
      </c>
      <c r="AO461">
        <f>'mk 001 10.3'!AO462</f>
        <v>0</v>
      </c>
      <c r="AP461">
        <f>'mk 001 10.3'!AP462</f>
        <v>0</v>
      </c>
      <c r="AQ461">
        <f>'mk 001 10.3'!AQ462</f>
        <v>0</v>
      </c>
      <c r="AR461">
        <f>'mk 001 10.3'!AR462</f>
        <v>0</v>
      </c>
      <c r="AS461">
        <f>'mk 001 10.3'!AS462</f>
        <v>0</v>
      </c>
      <c r="AT461">
        <f>'mk 001 10.3'!AT462</f>
        <v>0</v>
      </c>
      <c r="AU461">
        <f>'mk 001 10.3'!AU462</f>
        <v>0</v>
      </c>
      <c r="AV461">
        <f>'mk 001 10.3'!AV462</f>
        <v>0</v>
      </c>
      <c r="AW461">
        <f>'mk 001 10.3'!AW462</f>
        <v>0</v>
      </c>
      <c r="AX461">
        <f>'mk 001 10.3'!AX462</f>
        <v>0</v>
      </c>
      <c r="AY461">
        <f>'mk 001 10.3'!AY462</f>
        <v>0</v>
      </c>
      <c r="AZ461">
        <f>'mk 001 10.3'!AZ462</f>
        <v>0</v>
      </c>
      <c r="BA461" s="22">
        <f>'mk 001 10.3'!BA462</f>
        <v>0</v>
      </c>
      <c r="BB461">
        <f>'mk 001 10.3'!BB462</f>
        <v>0</v>
      </c>
      <c r="BC461">
        <f>'mk 001 10.3'!BC462</f>
        <v>0</v>
      </c>
      <c r="BD461">
        <f>'mk 001 10.3'!BD462</f>
        <v>0</v>
      </c>
      <c r="BE461">
        <f>'mk 001 10.3'!BE462</f>
        <v>0</v>
      </c>
      <c r="BF461">
        <f>'mk 001 10.3'!BF462</f>
        <v>0</v>
      </c>
      <c r="BG461">
        <f>'mk 001 10.3'!BG462</f>
        <v>0</v>
      </c>
      <c r="BH461">
        <f>'mk 001 10.3'!BH462</f>
        <v>0</v>
      </c>
      <c r="BI461">
        <f>'mk 001 10.3'!BI462</f>
        <v>0</v>
      </c>
      <c r="BJ461">
        <f>'mk 001 10.3'!BJ462</f>
        <v>0</v>
      </c>
      <c r="BK461">
        <f>'mk 001 10.3'!BK462</f>
        <v>0</v>
      </c>
      <c r="BL461">
        <f>'mk 001 10.3'!BL462</f>
        <v>0</v>
      </c>
      <c r="BM461">
        <f>'mk 001 10.3'!BM462</f>
        <v>0</v>
      </c>
      <c r="BN461">
        <f>'mk 001 10.3'!BN462</f>
        <v>0</v>
      </c>
    </row>
    <row r="462" spans="1:66" x14ac:dyDescent="0.35">
      <c r="A462">
        <f>'mk 001 10.3'!A463</f>
        <v>0</v>
      </c>
      <c r="B462">
        <f>'mk 001 10.3'!B463</f>
        <v>0</v>
      </c>
      <c r="C462" s="1">
        <f>'mk 001 10.3'!C463</f>
        <v>0</v>
      </c>
      <c r="D462" s="1">
        <f>'mk 001 10.3'!D463</f>
        <v>0</v>
      </c>
      <c r="E462">
        <f>'mk 001 10.3'!E463</f>
        <v>0</v>
      </c>
      <c r="F462">
        <f>'mk 001 10.3'!F463</f>
        <v>0</v>
      </c>
      <c r="G462">
        <f>'mk 001 10.3'!G463</f>
        <v>0</v>
      </c>
      <c r="H462">
        <f>'mk 001 10.3'!H463</f>
        <v>0</v>
      </c>
      <c r="I462">
        <f>'mk 001 10.3'!I463</f>
        <v>0</v>
      </c>
      <c r="J462">
        <f>'mk 001 10.3'!J463</f>
        <v>0</v>
      </c>
      <c r="K462">
        <f>'mk 001 10.3'!K463</f>
        <v>0</v>
      </c>
      <c r="L462">
        <f>'mk 001 10.3'!L463</f>
        <v>0</v>
      </c>
      <c r="M462">
        <f>'mk 001 10.3'!M463</f>
        <v>0</v>
      </c>
      <c r="N462">
        <f>'mk 001 10.3'!N463</f>
        <v>0</v>
      </c>
      <c r="O462">
        <f>'mk 001 10.3'!O463</f>
        <v>0</v>
      </c>
      <c r="P462">
        <f>'mk 001 10.3'!P463</f>
        <v>0</v>
      </c>
      <c r="Q462">
        <f>'mk 001 10.3'!Q463</f>
        <v>0</v>
      </c>
      <c r="R462" s="1">
        <f>'mk 001 10.3'!R463</f>
        <v>0</v>
      </c>
      <c r="S462" s="1">
        <f>'mk 001 10.3'!S463</f>
        <v>0</v>
      </c>
      <c r="T462">
        <f>'mk 001 10.3'!T463</f>
        <v>0</v>
      </c>
      <c r="U462">
        <f>'mk 001 10.3'!U463</f>
        <v>0</v>
      </c>
      <c r="V462">
        <f>'mk 001 10.3'!V463</f>
        <v>0</v>
      </c>
      <c r="W462">
        <f>'mk 001 10.3'!W463</f>
        <v>0</v>
      </c>
      <c r="X462">
        <f>'mk 001 10.3'!X463</f>
        <v>0</v>
      </c>
      <c r="Y462">
        <f t="shared" si="7"/>
        <v>0</v>
      </c>
      <c r="Z462" s="13">
        <f>IF(COUNTIFS(แปลงข้อมูล!H:H,Q462,แปลงข้อมูล!I:I,U462,แปลงข้อมูล!J:J,V462)&gt;0,SUMIFS(แปลงข้อมูล!Q:Q,แปลงข้อมูล!I:I,U462,แปลงข้อมูล!H:H,Q462,แปลงข้อมูล!J:J,V462),'mk 001 10.3'!Z463)</f>
        <v>0</v>
      </c>
      <c r="AA462">
        <f>'mk 001 10.3'!AA463</f>
        <v>0</v>
      </c>
      <c r="AB462">
        <f>'mk 001 10.3'!AB463</f>
        <v>0</v>
      </c>
      <c r="AC462">
        <f>'mk 001 10.3'!AC463</f>
        <v>0</v>
      </c>
      <c r="AD462">
        <f>'mk 001 10.3'!AD463</f>
        <v>0</v>
      </c>
      <c r="AE462">
        <f>'mk 001 10.3'!AE463</f>
        <v>0</v>
      </c>
      <c r="AF462">
        <f>'mk 001 10.3'!AF463</f>
        <v>0</v>
      </c>
      <c r="AG462">
        <f>'mk 001 10.3'!AG463</f>
        <v>0</v>
      </c>
      <c r="AH462">
        <f>'mk 001 10.3'!AH463</f>
        <v>0</v>
      </c>
      <c r="AI462">
        <f>'mk 001 10.3'!AI463</f>
        <v>0</v>
      </c>
      <c r="AJ462">
        <f>'mk 001 10.3'!AJ463</f>
        <v>0</v>
      </c>
      <c r="AK462">
        <f>'mk 001 10.3'!AK463</f>
        <v>0</v>
      </c>
      <c r="AL462">
        <f>'mk 001 10.3'!AL463</f>
        <v>0</v>
      </c>
      <c r="AM462">
        <f>'mk 001 10.3'!AM463</f>
        <v>0</v>
      </c>
      <c r="AN462">
        <f>'mk 001 10.3'!AN463</f>
        <v>0</v>
      </c>
      <c r="AO462">
        <f>'mk 001 10.3'!AO463</f>
        <v>0</v>
      </c>
      <c r="AP462">
        <f>'mk 001 10.3'!AP463</f>
        <v>0</v>
      </c>
      <c r="AQ462">
        <f>'mk 001 10.3'!AQ463</f>
        <v>0</v>
      </c>
      <c r="AR462">
        <f>'mk 001 10.3'!AR463</f>
        <v>0</v>
      </c>
      <c r="AS462">
        <f>'mk 001 10.3'!AS463</f>
        <v>0</v>
      </c>
      <c r="AT462">
        <f>'mk 001 10.3'!AT463</f>
        <v>0</v>
      </c>
      <c r="AU462">
        <f>'mk 001 10.3'!AU463</f>
        <v>0</v>
      </c>
      <c r="AV462">
        <f>'mk 001 10.3'!AV463</f>
        <v>0</v>
      </c>
      <c r="AW462">
        <f>'mk 001 10.3'!AW463</f>
        <v>0</v>
      </c>
      <c r="AX462">
        <f>'mk 001 10.3'!AX463</f>
        <v>0</v>
      </c>
      <c r="AY462">
        <f>'mk 001 10.3'!AY463</f>
        <v>0</v>
      </c>
      <c r="AZ462">
        <f>'mk 001 10.3'!AZ463</f>
        <v>0</v>
      </c>
      <c r="BA462" s="22">
        <f>'mk 001 10.3'!BA463</f>
        <v>0</v>
      </c>
      <c r="BB462">
        <f>'mk 001 10.3'!BB463</f>
        <v>0</v>
      </c>
      <c r="BC462">
        <f>'mk 001 10.3'!BC463</f>
        <v>0</v>
      </c>
      <c r="BD462">
        <f>'mk 001 10.3'!BD463</f>
        <v>0</v>
      </c>
      <c r="BE462">
        <f>'mk 001 10.3'!BE463</f>
        <v>0</v>
      </c>
      <c r="BF462">
        <f>'mk 001 10.3'!BF463</f>
        <v>0</v>
      </c>
      <c r="BG462">
        <f>'mk 001 10.3'!BG463</f>
        <v>0</v>
      </c>
      <c r="BH462">
        <f>'mk 001 10.3'!BH463</f>
        <v>0</v>
      </c>
      <c r="BI462">
        <f>'mk 001 10.3'!BI463</f>
        <v>0</v>
      </c>
      <c r="BJ462">
        <f>'mk 001 10.3'!BJ463</f>
        <v>0</v>
      </c>
      <c r="BK462">
        <f>'mk 001 10.3'!BK463</f>
        <v>0</v>
      </c>
      <c r="BL462">
        <f>'mk 001 10.3'!BL463</f>
        <v>0</v>
      </c>
      <c r="BM462">
        <f>'mk 001 10.3'!BM463</f>
        <v>0</v>
      </c>
      <c r="BN462">
        <f>'mk 001 10.3'!BN463</f>
        <v>0</v>
      </c>
    </row>
    <row r="463" spans="1:66" x14ac:dyDescent="0.35">
      <c r="A463">
        <f>'mk 001 10.3'!A464</f>
        <v>0</v>
      </c>
      <c r="B463">
        <f>'mk 001 10.3'!B464</f>
        <v>0</v>
      </c>
      <c r="C463" s="1">
        <f>'mk 001 10.3'!C464</f>
        <v>0</v>
      </c>
      <c r="D463" s="1">
        <f>'mk 001 10.3'!D464</f>
        <v>0</v>
      </c>
      <c r="E463">
        <f>'mk 001 10.3'!E464</f>
        <v>0</v>
      </c>
      <c r="F463">
        <f>'mk 001 10.3'!F464</f>
        <v>0</v>
      </c>
      <c r="G463">
        <f>'mk 001 10.3'!G464</f>
        <v>0</v>
      </c>
      <c r="H463">
        <f>'mk 001 10.3'!H464</f>
        <v>0</v>
      </c>
      <c r="I463">
        <f>'mk 001 10.3'!I464</f>
        <v>0</v>
      </c>
      <c r="J463">
        <f>'mk 001 10.3'!J464</f>
        <v>0</v>
      </c>
      <c r="K463">
        <f>'mk 001 10.3'!K464</f>
        <v>0</v>
      </c>
      <c r="L463">
        <f>'mk 001 10.3'!L464</f>
        <v>0</v>
      </c>
      <c r="M463">
        <f>'mk 001 10.3'!M464</f>
        <v>0</v>
      </c>
      <c r="N463">
        <f>'mk 001 10.3'!N464</f>
        <v>0</v>
      </c>
      <c r="O463">
        <f>'mk 001 10.3'!O464</f>
        <v>0</v>
      </c>
      <c r="P463">
        <f>'mk 001 10.3'!P464</f>
        <v>0</v>
      </c>
      <c r="Q463">
        <f>'mk 001 10.3'!Q464</f>
        <v>0</v>
      </c>
      <c r="R463" s="1">
        <f>'mk 001 10.3'!R464</f>
        <v>0</v>
      </c>
      <c r="S463" s="1">
        <f>'mk 001 10.3'!S464</f>
        <v>0</v>
      </c>
      <c r="T463">
        <f>'mk 001 10.3'!T464</f>
        <v>0</v>
      </c>
      <c r="U463">
        <f>'mk 001 10.3'!U464</f>
        <v>0</v>
      </c>
      <c r="V463">
        <f>'mk 001 10.3'!V464</f>
        <v>0</v>
      </c>
      <c r="W463">
        <f>'mk 001 10.3'!W464</f>
        <v>0</v>
      </c>
      <c r="X463">
        <f>'mk 001 10.3'!X464</f>
        <v>0</v>
      </c>
      <c r="Y463">
        <f t="shared" si="7"/>
        <v>0</v>
      </c>
      <c r="Z463" s="13">
        <f>IF(COUNTIFS(แปลงข้อมูล!H:H,Q463,แปลงข้อมูล!I:I,U463,แปลงข้อมูล!J:J,V463)&gt;0,SUMIFS(แปลงข้อมูล!Q:Q,แปลงข้อมูล!I:I,U463,แปลงข้อมูล!H:H,Q463,แปลงข้อมูล!J:J,V463),'mk 001 10.3'!Z464)</f>
        <v>0</v>
      </c>
      <c r="AA463">
        <f>'mk 001 10.3'!AA464</f>
        <v>0</v>
      </c>
      <c r="AB463">
        <f>'mk 001 10.3'!AB464</f>
        <v>0</v>
      </c>
      <c r="AC463">
        <f>'mk 001 10.3'!AC464</f>
        <v>0</v>
      </c>
      <c r="AD463">
        <f>'mk 001 10.3'!AD464</f>
        <v>0</v>
      </c>
      <c r="AE463">
        <f>'mk 001 10.3'!AE464</f>
        <v>0</v>
      </c>
      <c r="AF463">
        <f>'mk 001 10.3'!AF464</f>
        <v>0</v>
      </c>
      <c r="AG463">
        <f>'mk 001 10.3'!AG464</f>
        <v>0</v>
      </c>
      <c r="AH463">
        <f>'mk 001 10.3'!AH464</f>
        <v>0</v>
      </c>
      <c r="AI463">
        <f>'mk 001 10.3'!AI464</f>
        <v>0</v>
      </c>
      <c r="AJ463">
        <f>'mk 001 10.3'!AJ464</f>
        <v>0</v>
      </c>
      <c r="AK463">
        <f>'mk 001 10.3'!AK464</f>
        <v>0</v>
      </c>
      <c r="AL463">
        <f>'mk 001 10.3'!AL464</f>
        <v>0</v>
      </c>
      <c r="AM463">
        <f>'mk 001 10.3'!AM464</f>
        <v>0</v>
      </c>
      <c r="AN463">
        <f>'mk 001 10.3'!AN464</f>
        <v>0</v>
      </c>
      <c r="AO463">
        <f>'mk 001 10.3'!AO464</f>
        <v>0</v>
      </c>
      <c r="AP463">
        <f>'mk 001 10.3'!AP464</f>
        <v>0</v>
      </c>
      <c r="AQ463">
        <f>'mk 001 10.3'!AQ464</f>
        <v>0</v>
      </c>
      <c r="AR463">
        <f>'mk 001 10.3'!AR464</f>
        <v>0</v>
      </c>
      <c r="AS463">
        <f>'mk 001 10.3'!AS464</f>
        <v>0</v>
      </c>
      <c r="AT463">
        <f>'mk 001 10.3'!AT464</f>
        <v>0</v>
      </c>
      <c r="AU463">
        <f>'mk 001 10.3'!AU464</f>
        <v>0</v>
      </c>
      <c r="AV463">
        <f>'mk 001 10.3'!AV464</f>
        <v>0</v>
      </c>
      <c r="AW463">
        <f>'mk 001 10.3'!AW464</f>
        <v>0</v>
      </c>
      <c r="AX463">
        <f>'mk 001 10.3'!AX464</f>
        <v>0</v>
      </c>
      <c r="AY463">
        <f>'mk 001 10.3'!AY464</f>
        <v>0</v>
      </c>
      <c r="AZ463">
        <f>'mk 001 10.3'!AZ464</f>
        <v>0</v>
      </c>
      <c r="BA463" s="22">
        <f>'mk 001 10.3'!BA464</f>
        <v>0</v>
      </c>
      <c r="BB463">
        <f>'mk 001 10.3'!BB464</f>
        <v>0</v>
      </c>
      <c r="BC463">
        <f>'mk 001 10.3'!BC464</f>
        <v>0</v>
      </c>
      <c r="BD463">
        <f>'mk 001 10.3'!BD464</f>
        <v>0</v>
      </c>
      <c r="BE463">
        <f>'mk 001 10.3'!BE464</f>
        <v>0</v>
      </c>
      <c r="BF463">
        <f>'mk 001 10.3'!BF464</f>
        <v>0</v>
      </c>
      <c r="BG463">
        <f>'mk 001 10.3'!BG464</f>
        <v>0</v>
      </c>
      <c r="BH463">
        <f>'mk 001 10.3'!BH464</f>
        <v>0</v>
      </c>
      <c r="BI463">
        <f>'mk 001 10.3'!BI464</f>
        <v>0</v>
      </c>
      <c r="BJ463">
        <f>'mk 001 10.3'!BJ464</f>
        <v>0</v>
      </c>
      <c r="BK463">
        <f>'mk 001 10.3'!BK464</f>
        <v>0</v>
      </c>
      <c r="BL463">
        <f>'mk 001 10.3'!BL464</f>
        <v>0</v>
      </c>
      <c r="BM463">
        <f>'mk 001 10.3'!BM464</f>
        <v>0</v>
      </c>
      <c r="BN463">
        <f>'mk 001 10.3'!BN464</f>
        <v>0</v>
      </c>
    </row>
    <row r="464" spans="1:66" x14ac:dyDescent="0.35">
      <c r="A464">
        <f>'mk 001 10.3'!A465</f>
        <v>0</v>
      </c>
      <c r="B464">
        <f>'mk 001 10.3'!B465</f>
        <v>0</v>
      </c>
      <c r="C464" s="1">
        <f>'mk 001 10.3'!C465</f>
        <v>0</v>
      </c>
      <c r="D464" s="1">
        <f>'mk 001 10.3'!D465</f>
        <v>0</v>
      </c>
      <c r="E464">
        <f>'mk 001 10.3'!E465</f>
        <v>0</v>
      </c>
      <c r="F464">
        <f>'mk 001 10.3'!F465</f>
        <v>0</v>
      </c>
      <c r="G464">
        <f>'mk 001 10.3'!G465</f>
        <v>0</v>
      </c>
      <c r="H464">
        <f>'mk 001 10.3'!H465</f>
        <v>0</v>
      </c>
      <c r="I464">
        <f>'mk 001 10.3'!I465</f>
        <v>0</v>
      </c>
      <c r="J464">
        <f>'mk 001 10.3'!J465</f>
        <v>0</v>
      </c>
      <c r="K464">
        <f>'mk 001 10.3'!K465</f>
        <v>0</v>
      </c>
      <c r="L464">
        <f>'mk 001 10.3'!L465</f>
        <v>0</v>
      </c>
      <c r="M464">
        <f>'mk 001 10.3'!M465</f>
        <v>0</v>
      </c>
      <c r="N464">
        <f>'mk 001 10.3'!N465</f>
        <v>0</v>
      </c>
      <c r="O464">
        <f>'mk 001 10.3'!O465</f>
        <v>0</v>
      </c>
      <c r="P464">
        <f>'mk 001 10.3'!P465</f>
        <v>0</v>
      </c>
      <c r="Q464">
        <f>'mk 001 10.3'!Q465</f>
        <v>0</v>
      </c>
      <c r="R464" s="1">
        <f>'mk 001 10.3'!R465</f>
        <v>0</v>
      </c>
      <c r="S464" s="1">
        <f>'mk 001 10.3'!S465</f>
        <v>0</v>
      </c>
      <c r="T464">
        <f>'mk 001 10.3'!T465</f>
        <v>0</v>
      </c>
      <c r="U464">
        <f>'mk 001 10.3'!U465</f>
        <v>0</v>
      </c>
      <c r="V464">
        <f>'mk 001 10.3'!V465</f>
        <v>0</v>
      </c>
      <c r="W464">
        <f>'mk 001 10.3'!W465</f>
        <v>0</v>
      </c>
      <c r="X464">
        <f>'mk 001 10.3'!X465</f>
        <v>0</v>
      </c>
      <c r="Y464">
        <f t="shared" si="7"/>
        <v>0</v>
      </c>
      <c r="Z464" s="13">
        <f>IF(COUNTIFS(แปลงข้อมูล!H:H,Q464,แปลงข้อมูล!I:I,U464,แปลงข้อมูล!J:J,V464)&gt;0,SUMIFS(แปลงข้อมูล!Q:Q,แปลงข้อมูล!I:I,U464,แปลงข้อมูล!H:H,Q464,แปลงข้อมูล!J:J,V464),'mk 001 10.3'!Z465)</f>
        <v>0</v>
      </c>
      <c r="AA464">
        <f>'mk 001 10.3'!AA465</f>
        <v>0</v>
      </c>
      <c r="AB464">
        <f>'mk 001 10.3'!AB465</f>
        <v>0</v>
      </c>
      <c r="AC464">
        <f>'mk 001 10.3'!AC465</f>
        <v>0</v>
      </c>
      <c r="AD464">
        <f>'mk 001 10.3'!AD465</f>
        <v>0</v>
      </c>
      <c r="AE464">
        <f>'mk 001 10.3'!AE465</f>
        <v>0</v>
      </c>
      <c r="AF464">
        <f>'mk 001 10.3'!AF465</f>
        <v>0</v>
      </c>
      <c r="AG464">
        <f>'mk 001 10.3'!AG465</f>
        <v>0</v>
      </c>
      <c r="AH464">
        <f>'mk 001 10.3'!AH465</f>
        <v>0</v>
      </c>
      <c r="AI464">
        <f>'mk 001 10.3'!AI465</f>
        <v>0</v>
      </c>
      <c r="AJ464">
        <f>'mk 001 10.3'!AJ465</f>
        <v>0</v>
      </c>
      <c r="AK464">
        <f>'mk 001 10.3'!AK465</f>
        <v>0</v>
      </c>
      <c r="AL464">
        <f>'mk 001 10.3'!AL465</f>
        <v>0</v>
      </c>
      <c r="AM464">
        <f>'mk 001 10.3'!AM465</f>
        <v>0</v>
      </c>
      <c r="AN464">
        <f>'mk 001 10.3'!AN465</f>
        <v>0</v>
      </c>
      <c r="AO464">
        <f>'mk 001 10.3'!AO465</f>
        <v>0</v>
      </c>
      <c r="AP464">
        <f>'mk 001 10.3'!AP465</f>
        <v>0</v>
      </c>
      <c r="AQ464">
        <f>'mk 001 10.3'!AQ465</f>
        <v>0</v>
      </c>
      <c r="AR464">
        <f>'mk 001 10.3'!AR465</f>
        <v>0</v>
      </c>
      <c r="AS464">
        <f>'mk 001 10.3'!AS465</f>
        <v>0</v>
      </c>
      <c r="AT464">
        <f>'mk 001 10.3'!AT465</f>
        <v>0</v>
      </c>
      <c r="AU464">
        <f>'mk 001 10.3'!AU465</f>
        <v>0</v>
      </c>
      <c r="AV464">
        <f>'mk 001 10.3'!AV465</f>
        <v>0</v>
      </c>
      <c r="AW464">
        <f>'mk 001 10.3'!AW465</f>
        <v>0</v>
      </c>
      <c r="AX464">
        <f>'mk 001 10.3'!AX465</f>
        <v>0</v>
      </c>
      <c r="AY464">
        <f>'mk 001 10.3'!AY465</f>
        <v>0</v>
      </c>
      <c r="AZ464">
        <f>'mk 001 10.3'!AZ465</f>
        <v>0</v>
      </c>
      <c r="BA464" s="22">
        <f>'mk 001 10.3'!BA465</f>
        <v>0</v>
      </c>
      <c r="BB464">
        <f>'mk 001 10.3'!BB465</f>
        <v>0</v>
      </c>
      <c r="BC464">
        <f>'mk 001 10.3'!BC465</f>
        <v>0</v>
      </c>
      <c r="BD464">
        <f>'mk 001 10.3'!BD465</f>
        <v>0</v>
      </c>
      <c r="BE464">
        <f>'mk 001 10.3'!BE465</f>
        <v>0</v>
      </c>
      <c r="BF464">
        <f>'mk 001 10.3'!BF465</f>
        <v>0</v>
      </c>
      <c r="BG464">
        <f>'mk 001 10.3'!BG465</f>
        <v>0</v>
      </c>
      <c r="BH464">
        <f>'mk 001 10.3'!BH465</f>
        <v>0</v>
      </c>
      <c r="BI464">
        <f>'mk 001 10.3'!BI465</f>
        <v>0</v>
      </c>
      <c r="BJ464">
        <f>'mk 001 10.3'!BJ465</f>
        <v>0</v>
      </c>
      <c r="BK464">
        <f>'mk 001 10.3'!BK465</f>
        <v>0</v>
      </c>
      <c r="BL464">
        <f>'mk 001 10.3'!BL465</f>
        <v>0</v>
      </c>
      <c r="BM464">
        <f>'mk 001 10.3'!BM465</f>
        <v>0</v>
      </c>
      <c r="BN464">
        <f>'mk 001 10.3'!BN465</f>
        <v>0</v>
      </c>
    </row>
    <row r="465" spans="1:66" x14ac:dyDescent="0.35">
      <c r="A465">
        <f>'mk 001 10.3'!A466</f>
        <v>0</v>
      </c>
      <c r="B465">
        <f>'mk 001 10.3'!B466</f>
        <v>0</v>
      </c>
      <c r="C465" s="1">
        <f>'mk 001 10.3'!C466</f>
        <v>0</v>
      </c>
      <c r="D465" s="1">
        <f>'mk 001 10.3'!D466</f>
        <v>0</v>
      </c>
      <c r="E465">
        <f>'mk 001 10.3'!E466</f>
        <v>0</v>
      </c>
      <c r="F465">
        <f>'mk 001 10.3'!F466</f>
        <v>0</v>
      </c>
      <c r="G465">
        <f>'mk 001 10.3'!G466</f>
        <v>0</v>
      </c>
      <c r="H465">
        <f>'mk 001 10.3'!H466</f>
        <v>0</v>
      </c>
      <c r="I465">
        <f>'mk 001 10.3'!I466</f>
        <v>0</v>
      </c>
      <c r="J465">
        <f>'mk 001 10.3'!J466</f>
        <v>0</v>
      </c>
      <c r="K465">
        <f>'mk 001 10.3'!K466</f>
        <v>0</v>
      </c>
      <c r="L465">
        <f>'mk 001 10.3'!L466</f>
        <v>0</v>
      </c>
      <c r="M465">
        <f>'mk 001 10.3'!M466</f>
        <v>0</v>
      </c>
      <c r="N465">
        <f>'mk 001 10.3'!N466</f>
        <v>0</v>
      </c>
      <c r="O465">
        <f>'mk 001 10.3'!O466</f>
        <v>0</v>
      </c>
      <c r="P465">
        <f>'mk 001 10.3'!P466</f>
        <v>0</v>
      </c>
      <c r="Q465">
        <f>'mk 001 10.3'!Q466</f>
        <v>0</v>
      </c>
      <c r="R465" s="1">
        <f>'mk 001 10.3'!R466</f>
        <v>0</v>
      </c>
      <c r="S465" s="1">
        <f>'mk 001 10.3'!S466</f>
        <v>0</v>
      </c>
      <c r="T465">
        <f>'mk 001 10.3'!T466</f>
        <v>0</v>
      </c>
      <c r="U465">
        <f>'mk 001 10.3'!U466</f>
        <v>0</v>
      </c>
      <c r="V465">
        <f>'mk 001 10.3'!V466</f>
        <v>0</v>
      </c>
      <c r="W465">
        <f>'mk 001 10.3'!W466</f>
        <v>0</v>
      </c>
      <c r="X465">
        <f>'mk 001 10.3'!X466</f>
        <v>0</v>
      </c>
      <c r="Y465">
        <f t="shared" ref="Y465:Y500" si="8">IFERROR(W465*Z465/X465,0)</f>
        <v>0</v>
      </c>
      <c r="Z465" s="13">
        <f>IF(COUNTIFS(แปลงข้อมูล!H:H,Q465,แปลงข้อมูล!I:I,U465,แปลงข้อมูล!J:J,V465)&gt;0,SUMIFS(แปลงข้อมูล!Q:Q,แปลงข้อมูล!I:I,U465,แปลงข้อมูล!H:H,Q465,แปลงข้อมูล!J:J,V465),'mk 001 10.3'!Z466)</f>
        <v>0</v>
      </c>
      <c r="AA465">
        <f>'mk 001 10.3'!AA466</f>
        <v>0</v>
      </c>
      <c r="AB465">
        <f>'mk 001 10.3'!AB466</f>
        <v>0</v>
      </c>
      <c r="AC465">
        <f>'mk 001 10.3'!AC466</f>
        <v>0</v>
      </c>
      <c r="AD465">
        <f>'mk 001 10.3'!AD466</f>
        <v>0</v>
      </c>
      <c r="AE465">
        <f>'mk 001 10.3'!AE466</f>
        <v>0</v>
      </c>
      <c r="AF465">
        <f>'mk 001 10.3'!AF466</f>
        <v>0</v>
      </c>
      <c r="AG465">
        <f>'mk 001 10.3'!AG466</f>
        <v>0</v>
      </c>
      <c r="AH465">
        <f>'mk 001 10.3'!AH466</f>
        <v>0</v>
      </c>
      <c r="AI465">
        <f>'mk 001 10.3'!AI466</f>
        <v>0</v>
      </c>
      <c r="AJ465">
        <f>'mk 001 10.3'!AJ466</f>
        <v>0</v>
      </c>
      <c r="AK465">
        <f>'mk 001 10.3'!AK466</f>
        <v>0</v>
      </c>
      <c r="AL465">
        <f>'mk 001 10.3'!AL466</f>
        <v>0</v>
      </c>
      <c r="AM465">
        <f>'mk 001 10.3'!AM466</f>
        <v>0</v>
      </c>
      <c r="AN465">
        <f>'mk 001 10.3'!AN466</f>
        <v>0</v>
      </c>
      <c r="AO465">
        <f>'mk 001 10.3'!AO466</f>
        <v>0</v>
      </c>
      <c r="AP465">
        <f>'mk 001 10.3'!AP466</f>
        <v>0</v>
      </c>
      <c r="AQ465">
        <f>'mk 001 10.3'!AQ466</f>
        <v>0</v>
      </c>
      <c r="AR465">
        <f>'mk 001 10.3'!AR466</f>
        <v>0</v>
      </c>
      <c r="AS465">
        <f>'mk 001 10.3'!AS466</f>
        <v>0</v>
      </c>
      <c r="AT465">
        <f>'mk 001 10.3'!AT466</f>
        <v>0</v>
      </c>
      <c r="AU465">
        <f>'mk 001 10.3'!AU466</f>
        <v>0</v>
      </c>
      <c r="AV465">
        <f>'mk 001 10.3'!AV466</f>
        <v>0</v>
      </c>
      <c r="AW465">
        <f>'mk 001 10.3'!AW466</f>
        <v>0</v>
      </c>
      <c r="AX465">
        <f>'mk 001 10.3'!AX466</f>
        <v>0</v>
      </c>
      <c r="AY465">
        <f>'mk 001 10.3'!AY466</f>
        <v>0</v>
      </c>
      <c r="AZ465">
        <f>'mk 001 10.3'!AZ466</f>
        <v>0</v>
      </c>
      <c r="BA465" s="22">
        <f>'mk 001 10.3'!BA466</f>
        <v>0</v>
      </c>
      <c r="BB465">
        <f>'mk 001 10.3'!BB466</f>
        <v>0</v>
      </c>
      <c r="BC465">
        <f>'mk 001 10.3'!BC466</f>
        <v>0</v>
      </c>
      <c r="BD465">
        <f>'mk 001 10.3'!BD466</f>
        <v>0</v>
      </c>
      <c r="BE465">
        <f>'mk 001 10.3'!BE466</f>
        <v>0</v>
      </c>
      <c r="BF465">
        <f>'mk 001 10.3'!BF466</f>
        <v>0</v>
      </c>
      <c r="BG465">
        <f>'mk 001 10.3'!BG466</f>
        <v>0</v>
      </c>
      <c r="BH465">
        <f>'mk 001 10.3'!BH466</f>
        <v>0</v>
      </c>
      <c r="BI465">
        <f>'mk 001 10.3'!BI466</f>
        <v>0</v>
      </c>
      <c r="BJ465">
        <f>'mk 001 10.3'!BJ466</f>
        <v>0</v>
      </c>
      <c r="BK465">
        <f>'mk 001 10.3'!BK466</f>
        <v>0</v>
      </c>
      <c r="BL465">
        <f>'mk 001 10.3'!BL466</f>
        <v>0</v>
      </c>
      <c r="BM465">
        <f>'mk 001 10.3'!BM466</f>
        <v>0</v>
      </c>
      <c r="BN465">
        <f>'mk 001 10.3'!BN466</f>
        <v>0</v>
      </c>
    </row>
    <row r="466" spans="1:66" x14ac:dyDescent="0.35">
      <c r="A466">
        <f>'mk 001 10.3'!A467</f>
        <v>0</v>
      </c>
      <c r="B466">
        <f>'mk 001 10.3'!B467</f>
        <v>0</v>
      </c>
      <c r="C466" s="1">
        <f>'mk 001 10.3'!C467</f>
        <v>0</v>
      </c>
      <c r="D466" s="1">
        <f>'mk 001 10.3'!D467</f>
        <v>0</v>
      </c>
      <c r="E466">
        <f>'mk 001 10.3'!E467</f>
        <v>0</v>
      </c>
      <c r="F466">
        <f>'mk 001 10.3'!F467</f>
        <v>0</v>
      </c>
      <c r="G466">
        <f>'mk 001 10.3'!G467</f>
        <v>0</v>
      </c>
      <c r="H466">
        <f>'mk 001 10.3'!H467</f>
        <v>0</v>
      </c>
      <c r="I466">
        <f>'mk 001 10.3'!I467</f>
        <v>0</v>
      </c>
      <c r="J466">
        <f>'mk 001 10.3'!J467</f>
        <v>0</v>
      </c>
      <c r="K466">
        <f>'mk 001 10.3'!K467</f>
        <v>0</v>
      </c>
      <c r="L466">
        <f>'mk 001 10.3'!L467</f>
        <v>0</v>
      </c>
      <c r="M466">
        <f>'mk 001 10.3'!M467</f>
        <v>0</v>
      </c>
      <c r="N466">
        <f>'mk 001 10.3'!N467</f>
        <v>0</v>
      </c>
      <c r="O466">
        <f>'mk 001 10.3'!O467</f>
        <v>0</v>
      </c>
      <c r="P466">
        <f>'mk 001 10.3'!P467</f>
        <v>0</v>
      </c>
      <c r="Q466">
        <f>'mk 001 10.3'!Q467</f>
        <v>0</v>
      </c>
      <c r="R466" s="1">
        <f>'mk 001 10.3'!R467</f>
        <v>0</v>
      </c>
      <c r="S466" s="1">
        <f>'mk 001 10.3'!S467</f>
        <v>0</v>
      </c>
      <c r="T466">
        <f>'mk 001 10.3'!T467</f>
        <v>0</v>
      </c>
      <c r="U466">
        <f>'mk 001 10.3'!U467</f>
        <v>0</v>
      </c>
      <c r="V466">
        <f>'mk 001 10.3'!V467</f>
        <v>0</v>
      </c>
      <c r="W466">
        <f>'mk 001 10.3'!W467</f>
        <v>0</v>
      </c>
      <c r="X466">
        <f>'mk 001 10.3'!X467</f>
        <v>0</v>
      </c>
      <c r="Y466">
        <f t="shared" si="8"/>
        <v>0</v>
      </c>
      <c r="Z466" s="13">
        <f>IF(COUNTIFS(แปลงข้อมูล!H:H,Q466,แปลงข้อมูล!I:I,U466,แปลงข้อมูล!J:J,V466)&gt;0,SUMIFS(แปลงข้อมูล!Q:Q,แปลงข้อมูล!I:I,U466,แปลงข้อมูล!H:H,Q466,แปลงข้อมูล!J:J,V466),'mk 001 10.3'!Z467)</f>
        <v>0</v>
      </c>
      <c r="AA466">
        <f>'mk 001 10.3'!AA467</f>
        <v>0</v>
      </c>
      <c r="AB466">
        <f>'mk 001 10.3'!AB467</f>
        <v>0</v>
      </c>
      <c r="AC466">
        <f>'mk 001 10.3'!AC467</f>
        <v>0</v>
      </c>
      <c r="AD466">
        <f>'mk 001 10.3'!AD467</f>
        <v>0</v>
      </c>
      <c r="AE466">
        <f>'mk 001 10.3'!AE467</f>
        <v>0</v>
      </c>
      <c r="AF466">
        <f>'mk 001 10.3'!AF467</f>
        <v>0</v>
      </c>
      <c r="AG466">
        <f>'mk 001 10.3'!AG467</f>
        <v>0</v>
      </c>
      <c r="AH466">
        <f>'mk 001 10.3'!AH467</f>
        <v>0</v>
      </c>
      <c r="AI466">
        <f>'mk 001 10.3'!AI467</f>
        <v>0</v>
      </c>
      <c r="AJ466">
        <f>'mk 001 10.3'!AJ467</f>
        <v>0</v>
      </c>
      <c r="AK466">
        <f>'mk 001 10.3'!AK467</f>
        <v>0</v>
      </c>
      <c r="AL466">
        <f>'mk 001 10.3'!AL467</f>
        <v>0</v>
      </c>
      <c r="AM466">
        <f>'mk 001 10.3'!AM467</f>
        <v>0</v>
      </c>
      <c r="AN466">
        <f>'mk 001 10.3'!AN467</f>
        <v>0</v>
      </c>
      <c r="AO466">
        <f>'mk 001 10.3'!AO467</f>
        <v>0</v>
      </c>
      <c r="AP466">
        <f>'mk 001 10.3'!AP467</f>
        <v>0</v>
      </c>
      <c r="AQ466">
        <f>'mk 001 10.3'!AQ467</f>
        <v>0</v>
      </c>
      <c r="AR466">
        <f>'mk 001 10.3'!AR467</f>
        <v>0</v>
      </c>
      <c r="AS466">
        <f>'mk 001 10.3'!AS467</f>
        <v>0</v>
      </c>
      <c r="AT466">
        <f>'mk 001 10.3'!AT467</f>
        <v>0</v>
      </c>
      <c r="AU466">
        <f>'mk 001 10.3'!AU467</f>
        <v>0</v>
      </c>
      <c r="AV466">
        <f>'mk 001 10.3'!AV467</f>
        <v>0</v>
      </c>
      <c r="AW466">
        <f>'mk 001 10.3'!AW467</f>
        <v>0</v>
      </c>
      <c r="AX466">
        <f>'mk 001 10.3'!AX467</f>
        <v>0</v>
      </c>
      <c r="AY466">
        <f>'mk 001 10.3'!AY467</f>
        <v>0</v>
      </c>
      <c r="AZ466">
        <f>'mk 001 10.3'!AZ467</f>
        <v>0</v>
      </c>
      <c r="BA466" s="22">
        <f>'mk 001 10.3'!BA467</f>
        <v>0</v>
      </c>
      <c r="BB466">
        <f>'mk 001 10.3'!BB467</f>
        <v>0</v>
      </c>
      <c r="BC466">
        <f>'mk 001 10.3'!BC467</f>
        <v>0</v>
      </c>
      <c r="BD466">
        <f>'mk 001 10.3'!BD467</f>
        <v>0</v>
      </c>
      <c r="BE466">
        <f>'mk 001 10.3'!BE467</f>
        <v>0</v>
      </c>
      <c r="BF466">
        <f>'mk 001 10.3'!BF467</f>
        <v>0</v>
      </c>
      <c r="BG466">
        <f>'mk 001 10.3'!BG467</f>
        <v>0</v>
      </c>
      <c r="BH466">
        <f>'mk 001 10.3'!BH467</f>
        <v>0</v>
      </c>
      <c r="BI466">
        <f>'mk 001 10.3'!BI467</f>
        <v>0</v>
      </c>
      <c r="BJ466">
        <f>'mk 001 10.3'!BJ467</f>
        <v>0</v>
      </c>
      <c r="BK466">
        <f>'mk 001 10.3'!BK467</f>
        <v>0</v>
      </c>
      <c r="BL466">
        <f>'mk 001 10.3'!BL467</f>
        <v>0</v>
      </c>
      <c r="BM466">
        <f>'mk 001 10.3'!BM467</f>
        <v>0</v>
      </c>
      <c r="BN466">
        <f>'mk 001 10.3'!BN467</f>
        <v>0</v>
      </c>
    </row>
    <row r="467" spans="1:66" x14ac:dyDescent="0.35">
      <c r="A467">
        <f>'mk 001 10.3'!A468</f>
        <v>0</v>
      </c>
      <c r="B467">
        <f>'mk 001 10.3'!B468</f>
        <v>0</v>
      </c>
      <c r="C467" s="1">
        <f>'mk 001 10.3'!C468</f>
        <v>0</v>
      </c>
      <c r="D467" s="1">
        <f>'mk 001 10.3'!D468</f>
        <v>0</v>
      </c>
      <c r="E467">
        <f>'mk 001 10.3'!E468</f>
        <v>0</v>
      </c>
      <c r="F467">
        <f>'mk 001 10.3'!F468</f>
        <v>0</v>
      </c>
      <c r="G467">
        <f>'mk 001 10.3'!G468</f>
        <v>0</v>
      </c>
      <c r="H467">
        <f>'mk 001 10.3'!H468</f>
        <v>0</v>
      </c>
      <c r="I467">
        <f>'mk 001 10.3'!I468</f>
        <v>0</v>
      </c>
      <c r="J467">
        <f>'mk 001 10.3'!J468</f>
        <v>0</v>
      </c>
      <c r="K467">
        <f>'mk 001 10.3'!K468</f>
        <v>0</v>
      </c>
      <c r="L467">
        <f>'mk 001 10.3'!L468</f>
        <v>0</v>
      </c>
      <c r="M467">
        <f>'mk 001 10.3'!M468</f>
        <v>0</v>
      </c>
      <c r="N467">
        <f>'mk 001 10.3'!N468</f>
        <v>0</v>
      </c>
      <c r="O467">
        <f>'mk 001 10.3'!O468</f>
        <v>0</v>
      </c>
      <c r="P467">
        <f>'mk 001 10.3'!P468</f>
        <v>0</v>
      </c>
      <c r="Q467">
        <f>'mk 001 10.3'!Q468</f>
        <v>0</v>
      </c>
      <c r="R467" s="1">
        <f>'mk 001 10.3'!R468</f>
        <v>0</v>
      </c>
      <c r="S467" s="1">
        <f>'mk 001 10.3'!S468</f>
        <v>0</v>
      </c>
      <c r="T467">
        <f>'mk 001 10.3'!T468</f>
        <v>0</v>
      </c>
      <c r="U467">
        <f>'mk 001 10.3'!U468</f>
        <v>0</v>
      </c>
      <c r="V467">
        <f>'mk 001 10.3'!V468</f>
        <v>0</v>
      </c>
      <c r="W467">
        <f>'mk 001 10.3'!W468</f>
        <v>0</v>
      </c>
      <c r="X467">
        <f>'mk 001 10.3'!X468</f>
        <v>0</v>
      </c>
      <c r="Y467">
        <f t="shared" si="8"/>
        <v>0</v>
      </c>
      <c r="Z467" s="13">
        <f>IF(COUNTIFS(แปลงข้อมูล!H:H,Q467,แปลงข้อมูล!I:I,U467,แปลงข้อมูล!J:J,V467)&gt;0,SUMIFS(แปลงข้อมูล!Q:Q,แปลงข้อมูล!I:I,U467,แปลงข้อมูล!H:H,Q467,แปลงข้อมูล!J:J,V467),'mk 001 10.3'!Z468)</f>
        <v>0</v>
      </c>
      <c r="AA467">
        <f>'mk 001 10.3'!AA468</f>
        <v>0</v>
      </c>
      <c r="AB467">
        <f>'mk 001 10.3'!AB468</f>
        <v>0</v>
      </c>
      <c r="AC467">
        <f>'mk 001 10.3'!AC468</f>
        <v>0</v>
      </c>
      <c r="AD467">
        <f>'mk 001 10.3'!AD468</f>
        <v>0</v>
      </c>
      <c r="AE467">
        <f>'mk 001 10.3'!AE468</f>
        <v>0</v>
      </c>
      <c r="AF467">
        <f>'mk 001 10.3'!AF468</f>
        <v>0</v>
      </c>
      <c r="AG467">
        <f>'mk 001 10.3'!AG468</f>
        <v>0</v>
      </c>
      <c r="AH467">
        <f>'mk 001 10.3'!AH468</f>
        <v>0</v>
      </c>
      <c r="AI467">
        <f>'mk 001 10.3'!AI468</f>
        <v>0</v>
      </c>
      <c r="AJ467">
        <f>'mk 001 10.3'!AJ468</f>
        <v>0</v>
      </c>
      <c r="AK467">
        <f>'mk 001 10.3'!AK468</f>
        <v>0</v>
      </c>
      <c r="AL467">
        <f>'mk 001 10.3'!AL468</f>
        <v>0</v>
      </c>
      <c r="AM467">
        <f>'mk 001 10.3'!AM468</f>
        <v>0</v>
      </c>
      <c r="AN467">
        <f>'mk 001 10.3'!AN468</f>
        <v>0</v>
      </c>
      <c r="AO467">
        <f>'mk 001 10.3'!AO468</f>
        <v>0</v>
      </c>
      <c r="AP467">
        <f>'mk 001 10.3'!AP468</f>
        <v>0</v>
      </c>
      <c r="AQ467">
        <f>'mk 001 10.3'!AQ468</f>
        <v>0</v>
      </c>
      <c r="AR467">
        <f>'mk 001 10.3'!AR468</f>
        <v>0</v>
      </c>
      <c r="AS467">
        <f>'mk 001 10.3'!AS468</f>
        <v>0</v>
      </c>
      <c r="AT467">
        <f>'mk 001 10.3'!AT468</f>
        <v>0</v>
      </c>
      <c r="AU467">
        <f>'mk 001 10.3'!AU468</f>
        <v>0</v>
      </c>
      <c r="AV467">
        <f>'mk 001 10.3'!AV468</f>
        <v>0</v>
      </c>
      <c r="AW467">
        <f>'mk 001 10.3'!AW468</f>
        <v>0</v>
      </c>
      <c r="AX467">
        <f>'mk 001 10.3'!AX468</f>
        <v>0</v>
      </c>
      <c r="AY467">
        <f>'mk 001 10.3'!AY468</f>
        <v>0</v>
      </c>
      <c r="AZ467">
        <f>'mk 001 10.3'!AZ468</f>
        <v>0</v>
      </c>
      <c r="BA467" s="22">
        <f>'mk 001 10.3'!BA468</f>
        <v>0</v>
      </c>
      <c r="BB467">
        <f>'mk 001 10.3'!BB468</f>
        <v>0</v>
      </c>
      <c r="BC467">
        <f>'mk 001 10.3'!BC468</f>
        <v>0</v>
      </c>
      <c r="BD467">
        <f>'mk 001 10.3'!BD468</f>
        <v>0</v>
      </c>
      <c r="BE467">
        <f>'mk 001 10.3'!BE468</f>
        <v>0</v>
      </c>
      <c r="BF467">
        <f>'mk 001 10.3'!BF468</f>
        <v>0</v>
      </c>
      <c r="BG467">
        <f>'mk 001 10.3'!BG468</f>
        <v>0</v>
      </c>
      <c r="BH467">
        <f>'mk 001 10.3'!BH468</f>
        <v>0</v>
      </c>
      <c r="BI467">
        <f>'mk 001 10.3'!BI468</f>
        <v>0</v>
      </c>
      <c r="BJ467">
        <f>'mk 001 10.3'!BJ468</f>
        <v>0</v>
      </c>
      <c r="BK467">
        <f>'mk 001 10.3'!BK468</f>
        <v>0</v>
      </c>
      <c r="BL467">
        <f>'mk 001 10.3'!BL468</f>
        <v>0</v>
      </c>
      <c r="BM467">
        <f>'mk 001 10.3'!BM468</f>
        <v>0</v>
      </c>
      <c r="BN467">
        <f>'mk 001 10.3'!BN468</f>
        <v>0</v>
      </c>
    </row>
    <row r="468" spans="1:66" x14ac:dyDescent="0.35">
      <c r="A468">
        <f>'mk 001 10.3'!A469</f>
        <v>0</v>
      </c>
      <c r="B468">
        <f>'mk 001 10.3'!B469</f>
        <v>0</v>
      </c>
      <c r="C468" s="1">
        <f>'mk 001 10.3'!C469</f>
        <v>0</v>
      </c>
      <c r="D468" s="1">
        <f>'mk 001 10.3'!D469</f>
        <v>0</v>
      </c>
      <c r="E468">
        <f>'mk 001 10.3'!E469</f>
        <v>0</v>
      </c>
      <c r="F468">
        <f>'mk 001 10.3'!F469</f>
        <v>0</v>
      </c>
      <c r="G468">
        <f>'mk 001 10.3'!G469</f>
        <v>0</v>
      </c>
      <c r="H468">
        <f>'mk 001 10.3'!H469</f>
        <v>0</v>
      </c>
      <c r="I468">
        <f>'mk 001 10.3'!I469</f>
        <v>0</v>
      </c>
      <c r="J468">
        <f>'mk 001 10.3'!J469</f>
        <v>0</v>
      </c>
      <c r="K468">
        <f>'mk 001 10.3'!K469</f>
        <v>0</v>
      </c>
      <c r="L468">
        <f>'mk 001 10.3'!L469</f>
        <v>0</v>
      </c>
      <c r="M468">
        <f>'mk 001 10.3'!M469</f>
        <v>0</v>
      </c>
      <c r="N468">
        <f>'mk 001 10.3'!N469</f>
        <v>0</v>
      </c>
      <c r="O468">
        <f>'mk 001 10.3'!O469</f>
        <v>0</v>
      </c>
      <c r="P468">
        <f>'mk 001 10.3'!P469</f>
        <v>0</v>
      </c>
      <c r="Q468">
        <f>'mk 001 10.3'!Q469</f>
        <v>0</v>
      </c>
      <c r="R468" s="1">
        <f>'mk 001 10.3'!R469</f>
        <v>0</v>
      </c>
      <c r="S468" s="1">
        <f>'mk 001 10.3'!S469</f>
        <v>0</v>
      </c>
      <c r="T468">
        <f>'mk 001 10.3'!T469</f>
        <v>0</v>
      </c>
      <c r="U468">
        <f>'mk 001 10.3'!U469</f>
        <v>0</v>
      </c>
      <c r="V468">
        <f>'mk 001 10.3'!V469</f>
        <v>0</v>
      </c>
      <c r="W468">
        <f>'mk 001 10.3'!W469</f>
        <v>0</v>
      </c>
      <c r="X468">
        <f>'mk 001 10.3'!X469</f>
        <v>0</v>
      </c>
      <c r="Y468">
        <f t="shared" si="8"/>
        <v>0</v>
      </c>
      <c r="Z468" s="13">
        <f>IF(COUNTIFS(แปลงข้อมูล!H:H,Q468,แปลงข้อมูล!I:I,U468,แปลงข้อมูล!J:J,V468)&gt;0,SUMIFS(แปลงข้อมูล!Q:Q,แปลงข้อมูล!I:I,U468,แปลงข้อมูล!H:H,Q468,แปลงข้อมูล!J:J,V468),'mk 001 10.3'!Z469)</f>
        <v>0</v>
      </c>
      <c r="AA468">
        <f>'mk 001 10.3'!AA469</f>
        <v>0</v>
      </c>
      <c r="AB468">
        <f>'mk 001 10.3'!AB469</f>
        <v>0</v>
      </c>
      <c r="AC468">
        <f>'mk 001 10.3'!AC469</f>
        <v>0</v>
      </c>
      <c r="AD468">
        <f>'mk 001 10.3'!AD469</f>
        <v>0</v>
      </c>
      <c r="AE468">
        <f>'mk 001 10.3'!AE469</f>
        <v>0</v>
      </c>
      <c r="AF468">
        <f>'mk 001 10.3'!AF469</f>
        <v>0</v>
      </c>
      <c r="AG468">
        <f>'mk 001 10.3'!AG469</f>
        <v>0</v>
      </c>
      <c r="AH468">
        <f>'mk 001 10.3'!AH469</f>
        <v>0</v>
      </c>
      <c r="AI468">
        <f>'mk 001 10.3'!AI469</f>
        <v>0</v>
      </c>
      <c r="AJ468">
        <f>'mk 001 10.3'!AJ469</f>
        <v>0</v>
      </c>
      <c r="AK468">
        <f>'mk 001 10.3'!AK469</f>
        <v>0</v>
      </c>
      <c r="AL468">
        <f>'mk 001 10.3'!AL469</f>
        <v>0</v>
      </c>
      <c r="AM468">
        <f>'mk 001 10.3'!AM469</f>
        <v>0</v>
      </c>
      <c r="AN468">
        <f>'mk 001 10.3'!AN469</f>
        <v>0</v>
      </c>
      <c r="AO468">
        <f>'mk 001 10.3'!AO469</f>
        <v>0</v>
      </c>
      <c r="AP468">
        <f>'mk 001 10.3'!AP469</f>
        <v>0</v>
      </c>
      <c r="AQ468">
        <f>'mk 001 10.3'!AQ469</f>
        <v>0</v>
      </c>
      <c r="AR468">
        <f>'mk 001 10.3'!AR469</f>
        <v>0</v>
      </c>
      <c r="AS468">
        <f>'mk 001 10.3'!AS469</f>
        <v>0</v>
      </c>
      <c r="AT468">
        <f>'mk 001 10.3'!AT469</f>
        <v>0</v>
      </c>
      <c r="AU468">
        <f>'mk 001 10.3'!AU469</f>
        <v>0</v>
      </c>
      <c r="AV468">
        <f>'mk 001 10.3'!AV469</f>
        <v>0</v>
      </c>
      <c r="AW468">
        <f>'mk 001 10.3'!AW469</f>
        <v>0</v>
      </c>
      <c r="AX468">
        <f>'mk 001 10.3'!AX469</f>
        <v>0</v>
      </c>
      <c r="AY468">
        <f>'mk 001 10.3'!AY469</f>
        <v>0</v>
      </c>
      <c r="AZ468">
        <f>'mk 001 10.3'!AZ469</f>
        <v>0</v>
      </c>
      <c r="BA468" s="22">
        <f>'mk 001 10.3'!BA469</f>
        <v>0</v>
      </c>
      <c r="BB468">
        <f>'mk 001 10.3'!BB469</f>
        <v>0</v>
      </c>
      <c r="BC468">
        <f>'mk 001 10.3'!BC469</f>
        <v>0</v>
      </c>
      <c r="BD468">
        <f>'mk 001 10.3'!BD469</f>
        <v>0</v>
      </c>
      <c r="BE468">
        <f>'mk 001 10.3'!BE469</f>
        <v>0</v>
      </c>
      <c r="BF468">
        <f>'mk 001 10.3'!BF469</f>
        <v>0</v>
      </c>
      <c r="BG468">
        <f>'mk 001 10.3'!BG469</f>
        <v>0</v>
      </c>
      <c r="BH468">
        <f>'mk 001 10.3'!BH469</f>
        <v>0</v>
      </c>
      <c r="BI468">
        <f>'mk 001 10.3'!BI469</f>
        <v>0</v>
      </c>
      <c r="BJ468">
        <f>'mk 001 10.3'!BJ469</f>
        <v>0</v>
      </c>
      <c r="BK468">
        <f>'mk 001 10.3'!BK469</f>
        <v>0</v>
      </c>
      <c r="BL468">
        <f>'mk 001 10.3'!BL469</f>
        <v>0</v>
      </c>
      <c r="BM468">
        <f>'mk 001 10.3'!BM469</f>
        <v>0</v>
      </c>
      <c r="BN468">
        <f>'mk 001 10.3'!BN469</f>
        <v>0</v>
      </c>
    </row>
    <row r="469" spans="1:66" x14ac:dyDescent="0.35">
      <c r="A469">
        <f>'mk 001 10.3'!A470</f>
        <v>0</v>
      </c>
      <c r="B469">
        <f>'mk 001 10.3'!B470</f>
        <v>0</v>
      </c>
      <c r="C469" s="1">
        <f>'mk 001 10.3'!C470</f>
        <v>0</v>
      </c>
      <c r="D469" s="1">
        <f>'mk 001 10.3'!D470</f>
        <v>0</v>
      </c>
      <c r="E469">
        <f>'mk 001 10.3'!E470</f>
        <v>0</v>
      </c>
      <c r="F469">
        <f>'mk 001 10.3'!F470</f>
        <v>0</v>
      </c>
      <c r="G469">
        <f>'mk 001 10.3'!G470</f>
        <v>0</v>
      </c>
      <c r="H469">
        <f>'mk 001 10.3'!H470</f>
        <v>0</v>
      </c>
      <c r="I469">
        <f>'mk 001 10.3'!I470</f>
        <v>0</v>
      </c>
      <c r="J469">
        <f>'mk 001 10.3'!J470</f>
        <v>0</v>
      </c>
      <c r="K469">
        <f>'mk 001 10.3'!K470</f>
        <v>0</v>
      </c>
      <c r="L469">
        <f>'mk 001 10.3'!L470</f>
        <v>0</v>
      </c>
      <c r="M469">
        <f>'mk 001 10.3'!M470</f>
        <v>0</v>
      </c>
      <c r="N469">
        <f>'mk 001 10.3'!N470</f>
        <v>0</v>
      </c>
      <c r="O469">
        <f>'mk 001 10.3'!O470</f>
        <v>0</v>
      </c>
      <c r="P469">
        <f>'mk 001 10.3'!P470</f>
        <v>0</v>
      </c>
      <c r="Q469">
        <f>'mk 001 10.3'!Q470</f>
        <v>0</v>
      </c>
      <c r="R469" s="1">
        <f>'mk 001 10.3'!R470</f>
        <v>0</v>
      </c>
      <c r="S469" s="1">
        <f>'mk 001 10.3'!S470</f>
        <v>0</v>
      </c>
      <c r="T469">
        <f>'mk 001 10.3'!T470</f>
        <v>0</v>
      </c>
      <c r="U469">
        <f>'mk 001 10.3'!U470</f>
        <v>0</v>
      </c>
      <c r="V469">
        <f>'mk 001 10.3'!V470</f>
        <v>0</v>
      </c>
      <c r="W469">
        <f>'mk 001 10.3'!W470</f>
        <v>0</v>
      </c>
      <c r="X469">
        <f>'mk 001 10.3'!X470</f>
        <v>0</v>
      </c>
      <c r="Y469">
        <f t="shared" si="8"/>
        <v>0</v>
      </c>
      <c r="Z469" s="13">
        <f>IF(COUNTIFS(แปลงข้อมูล!H:H,Q469,แปลงข้อมูล!I:I,U469,แปลงข้อมูล!J:J,V469)&gt;0,SUMIFS(แปลงข้อมูล!Q:Q,แปลงข้อมูล!I:I,U469,แปลงข้อมูล!H:H,Q469,แปลงข้อมูล!J:J,V469),'mk 001 10.3'!Z470)</f>
        <v>0</v>
      </c>
      <c r="AA469">
        <f>'mk 001 10.3'!AA470</f>
        <v>0</v>
      </c>
      <c r="AB469">
        <f>'mk 001 10.3'!AB470</f>
        <v>0</v>
      </c>
      <c r="AC469">
        <f>'mk 001 10.3'!AC470</f>
        <v>0</v>
      </c>
      <c r="AD469">
        <f>'mk 001 10.3'!AD470</f>
        <v>0</v>
      </c>
      <c r="AE469">
        <f>'mk 001 10.3'!AE470</f>
        <v>0</v>
      </c>
      <c r="AF469">
        <f>'mk 001 10.3'!AF470</f>
        <v>0</v>
      </c>
      <c r="AG469">
        <f>'mk 001 10.3'!AG470</f>
        <v>0</v>
      </c>
      <c r="AH469">
        <f>'mk 001 10.3'!AH470</f>
        <v>0</v>
      </c>
      <c r="AI469">
        <f>'mk 001 10.3'!AI470</f>
        <v>0</v>
      </c>
      <c r="AJ469">
        <f>'mk 001 10.3'!AJ470</f>
        <v>0</v>
      </c>
      <c r="AK469">
        <f>'mk 001 10.3'!AK470</f>
        <v>0</v>
      </c>
      <c r="AL469">
        <f>'mk 001 10.3'!AL470</f>
        <v>0</v>
      </c>
      <c r="AM469">
        <f>'mk 001 10.3'!AM470</f>
        <v>0</v>
      </c>
      <c r="AN469">
        <f>'mk 001 10.3'!AN470</f>
        <v>0</v>
      </c>
      <c r="AO469">
        <f>'mk 001 10.3'!AO470</f>
        <v>0</v>
      </c>
      <c r="AP469">
        <f>'mk 001 10.3'!AP470</f>
        <v>0</v>
      </c>
      <c r="AQ469">
        <f>'mk 001 10.3'!AQ470</f>
        <v>0</v>
      </c>
      <c r="AR469">
        <f>'mk 001 10.3'!AR470</f>
        <v>0</v>
      </c>
      <c r="AS469">
        <f>'mk 001 10.3'!AS470</f>
        <v>0</v>
      </c>
      <c r="AT469">
        <f>'mk 001 10.3'!AT470</f>
        <v>0</v>
      </c>
      <c r="AU469">
        <f>'mk 001 10.3'!AU470</f>
        <v>0</v>
      </c>
      <c r="AV469">
        <f>'mk 001 10.3'!AV470</f>
        <v>0</v>
      </c>
      <c r="AW469">
        <f>'mk 001 10.3'!AW470</f>
        <v>0</v>
      </c>
      <c r="AX469">
        <f>'mk 001 10.3'!AX470</f>
        <v>0</v>
      </c>
      <c r="AY469">
        <f>'mk 001 10.3'!AY470</f>
        <v>0</v>
      </c>
      <c r="AZ469">
        <f>'mk 001 10.3'!AZ470</f>
        <v>0</v>
      </c>
      <c r="BA469" s="22">
        <f>'mk 001 10.3'!BA470</f>
        <v>0</v>
      </c>
      <c r="BB469">
        <f>'mk 001 10.3'!BB470</f>
        <v>0</v>
      </c>
      <c r="BC469">
        <f>'mk 001 10.3'!BC470</f>
        <v>0</v>
      </c>
      <c r="BD469">
        <f>'mk 001 10.3'!BD470</f>
        <v>0</v>
      </c>
      <c r="BE469">
        <f>'mk 001 10.3'!BE470</f>
        <v>0</v>
      </c>
      <c r="BF469">
        <f>'mk 001 10.3'!BF470</f>
        <v>0</v>
      </c>
      <c r="BG469">
        <f>'mk 001 10.3'!BG470</f>
        <v>0</v>
      </c>
      <c r="BH469">
        <f>'mk 001 10.3'!BH470</f>
        <v>0</v>
      </c>
      <c r="BI469">
        <f>'mk 001 10.3'!BI470</f>
        <v>0</v>
      </c>
      <c r="BJ469">
        <f>'mk 001 10.3'!BJ470</f>
        <v>0</v>
      </c>
      <c r="BK469">
        <f>'mk 001 10.3'!BK470</f>
        <v>0</v>
      </c>
      <c r="BL469">
        <f>'mk 001 10.3'!BL470</f>
        <v>0</v>
      </c>
      <c r="BM469">
        <f>'mk 001 10.3'!BM470</f>
        <v>0</v>
      </c>
      <c r="BN469">
        <f>'mk 001 10.3'!BN470</f>
        <v>0</v>
      </c>
    </row>
    <row r="470" spans="1:66" x14ac:dyDescent="0.35">
      <c r="A470">
        <f>'mk 001 10.3'!A471</f>
        <v>0</v>
      </c>
      <c r="B470">
        <f>'mk 001 10.3'!B471</f>
        <v>0</v>
      </c>
      <c r="C470" s="1">
        <f>'mk 001 10.3'!C471</f>
        <v>0</v>
      </c>
      <c r="D470" s="1">
        <f>'mk 001 10.3'!D471</f>
        <v>0</v>
      </c>
      <c r="E470">
        <f>'mk 001 10.3'!E471</f>
        <v>0</v>
      </c>
      <c r="F470">
        <f>'mk 001 10.3'!F471</f>
        <v>0</v>
      </c>
      <c r="G470">
        <f>'mk 001 10.3'!G471</f>
        <v>0</v>
      </c>
      <c r="H470">
        <f>'mk 001 10.3'!H471</f>
        <v>0</v>
      </c>
      <c r="I470">
        <f>'mk 001 10.3'!I471</f>
        <v>0</v>
      </c>
      <c r="J470">
        <f>'mk 001 10.3'!J471</f>
        <v>0</v>
      </c>
      <c r="K470">
        <f>'mk 001 10.3'!K471</f>
        <v>0</v>
      </c>
      <c r="L470">
        <f>'mk 001 10.3'!L471</f>
        <v>0</v>
      </c>
      <c r="M470">
        <f>'mk 001 10.3'!M471</f>
        <v>0</v>
      </c>
      <c r="N470">
        <f>'mk 001 10.3'!N471</f>
        <v>0</v>
      </c>
      <c r="O470">
        <f>'mk 001 10.3'!O471</f>
        <v>0</v>
      </c>
      <c r="P470">
        <f>'mk 001 10.3'!P471</f>
        <v>0</v>
      </c>
      <c r="Q470">
        <f>'mk 001 10.3'!Q471</f>
        <v>0</v>
      </c>
      <c r="R470" s="1">
        <f>'mk 001 10.3'!R471</f>
        <v>0</v>
      </c>
      <c r="S470" s="1">
        <f>'mk 001 10.3'!S471</f>
        <v>0</v>
      </c>
      <c r="T470">
        <f>'mk 001 10.3'!T471</f>
        <v>0</v>
      </c>
      <c r="U470">
        <f>'mk 001 10.3'!U471</f>
        <v>0</v>
      </c>
      <c r="V470">
        <f>'mk 001 10.3'!V471</f>
        <v>0</v>
      </c>
      <c r="W470">
        <f>'mk 001 10.3'!W471</f>
        <v>0</v>
      </c>
      <c r="X470">
        <f>'mk 001 10.3'!X471</f>
        <v>0</v>
      </c>
      <c r="Y470">
        <f t="shared" si="8"/>
        <v>0</v>
      </c>
      <c r="Z470" s="13">
        <f>IF(COUNTIFS(แปลงข้อมูล!H:H,Q470,แปลงข้อมูล!I:I,U470,แปลงข้อมูล!J:J,V470)&gt;0,SUMIFS(แปลงข้อมูล!Q:Q,แปลงข้อมูล!I:I,U470,แปลงข้อมูล!H:H,Q470,แปลงข้อมูล!J:J,V470),'mk 001 10.3'!Z471)</f>
        <v>0</v>
      </c>
      <c r="AA470">
        <f>'mk 001 10.3'!AA471</f>
        <v>0</v>
      </c>
      <c r="AB470">
        <f>'mk 001 10.3'!AB471</f>
        <v>0</v>
      </c>
      <c r="AC470">
        <f>'mk 001 10.3'!AC471</f>
        <v>0</v>
      </c>
      <c r="AD470">
        <f>'mk 001 10.3'!AD471</f>
        <v>0</v>
      </c>
      <c r="AE470">
        <f>'mk 001 10.3'!AE471</f>
        <v>0</v>
      </c>
      <c r="AF470">
        <f>'mk 001 10.3'!AF471</f>
        <v>0</v>
      </c>
      <c r="AG470">
        <f>'mk 001 10.3'!AG471</f>
        <v>0</v>
      </c>
      <c r="AH470">
        <f>'mk 001 10.3'!AH471</f>
        <v>0</v>
      </c>
      <c r="AI470">
        <f>'mk 001 10.3'!AI471</f>
        <v>0</v>
      </c>
      <c r="AJ470">
        <f>'mk 001 10.3'!AJ471</f>
        <v>0</v>
      </c>
      <c r="AK470">
        <f>'mk 001 10.3'!AK471</f>
        <v>0</v>
      </c>
      <c r="AL470">
        <f>'mk 001 10.3'!AL471</f>
        <v>0</v>
      </c>
      <c r="AM470">
        <f>'mk 001 10.3'!AM471</f>
        <v>0</v>
      </c>
      <c r="AN470">
        <f>'mk 001 10.3'!AN471</f>
        <v>0</v>
      </c>
      <c r="AO470">
        <f>'mk 001 10.3'!AO471</f>
        <v>0</v>
      </c>
      <c r="AP470">
        <f>'mk 001 10.3'!AP471</f>
        <v>0</v>
      </c>
      <c r="AQ470">
        <f>'mk 001 10.3'!AQ471</f>
        <v>0</v>
      </c>
      <c r="AR470">
        <f>'mk 001 10.3'!AR471</f>
        <v>0</v>
      </c>
      <c r="AS470">
        <f>'mk 001 10.3'!AS471</f>
        <v>0</v>
      </c>
      <c r="AT470">
        <f>'mk 001 10.3'!AT471</f>
        <v>0</v>
      </c>
      <c r="AU470">
        <f>'mk 001 10.3'!AU471</f>
        <v>0</v>
      </c>
      <c r="AV470">
        <f>'mk 001 10.3'!AV471</f>
        <v>0</v>
      </c>
      <c r="AW470">
        <f>'mk 001 10.3'!AW471</f>
        <v>0</v>
      </c>
      <c r="AX470">
        <f>'mk 001 10.3'!AX471</f>
        <v>0</v>
      </c>
      <c r="AY470">
        <f>'mk 001 10.3'!AY471</f>
        <v>0</v>
      </c>
      <c r="AZ470">
        <f>'mk 001 10.3'!AZ471</f>
        <v>0</v>
      </c>
      <c r="BA470" s="22">
        <f>'mk 001 10.3'!BA471</f>
        <v>0</v>
      </c>
      <c r="BB470">
        <f>'mk 001 10.3'!BB471</f>
        <v>0</v>
      </c>
      <c r="BC470">
        <f>'mk 001 10.3'!BC471</f>
        <v>0</v>
      </c>
      <c r="BD470">
        <f>'mk 001 10.3'!BD471</f>
        <v>0</v>
      </c>
      <c r="BE470">
        <f>'mk 001 10.3'!BE471</f>
        <v>0</v>
      </c>
      <c r="BF470">
        <f>'mk 001 10.3'!BF471</f>
        <v>0</v>
      </c>
      <c r="BG470">
        <f>'mk 001 10.3'!BG471</f>
        <v>0</v>
      </c>
      <c r="BH470">
        <f>'mk 001 10.3'!BH471</f>
        <v>0</v>
      </c>
      <c r="BI470">
        <f>'mk 001 10.3'!BI471</f>
        <v>0</v>
      </c>
      <c r="BJ470">
        <f>'mk 001 10.3'!BJ471</f>
        <v>0</v>
      </c>
      <c r="BK470">
        <f>'mk 001 10.3'!BK471</f>
        <v>0</v>
      </c>
      <c r="BL470">
        <f>'mk 001 10.3'!BL471</f>
        <v>0</v>
      </c>
      <c r="BM470">
        <f>'mk 001 10.3'!BM471</f>
        <v>0</v>
      </c>
      <c r="BN470">
        <f>'mk 001 10.3'!BN471</f>
        <v>0</v>
      </c>
    </row>
    <row r="471" spans="1:66" x14ac:dyDescent="0.35">
      <c r="A471">
        <f>'mk 001 10.3'!A472</f>
        <v>0</v>
      </c>
      <c r="B471">
        <f>'mk 001 10.3'!B472</f>
        <v>0</v>
      </c>
      <c r="C471" s="1">
        <f>'mk 001 10.3'!C472</f>
        <v>0</v>
      </c>
      <c r="D471" s="1">
        <f>'mk 001 10.3'!D472</f>
        <v>0</v>
      </c>
      <c r="E471">
        <f>'mk 001 10.3'!E472</f>
        <v>0</v>
      </c>
      <c r="F471">
        <f>'mk 001 10.3'!F472</f>
        <v>0</v>
      </c>
      <c r="G471">
        <f>'mk 001 10.3'!G472</f>
        <v>0</v>
      </c>
      <c r="H471">
        <f>'mk 001 10.3'!H472</f>
        <v>0</v>
      </c>
      <c r="I471">
        <f>'mk 001 10.3'!I472</f>
        <v>0</v>
      </c>
      <c r="J471">
        <f>'mk 001 10.3'!J472</f>
        <v>0</v>
      </c>
      <c r="K471">
        <f>'mk 001 10.3'!K472</f>
        <v>0</v>
      </c>
      <c r="L471">
        <f>'mk 001 10.3'!L472</f>
        <v>0</v>
      </c>
      <c r="M471">
        <f>'mk 001 10.3'!M472</f>
        <v>0</v>
      </c>
      <c r="N471">
        <f>'mk 001 10.3'!N472</f>
        <v>0</v>
      </c>
      <c r="O471">
        <f>'mk 001 10.3'!O472</f>
        <v>0</v>
      </c>
      <c r="P471">
        <f>'mk 001 10.3'!P472</f>
        <v>0</v>
      </c>
      <c r="Q471">
        <f>'mk 001 10.3'!Q472</f>
        <v>0</v>
      </c>
      <c r="R471" s="1">
        <f>'mk 001 10.3'!R472</f>
        <v>0</v>
      </c>
      <c r="S471" s="1">
        <f>'mk 001 10.3'!S472</f>
        <v>0</v>
      </c>
      <c r="T471">
        <f>'mk 001 10.3'!T472</f>
        <v>0</v>
      </c>
      <c r="U471">
        <f>'mk 001 10.3'!U472</f>
        <v>0</v>
      </c>
      <c r="V471">
        <f>'mk 001 10.3'!V472</f>
        <v>0</v>
      </c>
      <c r="W471">
        <f>'mk 001 10.3'!W472</f>
        <v>0</v>
      </c>
      <c r="X471">
        <f>'mk 001 10.3'!X472</f>
        <v>0</v>
      </c>
      <c r="Y471">
        <f t="shared" si="8"/>
        <v>0</v>
      </c>
      <c r="Z471" s="13">
        <f>IF(COUNTIFS(แปลงข้อมูล!H:H,Q471,แปลงข้อมูล!I:I,U471,แปลงข้อมูล!J:J,V471)&gt;0,SUMIFS(แปลงข้อมูล!Q:Q,แปลงข้อมูล!I:I,U471,แปลงข้อมูล!H:H,Q471,แปลงข้อมูล!J:J,V471),'mk 001 10.3'!Z472)</f>
        <v>0</v>
      </c>
      <c r="AA471">
        <f>'mk 001 10.3'!AA472</f>
        <v>0</v>
      </c>
      <c r="AB471">
        <f>'mk 001 10.3'!AB472</f>
        <v>0</v>
      </c>
      <c r="AC471">
        <f>'mk 001 10.3'!AC472</f>
        <v>0</v>
      </c>
      <c r="AD471">
        <f>'mk 001 10.3'!AD472</f>
        <v>0</v>
      </c>
      <c r="AE471">
        <f>'mk 001 10.3'!AE472</f>
        <v>0</v>
      </c>
      <c r="AF471">
        <f>'mk 001 10.3'!AF472</f>
        <v>0</v>
      </c>
      <c r="AG471">
        <f>'mk 001 10.3'!AG472</f>
        <v>0</v>
      </c>
      <c r="AH471">
        <f>'mk 001 10.3'!AH472</f>
        <v>0</v>
      </c>
      <c r="AI471">
        <f>'mk 001 10.3'!AI472</f>
        <v>0</v>
      </c>
      <c r="AJ471">
        <f>'mk 001 10.3'!AJ472</f>
        <v>0</v>
      </c>
      <c r="AK471">
        <f>'mk 001 10.3'!AK472</f>
        <v>0</v>
      </c>
      <c r="AL471">
        <f>'mk 001 10.3'!AL472</f>
        <v>0</v>
      </c>
      <c r="AM471">
        <f>'mk 001 10.3'!AM472</f>
        <v>0</v>
      </c>
      <c r="AN471">
        <f>'mk 001 10.3'!AN472</f>
        <v>0</v>
      </c>
      <c r="AO471">
        <f>'mk 001 10.3'!AO472</f>
        <v>0</v>
      </c>
      <c r="AP471">
        <f>'mk 001 10.3'!AP472</f>
        <v>0</v>
      </c>
      <c r="AQ471">
        <f>'mk 001 10.3'!AQ472</f>
        <v>0</v>
      </c>
      <c r="AR471">
        <f>'mk 001 10.3'!AR472</f>
        <v>0</v>
      </c>
      <c r="AS471">
        <f>'mk 001 10.3'!AS472</f>
        <v>0</v>
      </c>
      <c r="AT471">
        <f>'mk 001 10.3'!AT472</f>
        <v>0</v>
      </c>
      <c r="AU471">
        <f>'mk 001 10.3'!AU472</f>
        <v>0</v>
      </c>
      <c r="AV471">
        <f>'mk 001 10.3'!AV472</f>
        <v>0</v>
      </c>
      <c r="AW471">
        <f>'mk 001 10.3'!AW472</f>
        <v>0</v>
      </c>
      <c r="AX471">
        <f>'mk 001 10.3'!AX472</f>
        <v>0</v>
      </c>
      <c r="AY471">
        <f>'mk 001 10.3'!AY472</f>
        <v>0</v>
      </c>
      <c r="AZ471">
        <f>'mk 001 10.3'!AZ472</f>
        <v>0</v>
      </c>
      <c r="BA471" s="22">
        <f>'mk 001 10.3'!BA472</f>
        <v>0</v>
      </c>
      <c r="BB471">
        <f>'mk 001 10.3'!BB472</f>
        <v>0</v>
      </c>
      <c r="BC471">
        <f>'mk 001 10.3'!BC472</f>
        <v>0</v>
      </c>
      <c r="BD471">
        <f>'mk 001 10.3'!BD472</f>
        <v>0</v>
      </c>
      <c r="BE471">
        <f>'mk 001 10.3'!BE472</f>
        <v>0</v>
      </c>
      <c r="BF471">
        <f>'mk 001 10.3'!BF472</f>
        <v>0</v>
      </c>
      <c r="BG471">
        <f>'mk 001 10.3'!BG472</f>
        <v>0</v>
      </c>
      <c r="BH471">
        <f>'mk 001 10.3'!BH472</f>
        <v>0</v>
      </c>
      <c r="BI471">
        <f>'mk 001 10.3'!BI472</f>
        <v>0</v>
      </c>
      <c r="BJ471">
        <f>'mk 001 10.3'!BJ472</f>
        <v>0</v>
      </c>
      <c r="BK471">
        <f>'mk 001 10.3'!BK472</f>
        <v>0</v>
      </c>
      <c r="BL471">
        <f>'mk 001 10.3'!BL472</f>
        <v>0</v>
      </c>
      <c r="BM471">
        <f>'mk 001 10.3'!BM472</f>
        <v>0</v>
      </c>
      <c r="BN471">
        <f>'mk 001 10.3'!BN472</f>
        <v>0</v>
      </c>
    </row>
    <row r="472" spans="1:66" x14ac:dyDescent="0.35">
      <c r="A472">
        <f>'mk 001 10.3'!A473</f>
        <v>0</v>
      </c>
      <c r="B472">
        <f>'mk 001 10.3'!B473</f>
        <v>0</v>
      </c>
      <c r="C472" s="1">
        <f>'mk 001 10.3'!C473</f>
        <v>0</v>
      </c>
      <c r="D472" s="1">
        <f>'mk 001 10.3'!D473</f>
        <v>0</v>
      </c>
      <c r="E472">
        <f>'mk 001 10.3'!E473</f>
        <v>0</v>
      </c>
      <c r="F472">
        <f>'mk 001 10.3'!F473</f>
        <v>0</v>
      </c>
      <c r="G472">
        <f>'mk 001 10.3'!G473</f>
        <v>0</v>
      </c>
      <c r="H472">
        <f>'mk 001 10.3'!H473</f>
        <v>0</v>
      </c>
      <c r="I472">
        <f>'mk 001 10.3'!I473</f>
        <v>0</v>
      </c>
      <c r="J472">
        <f>'mk 001 10.3'!J473</f>
        <v>0</v>
      </c>
      <c r="K472">
        <f>'mk 001 10.3'!K473</f>
        <v>0</v>
      </c>
      <c r="L472">
        <f>'mk 001 10.3'!L473</f>
        <v>0</v>
      </c>
      <c r="M472">
        <f>'mk 001 10.3'!M473</f>
        <v>0</v>
      </c>
      <c r="N472">
        <f>'mk 001 10.3'!N473</f>
        <v>0</v>
      </c>
      <c r="O472">
        <f>'mk 001 10.3'!O473</f>
        <v>0</v>
      </c>
      <c r="P472">
        <f>'mk 001 10.3'!P473</f>
        <v>0</v>
      </c>
      <c r="Q472">
        <f>'mk 001 10.3'!Q473</f>
        <v>0</v>
      </c>
      <c r="R472" s="1">
        <f>'mk 001 10.3'!R473</f>
        <v>0</v>
      </c>
      <c r="S472" s="1">
        <f>'mk 001 10.3'!S473</f>
        <v>0</v>
      </c>
      <c r="T472">
        <f>'mk 001 10.3'!T473</f>
        <v>0</v>
      </c>
      <c r="U472">
        <f>'mk 001 10.3'!U473</f>
        <v>0</v>
      </c>
      <c r="V472">
        <f>'mk 001 10.3'!V473</f>
        <v>0</v>
      </c>
      <c r="W472">
        <f>'mk 001 10.3'!W473</f>
        <v>0</v>
      </c>
      <c r="X472">
        <f>'mk 001 10.3'!X473</f>
        <v>0</v>
      </c>
      <c r="Y472">
        <f t="shared" si="8"/>
        <v>0</v>
      </c>
      <c r="Z472" s="13">
        <f>IF(COUNTIFS(แปลงข้อมูล!H:H,Q472,แปลงข้อมูล!I:I,U472,แปลงข้อมูล!J:J,V472)&gt;0,SUMIFS(แปลงข้อมูล!Q:Q,แปลงข้อมูล!I:I,U472,แปลงข้อมูล!H:H,Q472,แปลงข้อมูล!J:J,V472),'mk 001 10.3'!Z473)</f>
        <v>0</v>
      </c>
      <c r="AA472">
        <f>'mk 001 10.3'!AA473</f>
        <v>0</v>
      </c>
      <c r="AB472">
        <f>'mk 001 10.3'!AB473</f>
        <v>0</v>
      </c>
      <c r="AC472">
        <f>'mk 001 10.3'!AC473</f>
        <v>0</v>
      </c>
      <c r="AD472">
        <f>'mk 001 10.3'!AD473</f>
        <v>0</v>
      </c>
      <c r="AE472">
        <f>'mk 001 10.3'!AE473</f>
        <v>0</v>
      </c>
      <c r="AF472">
        <f>'mk 001 10.3'!AF473</f>
        <v>0</v>
      </c>
      <c r="AG472">
        <f>'mk 001 10.3'!AG473</f>
        <v>0</v>
      </c>
      <c r="AH472">
        <f>'mk 001 10.3'!AH473</f>
        <v>0</v>
      </c>
      <c r="AI472">
        <f>'mk 001 10.3'!AI473</f>
        <v>0</v>
      </c>
      <c r="AJ472">
        <f>'mk 001 10.3'!AJ473</f>
        <v>0</v>
      </c>
      <c r="AK472">
        <f>'mk 001 10.3'!AK473</f>
        <v>0</v>
      </c>
      <c r="AL472">
        <f>'mk 001 10.3'!AL473</f>
        <v>0</v>
      </c>
      <c r="AM472">
        <f>'mk 001 10.3'!AM473</f>
        <v>0</v>
      </c>
      <c r="AN472">
        <f>'mk 001 10.3'!AN473</f>
        <v>0</v>
      </c>
      <c r="AO472">
        <f>'mk 001 10.3'!AO473</f>
        <v>0</v>
      </c>
      <c r="AP472">
        <f>'mk 001 10.3'!AP473</f>
        <v>0</v>
      </c>
      <c r="AQ472">
        <f>'mk 001 10.3'!AQ473</f>
        <v>0</v>
      </c>
      <c r="AR472">
        <f>'mk 001 10.3'!AR473</f>
        <v>0</v>
      </c>
      <c r="AS472">
        <f>'mk 001 10.3'!AS473</f>
        <v>0</v>
      </c>
      <c r="AT472">
        <f>'mk 001 10.3'!AT473</f>
        <v>0</v>
      </c>
      <c r="AU472">
        <f>'mk 001 10.3'!AU473</f>
        <v>0</v>
      </c>
      <c r="AV472">
        <f>'mk 001 10.3'!AV473</f>
        <v>0</v>
      </c>
      <c r="AW472">
        <f>'mk 001 10.3'!AW473</f>
        <v>0</v>
      </c>
      <c r="AX472">
        <f>'mk 001 10.3'!AX473</f>
        <v>0</v>
      </c>
      <c r="AY472">
        <f>'mk 001 10.3'!AY473</f>
        <v>0</v>
      </c>
      <c r="AZ472">
        <f>'mk 001 10.3'!AZ473</f>
        <v>0</v>
      </c>
      <c r="BA472" s="22">
        <f>'mk 001 10.3'!BA473</f>
        <v>0</v>
      </c>
      <c r="BB472">
        <f>'mk 001 10.3'!BB473</f>
        <v>0</v>
      </c>
      <c r="BC472">
        <f>'mk 001 10.3'!BC473</f>
        <v>0</v>
      </c>
      <c r="BD472">
        <f>'mk 001 10.3'!BD473</f>
        <v>0</v>
      </c>
      <c r="BE472">
        <f>'mk 001 10.3'!BE473</f>
        <v>0</v>
      </c>
      <c r="BF472">
        <f>'mk 001 10.3'!BF473</f>
        <v>0</v>
      </c>
      <c r="BG472">
        <f>'mk 001 10.3'!BG473</f>
        <v>0</v>
      </c>
      <c r="BH472">
        <f>'mk 001 10.3'!BH473</f>
        <v>0</v>
      </c>
      <c r="BI472">
        <f>'mk 001 10.3'!BI473</f>
        <v>0</v>
      </c>
      <c r="BJ472">
        <f>'mk 001 10.3'!BJ473</f>
        <v>0</v>
      </c>
      <c r="BK472">
        <f>'mk 001 10.3'!BK473</f>
        <v>0</v>
      </c>
      <c r="BL472">
        <f>'mk 001 10.3'!BL473</f>
        <v>0</v>
      </c>
      <c r="BM472">
        <f>'mk 001 10.3'!BM473</f>
        <v>0</v>
      </c>
      <c r="BN472">
        <f>'mk 001 10.3'!BN473</f>
        <v>0</v>
      </c>
    </row>
    <row r="473" spans="1:66" x14ac:dyDescent="0.35">
      <c r="A473">
        <f>'mk 001 10.3'!A474</f>
        <v>0</v>
      </c>
      <c r="B473">
        <f>'mk 001 10.3'!B474</f>
        <v>0</v>
      </c>
      <c r="C473" s="1">
        <f>'mk 001 10.3'!C474</f>
        <v>0</v>
      </c>
      <c r="D473" s="1">
        <f>'mk 001 10.3'!D474</f>
        <v>0</v>
      </c>
      <c r="E473">
        <f>'mk 001 10.3'!E474</f>
        <v>0</v>
      </c>
      <c r="F473">
        <f>'mk 001 10.3'!F474</f>
        <v>0</v>
      </c>
      <c r="G473">
        <f>'mk 001 10.3'!G474</f>
        <v>0</v>
      </c>
      <c r="H473">
        <f>'mk 001 10.3'!H474</f>
        <v>0</v>
      </c>
      <c r="I473">
        <f>'mk 001 10.3'!I474</f>
        <v>0</v>
      </c>
      <c r="J473">
        <f>'mk 001 10.3'!J474</f>
        <v>0</v>
      </c>
      <c r="K473">
        <f>'mk 001 10.3'!K474</f>
        <v>0</v>
      </c>
      <c r="L473">
        <f>'mk 001 10.3'!L474</f>
        <v>0</v>
      </c>
      <c r="M473">
        <f>'mk 001 10.3'!M474</f>
        <v>0</v>
      </c>
      <c r="N473">
        <f>'mk 001 10.3'!N474</f>
        <v>0</v>
      </c>
      <c r="O473">
        <f>'mk 001 10.3'!O474</f>
        <v>0</v>
      </c>
      <c r="P473">
        <f>'mk 001 10.3'!P474</f>
        <v>0</v>
      </c>
      <c r="Q473">
        <f>'mk 001 10.3'!Q474</f>
        <v>0</v>
      </c>
      <c r="R473" s="1">
        <f>'mk 001 10.3'!R474</f>
        <v>0</v>
      </c>
      <c r="S473" s="1">
        <f>'mk 001 10.3'!S474</f>
        <v>0</v>
      </c>
      <c r="T473">
        <f>'mk 001 10.3'!T474</f>
        <v>0</v>
      </c>
      <c r="U473">
        <f>'mk 001 10.3'!U474</f>
        <v>0</v>
      </c>
      <c r="V473">
        <f>'mk 001 10.3'!V474</f>
        <v>0</v>
      </c>
      <c r="W473">
        <f>'mk 001 10.3'!W474</f>
        <v>0</v>
      </c>
      <c r="X473">
        <f>'mk 001 10.3'!X474</f>
        <v>0</v>
      </c>
      <c r="Y473">
        <f t="shared" si="8"/>
        <v>0</v>
      </c>
      <c r="Z473" s="13">
        <f>IF(COUNTIFS(แปลงข้อมูล!H:H,Q473,แปลงข้อมูล!I:I,U473,แปลงข้อมูล!J:J,V473)&gt;0,SUMIFS(แปลงข้อมูล!Q:Q,แปลงข้อมูล!I:I,U473,แปลงข้อมูล!H:H,Q473,แปลงข้อมูล!J:J,V473),'mk 001 10.3'!Z474)</f>
        <v>0</v>
      </c>
      <c r="AA473">
        <f>'mk 001 10.3'!AA474</f>
        <v>0</v>
      </c>
      <c r="AB473">
        <f>'mk 001 10.3'!AB474</f>
        <v>0</v>
      </c>
      <c r="AC473">
        <f>'mk 001 10.3'!AC474</f>
        <v>0</v>
      </c>
      <c r="AD473">
        <f>'mk 001 10.3'!AD474</f>
        <v>0</v>
      </c>
      <c r="AE473">
        <f>'mk 001 10.3'!AE474</f>
        <v>0</v>
      </c>
      <c r="AF473">
        <f>'mk 001 10.3'!AF474</f>
        <v>0</v>
      </c>
      <c r="AG473">
        <f>'mk 001 10.3'!AG474</f>
        <v>0</v>
      </c>
      <c r="AH473">
        <f>'mk 001 10.3'!AH474</f>
        <v>0</v>
      </c>
      <c r="AI473">
        <f>'mk 001 10.3'!AI474</f>
        <v>0</v>
      </c>
      <c r="AJ473">
        <f>'mk 001 10.3'!AJ474</f>
        <v>0</v>
      </c>
      <c r="AK473">
        <f>'mk 001 10.3'!AK474</f>
        <v>0</v>
      </c>
      <c r="AL473">
        <f>'mk 001 10.3'!AL474</f>
        <v>0</v>
      </c>
      <c r="AM473">
        <f>'mk 001 10.3'!AM474</f>
        <v>0</v>
      </c>
      <c r="AN473">
        <f>'mk 001 10.3'!AN474</f>
        <v>0</v>
      </c>
      <c r="AO473">
        <f>'mk 001 10.3'!AO474</f>
        <v>0</v>
      </c>
      <c r="AP473">
        <f>'mk 001 10.3'!AP474</f>
        <v>0</v>
      </c>
      <c r="AQ473">
        <f>'mk 001 10.3'!AQ474</f>
        <v>0</v>
      </c>
      <c r="AR473">
        <f>'mk 001 10.3'!AR474</f>
        <v>0</v>
      </c>
      <c r="AS473">
        <f>'mk 001 10.3'!AS474</f>
        <v>0</v>
      </c>
      <c r="AT473">
        <f>'mk 001 10.3'!AT474</f>
        <v>0</v>
      </c>
      <c r="AU473">
        <f>'mk 001 10.3'!AU474</f>
        <v>0</v>
      </c>
      <c r="AV473">
        <f>'mk 001 10.3'!AV474</f>
        <v>0</v>
      </c>
      <c r="AW473">
        <f>'mk 001 10.3'!AW474</f>
        <v>0</v>
      </c>
      <c r="AX473">
        <f>'mk 001 10.3'!AX474</f>
        <v>0</v>
      </c>
      <c r="AY473">
        <f>'mk 001 10.3'!AY474</f>
        <v>0</v>
      </c>
      <c r="AZ473">
        <f>'mk 001 10.3'!AZ474</f>
        <v>0</v>
      </c>
      <c r="BA473" s="22">
        <f>'mk 001 10.3'!BA474</f>
        <v>0</v>
      </c>
      <c r="BB473">
        <f>'mk 001 10.3'!BB474</f>
        <v>0</v>
      </c>
      <c r="BC473">
        <f>'mk 001 10.3'!BC474</f>
        <v>0</v>
      </c>
      <c r="BD473">
        <f>'mk 001 10.3'!BD474</f>
        <v>0</v>
      </c>
      <c r="BE473">
        <f>'mk 001 10.3'!BE474</f>
        <v>0</v>
      </c>
      <c r="BF473">
        <f>'mk 001 10.3'!BF474</f>
        <v>0</v>
      </c>
      <c r="BG473">
        <f>'mk 001 10.3'!BG474</f>
        <v>0</v>
      </c>
      <c r="BH473">
        <f>'mk 001 10.3'!BH474</f>
        <v>0</v>
      </c>
      <c r="BI473">
        <f>'mk 001 10.3'!BI474</f>
        <v>0</v>
      </c>
      <c r="BJ473">
        <f>'mk 001 10.3'!BJ474</f>
        <v>0</v>
      </c>
      <c r="BK473">
        <f>'mk 001 10.3'!BK474</f>
        <v>0</v>
      </c>
      <c r="BL473">
        <f>'mk 001 10.3'!BL474</f>
        <v>0</v>
      </c>
      <c r="BM473">
        <f>'mk 001 10.3'!BM474</f>
        <v>0</v>
      </c>
      <c r="BN473">
        <f>'mk 001 10.3'!BN474</f>
        <v>0</v>
      </c>
    </row>
    <row r="474" spans="1:66" x14ac:dyDescent="0.35">
      <c r="A474">
        <f>'mk 001 10.3'!A475</f>
        <v>0</v>
      </c>
      <c r="B474">
        <f>'mk 001 10.3'!B475</f>
        <v>0</v>
      </c>
      <c r="C474" s="1">
        <f>'mk 001 10.3'!C475</f>
        <v>0</v>
      </c>
      <c r="D474" s="1">
        <f>'mk 001 10.3'!D475</f>
        <v>0</v>
      </c>
      <c r="E474">
        <f>'mk 001 10.3'!E475</f>
        <v>0</v>
      </c>
      <c r="F474">
        <f>'mk 001 10.3'!F475</f>
        <v>0</v>
      </c>
      <c r="G474">
        <f>'mk 001 10.3'!G475</f>
        <v>0</v>
      </c>
      <c r="H474">
        <f>'mk 001 10.3'!H475</f>
        <v>0</v>
      </c>
      <c r="I474">
        <f>'mk 001 10.3'!I475</f>
        <v>0</v>
      </c>
      <c r="J474">
        <f>'mk 001 10.3'!J475</f>
        <v>0</v>
      </c>
      <c r="K474">
        <f>'mk 001 10.3'!K475</f>
        <v>0</v>
      </c>
      <c r="L474">
        <f>'mk 001 10.3'!L475</f>
        <v>0</v>
      </c>
      <c r="M474">
        <f>'mk 001 10.3'!M475</f>
        <v>0</v>
      </c>
      <c r="N474">
        <f>'mk 001 10.3'!N475</f>
        <v>0</v>
      </c>
      <c r="O474">
        <f>'mk 001 10.3'!O475</f>
        <v>0</v>
      </c>
      <c r="P474">
        <f>'mk 001 10.3'!P475</f>
        <v>0</v>
      </c>
      <c r="Q474">
        <f>'mk 001 10.3'!Q475</f>
        <v>0</v>
      </c>
      <c r="R474" s="1">
        <f>'mk 001 10.3'!R475</f>
        <v>0</v>
      </c>
      <c r="S474" s="1">
        <f>'mk 001 10.3'!S475</f>
        <v>0</v>
      </c>
      <c r="T474">
        <f>'mk 001 10.3'!T475</f>
        <v>0</v>
      </c>
      <c r="U474">
        <f>'mk 001 10.3'!U475</f>
        <v>0</v>
      </c>
      <c r="V474">
        <f>'mk 001 10.3'!V475</f>
        <v>0</v>
      </c>
      <c r="W474">
        <f>'mk 001 10.3'!W475</f>
        <v>0</v>
      </c>
      <c r="X474">
        <f>'mk 001 10.3'!X475</f>
        <v>0</v>
      </c>
      <c r="Y474">
        <f t="shared" si="8"/>
        <v>0</v>
      </c>
      <c r="Z474" s="13">
        <f>IF(COUNTIFS(แปลงข้อมูล!H:H,Q474,แปลงข้อมูล!I:I,U474,แปลงข้อมูล!J:J,V474)&gt;0,SUMIFS(แปลงข้อมูล!Q:Q,แปลงข้อมูล!I:I,U474,แปลงข้อมูล!H:H,Q474,แปลงข้อมูล!J:J,V474),'mk 001 10.3'!Z475)</f>
        <v>0</v>
      </c>
      <c r="AA474">
        <f>'mk 001 10.3'!AA475</f>
        <v>0</v>
      </c>
      <c r="AB474">
        <f>'mk 001 10.3'!AB475</f>
        <v>0</v>
      </c>
      <c r="AC474">
        <f>'mk 001 10.3'!AC475</f>
        <v>0</v>
      </c>
      <c r="AD474">
        <f>'mk 001 10.3'!AD475</f>
        <v>0</v>
      </c>
      <c r="AE474">
        <f>'mk 001 10.3'!AE475</f>
        <v>0</v>
      </c>
      <c r="AF474">
        <f>'mk 001 10.3'!AF475</f>
        <v>0</v>
      </c>
      <c r="AG474">
        <f>'mk 001 10.3'!AG475</f>
        <v>0</v>
      </c>
      <c r="AH474">
        <f>'mk 001 10.3'!AH475</f>
        <v>0</v>
      </c>
      <c r="AI474">
        <f>'mk 001 10.3'!AI475</f>
        <v>0</v>
      </c>
      <c r="AJ474">
        <f>'mk 001 10.3'!AJ475</f>
        <v>0</v>
      </c>
      <c r="AK474">
        <f>'mk 001 10.3'!AK475</f>
        <v>0</v>
      </c>
      <c r="AL474">
        <f>'mk 001 10.3'!AL475</f>
        <v>0</v>
      </c>
      <c r="AM474">
        <f>'mk 001 10.3'!AM475</f>
        <v>0</v>
      </c>
      <c r="AN474">
        <f>'mk 001 10.3'!AN475</f>
        <v>0</v>
      </c>
      <c r="AO474">
        <f>'mk 001 10.3'!AO475</f>
        <v>0</v>
      </c>
      <c r="AP474">
        <f>'mk 001 10.3'!AP475</f>
        <v>0</v>
      </c>
      <c r="AQ474">
        <f>'mk 001 10.3'!AQ475</f>
        <v>0</v>
      </c>
      <c r="AR474">
        <f>'mk 001 10.3'!AR475</f>
        <v>0</v>
      </c>
      <c r="AS474">
        <f>'mk 001 10.3'!AS475</f>
        <v>0</v>
      </c>
      <c r="AT474">
        <f>'mk 001 10.3'!AT475</f>
        <v>0</v>
      </c>
      <c r="AU474">
        <f>'mk 001 10.3'!AU475</f>
        <v>0</v>
      </c>
      <c r="AV474">
        <f>'mk 001 10.3'!AV475</f>
        <v>0</v>
      </c>
      <c r="AW474">
        <f>'mk 001 10.3'!AW475</f>
        <v>0</v>
      </c>
      <c r="AX474">
        <f>'mk 001 10.3'!AX475</f>
        <v>0</v>
      </c>
      <c r="AY474">
        <f>'mk 001 10.3'!AY475</f>
        <v>0</v>
      </c>
      <c r="AZ474">
        <f>'mk 001 10.3'!AZ475</f>
        <v>0</v>
      </c>
      <c r="BA474" s="22">
        <f>'mk 001 10.3'!BA475</f>
        <v>0</v>
      </c>
      <c r="BB474">
        <f>'mk 001 10.3'!BB475</f>
        <v>0</v>
      </c>
      <c r="BC474">
        <f>'mk 001 10.3'!BC475</f>
        <v>0</v>
      </c>
      <c r="BD474">
        <f>'mk 001 10.3'!BD475</f>
        <v>0</v>
      </c>
      <c r="BE474">
        <f>'mk 001 10.3'!BE475</f>
        <v>0</v>
      </c>
      <c r="BF474">
        <f>'mk 001 10.3'!BF475</f>
        <v>0</v>
      </c>
      <c r="BG474">
        <f>'mk 001 10.3'!BG475</f>
        <v>0</v>
      </c>
      <c r="BH474">
        <f>'mk 001 10.3'!BH475</f>
        <v>0</v>
      </c>
      <c r="BI474">
        <f>'mk 001 10.3'!BI475</f>
        <v>0</v>
      </c>
      <c r="BJ474">
        <f>'mk 001 10.3'!BJ475</f>
        <v>0</v>
      </c>
      <c r="BK474">
        <f>'mk 001 10.3'!BK475</f>
        <v>0</v>
      </c>
      <c r="BL474">
        <f>'mk 001 10.3'!BL475</f>
        <v>0</v>
      </c>
      <c r="BM474">
        <f>'mk 001 10.3'!BM475</f>
        <v>0</v>
      </c>
      <c r="BN474">
        <f>'mk 001 10.3'!BN475</f>
        <v>0</v>
      </c>
    </row>
    <row r="475" spans="1:66" x14ac:dyDescent="0.35">
      <c r="A475">
        <f>'mk 001 10.3'!A476</f>
        <v>0</v>
      </c>
      <c r="B475">
        <f>'mk 001 10.3'!B476</f>
        <v>0</v>
      </c>
      <c r="C475" s="1">
        <f>'mk 001 10.3'!C476</f>
        <v>0</v>
      </c>
      <c r="D475" s="1">
        <f>'mk 001 10.3'!D476</f>
        <v>0</v>
      </c>
      <c r="E475">
        <f>'mk 001 10.3'!E476</f>
        <v>0</v>
      </c>
      <c r="F475">
        <f>'mk 001 10.3'!F476</f>
        <v>0</v>
      </c>
      <c r="G475">
        <f>'mk 001 10.3'!G476</f>
        <v>0</v>
      </c>
      <c r="H475">
        <f>'mk 001 10.3'!H476</f>
        <v>0</v>
      </c>
      <c r="I475">
        <f>'mk 001 10.3'!I476</f>
        <v>0</v>
      </c>
      <c r="J475">
        <f>'mk 001 10.3'!J476</f>
        <v>0</v>
      </c>
      <c r="K475">
        <f>'mk 001 10.3'!K476</f>
        <v>0</v>
      </c>
      <c r="L475">
        <f>'mk 001 10.3'!L476</f>
        <v>0</v>
      </c>
      <c r="M475">
        <f>'mk 001 10.3'!M476</f>
        <v>0</v>
      </c>
      <c r="N475">
        <f>'mk 001 10.3'!N476</f>
        <v>0</v>
      </c>
      <c r="O475">
        <f>'mk 001 10.3'!O476</f>
        <v>0</v>
      </c>
      <c r="P475">
        <f>'mk 001 10.3'!P476</f>
        <v>0</v>
      </c>
      <c r="Q475">
        <f>'mk 001 10.3'!Q476</f>
        <v>0</v>
      </c>
      <c r="R475" s="1">
        <f>'mk 001 10.3'!R476</f>
        <v>0</v>
      </c>
      <c r="S475" s="1">
        <f>'mk 001 10.3'!S476</f>
        <v>0</v>
      </c>
      <c r="T475">
        <f>'mk 001 10.3'!T476</f>
        <v>0</v>
      </c>
      <c r="U475">
        <f>'mk 001 10.3'!U476</f>
        <v>0</v>
      </c>
      <c r="V475">
        <f>'mk 001 10.3'!V476</f>
        <v>0</v>
      </c>
      <c r="W475">
        <f>'mk 001 10.3'!W476</f>
        <v>0</v>
      </c>
      <c r="X475">
        <f>'mk 001 10.3'!X476</f>
        <v>0</v>
      </c>
      <c r="Y475">
        <f t="shared" si="8"/>
        <v>0</v>
      </c>
      <c r="Z475" s="13">
        <f>IF(COUNTIFS(แปลงข้อมูล!H:H,Q475,แปลงข้อมูล!I:I,U475,แปลงข้อมูล!J:J,V475)&gt;0,SUMIFS(แปลงข้อมูล!Q:Q,แปลงข้อมูล!I:I,U475,แปลงข้อมูล!H:H,Q475,แปลงข้อมูล!J:J,V475),'mk 001 10.3'!Z476)</f>
        <v>0</v>
      </c>
      <c r="AA475">
        <f>'mk 001 10.3'!AA476</f>
        <v>0</v>
      </c>
      <c r="AB475">
        <f>'mk 001 10.3'!AB476</f>
        <v>0</v>
      </c>
      <c r="AC475">
        <f>'mk 001 10.3'!AC476</f>
        <v>0</v>
      </c>
      <c r="AD475">
        <f>'mk 001 10.3'!AD476</f>
        <v>0</v>
      </c>
      <c r="AE475">
        <f>'mk 001 10.3'!AE476</f>
        <v>0</v>
      </c>
      <c r="AF475">
        <f>'mk 001 10.3'!AF476</f>
        <v>0</v>
      </c>
      <c r="AG475">
        <f>'mk 001 10.3'!AG476</f>
        <v>0</v>
      </c>
      <c r="AH475">
        <f>'mk 001 10.3'!AH476</f>
        <v>0</v>
      </c>
      <c r="AI475">
        <f>'mk 001 10.3'!AI476</f>
        <v>0</v>
      </c>
      <c r="AJ475">
        <f>'mk 001 10.3'!AJ476</f>
        <v>0</v>
      </c>
      <c r="AK475">
        <f>'mk 001 10.3'!AK476</f>
        <v>0</v>
      </c>
      <c r="AL475">
        <f>'mk 001 10.3'!AL476</f>
        <v>0</v>
      </c>
      <c r="AM475">
        <f>'mk 001 10.3'!AM476</f>
        <v>0</v>
      </c>
      <c r="AN475">
        <f>'mk 001 10.3'!AN476</f>
        <v>0</v>
      </c>
      <c r="AO475">
        <f>'mk 001 10.3'!AO476</f>
        <v>0</v>
      </c>
      <c r="AP475">
        <f>'mk 001 10.3'!AP476</f>
        <v>0</v>
      </c>
      <c r="AQ475">
        <f>'mk 001 10.3'!AQ476</f>
        <v>0</v>
      </c>
      <c r="AR475">
        <f>'mk 001 10.3'!AR476</f>
        <v>0</v>
      </c>
      <c r="AS475">
        <f>'mk 001 10.3'!AS476</f>
        <v>0</v>
      </c>
      <c r="AT475">
        <f>'mk 001 10.3'!AT476</f>
        <v>0</v>
      </c>
      <c r="AU475">
        <f>'mk 001 10.3'!AU476</f>
        <v>0</v>
      </c>
      <c r="AV475">
        <f>'mk 001 10.3'!AV476</f>
        <v>0</v>
      </c>
      <c r="AW475">
        <f>'mk 001 10.3'!AW476</f>
        <v>0</v>
      </c>
      <c r="AX475">
        <f>'mk 001 10.3'!AX476</f>
        <v>0</v>
      </c>
      <c r="AY475">
        <f>'mk 001 10.3'!AY476</f>
        <v>0</v>
      </c>
      <c r="AZ475">
        <f>'mk 001 10.3'!AZ476</f>
        <v>0</v>
      </c>
      <c r="BA475" s="22">
        <f>'mk 001 10.3'!BA476</f>
        <v>0</v>
      </c>
      <c r="BB475">
        <f>'mk 001 10.3'!BB476</f>
        <v>0</v>
      </c>
      <c r="BC475">
        <f>'mk 001 10.3'!BC476</f>
        <v>0</v>
      </c>
      <c r="BD475">
        <f>'mk 001 10.3'!BD476</f>
        <v>0</v>
      </c>
      <c r="BE475">
        <f>'mk 001 10.3'!BE476</f>
        <v>0</v>
      </c>
      <c r="BF475">
        <f>'mk 001 10.3'!BF476</f>
        <v>0</v>
      </c>
      <c r="BG475">
        <f>'mk 001 10.3'!BG476</f>
        <v>0</v>
      </c>
      <c r="BH475">
        <f>'mk 001 10.3'!BH476</f>
        <v>0</v>
      </c>
      <c r="BI475">
        <f>'mk 001 10.3'!BI476</f>
        <v>0</v>
      </c>
      <c r="BJ475">
        <f>'mk 001 10.3'!BJ476</f>
        <v>0</v>
      </c>
      <c r="BK475">
        <f>'mk 001 10.3'!BK476</f>
        <v>0</v>
      </c>
      <c r="BL475">
        <f>'mk 001 10.3'!BL476</f>
        <v>0</v>
      </c>
      <c r="BM475">
        <f>'mk 001 10.3'!BM476</f>
        <v>0</v>
      </c>
      <c r="BN475">
        <f>'mk 001 10.3'!BN476</f>
        <v>0</v>
      </c>
    </row>
    <row r="476" spans="1:66" x14ac:dyDescent="0.35">
      <c r="A476">
        <f>'mk 001 10.3'!A477</f>
        <v>0</v>
      </c>
      <c r="B476">
        <f>'mk 001 10.3'!B477</f>
        <v>0</v>
      </c>
      <c r="C476" s="1">
        <f>'mk 001 10.3'!C477</f>
        <v>0</v>
      </c>
      <c r="D476" s="1">
        <f>'mk 001 10.3'!D477</f>
        <v>0</v>
      </c>
      <c r="E476">
        <f>'mk 001 10.3'!E477</f>
        <v>0</v>
      </c>
      <c r="F476">
        <f>'mk 001 10.3'!F477</f>
        <v>0</v>
      </c>
      <c r="G476">
        <f>'mk 001 10.3'!G477</f>
        <v>0</v>
      </c>
      <c r="H476">
        <f>'mk 001 10.3'!H477</f>
        <v>0</v>
      </c>
      <c r="I476">
        <f>'mk 001 10.3'!I477</f>
        <v>0</v>
      </c>
      <c r="J476">
        <f>'mk 001 10.3'!J477</f>
        <v>0</v>
      </c>
      <c r="K476">
        <f>'mk 001 10.3'!K477</f>
        <v>0</v>
      </c>
      <c r="L476">
        <f>'mk 001 10.3'!L477</f>
        <v>0</v>
      </c>
      <c r="M476">
        <f>'mk 001 10.3'!M477</f>
        <v>0</v>
      </c>
      <c r="N476">
        <f>'mk 001 10.3'!N477</f>
        <v>0</v>
      </c>
      <c r="O476">
        <f>'mk 001 10.3'!O477</f>
        <v>0</v>
      </c>
      <c r="P476">
        <f>'mk 001 10.3'!P477</f>
        <v>0</v>
      </c>
      <c r="Q476">
        <f>'mk 001 10.3'!Q477</f>
        <v>0</v>
      </c>
      <c r="R476" s="1">
        <f>'mk 001 10.3'!R477</f>
        <v>0</v>
      </c>
      <c r="S476" s="1">
        <f>'mk 001 10.3'!S477</f>
        <v>0</v>
      </c>
      <c r="T476">
        <f>'mk 001 10.3'!T477</f>
        <v>0</v>
      </c>
      <c r="U476">
        <f>'mk 001 10.3'!U477</f>
        <v>0</v>
      </c>
      <c r="V476">
        <f>'mk 001 10.3'!V477</f>
        <v>0</v>
      </c>
      <c r="W476">
        <f>'mk 001 10.3'!W477</f>
        <v>0</v>
      </c>
      <c r="X476">
        <f>'mk 001 10.3'!X477</f>
        <v>0</v>
      </c>
      <c r="Y476">
        <f t="shared" si="8"/>
        <v>0</v>
      </c>
      <c r="Z476" s="13">
        <f>IF(COUNTIFS(แปลงข้อมูล!H:H,Q476,แปลงข้อมูล!I:I,U476,แปลงข้อมูล!J:J,V476)&gt;0,SUMIFS(แปลงข้อมูล!Q:Q,แปลงข้อมูล!I:I,U476,แปลงข้อมูล!H:H,Q476,แปลงข้อมูล!J:J,V476),'mk 001 10.3'!Z477)</f>
        <v>0</v>
      </c>
      <c r="AA476">
        <f>'mk 001 10.3'!AA477</f>
        <v>0</v>
      </c>
      <c r="AB476">
        <f>'mk 001 10.3'!AB477</f>
        <v>0</v>
      </c>
      <c r="AC476">
        <f>'mk 001 10.3'!AC477</f>
        <v>0</v>
      </c>
      <c r="AD476">
        <f>'mk 001 10.3'!AD477</f>
        <v>0</v>
      </c>
      <c r="AE476">
        <f>'mk 001 10.3'!AE477</f>
        <v>0</v>
      </c>
      <c r="AF476">
        <f>'mk 001 10.3'!AF477</f>
        <v>0</v>
      </c>
      <c r="AG476">
        <f>'mk 001 10.3'!AG477</f>
        <v>0</v>
      </c>
      <c r="AH476">
        <f>'mk 001 10.3'!AH477</f>
        <v>0</v>
      </c>
      <c r="AI476">
        <f>'mk 001 10.3'!AI477</f>
        <v>0</v>
      </c>
      <c r="AJ476">
        <f>'mk 001 10.3'!AJ477</f>
        <v>0</v>
      </c>
      <c r="AK476">
        <f>'mk 001 10.3'!AK477</f>
        <v>0</v>
      </c>
      <c r="AL476">
        <f>'mk 001 10.3'!AL477</f>
        <v>0</v>
      </c>
      <c r="AM476">
        <f>'mk 001 10.3'!AM477</f>
        <v>0</v>
      </c>
      <c r="AN476">
        <f>'mk 001 10.3'!AN477</f>
        <v>0</v>
      </c>
      <c r="AO476">
        <f>'mk 001 10.3'!AO477</f>
        <v>0</v>
      </c>
      <c r="AP476">
        <f>'mk 001 10.3'!AP477</f>
        <v>0</v>
      </c>
      <c r="AQ476">
        <f>'mk 001 10.3'!AQ477</f>
        <v>0</v>
      </c>
      <c r="AR476">
        <f>'mk 001 10.3'!AR477</f>
        <v>0</v>
      </c>
      <c r="AS476">
        <f>'mk 001 10.3'!AS477</f>
        <v>0</v>
      </c>
      <c r="AT476">
        <f>'mk 001 10.3'!AT477</f>
        <v>0</v>
      </c>
      <c r="AU476">
        <f>'mk 001 10.3'!AU477</f>
        <v>0</v>
      </c>
      <c r="AV476">
        <f>'mk 001 10.3'!AV477</f>
        <v>0</v>
      </c>
      <c r="AW476">
        <f>'mk 001 10.3'!AW477</f>
        <v>0</v>
      </c>
      <c r="AX476">
        <f>'mk 001 10.3'!AX477</f>
        <v>0</v>
      </c>
      <c r="AY476">
        <f>'mk 001 10.3'!AY477</f>
        <v>0</v>
      </c>
      <c r="AZ476">
        <f>'mk 001 10.3'!AZ477</f>
        <v>0</v>
      </c>
      <c r="BA476" s="22">
        <f>'mk 001 10.3'!BA477</f>
        <v>0</v>
      </c>
      <c r="BB476">
        <f>'mk 001 10.3'!BB477</f>
        <v>0</v>
      </c>
      <c r="BC476">
        <f>'mk 001 10.3'!BC477</f>
        <v>0</v>
      </c>
      <c r="BD476">
        <f>'mk 001 10.3'!BD477</f>
        <v>0</v>
      </c>
      <c r="BE476">
        <f>'mk 001 10.3'!BE477</f>
        <v>0</v>
      </c>
      <c r="BF476">
        <f>'mk 001 10.3'!BF477</f>
        <v>0</v>
      </c>
      <c r="BG476">
        <f>'mk 001 10.3'!BG477</f>
        <v>0</v>
      </c>
      <c r="BH476">
        <f>'mk 001 10.3'!BH477</f>
        <v>0</v>
      </c>
      <c r="BI476">
        <f>'mk 001 10.3'!BI477</f>
        <v>0</v>
      </c>
      <c r="BJ476">
        <f>'mk 001 10.3'!BJ477</f>
        <v>0</v>
      </c>
      <c r="BK476">
        <f>'mk 001 10.3'!BK477</f>
        <v>0</v>
      </c>
      <c r="BL476">
        <f>'mk 001 10.3'!BL477</f>
        <v>0</v>
      </c>
      <c r="BM476">
        <f>'mk 001 10.3'!BM477</f>
        <v>0</v>
      </c>
      <c r="BN476">
        <f>'mk 001 10.3'!BN477</f>
        <v>0</v>
      </c>
    </row>
    <row r="477" spans="1:66" x14ac:dyDescent="0.35">
      <c r="A477">
        <f>'mk 001 10.3'!A478</f>
        <v>0</v>
      </c>
      <c r="B477">
        <f>'mk 001 10.3'!B478</f>
        <v>0</v>
      </c>
      <c r="C477" s="1">
        <f>'mk 001 10.3'!C478</f>
        <v>0</v>
      </c>
      <c r="D477" s="1">
        <f>'mk 001 10.3'!D478</f>
        <v>0</v>
      </c>
      <c r="E477">
        <f>'mk 001 10.3'!E478</f>
        <v>0</v>
      </c>
      <c r="F477">
        <f>'mk 001 10.3'!F478</f>
        <v>0</v>
      </c>
      <c r="G477">
        <f>'mk 001 10.3'!G478</f>
        <v>0</v>
      </c>
      <c r="H477">
        <f>'mk 001 10.3'!H478</f>
        <v>0</v>
      </c>
      <c r="I477">
        <f>'mk 001 10.3'!I478</f>
        <v>0</v>
      </c>
      <c r="J477">
        <f>'mk 001 10.3'!J478</f>
        <v>0</v>
      </c>
      <c r="K477">
        <f>'mk 001 10.3'!K478</f>
        <v>0</v>
      </c>
      <c r="L477">
        <f>'mk 001 10.3'!L478</f>
        <v>0</v>
      </c>
      <c r="M477">
        <f>'mk 001 10.3'!M478</f>
        <v>0</v>
      </c>
      <c r="N477">
        <f>'mk 001 10.3'!N478</f>
        <v>0</v>
      </c>
      <c r="O477">
        <f>'mk 001 10.3'!O478</f>
        <v>0</v>
      </c>
      <c r="P477">
        <f>'mk 001 10.3'!P478</f>
        <v>0</v>
      </c>
      <c r="Q477">
        <f>'mk 001 10.3'!Q478</f>
        <v>0</v>
      </c>
      <c r="R477" s="1">
        <f>'mk 001 10.3'!R478</f>
        <v>0</v>
      </c>
      <c r="S477" s="1">
        <f>'mk 001 10.3'!S478</f>
        <v>0</v>
      </c>
      <c r="T477">
        <f>'mk 001 10.3'!T478</f>
        <v>0</v>
      </c>
      <c r="U477">
        <f>'mk 001 10.3'!U478</f>
        <v>0</v>
      </c>
      <c r="V477">
        <f>'mk 001 10.3'!V478</f>
        <v>0</v>
      </c>
      <c r="W477">
        <f>'mk 001 10.3'!W478</f>
        <v>0</v>
      </c>
      <c r="X477">
        <f>'mk 001 10.3'!X478</f>
        <v>0</v>
      </c>
      <c r="Y477">
        <f t="shared" si="8"/>
        <v>0</v>
      </c>
      <c r="Z477" s="13">
        <f>IF(COUNTIFS(แปลงข้อมูล!H:H,Q477,แปลงข้อมูล!I:I,U477,แปลงข้อมูล!J:J,V477)&gt;0,SUMIFS(แปลงข้อมูล!Q:Q,แปลงข้อมูล!I:I,U477,แปลงข้อมูล!H:H,Q477,แปลงข้อมูล!J:J,V477),'mk 001 10.3'!Z478)</f>
        <v>0</v>
      </c>
      <c r="AA477">
        <f>'mk 001 10.3'!AA478</f>
        <v>0</v>
      </c>
      <c r="AB477">
        <f>'mk 001 10.3'!AB478</f>
        <v>0</v>
      </c>
      <c r="AC477">
        <f>'mk 001 10.3'!AC478</f>
        <v>0</v>
      </c>
      <c r="AD477">
        <f>'mk 001 10.3'!AD478</f>
        <v>0</v>
      </c>
      <c r="AE477">
        <f>'mk 001 10.3'!AE478</f>
        <v>0</v>
      </c>
      <c r="AF477">
        <f>'mk 001 10.3'!AF478</f>
        <v>0</v>
      </c>
      <c r="AG477">
        <f>'mk 001 10.3'!AG478</f>
        <v>0</v>
      </c>
      <c r="AH477">
        <f>'mk 001 10.3'!AH478</f>
        <v>0</v>
      </c>
      <c r="AI477">
        <f>'mk 001 10.3'!AI478</f>
        <v>0</v>
      </c>
      <c r="AJ477">
        <f>'mk 001 10.3'!AJ478</f>
        <v>0</v>
      </c>
      <c r="AK477">
        <f>'mk 001 10.3'!AK478</f>
        <v>0</v>
      </c>
      <c r="AL477">
        <f>'mk 001 10.3'!AL478</f>
        <v>0</v>
      </c>
      <c r="AM477">
        <f>'mk 001 10.3'!AM478</f>
        <v>0</v>
      </c>
      <c r="AN477">
        <f>'mk 001 10.3'!AN478</f>
        <v>0</v>
      </c>
      <c r="AO477">
        <f>'mk 001 10.3'!AO478</f>
        <v>0</v>
      </c>
      <c r="AP477">
        <f>'mk 001 10.3'!AP478</f>
        <v>0</v>
      </c>
      <c r="AQ477">
        <f>'mk 001 10.3'!AQ478</f>
        <v>0</v>
      </c>
      <c r="AR477">
        <f>'mk 001 10.3'!AR478</f>
        <v>0</v>
      </c>
      <c r="AS477">
        <f>'mk 001 10.3'!AS478</f>
        <v>0</v>
      </c>
      <c r="AT477">
        <f>'mk 001 10.3'!AT478</f>
        <v>0</v>
      </c>
      <c r="AU477">
        <f>'mk 001 10.3'!AU478</f>
        <v>0</v>
      </c>
      <c r="AV477">
        <f>'mk 001 10.3'!AV478</f>
        <v>0</v>
      </c>
      <c r="AW477">
        <f>'mk 001 10.3'!AW478</f>
        <v>0</v>
      </c>
      <c r="AX477">
        <f>'mk 001 10.3'!AX478</f>
        <v>0</v>
      </c>
      <c r="AY477">
        <f>'mk 001 10.3'!AY478</f>
        <v>0</v>
      </c>
      <c r="AZ477">
        <f>'mk 001 10.3'!AZ478</f>
        <v>0</v>
      </c>
      <c r="BA477" s="22">
        <f>'mk 001 10.3'!BA478</f>
        <v>0</v>
      </c>
      <c r="BB477">
        <f>'mk 001 10.3'!BB478</f>
        <v>0</v>
      </c>
      <c r="BC477">
        <f>'mk 001 10.3'!BC478</f>
        <v>0</v>
      </c>
      <c r="BD477">
        <f>'mk 001 10.3'!BD478</f>
        <v>0</v>
      </c>
      <c r="BE477">
        <f>'mk 001 10.3'!BE478</f>
        <v>0</v>
      </c>
      <c r="BF477">
        <f>'mk 001 10.3'!BF478</f>
        <v>0</v>
      </c>
      <c r="BG477">
        <f>'mk 001 10.3'!BG478</f>
        <v>0</v>
      </c>
      <c r="BH477">
        <f>'mk 001 10.3'!BH478</f>
        <v>0</v>
      </c>
      <c r="BI477">
        <f>'mk 001 10.3'!BI478</f>
        <v>0</v>
      </c>
      <c r="BJ477">
        <f>'mk 001 10.3'!BJ478</f>
        <v>0</v>
      </c>
      <c r="BK477">
        <f>'mk 001 10.3'!BK478</f>
        <v>0</v>
      </c>
      <c r="BL477">
        <f>'mk 001 10.3'!BL478</f>
        <v>0</v>
      </c>
      <c r="BM477">
        <f>'mk 001 10.3'!BM478</f>
        <v>0</v>
      </c>
      <c r="BN477">
        <f>'mk 001 10.3'!BN478</f>
        <v>0</v>
      </c>
    </row>
    <row r="478" spans="1:66" x14ac:dyDescent="0.35">
      <c r="A478">
        <f>'mk 001 10.3'!A479</f>
        <v>0</v>
      </c>
      <c r="B478">
        <f>'mk 001 10.3'!B479</f>
        <v>0</v>
      </c>
      <c r="C478" s="1">
        <f>'mk 001 10.3'!C479</f>
        <v>0</v>
      </c>
      <c r="D478" s="1">
        <f>'mk 001 10.3'!D479</f>
        <v>0</v>
      </c>
      <c r="E478">
        <f>'mk 001 10.3'!E479</f>
        <v>0</v>
      </c>
      <c r="F478">
        <f>'mk 001 10.3'!F479</f>
        <v>0</v>
      </c>
      <c r="G478">
        <f>'mk 001 10.3'!G479</f>
        <v>0</v>
      </c>
      <c r="H478">
        <f>'mk 001 10.3'!H479</f>
        <v>0</v>
      </c>
      <c r="I478">
        <f>'mk 001 10.3'!I479</f>
        <v>0</v>
      </c>
      <c r="J478">
        <f>'mk 001 10.3'!J479</f>
        <v>0</v>
      </c>
      <c r="K478">
        <f>'mk 001 10.3'!K479</f>
        <v>0</v>
      </c>
      <c r="L478">
        <f>'mk 001 10.3'!L479</f>
        <v>0</v>
      </c>
      <c r="M478">
        <f>'mk 001 10.3'!M479</f>
        <v>0</v>
      </c>
      <c r="N478">
        <f>'mk 001 10.3'!N479</f>
        <v>0</v>
      </c>
      <c r="O478">
        <f>'mk 001 10.3'!O479</f>
        <v>0</v>
      </c>
      <c r="P478">
        <f>'mk 001 10.3'!P479</f>
        <v>0</v>
      </c>
      <c r="Q478">
        <f>'mk 001 10.3'!Q479</f>
        <v>0</v>
      </c>
      <c r="R478" s="1">
        <f>'mk 001 10.3'!R479</f>
        <v>0</v>
      </c>
      <c r="S478" s="1">
        <f>'mk 001 10.3'!S479</f>
        <v>0</v>
      </c>
      <c r="T478">
        <f>'mk 001 10.3'!T479</f>
        <v>0</v>
      </c>
      <c r="U478">
        <f>'mk 001 10.3'!U479</f>
        <v>0</v>
      </c>
      <c r="V478">
        <f>'mk 001 10.3'!V479</f>
        <v>0</v>
      </c>
      <c r="W478">
        <f>'mk 001 10.3'!W479</f>
        <v>0</v>
      </c>
      <c r="X478">
        <f>'mk 001 10.3'!X479</f>
        <v>0</v>
      </c>
      <c r="Y478">
        <f t="shared" si="8"/>
        <v>0</v>
      </c>
      <c r="Z478" s="13">
        <f>IF(COUNTIFS(แปลงข้อมูล!H:H,Q478,แปลงข้อมูล!I:I,U478,แปลงข้อมูล!J:J,V478)&gt;0,SUMIFS(แปลงข้อมูล!Q:Q,แปลงข้อมูล!I:I,U478,แปลงข้อมูล!H:H,Q478,แปลงข้อมูล!J:J,V478),'mk 001 10.3'!Z479)</f>
        <v>0</v>
      </c>
      <c r="AA478">
        <f>'mk 001 10.3'!AA479</f>
        <v>0</v>
      </c>
      <c r="AB478">
        <f>'mk 001 10.3'!AB479</f>
        <v>0</v>
      </c>
      <c r="AC478">
        <f>'mk 001 10.3'!AC479</f>
        <v>0</v>
      </c>
      <c r="AD478">
        <f>'mk 001 10.3'!AD479</f>
        <v>0</v>
      </c>
      <c r="AE478">
        <f>'mk 001 10.3'!AE479</f>
        <v>0</v>
      </c>
      <c r="AF478">
        <f>'mk 001 10.3'!AF479</f>
        <v>0</v>
      </c>
      <c r="AG478">
        <f>'mk 001 10.3'!AG479</f>
        <v>0</v>
      </c>
      <c r="AH478">
        <f>'mk 001 10.3'!AH479</f>
        <v>0</v>
      </c>
      <c r="AI478">
        <f>'mk 001 10.3'!AI479</f>
        <v>0</v>
      </c>
      <c r="AJ478">
        <f>'mk 001 10.3'!AJ479</f>
        <v>0</v>
      </c>
      <c r="AK478">
        <f>'mk 001 10.3'!AK479</f>
        <v>0</v>
      </c>
      <c r="AL478">
        <f>'mk 001 10.3'!AL479</f>
        <v>0</v>
      </c>
      <c r="AM478">
        <f>'mk 001 10.3'!AM479</f>
        <v>0</v>
      </c>
      <c r="AN478">
        <f>'mk 001 10.3'!AN479</f>
        <v>0</v>
      </c>
      <c r="AO478">
        <f>'mk 001 10.3'!AO479</f>
        <v>0</v>
      </c>
      <c r="AP478">
        <f>'mk 001 10.3'!AP479</f>
        <v>0</v>
      </c>
      <c r="AQ478">
        <f>'mk 001 10.3'!AQ479</f>
        <v>0</v>
      </c>
      <c r="AR478">
        <f>'mk 001 10.3'!AR479</f>
        <v>0</v>
      </c>
      <c r="AS478">
        <f>'mk 001 10.3'!AS479</f>
        <v>0</v>
      </c>
      <c r="AT478">
        <f>'mk 001 10.3'!AT479</f>
        <v>0</v>
      </c>
      <c r="AU478">
        <f>'mk 001 10.3'!AU479</f>
        <v>0</v>
      </c>
      <c r="AV478">
        <f>'mk 001 10.3'!AV479</f>
        <v>0</v>
      </c>
      <c r="AW478">
        <f>'mk 001 10.3'!AW479</f>
        <v>0</v>
      </c>
      <c r="AX478">
        <f>'mk 001 10.3'!AX479</f>
        <v>0</v>
      </c>
      <c r="AY478">
        <f>'mk 001 10.3'!AY479</f>
        <v>0</v>
      </c>
      <c r="AZ478">
        <f>'mk 001 10.3'!AZ479</f>
        <v>0</v>
      </c>
      <c r="BA478" s="22">
        <f>'mk 001 10.3'!BA479</f>
        <v>0</v>
      </c>
      <c r="BB478">
        <f>'mk 001 10.3'!BB479</f>
        <v>0</v>
      </c>
      <c r="BC478">
        <f>'mk 001 10.3'!BC479</f>
        <v>0</v>
      </c>
      <c r="BD478">
        <f>'mk 001 10.3'!BD479</f>
        <v>0</v>
      </c>
      <c r="BE478">
        <f>'mk 001 10.3'!BE479</f>
        <v>0</v>
      </c>
      <c r="BF478">
        <f>'mk 001 10.3'!BF479</f>
        <v>0</v>
      </c>
      <c r="BG478">
        <f>'mk 001 10.3'!BG479</f>
        <v>0</v>
      </c>
      <c r="BH478">
        <f>'mk 001 10.3'!BH479</f>
        <v>0</v>
      </c>
      <c r="BI478">
        <f>'mk 001 10.3'!BI479</f>
        <v>0</v>
      </c>
      <c r="BJ478">
        <f>'mk 001 10.3'!BJ479</f>
        <v>0</v>
      </c>
      <c r="BK478">
        <f>'mk 001 10.3'!BK479</f>
        <v>0</v>
      </c>
      <c r="BL478">
        <f>'mk 001 10.3'!BL479</f>
        <v>0</v>
      </c>
      <c r="BM478">
        <f>'mk 001 10.3'!BM479</f>
        <v>0</v>
      </c>
      <c r="BN478">
        <f>'mk 001 10.3'!BN479</f>
        <v>0</v>
      </c>
    </row>
    <row r="479" spans="1:66" x14ac:dyDescent="0.35">
      <c r="A479">
        <f>'mk 001 10.3'!A480</f>
        <v>0</v>
      </c>
      <c r="B479">
        <f>'mk 001 10.3'!B480</f>
        <v>0</v>
      </c>
      <c r="C479" s="1">
        <f>'mk 001 10.3'!C480</f>
        <v>0</v>
      </c>
      <c r="D479" s="1">
        <f>'mk 001 10.3'!D480</f>
        <v>0</v>
      </c>
      <c r="E479">
        <f>'mk 001 10.3'!E480</f>
        <v>0</v>
      </c>
      <c r="F479">
        <f>'mk 001 10.3'!F480</f>
        <v>0</v>
      </c>
      <c r="G479">
        <f>'mk 001 10.3'!G480</f>
        <v>0</v>
      </c>
      <c r="H479">
        <f>'mk 001 10.3'!H480</f>
        <v>0</v>
      </c>
      <c r="I479">
        <f>'mk 001 10.3'!I480</f>
        <v>0</v>
      </c>
      <c r="J479">
        <f>'mk 001 10.3'!J480</f>
        <v>0</v>
      </c>
      <c r="K479">
        <f>'mk 001 10.3'!K480</f>
        <v>0</v>
      </c>
      <c r="L479">
        <f>'mk 001 10.3'!L480</f>
        <v>0</v>
      </c>
      <c r="M479">
        <f>'mk 001 10.3'!M480</f>
        <v>0</v>
      </c>
      <c r="N479">
        <f>'mk 001 10.3'!N480</f>
        <v>0</v>
      </c>
      <c r="O479">
        <f>'mk 001 10.3'!O480</f>
        <v>0</v>
      </c>
      <c r="P479">
        <f>'mk 001 10.3'!P480</f>
        <v>0</v>
      </c>
      <c r="Q479">
        <f>'mk 001 10.3'!Q480</f>
        <v>0</v>
      </c>
      <c r="R479" s="1">
        <f>'mk 001 10.3'!R480</f>
        <v>0</v>
      </c>
      <c r="S479" s="1">
        <f>'mk 001 10.3'!S480</f>
        <v>0</v>
      </c>
      <c r="T479">
        <f>'mk 001 10.3'!T480</f>
        <v>0</v>
      </c>
      <c r="U479">
        <f>'mk 001 10.3'!U480</f>
        <v>0</v>
      </c>
      <c r="V479">
        <f>'mk 001 10.3'!V480</f>
        <v>0</v>
      </c>
      <c r="W479">
        <f>'mk 001 10.3'!W480</f>
        <v>0</v>
      </c>
      <c r="X479">
        <f>'mk 001 10.3'!X480</f>
        <v>0</v>
      </c>
      <c r="Y479">
        <f t="shared" si="8"/>
        <v>0</v>
      </c>
      <c r="Z479" s="13">
        <f>IF(COUNTIFS(แปลงข้อมูล!H:H,Q479,แปลงข้อมูล!I:I,U479,แปลงข้อมูล!J:J,V479)&gt;0,SUMIFS(แปลงข้อมูล!Q:Q,แปลงข้อมูล!I:I,U479,แปลงข้อมูล!H:H,Q479,แปลงข้อมูล!J:J,V479),'mk 001 10.3'!Z480)</f>
        <v>0</v>
      </c>
      <c r="AA479">
        <f>'mk 001 10.3'!AA480</f>
        <v>0</v>
      </c>
      <c r="AB479">
        <f>'mk 001 10.3'!AB480</f>
        <v>0</v>
      </c>
      <c r="AC479">
        <f>'mk 001 10.3'!AC480</f>
        <v>0</v>
      </c>
      <c r="AD479">
        <f>'mk 001 10.3'!AD480</f>
        <v>0</v>
      </c>
      <c r="AE479">
        <f>'mk 001 10.3'!AE480</f>
        <v>0</v>
      </c>
      <c r="AF479">
        <f>'mk 001 10.3'!AF480</f>
        <v>0</v>
      </c>
      <c r="AG479">
        <f>'mk 001 10.3'!AG480</f>
        <v>0</v>
      </c>
      <c r="AH479">
        <f>'mk 001 10.3'!AH480</f>
        <v>0</v>
      </c>
      <c r="AI479">
        <f>'mk 001 10.3'!AI480</f>
        <v>0</v>
      </c>
      <c r="AJ479">
        <f>'mk 001 10.3'!AJ480</f>
        <v>0</v>
      </c>
      <c r="AK479">
        <f>'mk 001 10.3'!AK480</f>
        <v>0</v>
      </c>
      <c r="AL479">
        <f>'mk 001 10.3'!AL480</f>
        <v>0</v>
      </c>
      <c r="AM479">
        <f>'mk 001 10.3'!AM480</f>
        <v>0</v>
      </c>
      <c r="AN479">
        <f>'mk 001 10.3'!AN480</f>
        <v>0</v>
      </c>
      <c r="AO479">
        <f>'mk 001 10.3'!AO480</f>
        <v>0</v>
      </c>
      <c r="AP479">
        <f>'mk 001 10.3'!AP480</f>
        <v>0</v>
      </c>
      <c r="AQ479">
        <f>'mk 001 10.3'!AQ480</f>
        <v>0</v>
      </c>
      <c r="AR479">
        <f>'mk 001 10.3'!AR480</f>
        <v>0</v>
      </c>
      <c r="AS479">
        <f>'mk 001 10.3'!AS480</f>
        <v>0</v>
      </c>
      <c r="AT479">
        <f>'mk 001 10.3'!AT480</f>
        <v>0</v>
      </c>
      <c r="AU479">
        <f>'mk 001 10.3'!AU480</f>
        <v>0</v>
      </c>
      <c r="AV479">
        <f>'mk 001 10.3'!AV480</f>
        <v>0</v>
      </c>
      <c r="AW479">
        <f>'mk 001 10.3'!AW480</f>
        <v>0</v>
      </c>
      <c r="AX479">
        <f>'mk 001 10.3'!AX480</f>
        <v>0</v>
      </c>
      <c r="AY479">
        <f>'mk 001 10.3'!AY480</f>
        <v>0</v>
      </c>
      <c r="AZ479">
        <f>'mk 001 10.3'!AZ480</f>
        <v>0</v>
      </c>
      <c r="BA479" s="22">
        <f>'mk 001 10.3'!BA480</f>
        <v>0</v>
      </c>
      <c r="BB479">
        <f>'mk 001 10.3'!BB480</f>
        <v>0</v>
      </c>
      <c r="BC479">
        <f>'mk 001 10.3'!BC480</f>
        <v>0</v>
      </c>
      <c r="BD479">
        <f>'mk 001 10.3'!BD480</f>
        <v>0</v>
      </c>
      <c r="BE479">
        <f>'mk 001 10.3'!BE480</f>
        <v>0</v>
      </c>
      <c r="BF479">
        <f>'mk 001 10.3'!BF480</f>
        <v>0</v>
      </c>
      <c r="BG479">
        <f>'mk 001 10.3'!BG480</f>
        <v>0</v>
      </c>
      <c r="BH479">
        <f>'mk 001 10.3'!BH480</f>
        <v>0</v>
      </c>
      <c r="BI479">
        <f>'mk 001 10.3'!BI480</f>
        <v>0</v>
      </c>
      <c r="BJ479">
        <f>'mk 001 10.3'!BJ480</f>
        <v>0</v>
      </c>
      <c r="BK479">
        <f>'mk 001 10.3'!BK480</f>
        <v>0</v>
      </c>
      <c r="BL479">
        <f>'mk 001 10.3'!BL480</f>
        <v>0</v>
      </c>
      <c r="BM479">
        <f>'mk 001 10.3'!BM480</f>
        <v>0</v>
      </c>
      <c r="BN479">
        <f>'mk 001 10.3'!BN480</f>
        <v>0</v>
      </c>
    </row>
    <row r="480" spans="1:66" x14ac:dyDescent="0.35">
      <c r="A480">
        <f>'mk 001 10.3'!A481</f>
        <v>0</v>
      </c>
      <c r="B480">
        <f>'mk 001 10.3'!B481</f>
        <v>0</v>
      </c>
      <c r="C480" s="1">
        <f>'mk 001 10.3'!C481</f>
        <v>0</v>
      </c>
      <c r="D480" s="1">
        <f>'mk 001 10.3'!D481</f>
        <v>0</v>
      </c>
      <c r="E480">
        <f>'mk 001 10.3'!E481</f>
        <v>0</v>
      </c>
      <c r="F480">
        <f>'mk 001 10.3'!F481</f>
        <v>0</v>
      </c>
      <c r="G480">
        <f>'mk 001 10.3'!G481</f>
        <v>0</v>
      </c>
      <c r="H480">
        <f>'mk 001 10.3'!H481</f>
        <v>0</v>
      </c>
      <c r="I480">
        <f>'mk 001 10.3'!I481</f>
        <v>0</v>
      </c>
      <c r="J480">
        <f>'mk 001 10.3'!J481</f>
        <v>0</v>
      </c>
      <c r="K480">
        <f>'mk 001 10.3'!K481</f>
        <v>0</v>
      </c>
      <c r="L480">
        <f>'mk 001 10.3'!L481</f>
        <v>0</v>
      </c>
      <c r="M480">
        <f>'mk 001 10.3'!M481</f>
        <v>0</v>
      </c>
      <c r="N480">
        <f>'mk 001 10.3'!N481</f>
        <v>0</v>
      </c>
      <c r="O480">
        <f>'mk 001 10.3'!O481</f>
        <v>0</v>
      </c>
      <c r="P480">
        <f>'mk 001 10.3'!P481</f>
        <v>0</v>
      </c>
      <c r="Q480">
        <f>'mk 001 10.3'!Q481</f>
        <v>0</v>
      </c>
      <c r="R480" s="1">
        <f>'mk 001 10.3'!R481</f>
        <v>0</v>
      </c>
      <c r="S480" s="1">
        <f>'mk 001 10.3'!S481</f>
        <v>0</v>
      </c>
      <c r="T480">
        <f>'mk 001 10.3'!T481</f>
        <v>0</v>
      </c>
      <c r="U480">
        <f>'mk 001 10.3'!U481</f>
        <v>0</v>
      </c>
      <c r="V480">
        <f>'mk 001 10.3'!V481</f>
        <v>0</v>
      </c>
      <c r="W480">
        <f>'mk 001 10.3'!W481</f>
        <v>0</v>
      </c>
      <c r="X480">
        <f>'mk 001 10.3'!X481</f>
        <v>0</v>
      </c>
      <c r="Y480">
        <f t="shared" si="8"/>
        <v>0</v>
      </c>
      <c r="Z480" s="13">
        <f>IF(COUNTIFS(แปลงข้อมูล!H:H,Q480,แปลงข้อมูล!I:I,U480,แปลงข้อมูล!J:J,V480)&gt;0,SUMIFS(แปลงข้อมูล!Q:Q,แปลงข้อมูล!I:I,U480,แปลงข้อมูล!H:H,Q480,แปลงข้อมูล!J:J,V480),'mk 001 10.3'!Z481)</f>
        <v>0</v>
      </c>
      <c r="AA480">
        <f>'mk 001 10.3'!AA481</f>
        <v>0</v>
      </c>
      <c r="AB480">
        <f>'mk 001 10.3'!AB481</f>
        <v>0</v>
      </c>
      <c r="AC480">
        <f>'mk 001 10.3'!AC481</f>
        <v>0</v>
      </c>
      <c r="AD480">
        <f>'mk 001 10.3'!AD481</f>
        <v>0</v>
      </c>
      <c r="AE480">
        <f>'mk 001 10.3'!AE481</f>
        <v>0</v>
      </c>
      <c r="AF480">
        <f>'mk 001 10.3'!AF481</f>
        <v>0</v>
      </c>
      <c r="AG480">
        <f>'mk 001 10.3'!AG481</f>
        <v>0</v>
      </c>
      <c r="AH480">
        <f>'mk 001 10.3'!AH481</f>
        <v>0</v>
      </c>
      <c r="AI480">
        <f>'mk 001 10.3'!AI481</f>
        <v>0</v>
      </c>
      <c r="AJ480">
        <f>'mk 001 10.3'!AJ481</f>
        <v>0</v>
      </c>
      <c r="AK480">
        <f>'mk 001 10.3'!AK481</f>
        <v>0</v>
      </c>
      <c r="AL480">
        <f>'mk 001 10.3'!AL481</f>
        <v>0</v>
      </c>
      <c r="AM480">
        <f>'mk 001 10.3'!AM481</f>
        <v>0</v>
      </c>
      <c r="AN480">
        <f>'mk 001 10.3'!AN481</f>
        <v>0</v>
      </c>
      <c r="AO480">
        <f>'mk 001 10.3'!AO481</f>
        <v>0</v>
      </c>
      <c r="AP480">
        <f>'mk 001 10.3'!AP481</f>
        <v>0</v>
      </c>
      <c r="AQ480">
        <f>'mk 001 10.3'!AQ481</f>
        <v>0</v>
      </c>
      <c r="AR480">
        <f>'mk 001 10.3'!AR481</f>
        <v>0</v>
      </c>
      <c r="AS480">
        <f>'mk 001 10.3'!AS481</f>
        <v>0</v>
      </c>
      <c r="AT480">
        <f>'mk 001 10.3'!AT481</f>
        <v>0</v>
      </c>
      <c r="AU480">
        <f>'mk 001 10.3'!AU481</f>
        <v>0</v>
      </c>
      <c r="AV480">
        <f>'mk 001 10.3'!AV481</f>
        <v>0</v>
      </c>
      <c r="AW480">
        <f>'mk 001 10.3'!AW481</f>
        <v>0</v>
      </c>
      <c r="AX480">
        <f>'mk 001 10.3'!AX481</f>
        <v>0</v>
      </c>
      <c r="AY480">
        <f>'mk 001 10.3'!AY481</f>
        <v>0</v>
      </c>
      <c r="AZ480">
        <f>'mk 001 10.3'!AZ481</f>
        <v>0</v>
      </c>
      <c r="BA480" s="22">
        <f>'mk 001 10.3'!BA481</f>
        <v>0</v>
      </c>
      <c r="BB480">
        <f>'mk 001 10.3'!BB481</f>
        <v>0</v>
      </c>
      <c r="BC480">
        <f>'mk 001 10.3'!BC481</f>
        <v>0</v>
      </c>
      <c r="BD480">
        <f>'mk 001 10.3'!BD481</f>
        <v>0</v>
      </c>
      <c r="BE480">
        <f>'mk 001 10.3'!BE481</f>
        <v>0</v>
      </c>
      <c r="BF480">
        <f>'mk 001 10.3'!BF481</f>
        <v>0</v>
      </c>
      <c r="BG480">
        <f>'mk 001 10.3'!BG481</f>
        <v>0</v>
      </c>
      <c r="BH480">
        <f>'mk 001 10.3'!BH481</f>
        <v>0</v>
      </c>
      <c r="BI480">
        <f>'mk 001 10.3'!BI481</f>
        <v>0</v>
      </c>
      <c r="BJ480">
        <f>'mk 001 10.3'!BJ481</f>
        <v>0</v>
      </c>
      <c r="BK480">
        <f>'mk 001 10.3'!BK481</f>
        <v>0</v>
      </c>
      <c r="BL480">
        <f>'mk 001 10.3'!BL481</f>
        <v>0</v>
      </c>
      <c r="BM480">
        <f>'mk 001 10.3'!BM481</f>
        <v>0</v>
      </c>
      <c r="BN480">
        <f>'mk 001 10.3'!BN481</f>
        <v>0</v>
      </c>
    </row>
    <row r="481" spans="1:66" x14ac:dyDescent="0.35">
      <c r="A481">
        <f>'mk 001 10.3'!A482</f>
        <v>0</v>
      </c>
      <c r="B481">
        <f>'mk 001 10.3'!B482</f>
        <v>0</v>
      </c>
      <c r="C481" s="1">
        <f>'mk 001 10.3'!C482</f>
        <v>0</v>
      </c>
      <c r="D481" s="1">
        <f>'mk 001 10.3'!D482</f>
        <v>0</v>
      </c>
      <c r="E481">
        <f>'mk 001 10.3'!E482</f>
        <v>0</v>
      </c>
      <c r="F481">
        <f>'mk 001 10.3'!F482</f>
        <v>0</v>
      </c>
      <c r="G481">
        <f>'mk 001 10.3'!G482</f>
        <v>0</v>
      </c>
      <c r="H481">
        <f>'mk 001 10.3'!H482</f>
        <v>0</v>
      </c>
      <c r="I481">
        <f>'mk 001 10.3'!I482</f>
        <v>0</v>
      </c>
      <c r="J481">
        <f>'mk 001 10.3'!J482</f>
        <v>0</v>
      </c>
      <c r="K481">
        <f>'mk 001 10.3'!K482</f>
        <v>0</v>
      </c>
      <c r="L481">
        <f>'mk 001 10.3'!L482</f>
        <v>0</v>
      </c>
      <c r="M481">
        <f>'mk 001 10.3'!M482</f>
        <v>0</v>
      </c>
      <c r="N481">
        <f>'mk 001 10.3'!N482</f>
        <v>0</v>
      </c>
      <c r="O481">
        <f>'mk 001 10.3'!O482</f>
        <v>0</v>
      </c>
      <c r="P481">
        <f>'mk 001 10.3'!P482</f>
        <v>0</v>
      </c>
      <c r="Q481">
        <f>'mk 001 10.3'!Q482</f>
        <v>0</v>
      </c>
      <c r="R481" s="1">
        <f>'mk 001 10.3'!R482</f>
        <v>0</v>
      </c>
      <c r="S481" s="1">
        <f>'mk 001 10.3'!S482</f>
        <v>0</v>
      </c>
      <c r="T481">
        <f>'mk 001 10.3'!T482</f>
        <v>0</v>
      </c>
      <c r="U481">
        <f>'mk 001 10.3'!U482</f>
        <v>0</v>
      </c>
      <c r="V481">
        <f>'mk 001 10.3'!V482</f>
        <v>0</v>
      </c>
      <c r="W481">
        <f>'mk 001 10.3'!W482</f>
        <v>0</v>
      </c>
      <c r="X481">
        <f>'mk 001 10.3'!X482</f>
        <v>0</v>
      </c>
      <c r="Y481">
        <f t="shared" si="8"/>
        <v>0</v>
      </c>
      <c r="Z481" s="13">
        <f>IF(COUNTIFS(แปลงข้อมูล!H:H,Q481,แปลงข้อมูล!I:I,U481,แปลงข้อมูล!J:J,V481)&gt;0,SUMIFS(แปลงข้อมูล!Q:Q,แปลงข้อมูล!I:I,U481,แปลงข้อมูล!H:H,Q481,แปลงข้อมูล!J:J,V481),'mk 001 10.3'!Z482)</f>
        <v>0</v>
      </c>
      <c r="AA481">
        <f>'mk 001 10.3'!AA482</f>
        <v>0</v>
      </c>
      <c r="AB481">
        <f>'mk 001 10.3'!AB482</f>
        <v>0</v>
      </c>
      <c r="AC481">
        <f>'mk 001 10.3'!AC482</f>
        <v>0</v>
      </c>
      <c r="AD481">
        <f>'mk 001 10.3'!AD482</f>
        <v>0</v>
      </c>
      <c r="AE481">
        <f>'mk 001 10.3'!AE482</f>
        <v>0</v>
      </c>
      <c r="AF481">
        <f>'mk 001 10.3'!AF482</f>
        <v>0</v>
      </c>
      <c r="AG481">
        <f>'mk 001 10.3'!AG482</f>
        <v>0</v>
      </c>
      <c r="AH481">
        <f>'mk 001 10.3'!AH482</f>
        <v>0</v>
      </c>
      <c r="AI481">
        <f>'mk 001 10.3'!AI482</f>
        <v>0</v>
      </c>
      <c r="AJ481">
        <f>'mk 001 10.3'!AJ482</f>
        <v>0</v>
      </c>
      <c r="AK481">
        <f>'mk 001 10.3'!AK482</f>
        <v>0</v>
      </c>
      <c r="AL481">
        <f>'mk 001 10.3'!AL482</f>
        <v>0</v>
      </c>
      <c r="AM481">
        <f>'mk 001 10.3'!AM482</f>
        <v>0</v>
      </c>
      <c r="AN481">
        <f>'mk 001 10.3'!AN482</f>
        <v>0</v>
      </c>
      <c r="AO481">
        <f>'mk 001 10.3'!AO482</f>
        <v>0</v>
      </c>
      <c r="AP481">
        <f>'mk 001 10.3'!AP482</f>
        <v>0</v>
      </c>
      <c r="AQ481">
        <f>'mk 001 10.3'!AQ482</f>
        <v>0</v>
      </c>
      <c r="AR481">
        <f>'mk 001 10.3'!AR482</f>
        <v>0</v>
      </c>
      <c r="AS481">
        <f>'mk 001 10.3'!AS482</f>
        <v>0</v>
      </c>
      <c r="AT481">
        <f>'mk 001 10.3'!AT482</f>
        <v>0</v>
      </c>
      <c r="AU481">
        <f>'mk 001 10.3'!AU482</f>
        <v>0</v>
      </c>
      <c r="AV481">
        <f>'mk 001 10.3'!AV482</f>
        <v>0</v>
      </c>
      <c r="AW481">
        <f>'mk 001 10.3'!AW482</f>
        <v>0</v>
      </c>
      <c r="AX481">
        <f>'mk 001 10.3'!AX482</f>
        <v>0</v>
      </c>
      <c r="AY481">
        <f>'mk 001 10.3'!AY482</f>
        <v>0</v>
      </c>
      <c r="AZ481">
        <f>'mk 001 10.3'!AZ482</f>
        <v>0</v>
      </c>
      <c r="BA481" s="22">
        <f>'mk 001 10.3'!BA482</f>
        <v>0</v>
      </c>
      <c r="BB481">
        <f>'mk 001 10.3'!BB482</f>
        <v>0</v>
      </c>
      <c r="BC481">
        <f>'mk 001 10.3'!BC482</f>
        <v>0</v>
      </c>
      <c r="BD481">
        <f>'mk 001 10.3'!BD482</f>
        <v>0</v>
      </c>
      <c r="BE481">
        <f>'mk 001 10.3'!BE482</f>
        <v>0</v>
      </c>
      <c r="BF481">
        <f>'mk 001 10.3'!BF482</f>
        <v>0</v>
      </c>
      <c r="BG481">
        <f>'mk 001 10.3'!BG482</f>
        <v>0</v>
      </c>
      <c r="BH481">
        <f>'mk 001 10.3'!BH482</f>
        <v>0</v>
      </c>
      <c r="BI481">
        <f>'mk 001 10.3'!BI482</f>
        <v>0</v>
      </c>
      <c r="BJ481">
        <f>'mk 001 10.3'!BJ482</f>
        <v>0</v>
      </c>
      <c r="BK481">
        <f>'mk 001 10.3'!BK482</f>
        <v>0</v>
      </c>
      <c r="BL481">
        <f>'mk 001 10.3'!BL482</f>
        <v>0</v>
      </c>
      <c r="BM481">
        <f>'mk 001 10.3'!BM482</f>
        <v>0</v>
      </c>
      <c r="BN481">
        <f>'mk 001 10.3'!BN482</f>
        <v>0</v>
      </c>
    </row>
    <row r="482" spans="1:66" x14ac:dyDescent="0.35">
      <c r="A482">
        <f>'mk 001 10.3'!A483</f>
        <v>0</v>
      </c>
      <c r="B482">
        <f>'mk 001 10.3'!B483</f>
        <v>0</v>
      </c>
      <c r="C482" s="1">
        <f>'mk 001 10.3'!C483</f>
        <v>0</v>
      </c>
      <c r="D482" s="1">
        <f>'mk 001 10.3'!D483</f>
        <v>0</v>
      </c>
      <c r="E482">
        <f>'mk 001 10.3'!E483</f>
        <v>0</v>
      </c>
      <c r="F482">
        <f>'mk 001 10.3'!F483</f>
        <v>0</v>
      </c>
      <c r="G482">
        <f>'mk 001 10.3'!G483</f>
        <v>0</v>
      </c>
      <c r="H482">
        <f>'mk 001 10.3'!H483</f>
        <v>0</v>
      </c>
      <c r="I482">
        <f>'mk 001 10.3'!I483</f>
        <v>0</v>
      </c>
      <c r="J482">
        <f>'mk 001 10.3'!J483</f>
        <v>0</v>
      </c>
      <c r="K482">
        <f>'mk 001 10.3'!K483</f>
        <v>0</v>
      </c>
      <c r="L482">
        <f>'mk 001 10.3'!L483</f>
        <v>0</v>
      </c>
      <c r="M482">
        <f>'mk 001 10.3'!M483</f>
        <v>0</v>
      </c>
      <c r="N482">
        <f>'mk 001 10.3'!N483</f>
        <v>0</v>
      </c>
      <c r="O482">
        <f>'mk 001 10.3'!O483</f>
        <v>0</v>
      </c>
      <c r="P482">
        <f>'mk 001 10.3'!P483</f>
        <v>0</v>
      </c>
      <c r="Q482">
        <f>'mk 001 10.3'!Q483</f>
        <v>0</v>
      </c>
      <c r="R482" s="1">
        <f>'mk 001 10.3'!R483</f>
        <v>0</v>
      </c>
      <c r="S482" s="1">
        <f>'mk 001 10.3'!S483</f>
        <v>0</v>
      </c>
      <c r="T482">
        <f>'mk 001 10.3'!T483</f>
        <v>0</v>
      </c>
      <c r="U482">
        <f>'mk 001 10.3'!U483</f>
        <v>0</v>
      </c>
      <c r="V482">
        <f>'mk 001 10.3'!V483</f>
        <v>0</v>
      </c>
      <c r="W482">
        <f>'mk 001 10.3'!W483</f>
        <v>0</v>
      </c>
      <c r="X482">
        <f>'mk 001 10.3'!X483</f>
        <v>0</v>
      </c>
      <c r="Y482">
        <f t="shared" si="8"/>
        <v>0</v>
      </c>
      <c r="Z482" s="13">
        <f>IF(COUNTIFS(แปลงข้อมูล!H:H,Q482,แปลงข้อมูล!I:I,U482,แปลงข้อมูล!J:J,V482)&gt;0,SUMIFS(แปลงข้อมูล!Q:Q,แปลงข้อมูล!I:I,U482,แปลงข้อมูล!H:H,Q482,แปลงข้อมูล!J:J,V482),'mk 001 10.3'!Z483)</f>
        <v>0</v>
      </c>
      <c r="AA482">
        <f>'mk 001 10.3'!AA483</f>
        <v>0</v>
      </c>
      <c r="AB482">
        <f>'mk 001 10.3'!AB483</f>
        <v>0</v>
      </c>
      <c r="AC482">
        <f>'mk 001 10.3'!AC483</f>
        <v>0</v>
      </c>
      <c r="AD482">
        <f>'mk 001 10.3'!AD483</f>
        <v>0</v>
      </c>
      <c r="AE482">
        <f>'mk 001 10.3'!AE483</f>
        <v>0</v>
      </c>
      <c r="AF482">
        <f>'mk 001 10.3'!AF483</f>
        <v>0</v>
      </c>
      <c r="AG482">
        <f>'mk 001 10.3'!AG483</f>
        <v>0</v>
      </c>
      <c r="AH482">
        <f>'mk 001 10.3'!AH483</f>
        <v>0</v>
      </c>
      <c r="AI482">
        <f>'mk 001 10.3'!AI483</f>
        <v>0</v>
      </c>
      <c r="AJ482">
        <f>'mk 001 10.3'!AJ483</f>
        <v>0</v>
      </c>
      <c r="AK482">
        <f>'mk 001 10.3'!AK483</f>
        <v>0</v>
      </c>
      <c r="AL482">
        <f>'mk 001 10.3'!AL483</f>
        <v>0</v>
      </c>
      <c r="AM482">
        <f>'mk 001 10.3'!AM483</f>
        <v>0</v>
      </c>
      <c r="AN482">
        <f>'mk 001 10.3'!AN483</f>
        <v>0</v>
      </c>
      <c r="AO482">
        <f>'mk 001 10.3'!AO483</f>
        <v>0</v>
      </c>
      <c r="AP482">
        <f>'mk 001 10.3'!AP483</f>
        <v>0</v>
      </c>
      <c r="AQ482">
        <f>'mk 001 10.3'!AQ483</f>
        <v>0</v>
      </c>
      <c r="AR482">
        <f>'mk 001 10.3'!AR483</f>
        <v>0</v>
      </c>
      <c r="AS482">
        <f>'mk 001 10.3'!AS483</f>
        <v>0</v>
      </c>
      <c r="AT482">
        <f>'mk 001 10.3'!AT483</f>
        <v>0</v>
      </c>
      <c r="AU482">
        <f>'mk 001 10.3'!AU483</f>
        <v>0</v>
      </c>
      <c r="AV482">
        <f>'mk 001 10.3'!AV483</f>
        <v>0</v>
      </c>
      <c r="AW482">
        <f>'mk 001 10.3'!AW483</f>
        <v>0</v>
      </c>
      <c r="AX482">
        <f>'mk 001 10.3'!AX483</f>
        <v>0</v>
      </c>
      <c r="AY482">
        <f>'mk 001 10.3'!AY483</f>
        <v>0</v>
      </c>
      <c r="AZ482">
        <f>'mk 001 10.3'!AZ483</f>
        <v>0</v>
      </c>
      <c r="BA482" s="22">
        <f>'mk 001 10.3'!BA483</f>
        <v>0</v>
      </c>
      <c r="BB482">
        <f>'mk 001 10.3'!BB483</f>
        <v>0</v>
      </c>
      <c r="BC482">
        <f>'mk 001 10.3'!BC483</f>
        <v>0</v>
      </c>
      <c r="BD482">
        <f>'mk 001 10.3'!BD483</f>
        <v>0</v>
      </c>
      <c r="BE482">
        <f>'mk 001 10.3'!BE483</f>
        <v>0</v>
      </c>
      <c r="BF482">
        <f>'mk 001 10.3'!BF483</f>
        <v>0</v>
      </c>
      <c r="BG482">
        <f>'mk 001 10.3'!BG483</f>
        <v>0</v>
      </c>
      <c r="BH482">
        <f>'mk 001 10.3'!BH483</f>
        <v>0</v>
      </c>
      <c r="BI482">
        <f>'mk 001 10.3'!BI483</f>
        <v>0</v>
      </c>
      <c r="BJ482">
        <f>'mk 001 10.3'!BJ483</f>
        <v>0</v>
      </c>
      <c r="BK482">
        <f>'mk 001 10.3'!BK483</f>
        <v>0</v>
      </c>
      <c r="BL482">
        <f>'mk 001 10.3'!BL483</f>
        <v>0</v>
      </c>
      <c r="BM482">
        <f>'mk 001 10.3'!BM483</f>
        <v>0</v>
      </c>
      <c r="BN482">
        <f>'mk 001 10.3'!BN483</f>
        <v>0</v>
      </c>
    </row>
    <row r="483" spans="1:66" x14ac:dyDescent="0.35">
      <c r="A483">
        <f>'mk 001 10.3'!A484</f>
        <v>0</v>
      </c>
      <c r="B483">
        <f>'mk 001 10.3'!B484</f>
        <v>0</v>
      </c>
      <c r="C483" s="1">
        <f>'mk 001 10.3'!C484</f>
        <v>0</v>
      </c>
      <c r="D483" s="1">
        <f>'mk 001 10.3'!D484</f>
        <v>0</v>
      </c>
      <c r="E483">
        <f>'mk 001 10.3'!E484</f>
        <v>0</v>
      </c>
      <c r="F483">
        <f>'mk 001 10.3'!F484</f>
        <v>0</v>
      </c>
      <c r="G483">
        <f>'mk 001 10.3'!G484</f>
        <v>0</v>
      </c>
      <c r="H483">
        <f>'mk 001 10.3'!H484</f>
        <v>0</v>
      </c>
      <c r="I483">
        <f>'mk 001 10.3'!I484</f>
        <v>0</v>
      </c>
      <c r="J483">
        <f>'mk 001 10.3'!J484</f>
        <v>0</v>
      </c>
      <c r="K483">
        <f>'mk 001 10.3'!K484</f>
        <v>0</v>
      </c>
      <c r="L483">
        <f>'mk 001 10.3'!L484</f>
        <v>0</v>
      </c>
      <c r="M483">
        <f>'mk 001 10.3'!M484</f>
        <v>0</v>
      </c>
      <c r="N483">
        <f>'mk 001 10.3'!N484</f>
        <v>0</v>
      </c>
      <c r="O483">
        <f>'mk 001 10.3'!O484</f>
        <v>0</v>
      </c>
      <c r="P483">
        <f>'mk 001 10.3'!P484</f>
        <v>0</v>
      </c>
      <c r="Q483">
        <f>'mk 001 10.3'!Q484</f>
        <v>0</v>
      </c>
      <c r="R483" s="1">
        <f>'mk 001 10.3'!R484</f>
        <v>0</v>
      </c>
      <c r="S483" s="1">
        <f>'mk 001 10.3'!S484</f>
        <v>0</v>
      </c>
      <c r="T483">
        <f>'mk 001 10.3'!T484</f>
        <v>0</v>
      </c>
      <c r="U483">
        <f>'mk 001 10.3'!U484</f>
        <v>0</v>
      </c>
      <c r="V483">
        <f>'mk 001 10.3'!V484</f>
        <v>0</v>
      </c>
      <c r="W483">
        <f>'mk 001 10.3'!W484</f>
        <v>0</v>
      </c>
      <c r="X483">
        <f>'mk 001 10.3'!X484</f>
        <v>0</v>
      </c>
      <c r="Y483">
        <f t="shared" si="8"/>
        <v>0</v>
      </c>
      <c r="Z483" s="13">
        <f>IF(COUNTIFS(แปลงข้อมูล!H:H,Q483,แปลงข้อมูล!I:I,U483,แปลงข้อมูล!J:J,V483)&gt;0,SUMIFS(แปลงข้อมูล!Q:Q,แปลงข้อมูล!I:I,U483,แปลงข้อมูล!H:H,Q483,แปลงข้อมูล!J:J,V483),'mk 001 10.3'!Z484)</f>
        <v>0</v>
      </c>
      <c r="AA483">
        <f>'mk 001 10.3'!AA484</f>
        <v>0</v>
      </c>
      <c r="AB483">
        <f>'mk 001 10.3'!AB484</f>
        <v>0</v>
      </c>
      <c r="AC483">
        <f>'mk 001 10.3'!AC484</f>
        <v>0</v>
      </c>
      <c r="AD483">
        <f>'mk 001 10.3'!AD484</f>
        <v>0</v>
      </c>
      <c r="AE483">
        <f>'mk 001 10.3'!AE484</f>
        <v>0</v>
      </c>
      <c r="AF483">
        <f>'mk 001 10.3'!AF484</f>
        <v>0</v>
      </c>
      <c r="AG483">
        <f>'mk 001 10.3'!AG484</f>
        <v>0</v>
      </c>
      <c r="AH483">
        <f>'mk 001 10.3'!AH484</f>
        <v>0</v>
      </c>
      <c r="AI483">
        <f>'mk 001 10.3'!AI484</f>
        <v>0</v>
      </c>
      <c r="AJ483">
        <f>'mk 001 10.3'!AJ484</f>
        <v>0</v>
      </c>
      <c r="AK483">
        <f>'mk 001 10.3'!AK484</f>
        <v>0</v>
      </c>
      <c r="AL483">
        <f>'mk 001 10.3'!AL484</f>
        <v>0</v>
      </c>
      <c r="AM483">
        <f>'mk 001 10.3'!AM484</f>
        <v>0</v>
      </c>
      <c r="AN483">
        <f>'mk 001 10.3'!AN484</f>
        <v>0</v>
      </c>
      <c r="AO483">
        <f>'mk 001 10.3'!AO484</f>
        <v>0</v>
      </c>
      <c r="AP483">
        <f>'mk 001 10.3'!AP484</f>
        <v>0</v>
      </c>
      <c r="AQ483">
        <f>'mk 001 10.3'!AQ484</f>
        <v>0</v>
      </c>
      <c r="AR483">
        <f>'mk 001 10.3'!AR484</f>
        <v>0</v>
      </c>
      <c r="AS483">
        <f>'mk 001 10.3'!AS484</f>
        <v>0</v>
      </c>
      <c r="AT483">
        <f>'mk 001 10.3'!AT484</f>
        <v>0</v>
      </c>
      <c r="AU483">
        <f>'mk 001 10.3'!AU484</f>
        <v>0</v>
      </c>
      <c r="AV483">
        <f>'mk 001 10.3'!AV484</f>
        <v>0</v>
      </c>
      <c r="AW483">
        <f>'mk 001 10.3'!AW484</f>
        <v>0</v>
      </c>
      <c r="AX483">
        <f>'mk 001 10.3'!AX484</f>
        <v>0</v>
      </c>
      <c r="AY483">
        <f>'mk 001 10.3'!AY484</f>
        <v>0</v>
      </c>
      <c r="AZ483">
        <f>'mk 001 10.3'!AZ484</f>
        <v>0</v>
      </c>
      <c r="BA483" s="22">
        <f>'mk 001 10.3'!BA484</f>
        <v>0</v>
      </c>
      <c r="BB483">
        <f>'mk 001 10.3'!BB484</f>
        <v>0</v>
      </c>
      <c r="BC483">
        <f>'mk 001 10.3'!BC484</f>
        <v>0</v>
      </c>
      <c r="BD483">
        <f>'mk 001 10.3'!BD484</f>
        <v>0</v>
      </c>
      <c r="BE483">
        <f>'mk 001 10.3'!BE484</f>
        <v>0</v>
      </c>
      <c r="BF483">
        <f>'mk 001 10.3'!BF484</f>
        <v>0</v>
      </c>
      <c r="BG483">
        <f>'mk 001 10.3'!BG484</f>
        <v>0</v>
      </c>
      <c r="BH483">
        <f>'mk 001 10.3'!BH484</f>
        <v>0</v>
      </c>
      <c r="BI483">
        <f>'mk 001 10.3'!BI484</f>
        <v>0</v>
      </c>
      <c r="BJ483">
        <f>'mk 001 10.3'!BJ484</f>
        <v>0</v>
      </c>
      <c r="BK483">
        <f>'mk 001 10.3'!BK484</f>
        <v>0</v>
      </c>
      <c r="BL483">
        <f>'mk 001 10.3'!BL484</f>
        <v>0</v>
      </c>
      <c r="BM483">
        <f>'mk 001 10.3'!BM484</f>
        <v>0</v>
      </c>
      <c r="BN483">
        <f>'mk 001 10.3'!BN484</f>
        <v>0</v>
      </c>
    </row>
    <row r="484" spans="1:66" x14ac:dyDescent="0.35">
      <c r="A484">
        <f>'mk 001 10.3'!A485</f>
        <v>0</v>
      </c>
      <c r="B484">
        <f>'mk 001 10.3'!B485</f>
        <v>0</v>
      </c>
      <c r="C484" s="1">
        <f>'mk 001 10.3'!C485</f>
        <v>0</v>
      </c>
      <c r="D484" s="1">
        <f>'mk 001 10.3'!D485</f>
        <v>0</v>
      </c>
      <c r="E484">
        <f>'mk 001 10.3'!E485</f>
        <v>0</v>
      </c>
      <c r="F484">
        <f>'mk 001 10.3'!F485</f>
        <v>0</v>
      </c>
      <c r="G484">
        <f>'mk 001 10.3'!G485</f>
        <v>0</v>
      </c>
      <c r="H484">
        <f>'mk 001 10.3'!H485</f>
        <v>0</v>
      </c>
      <c r="I484">
        <f>'mk 001 10.3'!I485</f>
        <v>0</v>
      </c>
      <c r="J484">
        <f>'mk 001 10.3'!J485</f>
        <v>0</v>
      </c>
      <c r="K484">
        <f>'mk 001 10.3'!K485</f>
        <v>0</v>
      </c>
      <c r="L484">
        <f>'mk 001 10.3'!L485</f>
        <v>0</v>
      </c>
      <c r="M484">
        <f>'mk 001 10.3'!M485</f>
        <v>0</v>
      </c>
      <c r="N484">
        <f>'mk 001 10.3'!N485</f>
        <v>0</v>
      </c>
      <c r="O484">
        <f>'mk 001 10.3'!O485</f>
        <v>0</v>
      </c>
      <c r="P484">
        <f>'mk 001 10.3'!P485</f>
        <v>0</v>
      </c>
      <c r="Q484">
        <f>'mk 001 10.3'!Q485</f>
        <v>0</v>
      </c>
      <c r="R484" s="1">
        <f>'mk 001 10.3'!R485</f>
        <v>0</v>
      </c>
      <c r="S484" s="1">
        <f>'mk 001 10.3'!S485</f>
        <v>0</v>
      </c>
      <c r="T484">
        <f>'mk 001 10.3'!T485</f>
        <v>0</v>
      </c>
      <c r="U484">
        <f>'mk 001 10.3'!U485</f>
        <v>0</v>
      </c>
      <c r="V484">
        <f>'mk 001 10.3'!V485</f>
        <v>0</v>
      </c>
      <c r="W484">
        <f>'mk 001 10.3'!W485</f>
        <v>0</v>
      </c>
      <c r="X484">
        <f>'mk 001 10.3'!X485</f>
        <v>0</v>
      </c>
      <c r="Y484">
        <f t="shared" si="8"/>
        <v>0</v>
      </c>
      <c r="Z484" s="13">
        <f>IF(COUNTIFS(แปลงข้อมูล!H:H,Q484,แปลงข้อมูล!I:I,U484,แปลงข้อมูล!J:J,V484)&gt;0,SUMIFS(แปลงข้อมูล!Q:Q,แปลงข้อมูล!I:I,U484,แปลงข้อมูล!H:H,Q484,แปลงข้อมูล!J:J,V484),'mk 001 10.3'!Z485)</f>
        <v>0</v>
      </c>
      <c r="AA484">
        <f>'mk 001 10.3'!AA485</f>
        <v>0</v>
      </c>
      <c r="AB484">
        <f>'mk 001 10.3'!AB485</f>
        <v>0</v>
      </c>
      <c r="AC484">
        <f>'mk 001 10.3'!AC485</f>
        <v>0</v>
      </c>
      <c r="AD484">
        <f>'mk 001 10.3'!AD485</f>
        <v>0</v>
      </c>
      <c r="AE484">
        <f>'mk 001 10.3'!AE485</f>
        <v>0</v>
      </c>
      <c r="AF484">
        <f>'mk 001 10.3'!AF485</f>
        <v>0</v>
      </c>
      <c r="AG484">
        <f>'mk 001 10.3'!AG485</f>
        <v>0</v>
      </c>
      <c r="AH484">
        <f>'mk 001 10.3'!AH485</f>
        <v>0</v>
      </c>
      <c r="AI484">
        <f>'mk 001 10.3'!AI485</f>
        <v>0</v>
      </c>
      <c r="AJ484">
        <f>'mk 001 10.3'!AJ485</f>
        <v>0</v>
      </c>
      <c r="AK484">
        <f>'mk 001 10.3'!AK485</f>
        <v>0</v>
      </c>
      <c r="AL484">
        <f>'mk 001 10.3'!AL485</f>
        <v>0</v>
      </c>
      <c r="AM484">
        <f>'mk 001 10.3'!AM485</f>
        <v>0</v>
      </c>
      <c r="AN484">
        <f>'mk 001 10.3'!AN485</f>
        <v>0</v>
      </c>
      <c r="AO484">
        <f>'mk 001 10.3'!AO485</f>
        <v>0</v>
      </c>
      <c r="AP484">
        <f>'mk 001 10.3'!AP485</f>
        <v>0</v>
      </c>
      <c r="AQ484">
        <f>'mk 001 10.3'!AQ485</f>
        <v>0</v>
      </c>
      <c r="AR484">
        <f>'mk 001 10.3'!AR485</f>
        <v>0</v>
      </c>
      <c r="AS484">
        <f>'mk 001 10.3'!AS485</f>
        <v>0</v>
      </c>
      <c r="AT484">
        <f>'mk 001 10.3'!AT485</f>
        <v>0</v>
      </c>
      <c r="AU484">
        <f>'mk 001 10.3'!AU485</f>
        <v>0</v>
      </c>
      <c r="AV484">
        <f>'mk 001 10.3'!AV485</f>
        <v>0</v>
      </c>
      <c r="AW484">
        <f>'mk 001 10.3'!AW485</f>
        <v>0</v>
      </c>
      <c r="AX484">
        <f>'mk 001 10.3'!AX485</f>
        <v>0</v>
      </c>
      <c r="AY484">
        <f>'mk 001 10.3'!AY485</f>
        <v>0</v>
      </c>
      <c r="AZ484">
        <f>'mk 001 10.3'!AZ485</f>
        <v>0</v>
      </c>
      <c r="BA484" s="22">
        <f>'mk 001 10.3'!BA485</f>
        <v>0</v>
      </c>
      <c r="BB484">
        <f>'mk 001 10.3'!BB485</f>
        <v>0</v>
      </c>
      <c r="BC484">
        <f>'mk 001 10.3'!BC485</f>
        <v>0</v>
      </c>
      <c r="BD484">
        <f>'mk 001 10.3'!BD485</f>
        <v>0</v>
      </c>
      <c r="BE484">
        <f>'mk 001 10.3'!BE485</f>
        <v>0</v>
      </c>
      <c r="BF484">
        <f>'mk 001 10.3'!BF485</f>
        <v>0</v>
      </c>
      <c r="BG484">
        <f>'mk 001 10.3'!BG485</f>
        <v>0</v>
      </c>
      <c r="BH484">
        <f>'mk 001 10.3'!BH485</f>
        <v>0</v>
      </c>
      <c r="BI484">
        <f>'mk 001 10.3'!BI485</f>
        <v>0</v>
      </c>
      <c r="BJ484">
        <f>'mk 001 10.3'!BJ485</f>
        <v>0</v>
      </c>
      <c r="BK484">
        <f>'mk 001 10.3'!BK485</f>
        <v>0</v>
      </c>
      <c r="BL484">
        <f>'mk 001 10.3'!BL485</f>
        <v>0</v>
      </c>
      <c r="BM484">
        <f>'mk 001 10.3'!BM485</f>
        <v>0</v>
      </c>
      <c r="BN484">
        <f>'mk 001 10.3'!BN485</f>
        <v>0</v>
      </c>
    </row>
    <row r="485" spans="1:66" x14ac:dyDescent="0.35">
      <c r="A485">
        <f>'mk 001 10.3'!A486</f>
        <v>0</v>
      </c>
      <c r="B485">
        <f>'mk 001 10.3'!B486</f>
        <v>0</v>
      </c>
      <c r="C485" s="1">
        <f>'mk 001 10.3'!C486</f>
        <v>0</v>
      </c>
      <c r="D485" s="1">
        <f>'mk 001 10.3'!D486</f>
        <v>0</v>
      </c>
      <c r="E485">
        <f>'mk 001 10.3'!E486</f>
        <v>0</v>
      </c>
      <c r="F485">
        <f>'mk 001 10.3'!F486</f>
        <v>0</v>
      </c>
      <c r="G485">
        <f>'mk 001 10.3'!G486</f>
        <v>0</v>
      </c>
      <c r="H485">
        <f>'mk 001 10.3'!H486</f>
        <v>0</v>
      </c>
      <c r="I485">
        <f>'mk 001 10.3'!I486</f>
        <v>0</v>
      </c>
      <c r="J485">
        <f>'mk 001 10.3'!J486</f>
        <v>0</v>
      </c>
      <c r="K485">
        <f>'mk 001 10.3'!K486</f>
        <v>0</v>
      </c>
      <c r="L485">
        <f>'mk 001 10.3'!L486</f>
        <v>0</v>
      </c>
      <c r="M485">
        <f>'mk 001 10.3'!M486</f>
        <v>0</v>
      </c>
      <c r="N485">
        <f>'mk 001 10.3'!N486</f>
        <v>0</v>
      </c>
      <c r="O485">
        <f>'mk 001 10.3'!O486</f>
        <v>0</v>
      </c>
      <c r="P485">
        <f>'mk 001 10.3'!P486</f>
        <v>0</v>
      </c>
      <c r="Q485">
        <f>'mk 001 10.3'!Q486</f>
        <v>0</v>
      </c>
      <c r="R485" s="1">
        <f>'mk 001 10.3'!R486</f>
        <v>0</v>
      </c>
      <c r="S485" s="1">
        <f>'mk 001 10.3'!S486</f>
        <v>0</v>
      </c>
      <c r="T485">
        <f>'mk 001 10.3'!T486</f>
        <v>0</v>
      </c>
      <c r="U485">
        <f>'mk 001 10.3'!U486</f>
        <v>0</v>
      </c>
      <c r="V485">
        <f>'mk 001 10.3'!V486</f>
        <v>0</v>
      </c>
      <c r="W485">
        <f>'mk 001 10.3'!W486</f>
        <v>0</v>
      </c>
      <c r="X485">
        <f>'mk 001 10.3'!X486</f>
        <v>0</v>
      </c>
      <c r="Y485">
        <f t="shared" si="8"/>
        <v>0</v>
      </c>
      <c r="Z485" s="13">
        <f>IF(COUNTIFS(แปลงข้อมูล!H:H,Q485,แปลงข้อมูล!I:I,U485,แปลงข้อมูล!J:J,V485)&gt;0,SUMIFS(แปลงข้อมูล!Q:Q,แปลงข้อมูล!I:I,U485,แปลงข้อมูล!H:H,Q485,แปลงข้อมูล!J:J,V485),'mk 001 10.3'!Z486)</f>
        <v>0</v>
      </c>
      <c r="AA485">
        <f>'mk 001 10.3'!AA486</f>
        <v>0</v>
      </c>
      <c r="AB485">
        <f>'mk 001 10.3'!AB486</f>
        <v>0</v>
      </c>
      <c r="AC485">
        <f>'mk 001 10.3'!AC486</f>
        <v>0</v>
      </c>
      <c r="AD485">
        <f>'mk 001 10.3'!AD486</f>
        <v>0</v>
      </c>
      <c r="AE485">
        <f>'mk 001 10.3'!AE486</f>
        <v>0</v>
      </c>
      <c r="AF485">
        <f>'mk 001 10.3'!AF486</f>
        <v>0</v>
      </c>
      <c r="AG485">
        <f>'mk 001 10.3'!AG486</f>
        <v>0</v>
      </c>
      <c r="AH485">
        <f>'mk 001 10.3'!AH486</f>
        <v>0</v>
      </c>
      <c r="AI485">
        <f>'mk 001 10.3'!AI486</f>
        <v>0</v>
      </c>
      <c r="AJ485">
        <f>'mk 001 10.3'!AJ486</f>
        <v>0</v>
      </c>
      <c r="AK485">
        <f>'mk 001 10.3'!AK486</f>
        <v>0</v>
      </c>
      <c r="AL485">
        <f>'mk 001 10.3'!AL486</f>
        <v>0</v>
      </c>
      <c r="AM485">
        <f>'mk 001 10.3'!AM486</f>
        <v>0</v>
      </c>
      <c r="AN485">
        <f>'mk 001 10.3'!AN486</f>
        <v>0</v>
      </c>
      <c r="AO485">
        <f>'mk 001 10.3'!AO486</f>
        <v>0</v>
      </c>
      <c r="AP485">
        <f>'mk 001 10.3'!AP486</f>
        <v>0</v>
      </c>
      <c r="AQ485">
        <f>'mk 001 10.3'!AQ486</f>
        <v>0</v>
      </c>
      <c r="AR485">
        <f>'mk 001 10.3'!AR486</f>
        <v>0</v>
      </c>
      <c r="AS485">
        <f>'mk 001 10.3'!AS486</f>
        <v>0</v>
      </c>
      <c r="AT485">
        <f>'mk 001 10.3'!AT486</f>
        <v>0</v>
      </c>
      <c r="AU485">
        <f>'mk 001 10.3'!AU486</f>
        <v>0</v>
      </c>
      <c r="AV485">
        <f>'mk 001 10.3'!AV486</f>
        <v>0</v>
      </c>
      <c r="AW485">
        <f>'mk 001 10.3'!AW486</f>
        <v>0</v>
      </c>
      <c r="AX485">
        <f>'mk 001 10.3'!AX486</f>
        <v>0</v>
      </c>
      <c r="AY485">
        <f>'mk 001 10.3'!AY486</f>
        <v>0</v>
      </c>
      <c r="AZ485">
        <f>'mk 001 10.3'!AZ486</f>
        <v>0</v>
      </c>
      <c r="BA485" s="22">
        <f>'mk 001 10.3'!BA486</f>
        <v>0</v>
      </c>
      <c r="BB485">
        <f>'mk 001 10.3'!BB486</f>
        <v>0</v>
      </c>
      <c r="BC485">
        <f>'mk 001 10.3'!BC486</f>
        <v>0</v>
      </c>
      <c r="BD485">
        <f>'mk 001 10.3'!BD486</f>
        <v>0</v>
      </c>
      <c r="BE485">
        <f>'mk 001 10.3'!BE486</f>
        <v>0</v>
      </c>
      <c r="BF485">
        <f>'mk 001 10.3'!BF486</f>
        <v>0</v>
      </c>
      <c r="BG485">
        <f>'mk 001 10.3'!BG486</f>
        <v>0</v>
      </c>
      <c r="BH485">
        <f>'mk 001 10.3'!BH486</f>
        <v>0</v>
      </c>
      <c r="BI485">
        <f>'mk 001 10.3'!BI486</f>
        <v>0</v>
      </c>
      <c r="BJ485">
        <f>'mk 001 10.3'!BJ486</f>
        <v>0</v>
      </c>
      <c r="BK485">
        <f>'mk 001 10.3'!BK486</f>
        <v>0</v>
      </c>
      <c r="BL485">
        <f>'mk 001 10.3'!BL486</f>
        <v>0</v>
      </c>
      <c r="BM485">
        <f>'mk 001 10.3'!BM486</f>
        <v>0</v>
      </c>
      <c r="BN485">
        <f>'mk 001 10.3'!BN486</f>
        <v>0</v>
      </c>
    </row>
    <row r="486" spans="1:66" x14ac:dyDescent="0.35">
      <c r="A486">
        <f>'mk 001 10.3'!A487</f>
        <v>0</v>
      </c>
      <c r="B486">
        <f>'mk 001 10.3'!B487</f>
        <v>0</v>
      </c>
      <c r="C486" s="1">
        <f>'mk 001 10.3'!C487</f>
        <v>0</v>
      </c>
      <c r="D486" s="1">
        <f>'mk 001 10.3'!D487</f>
        <v>0</v>
      </c>
      <c r="E486">
        <f>'mk 001 10.3'!E487</f>
        <v>0</v>
      </c>
      <c r="F486">
        <f>'mk 001 10.3'!F487</f>
        <v>0</v>
      </c>
      <c r="G486">
        <f>'mk 001 10.3'!G487</f>
        <v>0</v>
      </c>
      <c r="H486">
        <f>'mk 001 10.3'!H487</f>
        <v>0</v>
      </c>
      <c r="I486">
        <f>'mk 001 10.3'!I487</f>
        <v>0</v>
      </c>
      <c r="J486">
        <f>'mk 001 10.3'!J487</f>
        <v>0</v>
      </c>
      <c r="K486">
        <f>'mk 001 10.3'!K487</f>
        <v>0</v>
      </c>
      <c r="L486">
        <f>'mk 001 10.3'!L487</f>
        <v>0</v>
      </c>
      <c r="M486">
        <f>'mk 001 10.3'!M487</f>
        <v>0</v>
      </c>
      <c r="N486">
        <f>'mk 001 10.3'!N487</f>
        <v>0</v>
      </c>
      <c r="O486">
        <f>'mk 001 10.3'!O487</f>
        <v>0</v>
      </c>
      <c r="P486">
        <f>'mk 001 10.3'!P487</f>
        <v>0</v>
      </c>
      <c r="Q486">
        <f>'mk 001 10.3'!Q487</f>
        <v>0</v>
      </c>
      <c r="R486" s="1">
        <f>'mk 001 10.3'!R487</f>
        <v>0</v>
      </c>
      <c r="S486" s="1">
        <f>'mk 001 10.3'!S487</f>
        <v>0</v>
      </c>
      <c r="T486">
        <f>'mk 001 10.3'!T487</f>
        <v>0</v>
      </c>
      <c r="U486">
        <f>'mk 001 10.3'!U487</f>
        <v>0</v>
      </c>
      <c r="V486">
        <f>'mk 001 10.3'!V487</f>
        <v>0</v>
      </c>
      <c r="W486">
        <f>'mk 001 10.3'!W487</f>
        <v>0</v>
      </c>
      <c r="X486">
        <f>'mk 001 10.3'!X487</f>
        <v>0</v>
      </c>
      <c r="Y486">
        <f t="shared" si="8"/>
        <v>0</v>
      </c>
      <c r="Z486" s="13">
        <f>IF(COUNTIFS(แปลงข้อมูล!H:H,Q486,แปลงข้อมูล!I:I,U486,แปลงข้อมูล!J:J,V486)&gt;0,SUMIFS(แปลงข้อมูล!Q:Q,แปลงข้อมูล!I:I,U486,แปลงข้อมูล!H:H,Q486,แปลงข้อมูล!J:J,V486),'mk 001 10.3'!Z487)</f>
        <v>0</v>
      </c>
      <c r="AA486">
        <f>'mk 001 10.3'!AA487</f>
        <v>0</v>
      </c>
      <c r="AB486">
        <f>'mk 001 10.3'!AB487</f>
        <v>0</v>
      </c>
      <c r="AC486">
        <f>'mk 001 10.3'!AC487</f>
        <v>0</v>
      </c>
      <c r="AD486">
        <f>'mk 001 10.3'!AD487</f>
        <v>0</v>
      </c>
      <c r="AE486">
        <f>'mk 001 10.3'!AE487</f>
        <v>0</v>
      </c>
      <c r="AF486">
        <f>'mk 001 10.3'!AF487</f>
        <v>0</v>
      </c>
      <c r="AG486">
        <f>'mk 001 10.3'!AG487</f>
        <v>0</v>
      </c>
      <c r="AH486">
        <f>'mk 001 10.3'!AH487</f>
        <v>0</v>
      </c>
      <c r="AI486">
        <f>'mk 001 10.3'!AI487</f>
        <v>0</v>
      </c>
      <c r="AJ486">
        <f>'mk 001 10.3'!AJ487</f>
        <v>0</v>
      </c>
      <c r="AK486">
        <f>'mk 001 10.3'!AK487</f>
        <v>0</v>
      </c>
      <c r="AL486">
        <f>'mk 001 10.3'!AL487</f>
        <v>0</v>
      </c>
      <c r="AM486">
        <f>'mk 001 10.3'!AM487</f>
        <v>0</v>
      </c>
      <c r="AN486">
        <f>'mk 001 10.3'!AN487</f>
        <v>0</v>
      </c>
      <c r="AO486">
        <f>'mk 001 10.3'!AO487</f>
        <v>0</v>
      </c>
      <c r="AP486">
        <f>'mk 001 10.3'!AP487</f>
        <v>0</v>
      </c>
      <c r="AQ486">
        <f>'mk 001 10.3'!AQ487</f>
        <v>0</v>
      </c>
      <c r="AR486">
        <f>'mk 001 10.3'!AR487</f>
        <v>0</v>
      </c>
      <c r="AS486">
        <f>'mk 001 10.3'!AS487</f>
        <v>0</v>
      </c>
      <c r="AT486">
        <f>'mk 001 10.3'!AT487</f>
        <v>0</v>
      </c>
      <c r="AU486">
        <f>'mk 001 10.3'!AU487</f>
        <v>0</v>
      </c>
      <c r="AV486">
        <f>'mk 001 10.3'!AV487</f>
        <v>0</v>
      </c>
      <c r="AW486">
        <f>'mk 001 10.3'!AW487</f>
        <v>0</v>
      </c>
      <c r="AX486">
        <f>'mk 001 10.3'!AX487</f>
        <v>0</v>
      </c>
      <c r="AY486">
        <f>'mk 001 10.3'!AY487</f>
        <v>0</v>
      </c>
      <c r="AZ486">
        <f>'mk 001 10.3'!AZ487</f>
        <v>0</v>
      </c>
      <c r="BA486" s="22">
        <f>'mk 001 10.3'!BA487</f>
        <v>0</v>
      </c>
      <c r="BB486">
        <f>'mk 001 10.3'!BB487</f>
        <v>0</v>
      </c>
      <c r="BC486">
        <f>'mk 001 10.3'!BC487</f>
        <v>0</v>
      </c>
      <c r="BD486">
        <f>'mk 001 10.3'!BD487</f>
        <v>0</v>
      </c>
      <c r="BE486">
        <f>'mk 001 10.3'!BE487</f>
        <v>0</v>
      </c>
      <c r="BF486">
        <f>'mk 001 10.3'!BF487</f>
        <v>0</v>
      </c>
      <c r="BG486">
        <f>'mk 001 10.3'!BG487</f>
        <v>0</v>
      </c>
      <c r="BH486">
        <f>'mk 001 10.3'!BH487</f>
        <v>0</v>
      </c>
      <c r="BI486">
        <f>'mk 001 10.3'!BI487</f>
        <v>0</v>
      </c>
      <c r="BJ486">
        <f>'mk 001 10.3'!BJ487</f>
        <v>0</v>
      </c>
      <c r="BK486">
        <f>'mk 001 10.3'!BK487</f>
        <v>0</v>
      </c>
      <c r="BL486">
        <f>'mk 001 10.3'!BL487</f>
        <v>0</v>
      </c>
      <c r="BM486">
        <f>'mk 001 10.3'!BM487</f>
        <v>0</v>
      </c>
      <c r="BN486">
        <f>'mk 001 10.3'!BN487</f>
        <v>0</v>
      </c>
    </row>
    <row r="487" spans="1:66" x14ac:dyDescent="0.35">
      <c r="A487">
        <f>'mk 001 10.3'!A488</f>
        <v>0</v>
      </c>
      <c r="B487">
        <f>'mk 001 10.3'!B488</f>
        <v>0</v>
      </c>
      <c r="C487" s="1">
        <f>'mk 001 10.3'!C488</f>
        <v>0</v>
      </c>
      <c r="D487" s="1">
        <f>'mk 001 10.3'!D488</f>
        <v>0</v>
      </c>
      <c r="E487">
        <f>'mk 001 10.3'!E488</f>
        <v>0</v>
      </c>
      <c r="F487">
        <f>'mk 001 10.3'!F488</f>
        <v>0</v>
      </c>
      <c r="G487">
        <f>'mk 001 10.3'!G488</f>
        <v>0</v>
      </c>
      <c r="H487">
        <f>'mk 001 10.3'!H488</f>
        <v>0</v>
      </c>
      <c r="I487">
        <f>'mk 001 10.3'!I488</f>
        <v>0</v>
      </c>
      <c r="J487">
        <f>'mk 001 10.3'!J488</f>
        <v>0</v>
      </c>
      <c r="K487">
        <f>'mk 001 10.3'!K488</f>
        <v>0</v>
      </c>
      <c r="L487">
        <f>'mk 001 10.3'!L488</f>
        <v>0</v>
      </c>
      <c r="M487">
        <f>'mk 001 10.3'!M488</f>
        <v>0</v>
      </c>
      <c r="N487">
        <f>'mk 001 10.3'!N488</f>
        <v>0</v>
      </c>
      <c r="O487">
        <f>'mk 001 10.3'!O488</f>
        <v>0</v>
      </c>
      <c r="P487">
        <f>'mk 001 10.3'!P488</f>
        <v>0</v>
      </c>
      <c r="Q487">
        <f>'mk 001 10.3'!Q488</f>
        <v>0</v>
      </c>
      <c r="R487" s="1">
        <f>'mk 001 10.3'!R488</f>
        <v>0</v>
      </c>
      <c r="S487" s="1">
        <f>'mk 001 10.3'!S488</f>
        <v>0</v>
      </c>
      <c r="T487">
        <f>'mk 001 10.3'!T488</f>
        <v>0</v>
      </c>
      <c r="U487">
        <f>'mk 001 10.3'!U488</f>
        <v>0</v>
      </c>
      <c r="V487">
        <f>'mk 001 10.3'!V488</f>
        <v>0</v>
      </c>
      <c r="W487">
        <f>'mk 001 10.3'!W488</f>
        <v>0</v>
      </c>
      <c r="X487">
        <f>'mk 001 10.3'!X488</f>
        <v>0</v>
      </c>
      <c r="Y487">
        <f t="shared" si="8"/>
        <v>0</v>
      </c>
      <c r="Z487" s="13">
        <f>IF(COUNTIFS(แปลงข้อมูล!H:H,Q487,แปลงข้อมูล!I:I,U487,แปลงข้อมูล!J:J,V487)&gt;0,SUMIFS(แปลงข้อมูล!Q:Q,แปลงข้อมูล!I:I,U487,แปลงข้อมูล!H:H,Q487,แปลงข้อมูล!J:J,V487),'mk 001 10.3'!Z488)</f>
        <v>0</v>
      </c>
      <c r="AA487">
        <f>'mk 001 10.3'!AA488</f>
        <v>0</v>
      </c>
      <c r="AB487">
        <f>'mk 001 10.3'!AB488</f>
        <v>0</v>
      </c>
      <c r="AC487">
        <f>'mk 001 10.3'!AC488</f>
        <v>0</v>
      </c>
      <c r="AD487">
        <f>'mk 001 10.3'!AD488</f>
        <v>0</v>
      </c>
      <c r="AE487">
        <f>'mk 001 10.3'!AE488</f>
        <v>0</v>
      </c>
      <c r="AF487">
        <f>'mk 001 10.3'!AF488</f>
        <v>0</v>
      </c>
      <c r="AG487">
        <f>'mk 001 10.3'!AG488</f>
        <v>0</v>
      </c>
      <c r="AH487">
        <f>'mk 001 10.3'!AH488</f>
        <v>0</v>
      </c>
      <c r="AI487">
        <f>'mk 001 10.3'!AI488</f>
        <v>0</v>
      </c>
      <c r="AJ487">
        <f>'mk 001 10.3'!AJ488</f>
        <v>0</v>
      </c>
      <c r="AK487">
        <f>'mk 001 10.3'!AK488</f>
        <v>0</v>
      </c>
      <c r="AL487">
        <f>'mk 001 10.3'!AL488</f>
        <v>0</v>
      </c>
      <c r="AM487">
        <f>'mk 001 10.3'!AM488</f>
        <v>0</v>
      </c>
      <c r="AN487">
        <f>'mk 001 10.3'!AN488</f>
        <v>0</v>
      </c>
      <c r="AO487">
        <f>'mk 001 10.3'!AO488</f>
        <v>0</v>
      </c>
      <c r="AP487">
        <f>'mk 001 10.3'!AP488</f>
        <v>0</v>
      </c>
      <c r="AQ487">
        <f>'mk 001 10.3'!AQ488</f>
        <v>0</v>
      </c>
      <c r="AR487">
        <f>'mk 001 10.3'!AR488</f>
        <v>0</v>
      </c>
      <c r="AS487">
        <f>'mk 001 10.3'!AS488</f>
        <v>0</v>
      </c>
      <c r="AT487">
        <f>'mk 001 10.3'!AT488</f>
        <v>0</v>
      </c>
      <c r="AU487">
        <f>'mk 001 10.3'!AU488</f>
        <v>0</v>
      </c>
      <c r="AV487">
        <f>'mk 001 10.3'!AV488</f>
        <v>0</v>
      </c>
      <c r="AW487">
        <f>'mk 001 10.3'!AW488</f>
        <v>0</v>
      </c>
      <c r="AX487">
        <f>'mk 001 10.3'!AX488</f>
        <v>0</v>
      </c>
      <c r="AY487">
        <f>'mk 001 10.3'!AY488</f>
        <v>0</v>
      </c>
      <c r="AZ487">
        <f>'mk 001 10.3'!AZ488</f>
        <v>0</v>
      </c>
      <c r="BA487" s="22">
        <f>'mk 001 10.3'!BA488</f>
        <v>0</v>
      </c>
      <c r="BB487">
        <f>'mk 001 10.3'!BB488</f>
        <v>0</v>
      </c>
      <c r="BC487">
        <f>'mk 001 10.3'!BC488</f>
        <v>0</v>
      </c>
      <c r="BD487">
        <f>'mk 001 10.3'!BD488</f>
        <v>0</v>
      </c>
      <c r="BE487">
        <f>'mk 001 10.3'!BE488</f>
        <v>0</v>
      </c>
      <c r="BF487">
        <f>'mk 001 10.3'!BF488</f>
        <v>0</v>
      </c>
      <c r="BG487">
        <f>'mk 001 10.3'!BG488</f>
        <v>0</v>
      </c>
      <c r="BH487">
        <f>'mk 001 10.3'!BH488</f>
        <v>0</v>
      </c>
      <c r="BI487">
        <f>'mk 001 10.3'!BI488</f>
        <v>0</v>
      </c>
      <c r="BJ487">
        <f>'mk 001 10.3'!BJ488</f>
        <v>0</v>
      </c>
      <c r="BK487">
        <f>'mk 001 10.3'!BK488</f>
        <v>0</v>
      </c>
      <c r="BL487">
        <f>'mk 001 10.3'!BL488</f>
        <v>0</v>
      </c>
      <c r="BM487">
        <f>'mk 001 10.3'!BM488</f>
        <v>0</v>
      </c>
      <c r="BN487">
        <f>'mk 001 10.3'!BN488</f>
        <v>0</v>
      </c>
    </row>
    <row r="488" spans="1:66" x14ac:dyDescent="0.35">
      <c r="A488">
        <f>'mk 001 10.3'!A489</f>
        <v>0</v>
      </c>
      <c r="B488">
        <f>'mk 001 10.3'!B489</f>
        <v>0</v>
      </c>
      <c r="C488" s="1">
        <f>'mk 001 10.3'!C489</f>
        <v>0</v>
      </c>
      <c r="D488" s="1">
        <f>'mk 001 10.3'!D489</f>
        <v>0</v>
      </c>
      <c r="E488">
        <f>'mk 001 10.3'!E489</f>
        <v>0</v>
      </c>
      <c r="F488">
        <f>'mk 001 10.3'!F489</f>
        <v>0</v>
      </c>
      <c r="G488">
        <f>'mk 001 10.3'!G489</f>
        <v>0</v>
      </c>
      <c r="H488">
        <f>'mk 001 10.3'!H489</f>
        <v>0</v>
      </c>
      <c r="I488">
        <f>'mk 001 10.3'!I489</f>
        <v>0</v>
      </c>
      <c r="J488">
        <f>'mk 001 10.3'!J489</f>
        <v>0</v>
      </c>
      <c r="K488">
        <f>'mk 001 10.3'!K489</f>
        <v>0</v>
      </c>
      <c r="L488">
        <f>'mk 001 10.3'!L489</f>
        <v>0</v>
      </c>
      <c r="M488">
        <f>'mk 001 10.3'!M489</f>
        <v>0</v>
      </c>
      <c r="N488">
        <f>'mk 001 10.3'!N489</f>
        <v>0</v>
      </c>
      <c r="O488">
        <f>'mk 001 10.3'!O489</f>
        <v>0</v>
      </c>
      <c r="P488">
        <f>'mk 001 10.3'!P489</f>
        <v>0</v>
      </c>
      <c r="Q488">
        <f>'mk 001 10.3'!Q489</f>
        <v>0</v>
      </c>
      <c r="R488" s="1">
        <f>'mk 001 10.3'!R489</f>
        <v>0</v>
      </c>
      <c r="S488" s="1">
        <f>'mk 001 10.3'!S489</f>
        <v>0</v>
      </c>
      <c r="T488">
        <f>'mk 001 10.3'!T489</f>
        <v>0</v>
      </c>
      <c r="U488">
        <f>'mk 001 10.3'!U489</f>
        <v>0</v>
      </c>
      <c r="V488">
        <f>'mk 001 10.3'!V489</f>
        <v>0</v>
      </c>
      <c r="W488">
        <f>'mk 001 10.3'!W489</f>
        <v>0</v>
      </c>
      <c r="X488">
        <f>'mk 001 10.3'!X489</f>
        <v>0</v>
      </c>
      <c r="Y488">
        <f t="shared" si="8"/>
        <v>0</v>
      </c>
      <c r="Z488" s="13">
        <f>IF(COUNTIFS(แปลงข้อมูล!H:H,Q488,แปลงข้อมูล!I:I,U488,แปลงข้อมูล!J:J,V488)&gt;0,SUMIFS(แปลงข้อมูล!Q:Q,แปลงข้อมูล!I:I,U488,แปลงข้อมูล!H:H,Q488,แปลงข้อมูล!J:J,V488),'mk 001 10.3'!Z489)</f>
        <v>0</v>
      </c>
      <c r="AA488">
        <f>'mk 001 10.3'!AA489</f>
        <v>0</v>
      </c>
      <c r="AB488">
        <f>'mk 001 10.3'!AB489</f>
        <v>0</v>
      </c>
      <c r="AC488">
        <f>'mk 001 10.3'!AC489</f>
        <v>0</v>
      </c>
      <c r="AD488">
        <f>'mk 001 10.3'!AD489</f>
        <v>0</v>
      </c>
      <c r="AE488">
        <f>'mk 001 10.3'!AE489</f>
        <v>0</v>
      </c>
      <c r="AF488">
        <f>'mk 001 10.3'!AF489</f>
        <v>0</v>
      </c>
      <c r="AG488">
        <f>'mk 001 10.3'!AG489</f>
        <v>0</v>
      </c>
      <c r="AH488">
        <f>'mk 001 10.3'!AH489</f>
        <v>0</v>
      </c>
      <c r="AI488">
        <f>'mk 001 10.3'!AI489</f>
        <v>0</v>
      </c>
      <c r="AJ488">
        <f>'mk 001 10.3'!AJ489</f>
        <v>0</v>
      </c>
      <c r="AK488">
        <f>'mk 001 10.3'!AK489</f>
        <v>0</v>
      </c>
      <c r="AL488">
        <f>'mk 001 10.3'!AL489</f>
        <v>0</v>
      </c>
      <c r="AM488">
        <f>'mk 001 10.3'!AM489</f>
        <v>0</v>
      </c>
      <c r="AN488">
        <f>'mk 001 10.3'!AN489</f>
        <v>0</v>
      </c>
      <c r="AO488">
        <f>'mk 001 10.3'!AO489</f>
        <v>0</v>
      </c>
      <c r="AP488">
        <f>'mk 001 10.3'!AP489</f>
        <v>0</v>
      </c>
      <c r="AQ488">
        <f>'mk 001 10.3'!AQ489</f>
        <v>0</v>
      </c>
      <c r="AR488">
        <f>'mk 001 10.3'!AR489</f>
        <v>0</v>
      </c>
      <c r="AS488">
        <f>'mk 001 10.3'!AS489</f>
        <v>0</v>
      </c>
      <c r="AT488">
        <f>'mk 001 10.3'!AT489</f>
        <v>0</v>
      </c>
      <c r="AU488">
        <f>'mk 001 10.3'!AU489</f>
        <v>0</v>
      </c>
      <c r="AV488">
        <f>'mk 001 10.3'!AV489</f>
        <v>0</v>
      </c>
      <c r="AW488">
        <f>'mk 001 10.3'!AW489</f>
        <v>0</v>
      </c>
      <c r="AX488">
        <f>'mk 001 10.3'!AX489</f>
        <v>0</v>
      </c>
      <c r="AY488">
        <f>'mk 001 10.3'!AY489</f>
        <v>0</v>
      </c>
      <c r="AZ488">
        <f>'mk 001 10.3'!AZ489</f>
        <v>0</v>
      </c>
      <c r="BA488" s="22">
        <f>'mk 001 10.3'!BA489</f>
        <v>0</v>
      </c>
      <c r="BB488">
        <f>'mk 001 10.3'!BB489</f>
        <v>0</v>
      </c>
      <c r="BC488">
        <f>'mk 001 10.3'!BC489</f>
        <v>0</v>
      </c>
      <c r="BD488">
        <f>'mk 001 10.3'!BD489</f>
        <v>0</v>
      </c>
      <c r="BE488">
        <f>'mk 001 10.3'!BE489</f>
        <v>0</v>
      </c>
      <c r="BF488">
        <f>'mk 001 10.3'!BF489</f>
        <v>0</v>
      </c>
      <c r="BG488">
        <f>'mk 001 10.3'!BG489</f>
        <v>0</v>
      </c>
      <c r="BH488">
        <f>'mk 001 10.3'!BH489</f>
        <v>0</v>
      </c>
      <c r="BI488">
        <f>'mk 001 10.3'!BI489</f>
        <v>0</v>
      </c>
      <c r="BJ488">
        <f>'mk 001 10.3'!BJ489</f>
        <v>0</v>
      </c>
      <c r="BK488">
        <f>'mk 001 10.3'!BK489</f>
        <v>0</v>
      </c>
      <c r="BL488">
        <f>'mk 001 10.3'!BL489</f>
        <v>0</v>
      </c>
      <c r="BM488">
        <f>'mk 001 10.3'!BM489</f>
        <v>0</v>
      </c>
      <c r="BN488">
        <f>'mk 001 10.3'!BN489</f>
        <v>0</v>
      </c>
    </row>
    <row r="489" spans="1:66" x14ac:dyDescent="0.35">
      <c r="A489">
        <f>'mk 001 10.3'!A490</f>
        <v>0</v>
      </c>
      <c r="B489">
        <f>'mk 001 10.3'!B490</f>
        <v>0</v>
      </c>
      <c r="C489" s="1">
        <f>'mk 001 10.3'!C490</f>
        <v>0</v>
      </c>
      <c r="D489" s="1">
        <f>'mk 001 10.3'!D490</f>
        <v>0</v>
      </c>
      <c r="E489">
        <f>'mk 001 10.3'!E490</f>
        <v>0</v>
      </c>
      <c r="F489">
        <f>'mk 001 10.3'!F490</f>
        <v>0</v>
      </c>
      <c r="G489">
        <f>'mk 001 10.3'!G490</f>
        <v>0</v>
      </c>
      <c r="H489">
        <f>'mk 001 10.3'!H490</f>
        <v>0</v>
      </c>
      <c r="I489">
        <f>'mk 001 10.3'!I490</f>
        <v>0</v>
      </c>
      <c r="J489">
        <f>'mk 001 10.3'!J490</f>
        <v>0</v>
      </c>
      <c r="K489">
        <f>'mk 001 10.3'!K490</f>
        <v>0</v>
      </c>
      <c r="L489">
        <f>'mk 001 10.3'!L490</f>
        <v>0</v>
      </c>
      <c r="M489">
        <f>'mk 001 10.3'!M490</f>
        <v>0</v>
      </c>
      <c r="N489">
        <f>'mk 001 10.3'!N490</f>
        <v>0</v>
      </c>
      <c r="O489">
        <f>'mk 001 10.3'!O490</f>
        <v>0</v>
      </c>
      <c r="P489">
        <f>'mk 001 10.3'!P490</f>
        <v>0</v>
      </c>
      <c r="Q489">
        <f>'mk 001 10.3'!Q490</f>
        <v>0</v>
      </c>
      <c r="R489" s="1">
        <f>'mk 001 10.3'!R490</f>
        <v>0</v>
      </c>
      <c r="S489" s="1">
        <f>'mk 001 10.3'!S490</f>
        <v>0</v>
      </c>
      <c r="T489">
        <f>'mk 001 10.3'!T490</f>
        <v>0</v>
      </c>
      <c r="U489">
        <f>'mk 001 10.3'!U490</f>
        <v>0</v>
      </c>
      <c r="V489">
        <f>'mk 001 10.3'!V490</f>
        <v>0</v>
      </c>
      <c r="W489">
        <f>'mk 001 10.3'!W490</f>
        <v>0</v>
      </c>
      <c r="X489">
        <f>'mk 001 10.3'!X490</f>
        <v>0</v>
      </c>
      <c r="Y489">
        <f t="shared" si="8"/>
        <v>0</v>
      </c>
      <c r="Z489" s="13">
        <f>IF(COUNTIFS(แปลงข้อมูล!H:H,Q489,แปลงข้อมูล!I:I,U489,แปลงข้อมูล!J:J,V489)&gt;0,SUMIFS(แปลงข้อมูล!Q:Q,แปลงข้อมูล!I:I,U489,แปลงข้อมูล!H:H,Q489,แปลงข้อมูล!J:J,V489),'mk 001 10.3'!Z490)</f>
        <v>0</v>
      </c>
      <c r="AA489">
        <f>'mk 001 10.3'!AA490</f>
        <v>0</v>
      </c>
      <c r="AB489">
        <f>'mk 001 10.3'!AB490</f>
        <v>0</v>
      </c>
      <c r="AC489">
        <f>'mk 001 10.3'!AC490</f>
        <v>0</v>
      </c>
      <c r="AD489">
        <f>'mk 001 10.3'!AD490</f>
        <v>0</v>
      </c>
      <c r="AE489">
        <f>'mk 001 10.3'!AE490</f>
        <v>0</v>
      </c>
      <c r="AF489">
        <f>'mk 001 10.3'!AF490</f>
        <v>0</v>
      </c>
      <c r="AG489">
        <f>'mk 001 10.3'!AG490</f>
        <v>0</v>
      </c>
      <c r="AH489">
        <f>'mk 001 10.3'!AH490</f>
        <v>0</v>
      </c>
      <c r="AI489">
        <f>'mk 001 10.3'!AI490</f>
        <v>0</v>
      </c>
      <c r="AJ489">
        <f>'mk 001 10.3'!AJ490</f>
        <v>0</v>
      </c>
      <c r="AK489">
        <f>'mk 001 10.3'!AK490</f>
        <v>0</v>
      </c>
      <c r="AL489">
        <f>'mk 001 10.3'!AL490</f>
        <v>0</v>
      </c>
      <c r="AM489">
        <f>'mk 001 10.3'!AM490</f>
        <v>0</v>
      </c>
      <c r="AN489">
        <f>'mk 001 10.3'!AN490</f>
        <v>0</v>
      </c>
      <c r="AO489">
        <f>'mk 001 10.3'!AO490</f>
        <v>0</v>
      </c>
      <c r="AP489">
        <f>'mk 001 10.3'!AP490</f>
        <v>0</v>
      </c>
      <c r="AQ489">
        <f>'mk 001 10.3'!AQ490</f>
        <v>0</v>
      </c>
      <c r="AR489">
        <f>'mk 001 10.3'!AR490</f>
        <v>0</v>
      </c>
      <c r="AS489">
        <f>'mk 001 10.3'!AS490</f>
        <v>0</v>
      </c>
      <c r="AT489">
        <f>'mk 001 10.3'!AT490</f>
        <v>0</v>
      </c>
      <c r="AU489">
        <f>'mk 001 10.3'!AU490</f>
        <v>0</v>
      </c>
      <c r="AV489">
        <f>'mk 001 10.3'!AV490</f>
        <v>0</v>
      </c>
      <c r="AW489">
        <f>'mk 001 10.3'!AW490</f>
        <v>0</v>
      </c>
      <c r="AX489">
        <f>'mk 001 10.3'!AX490</f>
        <v>0</v>
      </c>
      <c r="AY489">
        <f>'mk 001 10.3'!AY490</f>
        <v>0</v>
      </c>
      <c r="AZ489">
        <f>'mk 001 10.3'!AZ490</f>
        <v>0</v>
      </c>
      <c r="BA489" s="22">
        <f>'mk 001 10.3'!BA490</f>
        <v>0</v>
      </c>
      <c r="BB489">
        <f>'mk 001 10.3'!BB490</f>
        <v>0</v>
      </c>
      <c r="BC489">
        <f>'mk 001 10.3'!BC490</f>
        <v>0</v>
      </c>
      <c r="BD489">
        <f>'mk 001 10.3'!BD490</f>
        <v>0</v>
      </c>
      <c r="BE489">
        <f>'mk 001 10.3'!BE490</f>
        <v>0</v>
      </c>
      <c r="BF489">
        <f>'mk 001 10.3'!BF490</f>
        <v>0</v>
      </c>
      <c r="BG489">
        <f>'mk 001 10.3'!BG490</f>
        <v>0</v>
      </c>
      <c r="BH489">
        <f>'mk 001 10.3'!BH490</f>
        <v>0</v>
      </c>
      <c r="BI489">
        <f>'mk 001 10.3'!BI490</f>
        <v>0</v>
      </c>
      <c r="BJ489">
        <f>'mk 001 10.3'!BJ490</f>
        <v>0</v>
      </c>
      <c r="BK489">
        <f>'mk 001 10.3'!BK490</f>
        <v>0</v>
      </c>
      <c r="BL489">
        <f>'mk 001 10.3'!BL490</f>
        <v>0</v>
      </c>
      <c r="BM489">
        <f>'mk 001 10.3'!BM490</f>
        <v>0</v>
      </c>
      <c r="BN489">
        <f>'mk 001 10.3'!BN490</f>
        <v>0</v>
      </c>
    </row>
    <row r="490" spans="1:66" x14ac:dyDescent="0.35">
      <c r="A490">
        <f>'mk 001 10.3'!A491</f>
        <v>0</v>
      </c>
      <c r="B490">
        <f>'mk 001 10.3'!B491</f>
        <v>0</v>
      </c>
      <c r="C490" s="1">
        <f>'mk 001 10.3'!C491</f>
        <v>0</v>
      </c>
      <c r="D490" s="1">
        <f>'mk 001 10.3'!D491</f>
        <v>0</v>
      </c>
      <c r="E490">
        <f>'mk 001 10.3'!E491</f>
        <v>0</v>
      </c>
      <c r="F490">
        <f>'mk 001 10.3'!F491</f>
        <v>0</v>
      </c>
      <c r="G490">
        <f>'mk 001 10.3'!G491</f>
        <v>0</v>
      </c>
      <c r="H490">
        <f>'mk 001 10.3'!H491</f>
        <v>0</v>
      </c>
      <c r="I490">
        <f>'mk 001 10.3'!I491</f>
        <v>0</v>
      </c>
      <c r="J490">
        <f>'mk 001 10.3'!J491</f>
        <v>0</v>
      </c>
      <c r="K490">
        <f>'mk 001 10.3'!K491</f>
        <v>0</v>
      </c>
      <c r="L490">
        <f>'mk 001 10.3'!L491</f>
        <v>0</v>
      </c>
      <c r="M490">
        <f>'mk 001 10.3'!M491</f>
        <v>0</v>
      </c>
      <c r="N490">
        <f>'mk 001 10.3'!N491</f>
        <v>0</v>
      </c>
      <c r="O490">
        <f>'mk 001 10.3'!O491</f>
        <v>0</v>
      </c>
      <c r="P490">
        <f>'mk 001 10.3'!P491</f>
        <v>0</v>
      </c>
      <c r="Q490">
        <f>'mk 001 10.3'!Q491</f>
        <v>0</v>
      </c>
      <c r="R490" s="1">
        <f>'mk 001 10.3'!R491</f>
        <v>0</v>
      </c>
      <c r="S490" s="1">
        <f>'mk 001 10.3'!S491</f>
        <v>0</v>
      </c>
      <c r="T490">
        <f>'mk 001 10.3'!T491</f>
        <v>0</v>
      </c>
      <c r="U490">
        <f>'mk 001 10.3'!U491</f>
        <v>0</v>
      </c>
      <c r="V490">
        <f>'mk 001 10.3'!V491</f>
        <v>0</v>
      </c>
      <c r="W490">
        <f>'mk 001 10.3'!W491</f>
        <v>0</v>
      </c>
      <c r="X490">
        <f>'mk 001 10.3'!X491</f>
        <v>0</v>
      </c>
      <c r="Y490">
        <f t="shared" si="8"/>
        <v>0</v>
      </c>
      <c r="Z490" s="13">
        <f>IF(COUNTIFS(แปลงข้อมูล!H:H,Q490,แปลงข้อมูล!I:I,U490,แปลงข้อมูล!J:J,V490)&gt;0,SUMIFS(แปลงข้อมูล!Q:Q,แปลงข้อมูล!I:I,U490,แปลงข้อมูล!H:H,Q490,แปลงข้อมูล!J:J,V490),'mk 001 10.3'!Z491)</f>
        <v>0</v>
      </c>
      <c r="AA490">
        <f>'mk 001 10.3'!AA491</f>
        <v>0</v>
      </c>
      <c r="AB490">
        <f>'mk 001 10.3'!AB491</f>
        <v>0</v>
      </c>
      <c r="AC490">
        <f>'mk 001 10.3'!AC491</f>
        <v>0</v>
      </c>
      <c r="AD490">
        <f>'mk 001 10.3'!AD491</f>
        <v>0</v>
      </c>
      <c r="AE490">
        <f>'mk 001 10.3'!AE491</f>
        <v>0</v>
      </c>
      <c r="AF490">
        <f>'mk 001 10.3'!AF491</f>
        <v>0</v>
      </c>
      <c r="AG490">
        <f>'mk 001 10.3'!AG491</f>
        <v>0</v>
      </c>
      <c r="AH490">
        <f>'mk 001 10.3'!AH491</f>
        <v>0</v>
      </c>
      <c r="AI490">
        <f>'mk 001 10.3'!AI491</f>
        <v>0</v>
      </c>
      <c r="AJ490">
        <f>'mk 001 10.3'!AJ491</f>
        <v>0</v>
      </c>
      <c r="AK490">
        <f>'mk 001 10.3'!AK491</f>
        <v>0</v>
      </c>
      <c r="AL490">
        <f>'mk 001 10.3'!AL491</f>
        <v>0</v>
      </c>
      <c r="AM490">
        <f>'mk 001 10.3'!AM491</f>
        <v>0</v>
      </c>
      <c r="AN490">
        <f>'mk 001 10.3'!AN491</f>
        <v>0</v>
      </c>
      <c r="AO490">
        <f>'mk 001 10.3'!AO491</f>
        <v>0</v>
      </c>
      <c r="AP490">
        <f>'mk 001 10.3'!AP491</f>
        <v>0</v>
      </c>
      <c r="AQ490">
        <f>'mk 001 10.3'!AQ491</f>
        <v>0</v>
      </c>
      <c r="AR490">
        <f>'mk 001 10.3'!AR491</f>
        <v>0</v>
      </c>
      <c r="AS490">
        <f>'mk 001 10.3'!AS491</f>
        <v>0</v>
      </c>
      <c r="AT490">
        <f>'mk 001 10.3'!AT491</f>
        <v>0</v>
      </c>
      <c r="AU490">
        <f>'mk 001 10.3'!AU491</f>
        <v>0</v>
      </c>
      <c r="AV490">
        <f>'mk 001 10.3'!AV491</f>
        <v>0</v>
      </c>
      <c r="AW490">
        <f>'mk 001 10.3'!AW491</f>
        <v>0</v>
      </c>
      <c r="AX490">
        <f>'mk 001 10.3'!AX491</f>
        <v>0</v>
      </c>
      <c r="AY490">
        <f>'mk 001 10.3'!AY491</f>
        <v>0</v>
      </c>
      <c r="AZ490">
        <f>'mk 001 10.3'!AZ491</f>
        <v>0</v>
      </c>
      <c r="BA490" s="22">
        <f>'mk 001 10.3'!BA491</f>
        <v>0</v>
      </c>
      <c r="BB490">
        <f>'mk 001 10.3'!BB491</f>
        <v>0</v>
      </c>
      <c r="BC490">
        <f>'mk 001 10.3'!BC491</f>
        <v>0</v>
      </c>
      <c r="BD490">
        <f>'mk 001 10.3'!BD491</f>
        <v>0</v>
      </c>
      <c r="BE490">
        <f>'mk 001 10.3'!BE491</f>
        <v>0</v>
      </c>
      <c r="BF490">
        <f>'mk 001 10.3'!BF491</f>
        <v>0</v>
      </c>
      <c r="BG490">
        <f>'mk 001 10.3'!BG491</f>
        <v>0</v>
      </c>
      <c r="BH490">
        <f>'mk 001 10.3'!BH491</f>
        <v>0</v>
      </c>
      <c r="BI490">
        <f>'mk 001 10.3'!BI491</f>
        <v>0</v>
      </c>
      <c r="BJ490">
        <f>'mk 001 10.3'!BJ491</f>
        <v>0</v>
      </c>
      <c r="BK490">
        <f>'mk 001 10.3'!BK491</f>
        <v>0</v>
      </c>
      <c r="BL490">
        <f>'mk 001 10.3'!BL491</f>
        <v>0</v>
      </c>
      <c r="BM490">
        <f>'mk 001 10.3'!BM491</f>
        <v>0</v>
      </c>
      <c r="BN490">
        <f>'mk 001 10.3'!BN491</f>
        <v>0</v>
      </c>
    </row>
    <row r="491" spans="1:66" x14ac:dyDescent="0.35">
      <c r="A491">
        <f>'mk 001 10.3'!A492</f>
        <v>0</v>
      </c>
      <c r="B491">
        <f>'mk 001 10.3'!B492</f>
        <v>0</v>
      </c>
      <c r="C491" s="1">
        <f>'mk 001 10.3'!C492</f>
        <v>0</v>
      </c>
      <c r="D491" s="1">
        <f>'mk 001 10.3'!D492</f>
        <v>0</v>
      </c>
      <c r="E491">
        <f>'mk 001 10.3'!E492</f>
        <v>0</v>
      </c>
      <c r="F491">
        <f>'mk 001 10.3'!F492</f>
        <v>0</v>
      </c>
      <c r="G491">
        <f>'mk 001 10.3'!G492</f>
        <v>0</v>
      </c>
      <c r="H491">
        <f>'mk 001 10.3'!H492</f>
        <v>0</v>
      </c>
      <c r="I491">
        <f>'mk 001 10.3'!I492</f>
        <v>0</v>
      </c>
      <c r="J491">
        <f>'mk 001 10.3'!J492</f>
        <v>0</v>
      </c>
      <c r="K491">
        <f>'mk 001 10.3'!K492</f>
        <v>0</v>
      </c>
      <c r="L491">
        <f>'mk 001 10.3'!L492</f>
        <v>0</v>
      </c>
      <c r="M491">
        <f>'mk 001 10.3'!M492</f>
        <v>0</v>
      </c>
      <c r="N491">
        <f>'mk 001 10.3'!N492</f>
        <v>0</v>
      </c>
      <c r="O491">
        <f>'mk 001 10.3'!O492</f>
        <v>0</v>
      </c>
      <c r="P491">
        <f>'mk 001 10.3'!P492</f>
        <v>0</v>
      </c>
      <c r="Q491">
        <f>'mk 001 10.3'!Q492</f>
        <v>0</v>
      </c>
      <c r="R491" s="1">
        <f>'mk 001 10.3'!R492</f>
        <v>0</v>
      </c>
      <c r="S491" s="1">
        <f>'mk 001 10.3'!S492</f>
        <v>0</v>
      </c>
      <c r="T491">
        <f>'mk 001 10.3'!T492</f>
        <v>0</v>
      </c>
      <c r="U491">
        <f>'mk 001 10.3'!U492</f>
        <v>0</v>
      </c>
      <c r="V491">
        <f>'mk 001 10.3'!V492</f>
        <v>0</v>
      </c>
      <c r="W491">
        <f>'mk 001 10.3'!W492</f>
        <v>0</v>
      </c>
      <c r="X491">
        <f>'mk 001 10.3'!X492</f>
        <v>0</v>
      </c>
      <c r="Y491">
        <f t="shared" si="8"/>
        <v>0</v>
      </c>
      <c r="Z491" s="13">
        <f>IF(COUNTIFS(แปลงข้อมูล!H:H,Q491,แปลงข้อมูล!I:I,U491,แปลงข้อมูล!J:J,V491)&gt;0,SUMIFS(แปลงข้อมูล!Q:Q,แปลงข้อมูล!I:I,U491,แปลงข้อมูล!H:H,Q491,แปลงข้อมูล!J:J,V491),'mk 001 10.3'!Z492)</f>
        <v>0</v>
      </c>
      <c r="AA491">
        <f>'mk 001 10.3'!AA492</f>
        <v>0</v>
      </c>
      <c r="AB491">
        <f>'mk 001 10.3'!AB492</f>
        <v>0</v>
      </c>
      <c r="AC491">
        <f>'mk 001 10.3'!AC492</f>
        <v>0</v>
      </c>
      <c r="AD491">
        <f>'mk 001 10.3'!AD492</f>
        <v>0</v>
      </c>
      <c r="AE491">
        <f>'mk 001 10.3'!AE492</f>
        <v>0</v>
      </c>
      <c r="AF491">
        <f>'mk 001 10.3'!AF492</f>
        <v>0</v>
      </c>
      <c r="AG491">
        <f>'mk 001 10.3'!AG492</f>
        <v>0</v>
      </c>
      <c r="AH491">
        <f>'mk 001 10.3'!AH492</f>
        <v>0</v>
      </c>
      <c r="AI491">
        <f>'mk 001 10.3'!AI492</f>
        <v>0</v>
      </c>
      <c r="AJ491">
        <f>'mk 001 10.3'!AJ492</f>
        <v>0</v>
      </c>
      <c r="AK491">
        <f>'mk 001 10.3'!AK492</f>
        <v>0</v>
      </c>
      <c r="AL491">
        <f>'mk 001 10.3'!AL492</f>
        <v>0</v>
      </c>
      <c r="AM491">
        <f>'mk 001 10.3'!AM492</f>
        <v>0</v>
      </c>
      <c r="AN491">
        <f>'mk 001 10.3'!AN492</f>
        <v>0</v>
      </c>
      <c r="AO491">
        <f>'mk 001 10.3'!AO492</f>
        <v>0</v>
      </c>
      <c r="AP491">
        <f>'mk 001 10.3'!AP492</f>
        <v>0</v>
      </c>
      <c r="AQ491">
        <f>'mk 001 10.3'!AQ492</f>
        <v>0</v>
      </c>
      <c r="AR491">
        <f>'mk 001 10.3'!AR492</f>
        <v>0</v>
      </c>
      <c r="AS491">
        <f>'mk 001 10.3'!AS492</f>
        <v>0</v>
      </c>
      <c r="AT491">
        <f>'mk 001 10.3'!AT492</f>
        <v>0</v>
      </c>
      <c r="AU491">
        <f>'mk 001 10.3'!AU492</f>
        <v>0</v>
      </c>
      <c r="AV491">
        <f>'mk 001 10.3'!AV492</f>
        <v>0</v>
      </c>
      <c r="AW491">
        <f>'mk 001 10.3'!AW492</f>
        <v>0</v>
      </c>
      <c r="AX491">
        <f>'mk 001 10.3'!AX492</f>
        <v>0</v>
      </c>
      <c r="AY491">
        <f>'mk 001 10.3'!AY492</f>
        <v>0</v>
      </c>
      <c r="AZ491">
        <f>'mk 001 10.3'!AZ492</f>
        <v>0</v>
      </c>
      <c r="BA491" s="22">
        <f>'mk 001 10.3'!BA492</f>
        <v>0</v>
      </c>
      <c r="BB491">
        <f>'mk 001 10.3'!BB492</f>
        <v>0</v>
      </c>
      <c r="BC491">
        <f>'mk 001 10.3'!BC492</f>
        <v>0</v>
      </c>
      <c r="BD491">
        <f>'mk 001 10.3'!BD492</f>
        <v>0</v>
      </c>
      <c r="BE491">
        <f>'mk 001 10.3'!BE492</f>
        <v>0</v>
      </c>
      <c r="BF491">
        <f>'mk 001 10.3'!BF492</f>
        <v>0</v>
      </c>
      <c r="BG491">
        <f>'mk 001 10.3'!BG492</f>
        <v>0</v>
      </c>
      <c r="BH491">
        <f>'mk 001 10.3'!BH492</f>
        <v>0</v>
      </c>
      <c r="BI491">
        <f>'mk 001 10.3'!BI492</f>
        <v>0</v>
      </c>
      <c r="BJ491">
        <f>'mk 001 10.3'!BJ492</f>
        <v>0</v>
      </c>
      <c r="BK491">
        <f>'mk 001 10.3'!BK492</f>
        <v>0</v>
      </c>
      <c r="BL491">
        <f>'mk 001 10.3'!BL492</f>
        <v>0</v>
      </c>
      <c r="BM491">
        <f>'mk 001 10.3'!BM492</f>
        <v>0</v>
      </c>
      <c r="BN491">
        <f>'mk 001 10.3'!BN492</f>
        <v>0</v>
      </c>
    </row>
    <row r="492" spans="1:66" x14ac:dyDescent="0.35">
      <c r="A492">
        <f>'mk 001 10.3'!A493</f>
        <v>0</v>
      </c>
      <c r="B492">
        <f>'mk 001 10.3'!B493</f>
        <v>0</v>
      </c>
      <c r="C492" s="1">
        <f>'mk 001 10.3'!C493</f>
        <v>0</v>
      </c>
      <c r="D492" s="1">
        <f>'mk 001 10.3'!D493</f>
        <v>0</v>
      </c>
      <c r="E492">
        <f>'mk 001 10.3'!E493</f>
        <v>0</v>
      </c>
      <c r="F492">
        <f>'mk 001 10.3'!F493</f>
        <v>0</v>
      </c>
      <c r="G492">
        <f>'mk 001 10.3'!G493</f>
        <v>0</v>
      </c>
      <c r="H492">
        <f>'mk 001 10.3'!H493</f>
        <v>0</v>
      </c>
      <c r="I492">
        <f>'mk 001 10.3'!I493</f>
        <v>0</v>
      </c>
      <c r="J492">
        <f>'mk 001 10.3'!J493</f>
        <v>0</v>
      </c>
      <c r="K492">
        <f>'mk 001 10.3'!K493</f>
        <v>0</v>
      </c>
      <c r="L492">
        <f>'mk 001 10.3'!L493</f>
        <v>0</v>
      </c>
      <c r="M492">
        <f>'mk 001 10.3'!M493</f>
        <v>0</v>
      </c>
      <c r="N492">
        <f>'mk 001 10.3'!N493</f>
        <v>0</v>
      </c>
      <c r="O492">
        <f>'mk 001 10.3'!O493</f>
        <v>0</v>
      </c>
      <c r="P492">
        <f>'mk 001 10.3'!P493</f>
        <v>0</v>
      </c>
      <c r="Q492">
        <f>'mk 001 10.3'!Q493</f>
        <v>0</v>
      </c>
      <c r="R492" s="1">
        <f>'mk 001 10.3'!R493</f>
        <v>0</v>
      </c>
      <c r="S492" s="1">
        <f>'mk 001 10.3'!S493</f>
        <v>0</v>
      </c>
      <c r="T492">
        <f>'mk 001 10.3'!T493</f>
        <v>0</v>
      </c>
      <c r="U492">
        <f>'mk 001 10.3'!U493</f>
        <v>0</v>
      </c>
      <c r="V492">
        <f>'mk 001 10.3'!V493</f>
        <v>0</v>
      </c>
      <c r="W492">
        <f>'mk 001 10.3'!W493</f>
        <v>0</v>
      </c>
      <c r="X492">
        <f>'mk 001 10.3'!X493</f>
        <v>0</v>
      </c>
      <c r="Y492">
        <f t="shared" si="8"/>
        <v>0</v>
      </c>
      <c r="Z492" s="13">
        <f>IF(COUNTIFS(แปลงข้อมูล!H:H,Q492,แปลงข้อมูล!I:I,U492,แปลงข้อมูล!J:J,V492)&gt;0,SUMIFS(แปลงข้อมูล!Q:Q,แปลงข้อมูล!I:I,U492,แปลงข้อมูล!H:H,Q492,แปลงข้อมูล!J:J,V492),'mk 001 10.3'!Z493)</f>
        <v>0</v>
      </c>
      <c r="AA492">
        <f>'mk 001 10.3'!AA493</f>
        <v>0</v>
      </c>
      <c r="AB492">
        <f>'mk 001 10.3'!AB493</f>
        <v>0</v>
      </c>
      <c r="AC492">
        <f>'mk 001 10.3'!AC493</f>
        <v>0</v>
      </c>
      <c r="AD492">
        <f>'mk 001 10.3'!AD493</f>
        <v>0</v>
      </c>
      <c r="AE492">
        <f>'mk 001 10.3'!AE493</f>
        <v>0</v>
      </c>
      <c r="AF492">
        <f>'mk 001 10.3'!AF493</f>
        <v>0</v>
      </c>
      <c r="AG492">
        <f>'mk 001 10.3'!AG493</f>
        <v>0</v>
      </c>
      <c r="AH492">
        <f>'mk 001 10.3'!AH493</f>
        <v>0</v>
      </c>
      <c r="AI492">
        <f>'mk 001 10.3'!AI493</f>
        <v>0</v>
      </c>
      <c r="AJ492">
        <f>'mk 001 10.3'!AJ493</f>
        <v>0</v>
      </c>
      <c r="AK492">
        <f>'mk 001 10.3'!AK493</f>
        <v>0</v>
      </c>
      <c r="AL492">
        <f>'mk 001 10.3'!AL493</f>
        <v>0</v>
      </c>
      <c r="AM492">
        <f>'mk 001 10.3'!AM493</f>
        <v>0</v>
      </c>
      <c r="AN492">
        <f>'mk 001 10.3'!AN493</f>
        <v>0</v>
      </c>
      <c r="AO492">
        <f>'mk 001 10.3'!AO493</f>
        <v>0</v>
      </c>
      <c r="AP492">
        <f>'mk 001 10.3'!AP493</f>
        <v>0</v>
      </c>
      <c r="AQ492">
        <f>'mk 001 10.3'!AQ493</f>
        <v>0</v>
      </c>
      <c r="AR492">
        <f>'mk 001 10.3'!AR493</f>
        <v>0</v>
      </c>
      <c r="AS492">
        <f>'mk 001 10.3'!AS493</f>
        <v>0</v>
      </c>
      <c r="AT492">
        <f>'mk 001 10.3'!AT493</f>
        <v>0</v>
      </c>
      <c r="AU492">
        <f>'mk 001 10.3'!AU493</f>
        <v>0</v>
      </c>
      <c r="AV492">
        <f>'mk 001 10.3'!AV493</f>
        <v>0</v>
      </c>
      <c r="AW492">
        <f>'mk 001 10.3'!AW493</f>
        <v>0</v>
      </c>
      <c r="AX492">
        <f>'mk 001 10.3'!AX493</f>
        <v>0</v>
      </c>
      <c r="AY492">
        <f>'mk 001 10.3'!AY493</f>
        <v>0</v>
      </c>
      <c r="AZ492">
        <f>'mk 001 10.3'!AZ493</f>
        <v>0</v>
      </c>
      <c r="BA492" s="22">
        <f>'mk 001 10.3'!BA493</f>
        <v>0</v>
      </c>
      <c r="BB492">
        <f>'mk 001 10.3'!BB493</f>
        <v>0</v>
      </c>
      <c r="BC492">
        <f>'mk 001 10.3'!BC493</f>
        <v>0</v>
      </c>
      <c r="BD492">
        <f>'mk 001 10.3'!BD493</f>
        <v>0</v>
      </c>
      <c r="BE492">
        <f>'mk 001 10.3'!BE493</f>
        <v>0</v>
      </c>
      <c r="BF492">
        <f>'mk 001 10.3'!BF493</f>
        <v>0</v>
      </c>
      <c r="BG492">
        <f>'mk 001 10.3'!BG493</f>
        <v>0</v>
      </c>
      <c r="BH492">
        <f>'mk 001 10.3'!BH493</f>
        <v>0</v>
      </c>
      <c r="BI492">
        <f>'mk 001 10.3'!BI493</f>
        <v>0</v>
      </c>
      <c r="BJ492">
        <f>'mk 001 10.3'!BJ493</f>
        <v>0</v>
      </c>
      <c r="BK492">
        <f>'mk 001 10.3'!BK493</f>
        <v>0</v>
      </c>
      <c r="BL492">
        <f>'mk 001 10.3'!BL493</f>
        <v>0</v>
      </c>
      <c r="BM492">
        <f>'mk 001 10.3'!BM493</f>
        <v>0</v>
      </c>
      <c r="BN492">
        <f>'mk 001 10.3'!BN493</f>
        <v>0</v>
      </c>
    </row>
    <row r="493" spans="1:66" x14ac:dyDescent="0.35">
      <c r="A493">
        <f>'mk 001 10.3'!A494</f>
        <v>0</v>
      </c>
      <c r="B493">
        <f>'mk 001 10.3'!B494</f>
        <v>0</v>
      </c>
      <c r="C493" s="1">
        <f>'mk 001 10.3'!C494</f>
        <v>0</v>
      </c>
      <c r="D493" s="1">
        <f>'mk 001 10.3'!D494</f>
        <v>0</v>
      </c>
      <c r="E493">
        <f>'mk 001 10.3'!E494</f>
        <v>0</v>
      </c>
      <c r="F493">
        <f>'mk 001 10.3'!F494</f>
        <v>0</v>
      </c>
      <c r="G493">
        <f>'mk 001 10.3'!G494</f>
        <v>0</v>
      </c>
      <c r="H493">
        <f>'mk 001 10.3'!H494</f>
        <v>0</v>
      </c>
      <c r="I493">
        <f>'mk 001 10.3'!I494</f>
        <v>0</v>
      </c>
      <c r="J493">
        <f>'mk 001 10.3'!J494</f>
        <v>0</v>
      </c>
      <c r="K493">
        <f>'mk 001 10.3'!K494</f>
        <v>0</v>
      </c>
      <c r="L493">
        <f>'mk 001 10.3'!L494</f>
        <v>0</v>
      </c>
      <c r="M493">
        <f>'mk 001 10.3'!M494</f>
        <v>0</v>
      </c>
      <c r="N493">
        <f>'mk 001 10.3'!N494</f>
        <v>0</v>
      </c>
      <c r="O493">
        <f>'mk 001 10.3'!O494</f>
        <v>0</v>
      </c>
      <c r="P493">
        <f>'mk 001 10.3'!P494</f>
        <v>0</v>
      </c>
      <c r="Q493">
        <f>'mk 001 10.3'!Q494</f>
        <v>0</v>
      </c>
      <c r="R493" s="1">
        <f>'mk 001 10.3'!R494</f>
        <v>0</v>
      </c>
      <c r="S493" s="1">
        <f>'mk 001 10.3'!S494</f>
        <v>0</v>
      </c>
      <c r="T493">
        <f>'mk 001 10.3'!T494</f>
        <v>0</v>
      </c>
      <c r="U493">
        <f>'mk 001 10.3'!U494</f>
        <v>0</v>
      </c>
      <c r="V493">
        <f>'mk 001 10.3'!V494</f>
        <v>0</v>
      </c>
      <c r="W493">
        <f>'mk 001 10.3'!W494</f>
        <v>0</v>
      </c>
      <c r="X493">
        <f>'mk 001 10.3'!X494</f>
        <v>0</v>
      </c>
      <c r="Y493">
        <f t="shared" si="8"/>
        <v>0</v>
      </c>
      <c r="Z493" s="13">
        <f>IF(COUNTIFS(แปลงข้อมูล!H:H,Q493,แปลงข้อมูล!I:I,U493,แปลงข้อมูล!J:J,V493)&gt;0,SUMIFS(แปลงข้อมูล!Q:Q,แปลงข้อมูล!I:I,U493,แปลงข้อมูล!H:H,Q493,แปลงข้อมูล!J:J,V493),'mk 001 10.3'!Z494)</f>
        <v>0</v>
      </c>
      <c r="AA493">
        <f>'mk 001 10.3'!AA494</f>
        <v>0</v>
      </c>
      <c r="AB493">
        <f>'mk 001 10.3'!AB494</f>
        <v>0</v>
      </c>
      <c r="AC493">
        <f>'mk 001 10.3'!AC494</f>
        <v>0</v>
      </c>
      <c r="AD493">
        <f>'mk 001 10.3'!AD494</f>
        <v>0</v>
      </c>
      <c r="AE493">
        <f>'mk 001 10.3'!AE494</f>
        <v>0</v>
      </c>
      <c r="AF493">
        <f>'mk 001 10.3'!AF494</f>
        <v>0</v>
      </c>
      <c r="AG493">
        <f>'mk 001 10.3'!AG494</f>
        <v>0</v>
      </c>
      <c r="AH493">
        <f>'mk 001 10.3'!AH494</f>
        <v>0</v>
      </c>
      <c r="AI493">
        <f>'mk 001 10.3'!AI494</f>
        <v>0</v>
      </c>
      <c r="AJ493">
        <f>'mk 001 10.3'!AJ494</f>
        <v>0</v>
      </c>
      <c r="AK493">
        <f>'mk 001 10.3'!AK494</f>
        <v>0</v>
      </c>
      <c r="AL493">
        <f>'mk 001 10.3'!AL494</f>
        <v>0</v>
      </c>
      <c r="AM493">
        <f>'mk 001 10.3'!AM494</f>
        <v>0</v>
      </c>
      <c r="AN493">
        <f>'mk 001 10.3'!AN494</f>
        <v>0</v>
      </c>
      <c r="AO493">
        <f>'mk 001 10.3'!AO494</f>
        <v>0</v>
      </c>
      <c r="AP493">
        <f>'mk 001 10.3'!AP494</f>
        <v>0</v>
      </c>
      <c r="AQ493">
        <f>'mk 001 10.3'!AQ494</f>
        <v>0</v>
      </c>
      <c r="AR493">
        <f>'mk 001 10.3'!AR494</f>
        <v>0</v>
      </c>
      <c r="AS493">
        <f>'mk 001 10.3'!AS494</f>
        <v>0</v>
      </c>
      <c r="AT493">
        <f>'mk 001 10.3'!AT494</f>
        <v>0</v>
      </c>
      <c r="AU493">
        <f>'mk 001 10.3'!AU494</f>
        <v>0</v>
      </c>
      <c r="AV493">
        <f>'mk 001 10.3'!AV494</f>
        <v>0</v>
      </c>
      <c r="AW493">
        <f>'mk 001 10.3'!AW494</f>
        <v>0</v>
      </c>
      <c r="AX493">
        <f>'mk 001 10.3'!AX494</f>
        <v>0</v>
      </c>
      <c r="AY493">
        <f>'mk 001 10.3'!AY494</f>
        <v>0</v>
      </c>
      <c r="AZ493">
        <f>'mk 001 10.3'!AZ494</f>
        <v>0</v>
      </c>
      <c r="BA493" s="22">
        <f>'mk 001 10.3'!BA494</f>
        <v>0</v>
      </c>
      <c r="BB493">
        <f>'mk 001 10.3'!BB494</f>
        <v>0</v>
      </c>
      <c r="BC493">
        <f>'mk 001 10.3'!BC494</f>
        <v>0</v>
      </c>
      <c r="BD493">
        <f>'mk 001 10.3'!BD494</f>
        <v>0</v>
      </c>
      <c r="BE493">
        <f>'mk 001 10.3'!BE494</f>
        <v>0</v>
      </c>
      <c r="BF493">
        <f>'mk 001 10.3'!BF494</f>
        <v>0</v>
      </c>
      <c r="BG493">
        <f>'mk 001 10.3'!BG494</f>
        <v>0</v>
      </c>
      <c r="BH493">
        <f>'mk 001 10.3'!BH494</f>
        <v>0</v>
      </c>
      <c r="BI493">
        <f>'mk 001 10.3'!BI494</f>
        <v>0</v>
      </c>
      <c r="BJ493">
        <f>'mk 001 10.3'!BJ494</f>
        <v>0</v>
      </c>
      <c r="BK493">
        <f>'mk 001 10.3'!BK494</f>
        <v>0</v>
      </c>
      <c r="BL493">
        <f>'mk 001 10.3'!BL494</f>
        <v>0</v>
      </c>
      <c r="BM493">
        <f>'mk 001 10.3'!BM494</f>
        <v>0</v>
      </c>
      <c r="BN493">
        <f>'mk 001 10.3'!BN494</f>
        <v>0</v>
      </c>
    </row>
    <row r="494" spans="1:66" x14ac:dyDescent="0.35">
      <c r="A494">
        <f>'mk 001 10.3'!A495</f>
        <v>0</v>
      </c>
      <c r="B494">
        <f>'mk 001 10.3'!B495</f>
        <v>0</v>
      </c>
      <c r="C494" s="1">
        <f>'mk 001 10.3'!C495</f>
        <v>0</v>
      </c>
      <c r="D494" s="1">
        <f>'mk 001 10.3'!D495</f>
        <v>0</v>
      </c>
      <c r="E494">
        <f>'mk 001 10.3'!E495</f>
        <v>0</v>
      </c>
      <c r="F494">
        <f>'mk 001 10.3'!F495</f>
        <v>0</v>
      </c>
      <c r="G494">
        <f>'mk 001 10.3'!G495</f>
        <v>0</v>
      </c>
      <c r="H494">
        <f>'mk 001 10.3'!H495</f>
        <v>0</v>
      </c>
      <c r="I494">
        <f>'mk 001 10.3'!I495</f>
        <v>0</v>
      </c>
      <c r="J494">
        <f>'mk 001 10.3'!J495</f>
        <v>0</v>
      </c>
      <c r="K494">
        <f>'mk 001 10.3'!K495</f>
        <v>0</v>
      </c>
      <c r="L494">
        <f>'mk 001 10.3'!L495</f>
        <v>0</v>
      </c>
      <c r="M494">
        <f>'mk 001 10.3'!M495</f>
        <v>0</v>
      </c>
      <c r="N494">
        <f>'mk 001 10.3'!N495</f>
        <v>0</v>
      </c>
      <c r="O494">
        <f>'mk 001 10.3'!O495</f>
        <v>0</v>
      </c>
      <c r="P494">
        <f>'mk 001 10.3'!P495</f>
        <v>0</v>
      </c>
      <c r="Q494">
        <f>'mk 001 10.3'!Q495</f>
        <v>0</v>
      </c>
      <c r="R494" s="1">
        <f>'mk 001 10.3'!R495</f>
        <v>0</v>
      </c>
      <c r="S494" s="1">
        <f>'mk 001 10.3'!S495</f>
        <v>0</v>
      </c>
      <c r="T494">
        <f>'mk 001 10.3'!T495</f>
        <v>0</v>
      </c>
      <c r="U494">
        <f>'mk 001 10.3'!U495</f>
        <v>0</v>
      </c>
      <c r="V494">
        <f>'mk 001 10.3'!V495</f>
        <v>0</v>
      </c>
      <c r="W494">
        <f>'mk 001 10.3'!W495</f>
        <v>0</v>
      </c>
      <c r="X494">
        <f>'mk 001 10.3'!X495</f>
        <v>0</v>
      </c>
      <c r="Y494">
        <f t="shared" si="8"/>
        <v>0</v>
      </c>
      <c r="Z494" s="13">
        <f>IF(COUNTIFS(แปลงข้อมูล!H:H,Q494,แปลงข้อมูล!I:I,U494,แปลงข้อมูล!J:J,V494)&gt;0,SUMIFS(แปลงข้อมูล!Q:Q,แปลงข้อมูล!I:I,U494,แปลงข้อมูล!H:H,Q494,แปลงข้อมูล!J:J,V494),'mk 001 10.3'!Z495)</f>
        <v>0</v>
      </c>
      <c r="AA494">
        <f>'mk 001 10.3'!AA495</f>
        <v>0</v>
      </c>
      <c r="AB494">
        <f>'mk 001 10.3'!AB495</f>
        <v>0</v>
      </c>
      <c r="AC494">
        <f>'mk 001 10.3'!AC495</f>
        <v>0</v>
      </c>
      <c r="AD494">
        <f>'mk 001 10.3'!AD495</f>
        <v>0</v>
      </c>
      <c r="AE494">
        <f>'mk 001 10.3'!AE495</f>
        <v>0</v>
      </c>
      <c r="AF494">
        <f>'mk 001 10.3'!AF495</f>
        <v>0</v>
      </c>
      <c r="AG494">
        <f>'mk 001 10.3'!AG495</f>
        <v>0</v>
      </c>
      <c r="AH494">
        <f>'mk 001 10.3'!AH495</f>
        <v>0</v>
      </c>
      <c r="AI494">
        <f>'mk 001 10.3'!AI495</f>
        <v>0</v>
      </c>
      <c r="AJ494">
        <f>'mk 001 10.3'!AJ495</f>
        <v>0</v>
      </c>
      <c r="AK494">
        <f>'mk 001 10.3'!AK495</f>
        <v>0</v>
      </c>
      <c r="AL494">
        <f>'mk 001 10.3'!AL495</f>
        <v>0</v>
      </c>
      <c r="AM494">
        <f>'mk 001 10.3'!AM495</f>
        <v>0</v>
      </c>
      <c r="AN494">
        <f>'mk 001 10.3'!AN495</f>
        <v>0</v>
      </c>
      <c r="AO494">
        <f>'mk 001 10.3'!AO495</f>
        <v>0</v>
      </c>
      <c r="AP494">
        <f>'mk 001 10.3'!AP495</f>
        <v>0</v>
      </c>
      <c r="AQ494">
        <f>'mk 001 10.3'!AQ495</f>
        <v>0</v>
      </c>
      <c r="AR494">
        <f>'mk 001 10.3'!AR495</f>
        <v>0</v>
      </c>
      <c r="AS494">
        <f>'mk 001 10.3'!AS495</f>
        <v>0</v>
      </c>
      <c r="AT494">
        <f>'mk 001 10.3'!AT495</f>
        <v>0</v>
      </c>
      <c r="AU494">
        <f>'mk 001 10.3'!AU495</f>
        <v>0</v>
      </c>
      <c r="AV494">
        <f>'mk 001 10.3'!AV495</f>
        <v>0</v>
      </c>
      <c r="AW494">
        <f>'mk 001 10.3'!AW495</f>
        <v>0</v>
      </c>
      <c r="AX494">
        <f>'mk 001 10.3'!AX495</f>
        <v>0</v>
      </c>
      <c r="AY494">
        <f>'mk 001 10.3'!AY495</f>
        <v>0</v>
      </c>
      <c r="AZ494">
        <f>'mk 001 10.3'!AZ495</f>
        <v>0</v>
      </c>
      <c r="BA494" s="22">
        <f>'mk 001 10.3'!BA495</f>
        <v>0</v>
      </c>
      <c r="BB494">
        <f>'mk 001 10.3'!BB495</f>
        <v>0</v>
      </c>
      <c r="BC494">
        <f>'mk 001 10.3'!BC495</f>
        <v>0</v>
      </c>
      <c r="BD494">
        <f>'mk 001 10.3'!BD495</f>
        <v>0</v>
      </c>
      <c r="BE494">
        <f>'mk 001 10.3'!BE495</f>
        <v>0</v>
      </c>
      <c r="BF494">
        <f>'mk 001 10.3'!BF495</f>
        <v>0</v>
      </c>
      <c r="BG494">
        <f>'mk 001 10.3'!BG495</f>
        <v>0</v>
      </c>
      <c r="BH494">
        <f>'mk 001 10.3'!BH495</f>
        <v>0</v>
      </c>
      <c r="BI494">
        <f>'mk 001 10.3'!BI495</f>
        <v>0</v>
      </c>
      <c r="BJ494">
        <f>'mk 001 10.3'!BJ495</f>
        <v>0</v>
      </c>
      <c r="BK494">
        <f>'mk 001 10.3'!BK495</f>
        <v>0</v>
      </c>
      <c r="BL494">
        <f>'mk 001 10.3'!BL495</f>
        <v>0</v>
      </c>
      <c r="BM494">
        <f>'mk 001 10.3'!BM495</f>
        <v>0</v>
      </c>
      <c r="BN494">
        <f>'mk 001 10.3'!BN495</f>
        <v>0</v>
      </c>
    </row>
    <row r="495" spans="1:66" x14ac:dyDescent="0.35">
      <c r="A495">
        <f>'mk 001 10.3'!A496</f>
        <v>0</v>
      </c>
      <c r="B495">
        <f>'mk 001 10.3'!B496</f>
        <v>0</v>
      </c>
      <c r="C495" s="1">
        <f>'mk 001 10.3'!C496</f>
        <v>0</v>
      </c>
      <c r="D495" s="1">
        <f>'mk 001 10.3'!D496</f>
        <v>0</v>
      </c>
      <c r="E495">
        <f>'mk 001 10.3'!E496</f>
        <v>0</v>
      </c>
      <c r="F495">
        <f>'mk 001 10.3'!F496</f>
        <v>0</v>
      </c>
      <c r="G495">
        <f>'mk 001 10.3'!G496</f>
        <v>0</v>
      </c>
      <c r="H495">
        <f>'mk 001 10.3'!H496</f>
        <v>0</v>
      </c>
      <c r="I495">
        <f>'mk 001 10.3'!I496</f>
        <v>0</v>
      </c>
      <c r="J495">
        <f>'mk 001 10.3'!J496</f>
        <v>0</v>
      </c>
      <c r="K495">
        <f>'mk 001 10.3'!K496</f>
        <v>0</v>
      </c>
      <c r="L495">
        <f>'mk 001 10.3'!L496</f>
        <v>0</v>
      </c>
      <c r="M495">
        <f>'mk 001 10.3'!M496</f>
        <v>0</v>
      </c>
      <c r="N495">
        <f>'mk 001 10.3'!N496</f>
        <v>0</v>
      </c>
      <c r="O495">
        <f>'mk 001 10.3'!O496</f>
        <v>0</v>
      </c>
      <c r="P495">
        <f>'mk 001 10.3'!P496</f>
        <v>0</v>
      </c>
      <c r="Q495">
        <f>'mk 001 10.3'!Q496</f>
        <v>0</v>
      </c>
      <c r="R495" s="1">
        <f>'mk 001 10.3'!R496</f>
        <v>0</v>
      </c>
      <c r="S495" s="1">
        <f>'mk 001 10.3'!S496</f>
        <v>0</v>
      </c>
      <c r="T495">
        <f>'mk 001 10.3'!T496</f>
        <v>0</v>
      </c>
      <c r="U495">
        <f>'mk 001 10.3'!U496</f>
        <v>0</v>
      </c>
      <c r="V495">
        <f>'mk 001 10.3'!V496</f>
        <v>0</v>
      </c>
      <c r="W495">
        <f>'mk 001 10.3'!W496</f>
        <v>0</v>
      </c>
      <c r="X495">
        <f>'mk 001 10.3'!X496</f>
        <v>0</v>
      </c>
      <c r="Y495">
        <f t="shared" si="8"/>
        <v>0</v>
      </c>
      <c r="Z495" s="13">
        <f>IF(COUNTIFS(แปลงข้อมูล!H:H,Q495,แปลงข้อมูล!I:I,U495,แปลงข้อมูล!J:J,V495)&gt;0,SUMIFS(แปลงข้อมูล!Q:Q,แปลงข้อมูล!I:I,U495,แปลงข้อมูล!H:H,Q495,แปลงข้อมูล!J:J,V495),'mk 001 10.3'!Z496)</f>
        <v>0</v>
      </c>
      <c r="AA495">
        <f>'mk 001 10.3'!AA496</f>
        <v>0</v>
      </c>
      <c r="AB495">
        <f>'mk 001 10.3'!AB496</f>
        <v>0</v>
      </c>
      <c r="AC495">
        <f>'mk 001 10.3'!AC496</f>
        <v>0</v>
      </c>
      <c r="AD495">
        <f>'mk 001 10.3'!AD496</f>
        <v>0</v>
      </c>
      <c r="AE495">
        <f>'mk 001 10.3'!AE496</f>
        <v>0</v>
      </c>
      <c r="AF495">
        <f>'mk 001 10.3'!AF496</f>
        <v>0</v>
      </c>
      <c r="AG495">
        <f>'mk 001 10.3'!AG496</f>
        <v>0</v>
      </c>
      <c r="AH495">
        <f>'mk 001 10.3'!AH496</f>
        <v>0</v>
      </c>
      <c r="AI495">
        <f>'mk 001 10.3'!AI496</f>
        <v>0</v>
      </c>
      <c r="AJ495">
        <f>'mk 001 10.3'!AJ496</f>
        <v>0</v>
      </c>
      <c r="AK495">
        <f>'mk 001 10.3'!AK496</f>
        <v>0</v>
      </c>
      <c r="AL495">
        <f>'mk 001 10.3'!AL496</f>
        <v>0</v>
      </c>
      <c r="AM495">
        <f>'mk 001 10.3'!AM496</f>
        <v>0</v>
      </c>
      <c r="AN495">
        <f>'mk 001 10.3'!AN496</f>
        <v>0</v>
      </c>
      <c r="AO495">
        <f>'mk 001 10.3'!AO496</f>
        <v>0</v>
      </c>
      <c r="AP495">
        <f>'mk 001 10.3'!AP496</f>
        <v>0</v>
      </c>
      <c r="AQ495">
        <f>'mk 001 10.3'!AQ496</f>
        <v>0</v>
      </c>
      <c r="AR495">
        <f>'mk 001 10.3'!AR496</f>
        <v>0</v>
      </c>
      <c r="AS495">
        <f>'mk 001 10.3'!AS496</f>
        <v>0</v>
      </c>
      <c r="AT495">
        <f>'mk 001 10.3'!AT496</f>
        <v>0</v>
      </c>
      <c r="AU495">
        <f>'mk 001 10.3'!AU496</f>
        <v>0</v>
      </c>
      <c r="AV495">
        <f>'mk 001 10.3'!AV496</f>
        <v>0</v>
      </c>
      <c r="AW495">
        <f>'mk 001 10.3'!AW496</f>
        <v>0</v>
      </c>
      <c r="AX495">
        <f>'mk 001 10.3'!AX496</f>
        <v>0</v>
      </c>
      <c r="AY495">
        <f>'mk 001 10.3'!AY496</f>
        <v>0</v>
      </c>
      <c r="AZ495">
        <f>'mk 001 10.3'!AZ496</f>
        <v>0</v>
      </c>
      <c r="BA495" s="22">
        <f>'mk 001 10.3'!BA496</f>
        <v>0</v>
      </c>
      <c r="BB495">
        <f>'mk 001 10.3'!BB496</f>
        <v>0</v>
      </c>
      <c r="BC495">
        <f>'mk 001 10.3'!BC496</f>
        <v>0</v>
      </c>
      <c r="BD495">
        <f>'mk 001 10.3'!BD496</f>
        <v>0</v>
      </c>
      <c r="BE495">
        <f>'mk 001 10.3'!BE496</f>
        <v>0</v>
      </c>
      <c r="BF495">
        <f>'mk 001 10.3'!BF496</f>
        <v>0</v>
      </c>
      <c r="BG495">
        <f>'mk 001 10.3'!BG496</f>
        <v>0</v>
      </c>
      <c r="BH495">
        <f>'mk 001 10.3'!BH496</f>
        <v>0</v>
      </c>
      <c r="BI495">
        <f>'mk 001 10.3'!BI496</f>
        <v>0</v>
      </c>
      <c r="BJ495">
        <f>'mk 001 10.3'!BJ496</f>
        <v>0</v>
      </c>
      <c r="BK495">
        <f>'mk 001 10.3'!BK496</f>
        <v>0</v>
      </c>
      <c r="BL495">
        <f>'mk 001 10.3'!BL496</f>
        <v>0</v>
      </c>
      <c r="BM495">
        <f>'mk 001 10.3'!BM496</f>
        <v>0</v>
      </c>
      <c r="BN495">
        <f>'mk 001 10.3'!BN496</f>
        <v>0</v>
      </c>
    </row>
    <row r="496" spans="1:66" x14ac:dyDescent="0.35">
      <c r="A496">
        <f>'mk 001 10.3'!A497</f>
        <v>0</v>
      </c>
      <c r="B496">
        <f>'mk 001 10.3'!B497</f>
        <v>0</v>
      </c>
      <c r="C496" s="1">
        <f>'mk 001 10.3'!C497</f>
        <v>0</v>
      </c>
      <c r="D496" s="1">
        <f>'mk 001 10.3'!D497</f>
        <v>0</v>
      </c>
      <c r="E496">
        <f>'mk 001 10.3'!E497</f>
        <v>0</v>
      </c>
      <c r="F496">
        <f>'mk 001 10.3'!F497</f>
        <v>0</v>
      </c>
      <c r="G496">
        <f>'mk 001 10.3'!G497</f>
        <v>0</v>
      </c>
      <c r="H496">
        <f>'mk 001 10.3'!H497</f>
        <v>0</v>
      </c>
      <c r="I496">
        <f>'mk 001 10.3'!I497</f>
        <v>0</v>
      </c>
      <c r="J496">
        <f>'mk 001 10.3'!J497</f>
        <v>0</v>
      </c>
      <c r="K496">
        <f>'mk 001 10.3'!K497</f>
        <v>0</v>
      </c>
      <c r="L496">
        <f>'mk 001 10.3'!L497</f>
        <v>0</v>
      </c>
      <c r="M496">
        <f>'mk 001 10.3'!M497</f>
        <v>0</v>
      </c>
      <c r="N496">
        <f>'mk 001 10.3'!N497</f>
        <v>0</v>
      </c>
      <c r="O496">
        <f>'mk 001 10.3'!O497</f>
        <v>0</v>
      </c>
      <c r="P496">
        <f>'mk 001 10.3'!P497</f>
        <v>0</v>
      </c>
      <c r="Q496">
        <f>'mk 001 10.3'!Q497</f>
        <v>0</v>
      </c>
      <c r="R496" s="1">
        <f>'mk 001 10.3'!R497</f>
        <v>0</v>
      </c>
      <c r="S496" s="1">
        <f>'mk 001 10.3'!S497</f>
        <v>0</v>
      </c>
      <c r="T496">
        <f>'mk 001 10.3'!T497</f>
        <v>0</v>
      </c>
      <c r="U496">
        <f>'mk 001 10.3'!U497</f>
        <v>0</v>
      </c>
      <c r="V496">
        <f>'mk 001 10.3'!V497</f>
        <v>0</v>
      </c>
      <c r="W496">
        <f>'mk 001 10.3'!W497</f>
        <v>0</v>
      </c>
      <c r="X496">
        <f>'mk 001 10.3'!X497</f>
        <v>0</v>
      </c>
      <c r="Y496">
        <f t="shared" si="8"/>
        <v>0</v>
      </c>
      <c r="Z496" s="13">
        <f>IF(COUNTIFS(แปลงข้อมูล!H:H,Q496,แปลงข้อมูล!I:I,U496,แปลงข้อมูล!J:J,V496)&gt;0,SUMIFS(แปลงข้อมูล!Q:Q,แปลงข้อมูล!I:I,U496,แปลงข้อมูล!H:H,Q496,แปลงข้อมูล!J:J,V496),'mk 001 10.3'!Z497)</f>
        <v>0</v>
      </c>
      <c r="AA496">
        <f>'mk 001 10.3'!AA497</f>
        <v>0</v>
      </c>
      <c r="AB496">
        <f>'mk 001 10.3'!AB497</f>
        <v>0</v>
      </c>
      <c r="AC496">
        <f>'mk 001 10.3'!AC497</f>
        <v>0</v>
      </c>
      <c r="AD496">
        <f>'mk 001 10.3'!AD497</f>
        <v>0</v>
      </c>
      <c r="AE496">
        <f>'mk 001 10.3'!AE497</f>
        <v>0</v>
      </c>
      <c r="AF496">
        <f>'mk 001 10.3'!AF497</f>
        <v>0</v>
      </c>
      <c r="AG496">
        <f>'mk 001 10.3'!AG497</f>
        <v>0</v>
      </c>
      <c r="AH496">
        <f>'mk 001 10.3'!AH497</f>
        <v>0</v>
      </c>
      <c r="AI496">
        <f>'mk 001 10.3'!AI497</f>
        <v>0</v>
      </c>
      <c r="AJ496">
        <f>'mk 001 10.3'!AJ497</f>
        <v>0</v>
      </c>
      <c r="AK496">
        <f>'mk 001 10.3'!AK497</f>
        <v>0</v>
      </c>
      <c r="AL496">
        <f>'mk 001 10.3'!AL497</f>
        <v>0</v>
      </c>
      <c r="AM496">
        <f>'mk 001 10.3'!AM497</f>
        <v>0</v>
      </c>
      <c r="AN496">
        <f>'mk 001 10.3'!AN497</f>
        <v>0</v>
      </c>
      <c r="AO496">
        <f>'mk 001 10.3'!AO497</f>
        <v>0</v>
      </c>
      <c r="AP496">
        <f>'mk 001 10.3'!AP497</f>
        <v>0</v>
      </c>
      <c r="AQ496">
        <f>'mk 001 10.3'!AQ497</f>
        <v>0</v>
      </c>
      <c r="AR496">
        <f>'mk 001 10.3'!AR497</f>
        <v>0</v>
      </c>
      <c r="AS496">
        <f>'mk 001 10.3'!AS497</f>
        <v>0</v>
      </c>
      <c r="AT496">
        <f>'mk 001 10.3'!AT497</f>
        <v>0</v>
      </c>
      <c r="AU496">
        <f>'mk 001 10.3'!AU497</f>
        <v>0</v>
      </c>
      <c r="AV496">
        <f>'mk 001 10.3'!AV497</f>
        <v>0</v>
      </c>
      <c r="AW496">
        <f>'mk 001 10.3'!AW497</f>
        <v>0</v>
      </c>
      <c r="AX496">
        <f>'mk 001 10.3'!AX497</f>
        <v>0</v>
      </c>
      <c r="AY496">
        <f>'mk 001 10.3'!AY497</f>
        <v>0</v>
      </c>
      <c r="AZ496">
        <f>'mk 001 10.3'!AZ497</f>
        <v>0</v>
      </c>
      <c r="BA496" s="22">
        <f>'mk 001 10.3'!BA497</f>
        <v>0</v>
      </c>
      <c r="BB496">
        <f>'mk 001 10.3'!BB497</f>
        <v>0</v>
      </c>
      <c r="BC496">
        <f>'mk 001 10.3'!BC497</f>
        <v>0</v>
      </c>
      <c r="BD496">
        <f>'mk 001 10.3'!BD497</f>
        <v>0</v>
      </c>
      <c r="BE496">
        <f>'mk 001 10.3'!BE497</f>
        <v>0</v>
      </c>
      <c r="BF496">
        <f>'mk 001 10.3'!BF497</f>
        <v>0</v>
      </c>
      <c r="BG496">
        <f>'mk 001 10.3'!BG497</f>
        <v>0</v>
      </c>
      <c r="BH496">
        <f>'mk 001 10.3'!BH497</f>
        <v>0</v>
      </c>
      <c r="BI496">
        <f>'mk 001 10.3'!BI497</f>
        <v>0</v>
      </c>
      <c r="BJ496">
        <f>'mk 001 10.3'!BJ497</f>
        <v>0</v>
      </c>
      <c r="BK496">
        <f>'mk 001 10.3'!BK497</f>
        <v>0</v>
      </c>
      <c r="BL496">
        <f>'mk 001 10.3'!BL497</f>
        <v>0</v>
      </c>
      <c r="BM496">
        <f>'mk 001 10.3'!BM497</f>
        <v>0</v>
      </c>
      <c r="BN496">
        <f>'mk 001 10.3'!BN497</f>
        <v>0</v>
      </c>
    </row>
    <row r="497" spans="1:66" x14ac:dyDescent="0.35">
      <c r="A497">
        <f>'mk 001 10.3'!A498</f>
        <v>0</v>
      </c>
      <c r="B497">
        <f>'mk 001 10.3'!B498</f>
        <v>0</v>
      </c>
      <c r="C497" s="1">
        <f>'mk 001 10.3'!C498</f>
        <v>0</v>
      </c>
      <c r="D497" s="1">
        <f>'mk 001 10.3'!D498</f>
        <v>0</v>
      </c>
      <c r="E497">
        <f>'mk 001 10.3'!E498</f>
        <v>0</v>
      </c>
      <c r="F497">
        <f>'mk 001 10.3'!F498</f>
        <v>0</v>
      </c>
      <c r="G497">
        <f>'mk 001 10.3'!G498</f>
        <v>0</v>
      </c>
      <c r="H497">
        <f>'mk 001 10.3'!H498</f>
        <v>0</v>
      </c>
      <c r="I497">
        <f>'mk 001 10.3'!I498</f>
        <v>0</v>
      </c>
      <c r="J497">
        <f>'mk 001 10.3'!J498</f>
        <v>0</v>
      </c>
      <c r="K497">
        <f>'mk 001 10.3'!K498</f>
        <v>0</v>
      </c>
      <c r="L497">
        <f>'mk 001 10.3'!L498</f>
        <v>0</v>
      </c>
      <c r="M497">
        <f>'mk 001 10.3'!M498</f>
        <v>0</v>
      </c>
      <c r="N497">
        <f>'mk 001 10.3'!N498</f>
        <v>0</v>
      </c>
      <c r="O497">
        <f>'mk 001 10.3'!O498</f>
        <v>0</v>
      </c>
      <c r="P497">
        <f>'mk 001 10.3'!P498</f>
        <v>0</v>
      </c>
      <c r="Q497">
        <f>'mk 001 10.3'!Q498</f>
        <v>0</v>
      </c>
      <c r="R497" s="1">
        <f>'mk 001 10.3'!R498</f>
        <v>0</v>
      </c>
      <c r="S497" s="1">
        <f>'mk 001 10.3'!S498</f>
        <v>0</v>
      </c>
      <c r="T497">
        <f>'mk 001 10.3'!T498</f>
        <v>0</v>
      </c>
      <c r="U497">
        <f>'mk 001 10.3'!U498</f>
        <v>0</v>
      </c>
      <c r="V497">
        <f>'mk 001 10.3'!V498</f>
        <v>0</v>
      </c>
      <c r="W497">
        <f>'mk 001 10.3'!W498</f>
        <v>0</v>
      </c>
      <c r="X497">
        <f>'mk 001 10.3'!X498</f>
        <v>0</v>
      </c>
      <c r="Y497">
        <f t="shared" si="8"/>
        <v>0</v>
      </c>
      <c r="Z497" s="13">
        <f>IF(COUNTIFS(แปลงข้อมูล!H:H,Q497,แปลงข้อมูล!I:I,U497,แปลงข้อมูล!J:J,V497)&gt;0,SUMIFS(แปลงข้อมูล!Q:Q,แปลงข้อมูล!I:I,U497,แปลงข้อมูล!H:H,Q497,แปลงข้อมูล!J:J,V497),'mk 001 10.3'!Z498)</f>
        <v>0</v>
      </c>
      <c r="AA497">
        <f>'mk 001 10.3'!AA498</f>
        <v>0</v>
      </c>
      <c r="AB497">
        <f>'mk 001 10.3'!AB498</f>
        <v>0</v>
      </c>
      <c r="AC497">
        <f>'mk 001 10.3'!AC498</f>
        <v>0</v>
      </c>
      <c r="AD497">
        <f>'mk 001 10.3'!AD498</f>
        <v>0</v>
      </c>
      <c r="AE497">
        <f>'mk 001 10.3'!AE498</f>
        <v>0</v>
      </c>
      <c r="AF497">
        <f>'mk 001 10.3'!AF498</f>
        <v>0</v>
      </c>
      <c r="AG497">
        <f>'mk 001 10.3'!AG498</f>
        <v>0</v>
      </c>
      <c r="AH497">
        <f>'mk 001 10.3'!AH498</f>
        <v>0</v>
      </c>
      <c r="AI497">
        <f>'mk 001 10.3'!AI498</f>
        <v>0</v>
      </c>
      <c r="AJ497">
        <f>'mk 001 10.3'!AJ498</f>
        <v>0</v>
      </c>
      <c r="AK497">
        <f>'mk 001 10.3'!AK498</f>
        <v>0</v>
      </c>
      <c r="AL497">
        <f>'mk 001 10.3'!AL498</f>
        <v>0</v>
      </c>
      <c r="AM497">
        <f>'mk 001 10.3'!AM498</f>
        <v>0</v>
      </c>
      <c r="AN497">
        <f>'mk 001 10.3'!AN498</f>
        <v>0</v>
      </c>
      <c r="AO497">
        <f>'mk 001 10.3'!AO498</f>
        <v>0</v>
      </c>
      <c r="AP497">
        <f>'mk 001 10.3'!AP498</f>
        <v>0</v>
      </c>
      <c r="AQ497">
        <f>'mk 001 10.3'!AQ498</f>
        <v>0</v>
      </c>
      <c r="AR497">
        <f>'mk 001 10.3'!AR498</f>
        <v>0</v>
      </c>
      <c r="AS497">
        <f>'mk 001 10.3'!AS498</f>
        <v>0</v>
      </c>
      <c r="AT497">
        <f>'mk 001 10.3'!AT498</f>
        <v>0</v>
      </c>
      <c r="AU497">
        <f>'mk 001 10.3'!AU498</f>
        <v>0</v>
      </c>
      <c r="AV497">
        <f>'mk 001 10.3'!AV498</f>
        <v>0</v>
      </c>
      <c r="AW497">
        <f>'mk 001 10.3'!AW498</f>
        <v>0</v>
      </c>
      <c r="AX497">
        <f>'mk 001 10.3'!AX498</f>
        <v>0</v>
      </c>
      <c r="AY497">
        <f>'mk 001 10.3'!AY498</f>
        <v>0</v>
      </c>
      <c r="AZ497">
        <f>'mk 001 10.3'!AZ498</f>
        <v>0</v>
      </c>
      <c r="BA497" s="22">
        <f>'mk 001 10.3'!BA498</f>
        <v>0</v>
      </c>
      <c r="BB497">
        <f>'mk 001 10.3'!BB498</f>
        <v>0</v>
      </c>
      <c r="BC497">
        <f>'mk 001 10.3'!BC498</f>
        <v>0</v>
      </c>
      <c r="BD497">
        <f>'mk 001 10.3'!BD498</f>
        <v>0</v>
      </c>
      <c r="BE497">
        <f>'mk 001 10.3'!BE498</f>
        <v>0</v>
      </c>
      <c r="BF497">
        <f>'mk 001 10.3'!BF498</f>
        <v>0</v>
      </c>
      <c r="BG497">
        <f>'mk 001 10.3'!BG498</f>
        <v>0</v>
      </c>
      <c r="BH497">
        <f>'mk 001 10.3'!BH498</f>
        <v>0</v>
      </c>
      <c r="BI497">
        <f>'mk 001 10.3'!BI498</f>
        <v>0</v>
      </c>
      <c r="BJ497">
        <f>'mk 001 10.3'!BJ498</f>
        <v>0</v>
      </c>
      <c r="BK497">
        <f>'mk 001 10.3'!BK498</f>
        <v>0</v>
      </c>
      <c r="BL497">
        <f>'mk 001 10.3'!BL498</f>
        <v>0</v>
      </c>
      <c r="BM497">
        <f>'mk 001 10.3'!BM498</f>
        <v>0</v>
      </c>
      <c r="BN497">
        <f>'mk 001 10.3'!BN498</f>
        <v>0</v>
      </c>
    </row>
    <row r="498" spans="1:66" x14ac:dyDescent="0.35">
      <c r="A498">
        <f>'mk 001 10.3'!A499</f>
        <v>0</v>
      </c>
      <c r="B498">
        <f>'mk 001 10.3'!B499</f>
        <v>0</v>
      </c>
      <c r="C498" s="1">
        <f>'mk 001 10.3'!C499</f>
        <v>0</v>
      </c>
      <c r="D498" s="1">
        <f>'mk 001 10.3'!D499</f>
        <v>0</v>
      </c>
      <c r="E498">
        <f>'mk 001 10.3'!E499</f>
        <v>0</v>
      </c>
      <c r="F498">
        <f>'mk 001 10.3'!F499</f>
        <v>0</v>
      </c>
      <c r="G498">
        <f>'mk 001 10.3'!G499</f>
        <v>0</v>
      </c>
      <c r="H498">
        <f>'mk 001 10.3'!H499</f>
        <v>0</v>
      </c>
      <c r="I498">
        <f>'mk 001 10.3'!I499</f>
        <v>0</v>
      </c>
      <c r="J498">
        <f>'mk 001 10.3'!J499</f>
        <v>0</v>
      </c>
      <c r="K498">
        <f>'mk 001 10.3'!K499</f>
        <v>0</v>
      </c>
      <c r="L498">
        <f>'mk 001 10.3'!L499</f>
        <v>0</v>
      </c>
      <c r="M498">
        <f>'mk 001 10.3'!M499</f>
        <v>0</v>
      </c>
      <c r="N498">
        <f>'mk 001 10.3'!N499</f>
        <v>0</v>
      </c>
      <c r="O498">
        <f>'mk 001 10.3'!O499</f>
        <v>0</v>
      </c>
      <c r="P498">
        <f>'mk 001 10.3'!P499</f>
        <v>0</v>
      </c>
      <c r="Q498">
        <f>'mk 001 10.3'!Q499</f>
        <v>0</v>
      </c>
      <c r="R498" s="1">
        <f>'mk 001 10.3'!R499</f>
        <v>0</v>
      </c>
      <c r="S498" s="1">
        <f>'mk 001 10.3'!S499</f>
        <v>0</v>
      </c>
      <c r="T498">
        <f>'mk 001 10.3'!T499</f>
        <v>0</v>
      </c>
      <c r="U498">
        <f>'mk 001 10.3'!U499</f>
        <v>0</v>
      </c>
      <c r="V498">
        <f>'mk 001 10.3'!V499</f>
        <v>0</v>
      </c>
      <c r="W498">
        <f>'mk 001 10.3'!W499</f>
        <v>0</v>
      </c>
      <c r="X498">
        <f>'mk 001 10.3'!X499</f>
        <v>0</v>
      </c>
      <c r="Y498">
        <f t="shared" si="8"/>
        <v>0</v>
      </c>
      <c r="Z498" s="13">
        <f>IF(COUNTIFS(แปลงข้อมูล!H:H,Q498,แปลงข้อมูล!I:I,U498,แปลงข้อมูล!J:J,V498)&gt;0,SUMIFS(แปลงข้อมูล!Q:Q,แปลงข้อมูล!I:I,U498,แปลงข้อมูล!H:H,Q498,แปลงข้อมูล!J:J,V498),'mk 001 10.3'!Z499)</f>
        <v>0</v>
      </c>
      <c r="AA498">
        <f>'mk 001 10.3'!AA499</f>
        <v>0</v>
      </c>
      <c r="AB498">
        <f>'mk 001 10.3'!AB499</f>
        <v>0</v>
      </c>
      <c r="AC498">
        <f>'mk 001 10.3'!AC499</f>
        <v>0</v>
      </c>
      <c r="AD498">
        <f>'mk 001 10.3'!AD499</f>
        <v>0</v>
      </c>
      <c r="AE498">
        <f>'mk 001 10.3'!AE499</f>
        <v>0</v>
      </c>
      <c r="AF498">
        <f>'mk 001 10.3'!AF499</f>
        <v>0</v>
      </c>
      <c r="AG498">
        <f>'mk 001 10.3'!AG499</f>
        <v>0</v>
      </c>
      <c r="AH498">
        <f>'mk 001 10.3'!AH499</f>
        <v>0</v>
      </c>
      <c r="AI498">
        <f>'mk 001 10.3'!AI499</f>
        <v>0</v>
      </c>
      <c r="AJ498">
        <f>'mk 001 10.3'!AJ499</f>
        <v>0</v>
      </c>
      <c r="AK498">
        <f>'mk 001 10.3'!AK499</f>
        <v>0</v>
      </c>
      <c r="AL498">
        <f>'mk 001 10.3'!AL499</f>
        <v>0</v>
      </c>
      <c r="AM498">
        <f>'mk 001 10.3'!AM499</f>
        <v>0</v>
      </c>
      <c r="AN498">
        <f>'mk 001 10.3'!AN499</f>
        <v>0</v>
      </c>
      <c r="AO498">
        <f>'mk 001 10.3'!AO499</f>
        <v>0</v>
      </c>
      <c r="AP498">
        <f>'mk 001 10.3'!AP499</f>
        <v>0</v>
      </c>
      <c r="AQ498">
        <f>'mk 001 10.3'!AQ499</f>
        <v>0</v>
      </c>
      <c r="AR498">
        <f>'mk 001 10.3'!AR499</f>
        <v>0</v>
      </c>
      <c r="AS498">
        <f>'mk 001 10.3'!AS499</f>
        <v>0</v>
      </c>
      <c r="AT498">
        <f>'mk 001 10.3'!AT499</f>
        <v>0</v>
      </c>
      <c r="AU498">
        <f>'mk 001 10.3'!AU499</f>
        <v>0</v>
      </c>
      <c r="AV498">
        <f>'mk 001 10.3'!AV499</f>
        <v>0</v>
      </c>
      <c r="AW498">
        <f>'mk 001 10.3'!AW499</f>
        <v>0</v>
      </c>
      <c r="AX498">
        <f>'mk 001 10.3'!AX499</f>
        <v>0</v>
      </c>
      <c r="AY498">
        <f>'mk 001 10.3'!AY499</f>
        <v>0</v>
      </c>
      <c r="AZ498">
        <f>'mk 001 10.3'!AZ499</f>
        <v>0</v>
      </c>
      <c r="BA498" s="22">
        <f>'mk 001 10.3'!BA499</f>
        <v>0</v>
      </c>
      <c r="BB498">
        <f>'mk 001 10.3'!BB499</f>
        <v>0</v>
      </c>
      <c r="BC498">
        <f>'mk 001 10.3'!BC499</f>
        <v>0</v>
      </c>
      <c r="BD498">
        <f>'mk 001 10.3'!BD499</f>
        <v>0</v>
      </c>
      <c r="BE498">
        <f>'mk 001 10.3'!BE499</f>
        <v>0</v>
      </c>
      <c r="BF498">
        <f>'mk 001 10.3'!BF499</f>
        <v>0</v>
      </c>
      <c r="BG498">
        <f>'mk 001 10.3'!BG499</f>
        <v>0</v>
      </c>
      <c r="BH498">
        <f>'mk 001 10.3'!BH499</f>
        <v>0</v>
      </c>
      <c r="BI498">
        <f>'mk 001 10.3'!BI499</f>
        <v>0</v>
      </c>
      <c r="BJ498">
        <f>'mk 001 10.3'!BJ499</f>
        <v>0</v>
      </c>
      <c r="BK498">
        <f>'mk 001 10.3'!BK499</f>
        <v>0</v>
      </c>
      <c r="BL498">
        <f>'mk 001 10.3'!BL499</f>
        <v>0</v>
      </c>
      <c r="BM498">
        <f>'mk 001 10.3'!BM499</f>
        <v>0</v>
      </c>
      <c r="BN498">
        <f>'mk 001 10.3'!BN499</f>
        <v>0</v>
      </c>
    </row>
    <row r="499" spans="1:66" x14ac:dyDescent="0.35">
      <c r="A499">
        <f>'mk 001 10.3'!A500</f>
        <v>0</v>
      </c>
      <c r="B499">
        <f>'mk 001 10.3'!B500</f>
        <v>0</v>
      </c>
      <c r="C499" s="1">
        <f>'mk 001 10.3'!C500</f>
        <v>0</v>
      </c>
      <c r="D499" s="1">
        <f>'mk 001 10.3'!D500</f>
        <v>0</v>
      </c>
      <c r="E499">
        <f>'mk 001 10.3'!E500</f>
        <v>0</v>
      </c>
      <c r="F499">
        <f>'mk 001 10.3'!F500</f>
        <v>0</v>
      </c>
      <c r="G499">
        <f>'mk 001 10.3'!G500</f>
        <v>0</v>
      </c>
      <c r="H499">
        <f>'mk 001 10.3'!H500</f>
        <v>0</v>
      </c>
      <c r="I499">
        <f>'mk 001 10.3'!I500</f>
        <v>0</v>
      </c>
      <c r="J499">
        <f>'mk 001 10.3'!J500</f>
        <v>0</v>
      </c>
      <c r="K499">
        <f>'mk 001 10.3'!K500</f>
        <v>0</v>
      </c>
      <c r="L499">
        <f>'mk 001 10.3'!L500</f>
        <v>0</v>
      </c>
      <c r="M499">
        <f>'mk 001 10.3'!M500</f>
        <v>0</v>
      </c>
      <c r="N499">
        <f>'mk 001 10.3'!N500</f>
        <v>0</v>
      </c>
      <c r="O499">
        <f>'mk 001 10.3'!O500</f>
        <v>0</v>
      </c>
      <c r="P499">
        <f>'mk 001 10.3'!P500</f>
        <v>0</v>
      </c>
      <c r="Q499">
        <f>'mk 001 10.3'!Q500</f>
        <v>0</v>
      </c>
      <c r="R499" s="1">
        <f>'mk 001 10.3'!R500</f>
        <v>0</v>
      </c>
      <c r="S499" s="1">
        <f>'mk 001 10.3'!S500</f>
        <v>0</v>
      </c>
      <c r="T499">
        <f>'mk 001 10.3'!T500</f>
        <v>0</v>
      </c>
      <c r="U499">
        <f>'mk 001 10.3'!U500</f>
        <v>0</v>
      </c>
      <c r="V499">
        <f>'mk 001 10.3'!V500</f>
        <v>0</v>
      </c>
      <c r="W499">
        <f>'mk 001 10.3'!W500</f>
        <v>0</v>
      </c>
      <c r="X499">
        <f>'mk 001 10.3'!X500</f>
        <v>0</v>
      </c>
      <c r="Y499">
        <f t="shared" si="8"/>
        <v>0</v>
      </c>
      <c r="Z499" s="13">
        <f>IF(COUNTIFS(แปลงข้อมูล!H:H,Q499,แปลงข้อมูล!I:I,U499,แปลงข้อมูล!J:J,V499)&gt;0,SUMIFS(แปลงข้อมูล!Q:Q,แปลงข้อมูล!I:I,U499,แปลงข้อมูล!H:H,Q499,แปลงข้อมูล!J:J,V499),'mk 001 10.3'!Z500)</f>
        <v>0</v>
      </c>
      <c r="AA499">
        <f>'mk 001 10.3'!AA500</f>
        <v>0</v>
      </c>
      <c r="AB499">
        <f>'mk 001 10.3'!AB500</f>
        <v>0</v>
      </c>
      <c r="AC499">
        <f>'mk 001 10.3'!AC500</f>
        <v>0</v>
      </c>
      <c r="AD499">
        <f>'mk 001 10.3'!AD500</f>
        <v>0</v>
      </c>
      <c r="AE499">
        <f>'mk 001 10.3'!AE500</f>
        <v>0</v>
      </c>
      <c r="AF499">
        <f>'mk 001 10.3'!AF500</f>
        <v>0</v>
      </c>
      <c r="AG499">
        <f>'mk 001 10.3'!AG500</f>
        <v>0</v>
      </c>
      <c r="AH499">
        <f>'mk 001 10.3'!AH500</f>
        <v>0</v>
      </c>
      <c r="AI499">
        <f>'mk 001 10.3'!AI500</f>
        <v>0</v>
      </c>
      <c r="AJ499">
        <f>'mk 001 10.3'!AJ500</f>
        <v>0</v>
      </c>
      <c r="AK499">
        <f>'mk 001 10.3'!AK500</f>
        <v>0</v>
      </c>
      <c r="AL499">
        <f>'mk 001 10.3'!AL500</f>
        <v>0</v>
      </c>
      <c r="AM499">
        <f>'mk 001 10.3'!AM500</f>
        <v>0</v>
      </c>
      <c r="AN499">
        <f>'mk 001 10.3'!AN500</f>
        <v>0</v>
      </c>
      <c r="AO499">
        <f>'mk 001 10.3'!AO500</f>
        <v>0</v>
      </c>
      <c r="AP499">
        <f>'mk 001 10.3'!AP500</f>
        <v>0</v>
      </c>
      <c r="AQ499">
        <f>'mk 001 10.3'!AQ500</f>
        <v>0</v>
      </c>
      <c r="AR499">
        <f>'mk 001 10.3'!AR500</f>
        <v>0</v>
      </c>
      <c r="AS499">
        <f>'mk 001 10.3'!AS500</f>
        <v>0</v>
      </c>
      <c r="AT499">
        <f>'mk 001 10.3'!AT500</f>
        <v>0</v>
      </c>
      <c r="AU499">
        <f>'mk 001 10.3'!AU500</f>
        <v>0</v>
      </c>
      <c r="AV499">
        <f>'mk 001 10.3'!AV500</f>
        <v>0</v>
      </c>
      <c r="AW499">
        <f>'mk 001 10.3'!AW500</f>
        <v>0</v>
      </c>
      <c r="AX499">
        <f>'mk 001 10.3'!AX500</f>
        <v>0</v>
      </c>
      <c r="AY499">
        <f>'mk 001 10.3'!AY500</f>
        <v>0</v>
      </c>
      <c r="AZ499">
        <f>'mk 001 10.3'!AZ500</f>
        <v>0</v>
      </c>
      <c r="BA499" s="22">
        <f>'mk 001 10.3'!BA500</f>
        <v>0</v>
      </c>
      <c r="BB499">
        <f>'mk 001 10.3'!BB500</f>
        <v>0</v>
      </c>
      <c r="BC499">
        <f>'mk 001 10.3'!BC500</f>
        <v>0</v>
      </c>
      <c r="BD499">
        <f>'mk 001 10.3'!BD500</f>
        <v>0</v>
      </c>
      <c r="BE499">
        <f>'mk 001 10.3'!BE500</f>
        <v>0</v>
      </c>
      <c r="BF499">
        <f>'mk 001 10.3'!BF500</f>
        <v>0</v>
      </c>
      <c r="BG499">
        <f>'mk 001 10.3'!BG500</f>
        <v>0</v>
      </c>
      <c r="BH499">
        <f>'mk 001 10.3'!BH500</f>
        <v>0</v>
      </c>
      <c r="BI499">
        <f>'mk 001 10.3'!BI500</f>
        <v>0</v>
      </c>
      <c r="BJ499">
        <f>'mk 001 10.3'!BJ500</f>
        <v>0</v>
      </c>
      <c r="BK499">
        <f>'mk 001 10.3'!BK500</f>
        <v>0</v>
      </c>
      <c r="BL499">
        <f>'mk 001 10.3'!BL500</f>
        <v>0</v>
      </c>
      <c r="BM499">
        <f>'mk 001 10.3'!BM500</f>
        <v>0</v>
      </c>
      <c r="BN499">
        <f>'mk 001 10.3'!BN500</f>
        <v>0</v>
      </c>
    </row>
    <row r="500" spans="1:66" x14ac:dyDescent="0.35">
      <c r="A500">
        <f>'mk 001 10.3'!A501</f>
        <v>0</v>
      </c>
      <c r="B500">
        <f>'mk 001 10.3'!B501</f>
        <v>0</v>
      </c>
      <c r="C500" s="1">
        <f>'mk 001 10.3'!C501</f>
        <v>0</v>
      </c>
      <c r="D500" s="1">
        <f>'mk 001 10.3'!D501</f>
        <v>0</v>
      </c>
      <c r="E500">
        <f>'mk 001 10.3'!E501</f>
        <v>0</v>
      </c>
      <c r="F500">
        <f>'mk 001 10.3'!F501</f>
        <v>0</v>
      </c>
      <c r="G500">
        <f>'mk 001 10.3'!G501</f>
        <v>0</v>
      </c>
      <c r="H500">
        <f>'mk 001 10.3'!H501</f>
        <v>0</v>
      </c>
      <c r="I500">
        <f>'mk 001 10.3'!I501</f>
        <v>0</v>
      </c>
      <c r="J500">
        <f>'mk 001 10.3'!J501</f>
        <v>0</v>
      </c>
      <c r="K500">
        <f>'mk 001 10.3'!K501</f>
        <v>0</v>
      </c>
      <c r="L500">
        <f>'mk 001 10.3'!L501</f>
        <v>0</v>
      </c>
      <c r="M500">
        <f>'mk 001 10.3'!M501</f>
        <v>0</v>
      </c>
      <c r="N500">
        <f>'mk 001 10.3'!N501</f>
        <v>0</v>
      </c>
      <c r="O500">
        <f>'mk 001 10.3'!O501</f>
        <v>0</v>
      </c>
      <c r="P500">
        <f>'mk 001 10.3'!P501</f>
        <v>0</v>
      </c>
      <c r="Q500">
        <f>'mk 001 10.3'!Q501</f>
        <v>0</v>
      </c>
      <c r="R500" s="1">
        <f>'mk 001 10.3'!R501</f>
        <v>0</v>
      </c>
      <c r="S500" s="1">
        <f>'mk 001 10.3'!S501</f>
        <v>0</v>
      </c>
      <c r="T500">
        <f>'mk 001 10.3'!T501</f>
        <v>0</v>
      </c>
      <c r="U500">
        <f>'mk 001 10.3'!U501</f>
        <v>0</v>
      </c>
      <c r="V500">
        <f>'mk 001 10.3'!V501</f>
        <v>0</v>
      </c>
      <c r="W500">
        <f>'mk 001 10.3'!W501</f>
        <v>0</v>
      </c>
      <c r="X500">
        <f>'mk 001 10.3'!X501</f>
        <v>0</v>
      </c>
      <c r="Y500">
        <f t="shared" si="8"/>
        <v>0</v>
      </c>
      <c r="Z500" s="13">
        <f>IF(COUNTIFS(แปลงข้อมูล!H:H,Q500,แปลงข้อมูล!I:I,U500,แปลงข้อมูล!J:J,V500)&gt;0,SUMIFS(แปลงข้อมูล!Q:Q,แปลงข้อมูล!I:I,U500,แปลงข้อมูล!H:H,Q500,แปลงข้อมูล!J:J,V500),'mk 001 10.3'!Z501)</f>
        <v>0</v>
      </c>
      <c r="AA500">
        <f>'mk 001 10.3'!AA501</f>
        <v>0</v>
      </c>
      <c r="AB500">
        <f>'mk 001 10.3'!AB501</f>
        <v>0</v>
      </c>
      <c r="AC500">
        <f>'mk 001 10.3'!AC501</f>
        <v>0</v>
      </c>
      <c r="AD500">
        <f>'mk 001 10.3'!AD501</f>
        <v>0</v>
      </c>
      <c r="AE500">
        <f>'mk 001 10.3'!AE501</f>
        <v>0</v>
      </c>
      <c r="AF500">
        <f>'mk 001 10.3'!AF501</f>
        <v>0</v>
      </c>
      <c r="AG500">
        <f>'mk 001 10.3'!AG501</f>
        <v>0</v>
      </c>
      <c r="AH500">
        <f>'mk 001 10.3'!AH501</f>
        <v>0</v>
      </c>
      <c r="AI500">
        <f>'mk 001 10.3'!AI501</f>
        <v>0</v>
      </c>
      <c r="AJ500">
        <f>'mk 001 10.3'!AJ501</f>
        <v>0</v>
      </c>
      <c r="AK500">
        <f>'mk 001 10.3'!AK501</f>
        <v>0</v>
      </c>
      <c r="AL500">
        <f>'mk 001 10.3'!AL501</f>
        <v>0</v>
      </c>
      <c r="AM500">
        <f>'mk 001 10.3'!AM501</f>
        <v>0</v>
      </c>
      <c r="AN500">
        <f>'mk 001 10.3'!AN501</f>
        <v>0</v>
      </c>
      <c r="AO500">
        <f>'mk 001 10.3'!AO501</f>
        <v>0</v>
      </c>
      <c r="AP500">
        <f>'mk 001 10.3'!AP501</f>
        <v>0</v>
      </c>
      <c r="AQ500">
        <f>'mk 001 10.3'!AQ501</f>
        <v>0</v>
      </c>
      <c r="AR500">
        <f>'mk 001 10.3'!AR501</f>
        <v>0</v>
      </c>
      <c r="AS500">
        <f>'mk 001 10.3'!AS501</f>
        <v>0</v>
      </c>
      <c r="AT500">
        <f>'mk 001 10.3'!AT501</f>
        <v>0</v>
      </c>
      <c r="AU500">
        <f>'mk 001 10.3'!AU501</f>
        <v>0</v>
      </c>
      <c r="AV500">
        <f>'mk 001 10.3'!AV501</f>
        <v>0</v>
      </c>
      <c r="AW500">
        <f>'mk 001 10.3'!AW501</f>
        <v>0</v>
      </c>
      <c r="AX500">
        <f>'mk 001 10.3'!AX501</f>
        <v>0</v>
      </c>
      <c r="AY500">
        <f>'mk 001 10.3'!AY501</f>
        <v>0</v>
      </c>
      <c r="AZ500">
        <f>'mk 001 10.3'!AZ501</f>
        <v>0</v>
      </c>
      <c r="BA500" s="22">
        <f>'mk 001 10.3'!BA501</f>
        <v>0</v>
      </c>
      <c r="BB500">
        <f>'mk 001 10.3'!BB501</f>
        <v>0</v>
      </c>
      <c r="BC500">
        <f>'mk 001 10.3'!BC501</f>
        <v>0</v>
      </c>
      <c r="BD500">
        <f>'mk 001 10.3'!BD501</f>
        <v>0</v>
      </c>
      <c r="BE500">
        <f>'mk 001 10.3'!BE501</f>
        <v>0</v>
      </c>
      <c r="BF500">
        <f>'mk 001 10.3'!BF501</f>
        <v>0</v>
      </c>
      <c r="BG500">
        <f>'mk 001 10.3'!BG501</f>
        <v>0</v>
      </c>
      <c r="BH500">
        <f>'mk 001 10.3'!BH501</f>
        <v>0</v>
      </c>
      <c r="BI500">
        <f>'mk 001 10.3'!BI501</f>
        <v>0</v>
      </c>
      <c r="BJ500">
        <f>'mk 001 10.3'!BJ501</f>
        <v>0</v>
      </c>
      <c r="BK500">
        <f>'mk 001 10.3'!BK501</f>
        <v>0</v>
      </c>
      <c r="BL500">
        <f>'mk 001 10.3'!BL501</f>
        <v>0</v>
      </c>
      <c r="BM500">
        <f>'mk 001 10.3'!BM501</f>
        <v>0</v>
      </c>
      <c r="BN500">
        <f>'mk 001 10.3'!BN501</f>
        <v>0</v>
      </c>
    </row>
    <row r="501" spans="1:66" s="46" customFormat="1" x14ac:dyDescent="0.35">
      <c r="C501" s="47"/>
      <c r="D501" s="47"/>
      <c r="R501" s="47"/>
      <c r="S501" s="47"/>
      <c r="BA501" s="48"/>
    </row>
    <row r="502" spans="1:66" x14ac:dyDescent="0.35">
      <c r="A502" t="e" cm="1" vm="1">
        <f t="array" ref="A502">_xlfn.UNIQUE(_xlfn._xlws.FILTER('เพิ่ม SO'!A1:BN200, 'เพิ่ม SO'!Q1:Q200&lt;&gt;""))</f>
        <v>#VALUE!</v>
      </c>
    </row>
  </sheetData>
  <autoFilter ref="A1:BN400" xr:uid="{F20C807B-FBFD-4D0D-8788-4020D516637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2:B22"/>
  <sheetViews>
    <sheetView workbookViewId="0">
      <pane xSplit="3" ySplit="12" topLeftCell="D13" activePane="bottomRight" state="frozen"/>
      <selection pane="topRight" activeCell="B19" sqref="A2:B22"/>
      <selection pane="bottomLeft" activeCell="B19" sqref="A2:B22"/>
      <selection pane="bottomRight" activeCell="B11" sqref="B11"/>
    </sheetView>
  </sheetViews>
  <sheetFormatPr defaultColWidth="9.1796875" defaultRowHeight="14.5" x14ac:dyDescent="0.35"/>
  <cols>
    <col min="1" max="1" width="28.26953125" style="4" bestFit="1" customWidth="1"/>
    <col min="2" max="2" width="25.1796875" style="4" bestFit="1" customWidth="1"/>
    <col min="3" max="3" width="11" style="4" bestFit="1" customWidth="1"/>
    <col min="4" max="16384" width="9.1796875" style="4"/>
  </cols>
  <sheetData>
    <row r="2" spans="1:2" x14ac:dyDescent="0.35">
      <c r="A2" s="5" t="s">
        <v>0</v>
      </c>
      <c r="B2" s="4" t="s">
        <v>1</v>
      </c>
    </row>
    <row r="3" spans="1:2" x14ac:dyDescent="0.35">
      <c r="A3" s="5" t="s">
        <v>2</v>
      </c>
      <c r="B3" s="6">
        <v>923</v>
      </c>
    </row>
    <row r="4" spans="1:2" x14ac:dyDescent="0.35">
      <c r="A4" s="5" t="s">
        <v>3</v>
      </c>
      <c r="B4" s="4" t="s">
        <v>4</v>
      </c>
    </row>
    <row r="5" spans="1:2" x14ac:dyDescent="0.35">
      <c r="A5" s="5" t="s">
        <v>6</v>
      </c>
      <c r="B5" s="4" t="s">
        <v>4</v>
      </c>
    </row>
    <row r="6" spans="1:2" x14ac:dyDescent="0.35">
      <c r="A6" s="5" t="s">
        <v>12</v>
      </c>
      <c r="B6" s="4" t="s">
        <v>4</v>
      </c>
    </row>
    <row r="7" spans="1:2" x14ac:dyDescent="0.35">
      <c r="A7" s="5" t="s">
        <v>7</v>
      </c>
      <c r="B7" s="56" t="s">
        <v>8</v>
      </c>
    </row>
    <row r="8" spans="1:2" x14ac:dyDescent="0.35">
      <c r="A8" s="5" t="s">
        <v>13</v>
      </c>
      <c r="B8" s="4" t="s">
        <v>4</v>
      </c>
    </row>
    <row r="9" spans="1:2" x14ac:dyDescent="0.35">
      <c r="A9" s="5" t="s">
        <v>9</v>
      </c>
      <c r="B9" s="4" t="s">
        <v>4</v>
      </c>
    </row>
    <row r="10" spans="1:2" x14ac:dyDescent="0.35">
      <c r="B10" s="7" t="str">
        <f>+Sheet1!B8</f>
        <v>คืน 13.5</v>
      </c>
    </row>
    <row r="11" spans="1:2" x14ac:dyDescent="0.35">
      <c r="A11" s="5" t="s">
        <v>11</v>
      </c>
    </row>
    <row r="12" spans="1:2" x14ac:dyDescent="0.35">
      <c r="A12" s="5" t="s">
        <v>5</v>
      </c>
      <c r="B12" s="4" t="s">
        <v>14</v>
      </c>
    </row>
    <row r="13" spans="1:2" x14ac:dyDescent="0.35">
      <c r="A13" s="4" t="s">
        <v>232</v>
      </c>
      <c r="B13" s="4">
        <v>680</v>
      </c>
    </row>
    <row r="14" spans="1:2" x14ac:dyDescent="0.35">
      <c r="A14" s="4" t="s">
        <v>237</v>
      </c>
      <c r="B14" s="4">
        <v>2046.2</v>
      </c>
    </row>
    <row r="15" spans="1:2" x14ac:dyDescent="0.35">
      <c r="A15" s="4" t="s">
        <v>220</v>
      </c>
      <c r="B15" s="4">
        <v>452.40000000000003</v>
      </c>
    </row>
    <row r="16" spans="1:2" x14ac:dyDescent="0.35">
      <c r="A16" s="4" t="s">
        <v>258</v>
      </c>
      <c r="B16" s="4">
        <v>705</v>
      </c>
    </row>
    <row r="17" spans="1:2" x14ac:dyDescent="0.35">
      <c r="A17" s="4" t="s">
        <v>198</v>
      </c>
      <c r="B17" s="4">
        <v>1450.6</v>
      </c>
    </row>
    <row r="18" spans="1:2" x14ac:dyDescent="0.35">
      <c r="A18" s="4" t="s">
        <v>228</v>
      </c>
      <c r="B18" s="4">
        <v>1636.5998</v>
      </c>
    </row>
    <row r="19" spans="1:2" x14ac:dyDescent="0.35">
      <c r="A19" s="4" t="s">
        <v>241</v>
      </c>
      <c r="B19" s="4">
        <v>2846.2</v>
      </c>
    </row>
    <row r="20" spans="1:2" x14ac:dyDescent="0.35">
      <c r="A20" s="4" t="s">
        <v>133</v>
      </c>
      <c r="B20" s="4">
        <v>9816.9997999999996</v>
      </c>
    </row>
    <row r="21" spans="1:2" x14ac:dyDescent="0.35">
      <c r="A21"/>
      <c r="B21"/>
    </row>
    <row r="22" spans="1:2" x14ac:dyDescent="0.35">
      <c r="A22"/>
      <c r="B22"/>
    </row>
  </sheetData>
  <pageMargins left="0.7" right="0.7" top="0.75" bottom="0.75" header="0.3" footer="0.3"/>
  <pageSetup orientation="portrait" horizontalDpi="180" verticalDpi="18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2:C22"/>
  <sheetViews>
    <sheetView workbookViewId="0">
      <pane xSplit="3" ySplit="12" topLeftCell="D13" activePane="bottomRight" state="frozen"/>
      <selection pane="topRight" activeCell="B19" sqref="A2:B22"/>
      <selection pane="bottomLeft" activeCell="B19" sqref="A2:B22"/>
      <selection pane="bottomRight" activeCell="B11" sqref="B11"/>
    </sheetView>
  </sheetViews>
  <sheetFormatPr defaultColWidth="9.1796875" defaultRowHeight="14.5" x14ac:dyDescent="0.35"/>
  <cols>
    <col min="1" max="1" width="26.1796875" style="4" bestFit="1" customWidth="1"/>
    <col min="2" max="2" width="25.1796875" style="4" bestFit="1" customWidth="1"/>
    <col min="3" max="3" width="11" style="4" bestFit="1" customWidth="1"/>
    <col min="4" max="16384" width="9.1796875" style="4"/>
  </cols>
  <sheetData>
    <row r="2" spans="1:3" x14ac:dyDescent="0.35">
      <c r="A2" s="5" t="s">
        <v>0</v>
      </c>
      <c r="B2" s="4" t="s">
        <v>1</v>
      </c>
    </row>
    <row r="3" spans="1:3" x14ac:dyDescent="0.35">
      <c r="A3" s="5" t="s">
        <v>2</v>
      </c>
      <c r="B3" s="6">
        <v>923</v>
      </c>
    </row>
    <row r="4" spans="1:3" x14ac:dyDescent="0.35">
      <c r="A4" s="5" t="s">
        <v>3</v>
      </c>
      <c r="B4" s="4" t="s">
        <v>261</v>
      </c>
    </row>
    <row r="5" spans="1:3" x14ac:dyDescent="0.35">
      <c r="A5" s="5" t="s">
        <v>6</v>
      </c>
      <c r="B5" s="4" t="s">
        <v>4</v>
      </c>
    </row>
    <row r="6" spans="1:3" x14ac:dyDescent="0.35">
      <c r="A6" s="5" t="s">
        <v>12</v>
      </c>
      <c r="B6" s="4" t="s">
        <v>4</v>
      </c>
    </row>
    <row r="7" spans="1:3" x14ac:dyDescent="0.35">
      <c r="A7" s="5" t="s">
        <v>7</v>
      </c>
      <c r="B7" s="56" t="s">
        <v>8</v>
      </c>
    </row>
    <row r="8" spans="1:3" x14ac:dyDescent="0.35">
      <c r="A8" s="5" t="s">
        <v>13</v>
      </c>
      <c r="B8" s="4" t="s">
        <v>4</v>
      </c>
    </row>
    <row r="9" spans="1:3" x14ac:dyDescent="0.35">
      <c r="A9" s="5" t="s">
        <v>9</v>
      </c>
      <c r="B9" s="4" t="s">
        <v>4</v>
      </c>
    </row>
    <row r="10" spans="1:3" x14ac:dyDescent="0.35">
      <c r="B10" s="7" t="str">
        <f>+Sheet1!B8</f>
        <v>คืน 13.5</v>
      </c>
    </row>
    <row r="11" spans="1:3" x14ac:dyDescent="0.35">
      <c r="A11" s="5" t="s">
        <v>11</v>
      </c>
    </row>
    <row r="12" spans="1:3" x14ac:dyDescent="0.35">
      <c r="A12" s="5" t="s">
        <v>5</v>
      </c>
      <c r="B12" s="4" t="s">
        <v>14</v>
      </c>
      <c r="C12" s="8" t="s">
        <v>262</v>
      </c>
    </row>
    <row r="13" spans="1:3" x14ac:dyDescent="0.35">
      <c r="A13" s="4" t="s">
        <v>237</v>
      </c>
      <c r="B13" s="4">
        <v>11.2</v>
      </c>
      <c r="C13" s="8">
        <v>1</v>
      </c>
    </row>
    <row r="14" spans="1:3" x14ac:dyDescent="0.35">
      <c r="A14" s="4" t="s">
        <v>220</v>
      </c>
      <c r="B14" s="4">
        <v>21.4</v>
      </c>
      <c r="C14" s="8">
        <v>2</v>
      </c>
    </row>
    <row r="15" spans="1:3" x14ac:dyDescent="0.35">
      <c r="A15" s="4" t="s">
        <v>198</v>
      </c>
      <c r="B15" s="4">
        <v>5.6</v>
      </c>
      <c r="C15" s="8">
        <v>1</v>
      </c>
    </row>
    <row r="16" spans="1:3" x14ac:dyDescent="0.35">
      <c r="A16" s="4" t="s">
        <v>228</v>
      </c>
      <c r="B16" s="4">
        <v>89.6</v>
      </c>
    </row>
    <row r="17" spans="1:2" x14ac:dyDescent="0.35">
      <c r="A17" s="4" t="s">
        <v>241</v>
      </c>
      <c r="B17" s="4">
        <v>11.2</v>
      </c>
    </row>
    <row r="18" spans="1:2" x14ac:dyDescent="0.35">
      <c r="A18" s="4" t="s">
        <v>133</v>
      </c>
      <c r="B18" s="4">
        <v>138.99999999999997</v>
      </c>
    </row>
    <row r="19" spans="1:2" x14ac:dyDescent="0.35">
      <c r="A19"/>
      <c r="B19"/>
    </row>
    <row r="20" spans="1:2" x14ac:dyDescent="0.35">
      <c r="A20"/>
      <c r="B20"/>
    </row>
    <row r="21" spans="1:2" x14ac:dyDescent="0.35">
      <c r="A21"/>
      <c r="B21"/>
    </row>
    <row r="22" spans="1:2" x14ac:dyDescent="0.35">
      <c r="A22"/>
      <c r="B22"/>
    </row>
  </sheetData>
  <pageMargins left="0.7" right="0.7" top="0.75" bottom="0.75" header="0.3" footer="0.3"/>
  <pageSetup orientation="portrait" horizontalDpi="180" verticalDpi="18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E47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B21" sqref="B21"/>
    </sheetView>
  </sheetViews>
  <sheetFormatPr defaultRowHeight="14.5" x14ac:dyDescent="0.35"/>
  <cols>
    <col min="1" max="1" width="25.7265625" bestFit="1" customWidth="1"/>
    <col min="2" max="2" width="17.81640625" bestFit="1" customWidth="1"/>
    <col min="3" max="3" width="36" bestFit="1" customWidth="1"/>
    <col min="4" max="4" width="16.54296875" bestFit="1" customWidth="1"/>
    <col min="5" max="5" width="17" bestFit="1" customWidth="1"/>
    <col min="6" max="7" width="23.7265625" bestFit="1" customWidth="1"/>
    <col min="8" max="8" width="11.26953125" bestFit="1" customWidth="1"/>
  </cols>
  <sheetData>
    <row r="2" spans="1:5" x14ac:dyDescent="0.35">
      <c r="A2" s="2" t="s">
        <v>2</v>
      </c>
      <c r="B2" s="3">
        <v>923</v>
      </c>
    </row>
    <row r="3" spans="1:5" x14ac:dyDescent="0.35">
      <c r="A3" s="2" t="s">
        <v>0</v>
      </c>
      <c r="B3" t="s">
        <v>4</v>
      </c>
    </row>
    <row r="4" spans="1:5" x14ac:dyDescent="0.35">
      <c r="A4" s="2" t="s">
        <v>6</v>
      </c>
      <c r="B4" t="s">
        <v>4</v>
      </c>
    </row>
    <row r="5" spans="1:5" x14ac:dyDescent="0.35">
      <c r="A5" s="2" t="s">
        <v>7</v>
      </c>
      <c r="B5" s="1" t="s">
        <v>8</v>
      </c>
    </row>
    <row r="6" spans="1:5" x14ac:dyDescent="0.35">
      <c r="A6" s="2" t="s">
        <v>3</v>
      </c>
      <c r="B6" t="s">
        <v>261</v>
      </c>
    </row>
    <row r="7" spans="1:5" x14ac:dyDescent="0.35">
      <c r="A7" s="2" t="s">
        <v>9</v>
      </c>
      <c r="B7" t="s">
        <v>4</v>
      </c>
    </row>
    <row r="8" spans="1:5" x14ac:dyDescent="0.35">
      <c r="B8" s="7" t="str">
        <f>+Sheet1!B8</f>
        <v>คืน 13.5</v>
      </c>
    </row>
    <row r="9" spans="1:5" x14ac:dyDescent="0.35">
      <c r="D9" s="2" t="s">
        <v>263</v>
      </c>
    </row>
    <row r="10" spans="1:5" x14ac:dyDescent="0.35">
      <c r="A10" s="2" t="s">
        <v>5</v>
      </c>
      <c r="B10" s="2" t="s">
        <v>12</v>
      </c>
      <c r="C10" s="2" t="s">
        <v>13</v>
      </c>
      <c r="D10" t="s">
        <v>264</v>
      </c>
      <c r="E10" t="s">
        <v>11</v>
      </c>
    </row>
    <row r="11" spans="1:5" x14ac:dyDescent="0.35">
      <c r="A11" t="s">
        <v>237</v>
      </c>
      <c r="B11">
        <v>23084674</v>
      </c>
      <c r="C11" t="s">
        <v>52</v>
      </c>
      <c r="D11">
        <v>28</v>
      </c>
      <c r="E11">
        <v>11.2</v>
      </c>
    </row>
    <row r="12" spans="1:5" x14ac:dyDescent="0.35">
      <c r="A12" t="s">
        <v>220</v>
      </c>
      <c r="B12">
        <v>23084674</v>
      </c>
      <c r="C12" t="s">
        <v>52</v>
      </c>
      <c r="D12">
        <v>14</v>
      </c>
      <c r="E12">
        <v>5.6</v>
      </c>
    </row>
    <row r="13" spans="1:5" x14ac:dyDescent="0.35">
      <c r="B13">
        <v>23109351</v>
      </c>
      <c r="C13" t="s">
        <v>79</v>
      </c>
      <c r="D13">
        <v>4</v>
      </c>
      <c r="E13">
        <v>1</v>
      </c>
    </row>
    <row r="14" spans="1:5" x14ac:dyDescent="0.35">
      <c r="B14">
        <v>23109352</v>
      </c>
      <c r="C14" t="s">
        <v>80</v>
      </c>
      <c r="D14">
        <v>12</v>
      </c>
      <c r="E14">
        <v>3</v>
      </c>
    </row>
    <row r="15" spans="1:5" x14ac:dyDescent="0.35">
      <c r="B15">
        <v>23109353</v>
      </c>
      <c r="C15" t="s">
        <v>81</v>
      </c>
      <c r="D15">
        <v>12</v>
      </c>
      <c r="E15">
        <v>3</v>
      </c>
    </row>
    <row r="16" spans="1:5" x14ac:dyDescent="0.35">
      <c r="B16">
        <v>23109357</v>
      </c>
      <c r="C16" t="s">
        <v>82</v>
      </c>
      <c r="D16">
        <v>2</v>
      </c>
      <c r="E16">
        <v>0.8</v>
      </c>
    </row>
    <row r="17" spans="1:5" x14ac:dyDescent="0.35">
      <c r="B17">
        <v>23109358</v>
      </c>
      <c r="C17" t="s">
        <v>83</v>
      </c>
      <c r="D17">
        <v>4</v>
      </c>
      <c r="E17">
        <v>1.6</v>
      </c>
    </row>
    <row r="18" spans="1:5" x14ac:dyDescent="0.35">
      <c r="B18">
        <v>23109359</v>
      </c>
      <c r="C18" t="s">
        <v>84</v>
      </c>
      <c r="D18">
        <v>12</v>
      </c>
      <c r="E18">
        <v>4.8</v>
      </c>
    </row>
    <row r="19" spans="1:5" x14ac:dyDescent="0.35">
      <c r="B19">
        <v>23109532</v>
      </c>
      <c r="C19" t="s">
        <v>85</v>
      </c>
      <c r="D19">
        <v>4</v>
      </c>
      <c r="E19">
        <v>1.6</v>
      </c>
    </row>
    <row r="20" spans="1:5" x14ac:dyDescent="0.35">
      <c r="A20" t="s">
        <v>198</v>
      </c>
      <c r="B20">
        <v>23084674</v>
      </c>
      <c r="C20" t="s">
        <v>52</v>
      </c>
      <c r="D20">
        <v>14</v>
      </c>
      <c r="E20">
        <v>5.6</v>
      </c>
    </row>
    <row r="21" spans="1:5" x14ac:dyDescent="0.35">
      <c r="A21" t="s">
        <v>228</v>
      </c>
      <c r="B21">
        <v>23084674</v>
      </c>
      <c r="C21" t="s">
        <v>52</v>
      </c>
      <c r="D21">
        <v>14</v>
      </c>
      <c r="E21">
        <v>5.6</v>
      </c>
    </row>
    <row r="22" spans="1:5" x14ac:dyDescent="0.35">
      <c r="B22">
        <v>23110584</v>
      </c>
      <c r="C22" t="s">
        <v>86</v>
      </c>
      <c r="D22">
        <v>4</v>
      </c>
      <c r="E22">
        <v>4</v>
      </c>
    </row>
    <row r="23" spans="1:5" x14ac:dyDescent="0.35">
      <c r="B23">
        <v>23110587</v>
      </c>
      <c r="C23" t="s">
        <v>87</v>
      </c>
      <c r="D23">
        <v>4</v>
      </c>
      <c r="E23">
        <v>4</v>
      </c>
    </row>
    <row r="24" spans="1:5" x14ac:dyDescent="0.35">
      <c r="B24">
        <v>23110590</v>
      </c>
      <c r="C24" t="s">
        <v>88</v>
      </c>
      <c r="D24">
        <v>4</v>
      </c>
      <c r="E24">
        <v>4</v>
      </c>
    </row>
    <row r="25" spans="1:5" x14ac:dyDescent="0.35">
      <c r="B25">
        <v>23110593</v>
      </c>
      <c r="C25" t="s">
        <v>89</v>
      </c>
      <c r="D25">
        <v>4</v>
      </c>
      <c r="E25">
        <v>4</v>
      </c>
    </row>
    <row r="26" spans="1:5" x14ac:dyDescent="0.35">
      <c r="B26">
        <v>23110595</v>
      </c>
      <c r="C26" t="s">
        <v>90</v>
      </c>
      <c r="D26">
        <v>4</v>
      </c>
      <c r="E26">
        <v>4</v>
      </c>
    </row>
    <row r="27" spans="1:5" x14ac:dyDescent="0.35">
      <c r="B27">
        <v>23110600</v>
      </c>
      <c r="C27" t="s">
        <v>91</v>
      </c>
      <c r="D27">
        <v>4</v>
      </c>
      <c r="E27">
        <v>4</v>
      </c>
    </row>
    <row r="28" spans="1:5" x14ac:dyDescent="0.35">
      <c r="B28">
        <v>23111028</v>
      </c>
      <c r="C28" t="s">
        <v>92</v>
      </c>
      <c r="D28">
        <v>4</v>
      </c>
      <c r="E28">
        <v>2</v>
      </c>
    </row>
    <row r="29" spans="1:5" x14ac:dyDescent="0.35">
      <c r="B29">
        <v>23111033</v>
      </c>
      <c r="C29" t="s">
        <v>93</v>
      </c>
      <c r="D29">
        <v>12</v>
      </c>
      <c r="E29">
        <v>6</v>
      </c>
    </row>
    <row r="30" spans="1:5" x14ac:dyDescent="0.35">
      <c r="B30">
        <v>23111034</v>
      </c>
      <c r="C30" t="s">
        <v>94</v>
      </c>
      <c r="D30">
        <v>8</v>
      </c>
      <c r="E30">
        <v>4</v>
      </c>
    </row>
    <row r="31" spans="1:5" x14ac:dyDescent="0.35">
      <c r="B31">
        <v>23111035</v>
      </c>
      <c r="C31" t="s">
        <v>95</v>
      </c>
      <c r="D31">
        <v>8</v>
      </c>
      <c r="E31">
        <v>4</v>
      </c>
    </row>
    <row r="32" spans="1:5" x14ac:dyDescent="0.35">
      <c r="B32">
        <v>23111036</v>
      </c>
      <c r="C32" t="s">
        <v>96</v>
      </c>
      <c r="D32">
        <v>8</v>
      </c>
      <c r="E32">
        <v>4</v>
      </c>
    </row>
    <row r="33" spans="1:5" x14ac:dyDescent="0.35">
      <c r="B33">
        <v>23111037</v>
      </c>
      <c r="C33" t="s">
        <v>97</v>
      </c>
      <c r="D33">
        <v>8</v>
      </c>
      <c r="E33">
        <v>4</v>
      </c>
    </row>
    <row r="34" spans="1:5" x14ac:dyDescent="0.35">
      <c r="B34">
        <v>23111031</v>
      </c>
      <c r="C34" t="s">
        <v>98</v>
      </c>
      <c r="D34">
        <v>4</v>
      </c>
      <c r="E34">
        <v>2</v>
      </c>
    </row>
    <row r="35" spans="1:5" x14ac:dyDescent="0.35">
      <c r="B35">
        <v>23110589</v>
      </c>
      <c r="C35" t="s">
        <v>99</v>
      </c>
      <c r="D35">
        <v>4</v>
      </c>
      <c r="E35">
        <v>4</v>
      </c>
    </row>
    <row r="36" spans="1:5" x14ac:dyDescent="0.35">
      <c r="B36">
        <v>23110596</v>
      </c>
      <c r="C36" t="s">
        <v>100</v>
      </c>
      <c r="D36">
        <v>4</v>
      </c>
      <c r="E36">
        <v>4</v>
      </c>
    </row>
    <row r="37" spans="1:5" x14ac:dyDescent="0.35">
      <c r="B37">
        <v>23110597</v>
      </c>
      <c r="C37" t="s">
        <v>101</v>
      </c>
      <c r="D37">
        <v>4</v>
      </c>
      <c r="E37">
        <v>4</v>
      </c>
    </row>
    <row r="38" spans="1:5" x14ac:dyDescent="0.35">
      <c r="B38">
        <v>23110588</v>
      </c>
      <c r="C38" t="s">
        <v>102</v>
      </c>
      <c r="D38">
        <v>4</v>
      </c>
      <c r="E38">
        <v>4</v>
      </c>
    </row>
    <row r="39" spans="1:5" x14ac:dyDescent="0.35">
      <c r="B39">
        <v>23110619</v>
      </c>
      <c r="C39" t="s">
        <v>104</v>
      </c>
      <c r="D39">
        <v>4</v>
      </c>
      <c r="E39">
        <v>2</v>
      </c>
    </row>
    <row r="40" spans="1:5" x14ac:dyDescent="0.35">
      <c r="B40">
        <v>23111038</v>
      </c>
      <c r="C40" t="s">
        <v>105</v>
      </c>
      <c r="D40">
        <v>4</v>
      </c>
      <c r="E40">
        <v>2</v>
      </c>
    </row>
    <row r="41" spans="1:5" x14ac:dyDescent="0.35">
      <c r="B41">
        <v>23111030</v>
      </c>
      <c r="C41" t="s">
        <v>106</v>
      </c>
      <c r="D41">
        <v>4</v>
      </c>
      <c r="E41">
        <v>2</v>
      </c>
    </row>
    <row r="42" spans="1:5" x14ac:dyDescent="0.35">
      <c r="B42">
        <v>23111029</v>
      </c>
      <c r="C42" t="s">
        <v>107</v>
      </c>
      <c r="D42">
        <v>4</v>
      </c>
      <c r="E42">
        <v>2</v>
      </c>
    </row>
    <row r="43" spans="1:5" x14ac:dyDescent="0.35">
      <c r="B43">
        <v>23110631</v>
      </c>
      <c r="C43" t="s">
        <v>118</v>
      </c>
      <c r="D43">
        <v>4</v>
      </c>
      <c r="E43">
        <v>6</v>
      </c>
    </row>
    <row r="44" spans="1:5" x14ac:dyDescent="0.35">
      <c r="B44">
        <v>23110623</v>
      </c>
      <c r="C44" t="s">
        <v>124</v>
      </c>
      <c r="D44">
        <v>4</v>
      </c>
      <c r="E44">
        <v>2</v>
      </c>
    </row>
    <row r="45" spans="1:5" x14ac:dyDescent="0.35">
      <c r="B45">
        <v>23110624</v>
      </c>
      <c r="C45" t="s">
        <v>125</v>
      </c>
      <c r="D45">
        <v>4</v>
      </c>
      <c r="E45">
        <v>2</v>
      </c>
    </row>
    <row r="46" spans="1:5" x14ac:dyDescent="0.35">
      <c r="A46" t="s">
        <v>241</v>
      </c>
      <c r="B46">
        <v>23084674</v>
      </c>
      <c r="C46" t="s">
        <v>52</v>
      </c>
      <c r="D46">
        <v>28</v>
      </c>
      <c r="E46">
        <v>11.2</v>
      </c>
    </row>
    <row r="47" spans="1:5" x14ac:dyDescent="0.35">
      <c r="A47" t="s">
        <v>133</v>
      </c>
      <c r="D47">
        <v>268</v>
      </c>
      <c r="E47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2052-2D9E-4F24-A9D7-108F00C57401}">
  <dimension ref="A1:C62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R64" sqref="R64"/>
    </sheetView>
  </sheetViews>
  <sheetFormatPr defaultRowHeight="14.5" x14ac:dyDescent="0.35"/>
  <cols>
    <col min="1" max="1" width="21.453125" bestFit="1" customWidth="1"/>
    <col min="2" max="2" width="36" bestFit="1" customWidth="1"/>
    <col min="3" max="3" width="7.54296875" bestFit="1" customWidth="1"/>
  </cols>
  <sheetData>
    <row r="1" spans="1:3" x14ac:dyDescent="0.35">
      <c r="A1" s="2" t="s">
        <v>0</v>
      </c>
      <c r="B1" t="s">
        <v>1</v>
      </c>
    </row>
    <row r="2" spans="1:3" x14ac:dyDescent="0.35">
      <c r="A2" s="2" t="s">
        <v>2</v>
      </c>
      <c r="B2" s="3">
        <v>923</v>
      </c>
    </row>
    <row r="3" spans="1:3" x14ac:dyDescent="0.35">
      <c r="A3" s="2" t="s">
        <v>3</v>
      </c>
      <c r="B3" t="s">
        <v>4</v>
      </c>
    </row>
    <row r="4" spans="1:3" x14ac:dyDescent="0.35">
      <c r="A4" s="2" t="s">
        <v>5</v>
      </c>
      <c r="B4" t="s">
        <v>198</v>
      </c>
    </row>
    <row r="5" spans="1:3" x14ac:dyDescent="0.35">
      <c r="A5" s="2" t="s">
        <v>6</v>
      </c>
      <c r="B5" t="s">
        <v>4</v>
      </c>
    </row>
    <row r="6" spans="1:3" x14ac:dyDescent="0.35">
      <c r="A6" s="2" t="s">
        <v>7</v>
      </c>
      <c r="B6" s="1" t="s">
        <v>8</v>
      </c>
    </row>
    <row r="7" spans="1:3" x14ac:dyDescent="0.35">
      <c r="A7" s="2" t="s">
        <v>9</v>
      </c>
      <c r="B7" t="s">
        <v>4</v>
      </c>
    </row>
    <row r="8" spans="1:3" x14ac:dyDescent="0.35">
      <c r="B8" s="7" t="str">
        <f>+Sheet1!B8</f>
        <v>คืน 13.5</v>
      </c>
    </row>
    <row r="9" spans="1:3" x14ac:dyDescent="0.35">
      <c r="A9" s="2" t="s">
        <v>11</v>
      </c>
    </row>
    <row r="10" spans="1:3" x14ac:dyDescent="0.35">
      <c r="A10" s="2" t="s">
        <v>12</v>
      </c>
      <c r="B10" s="2" t="s">
        <v>13</v>
      </c>
      <c r="C10" t="s">
        <v>14</v>
      </c>
    </row>
    <row r="11" spans="1:3" x14ac:dyDescent="0.35">
      <c r="A11">
        <v>23000206</v>
      </c>
      <c r="B11" t="s">
        <v>15</v>
      </c>
      <c r="C11">
        <v>5</v>
      </c>
    </row>
    <row r="12" spans="1:3" x14ac:dyDescent="0.35">
      <c r="A12">
        <v>23057809</v>
      </c>
      <c r="B12" t="s">
        <v>18</v>
      </c>
      <c r="C12">
        <v>30</v>
      </c>
    </row>
    <row r="13" spans="1:3" x14ac:dyDescent="0.35">
      <c r="A13">
        <v>23057812</v>
      </c>
      <c r="B13" t="s">
        <v>19</v>
      </c>
      <c r="C13">
        <v>130</v>
      </c>
    </row>
    <row r="14" spans="1:3" x14ac:dyDescent="0.35">
      <c r="A14">
        <v>23057815</v>
      </c>
      <c r="B14" t="s">
        <v>20</v>
      </c>
      <c r="C14">
        <v>100</v>
      </c>
    </row>
    <row r="15" spans="1:3" x14ac:dyDescent="0.35">
      <c r="A15">
        <v>23057818</v>
      </c>
      <c r="B15" t="s">
        <v>21</v>
      </c>
      <c r="C15">
        <v>0</v>
      </c>
    </row>
    <row r="16" spans="1:3" x14ac:dyDescent="0.35">
      <c r="A16">
        <v>23057821</v>
      </c>
      <c r="B16" t="s">
        <v>22</v>
      </c>
      <c r="C16">
        <v>20</v>
      </c>
    </row>
    <row r="17" spans="1:3" x14ac:dyDescent="0.35">
      <c r="A17">
        <v>23057824</v>
      </c>
      <c r="B17" t="s">
        <v>23</v>
      </c>
      <c r="C17">
        <v>80</v>
      </c>
    </row>
    <row r="18" spans="1:3" x14ac:dyDescent="0.35">
      <c r="A18">
        <v>23058551</v>
      </c>
      <c r="B18" t="s">
        <v>25</v>
      </c>
      <c r="C18">
        <v>5</v>
      </c>
    </row>
    <row r="19" spans="1:3" x14ac:dyDescent="0.35">
      <c r="A19">
        <v>23058552</v>
      </c>
      <c r="B19" t="s">
        <v>26</v>
      </c>
      <c r="C19">
        <v>0</v>
      </c>
    </row>
    <row r="20" spans="1:3" x14ac:dyDescent="0.35">
      <c r="A20">
        <v>23058553</v>
      </c>
      <c r="B20" t="s">
        <v>27</v>
      </c>
      <c r="C20">
        <v>110</v>
      </c>
    </row>
    <row r="21" spans="1:3" x14ac:dyDescent="0.35">
      <c r="A21">
        <v>23058555</v>
      </c>
      <c r="B21" t="s">
        <v>28</v>
      </c>
      <c r="C21">
        <v>70</v>
      </c>
    </row>
    <row r="22" spans="1:3" x14ac:dyDescent="0.35">
      <c r="A22">
        <v>23058584</v>
      </c>
      <c r="B22" t="s">
        <v>29</v>
      </c>
      <c r="C22">
        <v>20</v>
      </c>
    </row>
    <row r="23" spans="1:3" x14ac:dyDescent="0.35">
      <c r="A23">
        <v>23058585</v>
      </c>
      <c r="B23" t="s">
        <v>30</v>
      </c>
      <c r="C23">
        <v>10</v>
      </c>
    </row>
    <row r="24" spans="1:3" x14ac:dyDescent="0.35">
      <c r="A24">
        <v>23058586</v>
      </c>
      <c r="B24" t="s">
        <v>31</v>
      </c>
      <c r="C24">
        <v>5</v>
      </c>
    </row>
    <row r="25" spans="1:3" x14ac:dyDescent="0.35">
      <c r="A25">
        <v>23058587</v>
      </c>
      <c r="B25" t="s">
        <v>32</v>
      </c>
      <c r="C25">
        <v>0</v>
      </c>
    </row>
    <row r="26" spans="1:3" x14ac:dyDescent="0.35">
      <c r="A26">
        <v>23058589</v>
      </c>
      <c r="B26" t="s">
        <v>33</v>
      </c>
      <c r="C26">
        <v>5</v>
      </c>
    </row>
    <row r="27" spans="1:3" x14ac:dyDescent="0.35">
      <c r="A27">
        <v>23058590</v>
      </c>
      <c r="B27" t="s">
        <v>34</v>
      </c>
      <c r="C27">
        <v>5</v>
      </c>
    </row>
    <row r="28" spans="1:3" x14ac:dyDescent="0.35">
      <c r="A28">
        <v>23058591</v>
      </c>
      <c r="B28" t="s">
        <v>35</v>
      </c>
      <c r="C28">
        <v>20</v>
      </c>
    </row>
    <row r="29" spans="1:3" x14ac:dyDescent="0.35">
      <c r="A29">
        <v>23062095</v>
      </c>
      <c r="B29" t="s">
        <v>36</v>
      </c>
      <c r="C29">
        <v>5</v>
      </c>
    </row>
    <row r="30" spans="1:3" x14ac:dyDescent="0.35">
      <c r="A30">
        <v>23062105</v>
      </c>
      <c r="B30" t="s">
        <v>37</v>
      </c>
      <c r="C30">
        <v>0</v>
      </c>
    </row>
    <row r="31" spans="1:3" x14ac:dyDescent="0.35">
      <c r="A31">
        <v>23062967</v>
      </c>
      <c r="B31" t="s">
        <v>38</v>
      </c>
      <c r="C31">
        <v>30</v>
      </c>
    </row>
    <row r="32" spans="1:3" x14ac:dyDescent="0.35">
      <c r="A32">
        <v>23063759</v>
      </c>
      <c r="B32" t="s">
        <v>39</v>
      </c>
      <c r="C32">
        <v>0</v>
      </c>
    </row>
    <row r="33" spans="1:3" x14ac:dyDescent="0.35">
      <c r="A33">
        <v>23065140</v>
      </c>
      <c r="B33" t="s">
        <v>40</v>
      </c>
      <c r="C33">
        <v>40</v>
      </c>
    </row>
    <row r="34" spans="1:3" x14ac:dyDescent="0.35">
      <c r="A34">
        <v>23065141</v>
      </c>
      <c r="B34" t="s">
        <v>41</v>
      </c>
      <c r="C34">
        <v>15</v>
      </c>
    </row>
    <row r="35" spans="1:3" x14ac:dyDescent="0.35">
      <c r="A35">
        <v>23065142</v>
      </c>
      <c r="B35" t="s">
        <v>42</v>
      </c>
      <c r="C35">
        <v>20</v>
      </c>
    </row>
    <row r="36" spans="1:3" x14ac:dyDescent="0.35">
      <c r="A36">
        <v>23065143</v>
      </c>
      <c r="B36" t="s">
        <v>43</v>
      </c>
      <c r="C36">
        <v>90</v>
      </c>
    </row>
    <row r="37" spans="1:3" x14ac:dyDescent="0.35">
      <c r="A37">
        <v>23066879</v>
      </c>
      <c r="B37" t="s">
        <v>45</v>
      </c>
      <c r="C37">
        <v>10</v>
      </c>
    </row>
    <row r="38" spans="1:3" x14ac:dyDescent="0.35">
      <c r="A38">
        <v>23073188</v>
      </c>
      <c r="B38" t="s">
        <v>50</v>
      </c>
      <c r="C38">
        <v>10</v>
      </c>
    </row>
    <row r="39" spans="1:3" x14ac:dyDescent="0.35">
      <c r="A39">
        <v>23075089</v>
      </c>
      <c r="B39" t="s">
        <v>51</v>
      </c>
      <c r="C39">
        <v>0</v>
      </c>
    </row>
    <row r="40" spans="1:3" x14ac:dyDescent="0.35">
      <c r="A40">
        <v>23084674</v>
      </c>
      <c r="B40" t="s">
        <v>52</v>
      </c>
      <c r="C40">
        <v>5.6</v>
      </c>
    </row>
    <row r="41" spans="1:3" x14ac:dyDescent="0.35">
      <c r="A41">
        <v>23086658</v>
      </c>
      <c r="B41" t="s">
        <v>53</v>
      </c>
      <c r="C41">
        <v>20</v>
      </c>
    </row>
    <row r="42" spans="1:3" x14ac:dyDescent="0.35">
      <c r="A42">
        <v>23087034</v>
      </c>
      <c r="B42" t="s">
        <v>54</v>
      </c>
      <c r="C42">
        <v>10</v>
      </c>
    </row>
    <row r="43" spans="1:3" x14ac:dyDescent="0.35">
      <c r="A43">
        <v>23088036</v>
      </c>
      <c r="B43" t="s">
        <v>55</v>
      </c>
      <c r="C43">
        <v>0</v>
      </c>
    </row>
    <row r="44" spans="1:3" x14ac:dyDescent="0.35">
      <c r="A44">
        <v>23088112</v>
      </c>
      <c r="B44" t="s">
        <v>56</v>
      </c>
      <c r="C44">
        <v>5</v>
      </c>
    </row>
    <row r="45" spans="1:3" x14ac:dyDescent="0.35">
      <c r="A45">
        <v>23088348</v>
      </c>
      <c r="B45" t="s">
        <v>57</v>
      </c>
      <c r="C45">
        <v>60</v>
      </c>
    </row>
    <row r="46" spans="1:3" x14ac:dyDescent="0.35">
      <c r="A46">
        <v>23098995</v>
      </c>
      <c r="B46" t="s">
        <v>70</v>
      </c>
      <c r="C46">
        <v>20</v>
      </c>
    </row>
    <row r="47" spans="1:3" x14ac:dyDescent="0.35">
      <c r="A47">
        <v>23104868</v>
      </c>
      <c r="B47" t="s">
        <v>71</v>
      </c>
      <c r="C47">
        <v>0</v>
      </c>
    </row>
    <row r="48" spans="1:3" x14ac:dyDescent="0.35">
      <c r="A48">
        <v>23105702</v>
      </c>
      <c r="B48" t="s">
        <v>72</v>
      </c>
      <c r="C48">
        <v>150</v>
      </c>
    </row>
    <row r="49" spans="1:3" x14ac:dyDescent="0.35">
      <c r="A49">
        <v>23105751</v>
      </c>
      <c r="B49" t="s">
        <v>73</v>
      </c>
      <c r="C49">
        <v>5</v>
      </c>
    </row>
    <row r="50" spans="1:3" x14ac:dyDescent="0.35">
      <c r="A50">
        <v>23105753</v>
      </c>
      <c r="B50" t="s">
        <v>75</v>
      </c>
      <c r="C50">
        <v>80</v>
      </c>
    </row>
    <row r="51" spans="1:3" x14ac:dyDescent="0.35">
      <c r="A51">
        <v>23105754</v>
      </c>
      <c r="B51" t="s">
        <v>76</v>
      </c>
      <c r="C51">
        <v>20</v>
      </c>
    </row>
    <row r="52" spans="1:3" x14ac:dyDescent="0.35">
      <c r="A52">
        <v>23109326</v>
      </c>
      <c r="B52" t="s">
        <v>78</v>
      </c>
      <c r="C52">
        <v>80</v>
      </c>
    </row>
    <row r="53" spans="1:3" x14ac:dyDescent="0.35">
      <c r="A53">
        <v>23062107</v>
      </c>
      <c r="B53" t="s">
        <v>108</v>
      </c>
      <c r="C53">
        <v>40</v>
      </c>
    </row>
    <row r="54" spans="1:3" x14ac:dyDescent="0.35">
      <c r="A54">
        <v>23062101</v>
      </c>
      <c r="B54" t="s">
        <v>109</v>
      </c>
      <c r="C54">
        <v>0</v>
      </c>
    </row>
    <row r="55" spans="1:3" x14ac:dyDescent="0.35">
      <c r="A55">
        <v>23062111</v>
      </c>
      <c r="B55" t="s">
        <v>110</v>
      </c>
      <c r="C55">
        <v>0</v>
      </c>
    </row>
    <row r="56" spans="1:3" x14ac:dyDescent="0.35">
      <c r="A56">
        <v>23062103</v>
      </c>
      <c r="B56" t="s">
        <v>111</v>
      </c>
      <c r="C56">
        <v>0</v>
      </c>
    </row>
    <row r="57" spans="1:3" x14ac:dyDescent="0.35">
      <c r="A57">
        <v>23058556</v>
      </c>
      <c r="B57" t="s">
        <v>112</v>
      </c>
      <c r="C57">
        <v>0</v>
      </c>
    </row>
    <row r="58" spans="1:3" x14ac:dyDescent="0.35">
      <c r="A58">
        <v>23067590</v>
      </c>
      <c r="B58" t="s">
        <v>113</v>
      </c>
      <c r="C58">
        <v>110</v>
      </c>
    </row>
    <row r="59" spans="1:3" x14ac:dyDescent="0.35">
      <c r="A59">
        <v>23058588</v>
      </c>
      <c r="B59" t="s">
        <v>114</v>
      </c>
      <c r="C59">
        <v>5</v>
      </c>
    </row>
    <row r="60" spans="1:3" x14ac:dyDescent="0.35">
      <c r="A60">
        <v>23062097</v>
      </c>
      <c r="B60" t="s">
        <v>115</v>
      </c>
      <c r="C60">
        <v>5</v>
      </c>
    </row>
    <row r="61" spans="1:3" x14ac:dyDescent="0.35">
      <c r="A61">
        <v>23098991</v>
      </c>
      <c r="B61" t="s">
        <v>127</v>
      </c>
      <c r="C61">
        <v>0</v>
      </c>
    </row>
    <row r="62" spans="1:3" x14ac:dyDescent="0.35">
      <c r="A62" t="s">
        <v>133</v>
      </c>
      <c r="C62">
        <v>1450.6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23"/>
  <sheetViews>
    <sheetView workbookViewId="0">
      <pane xSplit="3" ySplit="12" topLeftCell="D18" activePane="bottomRight" state="frozen"/>
      <selection pane="topRight" activeCell="D1" sqref="D1"/>
      <selection pane="bottomLeft" activeCell="A13" sqref="A13"/>
      <selection pane="bottomRight" activeCell="B8" sqref="B8"/>
    </sheetView>
  </sheetViews>
  <sheetFormatPr defaultRowHeight="14.5" x14ac:dyDescent="0.35"/>
  <cols>
    <col min="1" max="1" width="21.453125" bestFit="1" customWidth="1"/>
    <col min="2" max="2" width="26.54296875" bestFit="1" customWidth="1"/>
    <col min="3" max="3" width="21.54296875" bestFit="1" customWidth="1"/>
    <col min="4" max="4" width="14.453125" bestFit="1" customWidth="1"/>
    <col min="5" max="5" width="21" bestFit="1" customWidth="1"/>
    <col min="6" max="6" width="11.7265625" bestFit="1" customWidth="1"/>
  </cols>
  <sheetData>
    <row r="3" spans="1:4" x14ac:dyDescent="0.35">
      <c r="A3" s="2" t="s">
        <v>0</v>
      </c>
      <c r="B3" t="s">
        <v>1</v>
      </c>
    </row>
    <row r="4" spans="1:4" x14ac:dyDescent="0.35">
      <c r="A4" s="2" t="s">
        <v>2</v>
      </c>
      <c r="B4" s="3">
        <v>923</v>
      </c>
    </row>
    <row r="5" spans="1:4" x14ac:dyDescent="0.35">
      <c r="A5" s="2" t="s">
        <v>3</v>
      </c>
      <c r="B5" t="s">
        <v>4</v>
      </c>
    </row>
    <row r="6" spans="1:4" x14ac:dyDescent="0.35">
      <c r="A6" s="2" t="s">
        <v>5</v>
      </c>
      <c r="B6" t="s">
        <v>232</v>
      </c>
    </row>
    <row r="7" spans="1:4" x14ac:dyDescent="0.35">
      <c r="A7" s="2" t="s">
        <v>7</v>
      </c>
      <c r="B7" s="1" t="s">
        <v>8</v>
      </c>
    </row>
    <row r="8" spans="1:4" x14ac:dyDescent="0.35">
      <c r="B8" s="7" t="str">
        <f>+Sheet1!B8</f>
        <v>คืน 13.5</v>
      </c>
    </row>
    <row r="9" spans="1:4" x14ac:dyDescent="0.35">
      <c r="A9" s="2" t="s">
        <v>11</v>
      </c>
      <c r="C9" s="2" t="s">
        <v>9</v>
      </c>
      <c r="D9" s="2" t="s">
        <v>6</v>
      </c>
    </row>
    <row r="10" spans="1:4" x14ac:dyDescent="0.35">
      <c r="C10" t="s">
        <v>233</v>
      </c>
      <c r="D10" t="s">
        <v>133</v>
      </c>
    </row>
    <row r="11" spans="1:4" x14ac:dyDescent="0.35">
      <c r="A11" s="2" t="s">
        <v>12</v>
      </c>
      <c r="B11" s="2" t="s">
        <v>13</v>
      </c>
      <c r="C11">
        <v>9044989536402</v>
      </c>
    </row>
    <row r="12" spans="1:4" x14ac:dyDescent="0.35">
      <c r="A12">
        <v>23015265</v>
      </c>
      <c r="B12" t="s">
        <v>16</v>
      </c>
      <c r="C12">
        <v>30</v>
      </c>
      <c r="D12">
        <v>30</v>
      </c>
    </row>
    <row r="13" spans="1:4" x14ac:dyDescent="0.35">
      <c r="A13">
        <v>23057812</v>
      </c>
      <c r="B13" t="s">
        <v>19</v>
      </c>
      <c r="C13">
        <v>0</v>
      </c>
      <c r="D13">
        <v>0</v>
      </c>
    </row>
    <row r="14" spans="1:4" x14ac:dyDescent="0.35">
      <c r="A14">
        <v>23057821</v>
      </c>
      <c r="B14" t="s">
        <v>22</v>
      </c>
      <c r="C14">
        <v>0</v>
      </c>
      <c r="D14">
        <v>0</v>
      </c>
    </row>
    <row r="15" spans="1:4" x14ac:dyDescent="0.35">
      <c r="A15">
        <v>23058555</v>
      </c>
      <c r="B15" t="s">
        <v>28</v>
      </c>
      <c r="C15">
        <v>40</v>
      </c>
      <c r="D15">
        <v>40</v>
      </c>
    </row>
    <row r="16" spans="1:4" x14ac:dyDescent="0.35">
      <c r="A16">
        <v>23062095</v>
      </c>
      <c r="B16" t="s">
        <v>36</v>
      </c>
      <c r="C16">
        <v>20</v>
      </c>
      <c r="D16">
        <v>20</v>
      </c>
    </row>
    <row r="17" spans="1:4" x14ac:dyDescent="0.35">
      <c r="A17">
        <v>23065140</v>
      </c>
      <c r="B17" t="s">
        <v>40</v>
      </c>
      <c r="C17">
        <v>220</v>
      </c>
      <c r="D17">
        <v>220</v>
      </c>
    </row>
    <row r="18" spans="1:4" x14ac:dyDescent="0.35">
      <c r="A18">
        <v>23065141</v>
      </c>
      <c r="B18" t="s">
        <v>41</v>
      </c>
      <c r="C18">
        <v>30</v>
      </c>
      <c r="D18">
        <v>30</v>
      </c>
    </row>
    <row r="19" spans="1:4" x14ac:dyDescent="0.35">
      <c r="A19">
        <v>23065142</v>
      </c>
      <c r="B19" t="s">
        <v>42</v>
      </c>
      <c r="C19">
        <v>20</v>
      </c>
      <c r="D19">
        <v>20</v>
      </c>
    </row>
    <row r="20" spans="1:4" x14ac:dyDescent="0.35">
      <c r="A20">
        <v>23065143</v>
      </c>
      <c r="B20" t="s">
        <v>43</v>
      </c>
      <c r="C20">
        <v>180</v>
      </c>
      <c r="D20">
        <v>180</v>
      </c>
    </row>
    <row r="21" spans="1:4" x14ac:dyDescent="0.35">
      <c r="A21">
        <v>23068390</v>
      </c>
      <c r="B21" t="s">
        <v>46</v>
      </c>
      <c r="C21">
        <v>40</v>
      </c>
      <c r="D21">
        <v>40</v>
      </c>
    </row>
    <row r="22" spans="1:4" x14ac:dyDescent="0.35">
      <c r="A22">
        <v>23108462</v>
      </c>
      <c r="B22" t="s">
        <v>77</v>
      </c>
      <c r="C22">
        <v>100</v>
      </c>
      <c r="D22">
        <v>100</v>
      </c>
    </row>
    <row r="23" spans="1:4" x14ac:dyDescent="0.35">
      <c r="A23" t="s">
        <v>133</v>
      </c>
      <c r="C23">
        <v>680</v>
      </c>
      <c r="D23">
        <v>680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1844-604B-4272-A032-1BC74439823B}">
  <dimension ref="A2:J129"/>
  <sheetViews>
    <sheetView zoomScale="70" zoomScaleNormal="70" workbookViewId="0">
      <pane xSplit="3" ySplit="12" topLeftCell="D123" activePane="bottomRight" state="frozen"/>
      <selection pane="topRight" activeCell="D1" sqref="D1"/>
      <selection pane="bottomLeft" activeCell="A13" sqref="A13"/>
      <selection pane="bottomRight" activeCell="C23" sqref="A2:J129"/>
    </sheetView>
  </sheetViews>
  <sheetFormatPr defaultRowHeight="14.5" x14ac:dyDescent="0.35"/>
  <cols>
    <col min="1" max="1" width="21.453125" bestFit="1" customWidth="1"/>
    <col min="2" max="2" width="38.1796875" bestFit="1" customWidth="1"/>
    <col min="3" max="3" width="19.453125" bestFit="1" customWidth="1"/>
    <col min="4" max="4" width="19.1796875" bestFit="1" customWidth="1"/>
    <col min="5" max="5" width="23.1796875" bestFit="1" customWidth="1"/>
    <col min="6" max="6" width="28.26953125" bestFit="1" customWidth="1"/>
    <col min="7" max="7" width="26.1796875" bestFit="1" customWidth="1"/>
    <col min="8" max="9" width="19.81640625" bestFit="1" customWidth="1"/>
    <col min="10" max="10" width="14.453125" bestFit="1" customWidth="1"/>
    <col min="11" max="11" width="11.7265625" bestFit="1" customWidth="1"/>
  </cols>
  <sheetData>
    <row r="2" spans="1:10" x14ac:dyDescent="0.35">
      <c r="A2" s="2" t="s">
        <v>0</v>
      </c>
      <c r="B2" t="s">
        <v>4</v>
      </c>
    </row>
    <row r="3" spans="1:10" x14ac:dyDescent="0.35">
      <c r="A3" s="2" t="s">
        <v>2</v>
      </c>
      <c r="B3" s="3">
        <v>923</v>
      </c>
    </row>
    <row r="4" spans="1:10" x14ac:dyDescent="0.35">
      <c r="A4" s="2" t="s">
        <v>3</v>
      </c>
      <c r="B4" t="s">
        <v>4</v>
      </c>
    </row>
    <row r="5" spans="1:10" x14ac:dyDescent="0.35">
      <c r="A5" s="2" t="s">
        <v>6</v>
      </c>
      <c r="B5" t="s">
        <v>4</v>
      </c>
    </row>
    <row r="6" spans="1:10" x14ac:dyDescent="0.35">
      <c r="A6" s="2" t="s">
        <v>7</v>
      </c>
      <c r="B6" s="1" t="s">
        <v>8</v>
      </c>
    </row>
    <row r="7" spans="1:10" x14ac:dyDescent="0.35">
      <c r="A7" s="2" t="s">
        <v>9</v>
      </c>
      <c r="B7" t="s">
        <v>4</v>
      </c>
    </row>
    <row r="8" spans="1:10" x14ac:dyDescent="0.35">
      <c r="B8" s="7" t="str">
        <f>+Sheet1!B8</f>
        <v>คืน 13.5</v>
      </c>
    </row>
    <row r="9" spans="1:10" x14ac:dyDescent="0.35">
      <c r="A9" s="2" t="s">
        <v>11</v>
      </c>
      <c r="C9" s="2" t="s">
        <v>5</v>
      </c>
    </row>
    <row r="10" spans="1:10" x14ac:dyDescent="0.35">
      <c r="A10" s="2" t="s">
        <v>12</v>
      </c>
      <c r="B10" s="2" t="s">
        <v>13</v>
      </c>
      <c r="C10" t="s">
        <v>232</v>
      </c>
      <c r="D10" t="s">
        <v>237</v>
      </c>
      <c r="E10" t="s">
        <v>220</v>
      </c>
      <c r="F10" t="s">
        <v>258</v>
      </c>
      <c r="G10" t="s">
        <v>198</v>
      </c>
      <c r="H10" t="s">
        <v>228</v>
      </c>
      <c r="I10" t="s">
        <v>241</v>
      </c>
      <c r="J10" t="s">
        <v>133</v>
      </c>
    </row>
    <row r="11" spans="1:10" x14ac:dyDescent="0.35">
      <c r="A11">
        <v>23000206</v>
      </c>
      <c r="B11" t="s">
        <v>15</v>
      </c>
      <c r="D11">
        <v>5</v>
      </c>
      <c r="G11">
        <v>5</v>
      </c>
      <c r="I11">
        <v>10</v>
      </c>
      <c r="J11">
        <v>20</v>
      </c>
    </row>
    <row r="12" spans="1:10" x14ac:dyDescent="0.35">
      <c r="A12">
        <v>23015265</v>
      </c>
      <c r="B12" t="s">
        <v>16</v>
      </c>
      <c r="C12">
        <v>30</v>
      </c>
      <c r="D12">
        <v>50</v>
      </c>
      <c r="H12">
        <v>20</v>
      </c>
      <c r="J12">
        <v>100</v>
      </c>
    </row>
    <row r="13" spans="1:10" x14ac:dyDescent="0.35">
      <c r="A13">
        <v>23057809</v>
      </c>
      <c r="B13" t="s">
        <v>18</v>
      </c>
      <c r="D13">
        <v>90</v>
      </c>
      <c r="F13">
        <v>70</v>
      </c>
      <c r="G13">
        <v>30</v>
      </c>
      <c r="H13">
        <v>100</v>
      </c>
      <c r="J13">
        <v>290</v>
      </c>
    </row>
    <row r="14" spans="1:10" x14ac:dyDescent="0.35">
      <c r="A14">
        <v>23057812</v>
      </c>
      <c r="B14" t="s">
        <v>19</v>
      </c>
      <c r="C14">
        <v>0</v>
      </c>
      <c r="D14">
        <v>200</v>
      </c>
      <c r="F14">
        <v>100</v>
      </c>
      <c r="G14">
        <v>130</v>
      </c>
      <c r="H14">
        <v>300</v>
      </c>
      <c r="I14">
        <v>400</v>
      </c>
      <c r="J14">
        <v>1130</v>
      </c>
    </row>
    <row r="15" spans="1:10" x14ac:dyDescent="0.35">
      <c r="A15">
        <v>23057815</v>
      </c>
      <c r="B15" t="s">
        <v>20</v>
      </c>
      <c r="D15">
        <v>100</v>
      </c>
      <c r="F15">
        <v>40</v>
      </c>
      <c r="G15">
        <v>100</v>
      </c>
      <c r="H15">
        <v>200</v>
      </c>
      <c r="I15">
        <v>100</v>
      </c>
      <c r="J15">
        <v>540</v>
      </c>
    </row>
    <row r="16" spans="1:10" x14ac:dyDescent="0.35">
      <c r="A16">
        <v>23057818</v>
      </c>
      <c r="B16" t="s">
        <v>21</v>
      </c>
      <c r="F16">
        <v>5</v>
      </c>
      <c r="G16">
        <v>0</v>
      </c>
      <c r="H16">
        <v>10</v>
      </c>
      <c r="I16">
        <v>60</v>
      </c>
      <c r="J16">
        <v>75</v>
      </c>
    </row>
    <row r="17" spans="1:10" x14ac:dyDescent="0.35">
      <c r="A17">
        <v>23057821</v>
      </c>
      <c r="B17" t="s">
        <v>22</v>
      </c>
      <c r="C17">
        <v>0</v>
      </c>
      <c r="D17">
        <v>40</v>
      </c>
      <c r="F17">
        <v>5</v>
      </c>
      <c r="G17">
        <v>20</v>
      </c>
      <c r="H17">
        <v>0</v>
      </c>
      <c r="I17">
        <v>100</v>
      </c>
      <c r="J17">
        <v>165</v>
      </c>
    </row>
    <row r="18" spans="1:10" x14ac:dyDescent="0.35">
      <c r="A18">
        <v>23057824</v>
      </c>
      <c r="B18" t="s">
        <v>23</v>
      </c>
      <c r="D18">
        <v>50</v>
      </c>
      <c r="G18">
        <v>80</v>
      </c>
      <c r="I18">
        <v>100</v>
      </c>
      <c r="J18">
        <v>230</v>
      </c>
    </row>
    <row r="19" spans="1:10" x14ac:dyDescent="0.35">
      <c r="A19">
        <v>23057827</v>
      </c>
      <c r="B19" t="s">
        <v>24</v>
      </c>
      <c r="D19">
        <v>0</v>
      </c>
      <c r="E19">
        <v>5</v>
      </c>
      <c r="J19">
        <v>5</v>
      </c>
    </row>
    <row r="20" spans="1:10" x14ac:dyDescent="0.35">
      <c r="A20">
        <v>23058551</v>
      </c>
      <c r="B20" t="s">
        <v>25</v>
      </c>
      <c r="D20">
        <v>20</v>
      </c>
      <c r="F20">
        <v>5</v>
      </c>
      <c r="G20">
        <v>5</v>
      </c>
      <c r="H20">
        <v>20</v>
      </c>
      <c r="I20">
        <v>100</v>
      </c>
      <c r="J20">
        <v>150</v>
      </c>
    </row>
    <row r="21" spans="1:10" x14ac:dyDescent="0.35">
      <c r="A21">
        <v>23058552</v>
      </c>
      <c r="B21" t="s">
        <v>26</v>
      </c>
      <c r="D21">
        <v>20</v>
      </c>
      <c r="F21">
        <v>10</v>
      </c>
      <c r="G21">
        <v>0</v>
      </c>
      <c r="H21">
        <v>20</v>
      </c>
      <c r="I21">
        <v>40</v>
      </c>
      <c r="J21">
        <v>90</v>
      </c>
    </row>
    <row r="22" spans="1:10" x14ac:dyDescent="0.35">
      <c r="A22">
        <v>23058553</v>
      </c>
      <c r="B22" t="s">
        <v>27</v>
      </c>
      <c r="G22">
        <v>110</v>
      </c>
      <c r="H22">
        <v>300</v>
      </c>
      <c r="I22">
        <v>10</v>
      </c>
      <c r="J22">
        <v>420</v>
      </c>
    </row>
    <row r="23" spans="1:10" x14ac:dyDescent="0.35">
      <c r="A23">
        <v>23058555</v>
      </c>
      <c r="B23" t="s">
        <v>28</v>
      </c>
      <c r="C23">
        <v>40</v>
      </c>
      <c r="D23">
        <v>140</v>
      </c>
      <c r="F23">
        <v>50</v>
      </c>
      <c r="G23">
        <v>70</v>
      </c>
      <c r="H23">
        <v>0</v>
      </c>
      <c r="I23">
        <v>250</v>
      </c>
      <c r="J23">
        <v>550</v>
      </c>
    </row>
    <row r="24" spans="1:10" x14ac:dyDescent="0.35">
      <c r="A24">
        <v>23058584</v>
      </c>
      <c r="B24" t="s">
        <v>29</v>
      </c>
      <c r="D24">
        <v>30</v>
      </c>
      <c r="F24">
        <v>10</v>
      </c>
      <c r="G24">
        <v>20</v>
      </c>
      <c r="H24">
        <v>20</v>
      </c>
      <c r="I24">
        <v>100</v>
      </c>
      <c r="J24">
        <v>180</v>
      </c>
    </row>
    <row r="25" spans="1:10" x14ac:dyDescent="0.35">
      <c r="A25">
        <v>23058585</v>
      </c>
      <c r="B25" t="s">
        <v>30</v>
      </c>
      <c r="G25">
        <v>10</v>
      </c>
      <c r="H25">
        <v>5</v>
      </c>
      <c r="J25">
        <v>15</v>
      </c>
    </row>
    <row r="26" spans="1:10" x14ac:dyDescent="0.35">
      <c r="A26">
        <v>23058586</v>
      </c>
      <c r="B26" t="s">
        <v>31</v>
      </c>
      <c r="G26">
        <v>5</v>
      </c>
      <c r="I26">
        <v>5</v>
      </c>
      <c r="J26">
        <v>10</v>
      </c>
    </row>
    <row r="27" spans="1:10" x14ac:dyDescent="0.35">
      <c r="A27">
        <v>23058587</v>
      </c>
      <c r="B27" t="s">
        <v>32</v>
      </c>
      <c r="G27">
        <v>0</v>
      </c>
      <c r="H27">
        <v>5</v>
      </c>
      <c r="J27">
        <v>5</v>
      </c>
    </row>
    <row r="28" spans="1:10" x14ac:dyDescent="0.35">
      <c r="A28">
        <v>23058589</v>
      </c>
      <c r="B28" t="s">
        <v>33</v>
      </c>
      <c r="D28">
        <v>20</v>
      </c>
      <c r="F28">
        <v>5</v>
      </c>
      <c r="G28">
        <v>5</v>
      </c>
      <c r="H28">
        <v>10</v>
      </c>
      <c r="I28">
        <v>40</v>
      </c>
      <c r="J28">
        <v>80</v>
      </c>
    </row>
    <row r="29" spans="1:10" x14ac:dyDescent="0.35">
      <c r="A29">
        <v>23058590</v>
      </c>
      <c r="B29" t="s">
        <v>34</v>
      </c>
      <c r="G29">
        <v>5</v>
      </c>
      <c r="H29">
        <v>120</v>
      </c>
      <c r="I29">
        <v>10</v>
      </c>
      <c r="J29">
        <v>135</v>
      </c>
    </row>
    <row r="30" spans="1:10" x14ac:dyDescent="0.35">
      <c r="A30">
        <v>23058591</v>
      </c>
      <c r="B30" t="s">
        <v>35</v>
      </c>
      <c r="D30">
        <v>20</v>
      </c>
      <c r="E30">
        <v>20</v>
      </c>
      <c r="G30">
        <v>20</v>
      </c>
      <c r="H30">
        <v>20</v>
      </c>
      <c r="I30">
        <v>20</v>
      </c>
      <c r="J30">
        <v>100</v>
      </c>
    </row>
    <row r="31" spans="1:10" x14ac:dyDescent="0.35">
      <c r="A31">
        <v>23062095</v>
      </c>
      <c r="B31" t="s">
        <v>36</v>
      </c>
      <c r="C31">
        <v>20</v>
      </c>
      <c r="D31">
        <v>5</v>
      </c>
      <c r="G31">
        <v>5</v>
      </c>
      <c r="J31">
        <v>30</v>
      </c>
    </row>
    <row r="32" spans="1:10" x14ac:dyDescent="0.35">
      <c r="A32">
        <v>23062105</v>
      </c>
      <c r="B32" t="s">
        <v>37</v>
      </c>
      <c r="G32">
        <v>0</v>
      </c>
      <c r="H32">
        <v>5</v>
      </c>
      <c r="J32">
        <v>5</v>
      </c>
    </row>
    <row r="33" spans="1:10" x14ac:dyDescent="0.35">
      <c r="A33">
        <v>23063759</v>
      </c>
      <c r="B33" t="s">
        <v>39</v>
      </c>
      <c r="F33">
        <v>160</v>
      </c>
      <c r="G33">
        <v>0</v>
      </c>
      <c r="J33">
        <v>160</v>
      </c>
    </row>
    <row r="34" spans="1:10" x14ac:dyDescent="0.35">
      <c r="A34">
        <v>23065140</v>
      </c>
      <c r="B34" t="s">
        <v>40</v>
      </c>
      <c r="C34">
        <v>220</v>
      </c>
      <c r="D34">
        <v>400</v>
      </c>
      <c r="F34">
        <v>30</v>
      </c>
      <c r="G34">
        <v>40</v>
      </c>
      <c r="I34">
        <v>100</v>
      </c>
      <c r="J34">
        <v>790</v>
      </c>
    </row>
    <row r="35" spans="1:10" x14ac:dyDescent="0.35">
      <c r="A35">
        <v>23065141</v>
      </c>
      <c r="B35" t="s">
        <v>41</v>
      </c>
      <c r="C35">
        <v>30</v>
      </c>
      <c r="G35">
        <v>15</v>
      </c>
      <c r="H35">
        <v>10</v>
      </c>
      <c r="J35">
        <v>55</v>
      </c>
    </row>
    <row r="36" spans="1:10" x14ac:dyDescent="0.35">
      <c r="A36">
        <v>23065142</v>
      </c>
      <c r="B36" t="s">
        <v>42</v>
      </c>
      <c r="C36">
        <v>20</v>
      </c>
      <c r="F36">
        <v>10</v>
      </c>
      <c r="G36">
        <v>20</v>
      </c>
      <c r="H36">
        <v>10</v>
      </c>
      <c r="J36">
        <v>60</v>
      </c>
    </row>
    <row r="37" spans="1:10" x14ac:dyDescent="0.35">
      <c r="A37">
        <v>23065143</v>
      </c>
      <c r="B37" t="s">
        <v>43</v>
      </c>
      <c r="C37">
        <v>180</v>
      </c>
      <c r="D37">
        <v>400</v>
      </c>
      <c r="F37">
        <v>20</v>
      </c>
      <c r="G37">
        <v>90</v>
      </c>
      <c r="H37">
        <v>0</v>
      </c>
      <c r="I37">
        <v>80</v>
      </c>
      <c r="J37">
        <v>770</v>
      </c>
    </row>
    <row r="38" spans="1:10" x14ac:dyDescent="0.35">
      <c r="A38">
        <v>23066875</v>
      </c>
      <c r="B38" t="s">
        <v>44</v>
      </c>
      <c r="D38">
        <v>20</v>
      </c>
      <c r="J38">
        <v>20</v>
      </c>
    </row>
    <row r="39" spans="1:10" x14ac:dyDescent="0.35">
      <c r="A39">
        <v>23066879</v>
      </c>
      <c r="B39" t="s">
        <v>45</v>
      </c>
      <c r="F39">
        <v>5</v>
      </c>
      <c r="G39">
        <v>10</v>
      </c>
      <c r="H39">
        <v>10</v>
      </c>
      <c r="I39">
        <v>50</v>
      </c>
      <c r="J39">
        <v>75</v>
      </c>
    </row>
    <row r="40" spans="1:10" x14ac:dyDescent="0.35">
      <c r="A40">
        <v>23068390</v>
      </c>
      <c r="B40" t="s">
        <v>46</v>
      </c>
      <c r="C40">
        <v>40</v>
      </c>
      <c r="J40">
        <v>40</v>
      </c>
    </row>
    <row r="41" spans="1:10" x14ac:dyDescent="0.35">
      <c r="A41">
        <v>23070475</v>
      </c>
      <c r="B41" t="s">
        <v>47</v>
      </c>
      <c r="E41">
        <v>40</v>
      </c>
      <c r="F41">
        <v>60</v>
      </c>
      <c r="H41">
        <v>5</v>
      </c>
      <c r="J41">
        <v>105</v>
      </c>
    </row>
    <row r="42" spans="1:10" x14ac:dyDescent="0.35">
      <c r="A42">
        <v>23071881</v>
      </c>
      <c r="B42" t="s">
        <v>48</v>
      </c>
      <c r="F42">
        <v>60</v>
      </c>
      <c r="H42">
        <v>5</v>
      </c>
      <c r="J42">
        <v>65</v>
      </c>
    </row>
    <row r="43" spans="1:10" x14ac:dyDescent="0.35">
      <c r="A43">
        <v>23073188</v>
      </c>
      <c r="B43" t="s">
        <v>50</v>
      </c>
      <c r="D43">
        <v>5</v>
      </c>
      <c r="G43">
        <v>10</v>
      </c>
      <c r="J43">
        <v>15</v>
      </c>
    </row>
    <row r="44" spans="1:10" x14ac:dyDescent="0.35">
      <c r="A44">
        <v>23075089</v>
      </c>
      <c r="B44" t="s">
        <v>51</v>
      </c>
      <c r="G44">
        <v>0</v>
      </c>
      <c r="J44">
        <v>0</v>
      </c>
    </row>
    <row r="45" spans="1:10" x14ac:dyDescent="0.35">
      <c r="A45">
        <v>23084674</v>
      </c>
      <c r="B45" t="s">
        <v>52</v>
      </c>
      <c r="D45">
        <v>11.2</v>
      </c>
      <c r="E45">
        <v>5.6</v>
      </c>
      <c r="G45">
        <v>5.6</v>
      </c>
      <c r="H45">
        <v>5.6</v>
      </c>
      <c r="I45">
        <v>11.2</v>
      </c>
      <c r="J45">
        <v>39.200000000000003</v>
      </c>
    </row>
    <row r="46" spans="1:10" x14ac:dyDescent="0.35">
      <c r="A46">
        <v>23086658</v>
      </c>
      <c r="B46" t="s">
        <v>53</v>
      </c>
      <c r="D46">
        <v>15</v>
      </c>
      <c r="G46">
        <v>20</v>
      </c>
      <c r="I46">
        <v>100</v>
      </c>
      <c r="J46">
        <v>135</v>
      </c>
    </row>
    <row r="47" spans="1:10" x14ac:dyDescent="0.35">
      <c r="A47">
        <v>23087034</v>
      </c>
      <c r="B47" t="s">
        <v>54</v>
      </c>
      <c r="D47">
        <v>10</v>
      </c>
      <c r="E47">
        <v>15</v>
      </c>
      <c r="G47">
        <v>10</v>
      </c>
      <c r="H47">
        <v>0</v>
      </c>
      <c r="I47">
        <v>150</v>
      </c>
      <c r="J47">
        <v>185</v>
      </c>
    </row>
    <row r="48" spans="1:10" x14ac:dyDescent="0.35">
      <c r="A48">
        <v>23088036</v>
      </c>
      <c r="B48" t="s">
        <v>55</v>
      </c>
      <c r="G48">
        <v>0</v>
      </c>
      <c r="H48">
        <v>5</v>
      </c>
      <c r="J48">
        <v>5</v>
      </c>
    </row>
    <row r="49" spans="1:10" x14ac:dyDescent="0.35">
      <c r="A49">
        <v>23088112</v>
      </c>
      <c r="B49" t="s">
        <v>56</v>
      </c>
      <c r="D49">
        <v>5</v>
      </c>
      <c r="G49">
        <v>5</v>
      </c>
      <c r="H49">
        <v>5</v>
      </c>
      <c r="J49">
        <v>15</v>
      </c>
    </row>
    <row r="50" spans="1:10" x14ac:dyDescent="0.35">
      <c r="A50">
        <v>23088348</v>
      </c>
      <c r="B50" t="s">
        <v>57</v>
      </c>
      <c r="D50">
        <v>30</v>
      </c>
      <c r="G50">
        <v>60</v>
      </c>
      <c r="H50">
        <v>50</v>
      </c>
      <c r="I50">
        <v>180</v>
      </c>
      <c r="J50">
        <v>320</v>
      </c>
    </row>
    <row r="51" spans="1:10" x14ac:dyDescent="0.35">
      <c r="A51">
        <v>23097783</v>
      </c>
      <c r="B51" t="s">
        <v>58</v>
      </c>
      <c r="E51">
        <v>50</v>
      </c>
      <c r="H51">
        <v>5</v>
      </c>
      <c r="J51">
        <v>55</v>
      </c>
    </row>
    <row r="52" spans="1:10" x14ac:dyDescent="0.35">
      <c r="A52">
        <v>23097784</v>
      </c>
      <c r="B52" t="s">
        <v>59</v>
      </c>
      <c r="H52">
        <v>3</v>
      </c>
      <c r="J52">
        <v>3</v>
      </c>
    </row>
    <row r="53" spans="1:10" x14ac:dyDescent="0.35">
      <c r="A53">
        <v>23097787</v>
      </c>
      <c r="B53" t="s">
        <v>60</v>
      </c>
      <c r="E53">
        <v>2</v>
      </c>
      <c r="J53">
        <v>2</v>
      </c>
    </row>
    <row r="54" spans="1:10" x14ac:dyDescent="0.35">
      <c r="A54">
        <v>23097788</v>
      </c>
      <c r="B54" t="s">
        <v>61</v>
      </c>
      <c r="E54">
        <v>2</v>
      </c>
      <c r="J54">
        <v>2</v>
      </c>
    </row>
    <row r="55" spans="1:10" x14ac:dyDescent="0.35">
      <c r="A55">
        <v>23097789</v>
      </c>
      <c r="B55" t="s">
        <v>62</v>
      </c>
      <c r="H55">
        <v>3</v>
      </c>
      <c r="J55">
        <v>3</v>
      </c>
    </row>
    <row r="56" spans="1:10" x14ac:dyDescent="0.35">
      <c r="A56">
        <v>23097790</v>
      </c>
      <c r="B56" t="s">
        <v>63</v>
      </c>
      <c r="E56">
        <v>20</v>
      </c>
      <c r="J56">
        <v>20</v>
      </c>
    </row>
    <row r="57" spans="1:10" x14ac:dyDescent="0.35">
      <c r="A57">
        <v>23097791</v>
      </c>
      <c r="B57" t="s">
        <v>64</v>
      </c>
      <c r="E57">
        <v>2</v>
      </c>
      <c r="J57">
        <v>2</v>
      </c>
    </row>
    <row r="58" spans="1:10" x14ac:dyDescent="0.35">
      <c r="A58">
        <v>23097792</v>
      </c>
      <c r="B58" t="s">
        <v>65</v>
      </c>
      <c r="H58">
        <v>3</v>
      </c>
      <c r="J58">
        <v>3</v>
      </c>
    </row>
    <row r="59" spans="1:10" x14ac:dyDescent="0.35">
      <c r="A59">
        <v>23097793</v>
      </c>
      <c r="B59" t="s">
        <v>66</v>
      </c>
      <c r="E59">
        <v>24</v>
      </c>
      <c r="J59">
        <v>24</v>
      </c>
    </row>
    <row r="60" spans="1:10" x14ac:dyDescent="0.35">
      <c r="A60">
        <v>23097796</v>
      </c>
      <c r="B60" t="s">
        <v>67</v>
      </c>
      <c r="H60">
        <v>5</v>
      </c>
      <c r="J60">
        <v>5</v>
      </c>
    </row>
    <row r="61" spans="1:10" x14ac:dyDescent="0.35">
      <c r="A61">
        <v>23097797</v>
      </c>
      <c r="B61" t="s">
        <v>68</v>
      </c>
      <c r="E61">
        <v>20</v>
      </c>
      <c r="H61">
        <v>5</v>
      </c>
      <c r="J61">
        <v>25</v>
      </c>
    </row>
    <row r="62" spans="1:10" x14ac:dyDescent="0.35">
      <c r="A62">
        <v>23098989</v>
      </c>
      <c r="B62" t="s">
        <v>69</v>
      </c>
      <c r="D62">
        <v>15</v>
      </c>
      <c r="I62">
        <v>20</v>
      </c>
      <c r="J62">
        <v>35</v>
      </c>
    </row>
    <row r="63" spans="1:10" x14ac:dyDescent="0.35">
      <c r="A63">
        <v>23098995</v>
      </c>
      <c r="B63" t="s">
        <v>70</v>
      </c>
      <c r="D63">
        <v>70</v>
      </c>
      <c r="G63">
        <v>20</v>
      </c>
      <c r="H63">
        <v>0</v>
      </c>
      <c r="J63">
        <v>90</v>
      </c>
    </row>
    <row r="64" spans="1:10" x14ac:dyDescent="0.35">
      <c r="A64">
        <v>23104868</v>
      </c>
      <c r="B64" t="s">
        <v>71</v>
      </c>
      <c r="D64">
        <v>10</v>
      </c>
      <c r="G64">
        <v>0</v>
      </c>
      <c r="J64">
        <v>10</v>
      </c>
    </row>
    <row r="65" spans="1:10" x14ac:dyDescent="0.35">
      <c r="A65">
        <v>23105702</v>
      </c>
      <c r="B65" t="s">
        <v>72</v>
      </c>
      <c r="G65">
        <v>150</v>
      </c>
      <c r="I65">
        <v>400</v>
      </c>
      <c r="J65">
        <v>550</v>
      </c>
    </row>
    <row r="66" spans="1:10" x14ac:dyDescent="0.35">
      <c r="A66">
        <v>23105751</v>
      </c>
      <c r="B66" t="s">
        <v>73</v>
      </c>
      <c r="E66">
        <v>5</v>
      </c>
      <c r="G66">
        <v>5</v>
      </c>
      <c r="H66">
        <v>10</v>
      </c>
      <c r="I66">
        <v>10</v>
      </c>
      <c r="J66">
        <v>30</v>
      </c>
    </row>
    <row r="67" spans="1:10" x14ac:dyDescent="0.35">
      <c r="A67">
        <v>23105752</v>
      </c>
      <c r="B67" t="s">
        <v>74</v>
      </c>
      <c r="D67">
        <v>0</v>
      </c>
      <c r="I67">
        <v>10</v>
      </c>
      <c r="J67">
        <v>10</v>
      </c>
    </row>
    <row r="68" spans="1:10" x14ac:dyDescent="0.35">
      <c r="A68">
        <v>23105753</v>
      </c>
      <c r="B68" t="s">
        <v>75</v>
      </c>
      <c r="E68">
        <v>20</v>
      </c>
      <c r="F68">
        <v>10</v>
      </c>
      <c r="G68">
        <v>80</v>
      </c>
      <c r="H68">
        <v>30</v>
      </c>
      <c r="I68">
        <v>60</v>
      </c>
      <c r="J68">
        <v>200</v>
      </c>
    </row>
    <row r="69" spans="1:10" x14ac:dyDescent="0.35">
      <c r="A69">
        <v>23105754</v>
      </c>
      <c r="B69" t="s">
        <v>76</v>
      </c>
      <c r="D69">
        <v>60</v>
      </c>
      <c r="E69">
        <v>20</v>
      </c>
      <c r="F69">
        <v>10</v>
      </c>
      <c r="G69">
        <v>20</v>
      </c>
      <c r="H69">
        <v>10</v>
      </c>
      <c r="I69">
        <v>60</v>
      </c>
      <c r="J69">
        <v>180</v>
      </c>
    </row>
    <row r="70" spans="1:10" x14ac:dyDescent="0.35">
      <c r="A70">
        <v>23108462</v>
      </c>
      <c r="B70" t="s">
        <v>77</v>
      </c>
      <c r="C70">
        <v>100</v>
      </c>
      <c r="J70">
        <v>100</v>
      </c>
    </row>
    <row r="71" spans="1:10" x14ac:dyDescent="0.35">
      <c r="A71">
        <v>23109326</v>
      </c>
      <c r="B71" t="s">
        <v>78</v>
      </c>
      <c r="G71">
        <v>80</v>
      </c>
      <c r="H71">
        <v>80</v>
      </c>
      <c r="I71">
        <v>60</v>
      </c>
      <c r="J71">
        <v>220</v>
      </c>
    </row>
    <row r="72" spans="1:10" x14ac:dyDescent="0.35">
      <c r="A72">
        <v>23109351</v>
      </c>
      <c r="B72" t="s">
        <v>79</v>
      </c>
      <c r="E72">
        <v>1</v>
      </c>
      <c r="J72">
        <v>1</v>
      </c>
    </row>
    <row r="73" spans="1:10" x14ac:dyDescent="0.35">
      <c r="A73">
        <v>23109352</v>
      </c>
      <c r="B73" t="s">
        <v>80</v>
      </c>
      <c r="E73">
        <v>3</v>
      </c>
      <c r="J73">
        <v>3</v>
      </c>
    </row>
    <row r="74" spans="1:10" x14ac:dyDescent="0.35">
      <c r="A74">
        <v>23109353</v>
      </c>
      <c r="B74" t="s">
        <v>81</v>
      </c>
      <c r="E74">
        <v>3</v>
      </c>
      <c r="J74">
        <v>3</v>
      </c>
    </row>
    <row r="75" spans="1:10" x14ac:dyDescent="0.35">
      <c r="A75">
        <v>23109357</v>
      </c>
      <c r="B75" t="s">
        <v>82</v>
      </c>
      <c r="E75">
        <v>0.8</v>
      </c>
      <c r="J75">
        <v>0.8</v>
      </c>
    </row>
    <row r="76" spans="1:10" x14ac:dyDescent="0.35">
      <c r="A76">
        <v>23109358</v>
      </c>
      <c r="B76" t="s">
        <v>83</v>
      </c>
      <c r="E76">
        <v>1.6</v>
      </c>
      <c r="J76">
        <v>1.6</v>
      </c>
    </row>
    <row r="77" spans="1:10" x14ac:dyDescent="0.35">
      <c r="A77">
        <v>23109359</v>
      </c>
      <c r="B77" t="s">
        <v>84</v>
      </c>
      <c r="E77">
        <v>4.8</v>
      </c>
      <c r="J77">
        <v>4.8</v>
      </c>
    </row>
    <row r="78" spans="1:10" x14ac:dyDescent="0.35">
      <c r="A78">
        <v>23109532</v>
      </c>
      <c r="B78" t="s">
        <v>85</v>
      </c>
      <c r="E78">
        <v>1.6</v>
      </c>
      <c r="J78">
        <v>1.6</v>
      </c>
    </row>
    <row r="79" spans="1:10" x14ac:dyDescent="0.35">
      <c r="A79">
        <v>23110584</v>
      </c>
      <c r="B79" t="s">
        <v>86</v>
      </c>
      <c r="H79">
        <v>4</v>
      </c>
      <c r="J79">
        <v>4</v>
      </c>
    </row>
    <row r="80" spans="1:10" x14ac:dyDescent="0.35">
      <c r="A80">
        <v>23110587</v>
      </c>
      <c r="B80" t="s">
        <v>87</v>
      </c>
      <c r="H80">
        <v>4</v>
      </c>
      <c r="J80">
        <v>4</v>
      </c>
    </row>
    <row r="81" spans="1:10" x14ac:dyDescent="0.35">
      <c r="A81">
        <v>23110590</v>
      </c>
      <c r="B81" t="s">
        <v>88</v>
      </c>
      <c r="H81">
        <v>4</v>
      </c>
      <c r="J81">
        <v>4</v>
      </c>
    </row>
    <row r="82" spans="1:10" x14ac:dyDescent="0.35">
      <c r="A82">
        <v>23110593</v>
      </c>
      <c r="B82" t="s">
        <v>89</v>
      </c>
      <c r="H82">
        <v>4</v>
      </c>
      <c r="J82">
        <v>4</v>
      </c>
    </row>
    <row r="83" spans="1:10" x14ac:dyDescent="0.35">
      <c r="A83">
        <v>23110595</v>
      </c>
      <c r="B83" t="s">
        <v>90</v>
      </c>
      <c r="H83">
        <v>4</v>
      </c>
      <c r="J83">
        <v>4</v>
      </c>
    </row>
    <row r="84" spans="1:10" x14ac:dyDescent="0.35">
      <c r="A84">
        <v>23110600</v>
      </c>
      <c r="B84" t="s">
        <v>91</v>
      </c>
      <c r="H84">
        <v>4</v>
      </c>
      <c r="J84">
        <v>4</v>
      </c>
    </row>
    <row r="85" spans="1:10" x14ac:dyDescent="0.35">
      <c r="A85">
        <v>23111028</v>
      </c>
      <c r="B85" t="s">
        <v>92</v>
      </c>
      <c r="H85">
        <v>2</v>
      </c>
      <c r="J85">
        <v>2</v>
      </c>
    </row>
    <row r="86" spans="1:10" x14ac:dyDescent="0.35">
      <c r="A86">
        <v>23111033</v>
      </c>
      <c r="B86" t="s">
        <v>93</v>
      </c>
      <c r="H86">
        <v>6</v>
      </c>
      <c r="J86">
        <v>6</v>
      </c>
    </row>
    <row r="87" spans="1:10" x14ac:dyDescent="0.35">
      <c r="A87">
        <v>23111034</v>
      </c>
      <c r="B87" t="s">
        <v>94</v>
      </c>
      <c r="H87">
        <v>4</v>
      </c>
      <c r="J87">
        <v>4</v>
      </c>
    </row>
    <row r="88" spans="1:10" x14ac:dyDescent="0.35">
      <c r="A88">
        <v>23111035</v>
      </c>
      <c r="B88" t="s">
        <v>95</v>
      </c>
      <c r="H88">
        <v>4</v>
      </c>
      <c r="J88">
        <v>4</v>
      </c>
    </row>
    <row r="89" spans="1:10" x14ac:dyDescent="0.35">
      <c r="A89">
        <v>23111036</v>
      </c>
      <c r="B89" t="s">
        <v>96</v>
      </c>
      <c r="H89">
        <v>4</v>
      </c>
      <c r="J89">
        <v>4</v>
      </c>
    </row>
    <row r="90" spans="1:10" x14ac:dyDescent="0.35">
      <c r="A90">
        <v>23111037</v>
      </c>
      <c r="B90" t="s">
        <v>97</v>
      </c>
      <c r="H90">
        <v>4</v>
      </c>
      <c r="J90">
        <v>4</v>
      </c>
    </row>
    <row r="91" spans="1:10" x14ac:dyDescent="0.35">
      <c r="A91">
        <v>23083450</v>
      </c>
      <c r="B91" t="s">
        <v>103</v>
      </c>
      <c r="E91">
        <v>16</v>
      </c>
      <c r="J91">
        <v>16</v>
      </c>
    </row>
    <row r="92" spans="1:10" x14ac:dyDescent="0.35">
      <c r="A92">
        <v>23062101</v>
      </c>
      <c r="B92" t="s">
        <v>109</v>
      </c>
      <c r="G92">
        <v>0</v>
      </c>
      <c r="J92">
        <v>0</v>
      </c>
    </row>
    <row r="93" spans="1:10" x14ac:dyDescent="0.35">
      <c r="A93">
        <v>23062111</v>
      </c>
      <c r="B93" t="s">
        <v>110</v>
      </c>
      <c r="G93">
        <v>0</v>
      </c>
      <c r="H93">
        <v>5</v>
      </c>
      <c r="J93">
        <v>5</v>
      </c>
    </row>
    <row r="94" spans="1:10" x14ac:dyDescent="0.35">
      <c r="A94">
        <v>23062103</v>
      </c>
      <c r="B94" t="s">
        <v>111</v>
      </c>
      <c r="G94">
        <v>0</v>
      </c>
      <c r="H94">
        <v>5</v>
      </c>
      <c r="J94">
        <v>5</v>
      </c>
    </row>
    <row r="95" spans="1:10" x14ac:dyDescent="0.35">
      <c r="A95">
        <v>23058556</v>
      </c>
      <c r="B95" t="s">
        <v>112</v>
      </c>
      <c r="G95">
        <v>0</v>
      </c>
      <c r="J95">
        <v>0</v>
      </c>
    </row>
    <row r="96" spans="1:10" x14ac:dyDescent="0.35">
      <c r="A96">
        <v>23067590</v>
      </c>
      <c r="B96" t="s">
        <v>113</v>
      </c>
      <c r="G96">
        <v>110</v>
      </c>
      <c r="J96">
        <v>110</v>
      </c>
    </row>
    <row r="97" spans="1:10" x14ac:dyDescent="0.35">
      <c r="A97">
        <v>23058588</v>
      </c>
      <c r="B97" t="s">
        <v>114</v>
      </c>
      <c r="G97">
        <v>5</v>
      </c>
      <c r="H97">
        <v>5</v>
      </c>
      <c r="I97">
        <v>5</v>
      </c>
      <c r="J97">
        <v>15</v>
      </c>
    </row>
    <row r="98" spans="1:10" x14ac:dyDescent="0.35">
      <c r="A98">
        <v>23062097</v>
      </c>
      <c r="B98" t="s">
        <v>115</v>
      </c>
      <c r="G98">
        <v>5</v>
      </c>
      <c r="I98">
        <v>10</v>
      </c>
      <c r="J98">
        <v>15</v>
      </c>
    </row>
    <row r="99" spans="1:10" x14ac:dyDescent="0.35">
      <c r="A99">
        <v>23071884</v>
      </c>
      <c r="B99" t="s">
        <v>116</v>
      </c>
      <c r="H99">
        <v>4.9997999999999996</v>
      </c>
      <c r="I99">
        <v>40</v>
      </c>
      <c r="J99">
        <v>44.9998</v>
      </c>
    </row>
    <row r="100" spans="1:10" x14ac:dyDescent="0.35">
      <c r="A100">
        <v>23073308</v>
      </c>
      <c r="B100" t="s">
        <v>117</v>
      </c>
      <c r="I100">
        <v>50</v>
      </c>
      <c r="J100">
        <v>50</v>
      </c>
    </row>
    <row r="101" spans="1:10" x14ac:dyDescent="0.35">
      <c r="A101">
        <v>23110631</v>
      </c>
      <c r="B101" t="s">
        <v>118</v>
      </c>
      <c r="H101">
        <v>6</v>
      </c>
      <c r="J101">
        <v>6</v>
      </c>
    </row>
    <row r="102" spans="1:10" x14ac:dyDescent="0.35">
      <c r="A102">
        <v>23015198</v>
      </c>
      <c r="B102" t="s">
        <v>119</v>
      </c>
      <c r="H102">
        <v>0</v>
      </c>
      <c r="J102">
        <v>0</v>
      </c>
    </row>
    <row r="103" spans="1:10" x14ac:dyDescent="0.35">
      <c r="A103">
        <v>23098986</v>
      </c>
      <c r="B103" t="s">
        <v>120</v>
      </c>
      <c r="H103">
        <v>3</v>
      </c>
      <c r="J103">
        <v>3</v>
      </c>
    </row>
    <row r="104" spans="1:10" x14ac:dyDescent="0.35">
      <c r="A104">
        <v>23098990</v>
      </c>
      <c r="B104" t="s">
        <v>121</v>
      </c>
      <c r="H104">
        <v>5</v>
      </c>
      <c r="J104">
        <v>5</v>
      </c>
    </row>
    <row r="105" spans="1:10" x14ac:dyDescent="0.35">
      <c r="A105">
        <v>23106549</v>
      </c>
      <c r="B105" t="s">
        <v>122</v>
      </c>
      <c r="H105">
        <v>50</v>
      </c>
      <c r="J105">
        <v>50</v>
      </c>
    </row>
    <row r="106" spans="1:10" x14ac:dyDescent="0.35">
      <c r="A106">
        <v>23105820</v>
      </c>
      <c r="B106" t="s">
        <v>123</v>
      </c>
      <c r="H106">
        <v>50</v>
      </c>
      <c r="J106">
        <v>50</v>
      </c>
    </row>
    <row r="107" spans="1:10" x14ac:dyDescent="0.35">
      <c r="A107">
        <v>23093507</v>
      </c>
      <c r="B107" t="s">
        <v>126</v>
      </c>
      <c r="I107">
        <v>5</v>
      </c>
      <c r="J107">
        <v>5</v>
      </c>
    </row>
    <row r="108" spans="1:10" x14ac:dyDescent="0.35">
      <c r="A108">
        <v>23098991</v>
      </c>
      <c r="B108" t="s">
        <v>127</v>
      </c>
      <c r="G108">
        <v>0</v>
      </c>
      <c r="J108">
        <v>0</v>
      </c>
    </row>
    <row r="109" spans="1:10" x14ac:dyDescent="0.35">
      <c r="A109">
        <v>23062967</v>
      </c>
      <c r="B109" t="s">
        <v>38</v>
      </c>
      <c r="G109">
        <v>30</v>
      </c>
      <c r="J109">
        <v>30</v>
      </c>
    </row>
    <row r="110" spans="1:10" x14ac:dyDescent="0.35">
      <c r="A110">
        <v>23062107</v>
      </c>
      <c r="B110" t="s">
        <v>108</v>
      </c>
      <c r="E110">
        <v>30</v>
      </c>
      <c r="G110">
        <v>40</v>
      </c>
      <c r="H110">
        <v>10</v>
      </c>
      <c r="I110">
        <v>100</v>
      </c>
      <c r="J110">
        <v>180</v>
      </c>
    </row>
    <row r="111" spans="1:10" x14ac:dyDescent="0.35">
      <c r="A111">
        <v>23110588</v>
      </c>
      <c r="B111" t="s">
        <v>102</v>
      </c>
      <c r="H111">
        <v>4</v>
      </c>
      <c r="J111">
        <v>4</v>
      </c>
    </row>
    <row r="112" spans="1:10" x14ac:dyDescent="0.35">
      <c r="A112">
        <v>23110619</v>
      </c>
      <c r="B112" t="s">
        <v>104</v>
      </c>
      <c r="H112">
        <v>2</v>
      </c>
      <c r="J112">
        <v>2</v>
      </c>
    </row>
    <row r="113" spans="1:10" x14ac:dyDescent="0.35">
      <c r="A113">
        <v>23110596</v>
      </c>
      <c r="B113" t="s">
        <v>100</v>
      </c>
      <c r="H113">
        <v>4</v>
      </c>
      <c r="J113">
        <v>4</v>
      </c>
    </row>
    <row r="114" spans="1:10" x14ac:dyDescent="0.35">
      <c r="A114">
        <v>23110597</v>
      </c>
      <c r="B114" t="s">
        <v>101</v>
      </c>
      <c r="H114">
        <v>4</v>
      </c>
      <c r="J114">
        <v>4</v>
      </c>
    </row>
    <row r="115" spans="1:10" x14ac:dyDescent="0.35">
      <c r="A115">
        <v>23111038</v>
      </c>
      <c r="B115" t="s">
        <v>105</v>
      </c>
      <c r="H115">
        <v>2</v>
      </c>
      <c r="J115">
        <v>2</v>
      </c>
    </row>
    <row r="116" spans="1:10" x14ac:dyDescent="0.35">
      <c r="A116">
        <v>23111030</v>
      </c>
      <c r="B116" t="s">
        <v>106</v>
      </c>
      <c r="H116">
        <v>2</v>
      </c>
      <c r="J116">
        <v>2</v>
      </c>
    </row>
    <row r="117" spans="1:10" x14ac:dyDescent="0.35">
      <c r="A117">
        <v>23111031</v>
      </c>
      <c r="B117" t="s">
        <v>98</v>
      </c>
      <c r="H117">
        <v>2</v>
      </c>
      <c r="J117">
        <v>2</v>
      </c>
    </row>
    <row r="118" spans="1:10" x14ac:dyDescent="0.35">
      <c r="A118">
        <v>23110624</v>
      </c>
      <c r="B118" t="s">
        <v>125</v>
      </c>
      <c r="H118">
        <v>2</v>
      </c>
      <c r="J118">
        <v>2</v>
      </c>
    </row>
    <row r="119" spans="1:10" x14ac:dyDescent="0.35">
      <c r="A119">
        <v>23111029</v>
      </c>
      <c r="B119" t="s">
        <v>107</v>
      </c>
      <c r="H119">
        <v>2</v>
      </c>
      <c r="J119">
        <v>2</v>
      </c>
    </row>
    <row r="120" spans="1:10" x14ac:dyDescent="0.35">
      <c r="A120">
        <v>23110589</v>
      </c>
      <c r="B120" t="s">
        <v>99</v>
      </c>
      <c r="H120">
        <v>4</v>
      </c>
      <c r="J120">
        <v>4</v>
      </c>
    </row>
    <row r="121" spans="1:10" x14ac:dyDescent="0.35">
      <c r="A121">
        <v>23110623</v>
      </c>
      <c r="B121" t="s">
        <v>124</v>
      </c>
      <c r="H121">
        <v>2</v>
      </c>
      <c r="J121">
        <v>2</v>
      </c>
    </row>
    <row r="122" spans="1:10" x14ac:dyDescent="0.35">
      <c r="A122">
        <v>23087679</v>
      </c>
      <c r="B122" t="s">
        <v>128</v>
      </c>
      <c r="D122">
        <v>5</v>
      </c>
      <c r="J122">
        <v>5</v>
      </c>
    </row>
    <row r="123" spans="1:10" x14ac:dyDescent="0.35">
      <c r="A123">
        <v>23047038</v>
      </c>
      <c r="B123" t="s">
        <v>17</v>
      </c>
      <c r="D123">
        <v>200</v>
      </c>
      <c r="J123">
        <v>200</v>
      </c>
    </row>
    <row r="124" spans="1:10" x14ac:dyDescent="0.35">
      <c r="A124">
        <v>23074624</v>
      </c>
      <c r="B124" t="s">
        <v>129</v>
      </c>
      <c r="E124">
        <v>40</v>
      </c>
      <c r="J124">
        <v>40</v>
      </c>
    </row>
    <row r="125" spans="1:10" x14ac:dyDescent="0.35">
      <c r="A125">
        <v>23074625</v>
      </c>
      <c r="B125" t="s">
        <v>130</v>
      </c>
      <c r="E125">
        <v>40</v>
      </c>
      <c r="J125">
        <v>40</v>
      </c>
    </row>
    <row r="126" spans="1:10" x14ac:dyDescent="0.35">
      <c r="A126">
        <v>23074626</v>
      </c>
      <c r="B126" t="s">
        <v>131</v>
      </c>
      <c r="E126">
        <v>20</v>
      </c>
      <c r="J126">
        <v>20</v>
      </c>
    </row>
    <row r="127" spans="1:10" x14ac:dyDescent="0.35">
      <c r="A127">
        <v>23074627</v>
      </c>
      <c r="B127" t="s">
        <v>132</v>
      </c>
      <c r="E127">
        <v>40</v>
      </c>
      <c r="J127">
        <v>40</v>
      </c>
    </row>
    <row r="128" spans="1:10" x14ac:dyDescent="0.35">
      <c r="A128">
        <v>23071882</v>
      </c>
      <c r="B128" t="s">
        <v>49</v>
      </c>
      <c r="F128">
        <v>40</v>
      </c>
      <c r="J128">
        <v>40</v>
      </c>
    </row>
    <row r="129" spans="1:10" x14ac:dyDescent="0.35">
      <c r="A129" t="s">
        <v>133</v>
      </c>
      <c r="C129">
        <v>680</v>
      </c>
      <c r="D129">
        <v>2046.2</v>
      </c>
      <c r="E129">
        <v>452.40000000000009</v>
      </c>
      <c r="F129">
        <v>705</v>
      </c>
      <c r="G129">
        <v>1450.6</v>
      </c>
      <c r="H129">
        <v>1636.5998</v>
      </c>
      <c r="I129">
        <v>2846.2</v>
      </c>
      <c r="J129">
        <v>9816.9997999999996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M146"/>
  <sheetViews>
    <sheetView tabSelected="1" topLeftCell="B1" zoomScale="40" zoomScaleNormal="40" workbookViewId="0">
      <selection activeCell="C17" sqref="C17"/>
    </sheetView>
  </sheetViews>
  <sheetFormatPr defaultColWidth="9.1796875" defaultRowHeight="21" x14ac:dyDescent="0.5"/>
  <cols>
    <col min="1" max="1" width="21.26953125" style="29" bestFit="1" customWidth="1"/>
    <col min="2" max="2" width="31.453125" style="29" bestFit="1" customWidth="1"/>
    <col min="3" max="3" width="66.26953125" style="27" bestFit="1" customWidth="1"/>
    <col min="4" max="4" width="38.26953125" style="27" bestFit="1" customWidth="1"/>
    <col min="5" max="5" width="37.54296875" style="27" bestFit="1" customWidth="1"/>
    <col min="6" max="6" width="43.453125" style="27" bestFit="1" customWidth="1"/>
    <col min="7" max="7" width="52.1796875" style="27" bestFit="1" customWidth="1"/>
    <col min="8" max="8" width="48.7265625" style="27" bestFit="1" customWidth="1"/>
    <col min="9" max="9" width="43.7265625" style="27" bestFit="1" customWidth="1"/>
    <col min="10" max="10" width="25.453125" style="27" bestFit="1" customWidth="1"/>
    <col min="11" max="13" width="22.453125" style="27" customWidth="1"/>
    <col min="14" max="16384" width="9.1796875" style="27"/>
  </cols>
  <sheetData>
    <row r="1" spans="1:13" x14ac:dyDescent="0.5">
      <c r="B1" s="29" t="s">
        <v>0</v>
      </c>
      <c r="C1" s="27" t="s">
        <v>4</v>
      </c>
    </row>
    <row r="2" spans="1:13" x14ac:dyDescent="0.5">
      <c r="B2" s="29" t="s">
        <v>2</v>
      </c>
      <c r="C2" s="29">
        <v>923</v>
      </c>
    </row>
    <row r="3" spans="1:13" x14ac:dyDescent="0.5">
      <c r="B3" s="29" t="s">
        <v>3</v>
      </c>
      <c r="C3" s="27" t="s">
        <v>4</v>
      </c>
    </row>
    <row r="4" spans="1:13" x14ac:dyDescent="0.5">
      <c r="B4" s="29" t="s">
        <v>6</v>
      </c>
      <c r="C4" s="27" t="s">
        <v>4</v>
      </c>
    </row>
    <row r="5" spans="1:13" x14ac:dyDescent="0.5">
      <c r="B5" s="29" t="s">
        <v>7</v>
      </c>
      <c r="C5" s="27" t="s">
        <v>8</v>
      </c>
    </row>
    <row r="6" spans="1:13" x14ac:dyDescent="0.5">
      <c r="B6" s="29" t="s">
        <v>9</v>
      </c>
      <c r="C6" s="27" t="s">
        <v>4</v>
      </c>
    </row>
    <row r="7" spans="1:13" x14ac:dyDescent="0.5">
      <c r="C7" s="30" t="s">
        <v>10</v>
      </c>
    </row>
    <row r="8" spans="1:13" x14ac:dyDescent="0.5">
      <c r="B8" s="29" t="s">
        <v>11</v>
      </c>
      <c r="D8" s="27" t="s">
        <v>5</v>
      </c>
    </row>
    <row r="9" spans="1:13" s="31" customFormat="1" ht="23.5" x14ac:dyDescent="0.55000000000000004">
      <c r="A9" s="51" t="s">
        <v>265</v>
      </c>
      <c r="B9" s="49" t="s">
        <v>12</v>
      </c>
      <c r="C9" s="49" t="s">
        <v>13</v>
      </c>
      <c r="D9" s="49" t="s">
        <v>232</v>
      </c>
      <c r="E9" s="49" t="s">
        <v>237</v>
      </c>
      <c r="F9" s="49" t="s">
        <v>220</v>
      </c>
      <c r="G9" s="49" t="s">
        <v>258</v>
      </c>
      <c r="H9" s="49" t="s">
        <v>198</v>
      </c>
      <c r="I9" s="49" t="s">
        <v>228</v>
      </c>
      <c r="J9" s="49" t="s">
        <v>241</v>
      </c>
      <c r="K9" s="49" t="s">
        <v>133</v>
      </c>
      <c r="L9" s="49"/>
      <c r="M9" s="52"/>
    </row>
    <row r="10" spans="1:13" s="28" customFormat="1" ht="23.5" x14ac:dyDescent="0.55000000000000004">
      <c r="A10" s="53" t="str">
        <f>IF(B10="Grand Total","Grand Total",IFERROR(VLOOKUP(B10,Master!$D$1:$G$1720,4,FALSE),""))</f>
        <v>สามชั้นพิเศษ</v>
      </c>
      <c r="B10" s="54">
        <v>23015198</v>
      </c>
      <c r="C10" s="50" t="s">
        <v>119</v>
      </c>
      <c r="D10" s="50"/>
      <c r="E10" s="50"/>
      <c r="F10" s="50"/>
      <c r="G10" s="50"/>
      <c r="H10" s="50"/>
      <c r="I10" s="50">
        <v>0</v>
      </c>
      <c r="J10" s="50"/>
      <c r="K10" s="50">
        <f t="shared" ref="K10:K41" si="0">+SUM(D10:J10)</f>
        <v>0</v>
      </c>
      <c r="L10" s="50"/>
      <c r="M10" s="55"/>
    </row>
    <row r="11" spans="1:13" s="28" customFormat="1" ht="23.5" x14ac:dyDescent="0.55000000000000004">
      <c r="A11" s="53" t="str">
        <f>IF(B11="Grand Total","Grand Total",IFERROR(VLOOKUP(B11,Master!$D$1:$G$1720,4,FALSE),""))</f>
        <v>สามชั้นพิเศษ</v>
      </c>
      <c r="B11" s="54">
        <v>23015265</v>
      </c>
      <c r="C11" s="50" t="s">
        <v>16</v>
      </c>
      <c r="D11" s="50">
        <v>30</v>
      </c>
      <c r="E11" s="50">
        <v>50</v>
      </c>
      <c r="F11" s="50"/>
      <c r="G11" s="50"/>
      <c r="H11" s="50"/>
      <c r="I11" s="50">
        <v>20</v>
      </c>
      <c r="J11" s="50"/>
      <c r="K11" s="50">
        <f t="shared" si="0"/>
        <v>100</v>
      </c>
      <c r="L11" s="50"/>
      <c r="M11" s="55"/>
    </row>
    <row r="12" spans="1:13" s="28" customFormat="1" ht="23.5" x14ac:dyDescent="0.55000000000000004">
      <c r="A12" s="53" t="str">
        <f>IF(B12="Grand Total","Grand Total",IFERROR(VLOOKUP(B12,Master!$D$1:$G$1720,4,FALSE),""))</f>
        <v>สามชั้นพิเศษ</v>
      </c>
      <c r="B12" s="54">
        <v>23058553</v>
      </c>
      <c r="C12" s="50" t="s">
        <v>27</v>
      </c>
      <c r="D12" s="50"/>
      <c r="E12" s="50"/>
      <c r="F12" s="50"/>
      <c r="G12" s="50"/>
      <c r="H12" s="50">
        <v>110</v>
      </c>
      <c r="I12" s="50">
        <v>300</v>
      </c>
      <c r="J12" s="50">
        <v>10</v>
      </c>
      <c r="K12" s="50">
        <f t="shared" si="0"/>
        <v>420</v>
      </c>
      <c r="L12" s="50"/>
      <c r="M12" s="55"/>
    </row>
    <row r="13" spans="1:13" s="28" customFormat="1" ht="23.5" x14ac:dyDescent="0.55000000000000004">
      <c r="A13" s="53" t="str">
        <f>IF(B13="Grand Total","Grand Total",IFERROR(VLOOKUP(B13,Master!$D$1:$G$1720,4,FALSE),""))</f>
        <v>สามชั้นพิเศษ</v>
      </c>
      <c r="B13" s="54">
        <v>23070475</v>
      </c>
      <c r="C13" s="50" t="s">
        <v>47</v>
      </c>
      <c r="D13" s="50"/>
      <c r="E13" s="50"/>
      <c r="F13" s="50">
        <v>40</v>
      </c>
      <c r="G13" s="50">
        <v>60</v>
      </c>
      <c r="H13" s="50"/>
      <c r="I13" s="50">
        <v>5</v>
      </c>
      <c r="J13" s="50"/>
      <c r="K13" s="50">
        <f t="shared" si="0"/>
        <v>105</v>
      </c>
      <c r="L13" s="50"/>
      <c r="M13" s="55"/>
    </row>
    <row r="14" spans="1:13" s="28" customFormat="1" ht="23.5" x14ac:dyDescent="0.55000000000000004">
      <c r="A14" s="53" t="str">
        <f>IF(B14="Grand Total","Grand Total",IFERROR(VLOOKUP(B14,Master!$D$1:$G$1720,4,FALSE),""))</f>
        <v>สามชั้นพิเศษ</v>
      </c>
      <c r="B14" s="54">
        <v>23071882</v>
      </c>
      <c r="C14" s="50" t="s">
        <v>49</v>
      </c>
      <c r="D14" s="50"/>
      <c r="E14" s="50"/>
      <c r="F14" s="50"/>
      <c r="G14" s="50">
        <v>40</v>
      </c>
      <c r="H14" s="50"/>
      <c r="I14" s="50"/>
      <c r="J14" s="50"/>
      <c r="K14" s="50">
        <f t="shared" si="0"/>
        <v>40</v>
      </c>
      <c r="L14" s="50"/>
      <c r="M14" s="55"/>
    </row>
    <row r="15" spans="1:13" s="28" customFormat="1" ht="23.5" x14ac:dyDescent="0.55000000000000004">
      <c r="A15" s="53" t="str">
        <f>IF(B15="Grand Total","Grand Total",IFERROR(VLOOKUP(B15,Master!$D$1:$G$1720,4,FALSE),""))</f>
        <v>สามชั้นพิเศษ</v>
      </c>
      <c r="B15" s="54">
        <v>23073308</v>
      </c>
      <c r="C15" s="50" t="s">
        <v>117</v>
      </c>
      <c r="D15" s="50"/>
      <c r="E15" s="50"/>
      <c r="F15" s="50"/>
      <c r="G15" s="50"/>
      <c r="H15" s="50"/>
      <c r="I15" s="50"/>
      <c r="J15" s="50">
        <v>50</v>
      </c>
      <c r="K15" s="50">
        <f t="shared" si="0"/>
        <v>50</v>
      </c>
      <c r="L15" s="50"/>
      <c r="M15" s="55"/>
    </row>
    <row r="16" spans="1:13" s="28" customFormat="1" ht="23.5" x14ac:dyDescent="0.55000000000000004">
      <c r="A16" s="53" t="str">
        <f>IF(B16="Grand Total","Grand Total",IFERROR(VLOOKUP(B16,Master!$D$1:$G$1720,4,FALSE),""))</f>
        <v>สามชั้นพิเศษ</v>
      </c>
      <c r="B16" s="54">
        <v>23075089</v>
      </c>
      <c r="C16" s="50" t="s">
        <v>51</v>
      </c>
      <c r="D16" s="50"/>
      <c r="E16" s="50"/>
      <c r="F16" s="50"/>
      <c r="G16" s="50"/>
      <c r="H16" s="50">
        <v>0</v>
      </c>
      <c r="I16" s="50"/>
      <c r="J16" s="50"/>
      <c r="K16" s="50">
        <f t="shared" si="0"/>
        <v>0</v>
      </c>
      <c r="L16" s="50"/>
      <c r="M16" s="55"/>
    </row>
    <row r="17" spans="1:13" s="28" customFormat="1" ht="23.5" x14ac:dyDescent="0.55000000000000004">
      <c r="A17" s="53" t="str">
        <f>IF(B17="Grand Total","Grand Total",IFERROR(VLOOKUP(B17,Master!$D$1:$G$1720,4,FALSE),""))</f>
        <v>สามชั้นพิเศษ</v>
      </c>
      <c r="B17" s="54">
        <v>23097796</v>
      </c>
      <c r="C17" s="50" t="s">
        <v>67</v>
      </c>
      <c r="D17" s="50"/>
      <c r="E17" s="50"/>
      <c r="F17" s="50"/>
      <c r="G17" s="50"/>
      <c r="H17" s="50"/>
      <c r="I17" s="50">
        <v>5</v>
      </c>
      <c r="J17" s="50"/>
      <c r="K17" s="50">
        <f t="shared" si="0"/>
        <v>5</v>
      </c>
      <c r="L17" s="50"/>
      <c r="M17" s="55"/>
    </row>
    <row r="18" spans="1:13" s="28" customFormat="1" ht="21" customHeight="1" x14ac:dyDescent="0.55000000000000004">
      <c r="A18" s="53" t="str">
        <f>IF(B18="Grand Total","Grand Total",IFERROR(VLOOKUP(B18,Master!$D$1:$G$1720,4,FALSE),""))</f>
        <v>สามชั้นพิเศษ</v>
      </c>
      <c r="B18" s="54">
        <v>23098990</v>
      </c>
      <c r="C18" s="50" t="s">
        <v>121</v>
      </c>
      <c r="D18" s="50"/>
      <c r="E18" s="50"/>
      <c r="F18" s="50"/>
      <c r="G18" s="50"/>
      <c r="H18" s="50"/>
      <c r="I18" s="50">
        <v>5</v>
      </c>
      <c r="J18" s="50"/>
      <c r="K18" s="50">
        <f t="shared" si="0"/>
        <v>5</v>
      </c>
      <c r="L18" s="50"/>
      <c r="M18" s="55"/>
    </row>
    <row r="19" spans="1:13" s="28" customFormat="1" ht="23.5" x14ac:dyDescent="0.55000000000000004">
      <c r="A19" s="53" t="str">
        <f>IF(B19="Grand Total","Grand Total",IFERROR(VLOOKUP(B19,Master!$D$1:$G$1720,4,FALSE),""))</f>
        <v>สามชั้นพิเศษ</v>
      </c>
      <c r="B19" s="54">
        <v>23098991</v>
      </c>
      <c r="C19" s="50" t="s">
        <v>127</v>
      </c>
      <c r="D19" s="50"/>
      <c r="E19" s="50"/>
      <c r="F19" s="50"/>
      <c r="G19" s="50"/>
      <c r="H19" s="50">
        <v>0</v>
      </c>
      <c r="I19" s="50"/>
      <c r="J19" s="50"/>
      <c r="K19" s="50">
        <f t="shared" si="0"/>
        <v>0</v>
      </c>
      <c r="L19" s="50"/>
      <c r="M19" s="55"/>
    </row>
    <row r="20" spans="1:13" s="28" customFormat="1" ht="23.5" x14ac:dyDescent="0.55000000000000004">
      <c r="A20" s="53" t="str">
        <f>IF(B20="Grand Total","Grand Total",IFERROR(VLOOKUP(B20,Master!$D$1:$G$1720,4,FALSE),""))</f>
        <v>สามชั้นพิเศษ</v>
      </c>
      <c r="B20" s="54">
        <v>23098995</v>
      </c>
      <c r="C20" s="50" t="s">
        <v>70</v>
      </c>
      <c r="D20" s="50"/>
      <c r="E20" s="50">
        <v>70</v>
      </c>
      <c r="F20" s="50"/>
      <c r="G20" s="50"/>
      <c r="H20" s="50">
        <v>20</v>
      </c>
      <c r="I20" s="50">
        <v>0</v>
      </c>
      <c r="J20" s="50"/>
      <c r="K20" s="50">
        <f t="shared" si="0"/>
        <v>90</v>
      </c>
      <c r="L20" s="50"/>
      <c r="M20" s="55"/>
    </row>
    <row r="21" spans="1:13" s="28" customFormat="1" ht="23.5" x14ac:dyDescent="0.55000000000000004">
      <c r="A21" s="53" t="str">
        <f>IF(B21="Grand Total","Grand Total",IFERROR(VLOOKUP(B21,Master!$D$1:$G$1720,4,FALSE),""))</f>
        <v>สามชั้นพิเศษ</v>
      </c>
      <c r="B21" s="54">
        <v>23109358</v>
      </c>
      <c r="C21" s="50" t="s">
        <v>83</v>
      </c>
      <c r="D21" s="50"/>
      <c r="E21" s="50"/>
      <c r="F21" s="50">
        <v>1.6</v>
      </c>
      <c r="G21" s="50"/>
      <c r="H21" s="50"/>
      <c r="I21" s="50"/>
      <c r="J21" s="50"/>
      <c r="K21" s="50">
        <f t="shared" si="0"/>
        <v>1.6</v>
      </c>
      <c r="L21" s="50"/>
      <c r="M21" s="55"/>
    </row>
    <row r="22" spans="1:13" s="28" customFormat="1" ht="23.5" x14ac:dyDescent="0.55000000000000004">
      <c r="A22" s="53" t="str">
        <f>IF(B22="Grand Total","Grand Total",IFERROR(VLOOKUP(B22,Master!$D$1:$G$1720,4,FALSE),""))</f>
        <v>สามชั้นพิเศษ</v>
      </c>
      <c r="B22" s="54">
        <v>23110596</v>
      </c>
      <c r="C22" s="50" t="s">
        <v>100</v>
      </c>
      <c r="D22" s="50"/>
      <c r="E22" s="50"/>
      <c r="F22" s="50"/>
      <c r="G22" s="50"/>
      <c r="H22" s="50"/>
      <c r="I22" s="50">
        <v>4</v>
      </c>
      <c r="J22" s="50"/>
      <c r="K22" s="50">
        <f t="shared" si="0"/>
        <v>4</v>
      </c>
      <c r="L22" s="50"/>
      <c r="M22" s="55"/>
    </row>
    <row r="23" spans="1:13" s="28" customFormat="1" ht="23.5" x14ac:dyDescent="0.55000000000000004">
      <c r="A23" s="53" t="str">
        <f>IF(B23="Grand Total","Grand Total",IFERROR(VLOOKUP(B23,Master!$D$1:$G$1720,4,FALSE),""))</f>
        <v>สามชั้นพิเศษ</v>
      </c>
      <c r="B23" s="54">
        <v>23110597</v>
      </c>
      <c r="C23" s="50" t="s">
        <v>101</v>
      </c>
      <c r="D23" s="50"/>
      <c r="E23" s="50"/>
      <c r="F23" s="50"/>
      <c r="G23" s="50"/>
      <c r="H23" s="50"/>
      <c r="I23" s="50">
        <v>4</v>
      </c>
      <c r="J23" s="50"/>
      <c r="K23" s="50">
        <f t="shared" si="0"/>
        <v>4</v>
      </c>
      <c r="L23" s="50"/>
      <c r="M23" s="55"/>
    </row>
    <row r="24" spans="1:13" s="28" customFormat="1" ht="23.5" x14ac:dyDescent="0.55000000000000004">
      <c r="A24" s="53" t="str">
        <f>IF(B24="Grand Total","Grand Total",IFERROR(VLOOKUP(B24,Master!$D$1:$G$1720,4,FALSE),""))</f>
        <v>สามชั้นพิเศษ</v>
      </c>
      <c r="B24" s="54">
        <v>23110619</v>
      </c>
      <c r="C24" s="50" t="s">
        <v>104</v>
      </c>
      <c r="D24" s="50"/>
      <c r="E24" s="50"/>
      <c r="F24" s="50"/>
      <c r="G24" s="50"/>
      <c r="H24" s="50"/>
      <c r="I24" s="50">
        <v>2</v>
      </c>
      <c r="J24" s="50"/>
      <c r="K24" s="50">
        <f t="shared" si="0"/>
        <v>2</v>
      </c>
      <c r="L24" s="50"/>
      <c r="M24" s="55"/>
    </row>
    <row r="25" spans="1:13" s="28" customFormat="1" ht="23.5" x14ac:dyDescent="0.55000000000000004">
      <c r="A25" s="53" t="str">
        <f>IF(B25="Grand Total","Grand Total",IFERROR(VLOOKUP(B25,Master!$D$1:$G$1720,4,FALSE),""))</f>
        <v>สามชั้นพิเศษ</v>
      </c>
      <c r="B25" s="54">
        <v>23111031</v>
      </c>
      <c r="C25" s="50" t="s">
        <v>98</v>
      </c>
      <c r="D25" s="50"/>
      <c r="E25" s="50"/>
      <c r="F25" s="50"/>
      <c r="G25" s="50"/>
      <c r="H25" s="50"/>
      <c r="I25" s="50">
        <v>2</v>
      </c>
      <c r="J25" s="50"/>
      <c r="K25" s="50">
        <f t="shared" si="0"/>
        <v>2</v>
      </c>
      <c r="L25" s="50"/>
      <c r="M25" s="55"/>
    </row>
    <row r="26" spans="1:13" s="28" customFormat="1" ht="23.5" x14ac:dyDescent="0.55000000000000004">
      <c r="A26" s="53" t="str">
        <f>IF(B26="Grand Total","Grand Total",IFERROR(VLOOKUP(B26,Master!$D$1:$G$1720,4,FALSE),""))</f>
        <v>สามชั้นพิเศษ</v>
      </c>
      <c r="B26" s="54">
        <v>23111038</v>
      </c>
      <c r="C26" s="50" t="s">
        <v>105</v>
      </c>
      <c r="D26" s="50"/>
      <c r="E26" s="50"/>
      <c r="F26" s="50"/>
      <c r="G26" s="50"/>
      <c r="H26" s="50"/>
      <c r="I26" s="50">
        <v>2</v>
      </c>
      <c r="J26" s="50"/>
      <c r="K26" s="50">
        <f t="shared" si="0"/>
        <v>2</v>
      </c>
      <c r="L26" s="50"/>
      <c r="M26" s="55"/>
    </row>
    <row r="27" spans="1:13" s="28" customFormat="1" ht="23.5" x14ac:dyDescent="0.55000000000000004">
      <c r="A27" s="53" t="str">
        <f>IF(B27="Grand Total","Grand Total",IFERROR(VLOOKUP(B27,Master!$D$1:$G$1720,4,FALSE),""))</f>
        <v>สามชั้น</v>
      </c>
      <c r="B27" s="54">
        <v>23057815</v>
      </c>
      <c r="C27" s="50" t="s">
        <v>20</v>
      </c>
      <c r="D27" s="50"/>
      <c r="E27" s="50">
        <v>100</v>
      </c>
      <c r="F27" s="50"/>
      <c r="G27" s="50">
        <v>40</v>
      </c>
      <c r="H27" s="50">
        <v>100</v>
      </c>
      <c r="I27" s="50">
        <v>200</v>
      </c>
      <c r="J27" s="50">
        <v>100</v>
      </c>
      <c r="K27" s="50">
        <f t="shared" si="0"/>
        <v>540</v>
      </c>
      <c r="L27" s="50"/>
      <c r="M27" s="55"/>
    </row>
    <row r="28" spans="1:13" s="28" customFormat="1" ht="23.5" x14ac:dyDescent="0.55000000000000004">
      <c r="A28" s="53" t="str">
        <f>IF(B28="Grand Total","Grand Total",IFERROR(VLOOKUP(B28,Master!$D$1:$G$1720,4,FALSE),""))</f>
        <v>สามชั้น</v>
      </c>
      <c r="B28" s="54">
        <v>23057818</v>
      </c>
      <c r="C28" s="50" t="s">
        <v>21</v>
      </c>
      <c r="D28" s="50"/>
      <c r="E28" s="50"/>
      <c r="F28" s="50"/>
      <c r="G28" s="50">
        <v>5</v>
      </c>
      <c r="H28" s="50">
        <v>0</v>
      </c>
      <c r="I28" s="50">
        <v>10</v>
      </c>
      <c r="J28" s="50">
        <v>60</v>
      </c>
      <c r="K28" s="50">
        <f t="shared" si="0"/>
        <v>75</v>
      </c>
      <c r="L28" s="50"/>
      <c r="M28" s="55"/>
    </row>
    <row r="29" spans="1:13" s="28" customFormat="1" ht="23.5" x14ac:dyDescent="0.55000000000000004">
      <c r="A29" s="53" t="str">
        <f>IF(B29="Grand Total","Grand Total",IFERROR(VLOOKUP(B29,Master!$D$1:$G$1720,4,FALSE),""))</f>
        <v>สามชั้น</v>
      </c>
      <c r="B29" s="54">
        <v>23057824</v>
      </c>
      <c r="C29" s="50" t="s">
        <v>23</v>
      </c>
      <c r="D29" s="50"/>
      <c r="E29" s="50">
        <v>50</v>
      </c>
      <c r="F29" s="50"/>
      <c r="G29" s="50"/>
      <c r="H29" s="50">
        <v>80</v>
      </c>
      <c r="I29" s="50"/>
      <c r="J29" s="50">
        <v>100</v>
      </c>
      <c r="K29" s="50">
        <f t="shared" si="0"/>
        <v>230</v>
      </c>
      <c r="L29" s="50"/>
      <c r="M29" s="55"/>
    </row>
    <row r="30" spans="1:13" s="28" customFormat="1" ht="23.5" x14ac:dyDescent="0.55000000000000004">
      <c r="A30" s="53" t="str">
        <f>IF(B30="Grand Total","Grand Total",IFERROR(VLOOKUP(B30,Master!$D$1:$G$1720,4,FALSE),""))</f>
        <v>สามชั้น</v>
      </c>
      <c r="B30" s="54">
        <v>23057827</v>
      </c>
      <c r="C30" s="50" t="s">
        <v>24</v>
      </c>
      <c r="D30" s="50"/>
      <c r="E30" s="50">
        <v>0</v>
      </c>
      <c r="F30" s="50">
        <v>5</v>
      </c>
      <c r="G30" s="50"/>
      <c r="H30" s="50"/>
      <c r="I30" s="50"/>
      <c r="J30" s="50"/>
      <c r="K30" s="50">
        <f t="shared" si="0"/>
        <v>5</v>
      </c>
      <c r="L30" s="50"/>
      <c r="M30" s="55"/>
    </row>
    <row r="31" spans="1:13" s="28" customFormat="1" ht="23.5" x14ac:dyDescent="0.55000000000000004">
      <c r="A31" s="53" t="str">
        <f>IF(B31="Grand Total","Grand Total",IFERROR(VLOOKUP(B31,Master!$D$1:$G$1720,4,FALSE),""))</f>
        <v>สามชั้น</v>
      </c>
      <c r="B31" s="54">
        <v>23058552</v>
      </c>
      <c r="C31" s="50" t="s">
        <v>26</v>
      </c>
      <c r="D31" s="50"/>
      <c r="E31" s="50">
        <v>20</v>
      </c>
      <c r="F31" s="50"/>
      <c r="G31" s="50">
        <v>10</v>
      </c>
      <c r="H31" s="50">
        <v>0</v>
      </c>
      <c r="I31" s="50">
        <v>20</v>
      </c>
      <c r="J31" s="50">
        <v>40</v>
      </c>
      <c r="K31" s="50">
        <f t="shared" si="0"/>
        <v>90</v>
      </c>
      <c r="L31" s="50"/>
      <c r="M31" s="55"/>
    </row>
    <row r="32" spans="1:13" s="28" customFormat="1" ht="23.5" x14ac:dyDescent="0.55000000000000004">
      <c r="A32" s="53" t="str">
        <f>IF(B32="Grand Total","Grand Total",IFERROR(VLOOKUP(B32,Master!$D$1:$G$1720,4,FALSE),""))</f>
        <v>สามชั้น</v>
      </c>
      <c r="B32" s="54">
        <v>23058555</v>
      </c>
      <c r="C32" s="50" t="s">
        <v>28</v>
      </c>
      <c r="D32" s="50">
        <v>40</v>
      </c>
      <c r="E32" s="50">
        <v>140</v>
      </c>
      <c r="F32" s="50"/>
      <c r="G32" s="50">
        <v>50</v>
      </c>
      <c r="H32" s="50">
        <v>70</v>
      </c>
      <c r="I32" s="50">
        <v>0</v>
      </c>
      <c r="J32" s="50">
        <v>250</v>
      </c>
      <c r="K32" s="50">
        <f t="shared" si="0"/>
        <v>550</v>
      </c>
      <c r="L32" s="50"/>
      <c r="M32" s="55"/>
    </row>
    <row r="33" spans="1:13" s="28" customFormat="1" ht="23.5" x14ac:dyDescent="0.55000000000000004">
      <c r="A33" s="53" t="str">
        <f>IF(B33="Grand Total","Grand Total",IFERROR(VLOOKUP(B33,Master!$D$1:$G$1720,4,FALSE),""))</f>
        <v>สามชั้น</v>
      </c>
      <c r="B33" s="54">
        <v>23068390</v>
      </c>
      <c r="C33" s="50" t="s">
        <v>46</v>
      </c>
      <c r="D33" s="50">
        <v>40</v>
      </c>
      <c r="E33" s="50"/>
      <c r="F33" s="50"/>
      <c r="G33" s="50"/>
      <c r="H33" s="50"/>
      <c r="I33" s="50"/>
      <c r="J33" s="50"/>
      <c r="K33" s="50">
        <f t="shared" si="0"/>
        <v>40</v>
      </c>
      <c r="L33" s="50"/>
      <c r="M33" s="55"/>
    </row>
    <row r="34" spans="1:13" s="28" customFormat="1" ht="23.5" x14ac:dyDescent="0.55000000000000004">
      <c r="A34" s="53" t="str">
        <f>IF(B34="Grand Total","Grand Total",IFERROR(VLOOKUP(B34,Master!$D$1:$G$1720,4,FALSE),""))</f>
        <v>สามชั้น</v>
      </c>
      <c r="B34" s="54">
        <v>23074627</v>
      </c>
      <c r="C34" s="50" t="s">
        <v>132</v>
      </c>
      <c r="D34" s="50"/>
      <c r="E34" s="50"/>
      <c r="F34" s="50">
        <v>40</v>
      </c>
      <c r="G34" s="50"/>
      <c r="H34" s="50"/>
      <c r="I34" s="50"/>
      <c r="J34" s="50"/>
      <c r="K34" s="50">
        <f t="shared" si="0"/>
        <v>40</v>
      </c>
      <c r="L34" s="50"/>
      <c r="M34" s="55"/>
    </row>
    <row r="35" spans="1:13" s="28" customFormat="1" ht="23.5" x14ac:dyDescent="0.55000000000000004">
      <c r="A35" s="53" t="str">
        <f>IF(B35="Grand Total","Grand Total",IFERROR(VLOOKUP(B35,Master!$D$1:$G$1720,4,FALSE),""))</f>
        <v>สามชั้น</v>
      </c>
      <c r="B35" s="54">
        <v>23097791</v>
      </c>
      <c r="C35" s="50" t="s">
        <v>64</v>
      </c>
      <c r="D35" s="50"/>
      <c r="E35" s="50"/>
      <c r="F35" s="50">
        <v>2</v>
      </c>
      <c r="G35" s="50"/>
      <c r="H35" s="50"/>
      <c r="I35" s="50"/>
      <c r="J35" s="50"/>
      <c r="K35" s="50">
        <f t="shared" si="0"/>
        <v>2</v>
      </c>
      <c r="L35" s="50"/>
      <c r="M35" s="55"/>
    </row>
    <row r="36" spans="1:13" s="28" customFormat="1" ht="23.5" x14ac:dyDescent="0.55000000000000004">
      <c r="A36" s="53" t="str">
        <f>IF(B36="Grand Total","Grand Total",IFERROR(VLOOKUP(B36,Master!$D$1:$G$1720,4,FALSE),""))</f>
        <v>สามชั้น</v>
      </c>
      <c r="B36" s="54">
        <v>23105752</v>
      </c>
      <c r="C36" s="50" t="s">
        <v>74</v>
      </c>
      <c r="D36" s="50"/>
      <c r="E36" s="50">
        <v>0</v>
      </c>
      <c r="F36" s="50"/>
      <c r="G36" s="50"/>
      <c r="H36" s="50"/>
      <c r="I36" s="50"/>
      <c r="J36" s="50">
        <v>10</v>
      </c>
      <c r="K36" s="50">
        <f t="shared" si="0"/>
        <v>10</v>
      </c>
      <c r="L36" s="50"/>
      <c r="M36" s="55"/>
    </row>
    <row r="37" spans="1:13" s="28" customFormat="1" ht="23.5" x14ac:dyDescent="0.55000000000000004">
      <c r="A37" s="53" t="str">
        <f>IF(B37="Grand Total","Grand Total",IFERROR(VLOOKUP(B37,Master!$D$1:$G$1720,4,FALSE),""))</f>
        <v>สามชั้น</v>
      </c>
      <c r="B37" s="54">
        <v>23105754</v>
      </c>
      <c r="C37" s="50" t="s">
        <v>76</v>
      </c>
      <c r="D37" s="50"/>
      <c r="E37" s="50">
        <v>60</v>
      </c>
      <c r="F37" s="50">
        <v>20</v>
      </c>
      <c r="G37" s="50">
        <v>10</v>
      </c>
      <c r="H37" s="50">
        <v>20</v>
      </c>
      <c r="I37" s="50">
        <v>10</v>
      </c>
      <c r="J37" s="50">
        <v>60</v>
      </c>
      <c r="K37" s="50">
        <f t="shared" si="0"/>
        <v>180</v>
      </c>
      <c r="L37" s="50"/>
      <c r="M37" s="55"/>
    </row>
    <row r="38" spans="1:13" s="28" customFormat="1" ht="23.5" x14ac:dyDescent="0.55000000000000004">
      <c r="A38" s="53" t="str">
        <f>IF(B38="Grand Total","Grand Total",IFERROR(VLOOKUP(B38,Master!$D$1:$G$1720,4,FALSE),""))</f>
        <v>สะโพกพิเศษ</v>
      </c>
      <c r="B38" s="54">
        <v>23087034</v>
      </c>
      <c r="C38" s="50" t="s">
        <v>54</v>
      </c>
      <c r="D38" s="50"/>
      <c r="E38" s="50">
        <v>10</v>
      </c>
      <c r="F38" s="50">
        <v>15</v>
      </c>
      <c r="G38" s="50"/>
      <c r="H38" s="50">
        <v>10</v>
      </c>
      <c r="I38" s="50">
        <v>0</v>
      </c>
      <c r="J38" s="50">
        <v>150</v>
      </c>
      <c r="K38" s="50">
        <f t="shared" si="0"/>
        <v>185</v>
      </c>
      <c r="L38" s="50"/>
      <c r="M38" s="55"/>
    </row>
    <row r="39" spans="1:13" s="28" customFormat="1" ht="23.5" x14ac:dyDescent="0.55000000000000004">
      <c r="A39" s="53" t="str">
        <f>IF(B39="Grand Total","Grand Total",IFERROR(VLOOKUP(B39,Master!$D$1:$G$1720,4,FALSE),""))</f>
        <v>สะโพกพิเศษ</v>
      </c>
      <c r="B39" s="54">
        <v>23097789</v>
      </c>
      <c r="C39" s="50" t="s">
        <v>62</v>
      </c>
      <c r="D39" s="50"/>
      <c r="E39" s="50"/>
      <c r="F39" s="50"/>
      <c r="G39" s="50"/>
      <c r="H39" s="50"/>
      <c r="I39" s="50">
        <v>3</v>
      </c>
      <c r="J39" s="50"/>
      <c r="K39" s="50">
        <f t="shared" si="0"/>
        <v>3</v>
      </c>
      <c r="L39" s="50"/>
      <c r="M39" s="55"/>
    </row>
    <row r="40" spans="1:13" s="28" customFormat="1" ht="23.5" x14ac:dyDescent="0.55000000000000004">
      <c r="A40" s="53" t="str">
        <f>IF(B40="Grand Total","Grand Total",IFERROR(VLOOKUP(B40,Master!$D$1:$G$1720,4,FALSE),""))</f>
        <v>สะโพกพิเศษ</v>
      </c>
      <c r="B40" s="54">
        <v>23098986</v>
      </c>
      <c r="C40" s="50" t="s">
        <v>120</v>
      </c>
      <c r="D40" s="50"/>
      <c r="E40" s="50"/>
      <c r="F40" s="50"/>
      <c r="G40" s="50"/>
      <c r="H40" s="50"/>
      <c r="I40" s="50">
        <v>3</v>
      </c>
      <c r="J40" s="50"/>
      <c r="K40" s="50">
        <f t="shared" si="0"/>
        <v>3</v>
      </c>
      <c r="L40" s="50"/>
      <c r="M40" s="55"/>
    </row>
    <row r="41" spans="1:13" s="28" customFormat="1" ht="23.5" x14ac:dyDescent="0.55000000000000004">
      <c r="A41" s="53" t="str">
        <f>IF(B41="Grand Total","Grand Total",IFERROR(VLOOKUP(B41,Master!$D$1:$G$1720,4,FALSE),""))</f>
        <v>สะโพกพิเศษ</v>
      </c>
      <c r="B41" s="54">
        <v>23104868</v>
      </c>
      <c r="C41" s="50" t="s">
        <v>71</v>
      </c>
      <c r="D41" s="50"/>
      <c r="E41" s="50">
        <v>10</v>
      </c>
      <c r="F41" s="50"/>
      <c r="G41" s="50"/>
      <c r="H41" s="50">
        <v>0</v>
      </c>
      <c r="I41" s="50"/>
      <c r="J41" s="50"/>
      <c r="K41" s="50">
        <f t="shared" si="0"/>
        <v>10</v>
      </c>
      <c r="L41" s="50"/>
      <c r="M41" s="55"/>
    </row>
    <row r="42" spans="1:13" s="28" customFormat="1" ht="23.5" x14ac:dyDescent="0.55000000000000004">
      <c r="A42" s="53" t="str">
        <f>IF(B42="Grand Total","Grand Total",IFERROR(VLOOKUP(B42,Master!$D$1:$G$1720,4,FALSE),""))</f>
        <v>สะโพกพิเศษ</v>
      </c>
      <c r="B42" s="54">
        <v>23106549</v>
      </c>
      <c r="C42" s="50" t="s">
        <v>122</v>
      </c>
      <c r="D42" s="50"/>
      <c r="E42" s="50"/>
      <c r="F42" s="50"/>
      <c r="G42" s="50"/>
      <c r="H42" s="50"/>
      <c r="I42" s="50">
        <v>50</v>
      </c>
      <c r="J42" s="50"/>
      <c r="K42" s="50">
        <f t="shared" ref="K42:K73" si="1">+SUM(D42:J42)</f>
        <v>50</v>
      </c>
      <c r="L42" s="50"/>
      <c r="M42" s="55"/>
    </row>
    <row r="43" spans="1:13" s="28" customFormat="1" ht="23.5" x14ac:dyDescent="0.55000000000000004">
      <c r="A43" s="53" t="str">
        <f>IF(B43="Grand Total","Grand Total",IFERROR(VLOOKUP(B43,Master!$D$1:$G$1720,4,FALSE),""))</f>
        <v>สะโพกพิเศษ</v>
      </c>
      <c r="B43" s="54">
        <v>23109357</v>
      </c>
      <c r="C43" s="50" t="s">
        <v>82</v>
      </c>
      <c r="D43" s="50"/>
      <c r="E43" s="50"/>
      <c r="F43" s="50">
        <v>0.8</v>
      </c>
      <c r="G43" s="50"/>
      <c r="H43" s="50"/>
      <c r="I43" s="50"/>
      <c r="J43" s="50"/>
      <c r="K43" s="50">
        <f t="shared" si="1"/>
        <v>0.8</v>
      </c>
      <c r="L43" s="50"/>
      <c r="M43" s="55"/>
    </row>
    <row r="44" spans="1:13" s="28" customFormat="1" ht="23.5" x14ac:dyDescent="0.55000000000000004">
      <c r="A44" s="53" t="str">
        <f>IF(B44="Grand Total","Grand Total",IFERROR(VLOOKUP(B44,Master!$D$1:$G$1720,4,FALSE),""))</f>
        <v>สะโพกพิเศษ</v>
      </c>
      <c r="B44" s="54">
        <v>23110588</v>
      </c>
      <c r="C44" s="50" t="s">
        <v>102</v>
      </c>
      <c r="D44" s="50"/>
      <c r="E44" s="50"/>
      <c r="F44" s="50"/>
      <c r="G44" s="50"/>
      <c r="H44" s="50"/>
      <c r="I44" s="50">
        <v>4</v>
      </c>
      <c r="J44" s="50"/>
      <c r="K44" s="50">
        <f t="shared" si="1"/>
        <v>4</v>
      </c>
      <c r="L44" s="50"/>
      <c r="M44" s="55"/>
    </row>
    <row r="45" spans="1:13" s="28" customFormat="1" ht="23.5" x14ac:dyDescent="0.55000000000000004">
      <c r="A45" s="53" t="str">
        <f>IF(B45="Grand Total","Grand Total",IFERROR(VLOOKUP(B45,Master!$D$1:$G$1720,4,FALSE),""))</f>
        <v>สะโพกพิเศษ</v>
      </c>
      <c r="B45" s="54">
        <v>23110589</v>
      </c>
      <c r="C45" s="50" t="s">
        <v>99</v>
      </c>
      <c r="D45" s="50"/>
      <c r="E45" s="50"/>
      <c r="F45" s="50"/>
      <c r="G45" s="50"/>
      <c r="H45" s="50"/>
      <c r="I45" s="50">
        <v>4</v>
      </c>
      <c r="J45" s="50"/>
      <c r="K45" s="50">
        <f t="shared" si="1"/>
        <v>4</v>
      </c>
      <c r="L45" s="50"/>
      <c r="M45" s="55"/>
    </row>
    <row r="46" spans="1:13" s="28" customFormat="1" ht="23.5" x14ac:dyDescent="0.55000000000000004">
      <c r="A46" s="53" t="str">
        <f>IF(B46="Grand Total","Grand Total",IFERROR(VLOOKUP(B46,Master!$D$1:$G$1720,4,FALSE),""))</f>
        <v>สะโพกพิเศษ</v>
      </c>
      <c r="B46" s="54">
        <v>23111029</v>
      </c>
      <c r="C46" s="50" t="s">
        <v>107</v>
      </c>
      <c r="D46" s="50"/>
      <c r="E46" s="50"/>
      <c r="F46" s="50"/>
      <c r="G46" s="50"/>
      <c r="H46" s="50"/>
      <c r="I46" s="50">
        <v>2</v>
      </c>
      <c r="J46" s="50"/>
      <c r="K46" s="50">
        <f t="shared" si="1"/>
        <v>2</v>
      </c>
      <c r="L46" s="50"/>
      <c r="M46" s="55"/>
    </row>
    <row r="47" spans="1:13" s="28" customFormat="1" ht="23.5" x14ac:dyDescent="0.55000000000000004">
      <c r="A47" s="53" t="str">
        <f>IF(B47="Grand Total","Grand Total",IFERROR(VLOOKUP(B47,Master!$D$1:$G$1720,4,FALSE),""))</f>
        <v>สะโพกพิเศษ</v>
      </c>
      <c r="B47" s="54">
        <v>23111030</v>
      </c>
      <c r="C47" s="50" t="s">
        <v>106</v>
      </c>
      <c r="D47" s="50"/>
      <c r="E47" s="50"/>
      <c r="F47" s="50"/>
      <c r="G47" s="50"/>
      <c r="H47" s="50"/>
      <c r="I47" s="50">
        <v>2</v>
      </c>
      <c r="J47" s="50"/>
      <c r="K47" s="50">
        <f t="shared" si="1"/>
        <v>2</v>
      </c>
      <c r="L47" s="50"/>
      <c r="M47" s="55"/>
    </row>
    <row r="48" spans="1:13" s="28" customFormat="1" ht="23.5" x14ac:dyDescent="0.55000000000000004">
      <c r="A48" s="53" t="str">
        <f>IF(B48="Grand Total","Grand Total",IFERROR(VLOOKUP(B48,Master!$D$1:$G$1720,4,FALSE),""))</f>
        <v>สะโพก</v>
      </c>
      <c r="B48" s="54">
        <v>23057812</v>
      </c>
      <c r="C48" s="50" t="s">
        <v>19</v>
      </c>
      <c r="D48" s="50">
        <v>0</v>
      </c>
      <c r="E48" s="50">
        <v>200</v>
      </c>
      <c r="F48" s="50"/>
      <c r="G48" s="50">
        <v>100</v>
      </c>
      <c r="H48" s="50">
        <v>130</v>
      </c>
      <c r="I48" s="50">
        <v>300</v>
      </c>
      <c r="J48" s="50">
        <v>400</v>
      </c>
      <c r="K48" s="50">
        <f t="shared" si="1"/>
        <v>1130</v>
      </c>
      <c r="L48" s="50"/>
      <c r="M48" s="55"/>
    </row>
    <row r="49" spans="1:13" s="28" customFormat="1" ht="23.5" x14ac:dyDescent="0.55000000000000004">
      <c r="A49" s="53" t="str">
        <f>IF(B49="Grand Total","Grand Total",IFERROR(VLOOKUP(B49,Master!$D$1:$G$1720,4,FALSE),""))</f>
        <v>สะโพก</v>
      </c>
      <c r="B49" s="54">
        <v>23074625</v>
      </c>
      <c r="C49" s="50" t="s">
        <v>130</v>
      </c>
      <c r="D49" s="50"/>
      <c r="E49" s="50"/>
      <c r="F49" s="50">
        <v>40</v>
      </c>
      <c r="G49" s="50"/>
      <c r="H49" s="50"/>
      <c r="I49" s="50"/>
      <c r="J49" s="50"/>
      <c r="K49" s="50">
        <f t="shared" si="1"/>
        <v>40</v>
      </c>
      <c r="L49" s="50"/>
      <c r="M49" s="55"/>
    </row>
    <row r="50" spans="1:13" s="28" customFormat="1" ht="23.5" x14ac:dyDescent="0.55000000000000004">
      <c r="A50" s="53" t="str">
        <f>IF(B50="Grand Total","Grand Total",IFERROR(VLOOKUP(B50,Master!$D$1:$G$1720,4,FALSE),""))</f>
        <v>สะโพก</v>
      </c>
      <c r="B50" s="54">
        <v>23105753</v>
      </c>
      <c r="C50" s="50" t="s">
        <v>75</v>
      </c>
      <c r="D50" s="50"/>
      <c r="E50" s="50"/>
      <c r="F50" s="50">
        <v>20</v>
      </c>
      <c r="G50" s="50">
        <v>10</v>
      </c>
      <c r="H50" s="50">
        <v>80</v>
      </c>
      <c r="I50" s="50">
        <v>30</v>
      </c>
      <c r="J50" s="50">
        <v>60</v>
      </c>
      <c r="K50" s="50">
        <f t="shared" si="1"/>
        <v>200</v>
      </c>
      <c r="L50" s="50"/>
      <c r="M50" s="55"/>
    </row>
    <row r="51" spans="1:13" s="28" customFormat="1" ht="23.5" x14ac:dyDescent="0.55000000000000004">
      <c r="A51" s="53" t="str">
        <f>IF(B51="Grand Total","Grand Total",IFERROR(VLOOKUP(B51,Master!$D$1:$G$1720,4,FALSE),""))</f>
        <v>สไลด์</v>
      </c>
      <c r="B51" s="54">
        <v>23065140</v>
      </c>
      <c r="C51" s="50" t="s">
        <v>40</v>
      </c>
      <c r="D51" s="50">
        <v>220</v>
      </c>
      <c r="E51" s="50">
        <v>400</v>
      </c>
      <c r="F51" s="50"/>
      <c r="G51" s="50">
        <v>30</v>
      </c>
      <c r="H51" s="50">
        <v>40</v>
      </c>
      <c r="I51" s="50"/>
      <c r="J51" s="50">
        <v>100</v>
      </c>
      <c r="K51" s="50">
        <f t="shared" si="1"/>
        <v>790</v>
      </c>
      <c r="L51" s="50"/>
      <c r="M51" s="55"/>
    </row>
    <row r="52" spans="1:13" s="28" customFormat="1" ht="23.5" x14ac:dyDescent="0.55000000000000004">
      <c r="A52" s="53" t="str">
        <f>IF(B52="Grand Total","Grand Total",IFERROR(VLOOKUP(B52,Master!$D$1:$G$1720,4,FALSE),""))</f>
        <v>สไลด์</v>
      </c>
      <c r="B52" s="54">
        <v>23065141</v>
      </c>
      <c r="C52" s="50" t="s">
        <v>41</v>
      </c>
      <c r="D52" s="50">
        <v>30</v>
      </c>
      <c r="E52" s="50"/>
      <c r="F52" s="50"/>
      <c r="G52" s="50"/>
      <c r="H52" s="50">
        <v>15</v>
      </c>
      <c r="I52" s="50">
        <v>10</v>
      </c>
      <c r="J52" s="50"/>
      <c r="K52" s="50">
        <f t="shared" si="1"/>
        <v>55</v>
      </c>
      <c r="L52" s="50"/>
      <c r="M52" s="55"/>
    </row>
    <row r="53" spans="1:13" s="28" customFormat="1" ht="23.5" x14ac:dyDescent="0.55000000000000004">
      <c r="A53" s="53" t="str">
        <f>IF(B53="Grand Total","Grand Total",IFERROR(VLOOKUP(B53,Master!$D$1:$G$1720,4,FALSE),""))</f>
        <v>สไลด์</v>
      </c>
      <c r="B53" s="54">
        <v>23065142</v>
      </c>
      <c r="C53" s="50" t="s">
        <v>42</v>
      </c>
      <c r="D53" s="50">
        <v>20</v>
      </c>
      <c r="E53" s="50"/>
      <c r="F53" s="50"/>
      <c r="G53" s="50">
        <v>10</v>
      </c>
      <c r="H53" s="50">
        <v>20</v>
      </c>
      <c r="I53" s="50">
        <v>10</v>
      </c>
      <c r="J53" s="50"/>
      <c r="K53" s="50">
        <f t="shared" si="1"/>
        <v>60</v>
      </c>
      <c r="L53" s="50"/>
      <c r="M53" s="55"/>
    </row>
    <row r="54" spans="1:13" s="28" customFormat="1" ht="23.5" x14ac:dyDescent="0.55000000000000004">
      <c r="A54" s="53" t="str">
        <f>IF(B54="Grand Total","Grand Total",IFERROR(VLOOKUP(B54,Master!$D$1:$G$1720,4,FALSE),""))</f>
        <v>สไลด์</v>
      </c>
      <c r="B54" s="54">
        <v>23065143</v>
      </c>
      <c r="C54" s="50" t="s">
        <v>43</v>
      </c>
      <c r="D54" s="50">
        <v>180</v>
      </c>
      <c r="E54" s="50">
        <v>400</v>
      </c>
      <c r="F54" s="50"/>
      <c r="G54" s="50">
        <v>20</v>
      </c>
      <c r="H54" s="50">
        <v>90</v>
      </c>
      <c r="I54" s="50">
        <v>0</v>
      </c>
      <c r="J54" s="50">
        <v>80</v>
      </c>
      <c r="K54" s="50">
        <f t="shared" si="1"/>
        <v>770</v>
      </c>
      <c r="L54" s="50"/>
      <c r="M54" s="55"/>
    </row>
    <row r="55" spans="1:13" s="28" customFormat="1" ht="23.5" x14ac:dyDescent="0.55000000000000004">
      <c r="A55" s="53" t="str">
        <f>IF(B55="Grand Total","Grand Total",IFERROR(VLOOKUP(B55,Master!$D$1:$G$1720,4,FALSE),""))</f>
        <v>สไลด์</v>
      </c>
      <c r="B55" s="54">
        <v>23097790</v>
      </c>
      <c r="C55" s="50" t="s">
        <v>63</v>
      </c>
      <c r="D55" s="50"/>
      <c r="E55" s="50"/>
      <c r="F55" s="50">
        <v>20</v>
      </c>
      <c r="G55" s="50"/>
      <c r="H55" s="50"/>
      <c r="I55" s="50"/>
      <c r="J55" s="50"/>
      <c r="K55" s="50">
        <f t="shared" si="1"/>
        <v>20</v>
      </c>
      <c r="L55" s="50"/>
      <c r="M55" s="55"/>
    </row>
    <row r="56" spans="1:13" s="28" customFormat="1" ht="23.5" x14ac:dyDescent="0.55000000000000004">
      <c r="A56" s="53" t="str">
        <f>IF(B56="Grand Total","Grand Total",IFERROR(VLOOKUP(B56,Master!$D$1:$G$1720,4,FALSE),""))</f>
        <v>สไลด์</v>
      </c>
      <c r="B56" s="54">
        <v>23097793</v>
      </c>
      <c r="C56" s="50" t="s">
        <v>66</v>
      </c>
      <c r="D56" s="50"/>
      <c r="E56" s="50"/>
      <c r="F56" s="50">
        <v>24</v>
      </c>
      <c r="G56" s="50"/>
      <c r="H56" s="50"/>
      <c r="I56" s="50"/>
      <c r="J56" s="50"/>
      <c r="K56" s="50">
        <f t="shared" si="1"/>
        <v>24</v>
      </c>
      <c r="L56" s="50"/>
      <c r="M56" s="55"/>
    </row>
    <row r="57" spans="1:13" s="28" customFormat="1" ht="23.5" x14ac:dyDescent="0.55000000000000004">
      <c r="A57" s="53" t="str">
        <f>IF(B57="Grand Total","Grand Total",IFERROR(VLOOKUP(B57,Master!$D$1:$G$1720,4,FALSE),""))</f>
        <v>สไลด์</v>
      </c>
      <c r="B57" s="54">
        <v>23097797</v>
      </c>
      <c r="C57" s="50" t="s">
        <v>68</v>
      </c>
      <c r="D57" s="50"/>
      <c r="E57" s="50"/>
      <c r="F57" s="50">
        <v>20</v>
      </c>
      <c r="G57" s="50"/>
      <c r="H57" s="50"/>
      <c r="I57" s="50">
        <v>5</v>
      </c>
      <c r="J57" s="50"/>
      <c r="K57" s="50">
        <f t="shared" si="1"/>
        <v>25</v>
      </c>
      <c r="L57" s="50"/>
      <c r="M57" s="55"/>
    </row>
    <row r="58" spans="1:13" s="28" customFormat="1" ht="23.5" x14ac:dyDescent="0.55000000000000004">
      <c r="A58" s="53" t="str">
        <f>IF(B58="Grand Total","Grand Total",IFERROR(VLOOKUP(B58,Master!$D$1:$G$1720,4,FALSE),""))</f>
        <v>สไลด์</v>
      </c>
      <c r="B58" s="54">
        <v>23105820</v>
      </c>
      <c r="C58" s="50" t="s">
        <v>123</v>
      </c>
      <c r="D58" s="50"/>
      <c r="E58" s="50"/>
      <c r="F58" s="50"/>
      <c r="G58" s="50"/>
      <c r="H58" s="50"/>
      <c r="I58" s="50">
        <v>50</v>
      </c>
      <c r="J58" s="50"/>
      <c r="K58" s="50">
        <f t="shared" si="1"/>
        <v>50</v>
      </c>
      <c r="L58" s="50"/>
      <c r="M58" s="55"/>
    </row>
    <row r="59" spans="1:13" s="28" customFormat="1" ht="23.5" x14ac:dyDescent="0.55000000000000004">
      <c r="A59" s="53" t="str">
        <f>IF(B59="Grand Total","Grand Total",IFERROR(VLOOKUP(B59,Master!$D$1:$G$1720,4,FALSE),""))</f>
        <v>สไลด์</v>
      </c>
      <c r="B59" s="54">
        <v>23109351</v>
      </c>
      <c r="C59" s="50" t="s">
        <v>79</v>
      </c>
      <c r="D59" s="50"/>
      <c r="E59" s="50"/>
      <c r="F59" s="50">
        <v>1</v>
      </c>
      <c r="G59" s="50"/>
      <c r="H59" s="50"/>
      <c r="I59" s="50"/>
      <c r="J59" s="50"/>
      <c r="K59" s="50">
        <f t="shared" si="1"/>
        <v>1</v>
      </c>
      <c r="L59" s="50"/>
      <c r="M59" s="55"/>
    </row>
    <row r="60" spans="1:13" s="28" customFormat="1" ht="23.5" x14ac:dyDescent="0.55000000000000004">
      <c r="A60" s="53" t="str">
        <f>IF(B60="Grand Total","Grand Total",IFERROR(VLOOKUP(B60,Master!$D$1:$G$1720,4,FALSE),""))</f>
        <v>สไลด์</v>
      </c>
      <c r="B60" s="54">
        <v>23109352</v>
      </c>
      <c r="C60" s="50" t="s">
        <v>80</v>
      </c>
      <c r="D60" s="50"/>
      <c r="E60" s="50"/>
      <c r="F60" s="50">
        <v>3</v>
      </c>
      <c r="G60" s="50"/>
      <c r="H60" s="50"/>
      <c r="I60" s="50"/>
      <c r="J60" s="50"/>
      <c r="K60" s="50">
        <f t="shared" si="1"/>
        <v>3</v>
      </c>
      <c r="L60" s="50"/>
      <c r="M60" s="55"/>
    </row>
    <row r="61" spans="1:13" s="28" customFormat="1" ht="23.5" x14ac:dyDescent="0.55000000000000004">
      <c r="A61" s="53" t="str">
        <f>IF(B61="Grand Total","Grand Total",IFERROR(VLOOKUP(B61,Master!$D$1:$G$1720,4,FALSE),""))</f>
        <v>สไลด์</v>
      </c>
      <c r="B61" s="54">
        <v>23109353</v>
      </c>
      <c r="C61" s="50" t="s">
        <v>81</v>
      </c>
      <c r="D61" s="50"/>
      <c r="E61" s="50"/>
      <c r="F61" s="50">
        <v>3</v>
      </c>
      <c r="G61" s="50"/>
      <c r="H61" s="50"/>
      <c r="I61" s="50"/>
      <c r="J61" s="50"/>
      <c r="K61" s="50">
        <f t="shared" si="1"/>
        <v>3</v>
      </c>
      <c r="L61" s="50"/>
      <c r="M61" s="55"/>
    </row>
    <row r="62" spans="1:13" s="28" customFormat="1" ht="23.5" x14ac:dyDescent="0.55000000000000004">
      <c r="A62" s="53" t="str">
        <f>IF(B62="Grand Total","Grand Total",IFERROR(VLOOKUP(B62,Master!$D$1:$G$1720,4,FALSE),""))</f>
        <v>สไลด์</v>
      </c>
      <c r="B62" s="54">
        <v>23110587</v>
      </c>
      <c r="C62" s="50" t="s">
        <v>87</v>
      </c>
      <c r="D62" s="50"/>
      <c r="E62" s="50"/>
      <c r="F62" s="50"/>
      <c r="G62" s="50"/>
      <c r="H62" s="50"/>
      <c r="I62" s="50">
        <v>4</v>
      </c>
      <c r="J62" s="50"/>
      <c r="K62" s="50">
        <f t="shared" si="1"/>
        <v>4</v>
      </c>
      <c r="L62" s="50"/>
      <c r="M62" s="55"/>
    </row>
    <row r="63" spans="1:13" s="28" customFormat="1" ht="23.5" x14ac:dyDescent="0.55000000000000004">
      <c r="A63" s="53" t="str">
        <f>IF(B63="Grand Total","Grand Total",IFERROR(VLOOKUP(B63,Master!$D$1:$G$1720,4,FALSE),""))</f>
        <v>สไลด์</v>
      </c>
      <c r="B63" s="54">
        <v>23110593</v>
      </c>
      <c r="C63" s="50" t="s">
        <v>89</v>
      </c>
      <c r="D63" s="50"/>
      <c r="E63" s="50"/>
      <c r="F63" s="50"/>
      <c r="G63" s="50"/>
      <c r="H63" s="50"/>
      <c r="I63" s="50">
        <v>4</v>
      </c>
      <c r="J63" s="50"/>
      <c r="K63" s="50">
        <f t="shared" si="1"/>
        <v>4</v>
      </c>
      <c r="L63" s="50"/>
      <c r="M63" s="55"/>
    </row>
    <row r="64" spans="1:13" s="28" customFormat="1" ht="23.5" x14ac:dyDescent="0.55000000000000004">
      <c r="A64" s="53" t="str">
        <f>IF(B64="Grand Total","Grand Total",IFERROR(VLOOKUP(B64,Master!$D$1:$G$1720,4,FALSE),""))</f>
        <v>สไลด์</v>
      </c>
      <c r="B64" s="54">
        <v>23110595</v>
      </c>
      <c r="C64" s="50" t="s">
        <v>90</v>
      </c>
      <c r="D64" s="50"/>
      <c r="E64" s="50"/>
      <c r="F64" s="50"/>
      <c r="G64" s="50"/>
      <c r="H64" s="50"/>
      <c r="I64" s="50">
        <v>4</v>
      </c>
      <c r="J64" s="50"/>
      <c r="K64" s="50">
        <f t="shared" si="1"/>
        <v>4</v>
      </c>
      <c r="L64" s="50"/>
      <c r="M64" s="55"/>
    </row>
    <row r="65" spans="1:13" s="28" customFormat="1" ht="23.5" x14ac:dyDescent="0.55000000000000004">
      <c r="A65" s="53" t="str">
        <f>IF(B65="Grand Total","Grand Total",IFERROR(VLOOKUP(B65,Master!$D$1:$G$1720,4,FALSE),""))</f>
        <v>สไลด์</v>
      </c>
      <c r="B65" s="54">
        <v>23110600</v>
      </c>
      <c r="C65" s="50" t="s">
        <v>91</v>
      </c>
      <c r="D65" s="50"/>
      <c r="E65" s="50"/>
      <c r="F65" s="50"/>
      <c r="G65" s="50"/>
      <c r="H65" s="50"/>
      <c r="I65" s="50">
        <v>4</v>
      </c>
      <c r="J65" s="50"/>
      <c r="K65" s="50">
        <f t="shared" si="1"/>
        <v>4</v>
      </c>
      <c r="L65" s="50"/>
      <c r="M65" s="55"/>
    </row>
    <row r="66" spans="1:13" s="28" customFormat="1" ht="23.5" x14ac:dyDescent="0.55000000000000004">
      <c r="A66" s="53" t="str">
        <f>IF(B66="Grand Total","Grand Total",IFERROR(VLOOKUP(B66,Master!$D$1:$G$1720,4,FALSE),""))</f>
        <v>สไลด์</v>
      </c>
      <c r="B66" s="54">
        <v>23110631</v>
      </c>
      <c r="C66" s="50" t="s">
        <v>118</v>
      </c>
      <c r="D66" s="50"/>
      <c r="E66" s="50"/>
      <c r="F66" s="50"/>
      <c r="G66" s="50"/>
      <c r="H66" s="50"/>
      <c r="I66" s="50">
        <v>6</v>
      </c>
      <c r="J66" s="50"/>
      <c r="K66" s="50">
        <f t="shared" si="1"/>
        <v>6</v>
      </c>
      <c r="L66" s="50"/>
      <c r="M66" s="55"/>
    </row>
    <row r="67" spans="1:13" s="28" customFormat="1" ht="23.5" x14ac:dyDescent="0.55000000000000004">
      <c r="A67" s="53" t="str">
        <f>IF(B67="Grand Total","Grand Total",IFERROR(VLOOKUP(B67,Master!$D$1:$G$1720,4,FALSE),""))</f>
        <v>สไลด์</v>
      </c>
      <c r="B67" s="54">
        <v>23111033</v>
      </c>
      <c r="C67" s="50" t="s">
        <v>93</v>
      </c>
      <c r="D67" s="50"/>
      <c r="E67" s="50"/>
      <c r="F67" s="50"/>
      <c r="G67" s="50"/>
      <c r="H67" s="50"/>
      <c r="I67" s="50">
        <v>6</v>
      </c>
      <c r="J67" s="50"/>
      <c r="K67" s="50">
        <f t="shared" si="1"/>
        <v>6</v>
      </c>
      <c r="L67" s="50"/>
      <c r="M67" s="55"/>
    </row>
    <row r="68" spans="1:13" s="28" customFormat="1" ht="23.5" x14ac:dyDescent="0.55000000000000004">
      <c r="A68" s="53" t="str">
        <f>IF(B68="Grand Total","Grand Total",IFERROR(VLOOKUP(B68,Master!$D$1:$G$1720,4,FALSE),""))</f>
        <v>สไลด์</v>
      </c>
      <c r="B68" s="54">
        <v>23111034</v>
      </c>
      <c r="C68" s="50" t="s">
        <v>94</v>
      </c>
      <c r="D68" s="50"/>
      <c r="E68" s="50"/>
      <c r="F68" s="50"/>
      <c r="G68" s="50"/>
      <c r="H68" s="50"/>
      <c r="I68" s="50">
        <v>4</v>
      </c>
      <c r="J68" s="50"/>
      <c r="K68" s="50">
        <f t="shared" si="1"/>
        <v>4</v>
      </c>
      <c r="L68" s="50"/>
      <c r="M68" s="55"/>
    </row>
    <row r="69" spans="1:13" s="28" customFormat="1" ht="23.5" x14ac:dyDescent="0.55000000000000004">
      <c r="A69" s="53" t="str">
        <f>IF(B69="Grand Total","Grand Total",IFERROR(VLOOKUP(B69,Master!$D$1:$G$1720,4,FALSE),""))</f>
        <v>สไลด์</v>
      </c>
      <c r="B69" s="54">
        <v>23111035</v>
      </c>
      <c r="C69" s="50" t="s">
        <v>95</v>
      </c>
      <c r="D69" s="50"/>
      <c r="E69" s="50"/>
      <c r="F69" s="50"/>
      <c r="G69" s="50"/>
      <c r="H69" s="50"/>
      <c r="I69" s="50">
        <v>4</v>
      </c>
      <c r="J69" s="50"/>
      <c r="K69" s="50">
        <f t="shared" si="1"/>
        <v>4</v>
      </c>
      <c r="L69" s="50"/>
      <c r="M69" s="55"/>
    </row>
    <row r="70" spans="1:13" s="28" customFormat="1" ht="23.5" x14ac:dyDescent="0.55000000000000004">
      <c r="A70" s="53" t="str">
        <f>IF(B70="Grand Total","Grand Total",IFERROR(VLOOKUP(B70,Master!$D$1:$G$1720,4,FALSE),""))</f>
        <v>สไลด์</v>
      </c>
      <c r="B70" s="54">
        <v>23111036</v>
      </c>
      <c r="C70" s="50" t="s">
        <v>96</v>
      </c>
      <c r="D70" s="50"/>
      <c r="E70" s="50"/>
      <c r="F70" s="50"/>
      <c r="G70" s="50"/>
      <c r="H70" s="50"/>
      <c r="I70" s="50">
        <v>4</v>
      </c>
      <c r="J70" s="50"/>
      <c r="K70" s="50">
        <f t="shared" si="1"/>
        <v>4</v>
      </c>
      <c r="L70" s="50"/>
      <c r="M70" s="55"/>
    </row>
    <row r="71" spans="1:13" s="28" customFormat="1" ht="23.5" x14ac:dyDescent="0.55000000000000004">
      <c r="A71" s="53" t="str">
        <f>IF(B71="Grand Total","Grand Total",IFERROR(VLOOKUP(B71,Master!$D$1:$G$1720,4,FALSE),""))</f>
        <v>ลวก</v>
      </c>
      <c r="B71" s="54">
        <v>23058556</v>
      </c>
      <c r="C71" s="50" t="s">
        <v>112</v>
      </c>
      <c r="D71" s="50"/>
      <c r="E71" s="50"/>
      <c r="F71" s="50"/>
      <c r="G71" s="50"/>
      <c r="H71" s="50">
        <v>0</v>
      </c>
      <c r="I71" s="50"/>
      <c r="J71" s="50"/>
      <c r="K71" s="50">
        <f t="shared" si="1"/>
        <v>0</v>
      </c>
      <c r="L71" s="50"/>
      <c r="M71" s="55"/>
    </row>
    <row r="72" spans="1:13" s="28" customFormat="1" ht="23.5" x14ac:dyDescent="0.55000000000000004">
      <c r="A72" s="53" t="str">
        <f>IF(B72="Grand Total","Grand Total",IFERROR(VLOOKUP(B72,Master!$D$1:$G$1720,4,FALSE),""))</f>
        <v>ลวก</v>
      </c>
      <c r="B72" s="54">
        <v>23058590</v>
      </c>
      <c r="C72" s="50" t="s">
        <v>34</v>
      </c>
      <c r="D72" s="50"/>
      <c r="E72" s="50"/>
      <c r="F72" s="50"/>
      <c r="G72" s="50"/>
      <c r="H72" s="50">
        <v>5</v>
      </c>
      <c r="I72" s="50">
        <v>120</v>
      </c>
      <c r="J72" s="50">
        <v>10</v>
      </c>
      <c r="K72" s="50">
        <f t="shared" si="1"/>
        <v>135</v>
      </c>
      <c r="L72" s="50"/>
      <c r="M72" s="55"/>
    </row>
    <row r="73" spans="1:13" s="28" customFormat="1" ht="23.5" x14ac:dyDescent="0.55000000000000004">
      <c r="A73" s="53" t="str">
        <f>IF(B73="Grand Total","Grand Total",IFERROR(VLOOKUP(B73,Master!$D$1:$G$1720,4,FALSE),""))</f>
        <v>ลวก</v>
      </c>
      <c r="B73" s="54">
        <v>23062105</v>
      </c>
      <c r="C73" s="50" t="s">
        <v>37</v>
      </c>
      <c r="D73" s="50"/>
      <c r="E73" s="50"/>
      <c r="F73" s="50"/>
      <c r="G73" s="50"/>
      <c r="H73" s="50">
        <v>0</v>
      </c>
      <c r="I73" s="50">
        <v>5</v>
      </c>
      <c r="J73" s="50"/>
      <c r="K73" s="50">
        <f t="shared" si="1"/>
        <v>5</v>
      </c>
      <c r="L73" s="50"/>
      <c r="M73" s="55"/>
    </row>
    <row r="74" spans="1:13" s="28" customFormat="1" ht="23.5" x14ac:dyDescent="0.55000000000000004">
      <c r="A74" s="53" t="str">
        <f>IF(B74="Grand Total","Grand Total",IFERROR(VLOOKUP(B74,Master!$D$1:$G$1720,4,FALSE),""))</f>
        <v>บด</v>
      </c>
      <c r="B74" s="54">
        <v>23047038</v>
      </c>
      <c r="C74" s="50" t="s">
        <v>17</v>
      </c>
      <c r="D74" s="50"/>
      <c r="E74" s="50">
        <v>200</v>
      </c>
      <c r="F74" s="50"/>
      <c r="G74" s="50"/>
      <c r="H74" s="50"/>
      <c r="I74" s="50"/>
      <c r="J74" s="50"/>
      <c r="K74" s="50">
        <f t="shared" ref="K74:K105" si="2">+SUM(D74:J74)</f>
        <v>200</v>
      </c>
      <c r="L74" s="50"/>
      <c r="M74" s="55"/>
    </row>
    <row r="75" spans="1:13" s="28" customFormat="1" ht="23.5" x14ac:dyDescent="0.55000000000000004">
      <c r="A75" s="53" t="str">
        <f>IF(B75="Grand Total","Grand Total",IFERROR(VLOOKUP(B75,Master!$D$1:$G$1720,4,FALSE),""))</f>
        <v>บด</v>
      </c>
      <c r="B75" s="54">
        <v>23062967</v>
      </c>
      <c r="C75" s="50" t="s">
        <v>38</v>
      </c>
      <c r="D75" s="50"/>
      <c r="E75" s="50"/>
      <c r="F75" s="50"/>
      <c r="G75" s="50"/>
      <c r="H75" s="50">
        <v>30</v>
      </c>
      <c r="I75" s="50"/>
      <c r="J75" s="50"/>
      <c r="K75" s="50">
        <f t="shared" si="2"/>
        <v>30</v>
      </c>
      <c r="L75" s="50"/>
      <c r="M75" s="55"/>
    </row>
    <row r="76" spans="1:13" s="28" customFormat="1" ht="23.5" x14ac:dyDescent="0.55000000000000004">
      <c r="A76" s="53" t="str">
        <f>IF(B76="Grand Total","Grand Total",IFERROR(VLOOKUP(B76,Master!$D$1:$G$1720,4,FALSE),""))</f>
        <v>บด</v>
      </c>
      <c r="B76" s="54">
        <v>23071881</v>
      </c>
      <c r="C76" s="50" t="s">
        <v>48</v>
      </c>
      <c r="D76" s="50"/>
      <c r="E76" s="50"/>
      <c r="F76" s="50"/>
      <c r="G76" s="50">
        <v>60</v>
      </c>
      <c r="H76" s="50"/>
      <c r="I76" s="50">
        <v>5</v>
      </c>
      <c r="J76" s="50"/>
      <c r="K76" s="50">
        <f t="shared" si="2"/>
        <v>65</v>
      </c>
      <c r="L76" s="50"/>
      <c r="M76" s="55"/>
    </row>
    <row r="77" spans="1:13" s="28" customFormat="1" ht="23.5" x14ac:dyDescent="0.55000000000000004">
      <c r="A77" s="53" t="str">
        <f>IF(B77="Grand Total","Grand Total",IFERROR(VLOOKUP(B77,Master!$D$1:$G$1720,4,FALSE),""))</f>
        <v>บด</v>
      </c>
      <c r="B77" s="54">
        <v>23097783</v>
      </c>
      <c r="C77" s="50" t="s">
        <v>58</v>
      </c>
      <c r="D77" s="50"/>
      <c r="E77" s="50"/>
      <c r="F77" s="50">
        <v>50</v>
      </c>
      <c r="G77" s="50"/>
      <c r="H77" s="50"/>
      <c r="I77" s="50">
        <v>5</v>
      </c>
      <c r="J77" s="50"/>
      <c r="K77" s="50">
        <f t="shared" si="2"/>
        <v>55</v>
      </c>
      <c r="L77" s="50"/>
      <c r="M77" s="55"/>
    </row>
    <row r="78" spans="1:13" s="28" customFormat="1" ht="23.5" x14ac:dyDescent="0.55000000000000004">
      <c r="A78" s="53" t="str">
        <f>IF(B78="Grand Total","Grand Total",IFERROR(VLOOKUP(B78,Master!$D$1:$G$1720,4,FALSE),""))</f>
        <v>บด</v>
      </c>
      <c r="B78" s="54">
        <v>23105702</v>
      </c>
      <c r="C78" s="50" t="s">
        <v>72</v>
      </c>
      <c r="D78" s="50"/>
      <c r="E78" s="50"/>
      <c r="F78" s="50"/>
      <c r="G78" s="50"/>
      <c r="H78" s="50">
        <v>150</v>
      </c>
      <c r="I78" s="50"/>
      <c r="J78" s="50">
        <v>400</v>
      </c>
      <c r="K78" s="50">
        <f t="shared" si="2"/>
        <v>550</v>
      </c>
      <c r="L78" s="50"/>
      <c r="M78" s="55"/>
    </row>
    <row r="79" spans="1:13" s="28" customFormat="1" ht="23.5" x14ac:dyDescent="0.55000000000000004">
      <c r="A79" s="53" t="str">
        <f>IF(B79="Grand Total","Grand Total",IFERROR(VLOOKUP(B79,Master!$D$1:$G$1720,4,FALSE),""))</f>
        <v>บด</v>
      </c>
      <c r="B79" s="54">
        <v>23108462</v>
      </c>
      <c r="C79" s="50" t="s">
        <v>77</v>
      </c>
      <c r="D79" s="50">
        <v>100</v>
      </c>
      <c r="E79" s="50"/>
      <c r="F79" s="50"/>
      <c r="G79" s="50"/>
      <c r="H79" s="50"/>
      <c r="I79" s="50"/>
      <c r="J79" s="50"/>
      <c r="K79" s="50">
        <f t="shared" si="2"/>
        <v>100</v>
      </c>
      <c r="L79" s="50"/>
      <c r="M79" s="55"/>
    </row>
    <row r="80" spans="1:13" s="28" customFormat="1" ht="23.5" x14ac:dyDescent="0.55000000000000004">
      <c r="A80" s="53" t="str">
        <f>IF(B80="Grand Total","Grand Total",IFERROR(VLOOKUP(B80,Master!$D$1:$G$1720,4,FALSE),""))</f>
        <v>บด</v>
      </c>
      <c r="B80" s="54">
        <v>23109359</v>
      </c>
      <c r="C80" s="50" t="s">
        <v>84</v>
      </c>
      <c r="D80" s="50"/>
      <c r="E80" s="50"/>
      <c r="F80" s="50">
        <v>4.8</v>
      </c>
      <c r="G80" s="50"/>
      <c r="H80" s="50"/>
      <c r="I80" s="50"/>
      <c r="J80" s="50"/>
      <c r="K80" s="50">
        <f t="shared" si="2"/>
        <v>4.8</v>
      </c>
      <c r="L80" s="50"/>
      <c r="M80" s="55"/>
    </row>
    <row r="81" spans="1:13" s="28" customFormat="1" ht="23.5" x14ac:dyDescent="0.55000000000000004">
      <c r="A81" s="53" t="str">
        <f>IF(B81="Grand Total","Grand Total",IFERROR(VLOOKUP(B81,Master!$D$1:$G$1720,4,FALSE),""))</f>
        <v>บด</v>
      </c>
      <c r="B81" s="54">
        <v>23110584</v>
      </c>
      <c r="C81" s="50" t="s">
        <v>86</v>
      </c>
      <c r="D81" s="50"/>
      <c r="E81" s="50"/>
      <c r="F81" s="50"/>
      <c r="G81" s="50"/>
      <c r="H81" s="50"/>
      <c r="I81" s="50">
        <v>4</v>
      </c>
      <c r="J81" s="50"/>
      <c r="K81" s="50">
        <f t="shared" si="2"/>
        <v>4</v>
      </c>
      <c r="L81" s="50"/>
      <c r="M81" s="55"/>
    </row>
    <row r="82" spans="1:13" s="28" customFormat="1" ht="23.5" x14ac:dyDescent="0.55000000000000004">
      <c r="A82" s="53" t="str">
        <f>IF(B82="Grand Total","Grand Total",IFERROR(VLOOKUP(B82,Master!$D$1:$G$1720,4,FALSE),""))</f>
        <v>บด</v>
      </c>
      <c r="B82" s="54">
        <v>23110590</v>
      </c>
      <c r="C82" s="50" t="s">
        <v>88</v>
      </c>
      <c r="D82" s="50"/>
      <c r="E82" s="50"/>
      <c r="F82" s="50"/>
      <c r="G82" s="50"/>
      <c r="H82" s="50"/>
      <c r="I82" s="50">
        <v>4</v>
      </c>
      <c r="J82" s="50"/>
      <c r="K82" s="50">
        <f t="shared" si="2"/>
        <v>4</v>
      </c>
      <c r="L82" s="50"/>
      <c r="M82" s="55"/>
    </row>
    <row r="83" spans="1:13" s="28" customFormat="1" ht="23.5" x14ac:dyDescent="0.55000000000000004">
      <c r="A83" s="53" t="str">
        <f>IF(B83="Grand Total","Grand Total",IFERROR(VLOOKUP(B83,Master!$D$1:$G$1720,4,FALSE),""))</f>
        <v>บด</v>
      </c>
      <c r="B83" s="54">
        <v>23111028</v>
      </c>
      <c r="C83" s="50" t="s">
        <v>92</v>
      </c>
      <c r="D83" s="50"/>
      <c r="E83" s="50"/>
      <c r="F83" s="50"/>
      <c r="G83" s="50"/>
      <c r="H83" s="50"/>
      <c r="I83" s="50">
        <v>2</v>
      </c>
      <c r="J83" s="50"/>
      <c r="K83" s="50">
        <f t="shared" si="2"/>
        <v>2</v>
      </c>
      <c r="L83" s="50"/>
      <c r="M83" s="55"/>
    </row>
    <row r="84" spans="1:13" s="28" customFormat="1" ht="23.5" x14ac:dyDescent="0.55000000000000004">
      <c r="A84" s="53" t="str">
        <f>IF(B84="Grand Total","Grand Total",IFERROR(VLOOKUP(B84,Master!$D$1:$G$1720,4,FALSE),""))</f>
        <v>บด</v>
      </c>
      <c r="B84" s="54">
        <v>23111037</v>
      </c>
      <c r="C84" s="50" t="s">
        <v>97</v>
      </c>
      <c r="D84" s="50"/>
      <c r="E84" s="50"/>
      <c r="F84" s="50"/>
      <c r="G84" s="50"/>
      <c r="H84" s="50"/>
      <c r="I84" s="50">
        <v>4</v>
      </c>
      <c r="J84" s="50"/>
      <c r="K84" s="50">
        <f t="shared" si="2"/>
        <v>4</v>
      </c>
      <c r="L84" s="50"/>
      <c r="M84" s="55"/>
    </row>
    <row r="85" spans="1:13" s="28" customFormat="1" ht="23.5" x14ac:dyDescent="0.55000000000000004">
      <c r="A85" s="53" t="str">
        <f>IF(B85="Grand Total","Grand Total",IFERROR(VLOOKUP(B85,Master!$D$1:$G$1720,4,FALSE),""))</f>
        <v>ต้มเลือด</v>
      </c>
      <c r="B85" s="54">
        <v>23062107</v>
      </c>
      <c r="C85" s="50" t="s">
        <v>108</v>
      </c>
      <c r="D85" s="50"/>
      <c r="E85" s="50"/>
      <c r="F85" s="50">
        <v>30</v>
      </c>
      <c r="G85" s="50"/>
      <c r="H85" s="50">
        <v>40</v>
      </c>
      <c r="I85" s="50">
        <v>10</v>
      </c>
      <c r="J85" s="50">
        <v>100</v>
      </c>
      <c r="K85" s="50">
        <f t="shared" si="2"/>
        <v>180</v>
      </c>
      <c r="L85" s="50"/>
      <c r="M85" s="55"/>
    </row>
    <row r="86" spans="1:13" s="28" customFormat="1" ht="23.5" x14ac:dyDescent="0.55000000000000004">
      <c r="A86" s="53" t="str">
        <f>IF(B86="Grand Total","Grand Total",IFERROR(VLOOKUP(B86,Master!$D$1:$G$1720,4,FALSE),""))</f>
        <v>ต้มเลือด</v>
      </c>
      <c r="B86" s="54">
        <v>23084674</v>
      </c>
      <c r="C86" s="50" t="s">
        <v>52</v>
      </c>
      <c r="D86" s="50"/>
      <c r="E86" s="50">
        <v>11.2</v>
      </c>
      <c r="F86" s="50">
        <v>5.6</v>
      </c>
      <c r="G86" s="50"/>
      <c r="H86" s="50">
        <v>5.6</v>
      </c>
      <c r="I86" s="50">
        <v>5.6</v>
      </c>
      <c r="J86" s="50">
        <v>11.2</v>
      </c>
      <c r="K86" s="50">
        <f t="shared" si="2"/>
        <v>39.200000000000003</v>
      </c>
      <c r="L86" s="50"/>
      <c r="M86" s="55"/>
    </row>
    <row r="87" spans="1:13" s="28" customFormat="1" ht="23.5" x14ac:dyDescent="0.55000000000000004">
      <c r="A87" s="53" t="str">
        <f>IF(B87="Grand Total","Grand Total",IFERROR(VLOOKUP(B87,Master!$D$1:$G$1720,4,FALSE),""))</f>
        <v>ไหล่พิเศษ</v>
      </c>
      <c r="B87" s="54">
        <v>23086658</v>
      </c>
      <c r="C87" s="50" t="s">
        <v>53</v>
      </c>
      <c r="D87" s="50"/>
      <c r="E87" s="50">
        <v>15</v>
      </c>
      <c r="F87" s="50"/>
      <c r="G87" s="50"/>
      <c r="H87" s="50">
        <v>20</v>
      </c>
      <c r="I87" s="50"/>
      <c r="J87" s="50">
        <v>100</v>
      </c>
      <c r="K87" s="50">
        <f t="shared" si="2"/>
        <v>135</v>
      </c>
      <c r="L87" s="50"/>
      <c r="M87" s="55"/>
    </row>
    <row r="88" spans="1:13" s="28" customFormat="1" ht="23.5" x14ac:dyDescent="0.55000000000000004">
      <c r="A88" s="53" t="str">
        <f>IF(B88="Grand Total","Grand Total",IFERROR(VLOOKUP(B88,Master!$D$1:$G$1720,4,FALSE),""))</f>
        <v>ไหล่พิเศษ</v>
      </c>
      <c r="B88" s="54">
        <v>23088036</v>
      </c>
      <c r="C88" s="50" t="s">
        <v>55</v>
      </c>
      <c r="D88" s="50"/>
      <c r="E88" s="50"/>
      <c r="F88" s="50"/>
      <c r="G88" s="50"/>
      <c r="H88" s="50">
        <v>0</v>
      </c>
      <c r="I88" s="50">
        <v>5</v>
      </c>
      <c r="J88" s="50"/>
      <c r="K88" s="50">
        <f t="shared" si="2"/>
        <v>5</v>
      </c>
      <c r="L88" s="50"/>
      <c r="M88" s="55"/>
    </row>
    <row r="89" spans="1:13" s="28" customFormat="1" ht="23.5" x14ac:dyDescent="0.55000000000000004">
      <c r="A89" s="53" t="str">
        <f>IF(B89="Grand Total","Grand Total",IFERROR(VLOOKUP(B89,Master!$D$1:$G$1720,4,FALSE),""))</f>
        <v>ไหล่พิเศษ</v>
      </c>
      <c r="B89" s="54">
        <v>23097784</v>
      </c>
      <c r="C89" s="50" t="s">
        <v>59</v>
      </c>
      <c r="D89" s="50"/>
      <c r="E89" s="50"/>
      <c r="F89" s="50"/>
      <c r="G89" s="50"/>
      <c r="H89" s="50"/>
      <c r="I89" s="50">
        <v>3</v>
      </c>
      <c r="J89" s="50"/>
      <c r="K89" s="50">
        <f t="shared" si="2"/>
        <v>3</v>
      </c>
      <c r="L89" s="50"/>
      <c r="M89" s="55"/>
    </row>
    <row r="90" spans="1:13" s="28" customFormat="1" ht="23.5" x14ac:dyDescent="0.55000000000000004">
      <c r="A90" s="53" t="str">
        <f>IF(B90="Grand Total","Grand Total",IFERROR(VLOOKUP(B90,Master!$D$1:$G$1720,4,FALSE),""))</f>
        <v>ไหล่พิเศษ</v>
      </c>
      <c r="B90" s="54">
        <v>23097792</v>
      </c>
      <c r="C90" s="50" t="s">
        <v>65</v>
      </c>
      <c r="D90" s="50"/>
      <c r="E90" s="50"/>
      <c r="F90" s="50"/>
      <c r="G90" s="50"/>
      <c r="H90" s="50"/>
      <c r="I90" s="50">
        <v>3</v>
      </c>
      <c r="J90" s="50"/>
      <c r="K90" s="50">
        <f t="shared" si="2"/>
        <v>3</v>
      </c>
      <c r="L90" s="50"/>
      <c r="M90" s="55"/>
    </row>
    <row r="91" spans="1:13" s="28" customFormat="1" ht="23.5" x14ac:dyDescent="0.55000000000000004">
      <c r="A91" s="53" t="str">
        <f>IF(B91="Grand Total","Grand Total",IFERROR(VLOOKUP(B91,Master!$D$1:$G$1720,4,FALSE),""))</f>
        <v>ไหล่</v>
      </c>
      <c r="B91" s="54">
        <v>23000206</v>
      </c>
      <c r="C91" s="50" t="s">
        <v>15</v>
      </c>
      <c r="D91" s="50"/>
      <c r="E91" s="50">
        <v>5</v>
      </c>
      <c r="F91" s="50"/>
      <c r="G91" s="50"/>
      <c r="H91" s="50">
        <v>5</v>
      </c>
      <c r="I91" s="50"/>
      <c r="J91" s="50">
        <v>10</v>
      </c>
      <c r="K91" s="50">
        <f t="shared" si="2"/>
        <v>20</v>
      </c>
      <c r="L91" s="50"/>
      <c r="M91" s="55"/>
    </row>
    <row r="92" spans="1:13" s="28" customFormat="1" ht="23.5" x14ac:dyDescent="0.55000000000000004">
      <c r="A92" s="53" t="str">
        <f>IF(B92="Grand Total","Grand Total",IFERROR(VLOOKUP(B92,Master!$D$1:$G$1720,4,FALSE),""))</f>
        <v>ไหล่</v>
      </c>
      <c r="B92" s="54">
        <v>23057809</v>
      </c>
      <c r="C92" s="50" t="s">
        <v>18</v>
      </c>
      <c r="D92" s="50"/>
      <c r="E92" s="50">
        <v>90</v>
      </c>
      <c r="F92" s="50"/>
      <c r="G92" s="50">
        <v>70</v>
      </c>
      <c r="H92" s="50">
        <v>30</v>
      </c>
      <c r="I92" s="50">
        <v>100</v>
      </c>
      <c r="J92" s="50"/>
      <c r="K92" s="50">
        <f t="shared" si="2"/>
        <v>290</v>
      </c>
      <c r="L92" s="50"/>
      <c r="M92" s="55"/>
    </row>
    <row r="93" spans="1:13" s="28" customFormat="1" ht="23.5" x14ac:dyDescent="0.55000000000000004">
      <c r="A93" s="53" t="str">
        <f>IF(B93="Grand Total","Grand Total",IFERROR(VLOOKUP(B93,Master!$D$1:$G$1720,4,FALSE),""))</f>
        <v>ไหล่</v>
      </c>
      <c r="B93" s="54">
        <v>23057821</v>
      </c>
      <c r="C93" s="50" t="s">
        <v>22</v>
      </c>
      <c r="D93" s="50">
        <v>0</v>
      </c>
      <c r="E93" s="50">
        <v>40</v>
      </c>
      <c r="F93" s="50"/>
      <c r="G93" s="50">
        <v>5</v>
      </c>
      <c r="H93" s="50">
        <v>20</v>
      </c>
      <c r="I93" s="50">
        <v>0</v>
      </c>
      <c r="J93" s="50">
        <v>100</v>
      </c>
      <c r="K93" s="50">
        <f t="shared" si="2"/>
        <v>165</v>
      </c>
      <c r="L93" s="50"/>
      <c r="M93" s="55"/>
    </row>
    <row r="94" spans="1:13" s="28" customFormat="1" ht="23.5" x14ac:dyDescent="0.55000000000000004">
      <c r="A94" s="53" t="str">
        <f>IF(B94="Grand Total","Grand Total",IFERROR(VLOOKUP(B94,Master!$D$1:$G$1720,4,FALSE),""))</f>
        <v>ไหล่</v>
      </c>
      <c r="B94" s="54">
        <v>23058551</v>
      </c>
      <c r="C94" s="50" t="s">
        <v>25</v>
      </c>
      <c r="D94" s="50"/>
      <c r="E94" s="50">
        <v>20</v>
      </c>
      <c r="F94" s="50"/>
      <c r="G94" s="50">
        <v>5</v>
      </c>
      <c r="H94" s="50">
        <v>5</v>
      </c>
      <c r="I94" s="50">
        <v>20</v>
      </c>
      <c r="J94" s="50">
        <v>100</v>
      </c>
      <c r="K94" s="50">
        <f t="shared" si="2"/>
        <v>150</v>
      </c>
      <c r="L94" s="50"/>
      <c r="M94" s="55"/>
    </row>
    <row r="95" spans="1:13" s="28" customFormat="1" ht="23.5" x14ac:dyDescent="0.55000000000000004">
      <c r="A95" s="53" t="str">
        <f>IF(B95="Grand Total","Grand Total",IFERROR(VLOOKUP(B95,Master!$D$1:$G$1720,4,FALSE),""))</f>
        <v>ไหล่</v>
      </c>
      <c r="B95" s="54">
        <v>23058591</v>
      </c>
      <c r="C95" s="50" t="s">
        <v>35</v>
      </c>
      <c r="D95" s="50"/>
      <c r="E95" s="50">
        <v>20</v>
      </c>
      <c r="F95" s="50">
        <v>20</v>
      </c>
      <c r="G95" s="50"/>
      <c r="H95" s="50">
        <v>20</v>
      </c>
      <c r="I95" s="50">
        <v>20</v>
      </c>
      <c r="J95" s="50">
        <v>20</v>
      </c>
      <c r="K95" s="50">
        <f t="shared" si="2"/>
        <v>100</v>
      </c>
      <c r="L95" s="50"/>
      <c r="M95" s="55"/>
    </row>
    <row r="96" spans="1:13" s="28" customFormat="1" ht="23.5" x14ac:dyDescent="0.55000000000000004">
      <c r="A96" s="53" t="str">
        <f>IF(B96="Grand Total","Grand Total",IFERROR(VLOOKUP(B96,Master!$D$1:$G$1720,4,FALSE),""))</f>
        <v>ไหล่</v>
      </c>
      <c r="B96" s="54">
        <v>23066879</v>
      </c>
      <c r="C96" s="50" t="s">
        <v>45</v>
      </c>
      <c r="D96" s="50"/>
      <c r="E96" s="50"/>
      <c r="F96" s="50"/>
      <c r="G96" s="50">
        <v>5</v>
      </c>
      <c r="H96" s="50">
        <v>10</v>
      </c>
      <c r="I96" s="50">
        <v>10</v>
      </c>
      <c r="J96" s="50">
        <v>50</v>
      </c>
      <c r="K96" s="50">
        <f t="shared" si="2"/>
        <v>75</v>
      </c>
      <c r="L96" s="50"/>
      <c r="M96" s="55"/>
    </row>
    <row r="97" spans="1:13" s="28" customFormat="1" ht="23.5" x14ac:dyDescent="0.55000000000000004">
      <c r="A97" s="53" t="str">
        <f>IF(B97="Grand Total","Grand Total",IFERROR(VLOOKUP(B97,Master!$D$1:$G$1720,4,FALSE),""))</f>
        <v>ไหล่</v>
      </c>
      <c r="B97" s="54">
        <v>23073188</v>
      </c>
      <c r="C97" s="50" t="s">
        <v>50</v>
      </c>
      <c r="D97" s="50"/>
      <c r="E97" s="50">
        <v>5</v>
      </c>
      <c r="F97" s="50"/>
      <c r="G97" s="50"/>
      <c r="H97" s="50">
        <v>10</v>
      </c>
      <c r="I97" s="50"/>
      <c r="J97" s="50"/>
      <c r="K97" s="50">
        <f t="shared" si="2"/>
        <v>15</v>
      </c>
      <c r="L97" s="50"/>
      <c r="M97" s="55"/>
    </row>
    <row r="98" spans="1:13" s="28" customFormat="1" ht="23.5" x14ac:dyDescent="0.55000000000000004">
      <c r="A98" s="53" t="str">
        <f>IF(B98="Grand Total","Grand Total",IFERROR(VLOOKUP(B98,Master!$D$1:$G$1720,4,FALSE),""))</f>
        <v>ไหล่</v>
      </c>
      <c r="B98" s="54">
        <v>23074624</v>
      </c>
      <c r="C98" s="50" t="s">
        <v>129</v>
      </c>
      <c r="D98" s="50"/>
      <c r="E98" s="50"/>
      <c r="F98" s="50">
        <v>40</v>
      </c>
      <c r="G98" s="50"/>
      <c r="H98" s="50"/>
      <c r="I98" s="50"/>
      <c r="J98" s="50"/>
      <c r="K98" s="50">
        <f t="shared" si="2"/>
        <v>40</v>
      </c>
      <c r="L98" s="50"/>
      <c r="M98" s="55"/>
    </row>
    <row r="99" spans="1:13" s="28" customFormat="1" ht="23.5" x14ac:dyDescent="0.55000000000000004">
      <c r="A99" s="53" t="str">
        <f>IF(B99="Grand Total","Grand Total",IFERROR(VLOOKUP(B99,Master!$D$1:$G$1720,4,FALSE),""))</f>
        <v>ไหล่</v>
      </c>
      <c r="B99" s="54">
        <v>23074626</v>
      </c>
      <c r="C99" s="50" t="s">
        <v>131</v>
      </c>
      <c r="D99" s="50"/>
      <c r="E99" s="50"/>
      <c r="F99" s="50">
        <v>20</v>
      </c>
      <c r="G99" s="50"/>
      <c r="H99" s="50"/>
      <c r="I99" s="50"/>
      <c r="J99" s="50"/>
      <c r="K99" s="50">
        <f t="shared" si="2"/>
        <v>20</v>
      </c>
      <c r="L99" s="50"/>
      <c r="M99" s="55"/>
    </row>
    <row r="100" spans="1:13" s="28" customFormat="1" ht="23.5" x14ac:dyDescent="0.55000000000000004">
      <c r="A100" s="53" t="str">
        <f>IF(B100="Grand Total","Grand Total",IFERROR(VLOOKUP(B100,Master!$D$1:$G$1720,4,FALSE),""))</f>
        <v>ไหล่</v>
      </c>
      <c r="B100" s="54">
        <v>23087679</v>
      </c>
      <c r="C100" s="50" t="s">
        <v>128</v>
      </c>
      <c r="D100" s="50"/>
      <c r="E100" s="50">
        <v>5</v>
      </c>
      <c r="F100" s="50"/>
      <c r="G100" s="50"/>
      <c r="H100" s="50"/>
      <c r="I100" s="50"/>
      <c r="J100" s="50"/>
      <c r="K100" s="50">
        <f t="shared" si="2"/>
        <v>5</v>
      </c>
      <c r="L100" s="50"/>
      <c r="M100" s="55"/>
    </row>
    <row r="101" spans="1:13" s="28" customFormat="1" ht="23.5" x14ac:dyDescent="0.55000000000000004">
      <c r="A101" s="53" t="str">
        <f>IF(B101="Grand Total","Grand Total",IFERROR(VLOOKUP(B101,Master!$D$1:$G$1720,4,FALSE),""))</f>
        <v>ไหล่</v>
      </c>
      <c r="B101" s="54">
        <v>23105751</v>
      </c>
      <c r="C101" s="50" t="s">
        <v>73</v>
      </c>
      <c r="D101" s="50"/>
      <c r="E101" s="50"/>
      <c r="F101" s="50">
        <v>5</v>
      </c>
      <c r="G101" s="50"/>
      <c r="H101" s="50">
        <v>5</v>
      </c>
      <c r="I101" s="50">
        <v>10</v>
      </c>
      <c r="J101" s="50">
        <v>10</v>
      </c>
      <c r="K101" s="50">
        <f t="shared" si="2"/>
        <v>30</v>
      </c>
      <c r="L101" s="50"/>
      <c r="M101" s="55"/>
    </row>
    <row r="102" spans="1:13" s="28" customFormat="1" ht="23.5" x14ac:dyDescent="0.55000000000000004">
      <c r="A102" s="53" t="str">
        <f>IF(B102="Grand Total","Grand Total",IFERROR(VLOOKUP(B102,Master!$D$1:$G$1720,4,FALSE),""))</f>
        <v>โอน</v>
      </c>
      <c r="B102" s="54">
        <v>23083450</v>
      </c>
      <c r="C102" s="50" t="s">
        <v>103</v>
      </c>
      <c r="D102" s="50"/>
      <c r="E102" s="50"/>
      <c r="F102" s="50">
        <v>16</v>
      </c>
      <c r="G102" s="50"/>
      <c r="H102" s="50"/>
      <c r="I102" s="50"/>
      <c r="J102" s="50"/>
      <c r="K102" s="50">
        <f t="shared" si="2"/>
        <v>16</v>
      </c>
      <c r="L102" s="50"/>
      <c r="M102" s="55"/>
    </row>
    <row r="103" spans="1:13" s="28" customFormat="1" ht="23.5" x14ac:dyDescent="0.55000000000000004">
      <c r="A103" s="53" t="str">
        <f>IF(B103="Grand Total","Grand Total",IFERROR(VLOOKUP(B103,Master!$D$1:$G$1720,4,FALSE),""))</f>
        <v>เลาะขา</v>
      </c>
      <c r="B103" s="54">
        <v>23088348</v>
      </c>
      <c r="C103" s="50" t="s">
        <v>57</v>
      </c>
      <c r="D103" s="50"/>
      <c r="E103" s="50">
        <v>30</v>
      </c>
      <c r="F103" s="50"/>
      <c r="G103" s="50"/>
      <c r="H103" s="50">
        <v>60</v>
      </c>
      <c r="I103" s="50">
        <v>50</v>
      </c>
      <c r="J103" s="50">
        <v>180</v>
      </c>
      <c r="K103" s="50">
        <f t="shared" si="2"/>
        <v>320</v>
      </c>
      <c r="L103" s="50"/>
      <c r="M103" s="55"/>
    </row>
    <row r="104" spans="1:13" s="28" customFormat="1" ht="23.5" x14ac:dyDescent="0.55000000000000004">
      <c r="A104" s="53" t="str">
        <f>IF(B104="Grand Total","Grand Total",IFERROR(VLOOKUP(B104,Master!$D$1:$G$1720,4,FALSE),""))</f>
        <v>เลาะขา</v>
      </c>
      <c r="B104" s="54">
        <v>23098989</v>
      </c>
      <c r="C104" s="50" t="s">
        <v>69</v>
      </c>
      <c r="D104" s="50"/>
      <c r="E104" s="50">
        <v>15</v>
      </c>
      <c r="F104" s="50"/>
      <c r="G104" s="50"/>
      <c r="H104" s="50"/>
      <c r="I104" s="50"/>
      <c r="J104" s="50">
        <v>20</v>
      </c>
      <c r="K104" s="50">
        <f t="shared" si="2"/>
        <v>35</v>
      </c>
      <c r="L104" s="50"/>
      <c r="M104" s="55"/>
    </row>
    <row r="105" spans="1:13" s="28" customFormat="1" ht="23.5" x14ac:dyDescent="0.55000000000000004">
      <c r="A105" s="53" t="str">
        <f>IF(B105="Grand Total","Grand Total",IFERROR(VLOOKUP(B105,Master!$D$1:$G$1720,4,FALSE),""))</f>
        <v>เลาะขา</v>
      </c>
      <c r="B105" s="54">
        <v>23109326</v>
      </c>
      <c r="C105" s="50" t="s">
        <v>78</v>
      </c>
      <c r="D105" s="50"/>
      <c r="E105" s="50"/>
      <c r="F105" s="50"/>
      <c r="G105" s="50"/>
      <c r="H105" s="50">
        <v>80</v>
      </c>
      <c r="I105" s="50">
        <v>80</v>
      </c>
      <c r="J105" s="50">
        <v>60</v>
      </c>
      <c r="K105" s="50">
        <f t="shared" si="2"/>
        <v>220</v>
      </c>
      <c r="L105" s="50"/>
      <c r="M105" s="55"/>
    </row>
    <row r="106" spans="1:13" s="28" customFormat="1" ht="23.5" x14ac:dyDescent="0.55000000000000004">
      <c r="A106" s="53" t="str">
        <f>IF(B106="Grand Total","Grand Total",IFERROR(VLOOKUP(B106,Master!$D$1:$G$1720,4,FALSE),""))</f>
        <v>เผาขา</v>
      </c>
      <c r="B106" s="54">
        <v>23062095</v>
      </c>
      <c r="C106" s="50" t="s">
        <v>36</v>
      </c>
      <c r="D106" s="50">
        <v>20</v>
      </c>
      <c r="E106" s="50">
        <v>5</v>
      </c>
      <c r="F106" s="50"/>
      <c r="G106" s="50"/>
      <c r="H106" s="50">
        <v>5</v>
      </c>
      <c r="I106" s="50"/>
      <c r="J106" s="50"/>
      <c r="K106" s="50">
        <f t="shared" ref="K106:K137" si="3">+SUM(D106:J106)</f>
        <v>30</v>
      </c>
      <c r="L106" s="50"/>
      <c r="M106" s="55"/>
    </row>
    <row r="107" spans="1:13" s="28" customFormat="1" ht="23.5" x14ac:dyDescent="0.55000000000000004">
      <c r="A107" s="53" t="str">
        <f>IF(B107="Grand Total","Grand Total",IFERROR(VLOOKUP(B107,Master!$D$1:$G$1720,4,FALSE),""))</f>
        <v>เผาขา</v>
      </c>
      <c r="B107" s="54">
        <v>23062101</v>
      </c>
      <c r="C107" s="50" t="s">
        <v>109</v>
      </c>
      <c r="D107" s="50"/>
      <c r="E107" s="50"/>
      <c r="F107" s="50"/>
      <c r="G107" s="50"/>
      <c r="H107" s="50">
        <v>0</v>
      </c>
      <c r="I107" s="50"/>
      <c r="J107" s="50"/>
      <c r="K107" s="50">
        <f t="shared" si="3"/>
        <v>0</v>
      </c>
      <c r="L107" s="50"/>
      <c r="M107" s="55"/>
    </row>
    <row r="108" spans="1:13" s="28" customFormat="1" ht="23.5" x14ac:dyDescent="0.55000000000000004">
      <c r="A108" s="53" t="str">
        <f>IF(B108="Grand Total","Grand Total",IFERROR(VLOOKUP(B108,Master!$D$1:$G$1720,4,FALSE),""))</f>
        <v>เผาขา</v>
      </c>
      <c r="B108" s="54">
        <v>23063759</v>
      </c>
      <c r="C108" s="50" t="s">
        <v>39</v>
      </c>
      <c r="D108" s="50"/>
      <c r="E108" s="50"/>
      <c r="F108" s="50"/>
      <c r="G108" s="50">
        <v>160</v>
      </c>
      <c r="H108" s="50">
        <v>0</v>
      </c>
      <c r="I108" s="50"/>
      <c r="J108" s="50"/>
      <c r="K108" s="50">
        <f t="shared" si="3"/>
        <v>160</v>
      </c>
      <c r="L108" s="50"/>
      <c r="M108" s="55"/>
    </row>
    <row r="109" spans="1:13" s="28" customFormat="1" ht="23.5" x14ac:dyDescent="0.55000000000000004">
      <c r="A109" s="53" t="str">
        <f>IF(B109="Grand Total","Grand Total",IFERROR(VLOOKUP(B109,Master!$D$1:$G$1720,4,FALSE),""))</f>
        <v>เผาขา</v>
      </c>
      <c r="B109" s="54">
        <v>23067590</v>
      </c>
      <c r="C109" s="50" t="s">
        <v>113</v>
      </c>
      <c r="D109" s="50"/>
      <c r="E109" s="50"/>
      <c r="F109" s="50"/>
      <c r="G109" s="50"/>
      <c r="H109" s="50">
        <v>110</v>
      </c>
      <c r="I109" s="50"/>
      <c r="J109" s="50"/>
      <c r="K109" s="50">
        <f t="shared" si="3"/>
        <v>110</v>
      </c>
      <c r="L109" s="50"/>
      <c r="M109" s="55"/>
    </row>
    <row r="110" spans="1:13" s="28" customFormat="1" ht="23.5" x14ac:dyDescent="0.55000000000000004">
      <c r="A110" s="53" t="str">
        <f>IF(B110="Grand Total","Grand Total",IFERROR(VLOOKUP(B110,Master!$D$1:$G$1720,4,FALSE),""))</f>
        <v>เผาขา</v>
      </c>
      <c r="B110" s="54">
        <v>23110623</v>
      </c>
      <c r="C110" s="50" t="s">
        <v>124</v>
      </c>
      <c r="D110" s="50"/>
      <c r="E110" s="50"/>
      <c r="F110" s="50"/>
      <c r="G110" s="50"/>
      <c r="H110" s="50"/>
      <c r="I110" s="50">
        <v>2</v>
      </c>
      <c r="J110" s="50"/>
      <c r="K110" s="50">
        <f t="shared" si="3"/>
        <v>2</v>
      </c>
      <c r="L110" s="50"/>
      <c r="M110" s="55"/>
    </row>
    <row r="111" spans="1:13" s="28" customFormat="1" ht="23.5" x14ac:dyDescent="0.55000000000000004">
      <c r="A111" s="53" t="str">
        <f>IF(B111="Grand Total","Grand Total",IFERROR(VLOOKUP(B111,Master!$D$1:$G$1720,4,FALSE),""))</f>
        <v>เครื่องใน</v>
      </c>
      <c r="B111" s="54">
        <v>23058584</v>
      </c>
      <c r="C111" s="50" t="s">
        <v>29</v>
      </c>
      <c r="D111" s="50"/>
      <c r="E111" s="50">
        <v>30</v>
      </c>
      <c r="F111" s="50"/>
      <c r="G111" s="50">
        <v>10</v>
      </c>
      <c r="H111" s="50">
        <v>20</v>
      </c>
      <c r="I111" s="50">
        <v>20</v>
      </c>
      <c r="J111" s="50">
        <v>100</v>
      </c>
      <c r="K111" s="50">
        <f t="shared" si="3"/>
        <v>180</v>
      </c>
      <c r="L111" s="50"/>
      <c r="M111" s="55"/>
    </row>
    <row r="112" spans="1:13" s="28" customFormat="1" ht="23.5" x14ac:dyDescent="0.55000000000000004">
      <c r="A112" s="53" t="str">
        <f>IF(B112="Grand Total","Grand Total",IFERROR(VLOOKUP(B112,Master!$D$1:$G$1720,4,FALSE),""))</f>
        <v>เครื่องใน</v>
      </c>
      <c r="B112" s="54">
        <v>23058585</v>
      </c>
      <c r="C112" s="50" t="s">
        <v>30</v>
      </c>
      <c r="D112" s="50"/>
      <c r="E112" s="50"/>
      <c r="F112" s="50"/>
      <c r="G112" s="50"/>
      <c r="H112" s="50">
        <v>10</v>
      </c>
      <c r="I112" s="50">
        <v>5</v>
      </c>
      <c r="J112" s="50"/>
      <c r="K112" s="50">
        <f t="shared" si="3"/>
        <v>15</v>
      </c>
      <c r="L112" s="50"/>
      <c r="M112" s="55"/>
    </row>
    <row r="113" spans="1:13" s="28" customFormat="1" ht="23.5" x14ac:dyDescent="0.55000000000000004">
      <c r="A113" s="53" t="str">
        <f>IF(B113="Grand Total","Grand Total",IFERROR(VLOOKUP(B113,Master!$D$1:$G$1720,4,FALSE),""))</f>
        <v>เครื่องใน</v>
      </c>
      <c r="B113" s="54">
        <v>23058586</v>
      </c>
      <c r="C113" s="50" t="s">
        <v>31</v>
      </c>
      <c r="D113" s="50"/>
      <c r="E113" s="50"/>
      <c r="F113" s="50"/>
      <c r="G113" s="50"/>
      <c r="H113" s="50">
        <v>5</v>
      </c>
      <c r="I113" s="50"/>
      <c r="J113" s="50">
        <v>5</v>
      </c>
      <c r="K113" s="50">
        <f t="shared" si="3"/>
        <v>10</v>
      </c>
      <c r="L113" s="50"/>
      <c r="M113" s="55"/>
    </row>
    <row r="114" spans="1:13" s="28" customFormat="1" ht="23.5" x14ac:dyDescent="0.55000000000000004">
      <c r="A114" s="53" t="str">
        <f>IF(B114="Grand Total","Grand Total",IFERROR(VLOOKUP(B114,Master!$D$1:$G$1720,4,FALSE),""))</f>
        <v>เครื่องใน</v>
      </c>
      <c r="B114" s="54">
        <v>23058587</v>
      </c>
      <c r="C114" s="50" t="s">
        <v>32</v>
      </c>
      <c r="D114" s="50"/>
      <c r="E114" s="50"/>
      <c r="F114" s="50"/>
      <c r="G114" s="50"/>
      <c r="H114" s="50">
        <v>0</v>
      </c>
      <c r="I114" s="50">
        <v>5</v>
      </c>
      <c r="J114" s="50"/>
      <c r="K114" s="50">
        <f t="shared" si="3"/>
        <v>5</v>
      </c>
      <c r="L114" s="50"/>
      <c r="M114" s="55"/>
    </row>
    <row r="115" spans="1:13" s="28" customFormat="1" ht="23.5" x14ac:dyDescent="0.55000000000000004">
      <c r="A115" s="53" t="str">
        <f>IF(B115="Grand Total","Grand Total",IFERROR(VLOOKUP(B115,Master!$D$1:$G$1720,4,FALSE),""))</f>
        <v>เครื่องใน</v>
      </c>
      <c r="B115" s="54">
        <v>23058588</v>
      </c>
      <c r="C115" s="50" t="s">
        <v>114</v>
      </c>
      <c r="D115" s="50"/>
      <c r="E115" s="50"/>
      <c r="F115" s="50"/>
      <c r="G115" s="50"/>
      <c r="H115" s="50">
        <v>5</v>
      </c>
      <c r="I115" s="50">
        <v>5</v>
      </c>
      <c r="J115" s="50">
        <v>5</v>
      </c>
      <c r="K115" s="50">
        <f t="shared" si="3"/>
        <v>15</v>
      </c>
      <c r="L115" s="50"/>
      <c r="M115" s="55"/>
    </row>
    <row r="116" spans="1:13" s="28" customFormat="1" ht="23.5" x14ac:dyDescent="0.55000000000000004">
      <c r="A116" s="53" t="str">
        <f>IF(B116="Grand Total","Grand Total",IFERROR(VLOOKUP(B116,Master!$D$1:$G$1720,4,FALSE),""))</f>
        <v>เครื่องใน</v>
      </c>
      <c r="B116" s="54">
        <v>23058589</v>
      </c>
      <c r="C116" s="50" t="s">
        <v>33</v>
      </c>
      <c r="D116" s="50"/>
      <c r="E116" s="50">
        <v>20</v>
      </c>
      <c r="F116" s="50"/>
      <c r="G116" s="50">
        <v>5</v>
      </c>
      <c r="H116" s="50">
        <v>5</v>
      </c>
      <c r="I116" s="50">
        <v>10</v>
      </c>
      <c r="J116" s="50">
        <v>40</v>
      </c>
      <c r="K116" s="50">
        <f t="shared" si="3"/>
        <v>80</v>
      </c>
      <c r="L116" s="50"/>
      <c r="M116" s="55"/>
    </row>
    <row r="117" spans="1:13" s="28" customFormat="1" ht="23.5" x14ac:dyDescent="0.55000000000000004">
      <c r="A117" s="53" t="str">
        <f>IF(B117="Grand Total","Grand Total",IFERROR(VLOOKUP(B117,Master!$D$1:$G$1720,4,FALSE),""))</f>
        <v>เครื่องใน</v>
      </c>
      <c r="B117" s="54">
        <v>23062097</v>
      </c>
      <c r="C117" s="50" t="s">
        <v>115</v>
      </c>
      <c r="D117" s="50"/>
      <c r="E117" s="50"/>
      <c r="F117" s="50"/>
      <c r="G117" s="50"/>
      <c r="H117" s="50">
        <v>5</v>
      </c>
      <c r="I117" s="50"/>
      <c r="J117" s="50">
        <v>10</v>
      </c>
      <c r="K117" s="50">
        <f t="shared" si="3"/>
        <v>15</v>
      </c>
      <c r="L117" s="50"/>
      <c r="M117" s="55"/>
    </row>
    <row r="118" spans="1:13" s="28" customFormat="1" ht="23.5" x14ac:dyDescent="0.55000000000000004">
      <c r="A118" s="53" t="str">
        <f>IF(B118="Grand Total","Grand Total",IFERROR(VLOOKUP(B118,Master!$D$1:$G$1720,4,FALSE),""))</f>
        <v>เครื่องใน</v>
      </c>
      <c r="B118" s="54">
        <v>23062103</v>
      </c>
      <c r="C118" s="50" t="s">
        <v>111</v>
      </c>
      <c r="D118" s="50"/>
      <c r="E118" s="50"/>
      <c r="F118" s="50"/>
      <c r="G118" s="50"/>
      <c r="H118" s="50">
        <v>0</v>
      </c>
      <c r="I118" s="50">
        <v>5</v>
      </c>
      <c r="J118" s="50"/>
      <c r="K118" s="50">
        <f t="shared" si="3"/>
        <v>5</v>
      </c>
      <c r="L118" s="50"/>
      <c r="M118" s="55"/>
    </row>
    <row r="119" spans="1:13" s="28" customFormat="1" ht="23.5" x14ac:dyDescent="0.55000000000000004">
      <c r="A119" s="53" t="str">
        <f>IF(B119="Grand Total","Grand Total",IFERROR(VLOOKUP(B119,Master!$D$1:$G$1720,4,FALSE),""))</f>
        <v>เครื่องใน</v>
      </c>
      <c r="B119" s="54">
        <v>23062111</v>
      </c>
      <c r="C119" s="50" t="s">
        <v>110</v>
      </c>
      <c r="D119" s="50"/>
      <c r="E119" s="50"/>
      <c r="F119" s="50"/>
      <c r="G119" s="50"/>
      <c r="H119" s="50">
        <v>0</v>
      </c>
      <c r="I119" s="50">
        <v>5</v>
      </c>
      <c r="J119" s="50"/>
      <c r="K119" s="50">
        <f t="shared" si="3"/>
        <v>5</v>
      </c>
      <c r="L119" s="50"/>
      <c r="M119" s="55"/>
    </row>
    <row r="120" spans="1:13" s="28" customFormat="1" ht="23.5" x14ac:dyDescent="0.55000000000000004">
      <c r="A120" s="53" t="str">
        <f>IF(B120="Grand Total","Grand Total",IFERROR(VLOOKUP(B120,Master!$D$1:$G$1720,4,FALSE),""))</f>
        <v>เครื่องใน</v>
      </c>
      <c r="B120" s="54">
        <v>23066875</v>
      </c>
      <c r="C120" s="50" t="s">
        <v>44</v>
      </c>
      <c r="D120" s="50"/>
      <c r="E120" s="50">
        <v>20</v>
      </c>
      <c r="F120" s="50"/>
      <c r="G120" s="50"/>
      <c r="H120" s="50"/>
      <c r="I120" s="50"/>
      <c r="J120" s="50"/>
      <c r="K120" s="50">
        <f t="shared" si="3"/>
        <v>20</v>
      </c>
      <c r="L120" s="50"/>
      <c r="M120" s="55"/>
    </row>
    <row r="121" spans="1:13" s="28" customFormat="1" ht="23.5" x14ac:dyDescent="0.55000000000000004">
      <c r="A121" s="53" t="str">
        <f>IF(B121="Grand Total","Grand Total",IFERROR(VLOOKUP(B121,Master!$D$1:$G$1720,4,FALSE),""))</f>
        <v>เครื่องใน</v>
      </c>
      <c r="B121" s="54">
        <v>23071884</v>
      </c>
      <c r="C121" s="50" t="s">
        <v>116</v>
      </c>
      <c r="D121" s="50"/>
      <c r="E121" s="50"/>
      <c r="F121" s="50"/>
      <c r="G121" s="50"/>
      <c r="H121" s="50"/>
      <c r="I121" s="50">
        <v>4.9997999999999996</v>
      </c>
      <c r="J121" s="50">
        <v>40</v>
      </c>
      <c r="K121" s="50">
        <f t="shared" si="3"/>
        <v>44.9998</v>
      </c>
      <c r="L121" s="50"/>
      <c r="M121" s="55"/>
    </row>
    <row r="122" spans="1:13" s="28" customFormat="1" ht="23.5" x14ac:dyDescent="0.55000000000000004">
      <c r="A122" s="53" t="str">
        <f>IF(B122="Grand Total","Grand Total",IFERROR(VLOOKUP(B122,Master!$D$1:$G$1720,4,FALSE),""))</f>
        <v>เครื่องใน</v>
      </c>
      <c r="B122" s="54">
        <v>23088112</v>
      </c>
      <c r="C122" s="50" t="s">
        <v>56</v>
      </c>
      <c r="D122" s="50"/>
      <c r="E122" s="50">
        <v>5</v>
      </c>
      <c r="F122" s="50"/>
      <c r="G122" s="50"/>
      <c r="H122" s="50">
        <v>5</v>
      </c>
      <c r="I122" s="50">
        <v>5</v>
      </c>
      <c r="J122" s="50"/>
      <c r="K122" s="50">
        <f t="shared" si="3"/>
        <v>15</v>
      </c>
      <c r="L122" s="50"/>
      <c r="M122" s="55"/>
    </row>
    <row r="123" spans="1:13" s="28" customFormat="1" ht="23.5" x14ac:dyDescent="0.55000000000000004">
      <c r="A123" s="53" t="str">
        <f>IF(B123="Grand Total","Grand Total",IFERROR(VLOOKUP(B123,Master!$D$1:$G$1720,4,FALSE),""))</f>
        <v>เครื่องใน</v>
      </c>
      <c r="B123" s="54">
        <v>23093507</v>
      </c>
      <c r="C123" s="50" t="s">
        <v>126</v>
      </c>
      <c r="D123" s="50"/>
      <c r="E123" s="50"/>
      <c r="F123" s="50"/>
      <c r="G123" s="50"/>
      <c r="H123" s="50"/>
      <c r="I123" s="50"/>
      <c r="J123" s="50">
        <v>5</v>
      </c>
      <c r="K123" s="50">
        <f t="shared" si="3"/>
        <v>5</v>
      </c>
      <c r="L123" s="50"/>
      <c r="M123" s="55"/>
    </row>
    <row r="124" spans="1:13" s="28" customFormat="1" ht="23.5" x14ac:dyDescent="0.55000000000000004">
      <c r="A124" s="53" t="str">
        <f>IF(B124="Grand Total","Grand Total",IFERROR(VLOOKUP(B124,Master!$D$1:$G$1720,4,FALSE),""))</f>
        <v>เครื่องใน</v>
      </c>
      <c r="B124" s="54">
        <v>23097787</v>
      </c>
      <c r="C124" s="50" t="s">
        <v>60</v>
      </c>
      <c r="D124" s="50"/>
      <c r="E124" s="50"/>
      <c r="F124" s="50">
        <v>2</v>
      </c>
      <c r="G124" s="50"/>
      <c r="H124" s="50"/>
      <c r="I124" s="50"/>
      <c r="J124" s="50"/>
      <c r="K124" s="50">
        <f t="shared" si="3"/>
        <v>2</v>
      </c>
      <c r="L124" s="50"/>
      <c r="M124" s="55"/>
    </row>
    <row r="125" spans="1:13" s="28" customFormat="1" ht="23.5" x14ac:dyDescent="0.55000000000000004">
      <c r="A125" s="53" t="str">
        <f>IF(B125="Grand Total","Grand Total",IFERROR(VLOOKUP(B125,Master!$D$1:$G$1720,4,FALSE),""))</f>
        <v>เครื่องใน</v>
      </c>
      <c r="B125" s="54">
        <v>23097788</v>
      </c>
      <c r="C125" s="50" t="s">
        <v>61</v>
      </c>
      <c r="D125" s="50"/>
      <c r="E125" s="50"/>
      <c r="F125" s="50">
        <v>2</v>
      </c>
      <c r="G125" s="50"/>
      <c r="H125" s="50"/>
      <c r="I125" s="50"/>
      <c r="J125" s="50"/>
      <c r="K125" s="50">
        <f t="shared" si="3"/>
        <v>2</v>
      </c>
      <c r="L125" s="50"/>
      <c r="M125" s="55"/>
    </row>
    <row r="126" spans="1:13" s="28" customFormat="1" ht="23.5" x14ac:dyDescent="0.55000000000000004">
      <c r="A126" s="53" t="str">
        <f>IF(B126="Grand Total","Grand Total",IFERROR(VLOOKUP(B126,Master!$D$1:$G$1720,4,FALSE),""))</f>
        <v>เครื่องใน</v>
      </c>
      <c r="B126" s="54">
        <v>23109532</v>
      </c>
      <c r="C126" s="50" t="s">
        <v>85</v>
      </c>
      <c r="D126" s="50"/>
      <c r="E126" s="50"/>
      <c r="F126" s="50">
        <v>1.6</v>
      </c>
      <c r="G126" s="50"/>
      <c r="H126" s="50"/>
      <c r="I126" s="50"/>
      <c r="J126" s="50"/>
      <c r="K126" s="50">
        <f t="shared" si="3"/>
        <v>1.6</v>
      </c>
      <c r="L126" s="50"/>
      <c r="M126" s="55"/>
    </row>
    <row r="127" spans="1:13" s="28" customFormat="1" ht="23.5" x14ac:dyDescent="0.55000000000000004">
      <c r="A127" s="53" t="str">
        <f>IF(B127="Grand Total","Grand Total",IFERROR(VLOOKUP(B127,Master!$D$1:$G$1720,4,FALSE),""))</f>
        <v>เครื่องใน</v>
      </c>
      <c r="B127" s="54">
        <v>23110624</v>
      </c>
      <c r="C127" s="50" t="s">
        <v>125</v>
      </c>
      <c r="D127" s="50"/>
      <c r="E127" s="50"/>
      <c r="F127" s="50"/>
      <c r="G127" s="50"/>
      <c r="H127" s="50"/>
      <c r="I127" s="50">
        <v>2</v>
      </c>
      <c r="J127" s="50"/>
      <c r="K127" s="50">
        <f t="shared" si="3"/>
        <v>2</v>
      </c>
      <c r="L127" s="50"/>
      <c r="M127" s="55"/>
    </row>
    <row r="128" spans="1:13" s="28" customFormat="1" ht="23.5" x14ac:dyDescent="0.55000000000000004">
      <c r="A128" s="53" t="str">
        <f>IF(B128="Grand Total","Grand Total",IFERROR(VLOOKUP(B128,Master!$D$1:$G$1720,4,FALSE),""))</f>
        <v/>
      </c>
      <c r="B128" s="54" t="s">
        <v>133</v>
      </c>
      <c r="C128" s="50"/>
      <c r="D128" s="50">
        <f t="shared" ref="D128:J128" si="4">+SUM(D10:D127)</f>
        <v>680</v>
      </c>
      <c r="E128" s="50">
        <f t="shared" si="4"/>
        <v>2046.2</v>
      </c>
      <c r="F128" s="50">
        <f t="shared" si="4"/>
        <v>452.40000000000003</v>
      </c>
      <c r="G128" s="50">
        <f t="shared" si="4"/>
        <v>705</v>
      </c>
      <c r="H128" s="50">
        <f t="shared" si="4"/>
        <v>1450.6</v>
      </c>
      <c r="I128" s="50">
        <f t="shared" si="4"/>
        <v>1636.5998</v>
      </c>
      <c r="J128" s="50">
        <f t="shared" si="4"/>
        <v>2846.2</v>
      </c>
      <c r="K128" s="50">
        <f t="shared" si="3"/>
        <v>9816.9997999999996</v>
      </c>
      <c r="L128" s="50"/>
      <c r="M128" s="55"/>
    </row>
    <row r="129" spans="1:13" s="28" customFormat="1" ht="23.5" x14ac:dyDescent="0.55000000000000004">
      <c r="A129" s="53" t="str">
        <f>IF(B129="Grand Total","Grand Total",IFERROR(VLOOKUP(B129,Master!$D$1:$G$1720,4,FALSE),""))</f>
        <v/>
      </c>
      <c r="B129" s="54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5"/>
    </row>
    <row r="130" spans="1:13" s="28" customFormat="1" ht="23.5" x14ac:dyDescent="0.55000000000000004">
      <c r="A130" s="53" t="str">
        <f>IF(B130="Grand Total","Grand Total",IFERROR(VLOOKUP(B130,Master!$D$1:$G$1720,4,FALSE),""))</f>
        <v/>
      </c>
      <c r="B130" s="54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5"/>
    </row>
    <row r="131" spans="1:13" s="28" customFormat="1" ht="23.5" x14ac:dyDescent="0.55000000000000004">
      <c r="A131" s="53" t="str">
        <f>IF(B131="Grand Total","Grand Total",IFERROR(VLOOKUP(B131,Master!$D$1:$G$1720,4,FALSE),""))</f>
        <v/>
      </c>
      <c r="B131" s="5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5"/>
    </row>
    <row r="132" spans="1:13" s="28" customFormat="1" ht="23.5" x14ac:dyDescent="0.55000000000000004">
      <c r="A132" s="53" t="str">
        <f>IF(B132="Grand Total","Grand Total",IFERROR(VLOOKUP(B132,Master!$D$1:$G$1720,4,FALSE),""))</f>
        <v/>
      </c>
      <c r="B132" s="54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5"/>
    </row>
    <row r="133" spans="1:13" s="28" customFormat="1" ht="23.5" x14ac:dyDescent="0.55000000000000004">
      <c r="A133" s="53" t="str">
        <f>IF(B133="Grand Total","Grand Total",IFERROR(VLOOKUP(B133,Master!$D$1:$G$1720,4,FALSE),""))</f>
        <v/>
      </c>
      <c r="B133" s="54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5"/>
    </row>
    <row r="134" spans="1:13" s="28" customFormat="1" ht="23.5" x14ac:dyDescent="0.55000000000000004">
      <c r="A134" s="53" t="str">
        <f>IF(B134="Grand Total","Grand Total",IFERROR(VLOOKUP(B134,Master!$D$1:$G$1720,4,FALSE),""))</f>
        <v/>
      </c>
      <c r="B134" s="54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5"/>
    </row>
    <row r="135" spans="1:13" s="28" customFormat="1" ht="23.5" x14ac:dyDescent="0.55000000000000004">
      <c r="A135" s="53" t="str">
        <f>IF(B135="Grand Total","Grand Total",IFERROR(VLOOKUP(B135,Master!$D$1:$G$1720,4,FALSE),""))</f>
        <v/>
      </c>
      <c r="B135" s="54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5"/>
    </row>
    <row r="146" spans="1:1" x14ac:dyDescent="0.5">
      <c r="A146" s="29" t="str">
        <f>IFERROR(VLOOKUP(B146,Master!$D$1:$G$1720,4,FALSE),"")</f>
        <v/>
      </c>
    </row>
  </sheetData>
  <autoFilter ref="A9:M9" xr:uid="{00000000-0001-0000-0600-000000000000}">
    <sortState xmlns:xlrd2="http://schemas.microsoft.com/office/spreadsheetml/2017/richdata2" ref="A10:M135">
      <sortCondition descending="1" ref="A9"/>
    </sortState>
  </autoFilter>
  <pageMargins left="0.7" right="0.7" top="0.75" bottom="0.75" header="0.3" footer="0.3"/>
  <pageSetup scale="23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9E0F6F3-B544-486C-9F2F-6F54E005282A}">
            <xm:f>$A10=Master!$N$14</xm:f>
            <x14:dxf>
              <fill>
                <patternFill>
                  <bgColor rgb="FFD8BEEC"/>
                </patternFill>
              </fill>
            </x14:dxf>
          </x14:cfRule>
          <x14:cfRule type="expression" priority="2" id="{556ADA28-F9BF-464F-BD0F-D6E2CA066965}">
            <xm:f>$A10=Master!$N$13</xm:f>
            <x14:dxf>
              <fill>
                <patternFill>
                  <bgColor rgb="FFD8BEEC"/>
                </patternFill>
              </fill>
            </x14:dxf>
          </x14:cfRule>
          <x14:cfRule type="expression" priority="3" id="{85FE0923-E173-49B5-9C94-C65E431BF57E}">
            <xm:f>$A10=Master!$N$12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" id="{597D5277-ED03-46FA-833A-9CA7470C0AAC}">
            <xm:f>$A10=Master!$N$11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C18D8E41-2B5A-420C-BA7C-4F8D86CC7CA8}">
            <xm:f>$A10=Master!$N$10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6" id="{4B7EFA94-4C21-436E-BDCF-EDC1054BF5CB}">
            <xm:f>$A10=Master!$N$9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" id="{AE9FC214-A59A-480B-9A24-0B8B840A181E}">
            <xm:f>$A10=Master!$N$8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8" id="{9A716557-E9D3-4EC0-8FC2-4A5F84D0C6BC}">
            <xm:f>$A10=Master!$N$7</xm:f>
            <x14:dxf>
              <fill>
                <patternFill>
                  <bgColor theme="8" tint="0.79998168889431442"/>
                </patternFill>
              </fill>
            </x14:dxf>
          </x14:cfRule>
          <x14:cfRule type="expression" priority="9" id="{86DEE983-8CC0-49A9-894E-21B9261D3184}">
            <xm:f>$A10=Master!$N$6</xm:f>
            <x14:dxf>
              <fill>
                <patternFill>
                  <bgColor theme="8" tint="0.79998168889431442"/>
                </patternFill>
              </fill>
            </x14:dxf>
          </x14:cfRule>
          <x14:cfRule type="expression" priority="10" id="{E13CA76E-22ED-465A-8B74-4C527F63F5DC}">
            <xm:f>$A10=Master!$N$5</xm:f>
            <x14:dxf>
              <fill>
                <patternFill>
                  <fgColor rgb="FFFFC000"/>
                  <bgColor theme="7" tint="0.79998168889431442"/>
                </patternFill>
              </fill>
            </x14:dxf>
          </x14:cfRule>
          <x14:cfRule type="expression" priority="11" id="{7DA39D75-1821-480C-B645-C91DF22F9B9B}">
            <xm:f>$A10=Master!$N$4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12" id="{501512A7-3CE5-450F-B69B-E94A694E000A}">
            <xm:f>$A10=Master!$N$3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3" id="{F6F3A6EA-1A23-4AB7-8E58-40937A1FF62B}">
            <xm:f>$A10=Master!$N$2</xm:f>
            <x14:dxf>
              <fill>
                <patternFill>
                  <bgColor theme="5" tint="0.79998168889431442"/>
                </patternFill>
              </fill>
            </x14:dxf>
          </x14:cfRule>
          <xm:sqref>A10:A135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I120"/>
  <sheetViews>
    <sheetView zoomScale="85" zoomScaleNormal="85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4" sqref="G4"/>
    </sheetView>
  </sheetViews>
  <sheetFormatPr defaultRowHeight="14.5" x14ac:dyDescent="0.35"/>
  <cols>
    <col min="1" max="1" width="24" bestFit="1" customWidth="1"/>
    <col min="2" max="2" width="25.453125" bestFit="1" customWidth="1"/>
    <col min="3" max="3" width="35" bestFit="1" customWidth="1"/>
    <col min="4" max="4" width="19.1796875" style="9" bestFit="1" customWidth="1"/>
    <col min="5" max="5" width="22.453125" bestFit="1" customWidth="1"/>
    <col min="6" max="6" width="22.1796875" bestFit="1" customWidth="1"/>
    <col min="7" max="7" width="36" bestFit="1" customWidth="1"/>
    <col min="8" max="8" width="16.54296875" bestFit="1" customWidth="1"/>
    <col min="9" max="9" width="17" bestFit="1" customWidth="1"/>
    <col min="10" max="16" width="34.81640625" bestFit="1" customWidth="1"/>
    <col min="17" max="17" width="17.7265625" bestFit="1" customWidth="1"/>
  </cols>
  <sheetData>
    <row r="4" spans="1:9" x14ac:dyDescent="0.35">
      <c r="A4" s="2" t="s">
        <v>0</v>
      </c>
      <c r="B4" t="s">
        <v>1</v>
      </c>
    </row>
    <row r="5" spans="1:9" x14ac:dyDescent="0.35">
      <c r="A5" s="2" t="s">
        <v>2</v>
      </c>
      <c r="B5" s="3">
        <v>923</v>
      </c>
    </row>
    <row r="6" spans="1:9" x14ac:dyDescent="0.35">
      <c r="A6" s="2" t="s">
        <v>3</v>
      </c>
      <c r="B6" t="s">
        <v>4</v>
      </c>
    </row>
    <row r="7" spans="1:9" x14ac:dyDescent="0.35">
      <c r="A7" s="2" t="s">
        <v>5</v>
      </c>
      <c r="B7" t="s">
        <v>4</v>
      </c>
    </row>
    <row r="8" spans="1:9" x14ac:dyDescent="0.35">
      <c r="B8" s="7" t="str">
        <f>+Sheet1!B8</f>
        <v>คืน 13.5</v>
      </c>
    </row>
    <row r="9" spans="1:9" x14ac:dyDescent="0.35">
      <c r="D9"/>
      <c r="H9" s="2" t="s">
        <v>263</v>
      </c>
    </row>
    <row r="10" spans="1:9" x14ac:dyDescent="0.35">
      <c r="A10" s="2" t="s">
        <v>7</v>
      </c>
      <c r="B10" s="2" t="s">
        <v>146</v>
      </c>
      <c r="C10" s="2" t="s">
        <v>147</v>
      </c>
      <c r="D10" s="2" t="s">
        <v>6</v>
      </c>
      <c r="E10" s="2" t="s">
        <v>9</v>
      </c>
      <c r="F10" s="2" t="s">
        <v>12</v>
      </c>
      <c r="G10" s="2" t="s">
        <v>13</v>
      </c>
      <c r="H10" t="s">
        <v>264</v>
      </c>
      <c r="I10" t="s">
        <v>11</v>
      </c>
    </row>
    <row r="11" spans="1:9" x14ac:dyDescent="0.35">
      <c r="A11" s="1" t="s">
        <v>8</v>
      </c>
      <c r="B11" t="s">
        <v>196</v>
      </c>
      <c r="C11" t="s">
        <v>197</v>
      </c>
      <c r="D11">
        <v>9044989472405</v>
      </c>
      <c r="E11" t="s">
        <v>199</v>
      </c>
      <c r="F11">
        <v>23000206</v>
      </c>
      <c r="G11" t="s">
        <v>15</v>
      </c>
      <c r="H11">
        <v>5</v>
      </c>
      <c r="I11">
        <v>5</v>
      </c>
    </row>
    <row r="12" spans="1:9" x14ac:dyDescent="0.35">
      <c r="D12"/>
      <c r="F12">
        <v>23057809</v>
      </c>
      <c r="G12" t="s">
        <v>18</v>
      </c>
      <c r="H12">
        <v>30</v>
      </c>
      <c r="I12">
        <v>30</v>
      </c>
    </row>
    <row r="13" spans="1:9" x14ac:dyDescent="0.35">
      <c r="D13"/>
      <c r="F13">
        <v>23057812</v>
      </c>
      <c r="G13" t="s">
        <v>19</v>
      </c>
      <c r="H13">
        <v>130</v>
      </c>
      <c r="I13">
        <v>130</v>
      </c>
    </row>
    <row r="14" spans="1:9" x14ac:dyDescent="0.35">
      <c r="D14"/>
      <c r="F14">
        <v>23057815</v>
      </c>
      <c r="G14" t="s">
        <v>20</v>
      </c>
      <c r="H14">
        <v>100</v>
      </c>
      <c r="I14">
        <v>100</v>
      </c>
    </row>
    <row r="15" spans="1:9" x14ac:dyDescent="0.35">
      <c r="D15"/>
      <c r="F15">
        <v>23057818</v>
      </c>
      <c r="G15" t="s">
        <v>21</v>
      </c>
      <c r="H15">
        <v>0</v>
      </c>
      <c r="I15">
        <v>0</v>
      </c>
    </row>
    <row r="16" spans="1:9" x14ac:dyDescent="0.35">
      <c r="D16"/>
      <c r="F16">
        <v>23057821</v>
      </c>
      <c r="G16" t="s">
        <v>22</v>
      </c>
      <c r="H16">
        <v>20</v>
      </c>
      <c r="I16">
        <v>20</v>
      </c>
    </row>
    <row r="17" spans="4:9" x14ac:dyDescent="0.35">
      <c r="D17"/>
      <c r="F17">
        <v>23057824</v>
      </c>
      <c r="G17" t="s">
        <v>23</v>
      </c>
      <c r="H17">
        <v>80</v>
      </c>
      <c r="I17">
        <v>80</v>
      </c>
    </row>
    <row r="18" spans="4:9" x14ac:dyDescent="0.35">
      <c r="D18"/>
      <c r="F18">
        <v>23058551</v>
      </c>
      <c r="G18" t="s">
        <v>25</v>
      </c>
      <c r="H18">
        <v>5</v>
      </c>
      <c r="I18">
        <v>5</v>
      </c>
    </row>
    <row r="19" spans="4:9" x14ac:dyDescent="0.35">
      <c r="D19"/>
      <c r="F19">
        <v>23058552</v>
      </c>
      <c r="G19" t="s">
        <v>26</v>
      </c>
      <c r="H19">
        <v>0</v>
      </c>
      <c r="I19">
        <v>0</v>
      </c>
    </row>
    <row r="20" spans="4:9" x14ac:dyDescent="0.35">
      <c r="D20"/>
      <c r="F20">
        <v>23058553</v>
      </c>
      <c r="G20" t="s">
        <v>27</v>
      </c>
      <c r="H20">
        <v>110</v>
      </c>
      <c r="I20">
        <v>110</v>
      </c>
    </row>
    <row r="21" spans="4:9" x14ac:dyDescent="0.35">
      <c r="D21"/>
      <c r="F21">
        <v>23058555</v>
      </c>
      <c r="G21" t="s">
        <v>28</v>
      </c>
      <c r="H21">
        <v>70</v>
      </c>
      <c r="I21">
        <v>70</v>
      </c>
    </row>
    <row r="22" spans="4:9" x14ac:dyDescent="0.35">
      <c r="D22"/>
      <c r="F22">
        <v>23058584</v>
      </c>
      <c r="G22" t="s">
        <v>29</v>
      </c>
      <c r="H22">
        <v>20</v>
      </c>
      <c r="I22">
        <v>20</v>
      </c>
    </row>
    <row r="23" spans="4:9" x14ac:dyDescent="0.35">
      <c r="D23"/>
      <c r="F23">
        <v>23058585</v>
      </c>
      <c r="G23" t="s">
        <v>30</v>
      </c>
      <c r="H23">
        <v>10</v>
      </c>
      <c r="I23">
        <v>10</v>
      </c>
    </row>
    <row r="24" spans="4:9" x14ac:dyDescent="0.35">
      <c r="D24"/>
      <c r="F24">
        <v>23058586</v>
      </c>
      <c r="G24" t="s">
        <v>31</v>
      </c>
      <c r="H24">
        <v>5</v>
      </c>
      <c r="I24">
        <v>5</v>
      </c>
    </row>
    <row r="25" spans="4:9" x14ac:dyDescent="0.35">
      <c r="D25"/>
      <c r="F25">
        <v>23058587</v>
      </c>
      <c r="G25" t="s">
        <v>32</v>
      </c>
      <c r="H25">
        <v>0</v>
      </c>
      <c r="I25">
        <v>0</v>
      </c>
    </row>
    <row r="26" spans="4:9" x14ac:dyDescent="0.35">
      <c r="D26"/>
      <c r="F26">
        <v>23058589</v>
      </c>
      <c r="G26" t="s">
        <v>33</v>
      </c>
      <c r="H26">
        <v>5</v>
      </c>
      <c r="I26">
        <v>5</v>
      </c>
    </row>
    <row r="27" spans="4:9" x14ac:dyDescent="0.35">
      <c r="D27"/>
      <c r="F27">
        <v>23058590</v>
      </c>
      <c r="G27" t="s">
        <v>34</v>
      </c>
      <c r="H27">
        <v>5</v>
      </c>
      <c r="I27">
        <v>5</v>
      </c>
    </row>
    <row r="28" spans="4:9" x14ac:dyDescent="0.35">
      <c r="D28"/>
      <c r="F28">
        <v>23058591</v>
      </c>
      <c r="G28" t="s">
        <v>35</v>
      </c>
      <c r="H28">
        <v>20</v>
      </c>
      <c r="I28">
        <v>20</v>
      </c>
    </row>
    <row r="29" spans="4:9" x14ac:dyDescent="0.35">
      <c r="D29"/>
      <c r="F29">
        <v>23062095</v>
      </c>
      <c r="G29" t="s">
        <v>36</v>
      </c>
      <c r="H29">
        <v>5</v>
      </c>
      <c r="I29">
        <v>5</v>
      </c>
    </row>
    <row r="30" spans="4:9" x14ac:dyDescent="0.35">
      <c r="D30"/>
      <c r="F30">
        <v>23062105</v>
      </c>
      <c r="G30" t="s">
        <v>37</v>
      </c>
      <c r="H30">
        <v>0</v>
      </c>
      <c r="I30">
        <v>0</v>
      </c>
    </row>
    <row r="31" spans="4:9" x14ac:dyDescent="0.35">
      <c r="D31"/>
      <c r="F31">
        <v>23062967</v>
      </c>
      <c r="G31" t="s">
        <v>38</v>
      </c>
      <c r="H31">
        <v>30</v>
      </c>
      <c r="I31">
        <v>30</v>
      </c>
    </row>
    <row r="32" spans="4:9" x14ac:dyDescent="0.35">
      <c r="D32"/>
      <c r="F32">
        <v>23063759</v>
      </c>
      <c r="G32" t="s">
        <v>39</v>
      </c>
      <c r="H32">
        <v>0</v>
      </c>
      <c r="I32">
        <v>0</v>
      </c>
    </row>
    <row r="33" spans="4:9" x14ac:dyDescent="0.35">
      <c r="D33"/>
      <c r="F33">
        <v>23065140</v>
      </c>
      <c r="G33" t="s">
        <v>40</v>
      </c>
      <c r="H33">
        <v>40</v>
      </c>
      <c r="I33">
        <v>40</v>
      </c>
    </row>
    <row r="34" spans="4:9" x14ac:dyDescent="0.35">
      <c r="D34"/>
      <c r="F34">
        <v>23065141</v>
      </c>
      <c r="G34" t="s">
        <v>41</v>
      </c>
      <c r="H34">
        <v>15</v>
      </c>
      <c r="I34">
        <v>15</v>
      </c>
    </row>
    <row r="35" spans="4:9" x14ac:dyDescent="0.35">
      <c r="D35"/>
      <c r="F35">
        <v>23065142</v>
      </c>
      <c r="G35" t="s">
        <v>42</v>
      </c>
      <c r="H35">
        <v>20</v>
      </c>
      <c r="I35">
        <v>20</v>
      </c>
    </row>
    <row r="36" spans="4:9" x14ac:dyDescent="0.35">
      <c r="D36"/>
      <c r="F36">
        <v>23065143</v>
      </c>
      <c r="G36" t="s">
        <v>43</v>
      </c>
      <c r="H36">
        <v>90</v>
      </c>
      <c r="I36">
        <v>90</v>
      </c>
    </row>
    <row r="37" spans="4:9" x14ac:dyDescent="0.35">
      <c r="D37"/>
      <c r="F37">
        <v>23066879</v>
      </c>
      <c r="G37" t="s">
        <v>45</v>
      </c>
      <c r="H37">
        <v>10</v>
      </c>
      <c r="I37">
        <v>10</v>
      </c>
    </row>
    <row r="38" spans="4:9" x14ac:dyDescent="0.35">
      <c r="D38"/>
      <c r="F38">
        <v>23073188</v>
      </c>
      <c r="G38" t="s">
        <v>50</v>
      </c>
      <c r="H38">
        <v>10</v>
      </c>
      <c r="I38">
        <v>10</v>
      </c>
    </row>
    <row r="39" spans="4:9" x14ac:dyDescent="0.35">
      <c r="D39"/>
      <c r="F39">
        <v>23075089</v>
      </c>
      <c r="G39" t="s">
        <v>51</v>
      </c>
      <c r="H39">
        <v>0</v>
      </c>
      <c r="I39">
        <v>0</v>
      </c>
    </row>
    <row r="40" spans="4:9" x14ac:dyDescent="0.35">
      <c r="D40"/>
      <c r="F40">
        <v>23086658</v>
      </c>
      <c r="G40" t="s">
        <v>53</v>
      </c>
      <c r="H40">
        <v>20</v>
      </c>
      <c r="I40">
        <v>20</v>
      </c>
    </row>
    <row r="41" spans="4:9" x14ac:dyDescent="0.35">
      <c r="D41"/>
      <c r="F41">
        <v>23087034</v>
      </c>
      <c r="G41" t="s">
        <v>54</v>
      </c>
      <c r="H41">
        <v>10</v>
      </c>
      <c r="I41">
        <v>10</v>
      </c>
    </row>
    <row r="42" spans="4:9" x14ac:dyDescent="0.35">
      <c r="D42"/>
      <c r="F42">
        <v>23088036</v>
      </c>
      <c r="G42" t="s">
        <v>55</v>
      </c>
      <c r="H42">
        <v>0</v>
      </c>
      <c r="I42">
        <v>0</v>
      </c>
    </row>
    <row r="43" spans="4:9" x14ac:dyDescent="0.35">
      <c r="D43"/>
      <c r="F43">
        <v>23088112</v>
      </c>
      <c r="G43" t="s">
        <v>56</v>
      </c>
      <c r="H43">
        <v>5</v>
      </c>
      <c r="I43">
        <v>5</v>
      </c>
    </row>
    <row r="44" spans="4:9" x14ac:dyDescent="0.35">
      <c r="D44"/>
      <c r="F44">
        <v>23088348</v>
      </c>
      <c r="G44" t="s">
        <v>57</v>
      </c>
      <c r="H44">
        <v>60</v>
      </c>
      <c r="I44">
        <v>60</v>
      </c>
    </row>
    <row r="45" spans="4:9" x14ac:dyDescent="0.35">
      <c r="D45"/>
      <c r="F45">
        <v>23098995</v>
      </c>
      <c r="G45" t="s">
        <v>70</v>
      </c>
      <c r="H45">
        <v>20</v>
      </c>
      <c r="I45">
        <v>20</v>
      </c>
    </row>
    <row r="46" spans="4:9" x14ac:dyDescent="0.35">
      <c r="D46"/>
      <c r="F46">
        <v>23104868</v>
      </c>
      <c r="G46" t="s">
        <v>71</v>
      </c>
      <c r="H46">
        <v>0</v>
      </c>
      <c r="I46">
        <v>0</v>
      </c>
    </row>
    <row r="47" spans="4:9" x14ac:dyDescent="0.35">
      <c r="D47"/>
      <c r="F47">
        <v>23105702</v>
      </c>
      <c r="G47" t="s">
        <v>72</v>
      </c>
      <c r="H47">
        <v>30</v>
      </c>
      <c r="I47">
        <v>150</v>
      </c>
    </row>
    <row r="48" spans="4:9" x14ac:dyDescent="0.35">
      <c r="D48"/>
      <c r="F48">
        <v>23105751</v>
      </c>
      <c r="G48" t="s">
        <v>73</v>
      </c>
      <c r="H48">
        <v>5</v>
      </c>
      <c r="I48">
        <v>5</v>
      </c>
    </row>
    <row r="49" spans="1:9" x14ac:dyDescent="0.35">
      <c r="D49"/>
      <c r="F49">
        <v>23105753</v>
      </c>
      <c r="G49" t="s">
        <v>75</v>
      </c>
      <c r="H49">
        <v>80</v>
      </c>
      <c r="I49">
        <v>80</v>
      </c>
    </row>
    <row r="50" spans="1:9" x14ac:dyDescent="0.35">
      <c r="D50"/>
      <c r="F50">
        <v>23105754</v>
      </c>
      <c r="G50" t="s">
        <v>76</v>
      </c>
      <c r="H50">
        <v>20</v>
      </c>
      <c r="I50">
        <v>20</v>
      </c>
    </row>
    <row r="51" spans="1:9" x14ac:dyDescent="0.35">
      <c r="D51"/>
      <c r="F51">
        <v>23109326</v>
      </c>
      <c r="G51" t="s">
        <v>78</v>
      </c>
      <c r="H51">
        <v>80</v>
      </c>
      <c r="I51">
        <v>80</v>
      </c>
    </row>
    <row r="52" spans="1:9" x14ac:dyDescent="0.35">
      <c r="D52"/>
      <c r="F52">
        <v>23062107</v>
      </c>
      <c r="G52" t="s">
        <v>108</v>
      </c>
      <c r="H52">
        <v>40</v>
      </c>
      <c r="I52">
        <v>40</v>
      </c>
    </row>
    <row r="53" spans="1:9" x14ac:dyDescent="0.35">
      <c r="D53"/>
      <c r="F53">
        <v>23062101</v>
      </c>
      <c r="G53" t="s">
        <v>109</v>
      </c>
      <c r="H53">
        <v>0</v>
      </c>
      <c r="I53">
        <v>0</v>
      </c>
    </row>
    <row r="54" spans="1:9" x14ac:dyDescent="0.35">
      <c r="D54"/>
      <c r="F54">
        <v>23062111</v>
      </c>
      <c r="G54" t="s">
        <v>110</v>
      </c>
      <c r="H54">
        <v>0</v>
      </c>
      <c r="I54">
        <v>0</v>
      </c>
    </row>
    <row r="55" spans="1:9" x14ac:dyDescent="0.35">
      <c r="D55"/>
      <c r="F55">
        <v>23062103</v>
      </c>
      <c r="G55" t="s">
        <v>111</v>
      </c>
      <c r="H55">
        <v>0</v>
      </c>
      <c r="I55">
        <v>0</v>
      </c>
    </row>
    <row r="56" spans="1:9" x14ac:dyDescent="0.35">
      <c r="D56"/>
      <c r="F56">
        <v>23058556</v>
      </c>
      <c r="G56" t="s">
        <v>112</v>
      </c>
      <c r="H56">
        <v>0</v>
      </c>
      <c r="I56">
        <v>0</v>
      </c>
    </row>
    <row r="57" spans="1:9" x14ac:dyDescent="0.35">
      <c r="D57"/>
      <c r="F57">
        <v>23067590</v>
      </c>
      <c r="G57" t="s">
        <v>113</v>
      </c>
      <c r="H57">
        <v>110</v>
      </c>
      <c r="I57">
        <v>110</v>
      </c>
    </row>
    <row r="58" spans="1:9" x14ac:dyDescent="0.35">
      <c r="D58"/>
      <c r="F58">
        <v>23058588</v>
      </c>
      <c r="G58" t="s">
        <v>114</v>
      </c>
      <c r="H58">
        <v>5</v>
      </c>
      <c r="I58">
        <v>5</v>
      </c>
    </row>
    <row r="59" spans="1:9" x14ac:dyDescent="0.35">
      <c r="D59"/>
      <c r="F59">
        <v>23062097</v>
      </c>
      <c r="G59" t="s">
        <v>115</v>
      </c>
      <c r="H59">
        <v>5</v>
      </c>
      <c r="I59">
        <v>5</v>
      </c>
    </row>
    <row r="60" spans="1:9" x14ac:dyDescent="0.35">
      <c r="D60"/>
      <c r="F60">
        <v>23098991</v>
      </c>
      <c r="G60" t="s">
        <v>127</v>
      </c>
      <c r="H60">
        <v>0</v>
      </c>
      <c r="I60">
        <v>0</v>
      </c>
    </row>
    <row r="61" spans="1:9" x14ac:dyDescent="0.35">
      <c r="D61">
        <v>9045089556881</v>
      </c>
      <c r="E61" t="s">
        <v>252</v>
      </c>
      <c r="F61">
        <v>23084674</v>
      </c>
      <c r="G61" t="s">
        <v>52</v>
      </c>
      <c r="H61">
        <v>14</v>
      </c>
      <c r="I61">
        <v>5.6</v>
      </c>
    </row>
    <row r="62" spans="1:9" x14ac:dyDescent="0.35">
      <c r="A62" s="1" t="s">
        <v>133</v>
      </c>
      <c r="D62"/>
      <c r="H62">
        <v>1339</v>
      </c>
      <c r="I62">
        <v>1450.6</v>
      </c>
    </row>
    <row r="63" spans="1:9" x14ac:dyDescent="0.35">
      <c r="D63"/>
    </row>
    <row r="64" spans="1:9" x14ac:dyDescent="0.35">
      <c r="D64"/>
    </row>
    <row r="65" spans="4:4" x14ac:dyDescent="0.35">
      <c r="D65"/>
    </row>
    <row r="66" spans="4:4" x14ac:dyDescent="0.35">
      <c r="D66"/>
    </row>
    <row r="67" spans="4:4" x14ac:dyDescent="0.35">
      <c r="D67"/>
    </row>
    <row r="68" spans="4:4" x14ac:dyDescent="0.35">
      <c r="D68"/>
    </row>
    <row r="69" spans="4:4" x14ac:dyDescent="0.35">
      <c r="D69"/>
    </row>
    <row r="70" spans="4:4" x14ac:dyDescent="0.35">
      <c r="D70"/>
    </row>
    <row r="71" spans="4:4" x14ac:dyDescent="0.35">
      <c r="D71"/>
    </row>
    <row r="72" spans="4:4" x14ac:dyDescent="0.35">
      <c r="D72"/>
    </row>
    <row r="73" spans="4:4" x14ac:dyDescent="0.35">
      <c r="D73"/>
    </row>
    <row r="74" spans="4:4" x14ac:dyDescent="0.35">
      <c r="D74"/>
    </row>
    <row r="75" spans="4:4" x14ac:dyDescent="0.35">
      <c r="D75"/>
    </row>
    <row r="76" spans="4:4" x14ac:dyDescent="0.35">
      <c r="D76"/>
    </row>
    <row r="77" spans="4:4" x14ac:dyDescent="0.35">
      <c r="D77"/>
    </row>
    <row r="78" spans="4:4" x14ac:dyDescent="0.35">
      <c r="D78"/>
    </row>
    <row r="79" spans="4:4" x14ac:dyDescent="0.35">
      <c r="D79"/>
    </row>
    <row r="80" spans="4:4" x14ac:dyDescent="0.35">
      <c r="D80"/>
    </row>
    <row r="81" spans="4:4" x14ac:dyDescent="0.35">
      <c r="D81"/>
    </row>
    <row r="82" spans="4:4" x14ac:dyDescent="0.35">
      <c r="D82"/>
    </row>
    <row r="83" spans="4:4" x14ac:dyDescent="0.35">
      <c r="D83"/>
    </row>
    <row r="84" spans="4:4" x14ac:dyDescent="0.35">
      <c r="D84"/>
    </row>
    <row r="85" spans="4:4" x14ac:dyDescent="0.35">
      <c r="D85"/>
    </row>
    <row r="86" spans="4:4" x14ac:dyDescent="0.35">
      <c r="D86"/>
    </row>
    <row r="87" spans="4:4" x14ac:dyDescent="0.35">
      <c r="D87"/>
    </row>
    <row r="88" spans="4:4" x14ac:dyDescent="0.35">
      <c r="D88"/>
    </row>
    <row r="89" spans="4:4" x14ac:dyDescent="0.35">
      <c r="D89"/>
    </row>
    <row r="90" spans="4:4" x14ac:dyDescent="0.35">
      <c r="D90"/>
    </row>
    <row r="91" spans="4:4" x14ac:dyDescent="0.35">
      <c r="D91"/>
    </row>
    <row r="92" spans="4:4" x14ac:dyDescent="0.35">
      <c r="D92"/>
    </row>
    <row r="93" spans="4:4" x14ac:dyDescent="0.35">
      <c r="D93"/>
    </row>
    <row r="94" spans="4:4" x14ac:dyDescent="0.35">
      <c r="D94"/>
    </row>
    <row r="95" spans="4:4" x14ac:dyDescent="0.35">
      <c r="D95"/>
    </row>
    <row r="96" spans="4:4" x14ac:dyDescent="0.35">
      <c r="D96"/>
    </row>
    <row r="97" spans="4:4" x14ac:dyDescent="0.35">
      <c r="D97"/>
    </row>
    <row r="98" spans="4:4" x14ac:dyDescent="0.35">
      <c r="D98"/>
    </row>
    <row r="99" spans="4:4" x14ac:dyDescent="0.35">
      <c r="D99"/>
    </row>
    <row r="100" spans="4:4" x14ac:dyDescent="0.35">
      <c r="D100"/>
    </row>
    <row r="101" spans="4:4" x14ac:dyDescent="0.35">
      <c r="D101"/>
    </row>
    <row r="102" spans="4:4" x14ac:dyDescent="0.35">
      <c r="D102"/>
    </row>
    <row r="103" spans="4:4" x14ac:dyDescent="0.35">
      <c r="D103"/>
    </row>
    <row r="104" spans="4:4" x14ac:dyDescent="0.35">
      <c r="D104"/>
    </row>
    <row r="105" spans="4:4" x14ac:dyDescent="0.35">
      <c r="D105"/>
    </row>
    <row r="106" spans="4:4" x14ac:dyDescent="0.35">
      <c r="D106"/>
    </row>
    <row r="107" spans="4:4" x14ac:dyDescent="0.35">
      <c r="D107"/>
    </row>
    <row r="108" spans="4:4" x14ac:dyDescent="0.35">
      <c r="D108"/>
    </row>
    <row r="109" spans="4:4" x14ac:dyDescent="0.35">
      <c r="D109"/>
    </row>
    <row r="110" spans="4:4" x14ac:dyDescent="0.35">
      <c r="D110"/>
    </row>
    <row r="111" spans="4:4" x14ac:dyDescent="0.35">
      <c r="D111"/>
    </row>
    <row r="112" spans="4:4" x14ac:dyDescent="0.35">
      <c r="D112"/>
    </row>
    <row r="113" spans="4:4" x14ac:dyDescent="0.35">
      <c r="D113"/>
    </row>
    <row r="114" spans="4:4" x14ac:dyDescent="0.35">
      <c r="D114"/>
    </row>
    <row r="115" spans="4:4" x14ac:dyDescent="0.35">
      <c r="D115"/>
    </row>
    <row r="116" spans="4:4" x14ac:dyDescent="0.35">
      <c r="D116"/>
    </row>
    <row r="117" spans="4:4" x14ac:dyDescent="0.35">
      <c r="D117"/>
    </row>
    <row r="118" spans="4:4" x14ac:dyDescent="0.35">
      <c r="D118"/>
    </row>
    <row r="119" spans="4:4" x14ac:dyDescent="0.35">
      <c r="D119"/>
    </row>
    <row r="120" spans="4:4" x14ac:dyDescent="0.35">
      <c r="D1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DF27-0B96-4C97-9EF2-34AACAE15DB3}">
  <sheetPr>
    <tabColor rgb="FFFFFF00"/>
  </sheetPr>
  <dimension ref="A1:Q200"/>
  <sheetViews>
    <sheetView zoomScale="85" zoomScaleNormal="85" workbookViewId="0">
      <selection activeCell="F2" sqref="F2"/>
    </sheetView>
  </sheetViews>
  <sheetFormatPr defaultRowHeight="15" customHeight="1" x14ac:dyDescent="0.35"/>
  <cols>
    <col min="1" max="1" width="28.26953125" customWidth="1"/>
    <col min="2" max="2" width="23.81640625" style="19" customWidth="1"/>
    <col min="3" max="3" width="18.26953125" style="19" customWidth="1"/>
    <col min="4" max="4" width="15.7265625" style="19" customWidth="1"/>
    <col min="5" max="5" width="4.453125" style="14" customWidth="1"/>
    <col min="6" max="6" width="29" style="3" customWidth="1"/>
    <col min="7" max="7" width="12.81640625" style="11" customWidth="1"/>
    <col min="8" max="8" width="28.81640625" style="11" customWidth="1"/>
    <col min="9" max="9" width="19.26953125" style="11" bestFit="1" customWidth="1"/>
    <col min="10" max="10" width="35.81640625" style="11" customWidth="1"/>
    <col min="11" max="11" width="11.54296875" style="11" customWidth="1"/>
    <col min="12" max="12" width="14.54296875" style="11" customWidth="1"/>
    <col min="13" max="13" width="14.26953125" style="11" customWidth="1"/>
    <col min="14" max="14" width="14.54296875" style="11" customWidth="1"/>
    <col min="15" max="16" width="9.1796875" style="11"/>
    <col min="17" max="17" width="9.1796875" style="25"/>
  </cols>
  <sheetData>
    <row r="1" spans="1:17" s="11" customFormat="1" x14ac:dyDescent="0.35">
      <c r="A1" s="57" t="s">
        <v>266</v>
      </c>
      <c r="B1" s="57"/>
      <c r="C1" s="57"/>
      <c r="D1" s="57"/>
      <c r="E1" s="16"/>
      <c r="F1" s="32" t="s">
        <v>267</v>
      </c>
      <c r="G1" s="32" t="s">
        <v>268</v>
      </c>
      <c r="H1" s="17" t="s">
        <v>269</v>
      </c>
      <c r="I1" s="17" t="s">
        <v>270</v>
      </c>
      <c r="J1" s="17" t="s">
        <v>271</v>
      </c>
      <c r="K1" s="17" t="s">
        <v>272</v>
      </c>
      <c r="L1" s="17" t="s">
        <v>273</v>
      </c>
      <c r="M1" s="32" t="s">
        <v>274</v>
      </c>
      <c r="N1" s="35" t="s">
        <v>275</v>
      </c>
      <c r="O1" s="32" t="s">
        <v>276</v>
      </c>
      <c r="P1" s="45" t="s">
        <v>277</v>
      </c>
      <c r="Q1" s="15" t="s">
        <v>278</v>
      </c>
    </row>
    <row r="2" spans="1:17" x14ac:dyDescent="0.35">
      <c r="A2" s="3"/>
      <c r="B2" s="26" t="str" cm="1">
        <f t="array" ref="B2">IFERROR(INDEX( _xlfn.TEXTSPLIT(SUBSTITUTE(A2,"เหลือ","")," "),1),"")</f>
        <v/>
      </c>
      <c r="C2" s="26" t="str" cm="1">
        <f t="array" ref="C2">IFERROR(INDEX( _xlfn.TEXTSPLIT(SUBSTITUTE(A2,"เหลือ","")," "),2),"")</f>
        <v/>
      </c>
      <c r="D2" s="26" t="str" cm="1">
        <f t="array" ref="D2">IFERROR(INDEX( _xlfn.TEXTSPLIT(SUBSTITUTE(A2,"เหลือ","")," "),3),"")</f>
        <v/>
      </c>
      <c r="G2" s="3"/>
      <c r="H2" s="3" t="str">
        <f>IF(ISBLANK(G2),"",IFERROR(VLOOKUP(G2,Master!$K$1:$L$100,2,0),"ไม่พบข้อมูล"))</f>
        <v/>
      </c>
      <c r="I2" s="3" t="str">
        <f>IF(ISBLANK(F2),"",_xlfn.XLOOKUP(J2,Master!E:E,Master!D:D,"ไม่พบข้อมูล"))</f>
        <v/>
      </c>
      <c r="J2" s="3" t="str" cm="1">
        <f t="array" ref="J2">IF(ISBLANK(F2),"",_xlfn.XLOOKUP(TRUE,'Master แปลงคำ'!A:A=F2, 'Master แปลงคำ'!B:B, "ไม่พบข้อมูล"))</f>
        <v/>
      </c>
      <c r="K2" s="23" t="str">
        <f>IF(OR(ISBLANK(F2),ISBLANK(G2)),"", COUNTIFS('Mk หลังแก้'!U:U,I2,'Mk หลังแก้'!Q:Q,H2,'Mk หลังแก้'!V:V,J2))</f>
        <v/>
      </c>
      <c r="L2" s="11">
        <f>SUMIFS('mk 001 10.3'!X:X,'mk 001 10.3'!V:V,J2,'mk 001 10.3'!Q:Q,H2)</f>
        <v>0</v>
      </c>
      <c r="N2" s="11">
        <f>IF(O2,0,M2)</f>
        <v>0</v>
      </c>
      <c r="O2" s="12" t="b">
        <v>0</v>
      </c>
      <c r="P2" s="12" t="b">
        <v>0</v>
      </c>
      <c r="Q2" s="24" t="str">
        <f>IFERROR(N2/K2,"")</f>
        <v/>
      </c>
    </row>
    <row r="3" spans="1:17" x14ac:dyDescent="0.35">
      <c r="A3" s="3"/>
      <c r="B3" s="18" t="str" cm="1">
        <f t="array" ref="B3">IFERROR(INDEX( _xlfn.TEXTSPLIT(SUBSTITUTE(A3,"เหลือ","")," "),1),"")</f>
        <v/>
      </c>
      <c r="C3" s="18" t="str" cm="1">
        <f t="array" ref="C3">IFERROR(INDEX( _xlfn.TEXTSPLIT(SUBSTITUTE(A3,"เหลือ","")," "),2),"")</f>
        <v/>
      </c>
      <c r="D3" s="18" t="str" cm="1">
        <f t="array" ref="D3">IFERROR(INDEX( _xlfn.TEXTSPLIT(SUBSTITUTE(A3,"เหลือ","")," "),3),"")</f>
        <v/>
      </c>
      <c r="G3" s="3"/>
      <c r="H3" s="3" t="str">
        <f>IF(ISBLANK(G3),"",IFERROR(VLOOKUP(G3,Master!$K$1:$L$100,2,0),"ไม่พบข้อมูล"))</f>
        <v/>
      </c>
      <c r="I3" s="3" t="str">
        <f>IF(ISBLANK(F3),"",_xlfn.XLOOKUP(J3,Master!E:E,Master!D:D,"ไม่พบข้อมูล"))</f>
        <v/>
      </c>
      <c r="J3" s="3" t="str" cm="1">
        <f t="array" ref="J3">IF(ISBLANK(F3),"",_xlfn.XLOOKUP(TRUE,'Master แปลงคำ'!A:A=F3, 'Master แปลงคำ'!B:B, "ไม่พบข้อมูล"))</f>
        <v/>
      </c>
      <c r="K3" s="23" t="str">
        <f>IF(OR(ISBLANK(F3),ISBLANK(G3)),"", COUNTIFS('Mk หลังแก้'!U:U,I3,'Mk หลังแก้'!Q:Q,H3,'Mk หลังแก้'!V:V,J3))</f>
        <v/>
      </c>
      <c r="L3" s="11">
        <f>SUMIFS('mk 001 10.3'!X:X,'mk 001 10.3'!V:V,J3,'mk 001 10.3'!Q:Q,H3)</f>
        <v>0</v>
      </c>
      <c r="N3" s="11">
        <f t="shared" ref="N3:N66" si="0">IF(O3,0,M3)</f>
        <v>0</v>
      </c>
      <c r="O3" s="12" t="b">
        <v>0</v>
      </c>
      <c r="P3" s="12" t="b">
        <v>0</v>
      </c>
      <c r="Q3" s="24" t="str">
        <f t="shared" ref="Q3:Q66" si="1">IFERROR(N3/K3,"")</f>
        <v/>
      </c>
    </row>
    <row r="4" spans="1:17" x14ac:dyDescent="0.35">
      <c r="A4" s="3"/>
      <c r="B4" s="18" t="str" cm="1">
        <f t="array" ref="B4">IFERROR(INDEX( _xlfn.TEXTSPLIT(SUBSTITUTE(A4,"เหลือ","")," "),1),"")</f>
        <v/>
      </c>
      <c r="C4" s="18" t="str" cm="1">
        <f t="array" ref="C4">IFERROR(INDEX( _xlfn.TEXTSPLIT(SUBSTITUTE(A4,"เหลือ","")," "),2),"")</f>
        <v/>
      </c>
      <c r="D4" s="18" t="str" cm="1">
        <f t="array" ref="D4">IFERROR(INDEX( _xlfn.TEXTSPLIT(SUBSTITUTE(A4,"เหลือ","")," "),3),"")</f>
        <v/>
      </c>
      <c r="G4" s="3"/>
      <c r="H4" s="3" t="str">
        <f>IF(ISBLANK(G4),"",IFERROR(VLOOKUP(G4,Master!$K$1:$L$100,2,0),"ไม่พบข้อมูล"))</f>
        <v/>
      </c>
      <c r="I4" s="3" t="str">
        <f>IF(ISBLANK(F4),"",_xlfn.XLOOKUP(J4,Master!E:E,Master!D:D,"ไม่พบข้อมูล"))</f>
        <v/>
      </c>
      <c r="J4" s="3" t="str" cm="1">
        <f t="array" ref="J4">IF(ISBLANK(F4),"",_xlfn.XLOOKUP(TRUE,'Master แปลงคำ'!A:A=F4, 'Master แปลงคำ'!B:B, "ไม่พบข้อมูล"))</f>
        <v/>
      </c>
      <c r="K4" s="23" t="str">
        <f>IF(OR(ISBLANK(F4),ISBLANK(G4)),"", COUNTIFS('Mk หลังแก้'!U:U,I4,'Mk หลังแก้'!Q:Q,H4,'Mk หลังแก้'!V:V,J4))</f>
        <v/>
      </c>
      <c r="L4" s="11">
        <f>SUMIFS('mk 001 10.3'!X:X,'mk 001 10.3'!V:V,J4,'mk 001 10.3'!Q:Q,H4)</f>
        <v>0</v>
      </c>
      <c r="N4" s="11">
        <f t="shared" si="0"/>
        <v>0</v>
      </c>
      <c r="O4" s="12" t="b">
        <v>0</v>
      </c>
      <c r="P4" s="12" t="b">
        <v>0</v>
      </c>
      <c r="Q4" s="24" t="str">
        <f t="shared" si="1"/>
        <v/>
      </c>
    </row>
    <row r="5" spans="1:17" x14ac:dyDescent="0.35">
      <c r="A5" s="3"/>
      <c r="B5" s="18" t="str" cm="1">
        <f t="array" ref="B5">IFERROR(INDEX( _xlfn.TEXTSPLIT(SUBSTITUTE(A5,"เหลือ","")," "),1),"")</f>
        <v/>
      </c>
      <c r="C5" s="18" t="str" cm="1">
        <f t="array" ref="C5">IFERROR(INDEX( _xlfn.TEXTSPLIT(SUBSTITUTE(A5,"เหลือ","")," "),2),"")</f>
        <v/>
      </c>
      <c r="D5" s="18" t="str" cm="1">
        <f t="array" ref="D5">IFERROR(INDEX( _xlfn.TEXTSPLIT(SUBSTITUTE(A5,"เหลือ","")," "),3),"")</f>
        <v/>
      </c>
      <c r="G5" s="3"/>
      <c r="H5" s="3" t="str">
        <f>IF(ISBLANK(G5),"",IFERROR(VLOOKUP(G5,Master!$K$1:$L$100,2,0),"ไม่พบข้อมูล"))</f>
        <v/>
      </c>
      <c r="I5" s="3" t="str">
        <f>IF(ISBLANK(F5),"",_xlfn.XLOOKUP(J5,Master!E:E,Master!D:D,"ไม่พบข้อมูล"))</f>
        <v/>
      </c>
      <c r="J5" s="3" t="str" cm="1">
        <f t="array" ref="J5">IF(ISBLANK(F5),"",_xlfn.XLOOKUP(TRUE,'Master แปลงคำ'!A:A=F5, 'Master แปลงคำ'!B:B, "ไม่พบข้อมูล"))</f>
        <v/>
      </c>
      <c r="K5" s="23" t="str">
        <f>IF(OR(ISBLANK(F5),ISBLANK(G5)),"", COUNTIFS('Mk หลังแก้'!U:U,I5,'Mk หลังแก้'!Q:Q,H5,'Mk หลังแก้'!V:V,J5))</f>
        <v/>
      </c>
      <c r="L5" s="11">
        <f>SUMIFS('mk 001 10.3'!X:X,'mk 001 10.3'!V:V,J5,'mk 001 10.3'!Q:Q,H5)</f>
        <v>0</v>
      </c>
      <c r="N5" s="11">
        <f t="shared" si="0"/>
        <v>0</v>
      </c>
      <c r="O5" s="12" t="b">
        <v>0</v>
      </c>
      <c r="P5" s="12" t="b">
        <v>0</v>
      </c>
      <c r="Q5" s="24" t="str">
        <f t="shared" si="1"/>
        <v/>
      </c>
    </row>
    <row r="6" spans="1:17" x14ac:dyDescent="0.35">
      <c r="A6" s="3"/>
      <c r="B6" s="18" t="str" cm="1">
        <f t="array" ref="B6">IFERROR(INDEX( _xlfn.TEXTSPLIT(SUBSTITUTE(A6,"เหลือ","")," "),1),"")</f>
        <v/>
      </c>
      <c r="C6" s="18" t="str" cm="1">
        <f t="array" ref="C6">IFERROR(INDEX( _xlfn.TEXTSPLIT(SUBSTITUTE(A6,"เหลือ","")," "),2),"")</f>
        <v/>
      </c>
      <c r="D6" s="18" t="str" cm="1">
        <f t="array" ref="D6">IFERROR(INDEX( _xlfn.TEXTSPLIT(SUBSTITUTE(A6,"เหลือ","")," "),3),"")</f>
        <v/>
      </c>
      <c r="G6" s="3"/>
      <c r="H6" s="3" t="str">
        <f>IF(ISBLANK(G6),"",IFERROR(VLOOKUP(G6,Master!$K$1:$L$100,2,0),"ไม่พบข้อมูล"))</f>
        <v/>
      </c>
      <c r="I6" s="3" t="str">
        <f>IF(ISBLANK(F6),"",_xlfn.XLOOKUP(J6,Master!E:E,Master!D:D,"ไม่พบข้อมูล"))</f>
        <v/>
      </c>
      <c r="J6" s="3" t="str" cm="1">
        <f t="array" ref="J6">IF(ISBLANK(F6),"",_xlfn.XLOOKUP(TRUE,'Master แปลงคำ'!A:A=F6, 'Master แปลงคำ'!B:B, "ไม่พบข้อมูล"))</f>
        <v/>
      </c>
      <c r="K6" s="23" t="str">
        <f>IF(OR(ISBLANK(F6),ISBLANK(G6)),"", COUNTIFS('Mk หลังแก้'!U:U,I6,'Mk หลังแก้'!Q:Q,H6,'Mk หลังแก้'!V:V,J6))</f>
        <v/>
      </c>
      <c r="L6" s="11">
        <f>SUMIFS('mk 001 10.3'!X:X,'mk 001 10.3'!V:V,J6,'mk 001 10.3'!Q:Q,H6)</f>
        <v>0</v>
      </c>
      <c r="N6" s="11">
        <f t="shared" si="0"/>
        <v>0</v>
      </c>
      <c r="O6" s="12" t="b">
        <v>0</v>
      </c>
      <c r="P6" s="12" t="b">
        <v>0</v>
      </c>
      <c r="Q6" s="24" t="str">
        <f t="shared" si="1"/>
        <v/>
      </c>
    </row>
    <row r="7" spans="1:17" x14ac:dyDescent="0.35">
      <c r="A7" s="3"/>
      <c r="B7" s="18" t="str" cm="1">
        <f t="array" ref="B7">IFERROR(INDEX( _xlfn.TEXTSPLIT(SUBSTITUTE(A7,"เหลือ","")," "),1),"")</f>
        <v/>
      </c>
      <c r="C7" s="18" t="str" cm="1">
        <f t="array" ref="C7">IFERROR(INDEX( _xlfn.TEXTSPLIT(SUBSTITUTE(A7,"เหลือ","")," "),2),"")</f>
        <v/>
      </c>
      <c r="D7" s="18" t="str" cm="1">
        <f t="array" ref="D7">IFERROR(INDEX( _xlfn.TEXTSPLIT(SUBSTITUTE(A7,"เหลือ","")," "),3),"")</f>
        <v/>
      </c>
      <c r="G7" s="3"/>
      <c r="H7" s="3" t="str">
        <f>IF(ISBLANK(G7),"",IFERROR(VLOOKUP(G7,Master!$K$1:$L$100,2,0),"ไม่พบข้อมูล"))</f>
        <v/>
      </c>
      <c r="I7" s="3" t="str">
        <f>IF(ISBLANK(F7),"",_xlfn.XLOOKUP(J7,Master!E:E,Master!D:D,"ไม่พบข้อมูล"))</f>
        <v/>
      </c>
      <c r="J7" s="3" t="str" cm="1">
        <f t="array" ref="J7">IF(ISBLANK(F7),"",_xlfn.XLOOKUP(TRUE,'Master แปลงคำ'!A:A=F7, 'Master แปลงคำ'!B:B, "ไม่พบข้อมูล"))</f>
        <v/>
      </c>
      <c r="K7" s="23" t="str">
        <f>IF(OR(ISBLANK(F7),ISBLANK(G7)),"", COUNTIFS('Mk หลังแก้'!U:U,I7,'Mk หลังแก้'!Q:Q,H7,'Mk หลังแก้'!V:V,J7))</f>
        <v/>
      </c>
      <c r="L7" s="11">
        <f>SUMIFS('mk 001 10.3'!X:X,'mk 001 10.3'!V:V,J7,'mk 001 10.3'!Q:Q,H7)</f>
        <v>0</v>
      </c>
      <c r="N7" s="11">
        <f t="shared" si="0"/>
        <v>0</v>
      </c>
      <c r="O7" s="12" t="b">
        <v>0</v>
      </c>
      <c r="P7" s="12" t="b">
        <v>0</v>
      </c>
      <c r="Q7" s="24" t="str">
        <f t="shared" si="1"/>
        <v/>
      </c>
    </row>
    <row r="8" spans="1:17" x14ac:dyDescent="0.35">
      <c r="A8" s="3"/>
      <c r="B8" s="18" t="str" cm="1">
        <f t="array" ref="B8">IFERROR(INDEX( _xlfn.TEXTSPLIT(SUBSTITUTE(A8,"เหลือ","")," "),1),"")</f>
        <v/>
      </c>
      <c r="C8" s="18" t="str" cm="1">
        <f t="array" ref="C8">IFERROR(INDEX( _xlfn.TEXTSPLIT(SUBSTITUTE(A8,"เหลือ","")," "),2),"")</f>
        <v/>
      </c>
      <c r="D8" s="18" t="str" cm="1">
        <f t="array" ref="D8">IFERROR(INDEX( _xlfn.TEXTSPLIT(SUBSTITUTE(A8,"เหลือ","")," "),3),"")</f>
        <v/>
      </c>
      <c r="F8"/>
      <c r="G8" s="3"/>
      <c r="H8" s="3" t="str">
        <f>IF(ISBLANK(G8),"",IFERROR(VLOOKUP(G8,Master!$K$1:$L$100,2,0),"ไม่พบข้อมูล"))</f>
        <v/>
      </c>
      <c r="I8" s="3" t="str">
        <f>IF(ISBLANK(F8),"",_xlfn.XLOOKUP(J8,Master!E:E,Master!D:D,"ไม่พบข้อมูล"))</f>
        <v/>
      </c>
      <c r="J8" s="3" t="str" cm="1">
        <f t="array" ref="J8">IF(ISBLANK(F8),"",_xlfn.XLOOKUP(TRUE,'Master แปลงคำ'!A:A=F8, 'Master แปลงคำ'!B:B, "ไม่พบข้อมูล"))</f>
        <v/>
      </c>
      <c r="K8" s="23" t="str">
        <f>IF(OR(ISBLANK(F8),ISBLANK(G8)),"", COUNTIFS('Mk หลังแก้'!U:U,I8,'Mk หลังแก้'!Q:Q,H8,'Mk หลังแก้'!V:V,J8))</f>
        <v/>
      </c>
      <c r="L8" s="11">
        <f>SUMIFS('mk 001 10.3'!X:X,'mk 001 10.3'!V:V,J8,'mk 001 10.3'!Q:Q,H8)</f>
        <v>0</v>
      </c>
      <c r="N8" s="11">
        <f t="shared" si="0"/>
        <v>0</v>
      </c>
      <c r="O8" s="12" t="b">
        <v>0</v>
      </c>
      <c r="P8" s="12" t="b">
        <v>0</v>
      </c>
      <c r="Q8" s="24" t="str">
        <f t="shared" si="1"/>
        <v/>
      </c>
    </row>
    <row r="9" spans="1:17" x14ac:dyDescent="0.35">
      <c r="A9" s="3"/>
      <c r="B9" s="18" t="str" cm="1">
        <f t="array" ref="B9">IFERROR(INDEX( _xlfn.TEXTSPLIT(SUBSTITUTE(A9,"เหลือ","")," "),1),"")</f>
        <v/>
      </c>
      <c r="C9" s="18" t="str" cm="1">
        <f t="array" ref="C9">IFERROR(INDEX( _xlfn.TEXTSPLIT(SUBSTITUTE(A9,"เหลือ","")," "),2),"")</f>
        <v/>
      </c>
      <c r="D9" s="18" t="str" cm="1">
        <f t="array" ref="D9">IFERROR(INDEX( _xlfn.TEXTSPLIT(SUBSTITUTE(A9,"เหลือ","")," "),3),"")</f>
        <v/>
      </c>
      <c r="G9" s="3"/>
      <c r="H9" s="3" t="str">
        <f>IF(ISBLANK(G9),"",IFERROR(VLOOKUP(G9,Master!$K$1:$L$100,2,0),"ไม่พบข้อมูล"))</f>
        <v/>
      </c>
      <c r="I9" s="3" t="str">
        <f>IF(ISBLANK(F9),"",_xlfn.XLOOKUP(J9,Master!E:E,Master!D:D,"ไม่พบข้อมูล"))</f>
        <v/>
      </c>
      <c r="J9" s="3" t="str" cm="1">
        <f t="array" ref="J9">IF(ISBLANK(F9),"",_xlfn.XLOOKUP(TRUE,'Master แปลงคำ'!A:A=F9, 'Master แปลงคำ'!B:B, "ไม่พบข้อมูล"))</f>
        <v/>
      </c>
      <c r="K9" s="23" t="str">
        <f>IF(OR(ISBLANK(F9),ISBLANK(G9)),"", COUNTIFS('Mk หลังแก้'!U:U,I9,'Mk หลังแก้'!Q:Q,H9,'Mk หลังแก้'!V:V,J9))</f>
        <v/>
      </c>
      <c r="L9" s="11">
        <f>SUMIFS('mk 001 10.3'!X:X,'mk 001 10.3'!V:V,J9,'mk 001 10.3'!Q:Q,H9)</f>
        <v>0</v>
      </c>
      <c r="N9" s="11">
        <f t="shared" si="0"/>
        <v>0</v>
      </c>
      <c r="O9" s="12" t="b">
        <v>0</v>
      </c>
      <c r="P9" s="12" t="b">
        <v>0</v>
      </c>
      <c r="Q9" s="24" t="str">
        <f t="shared" si="1"/>
        <v/>
      </c>
    </row>
    <row r="10" spans="1:17" x14ac:dyDescent="0.35">
      <c r="A10" s="3"/>
      <c r="B10" s="18" t="str" cm="1">
        <f t="array" ref="B10">IFERROR(INDEX( _xlfn.TEXTSPLIT(SUBSTITUTE(A10,"เหลือ","")," "),1),"")</f>
        <v/>
      </c>
      <c r="C10" s="18" t="str" cm="1">
        <f t="array" ref="C10">IFERROR(INDEX( _xlfn.TEXTSPLIT(SUBSTITUTE(A10,"เหลือ","")," "),2),"")</f>
        <v/>
      </c>
      <c r="D10" s="18" t="str" cm="1">
        <f t="array" ref="D10">IFERROR(INDEX( _xlfn.TEXTSPLIT(SUBSTITUTE(A10,"เหลือ","")," "),3),"")</f>
        <v/>
      </c>
      <c r="G10" s="3"/>
      <c r="H10" s="3" t="str">
        <f>IF(ISBLANK(G10),"",IFERROR(VLOOKUP(G10,Master!$K$1:$L$100,2,0),"ไม่พบข้อมูล"))</f>
        <v/>
      </c>
      <c r="I10" s="3" t="str">
        <f>IF(ISBLANK(F10),"",_xlfn.XLOOKUP(J10,Master!E:E,Master!D:D,"ไม่พบข้อมูล"))</f>
        <v/>
      </c>
      <c r="J10" s="3" t="str" cm="1">
        <f t="array" ref="J10">IF(ISBLANK(F10),"",_xlfn.XLOOKUP(TRUE,'Master แปลงคำ'!A:A=F10, 'Master แปลงคำ'!B:B, "ไม่พบข้อมูล"))</f>
        <v/>
      </c>
      <c r="K10" s="23" t="str">
        <f>IF(OR(ISBLANK(F10),ISBLANK(G10)),"", COUNTIFS('Mk หลังแก้'!U:U,I10,'Mk หลังแก้'!Q:Q,H10,'Mk หลังแก้'!V:V,J10))</f>
        <v/>
      </c>
      <c r="L10" s="11">
        <f>SUMIFS('mk 001 10.3'!X:X,'mk 001 10.3'!V:V,J10,'mk 001 10.3'!Q:Q,H10)</f>
        <v>0</v>
      </c>
      <c r="N10" s="11">
        <f t="shared" si="0"/>
        <v>0</v>
      </c>
      <c r="O10" s="12" t="b">
        <v>0</v>
      </c>
      <c r="P10" s="12" t="b">
        <v>0</v>
      </c>
      <c r="Q10" s="24" t="str">
        <f t="shared" si="1"/>
        <v/>
      </c>
    </row>
    <row r="11" spans="1:17" x14ac:dyDescent="0.35">
      <c r="A11" s="3"/>
      <c r="B11" s="18" t="str" cm="1">
        <f t="array" ref="B11">IFERROR(INDEX( _xlfn.TEXTSPLIT(SUBSTITUTE(A11,"เหลือ","")," "),1),"")</f>
        <v/>
      </c>
      <c r="C11" s="18" t="str" cm="1">
        <f t="array" ref="C11">IFERROR(INDEX( _xlfn.TEXTSPLIT(SUBSTITUTE(A11,"เหลือ","")," "),2),"")</f>
        <v/>
      </c>
      <c r="D11" s="18" t="str" cm="1">
        <f t="array" ref="D11">IFERROR(INDEX( _xlfn.TEXTSPLIT(SUBSTITUTE(A11,"เหลือ","")," "),3),"")</f>
        <v/>
      </c>
      <c r="G11" s="3"/>
      <c r="H11" s="3" t="str">
        <f>IF(ISBLANK(G11),"",IFERROR(VLOOKUP(G11,Master!$K$1:$L$100,2,0),"ไม่พบข้อมูล"))</f>
        <v/>
      </c>
      <c r="I11" s="3" t="str">
        <f>IF(ISBLANK(F11),"",_xlfn.XLOOKUP(J11,Master!E:E,Master!D:D,"ไม่พบข้อมูล"))</f>
        <v/>
      </c>
      <c r="J11" s="3" t="str" cm="1">
        <f t="array" ref="J11">IF(ISBLANK(F11),"",_xlfn.XLOOKUP(TRUE,'Master แปลงคำ'!A:A=F11, 'Master แปลงคำ'!B:B, "ไม่พบข้อมูล"))</f>
        <v/>
      </c>
      <c r="K11" s="23" t="str">
        <f>IF(OR(ISBLANK(F11),ISBLANK(G11)),"", COUNTIFS('Mk หลังแก้'!U:U,I11,'Mk หลังแก้'!Q:Q,H11,'Mk หลังแก้'!V:V,J11))</f>
        <v/>
      </c>
      <c r="L11" s="11">
        <f>SUMIFS('mk 001 10.3'!X:X,'mk 001 10.3'!V:V,J11,'mk 001 10.3'!Q:Q,H11)</f>
        <v>0</v>
      </c>
      <c r="N11" s="11">
        <f t="shared" si="0"/>
        <v>0</v>
      </c>
      <c r="O11" s="12" t="b">
        <v>0</v>
      </c>
      <c r="P11" s="12" t="b">
        <v>0</v>
      </c>
      <c r="Q11" s="24" t="str">
        <f t="shared" si="1"/>
        <v/>
      </c>
    </row>
    <row r="12" spans="1:17" x14ac:dyDescent="0.35">
      <c r="A12" s="3"/>
      <c r="B12" s="18" t="str" cm="1">
        <f t="array" ref="B12">IFERROR(INDEX( _xlfn.TEXTSPLIT(SUBSTITUTE(A12,"เหลือ","")," "),1),"")</f>
        <v/>
      </c>
      <c r="C12" s="18" t="str" cm="1">
        <f t="array" ref="C12">IFERROR(INDEX( _xlfn.TEXTSPLIT(SUBSTITUTE(A12,"เหลือ","")," "),2),"")</f>
        <v/>
      </c>
      <c r="D12" s="18" t="str" cm="1">
        <f t="array" ref="D12">IFERROR(INDEX( _xlfn.TEXTSPLIT(SUBSTITUTE(A12,"เหลือ","")," "),3),"")</f>
        <v/>
      </c>
      <c r="G12" s="3"/>
      <c r="H12" s="3" t="str">
        <f>IF(ISBLANK(G12),"",IFERROR(VLOOKUP(G12,Master!$K$1:$L$100,2,0),"ไม่พบข้อมูล"))</f>
        <v/>
      </c>
      <c r="I12" s="3" t="str">
        <f>IF(ISBLANK(F12),"",_xlfn.XLOOKUP(J12,Master!E:E,Master!D:D,"ไม่พบข้อมูล"))</f>
        <v/>
      </c>
      <c r="J12" s="3" t="str" cm="1">
        <f t="array" ref="J12">IF(ISBLANK(F12),"",_xlfn.XLOOKUP(TRUE,'Master แปลงคำ'!A:A=F12, 'Master แปลงคำ'!B:B, "ไม่พบข้อมูล"))</f>
        <v/>
      </c>
      <c r="K12" s="23" t="str">
        <f>IF(OR(ISBLANK(F12),ISBLANK(G12)),"", COUNTIFS('Mk หลังแก้'!U:U,I12,'Mk หลังแก้'!Q:Q,H12,'Mk หลังแก้'!V:V,J12))</f>
        <v/>
      </c>
      <c r="L12" s="11">
        <f>SUMIFS('mk 001 10.3'!X:X,'mk 001 10.3'!V:V,J12,'mk 001 10.3'!Q:Q,H12)</f>
        <v>0</v>
      </c>
      <c r="N12" s="11">
        <f t="shared" si="0"/>
        <v>0</v>
      </c>
      <c r="O12" s="12" t="b">
        <v>0</v>
      </c>
      <c r="P12" s="12" t="b">
        <v>0</v>
      </c>
      <c r="Q12" s="24" t="str">
        <f t="shared" si="1"/>
        <v/>
      </c>
    </row>
    <row r="13" spans="1:17" x14ac:dyDescent="0.35">
      <c r="A13" s="3"/>
      <c r="B13" s="18" t="str" cm="1">
        <f t="array" ref="B13">IFERROR(INDEX( _xlfn.TEXTSPLIT(SUBSTITUTE(A13,"เหลือ","")," "),1),"")</f>
        <v/>
      </c>
      <c r="C13" s="18" t="str" cm="1">
        <f t="array" ref="C13">IFERROR(INDEX( _xlfn.TEXTSPLIT(SUBSTITUTE(A13,"เหลือ","")," "),2),"")</f>
        <v/>
      </c>
      <c r="D13" s="18" t="str" cm="1">
        <f t="array" ref="D13">IFERROR(INDEX( _xlfn.TEXTSPLIT(SUBSTITUTE(A13,"เหลือ","")," "),3),"")</f>
        <v/>
      </c>
      <c r="G13" s="3"/>
      <c r="H13" s="3" t="str">
        <f>IF(ISBLANK(G13),"",IFERROR(VLOOKUP(G13,Master!$K$1:$L$100,2,0),"ไม่พบข้อมูล"))</f>
        <v/>
      </c>
      <c r="I13" s="3" t="str">
        <f>IF(ISBLANK(F13),"",_xlfn.XLOOKUP(J13,Master!E:E,Master!D:D,"ไม่พบข้อมูล"))</f>
        <v/>
      </c>
      <c r="J13" s="3" t="str" cm="1">
        <f t="array" ref="J13">IF(ISBLANK(F13),"",_xlfn.XLOOKUP(TRUE,'Master แปลงคำ'!A:A=F13, 'Master แปลงคำ'!B:B, "ไม่พบข้อมูล"))</f>
        <v/>
      </c>
      <c r="K13" s="23" t="str">
        <f>IF(OR(ISBLANK(F13),ISBLANK(G13)),"", COUNTIFS('Mk หลังแก้'!U:U,I13,'Mk หลังแก้'!Q:Q,H13,'Mk หลังแก้'!V:V,J13))</f>
        <v/>
      </c>
      <c r="L13" s="11">
        <f>SUMIFS('mk 001 10.3'!X:X,'mk 001 10.3'!V:V,J13,'mk 001 10.3'!Q:Q,H13)</f>
        <v>0</v>
      </c>
      <c r="N13" s="11">
        <f t="shared" si="0"/>
        <v>0</v>
      </c>
      <c r="O13" s="12" t="b">
        <v>0</v>
      </c>
      <c r="P13" s="12" t="b">
        <v>0</v>
      </c>
      <c r="Q13" s="24" t="str">
        <f t="shared" si="1"/>
        <v/>
      </c>
    </row>
    <row r="14" spans="1:17" x14ac:dyDescent="0.35">
      <c r="A14" s="3"/>
      <c r="B14" s="18" t="str" cm="1">
        <f t="array" ref="B14">IFERROR(INDEX( _xlfn.TEXTSPLIT(SUBSTITUTE(A14,"เหลือ","")," "),1),"")</f>
        <v/>
      </c>
      <c r="C14" s="18" t="str" cm="1">
        <f t="array" ref="C14">IFERROR(INDEX( _xlfn.TEXTSPLIT(SUBSTITUTE(A14,"เหลือ","")," "),2),"")</f>
        <v/>
      </c>
      <c r="D14" s="18" t="str" cm="1">
        <f t="array" ref="D14">IFERROR(INDEX( _xlfn.TEXTSPLIT(SUBSTITUTE(A14,"เหลือ","")," "),3),"")</f>
        <v/>
      </c>
      <c r="G14" s="3"/>
      <c r="H14" s="3" t="str">
        <f>IF(ISBLANK(G14),"",IFERROR(VLOOKUP(G14,Master!$K$1:$L$100,2,0),"ไม่พบข้อมูล"))</f>
        <v/>
      </c>
      <c r="I14" s="3" t="str">
        <f>IF(ISBLANK(F14),"",_xlfn.XLOOKUP(J14,Master!E:E,Master!D:D,"ไม่พบข้อมูล"))</f>
        <v/>
      </c>
      <c r="J14" s="3" t="str" cm="1">
        <f t="array" ref="J14">IF(ISBLANK(F14),"",_xlfn.XLOOKUP(TRUE,'Master แปลงคำ'!A:A=F14, 'Master แปลงคำ'!B:B, "ไม่พบข้อมูล"))</f>
        <v/>
      </c>
      <c r="K14" s="23" t="str">
        <f>IF(OR(ISBLANK(F14),ISBLANK(G14)),"", COUNTIFS('Mk หลังแก้'!U:U,I14,'Mk หลังแก้'!Q:Q,H14,'Mk หลังแก้'!V:V,J14))</f>
        <v/>
      </c>
      <c r="L14" s="11">
        <f>SUMIFS('mk 001 10.3'!X:X,'mk 001 10.3'!V:V,J14,'mk 001 10.3'!Q:Q,H14)</f>
        <v>0</v>
      </c>
      <c r="N14" s="11">
        <f t="shared" si="0"/>
        <v>0</v>
      </c>
      <c r="O14" s="12" t="b">
        <v>0</v>
      </c>
      <c r="P14" s="12" t="b">
        <v>0</v>
      </c>
      <c r="Q14" s="24" t="str">
        <f t="shared" si="1"/>
        <v/>
      </c>
    </row>
    <row r="15" spans="1:17" x14ac:dyDescent="0.35">
      <c r="A15" s="3"/>
      <c r="B15" s="18" t="str" cm="1">
        <f t="array" ref="B15">IFERROR(INDEX( _xlfn.TEXTSPLIT(SUBSTITUTE(A15,"เหลือ","")," "),1),"")</f>
        <v/>
      </c>
      <c r="C15" s="18" t="str" cm="1">
        <f t="array" ref="C15">IFERROR(INDEX( _xlfn.TEXTSPLIT(SUBSTITUTE(A15,"เหลือ","")," "),2),"")</f>
        <v/>
      </c>
      <c r="D15" s="18" t="str" cm="1">
        <f t="array" ref="D15">IFERROR(INDEX( _xlfn.TEXTSPLIT(SUBSTITUTE(A15,"เหลือ","")," "),3),"")</f>
        <v/>
      </c>
      <c r="G15" s="3"/>
      <c r="H15" s="3" t="str">
        <f>IF(ISBLANK(G15),"",IFERROR(VLOOKUP(G15,Master!$K$1:$L$100,2,0),"ไม่พบข้อมูล"))</f>
        <v/>
      </c>
      <c r="I15" s="3" t="str">
        <f>IF(ISBLANK(F15),"",_xlfn.XLOOKUP(J15,Master!E:E,Master!D:D,"ไม่พบข้อมูล"))</f>
        <v/>
      </c>
      <c r="J15" s="3" t="str" cm="1">
        <f t="array" ref="J15">IF(ISBLANK(F15),"",_xlfn.XLOOKUP(TRUE,'Master แปลงคำ'!A:A=F15, 'Master แปลงคำ'!B:B, "ไม่พบข้อมูล"))</f>
        <v/>
      </c>
      <c r="K15" s="23" t="str">
        <f>IF(OR(ISBLANK(F15),ISBLANK(G15)),"", COUNTIFS('Mk หลังแก้'!U:U,I15,'Mk หลังแก้'!Q:Q,H15,'Mk หลังแก้'!V:V,J15))</f>
        <v/>
      </c>
      <c r="L15" s="11">
        <f>SUMIFS('mk 001 10.3'!X:X,'mk 001 10.3'!V:V,J15,'mk 001 10.3'!Q:Q,H15)</f>
        <v>0</v>
      </c>
      <c r="N15" s="11">
        <f t="shared" si="0"/>
        <v>0</v>
      </c>
      <c r="O15" s="12" t="b">
        <v>0</v>
      </c>
      <c r="P15" s="12" t="b">
        <v>0</v>
      </c>
      <c r="Q15" s="24" t="str">
        <f t="shared" si="1"/>
        <v/>
      </c>
    </row>
    <row r="16" spans="1:17" x14ac:dyDescent="0.35">
      <c r="A16" s="3"/>
      <c r="B16" s="18" t="str" cm="1">
        <f t="array" ref="B16">IFERROR(INDEX( _xlfn.TEXTSPLIT(SUBSTITUTE(A16,"เหลือ","")," "),1),"")</f>
        <v/>
      </c>
      <c r="C16" s="18" t="str" cm="1">
        <f t="array" ref="C16">IFERROR(INDEX( _xlfn.TEXTSPLIT(SUBSTITUTE(A16,"เหลือ","")," "),2),"")</f>
        <v/>
      </c>
      <c r="D16" s="18" t="str" cm="1">
        <f t="array" ref="D16">IFERROR(INDEX( _xlfn.TEXTSPLIT(SUBSTITUTE(A16,"เหลือ","")," "),3),"")</f>
        <v/>
      </c>
      <c r="G16" s="3"/>
      <c r="H16" s="3" t="str">
        <f>IF(ISBLANK(G16),"",IFERROR(VLOOKUP(G16,Master!$K$1:$L$100,2,0),"ไม่พบข้อมูล"))</f>
        <v/>
      </c>
      <c r="I16" s="3" t="str">
        <f>IF(ISBLANK(F16),"",_xlfn.XLOOKUP(J16,Master!E:E,Master!D:D,"ไม่พบข้อมูล"))</f>
        <v/>
      </c>
      <c r="J16" s="3" t="str" cm="1">
        <f t="array" ref="J16">IF(ISBLANK(F16),"",_xlfn.XLOOKUP(TRUE,'Master แปลงคำ'!A:A=F16, 'Master แปลงคำ'!B:B, "ไม่พบข้อมูล"))</f>
        <v/>
      </c>
      <c r="K16" s="23" t="str">
        <f>IF(OR(ISBLANK(F16),ISBLANK(G16)),"", COUNTIFS('Mk หลังแก้'!U:U,I16,'Mk หลังแก้'!Q:Q,H16,'Mk หลังแก้'!V:V,J16))</f>
        <v/>
      </c>
      <c r="L16" s="11">
        <f>SUMIFS('mk 001 10.3'!X:X,'mk 001 10.3'!V:V,J16,'mk 001 10.3'!Q:Q,H16)</f>
        <v>0</v>
      </c>
      <c r="N16" s="11">
        <f t="shared" si="0"/>
        <v>0</v>
      </c>
      <c r="O16" s="12" t="b">
        <v>0</v>
      </c>
      <c r="P16" s="12" t="b">
        <v>0</v>
      </c>
      <c r="Q16" s="24" t="str">
        <f t="shared" si="1"/>
        <v/>
      </c>
    </row>
    <row r="17" spans="1:17" x14ac:dyDescent="0.35">
      <c r="A17" s="3"/>
      <c r="B17" s="18" t="str" cm="1">
        <f t="array" ref="B17">IFERROR(INDEX( _xlfn.TEXTSPLIT(SUBSTITUTE(A17,"เหลือ","")," "),1),"")</f>
        <v/>
      </c>
      <c r="C17" s="18" t="str" cm="1">
        <f t="array" ref="C17">IFERROR(INDEX( _xlfn.TEXTSPLIT(SUBSTITUTE(A17,"เหลือ","")," "),2),"")</f>
        <v/>
      </c>
      <c r="D17" s="18" t="str" cm="1">
        <f t="array" ref="D17">IFERROR(INDEX( _xlfn.TEXTSPLIT(SUBSTITUTE(A17,"เหลือ","")," "),3),"")</f>
        <v/>
      </c>
      <c r="G17" s="3"/>
      <c r="H17" s="3" t="str">
        <f>IF(ISBLANK(G17),"",IFERROR(VLOOKUP(G17,Master!$K$1:$L$100,2,0),"ไม่พบข้อมูล"))</f>
        <v/>
      </c>
      <c r="I17" s="3" t="str">
        <f>IF(ISBLANK(F17),"",_xlfn.XLOOKUP(J17,Master!E:E,Master!D:D,"ไม่พบข้อมูล"))</f>
        <v/>
      </c>
      <c r="J17" s="3" t="str" cm="1">
        <f t="array" ref="J17">IF(ISBLANK(F17),"",_xlfn.XLOOKUP(TRUE,'Master แปลงคำ'!A:A=F17, 'Master แปลงคำ'!B:B, "ไม่พบข้อมูล"))</f>
        <v/>
      </c>
      <c r="K17" s="23" t="str">
        <f>IF(OR(ISBLANK(F17),ISBLANK(G17)),"", COUNTIFS('Mk หลังแก้'!U:U,I17,'Mk หลังแก้'!Q:Q,H17,'Mk หลังแก้'!V:V,J17))</f>
        <v/>
      </c>
      <c r="L17" s="11">
        <f>SUMIFS('mk 001 10.3'!X:X,'mk 001 10.3'!V:V,J17,'mk 001 10.3'!Q:Q,H17)</f>
        <v>0</v>
      </c>
      <c r="N17" s="11">
        <f t="shared" si="0"/>
        <v>0</v>
      </c>
      <c r="O17" s="12" t="b">
        <v>0</v>
      </c>
      <c r="P17" s="12" t="b">
        <v>0</v>
      </c>
      <c r="Q17" s="24" t="str">
        <f t="shared" si="1"/>
        <v/>
      </c>
    </row>
    <row r="18" spans="1:17" x14ac:dyDescent="0.35">
      <c r="A18" s="3"/>
      <c r="B18" s="18" t="str" cm="1">
        <f t="array" ref="B18">IFERROR(INDEX( _xlfn.TEXTSPLIT(SUBSTITUTE(A18,"เหลือ","")," "),1),"")</f>
        <v/>
      </c>
      <c r="C18" s="18" t="str" cm="1">
        <f t="array" ref="C18">IFERROR(INDEX( _xlfn.TEXTSPLIT(SUBSTITUTE(A18,"เหลือ","")," "),2),"")</f>
        <v/>
      </c>
      <c r="D18" s="18" t="str" cm="1">
        <f t="array" ref="D18">IFERROR(INDEX( _xlfn.TEXTSPLIT(SUBSTITUTE(A18,"เหลือ","")," "),3),"")</f>
        <v/>
      </c>
      <c r="G18" s="3"/>
      <c r="H18" s="3" t="str">
        <f>IF(ISBLANK(G18),"",IFERROR(VLOOKUP(G18,Master!$K$1:$L$100,2,0),"ไม่พบข้อมูล"))</f>
        <v/>
      </c>
      <c r="I18" s="3" t="str">
        <f>IF(ISBLANK(F18),"",_xlfn.XLOOKUP(J18,Master!E:E,Master!D:D,"ไม่พบข้อมูล"))</f>
        <v/>
      </c>
      <c r="J18" s="3" t="str" cm="1">
        <f t="array" ref="J18">IF(ISBLANK(F18),"",_xlfn.XLOOKUP(TRUE,'Master แปลงคำ'!A:A=F18, 'Master แปลงคำ'!B:B, "ไม่พบข้อมูล"))</f>
        <v/>
      </c>
      <c r="K18" s="23" t="str">
        <f>IF(OR(ISBLANK(F18),ISBLANK(G18)),"", COUNTIFS('Mk หลังแก้'!U:U,I18,'Mk หลังแก้'!Q:Q,H18,'Mk หลังแก้'!V:V,J18))</f>
        <v/>
      </c>
      <c r="L18" s="11">
        <f>SUMIFS('mk 001 10.3'!X:X,'mk 001 10.3'!V:V,J18,'mk 001 10.3'!Q:Q,H18)</f>
        <v>0</v>
      </c>
      <c r="N18" s="11">
        <f t="shared" si="0"/>
        <v>0</v>
      </c>
      <c r="O18" s="12" t="b">
        <v>0</v>
      </c>
      <c r="P18" s="12" t="b">
        <v>0</v>
      </c>
      <c r="Q18" s="24" t="str">
        <f t="shared" si="1"/>
        <v/>
      </c>
    </row>
    <row r="19" spans="1:17" x14ac:dyDescent="0.35">
      <c r="B19" s="18"/>
      <c r="C19" s="18"/>
      <c r="D19" s="18"/>
      <c r="G19" s="3"/>
      <c r="H19" s="3" t="str">
        <f>IF(ISBLANK(G19),"",IFERROR(VLOOKUP(G19,Master!$K$1:$L$100,2,0),"ไม่พบข้อมูล"))</f>
        <v/>
      </c>
      <c r="I19" s="3" t="str">
        <f>IF(ISBLANK(F19),"",_xlfn.XLOOKUP(J19,Master!E:E,Master!D:D,"ไม่พบข้อมูล"))</f>
        <v/>
      </c>
      <c r="J19" s="3" t="str" cm="1">
        <f t="array" ref="J19">IF(ISBLANK(F19),"",_xlfn.XLOOKUP(TRUE,'Master แปลงคำ'!A:A=F19, 'Master แปลงคำ'!B:B, "ไม่พบข้อมูล"))</f>
        <v/>
      </c>
      <c r="K19" s="23" t="str">
        <f>IF(OR(ISBLANK(F19),ISBLANK(G19)),"", COUNTIFS('Mk หลังแก้'!U:U,I19,'Mk หลังแก้'!Q:Q,H19,'Mk หลังแก้'!V:V,J19))</f>
        <v/>
      </c>
      <c r="L19" s="11">
        <f>SUMIFS('mk 001 10.3'!X:X,'mk 001 10.3'!V:V,J19,'mk 001 10.3'!Q:Q,H19)</f>
        <v>0</v>
      </c>
      <c r="N19" s="11">
        <f t="shared" si="0"/>
        <v>0</v>
      </c>
      <c r="O19" s="12" t="b">
        <v>0</v>
      </c>
      <c r="P19" s="12" t="b">
        <v>0</v>
      </c>
      <c r="Q19" s="24" t="str">
        <f t="shared" si="1"/>
        <v/>
      </c>
    </row>
    <row r="20" spans="1:17" x14ac:dyDescent="0.35">
      <c r="B20" s="18"/>
      <c r="C20" s="18"/>
      <c r="D20" s="18"/>
      <c r="G20" s="3"/>
      <c r="H20" s="3" t="str">
        <f>IF(ISBLANK(G20),"",IFERROR(VLOOKUP(G20,Master!$K$1:$L$100,2,0),"ไม่พบข้อมูล"))</f>
        <v/>
      </c>
      <c r="I20" s="3" t="str">
        <f>IF(ISBLANK(F20),"",_xlfn.XLOOKUP(J20,Master!E:E,Master!D:D,"ไม่พบข้อมูล"))</f>
        <v/>
      </c>
      <c r="J20" s="3" t="str" cm="1">
        <f t="array" ref="J20">IF(ISBLANK(F20),"",_xlfn.XLOOKUP(TRUE,'Master แปลงคำ'!A:A=F20, 'Master แปลงคำ'!B:B, "ไม่พบข้อมูล"))</f>
        <v/>
      </c>
      <c r="K20" s="23" t="str">
        <f>IF(OR(ISBLANK(F20),ISBLANK(G20)),"", COUNTIFS('Mk หลังแก้'!U:U,I20,'Mk หลังแก้'!Q:Q,H20,'Mk หลังแก้'!V:V,J20))</f>
        <v/>
      </c>
      <c r="L20" s="11">
        <f>SUMIFS('mk 001 10.3'!X:X,'mk 001 10.3'!V:V,J20,'mk 001 10.3'!Q:Q,H20)</f>
        <v>0</v>
      </c>
      <c r="N20" s="11">
        <f t="shared" si="0"/>
        <v>0</v>
      </c>
      <c r="O20" s="12" t="b">
        <v>0</v>
      </c>
      <c r="P20" s="12" t="b">
        <v>0</v>
      </c>
      <c r="Q20" s="24" t="str">
        <f t="shared" si="1"/>
        <v/>
      </c>
    </row>
    <row r="21" spans="1:17" x14ac:dyDescent="0.35">
      <c r="B21" s="18"/>
      <c r="C21" s="18"/>
      <c r="D21" s="18"/>
      <c r="G21" s="3"/>
      <c r="H21" s="3" t="str">
        <f>IF(ISBLANK(G21),"",IFERROR(VLOOKUP(G21,Master!$K$1:$L$100,2,0),"ไม่พบข้อมูล"))</f>
        <v/>
      </c>
      <c r="I21" s="3" t="str">
        <f>IF(ISBLANK(F21),"",_xlfn.XLOOKUP(J21,Master!E:E,Master!D:D,"ไม่พบข้อมูล"))</f>
        <v/>
      </c>
      <c r="J21" s="3" t="str" cm="1">
        <f t="array" ref="J21">IF(ISBLANK(F21),"",_xlfn.XLOOKUP(TRUE,'Master แปลงคำ'!A:A=F21, 'Master แปลงคำ'!B:B, "ไม่พบข้อมูล"))</f>
        <v/>
      </c>
      <c r="K21" s="23" t="str">
        <f>IF(OR(ISBLANK(F21),ISBLANK(G21)),"", COUNTIFS('Mk หลังแก้'!U:U,I21,'Mk หลังแก้'!Q:Q,H21,'Mk หลังแก้'!V:V,J21))</f>
        <v/>
      </c>
      <c r="L21" s="11">
        <f>SUMIFS('mk 001 10.3'!X:X,'mk 001 10.3'!V:V,J21,'mk 001 10.3'!Q:Q,H21)</f>
        <v>0</v>
      </c>
      <c r="N21" s="11">
        <f t="shared" si="0"/>
        <v>0</v>
      </c>
      <c r="O21" s="12" t="b">
        <v>0</v>
      </c>
      <c r="P21" s="12" t="b">
        <v>0</v>
      </c>
      <c r="Q21" s="24" t="str">
        <f t="shared" si="1"/>
        <v/>
      </c>
    </row>
    <row r="22" spans="1:17" x14ac:dyDescent="0.35">
      <c r="B22" s="18"/>
      <c r="C22" s="18"/>
      <c r="D22" s="18"/>
      <c r="G22" s="3"/>
      <c r="H22" s="3" t="str">
        <f>IF(ISBLANK(G22),"",IFERROR(VLOOKUP(G22,Master!$K$1:$L$100,2,0),"ไม่พบข้อมูล"))</f>
        <v/>
      </c>
      <c r="I22" s="3" t="str">
        <f>IF(ISBLANK(F22),"",_xlfn.XLOOKUP(J22,Master!E:E,Master!D:D,"ไม่พบข้อมูล"))</f>
        <v/>
      </c>
      <c r="J22" s="3" t="str" cm="1">
        <f t="array" ref="J22">IF(ISBLANK(F22),"",_xlfn.XLOOKUP(TRUE,'Master แปลงคำ'!A:A=F22, 'Master แปลงคำ'!B:B, "ไม่พบข้อมูล"))</f>
        <v/>
      </c>
      <c r="K22" s="23" t="str">
        <f>IF(OR(ISBLANK(F22),ISBLANK(G22)),"", COUNTIFS('Mk หลังแก้'!U:U,I22,'Mk หลังแก้'!Q:Q,H22,'Mk หลังแก้'!V:V,J22))</f>
        <v/>
      </c>
      <c r="L22" s="11">
        <f>SUMIFS('mk 001 10.3'!X:X,'mk 001 10.3'!V:V,J22,'mk 001 10.3'!Q:Q,H22)</f>
        <v>0</v>
      </c>
      <c r="N22" s="11">
        <f t="shared" si="0"/>
        <v>0</v>
      </c>
      <c r="O22" s="12" t="b">
        <v>0</v>
      </c>
      <c r="P22" s="12" t="b">
        <v>0</v>
      </c>
      <c r="Q22" s="24" t="str">
        <f t="shared" si="1"/>
        <v/>
      </c>
    </row>
    <row r="23" spans="1:17" x14ac:dyDescent="0.35">
      <c r="B23" s="18"/>
      <c r="C23" s="18"/>
      <c r="D23" s="18"/>
      <c r="G23" s="3"/>
      <c r="H23" s="3" t="str">
        <f>IF(ISBLANK(G23),"",IFERROR(VLOOKUP(G23,Master!$K$1:$L$100,2,0),"ไม่พบข้อมูล"))</f>
        <v/>
      </c>
      <c r="I23" s="3" t="str">
        <f>IF(ISBLANK(F23),"",_xlfn.XLOOKUP(J23,Master!E:E,Master!D:D,"ไม่พบข้อมูล"))</f>
        <v/>
      </c>
      <c r="J23" s="3" t="str" cm="1">
        <f t="array" ref="J23">IF(ISBLANK(F23),"",_xlfn.XLOOKUP(TRUE,'Master แปลงคำ'!A:A=F23, 'Master แปลงคำ'!B:B, "ไม่พบข้อมูล"))</f>
        <v/>
      </c>
      <c r="K23" s="23" t="str">
        <f>IF(OR(ISBLANK(F23),ISBLANK(G23)),"", COUNTIFS('Mk หลังแก้'!U:U,I23,'Mk หลังแก้'!Q:Q,H23,'Mk หลังแก้'!V:V,J23))</f>
        <v/>
      </c>
      <c r="L23" s="11">
        <f>SUMIFS('mk 001 10.3'!X:X,'mk 001 10.3'!V:V,J23,'mk 001 10.3'!Q:Q,H23)</f>
        <v>0</v>
      </c>
      <c r="N23" s="11">
        <f t="shared" si="0"/>
        <v>0</v>
      </c>
      <c r="O23" s="12" t="b">
        <v>0</v>
      </c>
      <c r="P23" s="12" t="b">
        <v>0</v>
      </c>
      <c r="Q23" s="24" t="str">
        <f t="shared" si="1"/>
        <v/>
      </c>
    </row>
    <row r="24" spans="1:17" x14ac:dyDescent="0.35">
      <c r="B24" s="18"/>
      <c r="C24" s="18"/>
      <c r="D24" s="18"/>
      <c r="G24" s="3"/>
      <c r="H24" s="3" t="str">
        <f>IF(ISBLANK(G24),"",IFERROR(VLOOKUP(G24,Master!$K$1:$L$100,2,0),"ไม่พบข้อมูล"))</f>
        <v/>
      </c>
      <c r="I24" s="3" t="str">
        <f>IF(ISBLANK(F24),"",_xlfn.XLOOKUP(J24,Master!E:E,Master!D:D,"ไม่พบข้อมูล"))</f>
        <v/>
      </c>
      <c r="J24" s="3" t="str" cm="1">
        <f t="array" ref="J24">IF(ISBLANK(F24),"",_xlfn.XLOOKUP(TRUE,'Master แปลงคำ'!A:A=F24, 'Master แปลงคำ'!B:B, "ไม่พบข้อมูล"))</f>
        <v/>
      </c>
      <c r="K24" s="23" t="str">
        <f>IF(OR(ISBLANK(F24),ISBLANK(G24)),"", COUNTIFS('Mk หลังแก้'!U:U,I24,'Mk หลังแก้'!Q:Q,H24,'Mk หลังแก้'!V:V,J24))</f>
        <v/>
      </c>
      <c r="L24" s="11">
        <f>SUMIFS('mk 001 10.3'!X:X,'mk 001 10.3'!V:V,J24,'mk 001 10.3'!Q:Q,H24)</f>
        <v>0</v>
      </c>
      <c r="N24" s="11">
        <f t="shared" si="0"/>
        <v>0</v>
      </c>
      <c r="O24" s="12" t="b">
        <v>0</v>
      </c>
      <c r="P24" s="12" t="b">
        <v>0</v>
      </c>
      <c r="Q24" s="24" t="str">
        <f t="shared" si="1"/>
        <v/>
      </c>
    </row>
    <row r="25" spans="1:17" x14ac:dyDescent="0.35">
      <c r="B25" s="18"/>
      <c r="C25" s="18"/>
      <c r="D25" s="18"/>
      <c r="G25" s="3"/>
      <c r="H25" s="3" t="str">
        <f>IF(ISBLANK(G25),"",IFERROR(VLOOKUP(G25,Master!$K$1:$L$100,2,0),"ไม่พบข้อมูล"))</f>
        <v/>
      </c>
      <c r="I25" s="3" t="str">
        <f>IF(ISBLANK(F25),"",_xlfn.XLOOKUP(J25,Master!E:E,Master!D:D,"ไม่พบข้อมูล"))</f>
        <v/>
      </c>
      <c r="J25" s="3" t="str" cm="1">
        <f t="array" ref="J25">IF(ISBLANK(F25),"",_xlfn.XLOOKUP(TRUE,'Master แปลงคำ'!A:A=F25, 'Master แปลงคำ'!B:B, "ไม่พบข้อมูล"))</f>
        <v/>
      </c>
      <c r="K25" s="23" t="str">
        <f>IF(OR(ISBLANK(F25),ISBLANK(G25)),"", COUNTIFS('Mk หลังแก้'!U:U,I25,'Mk หลังแก้'!Q:Q,H25,'Mk หลังแก้'!V:V,J25))</f>
        <v/>
      </c>
      <c r="L25" s="11">
        <f>SUMIFS('mk 001 10.3'!X:X,'mk 001 10.3'!V:V,J25,'mk 001 10.3'!Q:Q,H25)</f>
        <v>0</v>
      </c>
      <c r="N25" s="11">
        <f t="shared" si="0"/>
        <v>0</v>
      </c>
      <c r="O25" s="12" t="b">
        <v>0</v>
      </c>
      <c r="P25" s="12" t="b">
        <v>0</v>
      </c>
      <c r="Q25" s="24" t="str">
        <f t="shared" si="1"/>
        <v/>
      </c>
    </row>
    <row r="26" spans="1:17" x14ac:dyDescent="0.35">
      <c r="B26" s="18"/>
      <c r="C26" s="18"/>
      <c r="D26" s="18"/>
      <c r="G26" s="3"/>
      <c r="H26" s="3" t="str">
        <f>IF(ISBLANK(G26),"",IFERROR(VLOOKUP(G26,Master!$K$1:$L$100,2,0),"ไม่พบข้อมูล"))</f>
        <v/>
      </c>
      <c r="I26" s="3" t="str">
        <f>IF(ISBLANK(F26),"",_xlfn.XLOOKUP(J26,Master!E:E,Master!D:D,"ไม่พบข้อมูล"))</f>
        <v/>
      </c>
      <c r="J26" s="3" t="str" cm="1">
        <f t="array" ref="J26">IF(ISBLANK(F26),"",_xlfn.XLOOKUP(TRUE,'Master แปลงคำ'!A:A=F26, 'Master แปลงคำ'!B:B, "ไม่พบข้อมูล"))</f>
        <v/>
      </c>
      <c r="K26" s="23" t="str">
        <f>IF(OR(ISBLANK(F26),ISBLANK(G26)),"", COUNTIFS('Mk หลังแก้'!U:U,I26,'Mk หลังแก้'!Q:Q,H26,'Mk หลังแก้'!V:V,J26))</f>
        <v/>
      </c>
      <c r="L26" s="11">
        <f>SUMIFS('mk 001 10.3'!X:X,'mk 001 10.3'!V:V,J26,'mk 001 10.3'!Q:Q,H26)</f>
        <v>0</v>
      </c>
      <c r="N26" s="11">
        <f t="shared" si="0"/>
        <v>0</v>
      </c>
      <c r="O26" s="12" t="b">
        <v>0</v>
      </c>
      <c r="P26" s="12" t="b">
        <v>0</v>
      </c>
      <c r="Q26" s="24" t="str">
        <f t="shared" si="1"/>
        <v/>
      </c>
    </row>
    <row r="27" spans="1:17" x14ac:dyDescent="0.35">
      <c r="B27" s="18"/>
      <c r="C27" s="18"/>
      <c r="D27" s="18"/>
      <c r="G27" s="3"/>
      <c r="H27" s="3" t="str">
        <f>IF(ISBLANK(G27),"",IFERROR(VLOOKUP(G27,Master!$K$1:$L$100,2,0),"ไม่พบข้อมูล"))</f>
        <v/>
      </c>
      <c r="I27" s="3" t="str">
        <f>IF(ISBLANK(F27),"",_xlfn.XLOOKUP(J27,Master!E:E,Master!D:D,"ไม่พบข้อมูล"))</f>
        <v/>
      </c>
      <c r="J27" s="3" t="str" cm="1">
        <f t="array" ref="J27">IF(ISBLANK(F27),"",_xlfn.XLOOKUP(TRUE,'Master แปลงคำ'!A:A=F27, 'Master แปลงคำ'!B:B, "ไม่พบข้อมูล"))</f>
        <v/>
      </c>
      <c r="K27" s="23" t="str">
        <f>IF(OR(ISBLANK(F27),ISBLANK(G27)),"", COUNTIFS('Mk หลังแก้'!U:U,I27,'Mk หลังแก้'!Q:Q,H27,'Mk หลังแก้'!V:V,J27))</f>
        <v/>
      </c>
      <c r="L27" s="11">
        <f>SUMIFS('mk 001 10.3'!X:X,'mk 001 10.3'!V:V,J27,'mk 001 10.3'!Q:Q,H27)</f>
        <v>0</v>
      </c>
      <c r="N27" s="11">
        <f t="shared" si="0"/>
        <v>0</v>
      </c>
      <c r="O27" s="12" t="b">
        <v>0</v>
      </c>
      <c r="P27" s="12" t="b">
        <v>0</v>
      </c>
      <c r="Q27" s="24" t="str">
        <f t="shared" si="1"/>
        <v/>
      </c>
    </row>
    <row r="28" spans="1:17" x14ac:dyDescent="0.35">
      <c r="B28" s="18"/>
      <c r="C28" s="18"/>
      <c r="D28" s="18"/>
      <c r="G28" s="3"/>
      <c r="H28" s="3" t="str">
        <f>IF(ISBLANK(G28),"",IFERROR(VLOOKUP(G28,Master!$K$1:$L$100,2,0),"ไม่พบข้อมูล"))</f>
        <v/>
      </c>
      <c r="I28" s="3" t="str">
        <f>IF(ISBLANK(F28),"",_xlfn.XLOOKUP(J28,Master!E:E,Master!D:D,"ไม่พบข้อมูล"))</f>
        <v/>
      </c>
      <c r="J28" s="3" t="str" cm="1">
        <f t="array" ref="J28">IF(ISBLANK(F28),"",_xlfn.XLOOKUP(TRUE,'Master แปลงคำ'!A:A=F28, 'Master แปลงคำ'!B:B, "ไม่พบข้อมูล"))</f>
        <v/>
      </c>
      <c r="K28" s="23" t="str">
        <f>IF(OR(ISBLANK(F28),ISBLANK(G28)),"", COUNTIFS('Mk หลังแก้'!U:U,I28,'Mk หลังแก้'!Q:Q,H28,'Mk หลังแก้'!V:V,J28))</f>
        <v/>
      </c>
      <c r="L28" s="11">
        <f>SUMIFS('mk 001 10.3'!X:X,'mk 001 10.3'!V:V,J28,'mk 001 10.3'!Q:Q,H28)</f>
        <v>0</v>
      </c>
      <c r="N28" s="11">
        <f t="shared" si="0"/>
        <v>0</v>
      </c>
      <c r="O28" s="12" t="b">
        <v>0</v>
      </c>
      <c r="P28" s="12" t="b">
        <v>0</v>
      </c>
      <c r="Q28" s="24" t="str">
        <f t="shared" si="1"/>
        <v/>
      </c>
    </row>
    <row r="29" spans="1:17" x14ac:dyDescent="0.35">
      <c r="B29" s="18"/>
      <c r="C29" s="18"/>
      <c r="D29" s="18"/>
      <c r="F29"/>
      <c r="G29" s="3"/>
      <c r="H29" s="3" t="str">
        <f>IF(ISBLANK(G29),"",IFERROR(VLOOKUP(G29,Master!$K$1:$L$100,2,0),"ไม่พบข้อมูล"))</f>
        <v/>
      </c>
      <c r="I29" s="3" t="str">
        <f>IF(ISBLANK(F29),"",_xlfn.XLOOKUP(J29,Master!E:E,Master!D:D,"ไม่พบข้อมูล"))</f>
        <v/>
      </c>
      <c r="J29" s="3" t="str" cm="1">
        <f t="array" ref="J29">IF(ISBLANK(F29),"",_xlfn.XLOOKUP(TRUE,'Master แปลงคำ'!A:A=F29, 'Master แปลงคำ'!B:B, "ไม่พบข้อมูล"))</f>
        <v/>
      </c>
      <c r="K29" s="23" t="str">
        <f>IF(OR(ISBLANK(F29),ISBLANK(G29)),"", COUNTIFS('Mk หลังแก้'!U:U,I29,'Mk หลังแก้'!Q:Q,H29,'Mk หลังแก้'!V:V,J29))</f>
        <v/>
      </c>
      <c r="L29" s="11">
        <f>SUMIFS('mk 001 10.3'!X:X,'mk 001 10.3'!V:V,J29,'mk 001 10.3'!Q:Q,H29)</f>
        <v>0</v>
      </c>
      <c r="N29" s="11">
        <f t="shared" si="0"/>
        <v>0</v>
      </c>
      <c r="O29" s="12" t="b">
        <v>0</v>
      </c>
      <c r="P29" s="12" t="b">
        <v>0</v>
      </c>
      <c r="Q29" s="24" t="str">
        <f t="shared" si="1"/>
        <v/>
      </c>
    </row>
    <row r="30" spans="1:17" x14ac:dyDescent="0.35">
      <c r="B30" s="18"/>
      <c r="C30" s="18"/>
      <c r="D30" s="18"/>
      <c r="F30"/>
      <c r="G30" s="3"/>
      <c r="H30" s="3" t="str">
        <f>IF(ISBLANK(G30),"",IFERROR(VLOOKUP(G30,Master!$K$1:$L$100,2,0),"ไม่พบข้อมูล"))</f>
        <v/>
      </c>
      <c r="I30" s="3" t="str">
        <f>IF(ISBLANK(F30),"",_xlfn.XLOOKUP(J30,Master!E:E,Master!D:D,"ไม่พบข้อมูล"))</f>
        <v/>
      </c>
      <c r="J30" s="3" t="str" cm="1">
        <f t="array" ref="J30">IF(ISBLANK(F30),"",_xlfn.XLOOKUP(TRUE,'Master แปลงคำ'!A:A=F30, 'Master แปลงคำ'!B:B, "ไม่พบข้อมูล"))</f>
        <v/>
      </c>
      <c r="K30" s="23" t="str">
        <f>IF(OR(ISBLANK(F30),ISBLANK(G30)),"", COUNTIFS('Mk หลังแก้'!U:U,I30,'Mk หลังแก้'!Q:Q,H30,'Mk หลังแก้'!V:V,J30))</f>
        <v/>
      </c>
      <c r="L30" s="11">
        <f>SUMIFS('mk 001 10.3'!X:X,'mk 001 10.3'!V:V,J30,'mk 001 10.3'!Q:Q,H30)</f>
        <v>0</v>
      </c>
      <c r="N30" s="11">
        <f t="shared" si="0"/>
        <v>0</v>
      </c>
      <c r="O30" s="12" t="b">
        <v>0</v>
      </c>
      <c r="P30" s="12" t="b">
        <v>0</v>
      </c>
      <c r="Q30" s="24" t="str">
        <f t="shared" si="1"/>
        <v/>
      </c>
    </row>
    <row r="31" spans="1:17" x14ac:dyDescent="0.35">
      <c r="B31" s="18"/>
      <c r="C31" s="18"/>
      <c r="D31" s="18"/>
      <c r="G31" s="3"/>
      <c r="H31" s="3" t="str">
        <f>IF(ISBLANK(G31),"",IFERROR(VLOOKUP(G31,Master!$K$1:$L$100,2,0),"ไม่พบข้อมูล"))</f>
        <v/>
      </c>
      <c r="I31" s="3" t="str">
        <f>IF(ISBLANK(F31),"",_xlfn.XLOOKUP(J31,Master!E:E,Master!D:D,"ไม่พบข้อมูล"))</f>
        <v/>
      </c>
      <c r="J31" s="3" t="str" cm="1">
        <f t="array" ref="J31">IF(ISBLANK(F31),"",_xlfn.XLOOKUP(TRUE,'Master แปลงคำ'!A:A=F31, 'Master แปลงคำ'!B:B, "ไม่พบข้อมูล"))</f>
        <v/>
      </c>
      <c r="K31" s="23" t="str">
        <f>IF(OR(ISBLANK(F31),ISBLANK(G31)),"", COUNTIFS('Mk หลังแก้'!U:U,I31,'Mk หลังแก้'!Q:Q,H31,'Mk หลังแก้'!V:V,J31))</f>
        <v/>
      </c>
      <c r="L31" s="11">
        <f>SUMIFS('mk 001 10.3'!X:X,'mk 001 10.3'!V:V,J31,'mk 001 10.3'!Q:Q,H31)</f>
        <v>0</v>
      </c>
      <c r="N31" s="11">
        <f t="shared" si="0"/>
        <v>0</v>
      </c>
      <c r="O31" s="12" t="b">
        <v>0</v>
      </c>
      <c r="P31" s="12" t="b">
        <v>0</v>
      </c>
      <c r="Q31" s="24" t="str">
        <f t="shared" si="1"/>
        <v/>
      </c>
    </row>
    <row r="32" spans="1:17" x14ac:dyDescent="0.35">
      <c r="B32" s="18"/>
      <c r="C32" s="18"/>
      <c r="D32" s="18"/>
      <c r="G32" s="3"/>
      <c r="H32" s="3" t="str">
        <f>IF(ISBLANK(G32),"",IFERROR(VLOOKUP(G32,Master!$K$1:$L$100,2,0),"ไม่พบข้อมูล"))</f>
        <v/>
      </c>
      <c r="I32" s="3" t="str">
        <f>IF(ISBLANK(F32),"",_xlfn.XLOOKUP(J32,Master!E:E,Master!D:D,"ไม่พบข้อมูล"))</f>
        <v/>
      </c>
      <c r="J32" s="3" t="str" cm="1">
        <f t="array" ref="J32">IF(ISBLANK(F32),"",_xlfn.XLOOKUP(TRUE,'Master แปลงคำ'!A:A=F32, 'Master แปลงคำ'!B:B, "ไม่พบข้อมูล"))</f>
        <v/>
      </c>
      <c r="K32" s="23" t="str">
        <f>IF(OR(ISBLANK(F32),ISBLANK(G32)),"", COUNTIFS('Mk หลังแก้'!U:U,I32,'Mk หลังแก้'!Q:Q,H32,'Mk หลังแก้'!V:V,J32))</f>
        <v/>
      </c>
      <c r="L32" s="11">
        <f>SUMIFS('mk 001 10.3'!X:X,'mk 001 10.3'!V:V,J32,'mk 001 10.3'!Q:Q,H32)</f>
        <v>0</v>
      </c>
      <c r="N32" s="11">
        <f t="shared" si="0"/>
        <v>0</v>
      </c>
      <c r="O32" s="12" t="b">
        <v>0</v>
      </c>
      <c r="P32" s="12" t="b">
        <v>0</v>
      </c>
      <c r="Q32" s="24" t="str">
        <f t="shared" si="1"/>
        <v/>
      </c>
    </row>
    <row r="33" spans="2:17" x14ac:dyDescent="0.35">
      <c r="B33" s="18"/>
      <c r="C33" s="18"/>
      <c r="D33" s="18"/>
      <c r="G33" s="3"/>
      <c r="H33" s="3" t="str">
        <f>IF(ISBLANK(G33),"",IFERROR(VLOOKUP(G33,Master!$K$1:$L$100,2,0),"ไม่พบข้อมูล"))</f>
        <v/>
      </c>
      <c r="I33" s="3" t="str">
        <f>IF(ISBLANK(F33),"",_xlfn.XLOOKUP(J33,Master!E:E,Master!D:D,"ไม่พบข้อมูล"))</f>
        <v/>
      </c>
      <c r="J33" s="3" t="str" cm="1">
        <f t="array" ref="J33">IF(ISBLANK(F33),"",_xlfn.XLOOKUP(TRUE,'Master แปลงคำ'!A:A=F33, 'Master แปลงคำ'!B:B, "ไม่พบข้อมูล"))</f>
        <v/>
      </c>
      <c r="K33" s="23" t="str">
        <f>IF(OR(ISBLANK(F33),ISBLANK(G33)),"", COUNTIFS('Mk หลังแก้'!U:U,I33,'Mk หลังแก้'!Q:Q,H33,'Mk หลังแก้'!V:V,J33))</f>
        <v/>
      </c>
      <c r="L33" s="11">
        <f>SUMIFS('mk 001 10.3'!X:X,'mk 001 10.3'!V:V,J33,'mk 001 10.3'!Q:Q,H33)</f>
        <v>0</v>
      </c>
      <c r="N33" s="11">
        <f t="shared" si="0"/>
        <v>0</v>
      </c>
      <c r="O33" s="12" t="b">
        <v>0</v>
      </c>
      <c r="P33" s="12" t="b">
        <v>0</v>
      </c>
      <c r="Q33" s="24" t="str">
        <f t="shared" si="1"/>
        <v/>
      </c>
    </row>
    <row r="34" spans="2:17" x14ac:dyDescent="0.35">
      <c r="B34" s="18"/>
      <c r="C34" s="18"/>
      <c r="D34" s="18"/>
      <c r="G34" s="3"/>
      <c r="H34" s="3" t="str">
        <f>IF(ISBLANK(G34),"",IFERROR(VLOOKUP(G34,Master!$K$1:$L$100,2,0),"ไม่พบข้อมูล"))</f>
        <v/>
      </c>
      <c r="I34" s="3" t="str">
        <f>IF(ISBLANK(F34),"",_xlfn.XLOOKUP(J34,Master!E:E,Master!D:D,"ไม่พบข้อมูล"))</f>
        <v/>
      </c>
      <c r="J34" s="3" t="str" cm="1">
        <f t="array" ref="J34">IF(ISBLANK(F34),"",_xlfn.XLOOKUP(TRUE,'Master แปลงคำ'!A:A=F34, 'Master แปลงคำ'!B:B, "ไม่พบข้อมูล"))</f>
        <v/>
      </c>
      <c r="K34" s="23" t="str">
        <f>IF(OR(ISBLANK(F34),ISBLANK(G34)),"", COUNTIFS('Mk หลังแก้'!U:U,I34,'Mk หลังแก้'!Q:Q,H34,'Mk หลังแก้'!V:V,J34))</f>
        <v/>
      </c>
      <c r="L34" s="11">
        <f>SUMIFS('mk 001 10.3'!X:X,'mk 001 10.3'!V:V,J34,'mk 001 10.3'!Q:Q,H34)</f>
        <v>0</v>
      </c>
      <c r="N34" s="11">
        <f t="shared" si="0"/>
        <v>0</v>
      </c>
      <c r="O34" s="12" t="b">
        <v>0</v>
      </c>
      <c r="P34" s="12" t="b">
        <v>0</v>
      </c>
      <c r="Q34" s="24" t="str">
        <f t="shared" si="1"/>
        <v/>
      </c>
    </row>
    <row r="35" spans="2:17" x14ac:dyDescent="0.35">
      <c r="B35" s="18"/>
      <c r="C35" s="18"/>
      <c r="D35" s="18"/>
      <c r="G35" s="3"/>
      <c r="H35" s="3" t="str">
        <f>IF(ISBLANK(G35),"",IFERROR(VLOOKUP(G35,Master!$K$1:$L$100,2,0),"ไม่พบข้อมูล"))</f>
        <v/>
      </c>
      <c r="I35" s="3" t="str">
        <f>IF(ISBLANK(F35),"",_xlfn.XLOOKUP(J35,Master!E:E,Master!D:D,"ไม่พบข้อมูล"))</f>
        <v/>
      </c>
      <c r="J35" s="3" t="str" cm="1">
        <f t="array" ref="J35">IF(ISBLANK(F35),"",_xlfn.XLOOKUP(TRUE,'Master แปลงคำ'!A:A=F35, 'Master แปลงคำ'!B:B, "ไม่พบข้อมูล"))</f>
        <v/>
      </c>
      <c r="K35" s="23" t="str">
        <f>IF(OR(ISBLANK(F35),ISBLANK(G35)),"", COUNTIFS('Mk หลังแก้'!U:U,I35,'Mk หลังแก้'!Q:Q,H35,'Mk หลังแก้'!V:V,J35))</f>
        <v/>
      </c>
      <c r="L35" s="11">
        <f>SUMIFS('mk 001 10.3'!X:X,'mk 001 10.3'!V:V,J35,'mk 001 10.3'!Q:Q,H35)</f>
        <v>0</v>
      </c>
      <c r="N35" s="11">
        <f t="shared" si="0"/>
        <v>0</v>
      </c>
      <c r="O35" s="12" t="b">
        <v>0</v>
      </c>
      <c r="P35" s="12" t="b">
        <v>0</v>
      </c>
      <c r="Q35" s="24" t="str">
        <f t="shared" si="1"/>
        <v/>
      </c>
    </row>
    <row r="36" spans="2:17" x14ac:dyDescent="0.35">
      <c r="B36" s="18"/>
      <c r="C36" s="18"/>
      <c r="D36" s="18"/>
      <c r="G36" s="3"/>
      <c r="H36" s="3" t="str">
        <f>IF(ISBLANK(G36),"",IFERROR(VLOOKUP(G36,Master!$K$1:$L$100,2,0),"ไม่พบข้อมูล"))</f>
        <v/>
      </c>
      <c r="I36" s="3" t="str">
        <f>IF(ISBLANK(F36),"",_xlfn.XLOOKUP(J36,Master!E:E,Master!D:D,"ไม่พบข้อมูล"))</f>
        <v/>
      </c>
      <c r="J36" s="3" t="str" cm="1">
        <f t="array" ref="J36">IF(ISBLANK(F36),"",_xlfn.XLOOKUP(TRUE,'Master แปลงคำ'!A:A=F36, 'Master แปลงคำ'!B:B, "ไม่พบข้อมูล"))</f>
        <v/>
      </c>
      <c r="K36" s="23" t="str">
        <f>IF(OR(ISBLANK(F36),ISBLANK(G36)),"", COUNTIFS('Mk หลังแก้'!U:U,I36,'Mk หลังแก้'!Q:Q,H36,'Mk หลังแก้'!V:V,J36))</f>
        <v/>
      </c>
      <c r="L36" s="11">
        <f>SUMIFS('mk 001 10.3'!X:X,'mk 001 10.3'!V:V,J36,'mk 001 10.3'!Q:Q,H36)</f>
        <v>0</v>
      </c>
      <c r="N36" s="11">
        <f t="shared" si="0"/>
        <v>0</v>
      </c>
      <c r="O36" s="12" t="b">
        <v>0</v>
      </c>
      <c r="P36" s="12" t="b">
        <v>0</v>
      </c>
      <c r="Q36" s="24" t="str">
        <f t="shared" si="1"/>
        <v/>
      </c>
    </row>
    <row r="37" spans="2:17" x14ac:dyDescent="0.35">
      <c r="B37" s="18"/>
      <c r="C37" s="18"/>
      <c r="D37" s="18"/>
      <c r="G37" s="3"/>
      <c r="H37" s="3" t="str">
        <f>IF(ISBLANK(G37),"",IFERROR(VLOOKUP(G37,Master!$K$1:$L$100,2,0),"ไม่พบข้อมูล"))</f>
        <v/>
      </c>
      <c r="I37" s="3" t="str">
        <f>IF(ISBLANK(F37),"",_xlfn.XLOOKUP(J37,Master!E:E,Master!D:D,"ไม่พบข้อมูล"))</f>
        <v/>
      </c>
      <c r="J37" s="3" t="str" cm="1">
        <f t="array" ref="J37">IF(ISBLANK(F37),"",_xlfn.XLOOKUP(TRUE,'Master แปลงคำ'!A:A=F37, 'Master แปลงคำ'!B:B, "ไม่พบข้อมูล"))</f>
        <v/>
      </c>
      <c r="K37" s="23" t="str">
        <f>IF(OR(ISBLANK(F37),ISBLANK(G37)),"", COUNTIFS('Mk หลังแก้'!U:U,I37,'Mk หลังแก้'!Q:Q,H37,'Mk หลังแก้'!V:V,J37))</f>
        <v/>
      </c>
      <c r="L37" s="11">
        <f>SUMIFS('mk 001 10.3'!X:X,'mk 001 10.3'!V:V,J37,'mk 001 10.3'!Q:Q,H37)</f>
        <v>0</v>
      </c>
      <c r="N37" s="11">
        <f t="shared" si="0"/>
        <v>0</v>
      </c>
      <c r="O37" s="12" t="b">
        <v>0</v>
      </c>
      <c r="P37" s="12" t="b">
        <v>0</v>
      </c>
      <c r="Q37" s="24" t="str">
        <f t="shared" si="1"/>
        <v/>
      </c>
    </row>
    <row r="38" spans="2:17" x14ac:dyDescent="0.35">
      <c r="B38" s="18"/>
      <c r="C38" s="18"/>
      <c r="D38" s="18"/>
      <c r="G38" s="3"/>
      <c r="H38" s="3" t="str">
        <f>IF(ISBLANK(G38),"",IFERROR(VLOOKUP(G38,Master!$K$1:$L$100,2,0),"ไม่พบข้อมูล"))</f>
        <v/>
      </c>
      <c r="I38" s="3" t="str">
        <f>IF(ISBLANK(F38),"",_xlfn.XLOOKUP(J38,Master!E:E,Master!D:D,"ไม่พบข้อมูล"))</f>
        <v/>
      </c>
      <c r="J38" s="3" t="str" cm="1">
        <f t="array" ref="J38">IF(ISBLANK(F38),"",_xlfn.XLOOKUP(TRUE,'Master แปลงคำ'!A:A=F38, 'Master แปลงคำ'!B:B, "ไม่พบข้อมูล"))</f>
        <v/>
      </c>
      <c r="K38" s="23" t="str">
        <f>IF(OR(ISBLANK(F38),ISBLANK(G38)),"", COUNTIFS('Mk หลังแก้'!U:U,I38,'Mk หลังแก้'!Q:Q,H38,'Mk หลังแก้'!V:V,J38))</f>
        <v/>
      </c>
      <c r="L38" s="11">
        <f>SUMIFS('mk 001 10.3'!X:X,'mk 001 10.3'!V:V,J38,'mk 001 10.3'!Q:Q,H38)</f>
        <v>0</v>
      </c>
      <c r="N38" s="11">
        <f t="shared" si="0"/>
        <v>0</v>
      </c>
      <c r="O38" s="12" t="b">
        <v>0</v>
      </c>
      <c r="P38" s="12" t="b">
        <v>0</v>
      </c>
      <c r="Q38" s="24" t="str">
        <f t="shared" si="1"/>
        <v/>
      </c>
    </row>
    <row r="39" spans="2:17" x14ac:dyDescent="0.35">
      <c r="B39" s="18"/>
      <c r="C39" s="18"/>
      <c r="D39" s="18"/>
      <c r="F39"/>
      <c r="G39" s="3"/>
      <c r="H39" s="3" t="str">
        <f>IF(ISBLANK(G39),"",IFERROR(VLOOKUP(G39,Master!$K$1:$L$100,2,0),"ไม่พบข้อมูล"))</f>
        <v/>
      </c>
      <c r="I39" s="3" t="str">
        <f>IF(ISBLANK(F39),"",_xlfn.XLOOKUP(J39,Master!E:E,Master!D:D,"ไม่พบข้อมูล"))</f>
        <v/>
      </c>
      <c r="J39" s="3" t="str" cm="1">
        <f t="array" ref="J39">IF(ISBLANK(F39),"",_xlfn.XLOOKUP(TRUE,'Master แปลงคำ'!A:A=F39, 'Master แปลงคำ'!B:B, "ไม่พบข้อมูล"))</f>
        <v/>
      </c>
      <c r="K39" s="23" t="str">
        <f>IF(OR(ISBLANK(F39),ISBLANK(G39)),"", COUNTIFS('Mk หลังแก้'!U:U,I39,'Mk หลังแก้'!Q:Q,H39,'Mk หลังแก้'!V:V,J39))</f>
        <v/>
      </c>
      <c r="L39" s="11">
        <f>SUMIFS('mk 001 10.3'!X:X,'mk 001 10.3'!V:V,J39,'mk 001 10.3'!Q:Q,H39)</f>
        <v>0</v>
      </c>
      <c r="N39" s="11">
        <f t="shared" si="0"/>
        <v>0</v>
      </c>
      <c r="O39" s="12" t="b">
        <v>0</v>
      </c>
      <c r="P39" s="12" t="b">
        <v>0</v>
      </c>
      <c r="Q39" s="24" t="str">
        <f t="shared" si="1"/>
        <v/>
      </c>
    </row>
    <row r="40" spans="2:17" x14ac:dyDescent="0.35">
      <c r="B40" s="18"/>
      <c r="C40" s="18"/>
      <c r="D40" s="18"/>
      <c r="G40" s="3"/>
      <c r="H40" s="3" t="str">
        <f>IF(ISBLANK(G40),"",IFERROR(VLOOKUP(G40,Master!$K$1:$L$100,2,0),"ไม่พบข้อมูล"))</f>
        <v/>
      </c>
      <c r="I40" s="3" t="str">
        <f>IF(ISBLANK(F40),"",_xlfn.XLOOKUP(J40,Master!E:E,Master!D:D,"ไม่พบข้อมูล"))</f>
        <v/>
      </c>
      <c r="J40" s="3" t="str" cm="1">
        <f t="array" ref="J40">IF(ISBLANK(F40),"",_xlfn.XLOOKUP(TRUE,'Master แปลงคำ'!A:A=F40, 'Master แปลงคำ'!B:B, "ไม่พบข้อมูล"))</f>
        <v/>
      </c>
      <c r="K40" s="23" t="str">
        <f>IF(OR(ISBLANK(F40),ISBLANK(G40)),"", COUNTIFS('Mk หลังแก้'!U:U,I40,'Mk หลังแก้'!Q:Q,H40,'Mk หลังแก้'!V:V,J40))</f>
        <v/>
      </c>
      <c r="L40" s="11">
        <f>SUMIFS('mk 001 10.3'!X:X,'mk 001 10.3'!V:V,J40,'mk 001 10.3'!Q:Q,H40)</f>
        <v>0</v>
      </c>
      <c r="N40" s="11">
        <f t="shared" si="0"/>
        <v>0</v>
      </c>
      <c r="O40" s="12" t="b">
        <v>0</v>
      </c>
      <c r="P40" s="12" t="b">
        <v>0</v>
      </c>
      <c r="Q40" s="24" t="str">
        <f t="shared" si="1"/>
        <v/>
      </c>
    </row>
    <row r="41" spans="2:17" x14ac:dyDescent="0.35">
      <c r="B41" s="18"/>
      <c r="C41" s="18"/>
      <c r="D41" s="18"/>
      <c r="F41"/>
      <c r="G41" s="3"/>
      <c r="H41" s="3" t="str">
        <f>IF(ISBLANK(G41),"",IFERROR(VLOOKUP(G41,Master!$K$1:$L$100,2,0),"ไม่พบข้อมูล"))</f>
        <v/>
      </c>
      <c r="I41" s="3" t="str">
        <f>IF(ISBLANK(F41),"",_xlfn.XLOOKUP(J41,Master!E:E,Master!D:D,"ไม่พบข้อมูล"))</f>
        <v/>
      </c>
      <c r="J41" s="3" t="str" cm="1">
        <f t="array" ref="J41">IF(ISBLANK(F41),"",_xlfn.XLOOKUP(TRUE,'Master แปลงคำ'!A:A=F41, 'Master แปลงคำ'!B:B, "ไม่พบข้อมูล"))</f>
        <v/>
      </c>
      <c r="K41" s="23" t="str">
        <f>IF(OR(ISBLANK(F41),ISBLANK(G41)),"", COUNTIFS('Mk หลังแก้'!U:U,I41,'Mk หลังแก้'!Q:Q,H41,'Mk หลังแก้'!V:V,J41))</f>
        <v/>
      </c>
      <c r="L41" s="11">
        <f>SUMIFS('mk 001 10.3'!X:X,'mk 001 10.3'!V:V,J41,'mk 001 10.3'!Q:Q,H41)</f>
        <v>0</v>
      </c>
      <c r="N41" s="11">
        <f t="shared" si="0"/>
        <v>0</v>
      </c>
      <c r="O41" s="12" t="b">
        <v>0</v>
      </c>
      <c r="P41" s="12" t="b">
        <v>0</v>
      </c>
      <c r="Q41" s="24" t="str">
        <f t="shared" si="1"/>
        <v/>
      </c>
    </row>
    <row r="42" spans="2:17" x14ac:dyDescent="0.35">
      <c r="B42" s="18"/>
      <c r="C42" s="18"/>
      <c r="D42" s="18"/>
      <c r="G42" s="3"/>
      <c r="H42" s="3" t="str">
        <f>IF(ISBLANK(G42),"",IFERROR(VLOOKUP(G42,Master!$K$1:$L$100,2,0),"ไม่พบข้อมูล"))</f>
        <v/>
      </c>
      <c r="I42" s="3" t="str">
        <f>IF(ISBLANK(F42),"",_xlfn.XLOOKUP(J42,Master!E:E,Master!D:D,"ไม่พบข้อมูล"))</f>
        <v/>
      </c>
      <c r="J42" s="3" t="str" cm="1">
        <f t="array" ref="J42">IF(ISBLANK(F42),"",_xlfn.XLOOKUP(TRUE,'Master แปลงคำ'!A:A=F42, 'Master แปลงคำ'!B:B, "ไม่พบข้อมูล"))</f>
        <v/>
      </c>
      <c r="K42" s="23" t="str">
        <f>IF(OR(ISBLANK(F42),ISBLANK(G42)),"", COUNTIFS('Mk หลังแก้'!U:U,I42,'Mk หลังแก้'!Q:Q,H42,'Mk หลังแก้'!V:V,J42))</f>
        <v/>
      </c>
      <c r="L42" s="11">
        <f>SUMIFS('mk 001 10.3'!X:X,'mk 001 10.3'!V:V,J42,'mk 001 10.3'!Q:Q,H42)</f>
        <v>0</v>
      </c>
      <c r="N42" s="11">
        <f t="shared" si="0"/>
        <v>0</v>
      </c>
      <c r="O42" s="12" t="b">
        <v>0</v>
      </c>
      <c r="P42" s="12" t="b">
        <v>0</v>
      </c>
      <c r="Q42" s="24" t="str">
        <f t="shared" si="1"/>
        <v/>
      </c>
    </row>
    <row r="43" spans="2:17" x14ac:dyDescent="0.35">
      <c r="B43" s="18"/>
      <c r="C43" s="18"/>
      <c r="D43" s="18"/>
      <c r="G43" s="3"/>
      <c r="H43" s="3" t="str">
        <f>IF(ISBLANK(G43),"",IFERROR(VLOOKUP(G43,Master!$K$1:$L$100,2,0),"ไม่พบข้อมูล"))</f>
        <v/>
      </c>
      <c r="I43" s="3" t="str">
        <f>IF(ISBLANK(F43),"",_xlfn.XLOOKUP(J43,Master!E:E,Master!D:D,"ไม่พบข้อมูล"))</f>
        <v/>
      </c>
      <c r="J43" s="3" t="str" cm="1">
        <f t="array" ref="J43">IF(ISBLANK(F43),"",_xlfn.XLOOKUP(TRUE,'Master แปลงคำ'!A:A=F43, 'Master แปลงคำ'!B:B, "ไม่พบข้อมูล"))</f>
        <v/>
      </c>
      <c r="K43" s="23" t="str">
        <f>IF(OR(ISBLANK(F43),ISBLANK(G43)),"", COUNTIFS('Mk หลังแก้'!U:U,I43,'Mk หลังแก้'!Q:Q,H43,'Mk หลังแก้'!V:V,J43))</f>
        <v/>
      </c>
      <c r="L43" s="11">
        <f>SUMIFS('mk 001 10.3'!X:X,'mk 001 10.3'!V:V,J43,'mk 001 10.3'!Q:Q,H43)</f>
        <v>0</v>
      </c>
      <c r="N43" s="11">
        <f t="shared" si="0"/>
        <v>0</v>
      </c>
      <c r="O43" s="12" t="b">
        <v>0</v>
      </c>
      <c r="P43" s="12" t="b">
        <v>0</v>
      </c>
      <c r="Q43" s="24" t="str">
        <f t="shared" si="1"/>
        <v/>
      </c>
    </row>
    <row r="44" spans="2:17" x14ac:dyDescent="0.35">
      <c r="B44" s="18"/>
      <c r="C44" s="18"/>
      <c r="D44" s="18"/>
      <c r="G44" s="3"/>
      <c r="H44" s="3" t="str">
        <f>IF(ISBLANK(G44),"",IFERROR(VLOOKUP(G44,Master!$K$1:$L$100,2,0),"ไม่พบข้อมูล"))</f>
        <v/>
      </c>
      <c r="I44" s="3" t="str">
        <f>IF(ISBLANK(F44),"",_xlfn.XLOOKUP(J44,Master!E:E,Master!D:D,"ไม่พบข้อมูล"))</f>
        <v/>
      </c>
      <c r="J44" s="3" t="str" cm="1">
        <f t="array" ref="J44">IF(ISBLANK(F44),"",_xlfn.XLOOKUP(TRUE,'Master แปลงคำ'!A:A=F44, 'Master แปลงคำ'!B:B, "ไม่พบข้อมูล"))</f>
        <v/>
      </c>
      <c r="K44" s="23" t="str">
        <f>IF(OR(ISBLANK(F44),ISBLANK(G44)),"", COUNTIFS('Mk หลังแก้'!U:U,I44,'Mk หลังแก้'!Q:Q,H44,'Mk หลังแก้'!V:V,J44))</f>
        <v/>
      </c>
      <c r="L44" s="11">
        <f>SUMIFS('mk 001 10.3'!X:X,'mk 001 10.3'!V:V,J44,'mk 001 10.3'!Q:Q,H44)</f>
        <v>0</v>
      </c>
      <c r="N44" s="11">
        <f t="shared" si="0"/>
        <v>0</v>
      </c>
      <c r="O44" s="12" t="b">
        <v>0</v>
      </c>
      <c r="P44" s="12" t="b">
        <v>0</v>
      </c>
      <c r="Q44" s="24" t="str">
        <f t="shared" si="1"/>
        <v/>
      </c>
    </row>
    <row r="45" spans="2:17" x14ac:dyDescent="0.35">
      <c r="B45" s="18"/>
      <c r="C45" s="18"/>
      <c r="D45" s="18"/>
      <c r="F45"/>
      <c r="G45" s="3"/>
      <c r="H45" s="3" t="str">
        <f>IF(ISBLANK(G45),"",IFERROR(VLOOKUP(G45,Master!$K$1:$L$100,2,0),"ไม่พบข้อมูล"))</f>
        <v/>
      </c>
      <c r="I45" s="3" t="str">
        <f>IF(ISBLANK(F45),"",_xlfn.XLOOKUP(J45,Master!E:E,Master!D:D,"ไม่พบข้อมูล"))</f>
        <v/>
      </c>
      <c r="J45" s="3" t="str" cm="1">
        <f t="array" ref="J45">IF(ISBLANK(F45),"",_xlfn.XLOOKUP(TRUE,'Master แปลงคำ'!A:A=F45, 'Master แปลงคำ'!B:B, "ไม่พบข้อมูล"))</f>
        <v/>
      </c>
      <c r="K45" s="23" t="str">
        <f>IF(OR(ISBLANK(F45),ISBLANK(G45)),"", COUNTIFS('Mk หลังแก้'!U:U,I45,'Mk หลังแก้'!Q:Q,H45,'Mk หลังแก้'!V:V,J45))</f>
        <v/>
      </c>
      <c r="L45" s="11">
        <f>SUMIFS('mk 001 10.3'!X:X,'mk 001 10.3'!V:V,J45,'mk 001 10.3'!Q:Q,H45)</f>
        <v>0</v>
      </c>
      <c r="N45" s="11">
        <f t="shared" si="0"/>
        <v>0</v>
      </c>
      <c r="O45" s="12" t="b">
        <v>0</v>
      </c>
      <c r="P45" s="12" t="b">
        <v>0</v>
      </c>
      <c r="Q45" s="24" t="str">
        <f t="shared" si="1"/>
        <v/>
      </c>
    </row>
    <row r="46" spans="2:17" x14ac:dyDescent="0.35">
      <c r="B46" s="18"/>
      <c r="C46" s="18"/>
      <c r="D46" s="18"/>
      <c r="F46"/>
      <c r="G46" s="3"/>
      <c r="H46" s="3" t="str">
        <f>IF(ISBLANK(G46),"",IFERROR(VLOOKUP(G46,Master!$K$1:$L$100,2,0),"ไม่พบข้อมูล"))</f>
        <v/>
      </c>
      <c r="I46" s="3" t="str">
        <f>IF(ISBLANK(F46),"",_xlfn.XLOOKUP(J46,Master!E:E,Master!D:D,"ไม่พบข้อมูล"))</f>
        <v/>
      </c>
      <c r="J46" s="3" t="str" cm="1">
        <f t="array" ref="J46">IF(ISBLANK(F46),"",_xlfn.XLOOKUP(TRUE,'Master แปลงคำ'!A:A=F46, 'Master แปลงคำ'!B:B, "ไม่พบข้อมูล"))</f>
        <v/>
      </c>
      <c r="K46" s="23" t="str">
        <f>IF(OR(ISBLANK(F46),ISBLANK(G46)),"", COUNTIFS('Mk หลังแก้'!U:U,I46,'Mk หลังแก้'!Q:Q,H46,'Mk หลังแก้'!V:V,J46))</f>
        <v/>
      </c>
      <c r="L46" s="11">
        <f>SUMIFS('mk 001 10.3'!X:X,'mk 001 10.3'!V:V,J46,'mk 001 10.3'!Q:Q,H46)</f>
        <v>0</v>
      </c>
      <c r="N46" s="11">
        <f t="shared" si="0"/>
        <v>0</v>
      </c>
      <c r="O46" s="12" t="b">
        <v>0</v>
      </c>
      <c r="P46" s="12" t="b">
        <v>0</v>
      </c>
      <c r="Q46" s="24" t="str">
        <f t="shared" si="1"/>
        <v/>
      </c>
    </row>
    <row r="47" spans="2:17" x14ac:dyDescent="0.35">
      <c r="B47" s="18"/>
      <c r="C47" s="18"/>
      <c r="D47" s="18"/>
      <c r="F47"/>
      <c r="G47" s="3"/>
      <c r="H47" s="3" t="str">
        <f>IF(ISBLANK(G47),"",IFERROR(VLOOKUP(G47,Master!$K$1:$L$100,2,0),"ไม่พบข้อมูล"))</f>
        <v/>
      </c>
      <c r="I47" s="3" t="str">
        <f>IF(ISBLANK(F47),"",_xlfn.XLOOKUP(J47,Master!E:E,Master!D:D,"ไม่พบข้อมูล"))</f>
        <v/>
      </c>
      <c r="J47" s="3" t="str" cm="1">
        <f t="array" ref="J47">IF(ISBLANK(F47),"",_xlfn.XLOOKUP(TRUE,'Master แปลงคำ'!A:A=F47, 'Master แปลงคำ'!B:B, "ไม่พบข้อมูล"))</f>
        <v/>
      </c>
      <c r="K47" s="23" t="str">
        <f>IF(OR(ISBLANK(F47),ISBLANK(G47)),"", COUNTIFS('Mk หลังแก้'!U:U,I47,'Mk หลังแก้'!Q:Q,H47,'Mk หลังแก้'!V:V,J47))</f>
        <v/>
      </c>
      <c r="L47" s="11">
        <f>SUMIFS('mk 001 10.3'!X:X,'mk 001 10.3'!V:V,J47,'mk 001 10.3'!Q:Q,H47)</f>
        <v>0</v>
      </c>
      <c r="N47" s="11">
        <f t="shared" si="0"/>
        <v>0</v>
      </c>
      <c r="O47" s="12" t="b">
        <v>0</v>
      </c>
      <c r="P47" s="12" t="b">
        <v>0</v>
      </c>
      <c r="Q47" s="24" t="str">
        <f t="shared" si="1"/>
        <v/>
      </c>
    </row>
    <row r="48" spans="2:17" x14ac:dyDescent="0.35">
      <c r="B48" s="18"/>
      <c r="C48" s="18"/>
      <c r="D48" s="18"/>
      <c r="F48"/>
      <c r="G48" s="3"/>
      <c r="H48" s="3" t="str">
        <f>IF(ISBLANK(G48),"",IFERROR(VLOOKUP(G48,Master!$K$1:$L$100,2,0),"ไม่พบข้อมูล"))</f>
        <v/>
      </c>
      <c r="I48" s="3" t="str">
        <f>IF(ISBLANK(F48),"",_xlfn.XLOOKUP(J48,Master!E:E,Master!D:D,"ไม่พบข้อมูล"))</f>
        <v/>
      </c>
      <c r="J48" s="3" t="str" cm="1">
        <f t="array" ref="J48">IF(ISBLANK(F48),"",_xlfn.XLOOKUP(TRUE,'Master แปลงคำ'!A:A=F48, 'Master แปลงคำ'!B:B, "ไม่พบข้อมูล"))</f>
        <v/>
      </c>
      <c r="K48" s="23" t="str">
        <f>IF(OR(ISBLANK(F48),ISBLANK(G48)),"", COUNTIFS('Mk หลังแก้'!U:U,I48,'Mk หลังแก้'!Q:Q,H48,'Mk หลังแก้'!V:V,J48))</f>
        <v/>
      </c>
      <c r="L48" s="11">
        <f>SUMIFS('mk 001 10.3'!X:X,'mk 001 10.3'!V:V,J48,'mk 001 10.3'!Q:Q,H48)</f>
        <v>0</v>
      </c>
      <c r="N48" s="11">
        <f t="shared" si="0"/>
        <v>0</v>
      </c>
      <c r="O48" s="12" t="b">
        <v>0</v>
      </c>
      <c r="P48" s="12" t="b">
        <v>0</v>
      </c>
      <c r="Q48" s="24" t="str">
        <f t="shared" si="1"/>
        <v/>
      </c>
    </row>
    <row r="49" spans="2:17" x14ac:dyDescent="0.35">
      <c r="B49" s="18"/>
      <c r="C49" s="18"/>
      <c r="D49" s="18"/>
      <c r="G49" s="3"/>
      <c r="H49" s="3" t="str">
        <f>IF(ISBLANK(G49),"",IFERROR(VLOOKUP(G49,Master!$K$1:$L$100,2,0),"ไม่พบข้อมูล"))</f>
        <v/>
      </c>
      <c r="I49" s="3" t="str">
        <f>IF(ISBLANK(F49),"",_xlfn.XLOOKUP(J49,Master!E:E,Master!D:D,"ไม่พบข้อมูล"))</f>
        <v/>
      </c>
      <c r="J49" s="3" t="str" cm="1">
        <f t="array" ref="J49">IF(ISBLANK(F49),"",_xlfn.XLOOKUP(TRUE,'Master แปลงคำ'!A:A=F49, 'Master แปลงคำ'!B:B, "ไม่พบข้อมูล"))</f>
        <v/>
      </c>
      <c r="K49" s="23" t="str">
        <f>IF(OR(ISBLANK(F49),ISBLANK(G49)),"", COUNTIFS('Mk หลังแก้'!U:U,I49,'Mk หลังแก้'!Q:Q,H49,'Mk หลังแก้'!V:V,J49))</f>
        <v/>
      </c>
      <c r="L49" s="11">
        <f>SUMIFS('mk 001 10.3'!X:X,'mk 001 10.3'!V:V,J49,'mk 001 10.3'!Q:Q,H49)</f>
        <v>0</v>
      </c>
      <c r="N49" s="11">
        <f t="shared" si="0"/>
        <v>0</v>
      </c>
      <c r="O49" s="12" t="b">
        <v>0</v>
      </c>
      <c r="P49" s="12" t="b">
        <v>0</v>
      </c>
      <c r="Q49" s="24" t="str">
        <f t="shared" si="1"/>
        <v/>
      </c>
    </row>
    <row r="50" spans="2:17" x14ac:dyDescent="0.35">
      <c r="B50" s="18" t="str" cm="1">
        <f t="array" ref="B50">IFERROR(INDEX( _xlfn.TEXTSPLIT(SUBSTITUTE(A50,"เหลือ","")," "),1),"")</f>
        <v/>
      </c>
      <c r="C50" s="18" t="str" cm="1">
        <f t="array" ref="C50">IFERROR(INDEX( _xlfn.TEXTSPLIT(SUBSTITUTE(A50,"เหลือ","")," "),2),"")</f>
        <v/>
      </c>
      <c r="D50" s="18" t="str" cm="1">
        <f t="array" ref="D50">IFERROR(INDEX( _xlfn.TEXTSPLIT(SUBSTITUTE(A50,"เหลือ","")," "),3),"")</f>
        <v/>
      </c>
      <c r="G50" s="3"/>
      <c r="H50" s="3" t="str">
        <f>IF(ISBLANK(G50),"",IFERROR(VLOOKUP(G50,Master!$K$1:$L$100,2,0),"ไม่พบข้อมูล"))</f>
        <v/>
      </c>
      <c r="I50" s="3" t="str">
        <f>IF(ISBLANK(F50),"",_xlfn.XLOOKUP(J50,Master!E:E,Master!D:D,"ไม่พบข้อมูล"))</f>
        <v/>
      </c>
      <c r="J50" s="3" t="str" cm="1">
        <f t="array" ref="J50">IF(ISBLANK(F50),"",_xlfn.XLOOKUP(TRUE,'Master แปลงคำ'!A:A=F50, 'Master แปลงคำ'!B:B, "ไม่พบข้อมูล"))</f>
        <v/>
      </c>
      <c r="K50" s="23" t="str">
        <f>IF(OR(ISBLANK(F50),ISBLANK(G50)),"", COUNTIFS('Mk หลังแก้'!U:U,I50,'Mk หลังแก้'!Q:Q,H50,'Mk หลังแก้'!V:V,J50))</f>
        <v/>
      </c>
      <c r="L50" s="11">
        <f>SUMIFS('mk 001 10.3'!X:X,'mk 001 10.3'!V:V,J50,'mk 001 10.3'!Q:Q,H50)</f>
        <v>0</v>
      </c>
      <c r="N50" s="11">
        <f t="shared" si="0"/>
        <v>0</v>
      </c>
      <c r="O50" s="12" t="b">
        <v>0</v>
      </c>
      <c r="P50" s="12" t="b">
        <v>0</v>
      </c>
      <c r="Q50" s="24" t="str">
        <f t="shared" si="1"/>
        <v/>
      </c>
    </row>
    <row r="51" spans="2:17" x14ac:dyDescent="0.35">
      <c r="B51" s="18" t="str" cm="1">
        <f t="array" ref="B51">IFERROR(INDEX( _xlfn.TEXTSPLIT(SUBSTITUTE(A51,"เหลือ","")," "),1),"")</f>
        <v/>
      </c>
      <c r="C51" s="18" t="str" cm="1">
        <f t="array" ref="C51">IFERROR(INDEX( _xlfn.TEXTSPLIT(SUBSTITUTE(A51,"เหลือ","")," "),2),"")</f>
        <v/>
      </c>
      <c r="D51" s="18" t="str" cm="1">
        <f t="array" ref="D51">IFERROR(INDEX( _xlfn.TEXTSPLIT(SUBSTITUTE(A51,"เหลือ","")," "),3),"")</f>
        <v/>
      </c>
      <c r="G51" s="3"/>
      <c r="H51" s="3" t="str">
        <f>IF(ISBLANK(G51),"",IFERROR(VLOOKUP(G51,Master!$K$1:$L$100,2,0),"ไม่พบข้อมูล"))</f>
        <v/>
      </c>
      <c r="I51" s="3" t="str">
        <f>IF(ISBLANK(F51),"",_xlfn.XLOOKUP(J51,Master!E:E,Master!D:D,"ไม่พบข้อมูล"))</f>
        <v/>
      </c>
      <c r="J51" s="3" t="str" cm="1">
        <f t="array" ref="J51">IF(ISBLANK(F51),"",_xlfn.XLOOKUP(TRUE,'Master แปลงคำ'!A:A=F51, 'Master แปลงคำ'!B:B, "ไม่พบข้อมูล"))</f>
        <v/>
      </c>
      <c r="K51" s="23" t="str">
        <f>IF(OR(ISBLANK(F51),ISBLANK(G51)),"", COUNTIFS('Mk หลังแก้'!U:U,I51,'Mk หลังแก้'!Q:Q,H51,'Mk หลังแก้'!V:V,J51))</f>
        <v/>
      </c>
      <c r="L51" s="11">
        <f>SUMIFS('mk 001 10.3'!X:X,'mk 001 10.3'!V:V,J51,'mk 001 10.3'!Q:Q,H51)</f>
        <v>0</v>
      </c>
      <c r="N51" s="11">
        <f t="shared" si="0"/>
        <v>0</v>
      </c>
      <c r="O51" s="12" t="b">
        <v>0</v>
      </c>
      <c r="P51" s="12" t="b">
        <v>0</v>
      </c>
      <c r="Q51" s="24" t="str">
        <f t="shared" si="1"/>
        <v/>
      </c>
    </row>
    <row r="52" spans="2:17" x14ac:dyDescent="0.35">
      <c r="B52" s="18" t="str" cm="1">
        <f t="array" ref="B52">IFERROR(INDEX( _xlfn.TEXTSPLIT(SUBSTITUTE(A52,"เหลือ","")," "),1),"")</f>
        <v/>
      </c>
      <c r="C52" s="18" t="str" cm="1">
        <f t="array" ref="C52">IFERROR(INDEX( _xlfn.TEXTSPLIT(SUBSTITUTE(A52,"เหลือ","")," "),2),"")</f>
        <v/>
      </c>
      <c r="D52" s="18" t="str" cm="1">
        <f t="array" ref="D52">IFERROR(INDEX( _xlfn.TEXTSPLIT(SUBSTITUTE(A52,"เหลือ","")," "),3),"")</f>
        <v/>
      </c>
      <c r="G52" s="3"/>
      <c r="H52" s="3" t="str">
        <f>IF(ISBLANK(G52),"",IFERROR(VLOOKUP(G52,Master!$K$1:$L$100,2,0),"ไม่พบข้อมูล"))</f>
        <v/>
      </c>
      <c r="I52" s="3" t="str">
        <f>IF(ISBLANK(F52),"",_xlfn.XLOOKUP(J52,Master!E:E,Master!D:D,"ไม่พบข้อมูล"))</f>
        <v/>
      </c>
      <c r="J52" s="3" t="str" cm="1">
        <f t="array" ref="J52">IF(ISBLANK(F52),"",_xlfn.XLOOKUP(TRUE,'Master แปลงคำ'!A:A=F52, 'Master แปลงคำ'!B:B, "ไม่พบข้อมูล"))</f>
        <v/>
      </c>
      <c r="K52" s="23" t="str">
        <f>IF(OR(ISBLANK(F52),ISBLANK(G52)),"", COUNTIFS('Mk หลังแก้'!U:U,I52,'Mk หลังแก้'!Q:Q,H52,'Mk หลังแก้'!V:V,J52))</f>
        <v/>
      </c>
      <c r="L52" s="11">
        <f>SUMIFS('mk 001 10.3'!X:X,'mk 001 10.3'!V:V,J52,'mk 001 10.3'!Q:Q,H52)</f>
        <v>0</v>
      </c>
      <c r="N52" s="11">
        <f t="shared" si="0"/>
        <v>0</v>
      </c>
      <c r="O52" s="12" t="b">
        <v>0</v>
      </c>
      <c r="P52" s="12" t="b">
        <v>0</v>
      </c>
      <c r="Q52" s="24" t="str">
        <f t="shared" si="1"/>
        <v/>
      </c>
    </row>
    <row r="53" spans="2:17" x14ac:dyDescent="0.35">
      <c r="B53" s="18" t="str" cm="1">
        <f t="array" ref="B53">IFERROR(INDEX( _xlfn.TEXTSPLIT(SUBSTITUTE(A53,"เหลือ","")," "),1),"")</f>
        <v/>
      </c>
      <c r="C53" s="18" t="str" cm="1">
        <f t="array" ref="C53">IFERROR(INDEX( _xlfn.TEXTSPLIT(SUBSTITUTE(A53,"เหลือ","")," "),2),"")</f>
        <v/>
      </c>
      <c r="D53" s="18" t="str" cm="1">
        <f t="array" ref="D53">IFERROR(INDEX( _xlfn.TEXTSPLIT(SUBSTITUTE(A53,"เหลือ","")," "),3),"")</f>
        <v/>
      </c>
      <c r="G53" s="3"/>
      <c r="H53" s="3" t="str">
        <f>IF(ISBLANK(G53),"",IFERROR(VLOOKUP(G53,Master!$K$1:$L$100,2,0),"ไม่พบข้อมูล"))</f>
        <v/>
      </c>
      <c r="I53" s="3" t="str">
        <f>IF(ISBLANK(F53),"",_xlfn.XLOOKUP(J53,Master!E:E,Master!D:D,"ไม่พบข้อมูล"))</f>
        <v/>
      </c>
      <c r="J53" s="3" t="str" cm="1">
        <f t="array" ref="J53">IF(ISBLANK(F53),"",_xlfn.XLOOKUP(TRUE,'Master แปลงคำ'!A:A=F53, 'Master แปลงคำ'!B:B, "ไม่พบข้อมูล"))</f>
        <v/>
      </c>
      <c r="K53" s="23" t="str">
        <f>IF(OR(ISBLANK(F53),ISBLANK(G53)),"", COUNTIFS('Mk หลังแก้'!U:U,I53,'Mk หลังแก้'!Q:Q,H53,'Mk หลังแก้'!V:V,J53))</f>
        <v/>
      </c>
      <c r="L53" s="11">
        <f>SUMIFS('mk 001 10.3'!X:X,'mk 001 10.3'!V:V,J53,'mk 001 10.3'!Q:Q,H53)</f>
        <v>0</v>
      </c>
      <c r="N53" s="11">
        <f t="shared" si="0"/>
        <v>0</v>
      </c>
      <c r="O53" s="12" t="b">
        <v>0</v>
      </c>
      <c r="P53" s="12" t="b">
        <v>0</v>
      </c>
      <c r="Q53" s="24" t="str">
        <f t="shared" si="1"/>
        <v/>
      </c>
    </row>
    <row r="54" spans="2:17" x14ac:dyDescent="0.35">
      <c r="B54" s="18" t="str" cm="1">
        <f t="array" ref="B54">IFERROR(INDEX( _xlfn.TEXTSPLIT(SUBSTITUTE(A54,"เหลือ","")," "),1),"")</f>
        <v/>
      </c>
      <c r="C54" s="18" t="str" cm="1">
        <f t="array" ref="C54">IFERROR(INDEX( _xlfn.TEXTSPLIT(SUBSTITUTE(A54,"เหลือ","")," "),2),"")</f>
        <v/>
      </c>
      <c r="D54" s="18" t="str" cm="1">
        <f t="array" ref="D54">IFERROR(INDEX( _xlfn.TEXTSPLIT(SUBSTITUTE(A54,"เหลือ","")," "),3),"")</f>
        <v/>
      </c>
      <c r="G54" s="3"/>
      <c r="H54" s="3" t="str">
        <f>IF(ISBLANK(G54),"",IFERROR(VLOOKUP(G54,Master!$K$1:$L$100,2,0),"ไม่พบข้อมูล"))</f>
        <v/>
      </c>
      <c r="I54" s="3" t="str">
        <f>IF(ISBLANK(F54),"",_xlfn.XLOOKUP(J54,Master!E:E,Master!D:D,"ไม่พบข้อมูล"))</f>
        <v/>
      </c>
      <c r="J54" s="3" t="str" cm="1">
        <f t="array" ref="J54">IF(ISBLANK(F54),"",_xlfn.XLOOKUP(TRUE,'Master แปลงคำ'!A:A=F54, 'Master แปลงคำ'!B:B, "ไม่พบข้อมูล"))</f>
        <v/>
      </c>
      <c r="K54" s="23" t="str">
        <f>IF(OR(ISBLANK(F54),ISBLANK(G54)),"", COUNTIFS('Mk หลังแก้'!U:U,I54,'Mk หลังแก้'!Q:Q,H54,'Mk หลังแก้'!V:V,J54))</f>
        <v/>
      </c>
      <c r="L54" s="11">
        <f>SUMIFS('mk 001 10.3'!X:X,'mk 001 10.3'!V:V,J54,'mk 001 10.3'!Q:Q,H54)</f>
        <v>0</v>
      </c>
      <c r="N54" s="11">
        <f t="shared" si="0"/>
        <v>0</v>
      </c>
      <c r="O54" s="12" t="b">
        <v>0</v>
      </c>
      <c r="P54" s="12" t="b">
        <v>0</v>
      </c>
      <c r="Q54" s="24" t="str">
        <f t="shared" si="1"/>
        <v/>
      </c>
    </row>
    <row r="55" spans="2:17" x14ac:dyDescent="0.35">
      <c r="B55" s="18" t="str" cm="1">
        <f t="array" ref="B55">IFERROR(INDEX( _xlfn.TEXTSPLIT(SUBSTITUTE(A55,"เหลือ","")," "),1),"")</f>
        <v/>
      </c>
      <c r="C55" s="18" t="str" cm="1">
        <f t="array" ref="C55">IFERROR(INDEX( _xlfn.TEXTSPLIT(SUBSTITUTE(A55,"เหลือ","")," "),2),"")</f>
        <v/>
      </c>
      <c r="D55" s="18" t="str" cm="1">
        <f t="array" ref="D55">IFERROR(INDEX( _xlfn.TEXTSPLIT(SUBSTITUTE(A55,"เหลือ","")," "),3),"")</f>
        <v/>
      </c>
      <c r="G55" s="3"/>
      <c r="H55" s="3" t="str">
        <f>IF(ISBLANK(G55),"",IFERROR(VLOOKUP(G55,Master!$K$1:$L$100,2,0),"ไม่พบข้อมูล"))</f>
        <v/>
      </c>
      <c r="I55" s="3" t="str">
        <f>IF(ISBLANK(F55),"",_xlfn.XLOOKUP(J55,Master!E:E,Master!D:D,"ไม่พบข้อมูล"))</f>
        <v/>
      </c>
      <c r="J55" s="3" t="str" cm="1">
        <f t="array" ref="J55">IF(ISBLANK(F55),"",_xlfn.XLOOKUP(TRUE,'Master แปลงคำ'!A:A=F55, 'Master แปลงคำ'!B:B, "ไม่พบข้อมูล"))</f>
        <v/>
      </c>
      <c r="K55" s="23" t="str">
        <f>IF(OR(ISBLANK(F55),ISBLANK(G55)),"", COUNTIFS('Mk หลังแก้'!U:U,I55,'Mk หลังแก้'!Q:Q,H55,'Mk หลังแก้'!V:V,J55))</f>
        <v/>
      </c>
      <c r="L55" s="11">
        <f>SUMIFS('mk 001 10.3'!X:X,'mk 001 10.3'!V:V,J55,'mk 001 10.3'!Q:Q,H55)</f>
        <v>0</v>
      </c>
      <c r="N55" s="11">
        <f t="shared" si="0"/>
        <v>0</v>
      </c>
      <c r="O55" s="12" t="b">
        <v>0</v>
      </c>
      <c r="P55" s="12" t="b">
        <v>0</v>
      </c>
      <c r="Q55" s="24" t="str">
        <f t="shared" si="1"/>
        <v/>
      </c>
    </row>
    <row r="56" spans="2:17" x14ac:dyDescent="0.35">
      <c r="B56" s="18" t="str" cm="1">
        <f t="array" ref="B56">IFERROR(INDEX( _xlfn.TEXTSPLIT(SUBSTITUTE(A56,"เหลือ","")," "),1),"")</f>
        <v/>
      </c>
      <c r="C56" s="18" t="str" cm="1">
        <f t="array" ref="C56">IFERROR(INDEX( _xlfn.TEXTSPLIT(SUBSTITUTE(A56,"เหลือ","")," "),2),"")</f>
        <v/>
      </c>
      <c r="D56" s="18" t="str" cm="1">
        <f t="array" ref="D56">IFERROR(INDEX( _xlfn.TEXTSPLIT(SUBSTITUTE(A56,"เหลือ","")," "),3),"")</f>
        <v/>
      </c>
      <c r="G56" s="3"/>
      <c r="H56" s="3" t="str">
        <f>IF(ISBLANK(G56),"",IFERROR(VLOOKUP(G56,Master!$K$1:$L$100,2,0),"ไม่พบข้อมูล"))</f>
        <v/>
      </c>
      <c r="I56" s="3" t="str">
        <f>IF(ISBLANK(F56),"",_xlfn.XLOOKUP(J56,Master!E:E,Master!D:D,"ไม่พบข้อมูล"))</f>
        <v/>
      </c>
      <c r="J56" s="3" t="str" cm="1">
        <f t="array" ref="J56">IF(ISBLANK(F56),"",_xlfn.XLOOKUP(TRUE,'Master แปลงคำ'!A:A=F56, 'Master แปลงคำ'!B:B, "ไม่พบข้อมูล"))</f>
        <v/>
      </c>
      <c r="K56" s="23" t="str">
        <f>IF(OR(ISBLANK(F56),ISBLANK(G56)),"", COUNTIFS('Mk หลังแก้'!U:U,I56,'Mk หลังแก้'!Q:Q,H56,'Mk หลังแก้'!V:V,J56))</f>
        <v/>
      </c>
      <c r="L56" s="11">
        <f>SUMIFS('mk 001 10.3'!X:X,'mk 001 10.3'!V:V,J56,'mk 001 10.3'!Q:Q,H56)</f>
        <v>0</v>
      </c>
      <c r="N56" s="11">
        <f t="shared" si="0"/>
        <v>0</v>
      </c>
      <c r="O56" s="12" t="b">
        <v>0</v>
      </c>
      <c r="P56" s="12" t="b">
        <v>0</v>
      </c>
      <c r="Q56" s="24" t="str">
        <f t="shared" si="1"/>
        <v/>
      </c>
    </row>
    <row r="57" spans="2:17" x14ac:dyDescent="0.35">
      <c r="B57" s="18" t="str" cm="1">
        <f t="array" ref="B57">IFERROR(INDEX( _xlfn.TEXTSPLIT(SUBSTITUTE(A57,"เหลือ","")," "),1),"")</f>
        <v/>
      </c>
      <c r="C57" s="18" t="str" cm="1">
        <f t="array" ref="C57">IFERROR(INDEX( _xlfn.TEXTSPLIT(SUBSTITUTE(A57,"เหลือ","")," "),2),"")</f>
        <v/>
      </c>
      <c r="D57" s="18" t="str" cm="1">
        <f t="array" ref="D57">IFERROR(INDEX( _xlfn.TEXTSPLIT(SUBSTITUTE(A57,"เหลือ","")," "),3),"")</f>
        <v/>
      </c>
      <c r="G57" s="3"/>
      <c r="H57" s="3" t="str">
        <f>IF(ISBLANK(G57),"",IFERROR(VLOOKUP(G57,Master!$K$1:$L$100,2,0),"ไม่พบข้อมูล"))</f>
        <v/>
      </c>
      <c r="I57" s="3" t="str">
        <f>IF(ISBLANK(F57),"",_xlfn.XLOOKUP(J57,Master!E:E,Master!D:D,"ไม่พบข้อมูล"))</f>
        <v/>
      </c>
      <c r="J57" s="3" t="str" cm="1">
        <f t="array" ref="J57">IF(ISBLANK(F57),"",_xlfn.XLOOKUP(TRUE,'Master แปลงคำ'!A:A=F57, 'Master แปลงคำ'!B:B, "ไม่พบข้อมูล"))</f>
        <v/>
      </c>
      <c r="K57" s="23" t="str">
        <f>IF(OR(ISBLANK(F57),ISBLANK(G57)),"", COUNTIFS('Mk หลังแก้'!U:U,I57,'Mk หลังแก้'!Q:Q,H57,'Mk หลังแก้'!V:V,J57))</f>
        <v/>
      </c>
      <c r="L57" s="11">
        <f>SUMIFS('mk 001 10.3'!X:X,'mk 001 10.3'!V:V,J57,'mk 001 10.3'!Q:Q,H57)</f>
        <v>0</v>
      </c>
      <c r="N57" s="11">
        <f t="shared" si="0"/>
        <v>0</v>
      </c>
      <c r="O57" s="12" t="b">
        <v>0</v>
      </c>
      <c r="P57" s="12" t="b">
        <v>0</v>
      </c>
      <c r="Q57" s="24" t="str">
        <f t="shared" si="1"/>
        <v/>
      </c>
    </row>
    <row r="58" spans="2:17" x14ac:dyDescent="0.35">
      <c r="B58" s="18" t="str" cm="1">
        <f t="array" ref="B58">IFERROR(INDEX( _xlfn.TEXTSPLIT(SUBSTITUTE(A58,"เหลือ","")," "),1),"")</f>
        <v/>
      </c>
      <c r="C58" s="18" t="str" cm="1">
        <f t="array" ref="C58">IFERROR(INDEX( _xlfn.TEXTSPLIT(SUBSTITUTE(A58,"เหลือ","")," "),2),"")</f>
        <v/>
      </c>
      <c r="D58" s="18" t="str" cm="1">
        <f t="array" ref="D58">IFERROR(INDEX( _xlfn.TEXTSPLIT(SUBSTITUTE(A58,"เหลือ","")," "),3),"")</f>
        <v/>
      </c>
      <c r="G58" s="3"/>
      <c r="H58" s="3" t="str">
        <f>IF(ISBLANK(G58),"",IFERROR(VLOOKUP(G58,Master!$K$1:$L$100,2,0),"ไม่พบข้อมูล"))</f>
        <v/>
      </c>
      <c r="I58" s="3" t="str">
        <f>IF(ISBLANK(F58),"",_xlfn.XLOOKUP(J58,Master!E:E,Master!D:D,"ไม่พบข้อมูล"))</f>
        <v/>
      </c>
      <c r="J58" s="3" t="str" cm="1">
        <f t="array" ref="J58">IF(ISBLANK(F58),"",_xlfn.XLOOKUP(TRUE,'Master แปลงคำ'!A:A=F58, 'Master แปลงคำ'!B:B, "ไม่พบข้อมูล"))</f>
        <v/>
      </c>
      <c r="K58" s="23" t="str">
        <f>IF(OR(ISBLANK(F58),ISBLANK(G58)),"", COUNTIFS('Mk หลังแก้'!U:U,I58,'Mk หลังแก้'!Q:Q,H58,'Mk หลังแก้'!V:V,J58))</f>
        <v/>
      </c>
      <c r="L58" s="11">
        <f>SUMIFS('mk 001 10.3'!X:X,'mk 001 10.3'!V:V,J58,'mk 001 10.3'!Q:Q,H58)</f>
        <v>0</v>
      </c>
      <c r="N58" s="11">
        <f t="shared" si="0"/>
        <v>0</v>
      </c>
      <c r="O58" s="12" t="b">
        <v>0</v>
      </c>
      <c r="P58" s="12" t="b">
        <v>0</v>
      </c>
      <c r="Q58" s="24" t="str">
        <f t="shared" si="1"/>
        <v/>
      </c>
    </row>
    <row r="59" spans="2:17" x14ac:dyDescent="0.35">
      <c r="B59" s="18" t="str" cm="1">
        <f t="array" ref="B59">IFERROR(INDEX( _xlfn.TEXTSPLIT(SUBSTITUTE(A59,"เหลือ","")," "),1),"")</f>
        <v/>
      </c>
      <c r="C59" s="18" t="str" cm="1">
        <f t="array" ref="C59">IFERROR(INDEX( _xlfn.TEXTSPLIT(SUBSTITUTE(A59,"เหลือ","")," "),2),"")</f>
        <v/>
      </c>
      <c r="D59" s="18" t="str" cm="1">
        <f t="array" ref="D59">IFERROR(INDEX( _xlfn.TEXTSPLIT(SUBSTITUTE(A59,"เหลือ","")," "),3),"")</f>
        <v/>
      </c>
      <c r="G59" s="3"/>
      <c r="H59" s="3" t="str">
        <f>IF(ISBLANK(G59),"",IFERROR(VLOOKUP(G59,Master!$K$1:$L$100,2,0),"ไม่พบข้อมูล"))</f>
        <v/>
      </c>
      <c r="I59" s="3" t="str">
        <f>IF(ISBLANK(F59),"",_xlfn.XLOOKUP(J59,Master!E:E,Master!D:D,"ไม่พบข้อมูล"))</f>
        <v/>
      </c>
      <c r="J59" s="3" t="str" cm="1">
        <f t="array" ref="J59">IF(ISBLANK(F59),"",_xlfn.XLOOKUP(TRUE,'Master แปลงคำ'!A:A=F59, 'Master แปลงคำ'!B:B, "ไม่พบข้อมูล"))</f>
        <v/>
      </c>
      <c r="K59" s="23" t="str">
        <f>IF(OR(ISBLANK(F59),ISBLANK(G59)),"", COUNTIFS('Mk หลังแก้'!U:U,I59,'Mk หลังแก้'!Q:Q,H59,'Mk หลังแก้'!V:V,J59))</f>
        <v/>
      </c>
      <c r="L59" s="11">
        <f>SUMIFS('mk 001 10.3'!X:X,'mk 001 10.3'!V:V,J59,'mk 001 10.3'!Q:Q,H59)</f>
        <v>0</v>
      </c>
      <c r="N59" s="11">
        <f t="shared" si="0"/>
        <v>0</v>
      </c>
      <c r="O59" s="12" t="b">
        <v>0</v>
      </c>
      <c r="P59" s="12" t="b">
        <v>0</v>
      </c>
      <c r="Q59" s="24" t="str">
        <f t="shared" si="1"/>
        <v/>
      </c>
    </row>
    <row r="60" spans="2:17" x14ac:dyDescent="0.35">
      <c r="B60" s="18" t="str" cm="1">
        <f t="array" ref="B60">IFERROR(INDEX( _xlfn.TEXTSPLIT(SUBSTITUTE(A60,"เหลือ","")," "),1),"")</f>
        <v/>
      </c>
      <c r="C60" s="18" t="str" cm="1">
        <f t="array" ref="C60">IFERROR(INDEX( _xlfn.TEXTSPLIT(SUBSTITUTE(A60,"เหลือ","")," "),2),"")</f>
        <v/>
      </c>
      <c r="D60" s="18" t="str" cm="1">
        <f t="array" ref="D60">IFERROR(INDEX( _xlfn.TEXTSPLIT(SUBSTITUTE(A60,"เหลือ","")," "),3),"")</f>
        <v/>
      </c>
      <c r="G60" s="3"/>
      <c r="H60" s="3" t="str">
        <f>IF(ISBLANK(G60),"",IFERROR(VLOOKUP(G60,Master!$K$1:$L$100,2,0),"ไม่พบข้อมูล"))</f>
        <v/>
      </c>
      <c r="I60" s="3" t="str">
        <f>IF(ISBLANK(F60),"",_xlfn.XLOOKUP(J60,Master!E:E,Master!D:D,"ไม่พบข้อมูล"))</f>
        <v/>
      </c>
      <c r="J60" s="3" t="str" cm="1">
        <f t="array" ref="J60">IF(ISBLANK(F60),"",_xlfn.XLOOKUP(TRUE,'Master แปลงคำ'!A:A=F60, 'Master แปลงคำ'!B:B, "ไม่พบข้อมูล"))</f>
        <v/>
      </c>
      <c r="K60" s="23" t="str">
        <f>IF(OR(ISBLANK(F60),ISBLANK(G60)),"", COUNTIFS('Mk หลังแก้'!U:U,I60,'Mk หลังแก้'!Q:Q,H60,'Mk หลังแก้'!V:V,J60))</f>
        <v/>
      </c>
      <c r="L60" s="11">
        <f>SUMIFS('mk 001 10.3'!X:X,'mk 001 10.3'!V:V,J60,'mk 001 10.3'!Q:Q,H60)</f>
        <v>0</v>
      </c>
      <c r="N60" s="11">
        <f t="shared" si="0"/>
        <v>0</v>
      </c>
      <c r="O60" s="12" t="b">
        <v>0</v>
      </c>
      <c r="P60" s="12" t="b">
        <v>0</v>
      </c>
      <c r="Q60" s="24" t="str">
        <f t="shared" si="1"/>
        <v/>
      </c>
    </row>
    <row r="61" spans="2:17" x14ac:dyDescent="0.35">
      <c r="B61" s="18" t="str" cm="1">
        <f t="array" ref="B61">IFERROR(INDEX( _xlfn.TEXTSPLIT(SUBSTITUTE(A61,"เหลือ","")," "),1),"")</f>
        <v/>
      </c>
      <c r="C61" s="18" t="str" cm="1">
        <f t="array" ref="C61">IFERROR(INDEX( _xlfn.TEXTSPLIT(SUBSTITUTE(A61,"เหลือ","")," "),2),"")</f>
        <v/>
      </c>
      <c r="D61" s="18" t="str" cm="1">
        <f t="array" ref="D61">IFERROR(INDEX( _xlfn.TEXTSPLIT(SUBSTITUTE(A61,"เหลือ","")," "),3),"")</f>
        <v/>
      </c>
      <c r="G61" s="3"/>
      <c r="H61" s="3" t="str">
        <f>IF(ISBLANK(G61),"",IFERROR(VLOOKUP(G61,Master!$K$1:$L$100,2,0),"ไม่พบข้อมูล"))</f>
        <v/>
      </c>
      <c r="I61" s="3" t="str">
        <f>IF(ISBLANK(F61),"",_xlfn.XLOOKUP(J61,Master!E:E,Master!D:D,"ไม่พบข้อมูล"))</f>
        <v/>
      </c>
      <c r="J61" s="3" t="str" cm="1">
        <f t="array" ref="J61">IF(ISBLANK(F61),"",_xlfn.XLOOKUP(TRUE,'Master แปลงคำ'!A:A=F61, 'Master แปลงคำ'!B:B, "ไม่พบข้อมูล"))</f>
        <v/>
      </c>
      <c r="K61" s="23" t="str">
        <f>IF(OR(ISBLANK(F61),ISBLANK(G61)),"", COUNTIFS('Mk หลังแก้'!U:U,I61,'Mk หลังแก้'!Q:Q,H61,'Mk หลังแก้'!V:V,J61))</f>
        <v/>
      </c>
      <c r="L61" s="11">
        <f>SUMIFS('mk 001 10.3'!X:X,'mk 001 10.3'!V:V,J61,'mk 001 10.3'!Q:Q,H61)</f>
        <v>0</v>
      </c>
      <c r="N61" s="11">
        <f t="shared" si="0"/>
        <v>0</v>
      </c>
      <c r="O61" s="12" t="b">
        <v>0</v>
      </c>
      <c r="P61" s="12" t="b">
        <v>0</v>
      </c>
      <c r="Q61" s="24" t="str">
        <f t="shared" si="1"/>
        <v/>
      </c>
    </row>
    <row r="62" spans="2:17" x14ac:dyDescent="0.35">
      <c r="B62" s="18" t="str" cm="1">
        <f t="array" ref="B62">IFERROR(INDEX( _xlfn.TEXTSPLIT(SUBSTITUTE(A62,"เหลือ","")," "),1),"")</f>
        <v/>
      </c>
      <c r="C62" s="18" t="str" cm="1">
        <f t="array" ref="C62">IFERROR(INDEX( _xlfn.TEXTSPLIT(SUBSTITUTE(A62,"เหลือ","")," "),2),"")</f>
        <v/>
      </c>
      <c r="D62" s="18" t="str" cm="1">
        <f t="array" ref="D62">IFERROR(INDEX( _xlfn.TEXTSPLIT(SUBSTITUTE(A62,"เหลือ","")," "),3),"")</f>
        <v/>
      </c>
      <c r="G62" s="3"/>
      <c r="H62" s="3" t="str">
        <f>IF(ISBLANK(G62),"",IFERROR(VLOOKUP(G62,Master!$K$1:$L$100,2,0),"ไม่พบข้อมูล"))</f>
        <v/>
      </c>
      <c r="I62" s="3" t="str">
        <f>IF(ISBLANK(F62),"",_xlfn.XLOOKUP(J62,Master!E:E,Master!D:D,"ไม่พบข้อมูล"))</f>
        <v/>
      </c>
      <c r="J62" s="3" t="str" cm="1">
        <f t="array" ref="J62">IF(ISBLANK(F62),"",_xlfn.XLOOKUP(TRUE,'Master แปลงคำ'!A:A=F62, 'Master แปลงคำ'!B:B, "ไม่พบข้อมูล"))</f>
        <v/>
      </c>
      <c r="K62" s="23" t="str">
        <f>IF(OR(ISBLANK(F62),ISBLANK(G62)),"", COUNTIFS('Mk หลังแก้'!U:U,I62,'Mk หลังแก้'!Q:Q,H62,'Mk หลังแก้'!V:V,J62))</f>
        <v/>
      </c>
      <c r="L62" s="11">
        <f>SUMIFS('mk 001 10.3'!X:X,'mk 001 10.3'!V:V,J62,'mk 001 10.3'!Q:Q,H62)</f>
        <v>0</v>
      </c>
      <c r="N62" s="11">
        <f t="shared" si="0"/>
        <v>0</v>
      </c>
      <c r="O62" s="12" t="b">
        <v>0</v>
      </c>
      <c r="P62" s="12" t="b">
        <v>0</v>
      </c>
      <c r="Q62" s="24" t="str">
        <f t="shared" si="1"/>
        <v/>
      </c>
    </row>
    <row r="63" spans="2:17" x14ac:dyDescent="0.35">
      <c r="B63" s="18" t="str" cm="1">
        <f t="array" ref="B63">IFERROR(INDEX( _xlfn.TEXTSPLIT(SUBSTITUTE(A63,"เหลือ","")," "),1),"")</f>
        <v/>
      </c>
      <c r="C63" s="18" t="str" cm="1">
        <f t="array" ref="C63">IFERROR(INDEX( _xlfn.TEXTSPLIT(SUBSTITUTE(A63,"เหลือ","")," "),2),"")</f>
        <v/>
      </c>
      <c r="D63" s="18" t="str" cm="1">
        <f t="array" ref="D63">IFERROR(INDEX( _xlfn.TEXTSPLIT(SUBSTITUTE(A63,"เหลือ","")," "),3),"")</f>
        <v/>
      </c>
      <c r="G63" s="3"/>
      <c r="H63" s="3" t="str">
        <f>IF(ISBLANK(G63),"",IFERROR(VLOOKUP(G63,Master!$K$1:$L$100,2,0),"ไม่พบข้อมูล"))</f>
        <v/>
      </c>
      <c r="I63" s="3" t="str">
        <f>IF(ISBLANK(F63),"",_xlfn.XLOOKUP(J63,Master!E:E,Master!D:D,"ไม่พบข้อมูล"))</f>
        <v/>
      </c>
      <c r="J63" s="3" t="str" cm="1">
        <f t="array" ref="J63">IF(ISBLANK(F63),"",_xlfn.XLOOKUP(TRUE,'Master แปลงคำ'!A:A=F63, 'Master แปลงคำ'!B:B, "ไม่พบข้อมูล"))</f>
        <v/>
      </c>
      <c r="K63" s="23" t="str">
        <f>IF(OR(ISBLANK(F63),ISBLANK(G63)),"", COUNTIFS('Mk หลังแก้'!U:U,I63,'Mk หลังแก้'!Q:Q,H63,'Mk หลังแก้'!V:V,J63))</f>
        <v/>
      </c>
      <c r="L63" s="11">
        <f>SUMIFS('mk 001 10.3'!X:X,'mk 001 10.3'!V:V,J63,'mk 001 10.3'!Q:Q,H63)</f>
        <v>0</v>
      </c>
      <c r="N63" s="11">
        <f t="shared" si="0"/>
        <v>0</v>
      </c>
      <c r="O63" s="12" t="b">
        <v>0</v>
      </c>
      <c r="P63" s="12" t="b">
        <v>0</v>
      </c>
      <c r="Q63" s="24" t="str">
        <f t="shared" si="1"/>
        <v/>
      </c>
    </row>
    <row r="64" spans="2:17" x14ac:dyDescent="0.35">
      <c r="B64" s="18" t="str" cm="1">
        <f t="array" ref="B64">IFERROR(INDEX( _xlfn.TEXTSPLIT(SUBSTITUTE(A64,"เหลือ","")," "),1),"")</f>
        <v/>
      </c>
      <c r="C64" s="18" t="str" cm="1">
        <f t="array" ref="C64">IFERROR(INDEX( _xlfn.TEXTSPLIT(SUBSTITUTE(A64,"เหลือ","")," "),2),"")</f>
        <v/>
      </c>
      <c r="D64" s="18" t="str" cm="1">
        <f t="array" ref="D64">IFERROR(INDEX( _xlfn.TEXTSPLIT(SUBSTITUTE(A64,"เหลือ","")," "),3),"")</f>
        <v/>
      </c>
      <c r="G64" s="3"/>
      <c r="H64" s="3" t="str">
        <f>IF(ISBLANK(G64),"",IFERROR(VLOOKUP(G64,Master!$K$1:$L$100,2,0),"ไม่พบข้อมูล"))</f>
        <v/>
      </c>
      <c r="I64" s="3" t="str">
        <f>IF(ISBLANK(F64),"",_xlfn.XLOOKUP(J64,Master!E:E,Master!D:D,"ไม่พบข้อมูล"))</f>
        <v/>
      </c>
      <c r="J64" s="3" t="str" cm="1">
        <f t="array" ref="J64">IF(ISBLANK(F64),"",_xlfn.XLOOKUP(TRUE,'Master แปลงคำ'!A:A=F64, 'Master แปลงคำ'!B:B, "ไม่พบข้อมูล"))</f>
        <v/>
      </c>
      <c r="K64" s="23" t="str">
        <f>IF(OR(ISBLANK(F64),ISBLANK(G64)),"", COUNTIFS('Mk หลังแก้'!U:U,I64,'Mk หลังแก้'!Q:Q,H64,'Mk หลังแก้'!V:V,J64))</f>
        <v/>
      </c>
      <c r="L64" s="11">
        <f>SUMIFS('mk 001 10.3'!X:X,'mk 001 10.3'!V:V,J64,'mk 001 10.3'!Q:Q,H64)</f>
        <v>0</v>
      </c>
      <c r="N64" s="11">
        <f t="shared" si="0"/>
        <v>0</v>
      </c>
      <c r="O64" s="12" t="b">
        <v>0</v>
      </c>
      <c r="P64" s="12" t="b">
        <v>0</v>
      </c>
      <c r="Q64" s="24" t="str">
        <f t="shared" si="1"/>
        <v/>
      </c>
    </row>
    <row r="65" spans="2:17" x14ac:dyDescent="0.35">
      <c r="B65" s="18" t="str" cm="1">
        <f t="array" ref="B65">IFERROR(INDEX( _xlfn.TEXTSPLIT(SUBSTITUTE(A65,"เหลือ","")," "),1),"")</f>
        <v/>
      </c>
      <c r="C65" s="18" t="str" cm="1">
        <f t="array" ref="C65">IFERROR(INDEX( _xlfn.TEXTSPLIT(SUBSTITUTE(A65,"เหลือ","")," "),2),"")</f>
        <v/>
      </c>
      <c r="D65" s="18" t="str" cm="1">
        <f t="array" ref="D65">IFERROR(INDEX( _xlfn.TEXTSPLIT(SUBSTITUTE(A65,"เหลือ","")," "),3),"")</f>
        <v/>
      </c>
      <c r="G65" s="3"/>
      <c r="H65" s="3" t="str">
        <f>IF(ISBLANK(G65),"",IFERROR(VLOOKUP(G65,Master!$K$1:$L$100,2,0),"ไม่พบข้อมูล"))</f>
        <v/>
      </c>
      <c r="I65" s="3" t="str">
        <f>IF(ISBLANK(F65),"",_xlfn.XLOOKUP(J65,Master!E:E,Master!D:D,"ไม่พบข้อมูล"))</f>
        <v/>
      </c>
      <c r="J65" s="3" t="str" cm="1">
        <f t="array" ref="J65">IF(ISBLANK(F65),"",_xlfn.XLOOKUP(TRUE,'Master แปลงคำ'!A:A=F65, 'Master แปลงคำ'!B:B, "ไม่พบข้อมูล"))</f>
        <v/>
      </c>
      <c r="K65" s="23" t="str">
        <f>IF(OR(ISBLANK(F65),ISBLANK(G65)),"", COUNTIFS('Mk หลังแก้'!U:U,I65,'Mk หลังแก้'!Q:Q,H65,'Mk หลังแก้'!V:V,J65))</f>
        <v/>
      </c>
      <c r="L65" s="11">
        <f>SUMIFS('mk 001 10.3'!X:X,'mk 001 10.3'!V:V,J65,'mk 001 10.3'!Q:Q,H65)</f>
        <v>0</v>
      </c>
      <c r="N65" s="11">
        <f t="shared" si="0"/>
        <v>0</v>
      </c>
      <c r="O65" s="12" t="b">
        <v>0</v>
      </c>
      <c r="P65" s="12" t="b">
        <v>0</v>
      </c>
      <c r="Q65" s="24" t="str">
        <f t="shared" si="1"/>
        <v/>
      </c>
    </row>
    <row r="66" spans="2:17" x14ac:dyDescent="0.35">
      <c r="B66" s="18" t="str" cm="1">
        <f t="array" ref="B66">IFERROR(INDEX( _xlfn.TEXTSPLIT(SUBSTITUTE(A66,"เหลือ","")," "),1),"")</f>
        <v/>
      </c>
      <c r="C66" s="18" t="str" cm="1">
        <f t="array" ref="C66">IFERROR(INDEX( _xlfn.TEXTSPLIT(SUBSTITUTE(A66,"เหลือ","")," "),2),"")</f>
        <v/>
      </c>
      <c r="D66" s="18" t="str" cm="1">
        <f t="array" ref="D66">IFERROR(INDEX( _xlfn.TEXTSPLIT(SUBSTITUTE(A66,"เหลือ","")," "),3),"")</f>
        <v/>
      </c>
      <c r="G66" s="3"/>
      <c r="H66" s="3" t="str">
        <f>IF(ISBLANK(G66),"",IFERROR(VLOOKUP(G66,Master!$K$1:$L$100,2,0),"ไม่พบข้อมูล"))</f>
        <v/>
      </c>
      <c r="I66" s="3" t="str">
        <f>IF(ISBLANK(F66),"",_xlfn.XLOOKUP(J66,Master!E:E,Master!D:D,"ไม่พบข้อมูล"))</f>
        <v/>
      </c>
      <c r="J66" s="3" t="str" cm="1">
        <f t="array" ref="J66">IF(ISBLANK(F66),"",_xlfn.XLOOKUP(TRUE,'Master แปลงคำ'!A:A=F66, 'Master แปลงคำ'!B:B, "ไม่พบข้อมูล"))</f>
        <v/>
      </c>
      <c r="K66" s="23" t="str">
        <f>IF(OR(ISBLANK(F66),ISBLANK(G66)),"", COUNTIFS('Mk หลังแก้'!U:U,I66,'Mk หลังแก้'!Q:Q,H66,'Mk หลังแก้'!V:V,J66))</f>
        <v/>
      </c>
      <c r="L66" s="11">
        <f>SUMIFS('mk 001 10.3'!X:X,'mk 001 10.3'!V:V,J66,'mk 001 10.3'!Q:Q,H66)</f>
        <v>0</v>
      </c>
      <c r="N66" s="11">
        <f t="shared" si="0"/>
        <v>0</v>
      </c>
      <c r="O66" s="12" t="b">
        <v>0</v>
      </c>
      <c r="P66" s="12" t="b">
        <v>0</v>
      </c>
      <c r="Q66" s="24" t="str">
        <f t="shared" si="1"/>
        <v/>
      </c>
    </row>
    <row r="67" spans="2:17" x14ac:dyDescent="0.35">
      <c r="B67" s="18" t="str" cm="1">
        <f t="array" ref="B67">IFERROR(INDEX( _xlfn.TEXTSPLIT(SUBSTITUTE(A67,"เหลือ","")," "),1),"")</f>
        <v/>
      </c>
      <c r="C67" s="18" t="str" cm="1">
        <f t="array" ref="C67">IFERROR(INDEX( _xlfn.TEXTSPLIT(SUBSTITUTE(A67,"เหลือ","")," "),2),"")</f>
        <v/>
      </c>
      <c r="D67" s="18" t="str" cm="1">
        <f t="array" ref="D67">IFERROR(INDEX( _xlfn.TEXTSPLIT(SUBSTITUTE(A67,"เหลือ","")," "),3),"")</f>
        <v/>
      </c>
      <c r="G67" s="3"/>
      <c r="H67" s="3" t="str">
        <f>IF(ISBLANK(G67),"",IFERROR(VLOOKUP(G67,Master!$K$1:$L$100,2,0),"ไม่พบข้อมูล"))</f>
        <v/>
      </c>
      <c r="I67" s="3" t="str">
        <f>IF(ISBLANK(F67),"",_xlfn.XLOOKUP(J67,Master!E:E,Master!D:D,"ไม่พบข้อมูล"))</f>
        <v/>
      </c>
      <c r="J67" s="3" t="str" cm="1">
        <f t="array" ref="J67">IF(ISBLANK(F67),"",_xlfn.XLOOKUP(TRUE,'Master แปลงคำ'!A:A=F67, 'Master แปลงคำ'!B:B, "ไม่พบข้อมูล"))</f>
        <v/>
      </c>
      <c r="K67" s="23" t="str">
        <f>IF(OR(ISBLANK(F67),ISBLANK(G67)),"", COUNTIFS('Mk หลังแก้'!U:U,I67,'Mk หลังแก้'!Q:Q,H67,'Mk หลังแก้'!V:V,J67))</f>
        <v/>
      </c>
      <c r="L67" s="11">
        <f>SUMIFS('mk 001 10.3'!X:X,'mk 001 10.3'!V:V,J67,'mk 001 10.3'!Q:Q,H67)</f>
        <v>0</v>
      </c>
      <c r="N67" s="11">
        <f t="shared" ref="N67:N130" si="2">IF(O67,0,M67)</f>
        <v>0</v>
      </c>
      <c r="O67" s="12" t="b">
        <v>0</v>
      </c>
      <c r="P67" s="12" t="b">
        <v>0</v>
      </c>
      <c r="Q67" s="24" t="str">
        <f t="shared" ref="Q67:Q130" si="3">IFERROR(N67/K67,"")</f>
        <v/>
      </c>
    </row>
    <row r="68" spans="2:17" x14ac:dyDescent="0.35">
      <c r="B68" s="18" t="str" cm="1">
        <f t="array" ref="B68">IFERROR(INDEX( _xlfn.TEXTSPLIT(SUBSTITUTE(A68,"เหลือ","")," "),1),"")</f>
        <v/>
      </c>
      <c r="C68" s="18" t="str" cm="1">
        <f t="array" ref="C68">IFERROR(INDEX( _xlfn.TEXTSPLIT(SUBSTITUTE(A68,"เหลือ","")," "),2),"")</f>
        <v/>
      </c>
      <c r="D68" s="18" t="str" cm="1">
        <f t="array" ref="D68">IFERROR(INDEX( _xlfn.TEXTSPLIT(SUBSTITUTE(A68,"เหลือ","")," "),3),"")</f>
        <v/>
      </c>
      <c r="G68" s="3"/>
      <c r="H68" s="3" t="str">
        <f>IF(ISBLANK(G68),"",IFERROR(VLOOKUP(G68,Master!$K$1:$L$100,2,0),"ไม่พบข้อมูล"))</f>
        <v/>
      </c>
      <c r="I68" s="3" t="str">
        <f>IF(ISBLANK(F68),"",_xlfn.XLOOKUP(J68,Master!E:E,Master!D:D,"ไม่พบข้อมูล"))</f>
        <v/>
      </c>
      <c r="J68" s="3" t="str" cm="1">
        <f t="array" ref="J68">IF(ISBLANK(F68),"",_xlfn.XLOOKUP(TRUE,'Master แปลงคำ'!A:A=F68, 'Master แปลงคำ'!B:B, "ไม่พบข้อมูล"))</f>
        <v/>
      </c>
      <c r="K68" s="23" t="str">
        <f>IF(OR(ISBLANK(F68),ISBLANK(G68)),"", COUNTIFS('Mk หลังแก้'!U:U,I68,'Mk หลังแก้'!Q:Q,H68,'Mk หลังแก้'!V:V,J68))</f>
        <v/>
      </c>
      <c r="L68" s="11">
        <f>SUMIFS('mk 001 10.3'!X:X,'mk 001 10.3'!V:V,J68,'mk 001 10.3'!Q:Q,H68)</f>
        <v>0</v>
      </c>
      <c r="N68" s="11">
        <f t="shared" si="2"/>
        <v>0</v>
      </c>
      <c r="O68" s="12" t="b">
        <v>0</v>
      </c>
      <c r="P68" s="12" t="b">
        <v>0</v>
      </c>
      <c r="Q68" s="24" t="str">
        <f t="shared" si="3"/>
        <v/>
      </c>
    </row>
    <row r="69" spans="2:17" x14ac:dyDescent="0.35">
      <c r="B69" s="18" t="str" cm="1">
        <f t="array" ref="B69">IFERROR(INDEX( _xlfn.TEXTSPLIT(SUBSTITUTE(A69,"เหลือ","")," "),1),"")</f>
        <v/>
      </c>
      <c r="C69" s="18" t="str" cm="1">
        <f t="array" ref="C69">IFERROR(INDEX( _xlfn.TEXTSPLIT(SUBSTITUTE(A69,"เหลือ","")," "),2),"")</f>
        <v/>
      </c>
      <c r="D69" s="18" t="str" cm="1">
        <f t="array" ref="D69">IFERROR(INDEX( _xlfn.TEXTSPLIT(SUBSTITUTE(A69,"เหลือ","")," "),3),"")</f>
        <v/>
      </c>
      <c r="H69" s="3" t="str">
        <f>IF(ISBLANK(G69),"",IFERROR(VLOOKUP(G69,Master!$K$1:$L$100,2,0),"ไม่พบข้อมูล"))</f>
        <v/>
      </c>
      <c r="I69" s="3" t="str">
        <f>IF(ISBLANK(F69),"",_xlfn.XLOOKUP(J69,Master!E:E,Master!D:D,"ไม่พบข้อมูล"))</f>
        <v/>
      </c>
      <c r="J69" s="3" t="str" cm="1">
        <f t="array" ref="J69">IF(ISBLANK(F69),"",_xlfn.XLOOKUP(TRUE,'Master แปลงคำ'!A:A=F69, 'Master แปลงคำ'!B:B, "ไม่พบข้อมูล"))</f>
        <v/>
      </c>
      <c r="K69" s="23" t="str">
        <f>IF(OR(ISBLANK(F69),ISBLANK(G69)),"", COUNTIFS('Mk หลังแก้'!U:U,I69,'Mk หลังแก้'!Q:Q,H69,'Mk หลังแก้'!V:V,J69))</f>
        <v/>
      </c>
      <c r="L69" s="11">
        <f>SUMIFS('mk 001 10.3'!X:X,'mk 001 10.3'!V:V,J69,'mk 001 10.3'!Q:Q,H69)</f>
        <v>0</v>
      </c>
      <c r="N69" s="11">
        <f t="shared" si="2"/>
        <v>0</v>
      </c>
      <c r="O69" s="12" t="b">
        <v>0</v>
      </c>
      <c r="P69" s="12" t="b">
        <v>0</v>
      </c>
      <c r="Q69" s="24" t="str">
        <f t="shared" si="3"/>
        <v/>
      </c>
    </row>
    <row r="70" spans="2:17" x14ac:dyDescent="0.35">
      <c r="B70" s="18" t="str" cm="1">
        <f t="array" ref="B70">IFERROR(INDEX( _xlfn.TEXTSPLIT(SUBSTITUTE(A70,"เหลือ","")," "),1),"")</f>
        <v/>
      </c>
      <c r="C70" s="18" t="str" cm="1">
        <f t="array" ref="C70">IFERROR(INDEX( _xlfn.TEXTSPLIT(SUBSTITUTE(A70,"เหลือ","")," "),2),"")</f>
        <v/>
      </c>
      <c r="D70" s="18" t="str" cm="1">
        <f t="array" ref="D70">IFERROR(INDEX( _xlfn.TEXTSPLIT(SUBSTITUTE(A70,"เหลือ","")," "),3),"")</f>
        <v/>
      </c>
      <c r="H70" s="3" t="str">
        <f>IF(ISBLANK(G70),"",IFERROR(VLOOKUP(G70,Master!$K$1:$L$100,2,0),"ไม่พบข้อมูล"))</f>
        <v/>
      </c>
      <c r="I70" s="3" t="str">
        <f>IF(ISBLANK(F70),"",_xlfn.XLOOKUP(J70,Master!E:E,Master!D:D,"ไม่พบข้อมูล"))</f>
        <v/>
      </c>
      <c r="J70" s="3" t="str" cm="1">
        <f t="array" ref="J70">IF(ISBLANK(F70),"",_xlfn.XLOOKUP(TRUE,'Master แปลงคำ'!A:A=F70, 'Master แปลงคำ'!B:B, "ไม่พบข้อมูล"))</f>
        <v/>
      </c>
      <c r="K70" s="23" t="str">
        <f>IF(OR(ISBLANK(F70),ISBLANK(G70)),"", COUNTIFS('Mk หลังแก้'!U:U,I70,'Mk หลังแก้'!Q:Q,H70,'Mk หลังแก้'!V:V,J70))</f>
        <v/>
      </c>
      <c r="L70" s="11">
        <f>SUMIFS('mk 001 10.3'!X:X,'mk 001 10.3'!V:V,J70,'mk 001 10.3'!Q:Q,H70)</f>
        <v>0</v>
      </c>
      <c r="N70" s="11">
        <f t="shared" si="2"/>
        <v>0</v>
      </c>
      <c r="O70" s="12" t="b">
        <v>0</v>
      </c>
      <c r="P70" s="12" t="b">
        <v>0</v>
      </c>
      <c r="Q70" s="24" t="str">
        <f t="shared" si="3"/>
        <v/>
      </c>
    </row>
    <row r="71" spans="2:17" x14ac:dyDescent="0.35">
      <c r="B71" s="18" t="str" cm="1">
        <f t="array" ref="B71">IFERROR(INDEX( _xlfn.TEXTSPLIT(SUBSTITUTE(A71,"เหลือ","")," "),1),"")</f>
        <v/>
      </c>
      <c r="C71" s="18" t="str" cm="1">
        <f t="array" ref="C71">IFERROR(INDEX( _xlfn.TEXTSPLIT(SUBSTITUTE(A71,"เหลือ","")," "),2),"")</f>
        <v/>
      </c>
      <c r="D71" s="18" t="str" cm="1">
        <f t="array" ref="D71">IFERROR(INDEX( _xlfn.TEXTSPLIT(SUBSTITUTE(A71,"เหลือ","")," "),3),"")</f>
        <v/>
      </c>
      <c r="H71" s="3" t="str">
        <f>IF(ISBLANK(G71),"",IFERROR(VLOOKUP(G71,Master!$K$1:$L$100,2,0),"ไม่พบข้อมูล"))</f>
        <v/>
      </c>
      <c r="I71" s="3" t="str">
        <f>IF(ISBLANK(F71),"",_xlfn.XLOOKUP(J71,Master!E:E,Master!D:D,"ไม่พบข้อมูล"))</f>
        <v/>
      </c>
      <c r="J71" s="3" t="str" cm="1">
        <f t="array" ref="J71">IF(ISBLANK(F71),"",_xlfn.XLOOKUP(TRUE,'Master แปลงคำ'!A:A=F71, 'Master แปลงคำ'!B:B, "ไม่พบข้อมูล"))</f>
        <v/>
      </c>
      <c r="K71" s="23" t="str">
        <f>IF(OR(ISBLANK(F71),ISBLANK(G71)),"", COUNTIFS('Mk หลังแก้'!U:U,I71,'Mk หลังแก้'!Q:Q,H71,'Mk หลังแก้'!V:V,J71))</f>
        <v/>
      </c>
      <c r="L71" s="11">
        <f>SUMIFS('mk 001 10.3'!X:X,'mk 001 10.3'!V:V,J71,'mk 001 10.3'!Q:Q,H71)</f>
        <v>0</v>
      </c>
      <c r="N71" s="11">
        <f t="shared" si="2"/>
        <v>0</v>
      </c>
      <c r="O71" s="12" t="b">
        <v>0</v>
      </c>
      <c r="P71" s="12" t="b">
        <v>0</v>
      </c>
      <c r="Q71" s="24" t="str">
        <f t="shared" si="3"/>
        <v/>
      </c>
    </row>
    <row r="72" spans="2:17" x14ac:dyDescent="0.35">
      <c r="B72" s="18" t="str" cm="1">
        <f t="array" ref="B72">IFERROR(INDEX( _xlfn.TEXTSPLIT(SUBSTITUTE(A72,"เหลือ","")," "),1),"")</f>
        <v/>
      </c>
      <c r="C72" s="18" t="str" cm="1">
        <f t="array" ref="C72">IFERROR(INDEX( _xlfn.TEXTSPLIT(SUBSTITUTE(A72,"เหลือ","")," "),2),"")</f>
        <v/>
      </c>
      <c r="D72" s="18" t="str" cm="1">
        <f t="array" ref="D72">IFERROR(INDEX( _xlfn.TEXTSPLIT(SUBSTITUTE(A72,"เหลือ","")," "),3),"")</f>
        <v/>
      </c>
      <c r="H72" s="3" t="str">
        <f>IF(ISBLANK(G72),"",IFERROR(VLOOKUP(G72,Master!$K$1:$L$100,2,0),"ไม่พบข้อมูล"))</f>
        <v/>
      </c>
      <c r="I72" s="3" t="str">
        <f>IF(ISBLANK(F72),"",_xlfn.XLOOKUP(J72,Master!E:E,Master!D:D,"ไม่พบข้อมูล"))</f>
        <v/>
      </c>
      <c r="J72" s="3" t="str" cm="1">
        <f t="array" ref="J72">IF(ISBLANK(F72),"",_xlfn.XLOOKUP(TRUE,'Master แปลงคำ'!A:A=F72, 'Master แปลงคำ'!B:B, "ไม่พบข้อมูล"))</f>
        <v/>
      </c>
      <c r="K72" s="23" t="str">
        <f>IF(OR(ISBLANK(F72),ISBLANK(G72)),"", COUNTIFS('Mk หลังแก้'!U:U,I72,'Mk หลังแก้'!Q:Q,H72,'Mk หลังแก้'!V:V,J72))</f>
        <v/>
      </c>
      <c r="L72" s="11">
        <f>SUMIFS('mk 001 10.3'!X:X,'mk 001 10.3'!V:V,J72,'mk 001 10.3'!Q:Q,H72)</f>
        <v>0</v>
      </c>
      <c r="N72" s="11">
        <f t="shared" si="2"/>
        <v>0</v>
      </c>
      <c r="O72" s="12" t="b">
        <v>0</v>
      </c>
      <c r="P72" s="12" t="b">
        <v>0</v>
      </c>
      <c r="Q72" s="24" t="str">
        <f t="shared" si="3"/>
        <v/>
      </c>
    </row>
    <row r="73" spans="2:17" x14ac:dyDescent="0.35">
      <c r="B73" s="18" t="str" cm="1">
        <f t="array" ref="B73">IFERROR(INDEX( _xlfn.TEXTSPLIT(SUBSTITUTE(A73,"เหลือ","")," "),1),"")</f>
        <v/>
      </c>
      <c r="C73" s="18" t="str" cm="1">
        <f t="array" ref="C73">IFERROR(INDEX( _xlfn.TEXTSPLIT(SUBSTITUTE(A73,"เหลือ","")," "),2),"")</f>
        <v/>
      </c>
      <c r="D73" s="18" t="str" cm="1">
        <f t="array" ref="D73">IFERROR(INDEX( _xlfn.TEXTSPLIT(SUBSTITUTE(A73,"เหลือ","")," "),3),"")</f>
        <v/>
      </c>
      <c r="H73" s="3" t="str">
        <f>IF(ISBLANK(G73),"",IFERROR(VLOOKUP(G73,Master!$K$1:$L$100,2,0),"ไม่พบข้อมูล"))</f>
        <v/>
      </c>
      <c r="I73" s="3" t="str">
        <f>IF(ISBLANK(F73),"",_xlfn.XLOOKUP(J73,Master!E:E,Master!D:D,"ไม่พบข้อมูล"))</f>
        <v/>
      </c>
      <c r="J73" s="3" t="str" cm="1">
        <f t="array" ref="J73">IF(ISBLANK(F73),"",_xlfn.XLOOKUP(TRUE,'Master แปลงคำ'!A:A=F73, 'Master แปลงคำ'!B:B, "ไม่พบข้อมูล"))</f>
        <v/>
      </c>
      <c r="K73" s="23" t="str">
        <f>IF(OR(ISBLANK(F73),ISBLANK(G73)),"", COUNTIFS('Mk หลังแก้'!U:U,I73,'Mk หลังแก้'!Q:Q,H73,'Mk หลังแก้'!V:V,J73))</f>
        <v/>
      </c>
      <c r="L73" s="11">
        <f>SUMIFS('mk 001 10.3'!X:X,'mk 001 10.3'!V:V,J73,'mk 001 10.3'!Q:Q,H73)</f>
        <v>0</v>
      </c>
      <c r="N73" s="11">
        <f t="shared" si="2"/>
        <v>0</v>
      </c>
      <c r="O73" s="12" t="b">
        <v>0</v>
      </c>
      <c r="P73" s="12" t="b">
        <v>0</v>
      </c>
      <c r="Q73" s="24" t="str">
        <f t="shared" si="3"/>
        <v/>
      </c>
    </row>
    <row r="74" spans="2:17" x14ac:dyDescent="0.35">
      <c r="B74" s="18" t="str" cm="1">
        <f t="array" ref="B74">IFERROR(INDEX( _xlfn.TEXTSPLIT(SUBSTITUTE(A74,"เหลือ","")," "),1),"")</f>
        <v/>
      </c>
      <c r="C74" s="18" t="str" cm="1">
        <f t="array" ref="C74">IFERROR(INDEX( _xlfn.TEXTSPLIT(SUBSTITUTE(A74,"เหลือ","")," "),2),"")</f>
        <v/>
      </c>
      <c r="D74" s="18" t="str" cm="1">
        <f t="array" ref="D74">IFERROR(INDEX( _xlfn.TEXTSPLIT(SUBSTITUTE(A74,"เหลือ","")," "),3),"")</f>
        <v/>
      </c>
      <c r="H74" s="3" t="str">
        <f>IF(ISBLANK(G74),"",IFERROR(VLOOKUP(G74,Master!$K$1:$L$100,2,0),"ไม่พบข้อมูล"))</f>
        <v/>
      </c>
      <c r="I74" s="3" t="str">
        <f>IF(ISBLANK(F74),"",_xlfn.XLOOKUP(J74,Master!E:E,Master!D:D,"ไม่พบข้อมูล"))</f>
        <v/>
      </c>
      <c r="J74" s="3" t="str" cm="1">
        <f t="array" ref="J74">IF(ISBLANK(F74),"",_xlfn.XLOOKUP(TRUE,'Master แปลงคำ'!A:A=F74, 'Master แปลงคำ'!B:B, "ไม่พบข้อมูล"))</f>
        <v/>
      </c>
      <c r="K74" s="23" t="str">
        <f>IF(OR(ISBLANK(F74),ISBLANK(G74)),"", COUNTIFS('Mk หลังแก้'!U:U,I74,'Mk หลังแก้'!Q:Q,H74,'Mk หลังแก้'!V:V,J74))</f>
        <v/>
      </c>
      <c r="L74" s="11">
        <f>SUMIFS('mk 001 10.3'!X:X,'mk 001 10.3'!V:V,J74,'mk 001 10.3'!Q:Q,H74)</f>
        <v>0</v>
      </c>
      <c r="N74" s="11">
        <f t="shared" si="2"/>
        <v>0</v>
      </c>
      <c r="O74" s="12" t="b">
        <v>0</v>
      </c>
      <c r="P74" s="12" t="b">
        <v>0</v>
      </c>
      <c r="Q74" s="24" t="str">
        <f t="shared" si="3"/>
        <v/>
      </c>
    </row>
    <row r="75" spans="2:17" x14ac:dyDescent="0.35">
      <c r="B75" s="18" t="str" cm="1">
        <f t="array" ref="B75">IFERROR(INDEX( _xlfn.TEXTSPLIT(SUBSTITUTE(A75,"เหลือ","")," "),1),"")</f>
        <v/>
      </c>
      <c r="C75" s="18" t="str" cm="1">
        <f t="array" ref="C75">IFERROR(INDEX( _xlfn.TEXTSPLIT(SUBSTITUTE(A75,"เหลือ","")," "),2),"")</f>
        <v/>
      </c>
      <c r="D75" s="18" t="str" cm="1">
        <f t="array" ref="D75">IFERROR(INDEX( _xlfn.TEXTSPLIT(SUBSTITUTE(A75,"เหลือ","")," "),3),"")</f>
        <v/>
      </c>
      <c r="H75" s="3" t="str">
        <f>IF(ISBLANK(G75),"",IFERROR(VLOOKUP(G75,Master!$K$1:$L$100,2,0),"ไม่พบข้อมูล"))</f>
        <v/>
      </c>
      <c r="I75" s="3" t="str">
        <f>IF(ISBLANK(F75),"",_xlfn.XLOOKUP(J75,Master!E:E,Master!D:D,"ไม่พบข้อมูล"))</f>
        <v/>
      </c>
      <c r="J75" s="3" t="str" cm="1">
        <f t="array" ref="J75">IF(ISBLANK(F75),"",_xlfn.XLOOKUP(TRUE,'Master แปลงคำ'!A:A=F75, 'Master แปลงคำ'!B:B, "ไม่พบข้อมูล"))</f>
        <v/>
      </c>
      <c r="K75" s="23" t="str">
        <f>IF(OR(ISBLANK(F75),ISBLANK(G75)),"", COUNTIFS('Mk หลังแก้'!U:U,I75,'Mk หลังแก้'!Q:Q,H75,'Mk หลังแก้'!V:V,J75))</f>
        <v/>
      </c>
      <c r="L75" s="11">
        <f>SUMIFS('mk 001 10.3'!X:X,'mk 001 10.3'!V:V,J75,'mk 001 10.3'!Q:Q,H75)</f>
        <v>0</v>
      </c>
      <c r="N75" s="11">
        <f t="shared" si="2"/>
        <v>0</v>
      </c>
      <c r="O75" s="12" t="b">
        <v>0</v>
      </c>
      <c r="P75" s="12" t="b">
        <v>0</v>
      </c>
      <c r="Q75" s="24" t="str">
        <f t="shared" si="3"/>
        <v/>
      </c>
    </row>
    <row r="76" spans="2:17" x14ac:dyDescent="0.35">
      <c r="B76" s="18" t="str" cm="1">
        <f t="array" ref="B76">IFERROR(INDEX( _xlfn.TEXTSPLIT(SUBSTITUTE(A76,"เหลือ","")," "),1),"")</f>
        <v/>
      </c>
      <c r="C76" s="18" t="str" cm="1">
        <f t="array" ref="C76">IFERROR(INDEX( _xlfn.TEXTSPLIT(SUBSTITUTE(A76,"เหลือ","")," "),2),"")</f>
        <v/>
      </c>
      <c r="D76" s="18" t="str" cm="1">
        <f t="array" ref="D76">IFERROR(INDEX( _xlfn.TEXTSPLIT(SUBSTITUTE(A76,"เหลือ","")," "),3),"")</f>
        <v/>
      </c>
      <c r="H76" s="3" t="str">
        <f>IF(ISBLANK(G76),"",IFERROR(VLOOKUP(G76,Master!$K$1:$L$100,2,0),"ไม่พบข้อมูล"))</f>
        <v/>
      </c>
      <c r="I76" s="3" t="str">
        <f>IF(ISBLANK(F76),"",_xlfn.XLOOKUP(J76,Master!E:E,Master!D:D,"ไม่พบข้อมูล"))</f>
        <v/>
      </c>
      <c r="J76" s="3" t="str" cm="1">
        <f t="array" ref="J76">IF(ISBLANK(F76),"",_xlfn.XLOOKUP(TRUE,'Master แปลงคำ'!A:A=F76, 'Master แปลงคำ'!B:B, "ไม่พบข้อมูล"))</f>
        <v/>
      </c>
      <c r="K76" s="23" t="str">
        <f>IF(OR(ISBLANK(F76),ISBLANK(G76)),"", COUNTIFS('Mk หลังแก้'!U:U,I76,'Mk หลังแก้'!Q:Q,H76,'Mk หลังแก้'!V:V,J76))</f>
        <v/>
      </c>
      <c r="L76" s="11">
        <f>SUMIFS('mk 001 10.3'!X:X,'mk 001 10.3'!V:V,J76,'mk 001 10.3'!Q:Q,H76)</f>
        <v>0</v>
      </c>
      <c r="N76" s="11">
        <f t="shared" si="2"/>
        <v>0</v>
      </c>
      <c r="O76" s="12" t="b">
        <v>0</v>
      </c>
      <c r="P76" s="12" t="b">
        <v>0</v>
      </c>
      <c r="Q76" s="24" t="str">
        <f t="shared" si="3"/>
        <v/>
      </c>
    </row>
    <row r="77" spans="2:17" x14ac:dyDescent="0.35">
      <c r="B77" s="18" t="str" cm="1">
        <f t="array" ref="B77">IFERROR(INDEX( _xlfn.TEXTSPLIT(SUBSTITUTE(A77,"เหลือ","")," "),1),"")</f>
        <v/>
      </c>
      <c r="C77" s="18" t="str" cm="1">
        <f t="array" ref="C77">IFERROR(INDEX( _xlfn.TEXTSPLIT(SUBSTITUTE(A77,"เหลือ","")," "),2),"")</f>
        <v/>
      </c>
      <c r="D77" s="18" t="str" cm="1">
        <f t="array" ref="D77">IFERROR(INDEX( _xlfn.TEXTSPLIT(SUBSTITUTE(A77,"เหลือ","")," "),3),"")</f>
        <v/>
      </c>
      <c r="H77" s="3" t="str">
        <f>IF(ISBLANK(G77),"",IFERROR(VLOOKUP(G77,Master!$K$1:$L$100,2,0),"ไม่พบข้อมูล"))</f>
        <v/>
      </c>
      <c r="I77" s="3" t="str">
        <f>IF(ISBLANK(F77),"",_xlfn.XLOOKUP(J77,Master!E:E,Master!D:D,"ไม่พบข้อมูล"))</f>
        <v/>
      </c>
      <c r="J77" s="3" t="str" cm="1">
        <f t="array" ref="J77">IF(ISBLANK(F77),"",_xlfn.XLOOKUP(TRUE,'Master แปลงคำ'!A:A=F77, 'Master แปลงคำ'!B:B, "ไม่พบข้อมูล"))</f>
        <v/>
      </c>
      <c r="K77" s="23" t="str">
        <f>IF(OR(ISBLANK(F77),ISBLANK(G77)),"", COUNTIFS('Mk หลังแก้'!U:U,I77,'Mk หลังแก้'!Q:Q,H77,'Mk หลังแก้'!V:V,J77))</f>
        <v/>
      </c>
      <c r="L77" s="11">
        <f>SUMIFS('mk 001 10.3'!X:X,'mk 001 10.3'!V:V,J77,'mk 001 10.3'!Q:Q,H77)</f>
        <v>0</v>
      </c>
      <c r="N77" s="11">
        <f t="shared" si="2"/>
        <v>0</v>
      </c>
      <c r="O77" s="12" t="b">
        <v>0</v>
      </c>
      <c r="P77" s="12" t="b">
        <v>0</v>
      </c>
      <c r="Q77" s="24" t="str">
        <f t="shared" si="3"/>
        <v/>
      </c>
    </row>
    <row r="78" spans="2:17" x14ac:dyDescent="0.35">
      <c r="B78" s="18" t="str" cm="1">
        <f t="array" ref="B78">IFERROR(INDEX( _xlfn.TEXTSPLIT(SUBSTITUTE(A78,"เหลือ","")," "),1),"")</f>
        <v/>
      </c>
      <c r="C78" s="18" t="str" cm="1">
        <f t="array" ref="C78">IFERROR(INDEX( _xlfn.TEXTSPLIT(SUBSTITUTE(A78,"เหลือ","")," "),2),"")</f>
        <v/>
      </c>
      <c r="D78" s="18" t="str" cm="1">
        <f t="array" ref="D78">IFERROR(INDEX( _xlfn.TEXTSPLIT(SUBSTITUTE(A78,"เหลือ","")," "),3),"")</f>
        <v/>
      </c>
      <c r="H78" s="3" t="str">
        <f>IF(ISBLANK(G78),"",IFERROR(VLOOKUP(G78,Master!$K$1:$L$100,2,0),"ไม่พบข้อมูล"))</f>
        <v/>
      </c>
      <c r="I78" s="3" t="str">
        <f>IF(ISBLANK(F78),"",_xlfn.XLOOKUP(J78,Master!E:E,Master!D:D,"ไม่พบข้อมูล"))</f>
        <v/>
      </c>
      <c r="J78" s="3" t="str" cm="1">
        <f t="array" ref="J78">IF(ISBLANK(F78),"",_xlfn.XLOOKUP(TRUE,'Master แปลงคำ'!A:A=F78, 'Master แปลงคำ'!B:B, "ไม่พบข้อมูล"))</f>
        <v/>
      </c>
      <c r="K78" s="23" t="str">
        <f>IF(OR(ISBLANK(F78),ISBLANK(G78)),"", COUNTIFS('Mk หลังแก้'!U:U,I78,'Mk หลังแก้'!Q:Q,H78,'Mk หลังแก้'!V:V,J78))</f>
        <v/>
      </c>
      <c r="L78" s="11">
        <f>SUMIFS('mk 001 10.3'!X:X,'mk 001 10.3'!V:V,J78,'mk 001 10.3'!Q:Q,H78)</f>
        <v>0</v>
      </c>
      <c r="N78" s="11">
        <f t="shared" si="2"/>
        <v>0</v>
      </c>
      <c r="O78" s="12" t="b">
        <v>0</v>
      </c>
      <c r="P78" s="12" t="b">
        <v>0</v>
      </c>
      <c r="Q78" s="24" t="str">
        <f t="shared" si="3"/>
        <v/>
      </c>
    </row>
    <row r="79" spans="2:17" x14ac:dyDescent="0.35">
      <c r="B79" s="18" t="str" cm="1">
        <f t="array" ref="B79">IFERROR(INDEX( _xlfn.TEXTSPLIT(SUBSTITUTE(A79,"เหลือ","")," "),1),"")</f>
        <v/>
      </c>
      <c r="C79" s="18" t="str" cm="1">
        <f t="array" ref="C79">IFERROR(INDEX( _xlfn.TEXTSPLIT(SUBSTITUTE(A79,"เหลือ","")," "),2),"")</f>
        <v/>
      </c>
      <c r="D79" s="18" t="str" cm="1">
        <f t="array" ref="D79">IFERROR(INDEX( _xlfn.TEXTSPLIT(SUBSTITUTE(A79,"เหลือ","")," "),3),"")</f>
        <v/>
      </c>
      <c r="H79" s="3" t="str">
        <f>IF(ISBLANK(G79),"",IFERROR(VLOOKUP(G79,Master!$K$1:$L$100,2,0),"ไม่พบข้อมูล"))</f>
        <v/>
      </c>
      <c r="I79" s="3" t="str">
        <f>IF(ISBLANK(F79),"",_xlfn.XLOOKUP(J79,Master!E:E,Master!D:D,"ไม่พบข้อมูล"))</f>
        <v/>
      </c>
      <c r="J79" s="3" t="str" cm="1">
        <f t="array" ref="J79">IF(ISBLANK(F79),"",_xlfn.XLOOKUP(TRUE,'Master แปลงคำ'!A:A=F79, 'Master แปลงคำ'!B:B, "ไม่พบข้อมูล"))</f>
        <v/>
      </c>
      <c r="K79" s="23" t="str">
        <f>IF(OR(ISBLANK(F79),ISBLANK(G79)),"", COUNTIFS('Mk หลังแก้'!U:U,I79,'Mk หลังแก้'!Q:Q,H79,'Mk หลังแก้'!V:V,J79))</f>
        <v/>
      </c>
      <c r="L79" s="11">
        <f>SUMIFS('mk 001 10.3'!X:X,'mk 001 10.3'!V:V,J79,'mk 001 10.3'!Q:Q,H79)</f>
        <v>0</v>
      </c>
      <c r="N79" s="11">
        <f t="shared" si="2"/>
        <v>0</v>
      </c>
      <c r="O79" s="12" t="b">
        <v>0</v>
      </c>
      <c r="P79" s="12" t="b">
        <v>0</v>
      </c>
      <c r="Q79" s="24" t="str">
        <f t="shared" si="3"/>
        <v/>
      </c>
    </row>
    <row r="80" spans="2:17" x14ac:dyDescent="0.35">
      <c r="B80" s="18" t="str" cm="1">
        <f t="array" ref="B80">IFERROR(INDEX( _xlfn.TEXTSPLIT(SUBSTITUTE(A80,"เหลือ","")," "),1),"")</f>
        <v/>
      </c>
      <c r="C80" s="18" t="str" cm="1">
        <f t="array" ref="C80">IFERROR(INDEX( _xlfn.TEXTSPLIT(SUBSTITUTE(A80,"เหลือ","")," "),2),"")</f>
        <v/>
      </c>
      <c r="D80" s="18" t="str" cm="1">
        <f t="array" ref="D80">IFERROR(INDEX( _xlfn.TEXTSPLIT(SUBSTITUTE(A80,"เหลือ","")," "),3),"")</f>
        <v/>
      </c>
      <c r="H80" s="3" t="str">
        <f>IF(ISBLANK(G80),"",IFERROR(VLOOKUP(G80,Master!$K$1:$L$100,2,0),"ไม่พบข้อมูล"))</f>
        <v/>
      </c>
      <c r="I80" s="3" t="str">
        <f>IF(ISBLANK(F80),"",_xlfn.XLOOKUP(J80,Master!E:E,Master!D:D,"ไม่พบข้อมูล"))</f>
        <v/>
      </c>
      <c r="J80" s="3" t="str" cm="1">
        <f t="array" ref="J80">IF(ISBLANK(F80),"",_xlfn.XLOOKUP(TRUE,'Master แปลงคำ'!A:A=F80, 'Master แปลงคำ'!B:B, "ไม่พบข้อมูล"))</f>
        <v/>
      </c>
      <c r="K80" s="23" t="str">
        <f>IF(OR(ISBLANK(F80),ISBLANK(G80)),"", COUNTIFS('Mk หลังแก้'!U:U,I80,'Mk หลังแก้'!Q:Q,H80,'Mk หลังแก้'!V:V,J80))</f>
        <v/>
      </c>
      <c r="L80" s="11">
        <f>SUMIFS('mk 001 10.3'!X:X,'mk 001 10.3'!V:V,J80,'mk 001 10.3'!Q:Q,H80)</f>
        <v>0</v>
      </c>
      <c r="N80" s="11">
        <f t="shared" si="2"/>
        <v>0</v>
      </c>
      <c r="O80" s="12" t="b">
        <v>0</v>
      </c>
      <c r="P80" s="12" t="b">
        <v>0</v>
      </c>
      <c r="Q80" s="24" t="str">
        <f t="shared" si="3"/>
        <v/>
      </c>
    </row>
    <row r="81" spans="2:17" x14ac:dyDescent="0.35">
      <c r="B81" s="18" t="str" cm="1">
        <f t="array" ref="B81">IFERROR(INDEX( _xlfn.TEXTSPLIT(SUBSTITUTE(A81,"เหลือ","")," "),1),"")</f>
        <v/>
      </c>
      <c r="C81" s="18" t="str" cm="1">
        <f t="array" ref="C81">IFERROR(INDEX( _xlfn.TEXTSPLIT(SUBSTITUTE(A81,"เหลือ","")," "),2),"")</f>
        <v/>
      </c>
      <c r="D81" s="18" t="str" cm="1">
        <f t="array" ref="D81">IFERROR(INDEX( _xlfn.TEXTSPLIT(SUBSTITUTE(A81,"เหลือ","")," "),3),"")</f>
        <v/>
      </c>
      <c r="H81" s="3" t="str">
        <f>IF(ISBLANK(G81),"",IFERROR(VLOOKUP(G81,Master!$K$1:$L$100,2,0),"ไม่พบข้อมูล"))</f>
        <v/>
      </c>
      <c r="I81" s="3" t="str">
        <f>IF(ISBLANK(F81),"",_xlfn.XLOOKUP(J81,Master!E:E,Master!D:D,"ไม่พบข้อมูล"))</f>
        <v/>
      </c>
      <c r="J81" s="3" t="str" cm="1">
        <f t="array" ref="J81">IF(ISBLANK(F81),"",_xlfn.XLOOKUP(TRUE,'Master แปลงคำ'!A:A=F81, 'Master แปลงคำ'!B:B, "ไม่พบข้อมูล"))</f>
        <v/>
      </c>
      <c r="K81" s="23" t="str">
        <f>IF(OR(ISBLANK(F81),ISBLANK(G81)),"", COUNTIFS('Mk หลังแก้'!U:U,I81,'Mk หลังแก้'!Q:Q,H81,'Mk หลังแก้'!V:V,J81))</f>
        <v/>
      </c>
      <c r="L81" s="11">
        <f>SUMIFS('mk 001 10.3'!X:X,'mk 001 10.3'!V:V,J81,'mk 001 10.3'!Q:Q,H81)</f>
        <v>0</v>
      </c>
      <c r="N81" s="11">
        <f t="shared" si="2"/>
        <v>0</v>
      </c>
      <c r="O81" s="12" t="b">
        <v>0</v>
      </c>
      <c r="P81" s="12" t="b">
        <v>0</v>
      </c>
      <c r="Q81" s="24" t="str">
        <f t="shared" si="3"/>
        <v/>
      </c>
    </row>
    <row r="82" spans="2:17" x14ac:dyDescent="0.35">
      <c r="B82" s="18" t="str" cm="1">
        <f t="array" ref="B82">IFERROR(INDEX( _xlfn.TEXTSPLIT(SUBSTITUTE(A82,"เหลือ","")," "),1),"")</f>
        <v/>
      </c>
      <c r="C82" s="18" t="str" cm="1">
        <f t="array" ref="C82">IFERROR(INDEX( _xlfn.TEXTSPLIT(SUBSTITUTE(A82,"เหลือ","")," "),2),"")</f>
        <v/>
      </c>
      <c r="D82" s="18" t="str" cm="1">
        <f t="array" ref="D82">IFERROR(INDEX( _xlfn.TEXTSPLIT(SUBSTITUTE(A82,"เหลือ","")," "),3),"")</f>
        <v/>
      </c>
      <c r="H82" s="3" t="str">
        <f>IF(ISBLANK(G82),"",IFERROR(VLOOKUP(G82,Master!$K$1:$L$100,2,0),"ไม่พบข้อมูล"))</f>
        <v/>
      </c>
      <c r="I82" s="3" t="str">
        <f>IF(ISBLANK(F82),"",_xlfn.XLOOKUP(J82,Master!E:E,Master!D:D,"ไม่พบข้อมูล"))</f>
        <v/>
      </c>
      <c r="J82" s="3" t="str" cm="1">
        <f t="array" ref="J82">IF(ISBLANK(F82),"",_xlfn.XLOOKUP(TRUE,'Master แปลงคำ'!A:A=F82, 'Master แปลงคำ'!B:B, "ไม่พบข้อมูล"))</f>
        <v/>
      </c>
      <c r="K82" s="23" t="str">
        <f>IF(OR(ISBLANK(F82),ISBLANK(G82)),"", COUNTIFS('Mk หลังแก้'!U:U,I82,'Mk หลังแก้'!Q:Q,H82,'Mk หลังแก้'!V:V,J82))</f>
        <v/>
      </c>
      <c r="L82" s="11">
        <f>SUMIFS('mk 001 10.3'!X:X,'mk 001 10.3'!V:V,J82,'mk 001 10.3'!Q:Q,H82)</f>
        <v>0</v>
      </c>
      <c r="N82" s="11">
        <f t="shared" si="2"/>
        <v>0</v>
      </c>
      <c r="O82" s="12" t="b">
        <v>0</v>
      </c>
      <c r="P82" s="12" t="b">
        <v>0</v>
      </c>
      <c r="Q82" s="24" t="str">
        <f t="shared" si="3"/>
        <v/>
      </c>
    </row>
    <row r="83" spans="2:17" x14ac:dyDescent="0.35">
      <c r="B83" s="18" t="str" cm="1">
        <f t="array" ref="B83">IFERROR(INDEX( _xlfn.TEXTSPLIT(SUBSTITUTE(A83,"เหลือ","")," "),1),"")</f>
        <v/>
      </c>
      <c r="C83" s="18" t="str" cm="1">
        <f t="array" ref="C83">IFERROR(INDEX( _xlfn.TEXTSPLIT(SUBSTITUTE(A83,"เหลือ","")," "),2),"")</f>
        <v/>
      </c>
      <c r="D83" s="18" t="str" cm="1">
        <f t="array" ref="D83">IFERROR(INDEX( _xlfn.TEXTSPLIT(SUBSTITUTE(A83,"เหลือ","")," "),3),"")</f>
        <v/>
      </c>
      <c r="H83" s="3" t="str">
        <f>IF(ISBLANK(G83),"",IFERROR(VLOOKUP(G83,Master!$K$1:$L$100,2,0),"ไม่พบข้อมูล"))</f>
        <v/>
      </c>
      <c r="I83" s="3" t="str">
        <f>IF(ISBLANK(F83),"",_xlfn.XLOOKUP(J83,Master!E:E,Master!D:D,"ไม่พบข้อมูล"))</f>
        <v/>
      </c>
      <c r="J83" s="3" t="str" cm="1">
        <f t="array" ref="J83">IF(ISBLANK(F83),"",_xlfn.XLOOKUP(TRUE,'Master แปลงคำ'!A:A=F83, 'Master แปลงคำ'!B:B, "ไม่พบข้อมูล"))</f>
        <v/>
      </c>
      <c r="K83" s="23" t="str">
        <f>IF(OR(ISBLANK(F83),ISBLANK(G83)),"", COUNTIFS('Mk หลังแก้'!U:U,I83,'Mk หลังแก้'!Q:Q,H83,'Mk หลังแก้'!V:V,J83))</f>
        <v/>
      </c>
      <c r="L83" s="11">
        <f>SUMIFS('mk 001 10.3'!X:X,'mk 001 10.3'!V:V,J83,'mk 001 10.3'!Q:Q,H83)</f>
        <v>0</v>
      </c>
      <c r="N83" s="11">
        <f t="shared" si="2"/>
        <v>0</v>
      </c>
      <c r="O83" s="12" t="b">
        <v>0</v>
      </c>
      <c r="P83" s="12" t="b">
        <v>0</v>
      </c>
      <c r="Q83" s="24" t="str">
        <f t="shared" si="3"/>
        <v/>
      </c>
    </row>
    <row r="84" spans="2:17" x14ac:dyDescent="0.35">
      <c r="B84" s="18" t="str" cm="1">
        <f t="array" ref="B84">IFERROR(INDEX( _xlfn.TEXTSPLIT(SUBSTITUTE(A84,"เหลือ","")," "),1),"")</f>
        <v/>
      </c>
      <c r="C84" s="18" t="str" cm="1">
        <f t="array" ref="C84">IFERROR(INDEX( _xlfn.TEXTSPLIT(SUBSTITUTE(A84,"เหลือ","")," "),2),"")</f>
        <v/>
      </c>
      <c r="D84" s="18" t="str" cm="1">
        <f t="array" ref="D84">IFERROR(INDEX( _xlfn.TEXTSPLIT(SUBSTITUTE(A84,"เหลือ","")," "),3),"")</f>
        <v/>
      </c>
      <c r="H84" s="3" t="str">
        <f>IF(ISBLANK(G84),"",IFERROR(VLOOKUP(G84,Master!$K$1:$L$100,2,0),"ไม่พบข้อมูล"))</f>
        <v/>
      </c>
      <c r="I84" s="3" t="str">
        <f>IF(ISBLANK(F84),"",_xlfn.XLOOKUP(J84,Master!E:E,Master!D:D,"ไม่พบข้อมูล"))</f>
        <v/>
      </c>
      <c r="J84" s="3" t="str" cm="1">
        <f t="array" ref="J84">IF(ISBLANK(F84),"",_xlfn.XLOOKUP(TRUE,'Master แปลงคำ'!A:A=F84, 'Master แปลงคำ'!B:B, "ไม่พบข้อมูล"))</f>
        <v/>
      </c>
      <c r="K84" s="23" t="str">
        <f>IF(OR(ISBLANK(F84),ISBLANK(G84)),"", COUNTIFS('Mk หลังแก้'!U:U,I84,'Mk หลังแก้'!Q:Q,H84,'Mk หลังแก้'!V:V,J84))</f>
        <v/>
      </c>
      <c r="L84" s="11">
        <f>SUMIFS('mk 001 10.3'!X:X,'mk 001 10.3'!V:V,J84,'mk 001 10.3'!Q:Q,H84)</f>
        <v>0</v>
      </c>
      <c r="N84" s="11">
        <f t="shared" si="2"/>
        <v>0</v>
      </c>
      <c r="O84" s="12" t="b">
        <v>0</v>
      </c>
      <c r="P84" s="12" t="b">
        <v>0</v>
      </c>
      <c r="Q84" s="24" t="str">
        <f t="shared" si="3"/>
        <v/>
      </c>
    </row>
    <row r="85" spans="2:17" x14ac:dyDescent="0.35">
      <c r="B85" s="18" t="str" cm="1">
        <f t="array" ref="B85">IFERROR(INDEX( _xlfn.TEXTSPLIT(SUBSTITUTE(A85,"เหลือ","")," "),1),"")</f>
        <v/>
      </c>
      <c r="C85" s="18" t="str" cm="1">
        <f t="array" ref="C85">IFERROR(INDEX( _xlfn.TEXTSPLIT(SUBSTITUTE(A85,"เหลือ","")," "),2),"")</f>
        <v/>
      </c>
      <c r="D85" s="18" t="str" cm="1">
        <f t="array" ref="D85">IFERROR(INDEX( _xlfn.TEXTSPLIT(SUBSTITUTE(A85,"เหลือ","")," "),3),"")</f>
        <v/>
      </c>
      <c r="H85" s="3" t="str">
        <f>IF(ISBLANK(G85),"",IFERROR(VLOOKUP(G85,Master!$K$1:$L$100,2,0),"ไม่พบข้อมูล"))</f>
        <v/>
      </c>
      <c r="I85" s="3" t="str">
        <f>IF(ISBLANK(F85),"",_xlfn.XLOOKUP(J85,Master!E:E,Master!D:D,"ไม่พบข้อมูล"))</f>
        <v/>
      </c>
      <c r="J85" s="3" t="str" cm="1">
        <f t="array" ref="J85">IF(ISBLANK(F85),"",_xlfn.XLOOKUP(TRUE,'Master แปลงคำ'!A:A=F85, 'Master แปลงคำ'!B:B, "ไม่พบข้อมูล"))</f>
        <v/>
      </c>
      <c r="K85" s="23" t="str">
        <f>IF(OR(ISBLANK(F85),ISBLANK(G85)),"", COUNTIFS('Mk หลังแก้'!U:U,I85,'Mk หลังแก้'!Q:Q,H85,'Mk หลังแก้'!V:V,J85))</f>
        <v/>
      </c>
      <c r="L85" s="11">
        <f>SUMIFS('mk 001 10.3'!X:X,'mk 001 10.3'!V:V,J85,'mk 001 10.3'!Q:Q,H85)</f>
        <v>0</v>
      </c>
      <c r="N85" s="11">
        <f t="shared" si="2"/>
        <v>0</v>
      </c>
      <c r="O85" s="12" t="b">
        <v>0</v>
      </c>
      <c r="P85" s="12" t="b">
        <v>0</v>
      </c>
      <c r="Q85" s="24" t="str">
        <f t="shared" si="3"/>
        <v/>
      </c>
    </row>
    <row r="86" spans="2:17" x14ac:dyDescent="0.35">
      <c r="B86" s="18" t="str" cm="1">
        <f t="array" ref="B86">IFERROR(INDEX( _xlfn.TEXTSPLIT(SUBSTITUTE(A86,"เหลือ","")," "),1),"")</f>
        <v/>
      </c>
      <c r="C86" s="18" t="str" cm="1">
        <f t="array" ref="C86">IFERROR(INDEX( _xlfn.TEXTSPLIT(SUBSTITUTE(A86,"เหลือ","")," "),2),"")</f>
        <v/>
      </c>
      <c r="D86" s="18" t="str" cm="1">
        <f t="array" ref="D86">IFERROR(INDEX( _xlfn.TEXTSPLIT(SUBSTITUTE(A86,"เหลือ","")," "),3),"")</f>
        <v/>
      </c>
      <c r="H86" s="3" t="str">
        <f>IF(ISBLANK(G86),"",IFERROR(VLOOKUP(G86,Master!$K$1:$L$100,2,0),"ไม่พบข้อมูล"))</f>
        <v/>
      </c>
      <c r="I86" s="3" t="str">
        <f>IF(ISBLANK(F86),"",_xlfn.XLOOKUP(J86,Master!E:E,Master!D:D,"ไม่พบข้อมูล"))</f>
        <v/>
      </c>
      <c r="J86" s="3" t="str" cm="1">
        <f t="array" ref="J86">IF(ISBLANK(F86),"",_xlfn.XLOOKUP(TRUE,'Master แปลงคำ'!A:A=F86, 'Master แปลงคำ'!B:B, "ไม่พบข้อมูล"))</f>
        <v/>
      </c>
      <c r="K86" s="23" t="str">
        <f>IF(OR(ISBLANK(F86),ISBLANK(G86)),"", COUNTIFS('Mk หลังแก้'!U:U,I86,'Mk หลังแก้'!Q:Q,H86,'Mk หลังแก้'!V:V,J86))</f>
        <v/>
      </c>
      <c r="L86" s="11">
        <f>SUMIFS('mk 001 10.3'!X:X,'mk 001 10.3'!V:V,J86,'mk 001 10.3'!Q:Q,H86)</f>
        <v>0</v>
      </c>
      <c r="N86" s="11">
        <f t="shared" si="2"/>
        <v>0</v>
      </c>
      <c r="O86" s="12" t="b">
        <v>0</v>
      </c>
      <c r="P86" s="12" t="b">
        <v>0</v>
      </c>
      <c r="Q86" s="24" t="str">
        <f t="shared" si="3"/>
        <v/>
      </c>
    </row>
    <row r="87" spans="2:17" x14ac:dyDescent="0.35">
      <c r="B87" s="18" t="str" cm="1">
        <f t="array" ref="B87">IFERROR(INDEX( _xlfn.TEXTSPLIT(SUBSTITUTE(A87,"เหลือ","")," "),1),"")</f>
        <v/>
      </c>
      <c r="C87" s="18" t="str" cm="1">
        <f t="array" ref="C87">IFERROR(INDEX( _xlfn.TEXTSPLIT(SUBSTITUTE(A87,"เหลือ","")," "),2),"")</f>
        <v/>
      </c>
      <c r="D87" s="18" t="str" cm="1">
        <f t="array" ref="D87">IFERROR(INDEX( _xlfn.TEXTSPLIT(SUBSTITUTE(A87,"เหลือ","")," "),3),"")</f>
        <v/>
      </c>
      <c r="H87" s="3" t="str">
        <f>IF(ISBLANK(G87),"",IFERROR(VLOOKUP(G87,Master!$K$1:$L$100,2,0),"ไม่พบข้อมูล"))</f>
        <v/>
      </c>
      <c r="I87" s="3" t="str">
        <f>IF(ISBLANK(F87),"",_xlfn.XLOOKUP(J87,Master!E:E,Master!D:D,"ไม่พบข้อมูล"))</f>
        <v/>
      </c>
      <c r="J87" s="3" t="str" cm="1">
        <f t="array" ref="J87">IF(ISBLANK(F87),"",_xlfn.XLOOKUP(TRUE,'Master แปลงคำ'!A:A=F87, 'Master แปลงคำ'!B:B, "ไม่พบข้อมูล"))</f>
        <v/>
      </c>
      <c r="K87" s="23" t="str">
        <f>IF(OR(ISBLANK(F87),ISBLANK(G87)),"", COUNTIFS('Mk หลังแก้'!U:U,I87,'Mk หลังแก้'!Q:Q,H87,'Mk หลังแก้'!V:V,J87))</f>
        <v/>
      </c>
      <c r="L87" s="11">
        <f>SUMIFS('mk 001 10.3'!X:X,'mk 001 10.3'!V:V,J87,'mk 001 10.3'!Q:Q,H87)</f>
        <v>0</v>
      </c>
      <c r="N87" s="11">
        <f t="shared" si="2"/>
        <v>0</v>
      </c>
      <c r="O87" s="12" t="b">
        <v>0</v>
      </c>
      <c r="P87" s="12" t="b">
        <v>0</v>
      </c>
      <c r="Q87" s="24" t="str">
        <f t="shared" si="3"/>
        <v/>
      </c>
    </row>
    <row r="88" spans="2:17" x14ac:dyDescent="0.35">
      <c r="B88" s="18" t="str" cm="1">
        <f t="array" ref="B88">IFERROR(INDEX( _xlfn.TEXTSPLIT(SUBSTITUTE(A88,"เหลือ","")," "),1),"")</f>
        <v/>
      </c>
      <c r="C88" s="18" t="str" cm="1">
        <f t="array" ref="C88">IFERROR(INDEX( _xlfn.TEXTSPLIT(SUBSTITUTE(A88,"เหลือ","")," "),2),"")</f>
        <v/>
      </c>
      <c r="D88" s="18" t="str" cm="1">
        <f t="array" ref="D88">IFERROR(INDEX( _xlfn.TEXTSPLIT(SUBSTITUTE(A88,"เหลือ","")," "),3),"")</f>
        <v/>
      </c>
      <c r="H88" s="3" t="str">
        <f>IF(ISBLANK(G88),"",IFERROR(VLOOKUP(G88,Master!$K$1:$L$100,2,0),"ไม่พบข้อมูล"))</f>
        <v/>
      </c>
      <c r="I88" s="3" t="str">
        <f>IF(ISBLANK(F88),"",_xlfn.XLOOKUP(J88,Master!E:E,Master!D:D,"ไม่พบข้อมูล"))</f>
        <v/>
      </c>
      <c r="J88" s="3" t="str" cm="1">
        <f t="array" ref="J88">IF(ISBLANK(F88),"",_xlfn.XLOOKUP(TRUE,'Master แปลงคำ'!A:A=F88, 'Master แปลงคำ'!B:B, "ไม่พบข้อมูล"))</f>
        <v/>
      </c>
      <c r="K88" s="23" t="str">
        <f>IF(OR(ISBLANK(F88),ISBLANK(G88)),"", COUNTIFS('Mk หลังแก้'!U:U,I88,'Mk หลังแก้'!Q:Q,H88,'Mk หลังแก้'!V:V,J88))</f>
        <v/>
      </c>
      <c r="L88" s="11">
        <f>SUMIFS('mk 001 10.3'!X:X,'mk 001 10.3'!V:V,J88,'mk 001 10.3'!Q:Q,H88)</f>
        <v>0</v>
      </c>
      <c r="N88" s="11">
        <f t="shared" si="2"/>
        <v>0</v>
      </c>
      <c r="O88" s="12" t="b">
        <v>0</v>
      </c>
      <c r="P88" s="12" t="b">
        <v>0</v>
      </c>
      <c r="Q88" s="24" t="str">
        <f t="shared" si="3"/>
        <v/>
      </c>
    </row>
    <row r="89" spans="2:17" x14ac:dyDescent="0.35">
      <c r="B89" s="18" t="str" cm="1">
        <f t="array" ref="B89">IFERROR(INDEX( _xlfn.TEXTSPLIT(SUBSTITUTE(A89,"เหลือ","")," "),1),"")</f>
        <v/>
      </c>
      <c r="C89" s="18" t="str" cm="1">
        <f t="array" ref="C89">IFERROR(INDEX( _xlfn.TEXTSPLIT(SUBSTITUTE(A89,"เหลือ","")," "),2),"")</f>
        <v/>
      </c>
      <c r="D89" s="18" t="str" cm="1">
        <f t="array" ref="D89">IFERROR(INDEX( _xlfn.TEXTSPLIT(SUBSTITUTE(A89,"เหลือ","")," "),3),"")</f>
        <v/>
      </c>
      <c r="H89" s="3" t="str">
        <f>IF(ISBLANK(G89),"",IFERROR(VLOOKUP(G89,Master!$K$1:$L$100,2,0),"ไม่พบข้อมูล"))</f>
        <v/>
      </c>
      <c r="I89" s="3" t="str">
        <f>IF(ISBLANK(F89),"",_xlfn.XLOOKUP(J89,Master!E:E,Master!D:D,"ไม่พบข้อมูล"))</f>
        <v/>
      </c>
      <c r="J89" s="3" t="str" cm="1">
        <f t="array" ref="J89">IF(ISBLANK(F89),"",_xlfn.XLOOKUP(TRUE,'Master แปลงคำ'!A:A=F89, 'Master แปลงคำ'!B:B, "ไม่พบข้อมูล"))</f>
        <v/>
      </c>
      <c r="K89" s="23" t="str">
        <f>IF(OR(ISBLANK(F89),ISBLANK(G89)),"", COUNTIFS('Mk หลังแก้'!U:U,I89,'Mk หลังแก้'!Q:Q,H89,'Mk หลังแก้'!V:V,J89))</f>
        <v/>
      </c>
      <c r="L89" s="11">
        <f>SUMIFS('mk 001 10.3'!X:X,'mk 001 10.3'!V:V,J89,'mk 001 10.3'!Q:Q,H89)</f>
        <v>0</v>
      </c>
      <c r="N89" s="11">
        <f t="shared" si="2"/>
        <v>0</v>
      </c>
      <c r="O89" s="12" t="b">
        <v>0</v>
      </c>
      <c r="P89" s="12" t="b">
        <v>0</v>
      </c>
      <c r="Q89" s="24" t="str">
        <f t="shared" si="3"/>
        <v/>
      </c>
    </row>
    <row r="90" spans="2:17" x14ac:dyDescent="0.35">
      <c r="B90" s="18" t="str" cm="1">
        <f t="array" ref="B90">IFERROR(INDEX( _xlfn.TEXTSPLIT(SUBSTITUTE(A90,"เหลือ","")," "),1),"")</f>
        <v/>
      </c>
      <c r="C90" s="18" t="str" cm="1">
        <f t="array" ref="C90">IFERROR(INDEX( _xlfn.TEXTSPLIT(SUBSTITUTE(A90,"เหลือ","")," "),2),"")</f>
        <v/>
      </c>
      <c r="D90" s="18" t="str" cm="1">
        <f t="array" ref="D90">IFERROR(INDEX( _xlfn.TEXTSPLIT(SUBSTITUTE(A90,"เหลือ","")," "),3),"")</f>
        <v/>
      </c>
      <c r="H90" s="3" t="str">
        <f>IF(ISBLANK(G90),"",IFERROR(VLOOKUP(G90,Master!$K$1:$L$100,2,0),"ไม่พบข้อมูล"))</f>
        <v/>
      </c>
      <c r="I90" s="3" t="str">
        <f>IF(ISBLANK(F90),"",_xlfn.XLOOKUP(J90,Master!E:E,Master!D:D,"ไม่พบข้อมูล"))</f>
        <v/>
      </c>
      <c r="J90" s="3" t="str" cm="1">
        <f t="array" ref="J90">IF(ISBLANK(F90),"",_xlfn.XLOOKUP(TRUE,'Master แปลงคำ'!A:A=F90, 'Master แปลงคำ'!B:B, "ไม่พบข้อมูล"))</f>
        <v/>
      </c>
      <c r="K90" s="23" t="str">
        <f>IF(OR(ISBLANK(F90),ISBLANK(G90)),"", COUNTIFS('Mk หลังแก้'!U:U,I90,'Mk หลังแก้'!Q:Q,H90,'Mk หลังแก้'!V:V,J90))</f>
        <v/>
      </c>
      <c r="L90" s="11">
        <f>SUMIFS('mk 001 10.3'!X:X,'mk 001 10.3'!V:V,J90,'mk 001 10.3'!Q:Q,H90)</f>
        <v>0</v>
      </c>
      <c r="N90" s="11">
        <f t="shared" si="2"/>
        <v>0</v>
      </c>
      <c r="O90" s="12" t="b">
        <v>0</v>
      </c>
      <c r="P90" s="12" t="b">
        <v>0</v>
      </c>
      <c r="Q90" s="24" t="str">
        <f t="shared" si="3"/>
        <v/>
      </c>
    </row>
    <row r="91" spans="2:17" x14ac:dyDescent="0.35">
      <c r="B91" s="18" t="str" cm="1">
        <f t="array" ref="B91">IFERROR(INDEX( _xlfn.TEXTSPLIT(SUBSTITUTE(A91,"เหลือ","")," "),1),"")</f>
        <v/>
      </c>
      <c r="C91" s="18" t="str" cm="1">
        <f t="array" ref="C91">IFERROR(INDEX( _xlfn.TEXTSPLIT(SUBSTITUTE(A91,"เหลือ","")," "),2),"")</f>
        <v/>
      </c>
      <c r="D91" s="18" t="str" cm="1">
        <f t="array" ref="D91">IFERROR(INDEX( _xlfn.TEXTSPLIT(SUBSTITUTE(A91,"เหลือ","")," "),3),"")</f>
        <v/>
      </c>
      <c r="H91" s="3" t="str">
        <f>IF(ISBLANK(G91),"",IFERROR(VLOOKUP(G91,Master!$K$1:$L$100,2,0),"ไม่พบข้อมูล"))</f>
        <v/>
      </c>
      <c r="I91" s="3" t="str">
        <f>IF(ISBLANK(F91),"",_xlfn.XLOOKUP(J91,Master!E:E,Master!D:D,"ไม่พบข้อมูล"))</f>
        <v/>
      </c>
      <c r="J91" s="3" t="str" cm="1">
        <f t="array" ref="J91">IF(ISBLANK(F91),"",_xlfn.XLOOKUP(TRUE,'Master แปลงคำ'!A:A=F91, 'Master แปลงคำ'!B:B, "ไม่พบข้อมูล"))</f>
        <v/>
      </c>
      <c r="K91" s="23" t="str">
        <f>IF(OR(ISBLANK(F91),ISBLANK(G91)),"", COUNTIFS('Mk หลังแก้'!U:U,I91,'Mk หลังแก้'!Q:Q,H91,'Mk หลังแก้'!V:V,J91))</f>
        <v/>
      </c>
      <c r="L91" s="11">
        <f>SUMIFS('mk 001 10.3'!X:X,'mk 001 10.3'!V:V,J91,'mk 001 10.3'!Q:Q,H91)</f>
        <v>0</v>
      </c>
      <c r="N91" s="11">
        <f t="shared" si="2"/>
        <v>0</v>
      </c>
      <c r="O91" s="12" t="b">
        <v>0</v>
      </c>
      <c r="P91" s="12" t="b">
        <v>0</v>
      </c>
      <c r="Q91" s="24" t="str">
        <f t="shared" si="3"/>
        <v/>
      </c>
    </row>
    <row r="92" spans="2:17" x14ac:dyDescent="0.35">
      <c r="B92" s="18" t="str" cm="1">
        <f t="array" ref="B92">IFERROR(INDEX( _xlfn.TEXTSPLIT(SUBSTITUTE(A92,"เหลือ","")," "),1),"")</f>
        <v/>
      </c>
      <c r="C92" s="18" t="str" cm="1">
        <f t="array" ref="C92">IFERROR(INDEX( _xlfn.TEXTSPLIT(SUBSTITUTE(A92,"เหลือ","")," "),2),"")</f>
        <v/>
      </c>
      <c r="D92" s="18" t="str" cm="1">
        <f t="array" ref="D92">IFERROR(INDEX( _xlfn.TEXTSPLIT(SUBSTITUTE(A92,"เหลือ","")," "),3),"")</f>
        <v/>
      </c>
      <c r="H92" s="3" t="str">
        <f>IF(ISBLANK(G92),"",IFERROR(VLOOKUP(G92,Master!$K$1:$L$100,2,0),"ไม่พบข้อมูล"))</f>
        <v/>
      </c>
      <c r="I92" s="3" t="str">
        <f>IF(ISBLANK(F92),"",_xlfn.XLOOKUP(J92,Master!E:E,Master!D:D,"ไม่พบข้อมูล"))</f>
        <v/>
      </c>
      <c r="J92" s="3" t="str" cm="1">
        <f t="array" ref="J92">IF(ISBLANK(F92),"",_xlfn.XLOOKUP(TRUE,'Master แปลงคำ'!A:A=F92, 'Master แปลงคำ'!B:B, "ไม่พบข้อมูล"))</f>
        <v/>
      </c>
      <c r="K92" s="23" t="str">
        <f>IF(OR(ISBLANK(F92),ISBLANK(G92)),"", COUNTIFS('Mk หลังแก้'!U:U,I92,'Mk หลังแก้'!Q:Q,H92,'Mk หลังแก้'!V:V,J92))</f>
        <v/>
      </c>
      <c r="L92" s="11">
        <f>SUMIFS('mk 001 10.3'!X:X,'mk 001 10.3'!V:V,J92,'mk 001 10.3'!Q:Q,H92)</f>
        <v>0</v>
      </c>
      <c r="N92" s="11">
        <f t="shared" si="2"/>
        <v>0</v>
      </c>
      <c r="O92" s="12" t="b">
        <v>0</v>
      </c>
      <c r="P92" s="12" t="b">
        <v>0</v>
      </c>
      <c r="Q92" s="24" t="str">
        <f t="shared" si="3"/>
        <v/>
      </c>
    </row>
    <row r="93" spans="2:17" x14ac:dyDescent="0.35">
      <c r="B93" s="18" t="str" cm="1">
        <f t="array" ref="B93">IFERROR(INDEX( _xlfn.TEXTSPLIT(SUBSTITUTE(A93,"เหลือ","")," "),1),"")</f>
        <v/>
      </c>
      <c r="C93" s="18" t="str" cm="1">
        <f t="array" ref="C93">IFERROR(INDEX( _xlfn.TEXTSPLIT(SUBSTITUTE(A93,"เหลือ","")," "),2),"")</f>
        <v/>
      </c>
      <c r="D93" s="18" t="str" cm="1">
        <f t="array" ref="D93">IFERROR(INDEX( _xlfn.TEXTSPLIT(SUBSTITUTE(A93,"เหลือ","")," "),3),"")</f>
        <v/>
      </c>
      <c r="H93" s="3" t="str">
        <f>IF(ISBLANK(G93),"",IFERROR(VLOOKUP(G93,Master!$K$1:$L$100,2,0),"ไม่พบข้อมูล"))</f>
        <v/>
      </c>
      <c r="I93" s="3" t="str">
        <f>IF(ISBLANK(F93),"",_xlfn.XLOOKUP(J93,Master!E:E,Master!D:D,"ไม่พบข้อมูล"))</f>
        <v/>
      </c>
      <c r="J93" s="3" t="str" cm="1">
        <f t="array" ref="J93">IF(ISBLANK(F93),"",_xlfn.XLOOKUP(TRUE,'Master แปลงคำ'!A:A=F93, 'Master แปลงคำ'!B:B, "ไม่พบข้อมูล"))</f>
        <v/>
      </c>
      <c r="K93" s="23" t="str">
        <f>IF(OR(ISBLANK(F93),ISBLANK(G93)),"", COUNTIFS('Mk หลังแก้'!U:U,I93,'Mk หลังแก้'!Q:Q,H93,'Mk หลังแก้'!V:V,J93))</f>
        <v/>
      </c>
      <c r="L93" s="11">
        <f>SUMIFS('mk 001 10.3'!X:X,'mk 001 10.3'!V:V,J93,'mk 001 10.3'!Q:Q,H93)</f>
        <v>0</v>
      </c>
      <c r="N93" s="11">
        <f t="shared" si="2"/>
        <v>0</v>
      </c>
      <c r="O93" s="12" t="b">
        <v>0</v>
      </c>
      <c r="P93" s="12" t="b">
        <v>0</v>
      </c>
      <c r="Q93" s="24" t="str">
        <f t="shared" si="3"/>
        <v/>
      </c>
    </row>
    <row r="94" spans="2:17" x14ac:dyDescent="0.35">
      <c r="B94" s="18" t="str" cm="1">
        <f t="array" ref="B94">IFERROR(INDEX( _xlfn.TEXTSPLIT(SUBSTITUTE(A94,"เหลือ","")," "),1),"")</f>
        <v/>
      </c>
      <c r="C94" s="18" t="str" cm="1">
        <f t="array" ref="C94">IFERROR(INDEX( _xlfn.TEXTSPLIT(SUBSTITUTE(A94,"เหลือ","")," "),2),"")</f>
        <v/>
      </c>
      <c r="D94" s="18" t="str" cm="1">
        <f t="array" ref="D94">IFERROR(INDEX( _xlfn.TEXTSPLIT(SUBSTITUTE(A94,"เหลือ","")," "),3),"")</f>
        <v/>
      </c>
      <c r="H94" s="3" t="str">
        <f>IF(ISBLANK(G94),"",IFERROR(VLOOKUP(G94,Master!$K$1:$L$100,2,0),"ไม่พบข้อมูล"))</f>
        <v/>
      </c>
      <c r="I94" s="3" t="str">
        <f>IF(ISBLANK(F94),"",_xlfn.XLOOKUP(J94,Master!E:E,Master!D:D,"ไม่พบข้อมูล"))</f>
        <v/>
      </c>
      <c r="J94" s="3" t="str" cm="1">
        <f t="array" ref="J94">IF(ISBLANK(F94),"",_xlfn.XLOOKUP(TRUE,'Master แปลงคำ'!A:A=F94, 'Master แปลงคำ'!B:B, "ไม่พบข้อมูล"))</f>
        <v/>
      </c>
      <c r="K94" s="23" t="str">
        <f>IF(OR(ISBLANK(F94),ISBLANK(G94)),"", COUNTIFS('Mk หลังแก้'!U:U,I94,'Mk หลังแก้'!Q:Q,H94,'Mk หลังแก้'!V:V,J94))</f>
        <v/>
      </c>
      <c r="L94" s="11">
        <f>SUMIFS('mk 001 10.3'!X:X,'mk 001 10.3'!V:V,J94,'mk 001 10.3'!Q:Q,H94)</f>
        <v>0</v>
      </c>
      <c r="N94" s="11">
        <f t="shared" si="2"/>
        <v>0</v>
      </c>
      <c r="O94" s="12" t="b">
        <v>0</v>
      </c>
      <c r="P94" s="12" t="b">
        <v>0</v>
      </c>
      <c r="Q94" s="24" t="str">
        <f t="shared" si="3"/>
        <v/>
      </c>
    </row>
    <row r="95" spans="2:17" x14ac:dyDescent="0.35">
      <c r="B95" s="18" t="str" cm="1">
        <f t="array" ref="B95">IFERROR(INDEX( _xlfn.TEXTSPLIT(SUBSTITUTE(A95,"เหลือ","")," "),1),"")</f>
        <v/>
      </c>
      <c r="C95" s="18" t="str" cm="1">
        <f t="array" ref="C95">IFERROR(INDEX( _xlfn.TEXTSPLIT(SUBSTITUTE(A95,"เหลือ","")," "),2),"")</f>
        <v/>
      </c>
      <c r="D95" s="18" t="str" cm="1">
        <f t="array" ref="D95">IFERROR(INDEX( _xlfn.TEXTSPLIT(SUBSTITUTE(A95,"เหลือ","")," "),3),"")</f>
        <v/>
      </c>
      <c r="H95" s="3" t="str">
        <f>IF(ISBLANK(G95),"",IFERROR(VLOOKUP(G95,Master!$K$1:$L$100,2,0),"ไม่พบข้อมูล"))</f>
        <v/>
      </c>
      <c r="I95" s="3" t="str">
        <f>IF(ISBLANK(F95),"",_xlfn.XLOOKUP(J95,Master!E:E,Master!D:D,"ไม่พบข้อมูล"))</f>
        <v/>
      </c>
      <c r="J95" s="3" t="str" cm="1">
        <f t="array" ref="J95">IF(ISBLANK(F95),"",_xlfn.XLOOKUP(TRUE,'Master แปลงคำ'!A:A=F95, 'Master แปลงคำ'!B:B, "ไม่พบข้อมูล"))</f>
        <v/>
      </c>
      <c r="K95" s="23" t="str">
        <f>IF(OR(ISBLANK(F95),ISBLANK(G95)),"", COUNTIFS('Mk หลังแก้'!U:U,I95,'Mk หลังแก้'!Q:Q,H95,'Mk หลังแก้'!V:V,J95))</f>
        <v/>
      </c>
      <c r="L95" s="11">
        <f>SUMIFS('mk 001 10.3'!X:X,'mk 001 10.3'!V:V,J95,'mk 001 10.3'!Q:Q,H95)</f>
        <v>0</v>
      </c>
      <c r="N95" s="11">
        <f t="shared" si="2"/>
        <v>0</v>
      </c>
      <c r="O95" s="12" t="b">
        <v>0</v>
      </c>
      <c r="P95" s="12" t="b">
        <v>0</v>
      </c>
      <c r="Q95" s="24" t="str">
        <f t="shared" si="3"/>
        <v/>
      </c>
    </row>
    <row r="96" spans="2:17" x14ac:dyDescent="0.35">
      <c r="B96" s="18" t="str" cm="1">
        <f t="array" ref="B96">IFERROR(INDEX( _xlfn.TEXTSPLIT(SUBSTITUTE(A96,"เหลือ","")," "),1),"")</f>
        <v/>
      </c>
      <c r="C96" s="18" t="str" cm="1">
        <f t="array" ref="C96">IFERROR(INDEX( _xlfn.TEXTSPLIT(SUBSTITUTE(A96,"เหลือ","")," "),2),"")</f>
        <v/>
      </c>
      <c r="D96" s="18" t="str" cm="1">
        <f t="array" ref="D96">IFERROR(INDEX( _xlfn.TEXTSPLIT(SUBSTITUTE(A96,"เหลือ","")," "),3),"")</f>
        <v/>
      </c>
      <c r="H96" s="3" t="str">
        <f>IF(ISBLANK(G96),"",IFERROR(VLOOKUP(G96,Master!$K$1:$L$100,2,0),"ไม่พบข้อมูล"))</f>
        <v/>
      </c>
      <c r="I96" s="3" t="str">
        <f>IF(ISBLANK(F96),"",_xlfn.XLOOKUP(J96,Master!E:E,Master!D:D,"ไม่พบข้อมูล"))</f>
        <v/>
      </c>
      <c r="J96" s="3" t="str" cm="1">
        <f t="array" ref="J96">IF(ISBLANK(F96),"",_xlfn.XLOOKUP(TRUE,'Master แปลงคำ'!A:A=F96, 'Master แปลงคำ'!B:B, "ไม่พบข้อมูล"))</f>
        <v/>
      </c>
      <c r="K96" s="23" t="str">
        <f>IF(OR(ISBLANK(F96),ISBLANK(G96)),"", COUNTIFS('Mk หลังแก้'!U:U,I96,'Mk หลังแก้'!Q:Q,H96,'Mk หลังแก้'!V:V,J96))</f>
        <v/>
      </c>
      <c r="L96" s="11">
        <f>SUMIFS('mk 001 10.3'!X:X,'mk 001 10.3'!V:V,J96,'mk 001 10.3'!Q:Q,H96)</f>
        <v>0</v>
      </c>
      <c r="N96" s="11">
        <f t="shared" si="2"/>
        <v>0</v>
      </c>
      <c r="O96" s="12" t="b">
        <v>0</v>
      </c>
      <c r="P96" s="12" t="b">
        <v>0</v>
      </c>
      <c r="Q96" s="24" t="str">
        <f t="shared" si="3"/>
        <v/>
      </c>
    </row>
    <row r="97" spans="2:17" x14ac:dyDescent="0.35">
      <c r="B97" s="18" t="str" cm="1">
        <f t="array" ref="B97">IFERROR(INDEX( _xlfn.TEXTSPLIT(SUBSTITUTE(A97,"เหลือ","")," "),1),"")</f>
        <v/>
      </c>
      <c r="C97" s="18" t="str" cm="1">
        <f t="array" ref="C97">IFERROR(INDEX( _xlfn.TEXTSPLIT(SUBSTITUTE(A97,"เหลือ","")," "),2),"")</f>
        <v/>
      </c>
      <c r="D97" s="18" t="str" cm="1">
        <f t="array" ref="D97">IFERROR(INDEX( _xlfn.TEXTSPLIT(SUBSTITUTE(A97,"เหลือ","")," "),3),"")</f>
        <v/>
      </c>
      <c r="H97" s="3" t="str">
        <f>IF(ISBLANK(G97),"",IFERROR(VLOOKUP(G97,Master!$K$1:$L$100,2,0),"ไม่พบข้อมูล"))</f>
        <v/>
      </c>
      <c r="I97" s="3" t="str">
        <f>IF(ISBLANK(F97),"",_xlfn.XLOOKUP(J97,Master!E:E,Master!D:D,"ไม่พบข้อมูล"))</f>
        <v/>
      </c>
      <c r="J97" s="3" t="str" cm="1">
        <f t="array" ref="J97">IF(ISBLANK(F97),"",_xlfn.XLOOKUP(TRUE,'Master แปลงคำ'!A:A=F97, 'Master แปลงคำ'!B:B, "ไม่พบข้อมูล"))</f>
        <v/>
      </c>
      <c r="K97" s="23" t="str">
        <f>IF(OR(ISBLANK(F97),ISBLANK(G97)),"", COUNTIFS('Mk หลังแก้'!U:U,I97,'Mk หลังแก้'!Q:Q,H97,'Mk หลังแก้'!V:V,J97))</f>
        <v/>
      </c>
      <c r="L97" s="11">
        <f>SUMIFS('mk 001 10.3'!X:X,'mk 001 10.3'!V:V,J97,'mk 001 10.3'!Q:Q,H97)</f>
        <v>0</v>
      </c>
      <c r="N97" s="11">
        <f t="shared" si="2"/>
        <v>0</v>
      </c>
      <c r="O97" s="12" t="b">
        <v>0</v>
      </c>
      <c r="P97" s="12" t="b">
        <v>0</v>
      </c>
      <c r="Q97" s="24" t="str">
        <f t="shared" si="3"/>
        <v/>
      </c>
    </row>
    <row r="98" spans="2:17" x14ac:dyDescent="0.35">
      <c r="B98" s="18" t="str" cm="1">
        <f t="array" ref="B98">IFERROR(INDEX( _xlfn.TEXTSPLIT(SUBSTITUTE(A98,"เหลือ","")," "),1),"")</f>
        <v/>
      </c>
      <c r="C98" s="18" t="str" cm="1">
        <f t="array" ref="C98">IFERROR(INDEX( _xlfn.TEXTSPLIT(SUBSTITUTE(A98,"เหลือ","")," "),2),"")</f>
        <v/>
      </c>
      <c r="D98" s="18" t="str" cm="1">
        <f t="array" ref="D98">IFERROR(INDEX( _xlfn.TEXTSPLIT(SUBSTITUTE(A98,"เหลือ","")," "),3),"")</f>
        <v/>
      </c>
      <c r="H98" s="3" t="str">
        <f>IF(ISBLANK(G98),"",IFERROR(VLOOKUP(G98,Master!$K$1:$L$100,2,0),"ไม่พบข้อมูล"))</f>
        <v/>
      </c>
      <c r="I98" s="3" t="str">
        <f>IF(ISBLANK(F98),"",_xlfn.XLOOKUP(J98,Master!E:E,Master!D:D,"ไม่พบข้อมูล"))</f>
        <v/>
      </c>
      <c r="J98" s="3" t="str" cm="1">
        <f t="array" ref="J98">IF(ISBLANK(F98),"",_xlfn.XLOOKUP(TRUE,'Master แปลงคำ'!A:A=F98, 'Master แปลงคำ'!B:B, "ไม่พบข้อมูล"))</f>
        <v/>
      </c>
      <c r="K98" s="23" t="str">
        <f>IF(OR(ISBLANK(F98),ISBLANK(G98)),"", COUNTIFS('Mk หลังแก้'!U:U,I98,'Mk หลังแก้'!Q:Q,H98,'Mk หลังแก้'!V:V,J98))</f>
        <v/>
      </c>
      <c r="L98" s="11">
        <f>SUMIFS('mk 001 10.3'!X:X,'mk 001 10.3'!V:V,J98,'mk 001 10.3'!Q:Q,H98)</f>
        <v>0</v>
      </c>
      <c r="N98" s="11">
        <f t="shared" si="2"/>
        <v>0</v>
      </c>
      <c r="O98" s="12" t="b">
        <v>0</v>
      </c>
      <c r="P98" s="12" t="b">
        <v>0</v>
      </c>
      <c r="Q98" s="24" t="str">
        <f t="shared" si="3"/>
        <v/>
      </c>
    </row>
    <row r="99" spans="2:17" x14ac:dyDescent="0.35">
      <c r="B99" s="18" t="str" cm="1">
        <f t="array" ref="B99">IFERROR(INDEX( _xlfn.TEXTSPLIT(SUBSTITUTE(A99,"เหลือ","")," "),1),"")</f>
        <v/>
      </c>
      <c r="C99" s="18" t="str" cm="1">
        <f t="array" ref="C99">IFERROR(INDEX( _xlfn.TEXTSPLIT(SUBSTITUTE(A99,"เหลือ","")," "),2),"")</f>
        <v/>
      </c>
      <c r="D99" s="18" t="str" cm="1">
        <f t="array" ref="D99">IFERROR(INDEX( _xlfn.TEXTSPLIT(SUBSTITUTE(A99,"เหลือ","")," "),3),"")</f>
        <v/>
      </c>
      <c r="H99" s="3" t="str">
        <f>IF(ISBLANK(G99),"",IFERROR(VLOOKUP(G99,Master!$K$1:$L$100,2,0),"ไม่พบข้อมูล"))</f>
        <v/>
      </c>
      <c r="I99" s="3" t="str">
        <f>IF(ISBLANK(F99),"",_xlfn.XLOOKUP(J99,Master!E:E,Master!D:D,"ไม่พบข้อมูล"))</f>
        <v/>
      </c>
      <c r="J99" s="3" t="str" cm="1">
        <f t="array" ref="J99">IF(ISBLANK(F99),"",_xlfn.XLOOKUP(TRUE,'Master แปลงคำ'!A:A=F99, 'Master แปลงคำ'!B:B, "ไม่พบข้อมูล"))</f>
        <v/>
      </c>
      <c r="K99" s="23" t="str">
        <f>IF(OR(ISBLANK(F99),ISBLANK(G99)),"", COUNTIFS('Mk หลังแก้'!U:U,I99,'Mk หลังแก้'!Q:Q,H99,'Mk หลังแก้'!V:V,J99))</f>
        <v/>
      </c>
      <c r="L99" s="11">
        <f>SUMIFS('mk 001 10.3'!X:X,'mk 001 10.3'!V:V,J99,'mk 001 10.3'!Q:Q,H99)</f>
        <v>0</v>
      </c>
      <c r="N99" s="11">
        <f t="shared" si="2"/>
        <v>0</v>
      </c>
      <c r="O99" s="12" t="b">
        <v>0</v>
      </c>
      <c r="P99" s="12" t="b">
        <v>0</v>
      </c>
      <c r="Q99" s="24" t="str">
        <f t="shared" si="3"/>
        <v/>
      </c>
    </row>
    <row r="100" spans="2:17" x14ac:dyDescent="0.35">
      <c r="B100" s="18" t="str" cm="1">
        <f t="array" ref="B100">IFERROR(INDEX( _xlfn.TEXTSPLIT(SUBSTITUTE(A100,"เหลือ","")," "),1),"")</f>
        <v/>
      </c>
      <c r="C100" s="18" t="str" cm="1">
        <f t="array" ref="C100">IFERROR(INDEX( _xlfn.TEXTSPLIT(SUBSTITUTE(A100,"เหลือ","")," "),2),"")</f>
        <v/>
      </c>
      <c r="D100" s="18" t="str" cm="1">
        <f t="array" ref="D100">IFERROR(INDEX( _xlfn.TEXTSPLIT(SUBSTITUTE(A100,"เหลือ","")," "),3),"")</f>
        <v/>
      </c>
      <c r="H100" s="3" t="str">
        <f>IF(ISBLANK(G100),"",IFERROR(VLOOKUP(G100,Master!$K$1:$L$100,2,0),"ไม่พบข้อมูล"))</f>
        <v/>
      </c>
      <c r="I100" s="3" t="str">
        <f>IF(ISBLANK(F100),"",_xlfn.XLOOKUP(J100,Master!E:E,Master!D:D,"ไม่พบข้อมูล"))</f>
        <v/>
      </c>
      <c r="J100" s="3" t="str" cm="1">
        <f t="array" ref="J100">IF(ISBLANK(F100),"",_xlfn.XLOOKUP(TRUE,'Master แปลงคำ'!A:A=F100, 'Master แปลงคำ'!B:B, "ไม่พบข้อมูล"))</f>
        <v/>
      </c>
      <c r="K100" s="23" t="str">
        <f>IF(OR(ISBLANK(F100),ISBLANK(G100)),"", COUNTIFS('Mk หลังแก้'!U:U,I100,'Mk หลังแก้'!Q:Q,H100,'Mk หลังแก้'!V:V,J100))</f>
        <v/>
      </c>
      <c r="L100" s="11">
        <f>SUMIFS('mk 001 10.3'!X:X,'mk 001 10.3'!V:V,J100,'mk 001 10.3'!Q:Q,H100)</f>
        <v>0</v>
      </c>
      <c r="N100" s="11">
        <f t="shared" si="2"/>
        <v>0</v>
      </c>
      <c r="O100" s="12" t="b">
        <v>0</v>
      </c>
      <c r="P100" s="12" t="b">
        <v>0</v>
      </c>
      <c r="Q100" s="24" t="str">
        <f t="shared" si="3"/>
        <v/>
      </c>
    </row>
    <row r="101" spans="2:17" x14ac:dyDescent="0.35">
      <c r="B101" s="18" t="str" cm="1">
        <f t="array" ref="B101">IFERROR(INDEX( _xlfn.TEXTSPLIT(SUBSTITUTE(A101,"เหลือ","")," "),1),"")</f>
        <v/>
      </c>
      <c r="C101" s="18" t="str" cm="1">
        <f t="array" ref="C101">IFERROR(INDEX( _xlfn.TEXTSPLIT(SUBSTITUTE(A101,"เหลือ","")," "),2),"")</f>
        <v/>
      </c>
      <c r="D101" s="18" t="str" cm="1">
        <f t="array" ref="D101">IFERROR(INDEX( _xlfn.TEXTSPLIT(SUBSTITUTE(A101,"เหลือ","")," "),3),"")</f>
        <v/>
      </c>
      <c r="H101" s="3" t="str">
        <f>IF(ISBLANK(G101),"",IFERROR(VLOOKUP(G101,Master!$K$1:$L$100,2,0),"ไม่พบข้อมูล"))</f>
        <v/>
      </c>
      <c r="I101" s="3" t="str">
        <f>IF(ISBLANK(F101),"",_xlfn.XLOOKUP(J101,Master!E:E,Master!D:D,"ไม่พบข้อมูล"))</f>
        <v/>
      </c>
      <c r="J101" s="3" t="str" cm="1">
        <f t="array" ref="J101">IF(ISBLANK(F101),"",_xlfn.XLOOKUP(TRUE,'Master แปลงคำ'!A:A=F101, 'Master แปลงคำ'!B:B, "ไม่พบข้อมูล"))</f>
        <v/>
      </c>
      <c r="K101" s="23" t="str">
        <f>IF(OR(ISBLANK(F101),ISBLANK(G101)),"", COUNTIFS('Mk หลังแก้'!U:U,I101,'Mk หลังแก้'!Q:Q,H101,'Mk หลังแก้'!V:V,J101))</f>
        <v/>
      </c>
      <c r="L101" s="11">
        <f>SUMIFS('mk 001 10.3'!X:X,'mk 001 10.3'!V:V,J101,'mk 001 10.3'!Q:Q,H101)</f>
        <v>0</v>
      </c>
      <c r="N101" s="11">
        <f t="shared" si="2"/>
        <v>0</v>
      </c>
      <c r="O101" s="12" t="b">
        <v>0</v>
      </c>
      <c r="P101" s="12" t="b">
        <v>0</v>
      </c>
      <c r="Q101" s="24" t="str">
        <f t="shared" si="3"/>
        <v/>
      </c>
    </row>
    <row r="102" spans="2:17" x14ac:dyDescent="0.35">
      <c r="B102" s="18" t="str" cm="1">
        <f t="array" ref="B102">IFERROR(INDEX( _xlfn.TEXTSPLIT(SUBSTITUTE(A102,"เหลือ","")," "),1),"")</f>
        <v/>
      </c>
      <c r="C102" s="18" t="str" cm="1">
        <f t="array" ref="C102">IFERROR(INDEX( _xlfn.TEXTSPLIT(SUBSTITUTE(A102,"เหลือ","")," "),2),"")</f>
        <v/>
      </c>
      <c r="D102" s="18" t="str" cm="1">
        <f t="array" ref="D102">IFERROR(INDEX( _xlfn.TEXTSPLIT(SUBSTITUTE(A102,"เหลือ","")," "),3),"")</f>
        <v/>
      </c>
      <c r="H102" s="3" t="str">
        <f>IF(ISBLANK(G102),"",IFERROR(VLOOKUP(G102,Master!$K$1:$L$100,2,0),"ไม่พบข้อมูล"))</f>
        <v/>
      </c>
      <c r="I102" s="3" t="str">
        <f>IF(ISBLANK(F102),"",_xlfn.XLOOKUP(J102,Master!E:E,Master!D:D,"ไม่พบข้อมูล"))</f>
        <v/>
      </c>
      <c r="J102" s="3" t="str" cm="1">
        <f t="array" ref="J102">IF(ISBLANK(F102),"",_xlfn.XLOOKUP(TRUE,'Master แปลงคำ'!A:A=F102, 'Master แปลงคำ'!B:B, "ไม่พบข้อมูล"))</f>
        <v/>
      </c>
      <c r="K102" s="23" t="str">
        <f>IF(OR(ISBLANK(F102),ISBLANK(G102)),"", COUNTIFS('Mk หลังแก้'!U:U,I102,'Mk หลังแก้'!Q:Q,H102,'Mk หลังแก้'!V:V,J102))</f>
        <v/>
      </c>
      <c r="L102" s="11">
        <f>SUMIFS('mk 001 10.3'!X:X,'mk 001 10.3'!V:V,J102,'mk 001 10.3'!Q:Q,H102)</f>
        <v>0</v>
      </c>
      <c r="N102" s="11">
        <f t="shared" si="2"/>
        <v>0</v>
      </c>
      <c r="O102" s="12" t="b">
        <v>0</v>
      </c>
      <c r="P102" s="12" t="b">
        <v>0</v>
      </c>
      <c r="Q102" s="24" t="str">
        <f t="shared" si="3"/>
        <v/>
      </c>
    </row>
    <row r="103" spans="2:17" x14ac:dyDescent="0.35">
      <c r="B103" s="18" t="str" cm="1">
        <f t="array" ref="B103">IFERROR(INDEX( _xlfn.TEXTSPLIT(SUBSTITUTE(A103,"เหลือ","")," "),1),"")</f>
        <v/>
      </c>
      <c r="C103" s="18" t="str" cm="1">
        <f t="array" ref="C103">IFERROR(INDEX( _xlfn.TEXTSPLIT(SUBSTITUTE(A103,"เหลือ","")," "),2),"")</f>
        <v/>
      </c>
      <c r="D103" s="18" t="str" cm="1">
        <f t="array" ref="D103">IFERROR(INDEX( _xlfn.TEXTSPLIT(SUBSTITUTE(A103,"เหลือ","")," "),3),"")</f>
        <v/>
      </c>
      <c r="H103" s="3" t="str">
        <f>IF(ISBLANK(G103),"",IFERROR(VLOOKUP(G103,Master!$K$1:$L$100,2,0),"ไม่พบข้อมูล"))</f>
        <v/>
      </c>
      <c r="I103" s="3" t="str">
        <f>IF(ISBLANK(F103),"",_xlfn.XLOOKUP(J103,Master!E:E,Master!D:D,"ไม่พบข้อมูล"))</f>
        <v/>
      </c>
      <c r="J103" s="3" t="str" cm="1">
        <f t="array" ref="J103">IF(ISBLANK(F103),"",_xlfn.XLOOKUP(TRUE,'Master แปลงคำ'!A:A=F103, 'Master แปลงคำ'!B:B, "ไม่พบข้อมูล"))</f>
        <v/>
      </c>
      <c r="K103" s="23" t="str">
        <f>IF(OR(ISBLANK(F103),ISBLANK(G103)),"", COUNTIFS('Mk หลังแก้'!U:U,I103,'Mk หลังแก้'!Q:Q,H103,'Mk หลังแก้'!V:V,J103))</f>
        <v/>
      </c>
      <c r="L103" s="11">
        <f>SUMIFS('mk 001 10.3'!X:X,'mk 001 10.3'!V:V,J103,'mk 001 10.3'!Q:Q,H103)</f>
        <v>0</v>
      </c>
      <c r="N103" s="11">
        <f t="shared" si="2"/>
        <v>0</v>
      </c>
      <c r="O103" s="12" t="b">
        <v>0</v>
      </c>
      <c r="P103" s="12" t="b">
        <v>0</v>
      </c>
      <c r="Q103" s="24" t="str">
        <f t="shared" si="3"/>
        <v/>
      </c>
    </row>
    <row r="104" spans="2:17" x14ac:dyDescent="0.35">
      <c r="B104" s="18" t="str" cm="1">
        <f t="array" ref="B104">IFERROR(INDEX( _xlfn.TEXTSPLIT(SUBSTITUTE(A104,"เหลือ","")," "),1),"")</f>
        <v/>
      </c>
      <c r="C104" s="18" t="str" cm="1">
        <f t="array" ref="C104">IFERROR(INDEX( _xlfn.TEXTSPLIT(SUBSTITUTE(A104,"เหลือ","")," "),2),"")</f>
        <v/>
      </c>
      <c r="D104" s="18" t="str" cm="1">
        <f t="array" ref="D104">IFERROR(INDEX( _xlfn.TEXTSPLIT(SUBSTITUTE(A104,"เหลือ","")," "),3),"")</f>
        <v/>
      </c>
      <c r="H104" s="3" t="str">
        <f>IF(ISBLANK(G104),"",IFERROR(VLOOKUP(G104,Master!$K$1:$L$100,2,0),"ไม่พบข้อมูล"))</f>
        <v/>
      </c>
      <c r="I104" s="3" t="str">
        <f>IF(ISBLANK(F104),"",_xlfn.XLOOKUP(J104,Master!E:E,Master!D:D,"ไม่พบข้อมูล"))</f>
        <v/>
      </c>
      <c r="J104" s="3" t="str" cm="1">
        <f t="array" ref="J104">IF(ISBLANK(F104),"",_xlfn.XLOOKUP(TRUE,'Master แปลงคำ'!A:A=F104, 'Master แปลงคำ'!B:B, "ไม่พบข้อมูล"))</f>
        <v/>
      </c>
      <c r="K104" s="23" t="str">
        <f>IF(OR(ISBLANK(F104),ISBLANK(G104)),"", COUNTIFS('Mk หลังแก้'!U:U,I104,'Mk หลังแก้'!Q:Q,H104,'Mk หลังแก้'!V:V,J104))</f>
        <v/>
      </c>
      <c r="L104" s="11">
        <f>SUMIFS('mk 001 10.3'!X:X,'mk 001 10.3'!V:V,J104,'mk 001 10.3'!Q:Q,H104)</f>
        <v>0</v>
      </c>
      <c r="N104" s="11">
        <f t="shared" si="2"/>
        <v>0</v>
      </c>
      <c r="O104" s="12" t="b">
        <v>0</v>
      </c>
      <c r="P104" s="12" t="b">
        <v>0</v>
      </c>
      <c r="Q104" s="24" t="str">
        <f t="shared" si="3"/>
        <v/>
      </c>
    </row>
    <row r="105" spans="2:17" x14ac:dyDescent="0.35">
      <c r="B105" s="18" t="str" cm="1">
        <f t="array" ref="B105">IFERROR(INDEX( _xlfn.TEXTSPLIT(SUBSTITUTE(A105,"เหลือ","")," "),1),"")</f>
        <v/>
      </c>
      <c r="C105" s="18" t="str" cm="1">
        <f t="array" ref="C105">IFERROR(INDEX( _xlfn.TEXTSPLIT(SUBSTITUTE(A105,"เหลือ","")," "),2),"")</f>
        <v/>
      </c>
      <c r="D105" s="18" t="str" cm="1">
        <f t="array" ref="D105">IFERROR(INDEX( _xlfn.TEXTSPLIT(SUBSTITUTE(A105,"เหลือ","")," "),3),"")</f>
        <v/>
      </c>
      <c r="H105" s="3" t="str">
        <f>IF(ISBLANK(G105),"",IFERROR(VLOOKUP(G105,Master!$K$1:$L$100,2,0),"ไม่พบข้อมูล"))</f>
        <v/>
      </c>
      <c r="I105" s="3" t="str">
        <f>IF(ISBLANK(F105),"",_xlfn.XLOOKUP(J105,Master!E:E,Master!D:D,"ไม่พบข้อมูล"))</f>
        <v/>
      </c>
      <c r="J105" s="3" t="str" cm="1">
        <f t="array" ref="J105">IF(ISBLANK(F105),"",_xlfn.XLOOKUP(TRUE,'Master แปลงคำ'!A:A=F105, 'Master แปลงคำ'!B:B, "ไม่พบข้อมูล"))</f>
        <v/>
      </c>
      <c r="K105" s="23" t="str">
        <f>IF(OR(ISBLANK(F105),ISBLANK(G105)),"", COUNTIFS('Mk หลังแก้'!U:U,I105,'Mk หลังแก้'!Q:Q,H105,'Mk หลังแก้'!V:V,J105))</f>
        <v/>
      </c>
      <c r="L105" s="11">
        <f>SUMIFS('mk 001 10.3'!X:X,'mk 001 10.3'!V:V,J105,'mk 001 10.3'!Q:Q,H105)</f>
        <v>0</v>
      </c>
      <c r="N105" s="11">
        <f t="shared" si="2"/>
        <v>0</v>
      </c>
      <c r="O105" s="12" t="b">
        <v>0</v>
      </c>
      <c r="P105" s="12" t="b">
        <v>0</v>
      </c>
      <c r="Q105" s="24" t="str">
        <f t="shared" si="3"/>
        <v/>
      </c>
    </row>
    <row r="106" spans="2:17" x14ac:dyDescent="0.35">
      <c r="B106" s="18" t="str" cm="1">
        <f t="array" ref="B106">IFERROR(INDEX( _xlfn.TEXTSPLIT(SUBSTITUTE(A106,"เหลือ","")," "),1),"")</f>
        <v/>
      </c>
      <c r="C106" s="18" t="str" cm="1">
        <f t="array" ref="C106">IFERROR(INDEX( _xlfn.TEXTSPLIT(SUBSTITUTE(A106,"เหลือ","")," "),2),"")</f>
        <v/>
      </c>
      <c r="D106" s="18" t="str" cm="1">
        <f t="array" ref="D106">IFERROR(INDEX( _xlfn.TEXTSPLIT(SUBSTITUTE(A106,"เหลือ","")," "),3),"")</f>
        <v/>
      </c>
      <c r="H106" s="3" t="str">
        <f>IF(ISBLANK(G106),"",IFERROR(VLOOKUP(G106,Master!$K$1:$L$100,2,0),"ไม่พบข้อมูล"))</f>
        <v/>
      </c>
      <c r="I106" s="3" t="str">
        <f>IF(ISBLANK(F106),"",_xlfn.XLOOKUP(J106,Master!E:E,Master!D:D,"ไม่พบข้อมูล"))</f>
        <v/>
      </c>
      <c r="J106" s="3" t="str" cm="1">
        <f t="array" ref="J106">IF(ISBLANK(F106),"",_xlfn.XLOOKUP(TRUE,'Master แปลงคำ'!A:A=F106, 'Master แปลงคำ'!B:B, "ไม่พบข้อมูล"))</f>
        <v/>
      </c>
      <c r="K106" s="23" t="str">
        <f>IF(OR(ISBLANK(F106),ISBLANK(G106)),"", COUNTIFS('Mk หลังแก้'!U:U,I106,'Mk หลังแก้'!Q:Q,H106,'Mk หลังแก้'!V:V,J106))</f>
        <v/>
      </c>
      <c r="L106" s="11">
        <f>SUMIFS('mk 001 10.3'!X:X,'mk 001 10.3'!V:V,J106,'mk 001 10.3'!Q:Q,H106)</f>
        <v>0</v>
      </c>
      <c r="N106" s="11">
        <f t="shared" si="2"/>
        <v>0</v>
      </c>
      <c r="O106" s="12" t="b">
        <v>0</v>
      </c>
      <c r="P106" s="12" t="b">
        <v>0</v>
      </c>
      <c r="Q106" s="24" t="str">
        <f t="shared" si="3"/>
        <v/>
      </c>
    </row>
    <row r="107" spans="2:17" x14ac:dyDescent="0.35">
      <c r="B107" s="18" t="str" cm="1">
        <f t="array" ref="B107">IFERROR(INDEX( _xlfn.TEXTSPLIT(SUBSTITUTE(A107,"เหลือ","")," "),1),"")</f>
        <v/>
      </c>
      <c r="C107" s="18" t="str" cm="1">
        <f t="array" ref="C107">IFERROR(INDEX( _xlfn.TEXTSPLIT(SUBSTITUTE(A107,"เหลือ","")," "),2),"")</f>
        <v/>
      </c>
      <c r="D107" s="18" t="str" cm="1">
        <f t="array" ref="D107">IFERROR(INDEX( _xlfn.TEXTSPLIT(SUBSTITUTE(A107,"เหลือ","")," "),3),"")</f>
        <v/>
      </c>
      <c r="H107" s="3" t="str">
        <f>IF(ISBLANK(G107),"",IFERROR(VLOOKUP(G107,Master!$K$1:$L$100,2,0),"ไม่พบข้อมูล"))</f>
        <v/>
      </c>
      <c r="I107" s="3" t="str">
        <f>IF(ISBLANK(F107),"",_xlfn.XLOOKUP(J107,Master!E:E,Master!D:D,"ไม่พบข้อมูล"))</f>
        <v/>
      </c>
      <c r="J107" s="3" t="str" cm="1">
        <f t="array" ref="J107">IF(ISBLANK(F107),"",_xlfn.XLOOKUP(TRUE,'Master แปลงคำ'!A:A=F107, 'Master แปลงคำ'!B:B, "ไม่พบข้อมูล"))</f>
        <v/>
      </c>
      <c r="K107" s="23" t="str">
        <f>IF(OR(ISBLANK(F107),ISBLANK(G107)),"", COUNTIFS('Mk หลังแก้'!U:U,I107,'Mk หลังแก้'!Q:Q,H107,'Mk หลังแก้'!V:V,J107))</f>
        <v/>
      </c>
      <c r="L107" s="11">
        <f>SUMIFS('mk 001 10.3'!X:X,'mk 001 10.3'!V:V,J107,'mk 001 10.3'!Q:Q,H107)</f>
        <v>0</v>
      </c>
      <c r="N107" s="11">
        <f t="shared" si="2"/>
        <v>0</v>
      </c>
      <c r="O107" s="12" t="b">
        <v>0</v>
      </c>
      <c r="P107" s="12" t="b">
        <v>0</v>
      </c>
      <c r="Q107" s="24" t="str">
        <f t="shared" si="3"/>
        <v/>
      </c>
    </row>
    <row r="108" spans="2:17" x14ac:dyDescent="0.35">
      <c r="B108" s="18" t="str" cm="1">
        <f t="array" ref="B108">IFERROR(INDEX( _xlfn.TEXTSPLIT(SUBSTITUTE(A108,"เหลือ","")," "),1),"")</f>
        <v/>
      </c>
      <c r="C108" s="18" t="str" cm="1">
        <f t="array" ref="C108">IFERROR(INDEX( _xlfn.TEXTSPLIT(SUBSTITUTE(A108,"เหลือ","")," "),2),"")</f>
        <v/>
      </c>
      <c r="D108" s="18" t="str" cm="1">
        <f t="array" ref="D108">IFERROR(INDEX( _xlfn.TEXTSPLIT(SUBSTITUTE(A108,"เหลือ","")," "),3),"")</f>
        <v/>
      </c>
      <c r="H108" s="3" t="str">
        <f>IF(ISBLANK(G108),"",IFERROR(VLOOKUP(G108,Master!$K$1:$L$100,2,0),"ไม่พบข้อมูล"))</f>
        <v/>
      </c>
      <c r="I108" s="3" t="str">
        <f>IF(ISBLANK(F108),"",_xlfn.XLOOKUP(J108,Master!E:E,Master!D:D,"ไม่พบข้อมูล"))</f>
        <v/>
      </c>
      <c r="J108" s="3" t="str" cm="1">
        <f t="array" ref="J108">IF(ISBLANK(F108),"",_xlfn.XLOOKUP(TRUE,'Master แปลงคำ'!A:A=F108, 'Master แปลงคำ'!B:B, "ไม่พบข้อมูล"))</f>
        <v/>
      </c>
      <c r="K108" s="23" t="str">
        <f>IF(OR(ISBLANK(F108),ISBLANK(G108)),"", COUNTIFS('Mk หลังแก้'!U:U,I108,'Mk หลังแก้'!Q:Q,H108,'Mk หลังแก้'!V:V,J108))</f>
        <v/>
      </c>
      <c r="L108" s="11">
        <f>SUMIFS('mk 001 10.3'!X:X,'mk 001 10.3'!V:V,J108,'mk 001 10.3'!Q:Q,H108)</f>
        <v>0</v>
      </c>
      <c r="N108" s="11">
        <f t="shared" si="2"/>
        <v>0</v>
      </c>
      <c r="O108" s="12" t="b">
        <v>0</v>
      </c>
      <c r="P108" s="12" t="b">
        <v>0</v>
      </c>
      <c r="Q108" s="24" t="str">
        <f t="shared" si="3"/>
        <v/>
      </c>
    </row>
    <row r="109" spans="2:17" x14ac:dyDescent="0.35">
      <c r="B109" s="18" t="str" cm="1">
        <f t="array" ref="B109">IFERROR(INDEX( _xlfn.TEXTSPLIT(SUBSTITUTE(A109,"เหลือ","")," "),1),"")</f>
        <v/>
      </c>
      <c r="C109" s="18" t="str" cm="1">
        <f t="array" ref="C109">IFERROR(INDEX( _xlfn.TEXTSPLIT(SUBSTITUTE(A109,"เหลือ","")," "),2),"")</f>
        <v/>
      </c>
      <c r="D109" s="18" t="str" cm="1">
        <f t="array" ref="D109">IFERROR(INDEX( _xlfn.TEXTSPLIT(SUBSTITUTE(A109,"เหลือ","")," "),3),"")</f>
        <v/>
      </c>
      <c r="H109" s="3" t="str">
        <f>IF(ISBLANK(G109),"",IFERROR(VLOOKUP(G109,Master!$K$1:$L$100,2,0),"ไม่พบข้อมูล"))</f>
        <v/>
      </c>
      <c r="I109" s="3" t="str">
        <f>IF(ISBLANK(F109),"",_xlfn.XLOOKUP(J109,Master!E:E,Master!D:D,"ไม่พบข้อมูล"))</f>
        <v/>
      </c>
      <c r="J109" s="3" t="str" cm="1">
        <f t="array" ref="J109">IF(ISBLANK(F109),"",_xlfn.XLOOKUP(TRUE,'Master แปลงคำ'!A:A=F109, 'Master แปลงคำ'!B:B, "ไม่พบข้อมูล"))</f>
        <v/>
      </c>
      <c r="K109" s="23" t="str">
        <f>IF(OR(ISBLANK(F109),ISBLANK(G109)),"", COUNTIFS('Mk หลังแก้'!U:U,I109,'Mk หลังแก้'!Q:Q,H109,'Mk หลังแก้'!V:V,J109))</f>
        <v/>
      </c>
      <c r="L109" s="11">
        <f>SUMIFS('mk 001 10.3'!X:X,'mk 001 10.3'!V:V,J109,'mk 001 10.3'!Q:Q,H109)</f>
        <v>0</v>
      </c>
      <c r="N109" s="11">
        <f t="shared" si="2"/>
        <v>0</v>
      </c>
      <c r="O109" s="12" t="b">
        <v>0</v>
      </c>
      <c r="P109" s="12" t="b">
        <v>0</v>
      </c>
      <c r="Q109" s="24" t="str">
        <f t="shared" si="3"/>
        <v/>
      </c>
    </row>
    <row r="110" spans="2:17" x14ac:dyDescent="0.35">
      <c r="B110" s="18" t="str" cm="1">
        <f t="array" ref="B110">IFERROR(INDEX( _xlfn.TEXTSPLIT(SUBSTITUTE(A110,"เหลือ","")," "),1),"")</f>
        <v/>
      </c>
      <c r="C110" s="18" t="str" cm="1">
        <f t="array" ref="C110">IFERROR(INDEX( _xlfn.TEXTSPLIT(SUBSTITUTE(A110,"เหลือ","")," "),2),"")</f>
        <v/>
      </c>
      <c r="D110" s="18" t="str" cm="1">
        <f t="array" ref="D110">IFERROR(INDEX( _xlfn.TEXTSPLIT(SUBSTITUTE(A110,"เหลือ","")," "),3),"")</f>
        <v/>
      </c>
      <c r="H110" s="3" t="str">
        <f>IF(ISBLANK(G110),"",IFERROR(VLOOKUP(G110,Master!$K$1:$L$100,2,0),"ไม่พบข้อมูล"))</f>
        <v/>
      </c>
      <c r="I110" s="3" t="str">
        <f>IF(ISBLANK(F110),"",_xlfn.XLOOKUP(J110,Master!E:E,Master!D:D,"ไม่พบข้อมูล"))</f>
        <v/>
      </c>
      <c r="J110" s="3" t="str" cm="1">
        <f t="array" ref="J110">IF(ISBLANK(F110),"",_xlfn.XLOOKUP(TRUE,'Master แปลงคำ'!A:A=F110, 'Master แปลงคำ'!B:B, "ไม่พบข้อมูล"))</f>
        <v/>
      </c>
      <c r="K110" s="23" t="str">
        <f>IF(OR(ISBLANK(F110),ISBLANK(G110)),"", COUNTIFS('Mk หลังแก้'!U:U,I110,'Mk หลังแก้'!Q:Q,H110,'Mk หลังแก้'!V:V,J110))</f>
        <v/>
      </c>
      <c r="L110" s="11">
        <f>SUMIFS('mk 001 10.3'!X:X,'mk 001 10.3'!V:V,J110,'mk 001 10.3'!Q:Q,H110)</f>
        <v>0</v>
      </c>
      <c r="N110" s="11">
        <f t="shared" si="2"/>
        <v>0</v>
      </c>
      <c r="O110" s="12" t="b">
        <v>0</v>
      </c>
      <c r="P110" s="12" t="b">
        <v>0</v>
      </c>
      <c r="Q110" s="24" t="str">
        <f t="shared" si="3"/>
        <v/>
      </c>
    </row>
    <row r="111" spans="2:17" x14ac:dyDescent="0.35">
      <c r="B111" s="18" t="str" cm="1">
        <f t="array" ref="B111">IFERROR(INDEX( _xlfn.TEXTSPLIT(SUBSTITUTE(A111,"เหลือ","")," "),1),"")</f>
        <v/>
      </c>
      <c r="C111" s="18" t="str" cm="1">
        <f t="array" ref="C111">IFERROR(INDEX( _xlfn.TEXTSPLIT(SUBSTITUTE(A111,"เหลือ","")," "),2),"")</f>
        <v/>
      </c>
      <c r="D111" s="18" t="str" cm="1">
        <f t="array" ref="D111">IFERROR(INDEX( _xlfn.TEXTSPLIT(SUBSTITUTE(A111,"เหลือ","")," "),3),"")</f>
        <v/>
      </c>
      <c r="H111" s="3" t="str">
        <f>IF(ISBLANK(G111),"",IFERROR(VLOOKUP(G111,Master!$K$1:$L$100,2,0),"ไม่พบข้อมูล"))</f>
        <v/>
      </c>
      <c r="I111" s="3" t="str">
        <f>IF(ISBLANK(F111),"",_xlfn.XLOOKUP(J111,Master!E:E,Master!D:D,"ไม่พบข้อมูล"))</f>
        <v/>
      </c>
      <c r="J111" s="3" t="str" cm="1">
        <f t="array" ref="J111">IF(ISBLANK(F111),"",_xlfn.XLOOKUP(TRUE,'Master แปลงคำ'!A:A=F111, 'Master แปลงคำ'!B:B, "ไม่พบข้อมูล"))</f>
        <v/>
      </c>
      <c r="K111" s="23" t="str">
        <f>IF(OR(ISBLANK(F111),ISBLANK(G111)),"", COUNTIFS('Mk หลังแก้'!U:U,I111,'Mk หลังแก้'!Q:Q,H111,'Mk หลังแก้'!V:V,J111))</f>
        <v/>
      </c>
      <c r="L111" s="11">
        <f>SUMIFS('mk 001 10.3'!X:X,'mk 001 10.3'!V:V,J111,'mk 001 10.3'!Q:Q,H111)</f>
        <v>0</v>
      </c>
      <c r="N111" s="11">
        <f t="shared" si="2"/>
        <v>0</v>
      </c>
      <c r="O111" s="12" t="b">
        <v>0</v>
      </c>
      <c r="P111" s="12" t="b">
        <v>0</v>
      </c>
      <c r="Q111" s="24" t="str">
        <f t="shared" si="3"/>
        <v/>
      </c>
    </row>
    <row r="112" spans="2:17" x14ac:dyDescent="0.35">
      <c r="B112" s="18" t="str" cm="1">
        <f t="array" ref="B112">IFERROR(INDEX( _xlfn.TEXTSPLIT(SUBSTITUTE(A112,"เหลือ","")," "),1),"")</f>
        <v/>
      </c>
      <c r="C112" s="18" t="str" cm="1">
        <f t="array" ref="C112">IFERROR(INDEX( _xlfn.TEXTSPLIT(SUBSTITUTE(A112,"เหลือ","")," "),2),"")</f>
        <v/>
      </c>
      <c r="D112" s="18" t="str" cm="1">
        <f t="array" ref="D112">IFERROR(INDEX( _xlfn.TEXTSPLIT(SUBSTITUTE(A112,"เหลือ","")," "),3),"")</f>
        <v/>
      </c>
      <c r="H112" s="3" t="str">
        <f>IF(ISBLANK(G112),"",IFERROR(VLOOKUP(G112,Master!$K$1:$L$100,2,0),"ไม่พบข้อมูล"))</f>
        <v/>
      </c>
      <c r="I112" s="3" t="str">
        <f>IF(ISBLANK(F112),"",_xlfn.XLOOKUP(J112,Master!E:E,Master!D:D,"ไม่พบข้อมูล"))</f>
        <v/>
      </c>
      <c r="J112" s="3" t="str" cm="1">
        <f t="array" ref="J112">IF(ISBLANK(F112),"",_xlfn.XLOOKUP(TRUE,'Master แปลงคำ'!A:A=F112, 'Master แปลงคำ'!B:B, "ไม่พบข้อมูล"))</f>
        <v/>
      </c>
      <c r="K112" s="23" t="str">
        <f>IF(OR(ISBLANK(F112),ISBLANK(G112)),"", COUNTIFS('Mk หลังแก้'!U:U,I112,'Mk หลังแก้'!Q:Q,H112,'Mk หลังแก้'!V:V,J112))</f>
        <v/>
      </c>
      <c r="L112" s="11">
        <f>SUMIFS('mk 001 10.3'!X:X,'mk 001 10.3'!V:V,J112,'mk 001 10.3'!Q:Q,H112)</f>
        <v>0</v>
      </c>
      <c r="N112" s="11">
        <f t="shared" si="2"/>
        <v>0</v>
      </c>
      <c r="O112" s="12" t="b">
        <v>0</v>
      </c>
      <c r="P112" s="12" t="b">
        <v>0</v>
      </c>
      <c r="Q112" s="24" t="str">
        <f t="shared" si="3"/>
        <v/>
      </c>
    </row>
    <row r="113" spans="2:17" x14ac:dyDescent="0.35">
      <c r="B113" s="18" t="str" cm="1">
        <f t="array" ref="B113">IFERROR(INDEX( _xlfn.TEXTSPLIT(SUBSTITUTE(A113,"เหลือ","")," "),1),"")</f>
        <v/>
      </c>
      <c r="C113" s="18" t="str" cm="1">
        <f t="array" ref="C113">IFERROR(INDEX( _xlfn.TEXTSPLIT(SUBSTITUTE(A113,"เหลือ","")," "),2),"")</f>
        <v/>
      </c>
      <c r="D113" s="18" t="str" cm="1">
        <f t="array" ref="D113">IFERROR(INDEX( _xlfn.TEXTSPLIT(SUBSTITUTE(A113,"เหลือ","")," "),3),"")</f>
        <v/>
      </c>
      <c r="H113" s="3" t="str">
        <f>IF(ISBLANK(G113),"",IFERROR(VLOOKUP(G113,Master!$K$1:$L$100,2,0),"ไม่พบข้อมูล"))</f>
        <v/>
      </c>
      <c r="I113" s="3" t="str">
        <f>IF(ISBLANK(F113),"",_xlfn.XLOOKUP(J113,Master!E:E,Master!D:D,"ไม่พบข้อมูล"))</f>
        <v/>
      </c>
      <c r="J113" s="3" t="str" cm="1">
        <f t="array" ref="J113">IF(ISBLANK(F113),"",_xlfn.XLOOKUP(TRUE,'Master แปลงคำ'!A:A=F113, 'Master แปลงคำ'!B:B, "ไม่พบข้อมูล"))</f>
        <v/>
      </c>
      <c r="K113" s="23" t="str">
        <f>IF(OR(ISBLANK(F113),ISBLANK(G113)),"", COUNTIFS('Mk หลังแก้'!U:U,I113,'Mk หลังแก้'!Q:Q,H113,'Mk หลังแก้'!V:V,J113))</f>
        <v/>
      </c>
      <c r="L113" s="11">
        <f>SUMIFS('mk 001 10.3'!X:X,'mk 001 10.3'!V:V,J113,'mk 001 10.3'!Q:Q,H113)</f>
        <v>0</v>
      </c>
      <c r="N113" s="11">
        <f t="shared" si="2"/>
        <v>0</v>
      </c>
      <c r="O113" s="12" t="b">
        <v>0</v>
      </c>
      <c r="P113" s="12" t="b">
        <v>0</v>
      </c>
      <c r="Q113" s="24" t="str">
        <f t="shared" si="3"/>
        <v/>
      </c>
    </row>
    <row r="114" spans="2:17" x14ac:dyDescent="0.35">
      <c r="B114" s="18" t="str" cm="1">
        <f t="array" ref="B114">IFERROR(INDEX( _xlfn.TEXTSPLIT(SUBSTITUTE(A114,"เหลือ","")," "),1),"")</f>
        <v/>
      </c>
      <c r="C114" s="18" t="str" cm="1">
        <f t="array" ref="C114">IFERROR(INDEX( _xlfn.TEXTSPLIT(SUBSTITUTE(A114,"เหลือ","")," "),2),"")</f>
        <v/>
      </c>
      <c r="D114" s="18" t="str" cm="1">
        <f t="array" ref="D114">IFERROR(INDEX( _xlfn.TEXTSPLIT(SUBSTITUTE(A114,"เหลือ","")," "),3),"")</f>
        <v/>
      </c>
      <c r="H114" s="3" t="str">
        <f>IF(ISBLANK(G114),"",IFERROR(VLOOKUP(G114,Master!$K$1:$L$100,2,0),"ไม่พบข้อมูล"))</f>
        <v/>
      </c>
      <c r="I114" s="3" t="str">
        <f>IF(ISBLANK(F114),"",_xlfn.XLOOKUP(J114,Master!E:E,Master!D:D,"ไม่พบข้อมูล"))</f>
        <v/>
      </c>
      <c r="J114" s="3" t="str" cm="1">
        <f t="array" ref="J114">IF(ISBLANK(F114),"",_xlfn.XLOOKUP(TRUE,'Master แปลงคำ'!A:A=F114, 'Master แปลงคำ'!B:B, "ไม่พบข้อมูล"))</f>
        <v/>
      </c>
      <c r="K114" s="23" t="str">
        <f>IF(OR(ISBLANK(F114),ISBLANK(G114)),"", COUNTIFS('Mk หลังแก้'!U:U,I114,'Mk หลังแก้'!Q:Q,H114,'Mk หลังแก้'!V:V,J114))</f>
        <v/>
      </c>
      <c r="L114" s="11">
        <f>SUMIFS('mk 001 10.3'!X:X,'mk 001 10.3'!V:V,J114,'mk 001 10.3'!Q:Q,H114)</f>
        <v>0</v>
      </c>
      <c r="N114" s="11">
        <f t="shared" si="2"/>
        <v>0</v>
      </c>
      <c r="O114" s="12" t="b">
        <v>0</v>
      </c>
      <c r="P114" s="12" t="b">
        <v>0</v>
      </c>
      <c r="Q114" s="24" t="str">
        <f t="shared" si="3"/>
        <v/>
      </c>
    </row>
    <row r="115" spans="2:17" x14ac:dyDescent="0.35">
      <c r="B115" s="18" t="str" cm="1">
        <f t="array" ref="B115">IFERROR(INDEX( _xlfn.TEXTSPLIT(SUBSTITUTE(A115,"เหลือ","")," "),1),"")</f>
        <v/>
      </c>
      <c r="C115" s="18" t="str" cm="1">
        <f t="array" ref="C115">IFERROR(INDEX( _xlfn.TEXTSPLIT(SUBSTITUTE(A115,"เหลือ","")," "),2),"")</f>
        <v/>
      </c>
      <c r="D115" s="18" t="str" cm="1">
        <f t="array" ref="D115">IFERROR(INDEX( _xlfn.TEXTSPLIT(SUBSTITUTE(A115,"เหลือ","")," "),3),"")</f>
        <v/>
      </c>
      <c r="H115" s="3" t="str">
        <f>IF(ISBLANK(G115),"",IFERROR(VLOOKUP(G115,Master!$K$1:$L$100,2,0),"ไม่พบข้อมูล"))</f>
        <v/>
      </c>
      <c r="I115" s="3" t="str">
        <f>IF(ISBLANK(F115),"",_xlfn.XLOOKUP(J115,Master!E:E,Master!D:D,"ไม่พบข้อมูล"))</f>
        <v/>
      </c>
      <c r="J115" s="3" t="str" cm="1">
        <f t="array" ref="J115">IF(ISBLANK(F115),"",_xlfn.XLOOKUP(TRUE,'Master แปลงคำ'!A:A=F115, 'Master แปลงคำ'!B:B, "ไม่พบข้อมูล"))</f>
        <v/>
      </c>
      <c r="K115" s="23" t="str">
        <f>IF(OR(ISBLANK(F115),ISBLANK(G115)),"", COUNTIFS('Mk หลังแก้'!U:U,I115,'Mk หลังแก้'!Q:Q,H115,'Mk หลังแก้'!V:V,J115))</f>
        <v/>
      </c>
      <c r="L115" s="11">
        <f>SUMIFS('mk 001 10.3'!X:X,'mk 001 10.3'!V:V,J115,'mk 001 10.3'!Q:Q,H115)</f>
        <v>0</v>
      </c>
      <c r="N115" s="11">
        <f t="shared" si="2"/>
        <v>0</v>
      </c>
      <c r="O115" s="12" t="b">
        <v>0</v>
      </c>
      <c r="P115" s="12" t="b">
        <v>0</v>
      </c>
      <c r="Q115" s="24" t="str">
        <f t="shared" si="3"/>
        <v/>
      </c>
    </row>
    <row r="116" spans="2:17" x14ac:dyDescent="0.35">
      <c r="B116" s="18" t="str" cm="1">
        <f t="array" ref="B116">IFERROR(INDEX( _xlfn.TEXTSPLIT(SUBSTITUTE(A116,"เหลือ","")," "),1),"")</f>
        <v/>
      </c>
      <c r="C116" s="18" t="str" cm="1">
        <f t="array" ref="C116">IFERROR(INDEX( _xlfn.TEXTSPLIT(SUBSTITUTE(A116,"เหลือ","")," "),2),"")</f>
        <v/>
      </c>
      <c r="D116" s="18" t="str" cm="1">
        <f t="array" ref="D116">IFERROR(INDEX( _xlfn.TEXTSPLIT(SUBSTITUTE(A116,"เหลือ","")," "),3),"")</f>
        <v/>
      </c>
      <c r="H116" s="3" t="str">
        <f>IF(ISBLANK(G116),"",IFERROR(VLOOKUP(G116,Master!$K$1:$L$100,2,0),"ไม่พบข้อมูล"))</f>
        <v/>
      </c>
      <c r="I116" s="3" t="str">
        <f>IF(ISBLANK(F116),"",_xlfn.XLOOKUP(J116,Master!E:E,Master!D:D,"ไม่พบข้อมูล"))</f>
        <v/>
      </c>
      <c r="J116" s="3" t="str" cm="1">
        <f t="array" ref="J116">IF(ISBLANK(F116),"",_xlfn.XLOOKUP(TRUE,'Master แปลงคำ'!A:A=F116, 'Master แปลงคำ'!B:B, "ไม่พบข้อมูล"))</f>
        <v/>
      </c>
      <c r="K116" s="23" t="str">
        <f>IF(OR(ISBLANK(F116),ISBLANK(G116)),"", COUNTIFS('Mk หลังแก้'!U:U,I116,'Mk หลังแก้'!Q:Q,H116,'Mk หลังแก้'!V:V,J116))</f>
        <v/>
      </c>
      <c r="L116" s="11">
        <f>SUMIFS('mk 001 10.3'!X:X,'mk 001 10.3'!V:V,J116,'mk 001 10.3'!Q:Q,H116)</f>
        <v>0</v>
      </c>
      <c r="N116" s="11">
        <f t="shared" si="2"/>
        <v>0</v>
      </c>
      <c r="O116" s="12" t="b">
        <v>0</v>
      </c>
      <c r="P116" s="12" t="b">
        <v>0</v>
      </c>
      <c r="Q116" s="24" t="str">
        <f t="shared" si="3"/>
        <v/>
      </c>
    </row>
    <row r="117" spans="2:17" x14ac:dyDescent="0.35">
      <c r="B117" s="18" t="str" cm="1">
        <f t="array" ref="B117">IFERROR(INDEX( _xlfn.TEXTSPLIT(SUBSTITUTE(A117,"เหลือ","")," "),1),"")</f>
        <v/>
      </c>
      <c r="C117" s="18" t="str" cm="1">
        <f t="array" ref="C117">IFERROR(INDEX( _xlfn.TEXTSPLIT(SUBSTITUTE(A117,"เหลือ","")," "),2),"")</f>
        <v/>
      </c>
      <c r="D117" s="18" t="str" cm="1">
        <f t="array" ref="D117">IFERROR(INDEX( _xlfn.TEXTSPLIT(SUBSTITUTE(A117,"เหลือ","")," "),3),"")</f>
        <v/>
      </c>
      <c r="H117" s="3" t="str">
        <f>IF(ISBLANK(G117),"",IFERROR(VLOOKUP(G117,Master!$K$1:$L$100,2,0),"ไม่พบข้อมูล"))</f>
        <v/>
      </c>
      <c r="I117" s="3" t="str">
        <f>IF(ISBLANK(F117),"",_xlfn.XLOOKUP(J117,Master!E:E,Master!D:D,"ไม่พบข้อมูล"))</f>
        <v/>
      </c>
      <c r="J117" s="3" t="str" cm="1">
        <f t="array" ref="J117">IF(ISBLANK(F117),"",_xlfn.XLOOKUP(TRUE,'Master แปลงคำ'!A:A=F117, 'Master แปลงคำ'!B:B, "ไม่พบข้อมูล"))</f>
        <v/>
      </c>
      <c r="K117" s="23" t="str">
        <f>IF(OR(ISBLANK(F117),ISBLANK(G117)),"", COUNTIFS('Mk หลังแก้'!U:U,I117,'Mk หลังแก้'!Q:Q,H117,'Mk หลังแก้'!V:V,J117))</f>
        <v/>
      </c>
      <c r="L117" s="11">
        <f>SUMIFS('mk 001 10.3'!X:X,'mk 001 10.3'!V:V,J117,'mk 001 10.3'!Q:Q,H117)</f>
        <v>0</v>
      </c>
      <c r="N117" s="11">
        <f t="shared" si="2"/>
        <v>0</v>
      </c>
      <c r="O117" s="12" t="b">
        <v>0</v>
      </c>
      <c r="P117" s="12" t="b">
        <v>0</v>
      </c>
      <c r="Q117" s="24" t="str">
        <f t="shared" si="3"/>
        <v/>
      </c>
    </row>
    <row r="118" spans="2:17" x14ac:dyDescent="0.35">
      <c r="B118" s="18" t="str" cm="1">
        <f t="array" ref="B118">IFERROR(INDEX( _xlfn.TEXTSPLIT(SUBSTITUTE(A118,"เหลือ","")," "),1),"")</f>
        <v/>
      </c>
      <c r="C118" s="18" t="str" cm="1">
        <f t="array" ref="C118">IFERROR(INDEX( _xlfn.TEXTSPLIT(SUBSTITUTE(A118,"เหลือ","")," "),2),"")</f>
        <v/>
      </c>
      <c r="D118" s="18" t="str" cm="1">
        <f t="array" ref="D118">IFERROR(INDEX( _xlfn.TEXTSPLIT(SUBSTITUTE(A118,"เหลือ","")," "),3),"")</f>
        <v/>
      </c>
      <c r="H118" s="3" t="str">
        <f>IF(ISBLANK(G118),"",IFERROR(VLOOKUP(G118,Master!$K$1:$L$100,2,0),"ไม่พบข้อมูล"))</f>
        <v/>
      </c>
      <c r="I118" s="3" t="str">
        <f>IF(ISBLANK(F118),"",_xlfn.XLOOKUP(J118,Master!E:E,Master!D:D,"ไม่พบข้อมูล"))</f>
        <v/>
      </c>
      <c r="J118" s="3" t="str" cm="1">
        <f t="array" ref="J118">IF(ISBLANK(F118),"",_xlfn.XLOOKUP(TRUE,'Master แปลงคำ'!A:A=F118, 'Master แปลงคำ'!B:B, "ไม่พบข้อมูล"))</f>
        <v/>
      </c>
      <c r="K118" s="23" t="str">
        <f>IF(OR(ISBLANK(F118),ISBLANK(G118)),"", COUNTIFS('Mk หลังแก้'!U:U,I118,'Mk หลังแก้'!Q:Q,H118,'Mk หลังแก้'!V:V,J118))</f>
        <v/>
      </c>
      <c r="L118" s="11">
        <f>SUMIFS('mk 001 10.3'!X:X,'mk 001 10.3'!V:V,J118,'mk 001 10.3'!Q:Q,H118)</f>
        <v>0</v>
      </c>
      <c r="N118" s="11">
        <f t="shared" si="2"/>
        <v>0</v>
      </c>
      <c r="O118" s="12" t="b">
        <v>0</v>
      </c>
      <c r="P118" s="12" t="b">
        <v>0</v>
      </c>
      <c r="Q118" s="24" t="str">
        <f t="shared" si="3"/>
        <v/>
      </c>
    </row>
    <row r="119" spans="2:17" x14ac:dyDescent="0.35">
      <c r="B119" s="18" t="str" cm="1">
        <f t="array" ref="B119">IFERROR(INDEX( _xlfn.TEXTSPLIT(SUBSTITUTE(A119,"เหลือ","")," "),1),"")</f>
        <v/>
      </c>
      <c r="C119" s="18" t="str" cm="1">
        <f t="array" ref="C119">IFERROR(INDEX( _xlfn.TEXTSPLIT(SUBSTITUTE(A119,"เหลือ","")," "),2),"")</f>
        <v/>
      </c>
      <c r="D119" s="18" t="str" cm="1">
        <f t="array" ref="D119">IFERROR(INDEX( _xlfn.TEXTSPLIT(SUBSTITUTE(A119,"เหลือ","")," "),3),"")</f>
        <v/>
      </c>
      <c r="H119" s="3" t="str">
        <f>IF(ISBLANK(G119),"",IFERROR(VLOOKUP(G119,Master!$K$1:$L$100,2,0),"ไม่พบข้อมูล"))</f>
        <v/>
      </c>
      <c r="I119" s="3" t="str">
        <f>IF(ISBLANK(F119),"",_xlfn.XLOOKUP(J119,Master!E:E,Master!D:D,"ไม่พบข้อมูล"))</f>
        <v/>
      </c>
      <c r="J119" s="3" t="str" cm="1">
        <f t="array" ref="J119">IF(ISBLANK(F119),"",_xlfn.XLOOKUP(TRUE,'Master แปลงคำ'!A:A=F119, 'Master แปลงคำ'!B:B, "ไม่พบข้อมูล"))</f>
        <v/>
      </c>
      <c r="K119" s="23" t="str">
        <f>IF(OR(ISBLANK(F119),ISBLANK(G119)),"", COUNTIFS('Mk หลังแก้'!U:U,I119,'Mk หลังแก้'!Q:Q,H119,'Mk หลังแก้'!V:V,J119))</f>
        <v/>
      </c>
      <c r="L119" s="11">
        <f>SUMIFS('mk 001 10.3'!X:X,'mk 001 10.3'!V:V,J119,'mk 001 10.3'!Q:Q,H119)</f>
        <v>0</v>
      </c>
      <c r="N119" s="11">
        <f t="shared" si="2"/>
        <v>0</v>
      </c>
      <c r="O119" s="12" t="b">
        <v>0</v>
      </c>
      <c r="P119" s="12" t="b">
        <v>0</v>
      </c>
      <c r="Q119" s="24" t="str">
        <f t="shared" si="3"/>
        <v/>
      </c>
    </row>
    <row r="120" spans="2:17" x14ac:dyDescent="0.35">
      <c r="B120" s="18" t="str" cm="1">
        <f t="array" ref="B120">IFERROR(INDEX( _xlfn.TEXTSPLIT(SUBSTITUTE(A120,"เหลือ","")," "),1),"")</f>
        <v/>
      </c>
      <c r="C120" s="18" t="str" cm="1">
        <f t="array" ref="C120">IFERROR(INDEX( _xlfn.TEXTSPLIT(SUBSTITUTE(A120,"เหลือ","")," "),2),"")</f>
        <v/>
      </c>
      <c r="D120" s="18" t="str" cm="1">
        <f t="array" ref="D120">IFERROR(INDEX( _xlfn.TEXTSPLIT(SUBSTITUTE(A120,"เหลือ","")," "),3),"")</f>
        <v/>
      </c>
      <c r="H120" s="3" t="str">
        <f>IF(ISBLANK(G120),"",IFERROR(VLOOKUP(G120,Master!$K$1:$L$100,2,0),"ไม่พบข้อมูล"))</f>
        <v/>
      </c>
      <c r="I120" s="3" t="str">
        <f>IF(ISBLANK(F120),"",_xlfn.XLOOKUP(J120,Master!E:E,Master!D:D,"ไม่พบข้อมูล"))</f>
        <v/>
      </c>
      <c r="J120" s="3" t="str" cm="1">
        <f t="array" ref="J120">IF(ISBLANK(F120),"",_xlfn.XLOOKUP(TRUE,'Master แปลงคำ'!A:A=F120, 'Master แปลงคำ'!B:B, "ไม่พบข้อมูล"))</f>
        <v/>
      </c>
      <c r="K120" s="23" t="str">
        <f>IF(OR(ISBLANK(F120),ISBLANK(G120)),"", COUNTIFS('Mk หลังแก้'!U:U,I120,'Mk หลังแก้'!Q:Q,H120,'Mk หลังแก้'!V:V,J120))</f>
        <v/>
      </c>
      <c r="L120" s="11">
        <f>SUMIFS('mk 001 10.3'!X:X,'mk 001 10.3'!V:V,J120,'mk 001 10.3'!Q:Q,H120)</f>
        <v>0</v>
      </c>
      <c r="N120" s="11">
        <f t="shared" si="2"/>
        <v>0</v>
      </c>
      <c r="O120" s="12" t="b">
        <v>0</v>
      </c>
      <c r="P120" s="12" t="b">
        <v>0</v>
      </c>
      <c r="Q120" s="24" t="str">
        <f t="shared" si="3"/>
        <v/>
      </c>
    </row>
    <row r="121" spans="2:17" x14ac:dyDescent="0.35">
      <c r="B121" s="18" t="str" cm="1">
        <f t="array" ref="B121">IFERROR(INDEX( _xlfn.TEXTSPLIT(SUBSTITUTE(A121,"เหลือ","")," "),1),"")</f>
        <v/>
      </c>
      <c r="C121" s="18" t="str" cm="1">
        <f t="array" ref="C121">IFERROR(INDEX( _xlfn.TEXTSPLIT(SUBSTITUTE(A121,"เหลือ","")," "),2),"")</f>
        <v/>
      </c>
      <c r="D121" s="18" t="str" cm="1">
        <f t="array" ref="D121">IFERROR(INDEX( _xlfn.TEXTSPLIT(SUBSTITUTE(A121,"เหลือ","")," "),3),"")</f>
        <v/>
      </c>
      <c r="H121" s="3" t="str">
        <f>IF(ISBLANK(G121),"",IFERROR(VLOOKUP(G121,Master!$K$1:$L$100,2,0),"ไม่พบข้อมูล"))</f>
        <v/>
      </c>
      <c r="I121" s="3" t="str">
        <f>IF(ISBLANK(F121),"",_xlfn.XLOOKUP(J121,Master!E:E,Master!D:D,"ไม่พบข้อมูล"))</f>
        <v/>
      </c>
      <c r="J121" s="3" t="str" cm="1">
        <f t="array" ref="J121">IF(ISBLANK(F121),"",_xlfn.XLOOKUP(TRUE,'Master แปลงคำ'!A:A=F121, 'Master แปลงคำ'!B:B, "ไม่พบข้อมูล"))</f>
        <v/>
      </c>
      <c r="K121" s="23" t="str">
        <f>IF(OR(ISBLANK(F121),ISBLANK(G121)),"", COUNTIFS('Mk หลังแก้'!U:U,I121,'Mk หลังแก้'!Q:Q,H121,'Mk หลังแก้'!V:V,J121))</f>
        <v/>
      </c>
      <c r="L121" s="11">
        <f>SUMIFS('mk 001 10.3'!X:X,'mk 001 10.3'!V:V,J121,'mk 001 10.3'!Q:Q,H121)</f>
        <v>0</v>
      </c>
      <c r="N121" s="11">
        <f t="shared" si="2"/>
        <v>0</v>
      </c>
      <c r="O121" s="12" t="b">
        <v>0</v>
      </c>
      <c r="P121" s="12" t="b">
        <v>0</v>
      </c>
      <c r="Q121" s="24" t="str">
        <f t="shared" si="3"/>
        <v/>
      </c>
    </row>
    <row r="122" spans="2:17" x14ac:dyDescent="0.35">
      <c r="B122" s="18" t="str" cm="1">
        <f t="array" ref="B122">IFERROR(INDEX( _xlfn.TEXTSPLIT(SUBSTITUTE(A122,"เหลือ","")," "),1),"")</f>
        <v/>
      </c>
      <c r="C122" s="18" t="str" cm="1">
        <f t="array" ref="C122">IFERROR(INDEX( _xlfn.TEXTSPLIT(SUBSTITUTE(A122,"เหลือ","")," "),2),"")</f>
        <v/>
      </c>
      <c r="D122" s="18" t="str" cm="1">
        <f t="array" ref="D122">IFERROR(INDEX( _xlfn.TEXTSPLIT(SUBSTITUTE(A122,"เหลือ","")," "),3),"")</f>
        <v/>
      </c>
      <c r="H122" s="3" t="str">
        <f>IF(ISBLANK(G122),"",IFERROR(VLOOKUP(G122,Master!$K$1:$L$100,2,0),"ไม่พบข้อมูล"))</f>
        <v/>
      </c>
      <c r="I122" s="3" t="str">
        <f>IF(ISBLANK(F122),"",_xlfn.XLOOKUP(J122,Master!E:E,Master!D:D,"ไม่พบข้อมูล"))</f>
        <v/>
      </c>
      <c r="J122" s="3" t="str" cm="1">
        <f t="array" ref="J122">IF(ISBLANK(F122),"",_xlfn.XLOOKUP(TRUE,'Master แปลงคำ'!A:A=F122, 'Master แปลงคำ'!B:B, "ไม่พบข้อมูล"))</f>
        <v/>
      </c>
      <c r="K122" s="23" t="str">
        <f>IF(OR(ISBLANK(F122),ISBLANK(G122)),"", COUNTIFS('Mk หลังแก้'!U:U,I122,'Mk หลังแก้'!Q:Q,H122,'Mk หลังแก้'!V:V,J122))</f>
        <v/>
      </c>
      <c r="L122" s="11">
        <f>SUMIFS('mk 001 10.3'!X:X,'mk 001 10.3'!V:V,J122,'mk 001 10.3'!Q:Q,H122)</f>
        <v>0</v>
      </c>
      <c r="N122" s="11">
        <f t="shared" si="2"/>
        <v>0</v>
      </c>
      <c r="O122" s="12" t="b">
        <v>0</v>
      </c>
      <c r="P122" s="12" t="b">
        <v>0</v>
      </c>
      <c r="Q122" s="24" t="str">
        <f t="shared" si="3"/>
        <v/>
      </c>
    </row>
    <row r="123" spans="2:17" x14ac:dyDescent="0.35">
      <c r="B123" s="18" t="str" cm="1">
        <f t="array" ref="B123">IFERROR(INDEX( _xlfn.TEXTSPLIT(SUBSTITUTE(A123,"เหลือ","")," "),1),"")</f>
        <v/>
      </c>
      <c r="C123" s="18" t="str" cm="1">
        <f t="array" ref="C123">IFERROR(INDEX( _xlfn.TEXTSPLIT(SUBSTITUTE(A123,"เหลือ","")," "),2),"")</f>
        <v/>
      </c>
      <c r="D123" s="18" t="str" cm="1">
        <f t="array" ref="D123">IFERROR(INDEX( _xlfn.TEXTSPLIT(SUBSTITUTE(A123,"เหลือ","")," "),3),"")</f>
        <v/>
      </c>
      <c r="H123" s="3" t="str">
        <f>IF(ISBLANK(G123),"",IFERROR(VLOOKUP(G123,Master!$K$1:$L$100,2,0),"ไม่พบข้อมูล"))</f>
        <v/>
      </c>
      <c r="I123" s="3" t="str">
        <f>IF(ISBLANK(F123),"",_xlfn.XLOOKUP(J123,Master!E:E,Master!D:D,"ไม่พบข้อมูล"))</f>
        <v/>
      </c>
      <c r="J123" s="3" t="str" cm="1">
        <f t="array" ref="J123">IF(ISBLANK(F123),"",_xlfn.XLOOKUP(TRUE,'Master แปลงคำ'!A:A=F123, 'Master แปลงคำ'!B:B, "ไม่พบข้อมูล"))</f>
        <v/>
      </c>
      <c r="K123" s="23" t="str">
        <f>IF(OR(ISBLANK(F123),ISBLANK(G123)),"", COUNTIFS('Mk หลังแก้'!U:U,I123,'Mk หลังแก้'!Q:Q,H123,'Mk หลังแก้'!V:V,J123))</f>
        <v/>
      </c>
      <c r="L123" s="11">
        <f>SUMIFS('mk 001 10.3'!X:X,'mk 001 10.3'!V:V,J123,'mk 001 10.3'!Q:Q,H123)</f>
        <v>0</v>
      </c>
      <c r="N123" s="11">
        <f t="shared" si="2"/>
        <v>0</v>
      </c>
      <c r="O123" s="12" t="b">
        <v>0</v>
      </c>
      <c r="P123" s="12" t="b">
        <v>0</v>
      </c>
      <c r="Q123" s="24" t="str">
        <f t="shared" si="3"/>
        <v/>
      </c>
    </row>
    <row r="124" spans="2:17" x14ac:dyDescent="0.35">
      <c r="B124" s="18" t="str" cm="1">
        <f t="array" ref="B124">IFERROR(INDEX( _xlfn.TEXTSPLIT(SUBSTITUTE(A124,"เหลือ","")," "),1),"")</f>
        <v/>
      </c>
      <c r="C124" s="18" t="str" cm="1">
        <f t="array" ref="C124">IFERROR(INDEX( _xlfn.TEXTSPLIT(SUBSTITUTE(A124,"เหลือ","")," "),2),"")</f>
        <v/>
      </c>
      <c r="D124" s="18" t="str" cm="1">
        <f t="array" ref="D124">IFERROR(INDEX( _xlfn.TEXTSPLIT(SUBSTITUTE(A124,"เหลือ","")," "),3),"")</f>
        <v/>
      </c>
      <c r="H124" s="3" t="str">
        <f>IF(ISBLANK(G124),"",IFERROR(VLOOKUP(G124,Master!$K$1:$L$100,2,0),"ไม่พบข้อมูล"))</f>
        <v/>
      </c>
      <c r="I124" s="3" t="str">
        <f>IF(ISBLANK(F124),"",_xlfn.XLOOKUP(J124,Master!E:E,Master!D:D,"ไม่พบข้อมูล"))</f>
        <v/>
      </c>
      <c r="J124" s="3" t="str" cm="1">
        <f t="array" ref="J124">IF(ISBLANK(F124),"",_xlfn.XLOOKUP(TRUE,'Master แปลงคำ'!A:A=F124, 'Master แปลงคำ'!B:B, "ไม่พบข้อมูล"))</f>
        <v/>
      </c>
      <c r="K124" s="23" t="str">
        <f>IF(OR(ISBLANK(F124),ISBLANK(G124)),"", COUNTIFS('Mk หลังแก้'!U:U,I124,'Mk หลังแก้'!Q:Q,H124,'Mk หลังแก้'!V:V,J124))</f>
        <v/>
      </c>
      <c r="L124" s="11">
        <f>SUMIFS('mk 001 10.3'!X:X,'mk 001 10.3'!V:V,J124,'mk 001 10.3'!Q:Q,H124)</f>
        <v>0</v>
      </c>
      <c r="N124" s="11">
        <f t="shared" si="2"/>
        <v>0</v>
      </c>
      <c r="O124" s="12" t="b">
        <v>0</v>
      </c>
      <c r="P124" s="12" t="b">
        <v>0</v>
      </c>
      <c r="Q124" s="24" t="str">
        <f t="shared" si="3"/>
        <v/>
      </c>
    </row>
    <row r="125" spans="2:17" x14ac:dyDescent="0.35">
      <c r="B125" s="18" t="str" cm="1">
        <f t="array" ref="B125">IFERROR(INDEX( _xlfn.TEXTSPLIT(SUBSTITUTE(A125,"เหลือ","")," "),1),"")</f>
        <v/>
      </c>
      <c r="C125" s="18" t="str" cm="1">
        <f t="array" ref="C125">IFERROR(INDEX( _xlfn.TEXTSPLIT(SUBSTITUTE(A125,"เหลือ","")," "),2),"")</f>
        <v/>
      </c>
      <c r="D125" s="18" t="str" cm="1">
        <f t="array" ref="D125">IFERROR(INDEX( _xlfn.TEXTSPLIT(SUBSTITUTE(A125,"เหลือ","")," "),3),"")</f>
        <v/>
      </c>
      <c r="H125" s="3" t="str">
        <f>IF(ISBLANK(G125),"",IFERROR(VLOOKUP(G125,Master!$K$1:$L$100,2,0),"ไม่พบข้อมูล"))</f>
        <v/>
      </c>
      <c r="I125" s="3" t="str">
        <f>IF(ISBLANK(F125),"",_xlfn.XLOOKUP(J125,Master!E:E,Master!D:D,"ไม่พบข้อมูล"))</f>
        <v/>
      </c>
      <c r="J125" s="3" t="str" cm="1">
        <f t="array" ref="J125">IF(ISBLANK(F125),"",_xlfn.XLOOKUP(TRUE,'Master แปลงคำ'!A:A=F125, 'Master แปลงคำ'!B:B, "ไม่พบข้อมูล"))</f>
        <v/>
      </c>
      <c r="K125" s="23" t="str">
        <f>IF(OR(ISBLANK(F125),ISBLANK(G125)),"", COUNTIFS('Mk หลังแก้'!U:U,I125,'Mk หลังแก้'!Q:Q,H125,'Mk หลังแก้'!V:V,J125))</f>
        <v/>
      </c>
      <c r="L125" s="11">
        <f>SUMIFS('mk 001 10.3'!X:X,'mk 001 10.3'!V:V,J125,'mk 001 10.3'!Q:Q,H125)</f>
        <v>0</v>
      </c>
      <c r="N125" s="11">
        <f t="shared" si="2"/>
        <v>0</v>
      </c>
      <c r="O125" s="12" t="b">
        <v>0</v>
      </c>
      <c r="P125" s="12" t="b">
        <v>0</v>
      </c>
      <c r="Q125" s="24" t="str">
        <f t="shared" si="3"/>
        <v/>
      </c>
    </row>
    <row r="126" spans="2:17" x14ac:dyDescent="0.35">
      <c r="B126" s="18" t="str" cm="1">
        <f t="array" ref="B126">IFERROR(INDEX( _xlfn.TEXTSPLIT(SUBSTITUTE(A126,"เหลือ","")," "),1),"")</f>
        <v/>
      </c>
      <c r="C126" s="18" t="str" cm="1">
        <f t="array" ref="C126">IFERROR(INDEX( _xlfn.TEXTSPLIT(SUBSTITUTE(A126,"เหลือ","")," "),2),"")</f>
        <v/>
      </c>
      <c r="D126" s="18" t="str" cm="1">
        <f t="array" ref="D126">IFERROR(INDEX( _xlfn.TEXTSPLIT(SUBSTITUTE(A126,"เหลือ","")," "),3),"")</f>
        <v/>
      </c>
      <c r="H126" s="3" t="str">
        <f>IF(ISBLANK(G126),"",IFERROR(VLOOKUP(G126,Master!$K$1:$L$100,2,0),"ไม่พบข้อมูล"))</f>
        <v/>
      </c>
      <c r="I126" s="3" t="str">
        <f>IF(ISBLANK(F126),"",_xlfn.XLOOKUP(J126,Master!E:E,Master!D:D,"ไม่พบข้อมูล"))</f>
        <v/>
      </c>
      <c r="J126" s="3" t="str" cm="1">
        <f t="array" ref="J126">IF(ISBLANK(F126),"",_xlfn.XLOOKUP(TRUE,'Master แปลงคำ'!A:A=F126, 'Master แปลงคำ'!B:B, "ไม่พบข้อมูล"))</f>
        <v/>
      </c>
      <c r="K126" s="23" t="str">
        <f>IF(OR(ISBLANK(F126),ISBLANK(G126)),"", COUNTIFS('Mk หลังแก้'!U:U,I126,'Mk หลังแก้'!Q:Q,H126,'Mk หลังแก้'!V:V,J126))</f>
        <v/>
      </c>
      <c r="L126" s="11">
        <f>SUMIFS('mk 001 10.3'!X:X,'mk 001 10.3'!V:V,J126,'mk 001 10.3'!Q:Q,H126)</f>
        <v>0</v>
      </c>
      <c r="N126" s="11">
        <f t="shared" si="2"/>
        <v>0</v>
      </c>
      <c r="O126" s="12" t="b">
        <v>0</v>
      </c>
      <c r="P126" s="12" t="b">
        <v>0</v>
      </c>
      <c r="Q126" s="24" t="str">
        <f t="shared" si="3"/>
        <v/>
      </c>
    </row>
    <row r="127" spans="2:17" x14ac:dyDescent="0.35">
      <c r="B127" s="18" t="str" cm="1">
        <f t="array" ref="B127">IFERROR(INDEX( _xlfn.TEXTSPLIT(SUBSTITUTE(A127,"เหลือ","")," "),1),"")</f>
        <v/>
      </c>
      <c r="C127" s="18" t="str" cm="1">
        <f t="array" ref="C127">IFERROR(INDEX( _xlfn.TEXTSPLIT(SUBSTITUTE(A127,"เหลือ","")," "),2),"")</f>
        <v/>
      </c>
      <c r="D127" s="18" t="str" cm="1">
        <f t="array" ref="D127">IFERROR(INDEX( _xlfn.TEXTSPLIT(SUBSTITUTE(A127,"เหลือ","")," "),3),"")</f>
        <v/>
      </c>
      <c r="H127" s="3" t="str">
        <f>IF(ISBLANK(G127),"",IFERROR(VLOOKUP(G127,Master!$K$1:$L$100,2,0),"ไม่พบข้อมูล"))</f>
        <v/>
      </c>
      <c r="I127" s="3" t="str">
        <f>IF(ISBLANK(F127),"",_xlfn.XLOOKUP(J127,Master!E:E,Master!D:D,"ไม่พบข้อมูล"))</f>
        <v/>
      </c>
      <c r="J127" s="3" t="str" cm="1">
        <f t="array" ref="J127">IF(ISBLANK(F127),"",_xlfn.XLOOKUP(TRUE,'Master แปลงคำ'!A:A=F127, 'Master แปลงคำ'!B:B, "ไม่พบข้อมูล"))</f>
        <v/>
      </c>
      <c r="K127" s="23" t="str">
        <f>IF(OR(ISBLANK(F127),ISBLANK(G127)),"", COUNTIFS('Mk หลังแก้'!U:U,I127,'Mk หลังแก้'!Q:Q,H127,'Mk หลังแก้'!V:V,J127))</f>
        <v/>
      </c>
      <c r="L127" s="11">
        <f>SUMIFS('mk 001 10.3'!X:X,'mk 001 10.3'!V:V,J127,'mk 001 10.3'!Q:Q,H127)</f>
        <v>0</v>
      </c>
      <c r="N127" s="11">
        <f t="shared" si="2"/>
        <v>0</v>
      </c>
      <c r="O127" s="12" t="b">
        <v>0</v>
      </c>
      <c r="P127" s="12" t="b">
        <v>0</v>
      </c>
      <c r="Q127" s="24" t="str">
        <f t="shared" si="3"/>
        <v/>
      </c>
    </row>
    <row r="128" spans="2:17" x14ac:dyDescent="0.35">
      <c r="B128" s="18" t="str" cm="1">
        <f t="array" ref="B128">IFERROR(INDEX( _xlfn.TEXTSPLIT(SUBSTITUTE(A128,"เหลือ","")," "),1),"")</f>
        <v/>
      </c>
      <c r="C128" s="18" t="str" cm="1">
        <f t="array" ref="C128">IFERROR(INDEX( _xlfn.TEXTSPLIT(SUBSTITUTE(A128,"เหลือ","")," "),2),"")</f>
        <v/>
      </c>
      <c r="D128" s="18" t="str" cm="1">
        <f t="array" ref="D128">IFERROR(INDEX( _xlfn.TEXTSPLIT(SUBSTITUTE(A128,"เหลือ","")," "),3),"")</f>
        <v/>
      </c>
      <c r="H128" s="3" t="str">
        <f>IF(ISBLANK(G128),"",IFERROR(VLOOKUP(G128,Master!$K$1:$L$100,2,0),"ไม่พบข้อมูล"))</f>
        <v/>
      </c>
      <c r="I128" s="3" t="str">
        <f>IF(ISBLANK(F128),"",_xlfn.XLOOKUP(J128,Master!E:E,Master!D:D,"ไม่พบข้อมูล"))</f>
        <v/>
      </c>
      <c r="J128" s="3" t="str" cm="1">
        <f t="array" ref="J128">IF(ISBLANK(F128),"",_xlfn.XLOOKUP(TRUE,'Master แปลงคำ'!A:A=F128, 'Master แปลงคำ'!B:B, "ไม่พบข้อมูล"))</f>
        <v/>
      </c>
      <c r="K128" s="23" t="str">
        <f>IF(OR(ISBLANK(F128),ISBLANK(G128)),"", COUNTIFS('Mk หลังแก้'!U:U,I128,'Mk หลังแก้'!Q:Q,H128,'Mk หลังแก้'!V:V,J128))</f>
        <v/>
      </c>
      <c r="L128" s="11">
        <f>SUMIFS('mk 001 10.3'!X:X,'mk 001 10.3'!V:V,J128,'mk 001 10.3'!Q:Q,H128)</f>
        <v>0</v>
      </c>
      <c r="N128" s="11">
        <f t="shared" si="2"/>
        <v>0</v>
      </c>
      <c r="O128" s="12" t="b">
        <v>0</v>
      </c>
      <c r="P128" s="12" t="b">
        <v>0</v>
      </c>
      <c r="Q128" s="24" t="str">
        <f t="shared" si="3"/>
        <v/>
      </c>
    </row>
    <row r="129" spans="2:17" x14ac:dyDescent="0.35">
      <c r="B129" s="18" t="str" cm="1">
        <f t="array" ref="B129">IFERROR(INDEX( _xlfn.TEXTSPLIT(SUBSTITUTE(A129,"เหลือ","")," "),1),"")</f>
        <v/>
      </c>
      <c r="C129" s="18" t="str" cm="1">
        <f t="array" ref="C129">IFERROR(INDEX( _xlfn.TEXTSPLIT(SUBSTITUTE(A129,"เหลือ","")," "),2),"")</f>
        <v/>
      </c>
      <c r="D129" s="18" t="str" cm="1">
        <f t="array" ref="D129">IFERROR(INDEX( _xlfn.TEXTSPLIT(SUBSTITUTE(A129,"เหลือ","")," "),3),"")</f>
        <v/>
      </c>
      <c r="H129" s="3" t="str">
        <f>IF(ISBLANK(G129),"",IFERROR(VLOOKUP(G129,Master!$K$1:$L$100,2,0),"ไม่พบข้อมูล"))</f>
        <v/>
      </c>
      <c r="I129" s="3" t="str">
        <f>IF(ISBLANK(F129),"",_xlfn.XLOOKUP(J129,Master!E:E,Master!D:D,"ไม่พบข้อมูล"))</f>
        <v/>
      </c>
      <c r="J129" s="3" t="str" cm="1">
        <f t="array" ref="J129">IF(ISBLANK(F129),"",_xlfn.XLOOKUP(TRUE,'Master แปลงคำ'!A:A=F129, 'Master แปลงคำ'!B:B, "ไม่พบข้อมูล"))</f>
        <v/>
      </c>
      <c r="K129" s="23" t="str">
        <f>IF(OR(ISBLANK(F129),ISBLANK(G129)),"", COUNTIFS('Mk หลังแก้'!U:U,I129,'Mk หลังแก้'!Q:Q,H129,'Mk หลังแก้'!V:V,J129))</f>
        <v/>
      </c>
      <c r="L129" s="11">
        <f>SUMIFS('mk 001 10.3'!X:X,'mk 001 10.3'!V:V,J129,'mk 001 10.3'!Q:Q,H129)</f>
        <v>0</v>
      </c>
      <c r="N129" s="11">
        <f t="shared" si="2"/>
        <v>0</v>
      </c>
      <c r="O129" s="12" t="b">
        <v>0</v>
      </c>
      <c r="P129" s="12" t="b">
        <v>0</v>
      </c>
      <c r="Q129" s="24" t="str">
        <f t="shared" si="3"/>
        <v/>
      </c>
    </row>
    <row r="130" spans="2:17" x14ac:dyDescent="0.35">
      <c r="B130" s="18" t="str" cm="1">
        <f t="array" ref="B130">IFERROR(INDEX( _xlfn.TEXTSPLIT(SUBSTITUTE(A130,"เหลือ","")," "),1),"")</f>
        <v/>
      </c>
      <c r="C130" s="18" t="str" cm="1">
        <f t="array" ref="C130">IFERROR(INDEX( _xlfn.TEXTSPLIT(SUBSTITUTE(A130,"เหลือ","")," "),2),"")</f>
        <v/>
      </c>
      <c r="D130" s="18" t="str" cm="1">
        <f t="array" ref="D130">IFERROR(INDEX( _xlfn.TEXTSPLIT(SUBSTITUTE(A130,"เหลือ","")," "),3),"")</f>
        <v/>
      </c>
      <c r="H130" s="3" t="str">
        <f>IF(ISBLANK(G130),"",IFERROR(VLOOKUP(G130,Master!$K$1:$L$100,2,0),"ไม่พบข้อมูล"))</f>
        <v/>
      </c>
      <c r="I130" s="3" t="str">
        <f>IF(ISBLANK(F130),"",_xlfn.XLOOKUP(J130,Master!E:E,Master!D:D,"ไม่พบข้อมูล"))</f>
        <v/>
      </c>
      <c r="J130" s="3" t="str" cm="1">
        <f t="array" ref="J130">IF(ISBLANK(F130),"",_xlfn.XLOOKUP(TRUE,'Master แปลงคำ'!A:A=F130, 'Master แปลงคำ'!B:B, "ไม่พบข้อมูล"))</f>
        <v/>
      </c>
      <c r="K130" s="23" t="str">
        <f>IF(OR(ISBLANK(F130),ISBLANK(G130)),"", COUNTIFS('Mk หลังแก้'!U:U,I130,'Mk หลังแก้'!Q:Q,H130,'Mk หลังแก้'!V:V,J130))</f>
        <v/>
      </c>
      <c r="L130" s="11">
        <f>SUMIFS('mk 001 10.3'!X:X,'mk 001 10.3'!V:V,J130,'mk 001 10.3'!Q:Q,H130)</f>
        <v>0</v>
      </c>
      <c r="N130" s="11">
        <f t="shared" si="2"/>
        <v>0</v>
      </c>
      <c r="O130" s="12" t="b">
        <v>0</v>
      </c>
      <c r="P130" s="12" t="b">
        <v>0</v>
      </c>
      <c r="Q130" s="24" t="str">
        <f t="shared" si="3"/>
        <v/>
      </c>
    </row>
    <row r="131" spans="2:17" x14ac:dyDescent="0.35">
      <c r="B131" s="18" t="str" cm="1">
        <f t="array" ref="B131">IFERROR(INDEX( _xlfn.TEXTSPLIT(SUBSTITUTE(A131,"เหลือ","")," "),1),"")</f>
        <v/>
      </c>
      <c r="C131" s="18" t="str" cm="1">
        <f t="array" ref="C131">IFERROR(INDEX( _xlfn.TEXTSPLIT(SUBSTITUTE(A131,"เหลือ","")," "),2),"")</f>
        <v/>
      </c>
      <c r="D131" s="18" t="str" cm="1">
        <f t="array" ref="D131">IFERROR(INDEX( _xlfn.TEXTSPLIT(SUBSTITUTE(A131,"เหลือ","")," "),3),"")</f>
        <v/>
      </c>
      <c r="H131" s="3" t="str">
        <f>IF(ISBLANK(G131),"",IFERROR(VLOOKUP(G131,Master!$K$1:$L$100,2,0),"ไม่พบข้อมูล"))</f>
        <v/>
      </c>
      <c r="I131" s="3" t="str">
        <f>IF(ISBLANK(F131),"",_xlfn.XLOOKUP(J131,Master!E:E,Master!D:D,"ไม่พบข้อมูล"))</f>
        <v/>
      </c>
      <c r="J131" s="3" t="str" cm="1">
        <f t="array" ref="J131">IF(ISBLANK(F131),"",_xlfn.XLOOKUP(TRUE,'Master แปลงคำ'!A:A=F131, 'Master แปลงคำ'!B:B, "ไม่พบข้อมูล"))</f>
        <v/>
      </c>
      <c r="K131" s="23" t="str">
        <f>IF(OR(ISBLANK(F131),ISBLANK(G131)),"", COUNTIFS('Mk หลังแก้'!U:U,I131,'Mk หลังแก้'!Q:Q,H131,'Mk หลังแก้'!V:V,J131))</f>
        <v/>
      </c>
      <c r="L131" s="11">
        <f>SUMIFS('mk 001 10.3'!X:X,'mk 001 10.3'!V:V,J131,'mk 001 10.3'!Q:Q,H131)</f>
        <v>0</v>
      </c>
      <c r="N131" s="11">
        <f t="shared" ref="N131:N194" si="4">IF(O131,0,M131)</f>
        <v>0</v>
      </c>
      <c r="O131" s="12" t="b">
        <v>0</v>
      </c>
      <c r="P131" s="12" t="b">
        <v>0</v>
      </c>
      <c r="Q131" s="24" t="str">
        <f t="shared" ref="Q131:Q194" si="5">IFERROR(N131/K131,"")</f>
        <v/>
      </c>
    </row>
    <row r="132" spans="2:17" x14ac:dyDescent="0.35">
      <c r="B132" s="18" t="str" cm="1">
        <f t="array" ref="B132">IFERROR(INDEX( _xlfn.TEXTSPLIT(SUBSTITUTE(A132,"เหลือ","")," "),1),"")</f>
        <v/>
      </c>
      <c r="C132" s="18" t="str" cm="1">
        <f t="array" ref="C132">IFERROR(INDEX( _xlfn.TEXTSPLIT(SUBSTITUTE(A132,"เหลือ","")," "),2),"")</f>
        <v/>
      </c>
      <c r="D132" s="18" t="str" cm="1">
        <f t="array" ref="D132">IFERROR(INDEX( _xlfn.TEXTSPLIT(SUBSTITUTE(A132,"เหลือ","")," "),3),"")</f>
        <v/>
      </c>
      <c r="H132" s="3" t="str">
        <f>IF(ISBLANK(G132),"",IFERROR(VLOOKUP(G132,Master!$K$1:$L$100,2,0),"ไม่พบข้อมูล"))</f>
        <v/>
      </c>
      <c r="I132" s="3" t="str">
        <f>IF(ISBLANK(F132),"",_xlfn.XLOOKUP(J132,Master!E:E,Master!D:D,"ไม่พบข้อมูล"))</f>
        <v/>
      </c>
      <c r="J132" s="3" t="str" cm="1">
        <f t="array" ref="J132">IF(ISBLANK(F132),"",_xlfn.XLOOKUP(TRUE,'Master แปลงคำ'!A:A=F132, 'Master แปลงคำ'!B:B, "ไม่พบข้อมูล"))</f>
        <v/>
      </c>
      <c r="K132" s="23" t="str">
        <f>IF(OR(ISBLANK(F132),ISBLANK(G132)),"", COUNTIFS('Mk หลังแก้'!U:U,I132,'Mk หลังแก้'!Q:Q,H132,'Mk หลังแก้'!V:V,J132))</f>
        <v/>
      </c>
      <c r="L132" s="11">
        <f>SUMIFS('mk 001 10.3'!X:X,'mk 001 10.3'!V:V,J132,'mk 001 10.3'!Q:Q,H132)</f>
        <v>0</v>
      </c>
      <c r="N132" s="11">
        <f t="shared" si="4"/>
        <v>0</v>
      </c>
      <c r="O132" s="12" t="b">
        <v>0</v>
      </c>
      <c r="P132" s="12" t="b">
        <v>0</v>
      </c>
      <c r="Q132" s="24" t="str">
        <f t="shared" si="5"/>
        <v/>
      </c>
    </row>
    <row r="133" spans="2:17" x14ac:dyDescent="0.35">
      <c r="B133" s="18" t="str" cm="1">
        <f t="array" ref="B133">IFERROR(INDEX( _xlfn.TEXTSPLIT(SUBSTITUTE(A133,"เหลือ","")," "),1),"")</f>
        <v/>
      </c>
      <c r="C133" s="18" t="str" cm="1">
        <f t="array" ref="C133">IFERROR(INDEX( _xlfn.TEXTSPLIT(SUBSTITUTE(A133,"เหลือ","")," "),2),"")</f>
        <v/>
      </c>
      <c r="D133" s="18" t="str" cm="1">
        <f t="array" ref="D133">IFERROR(INDEX( _xlfn.TEXTSPLIT(SUBSTITUTE(A133,"เหลือ","")," "),3),"")</f>
        <v/>
      </c>
      <c r="H133" s="3" t="str">
        <f>IF(ISBLANK(G133),"",IFERROR(VLOOKUP(G133,Master!$K$1:$L$100,2,0),"ไม่พบข้อมูล"))</f>
        <v/>
      </c>
      <c r="I133" s="3" t="str">
        <f>IF(ISBLANK(F133),"",_xlfn.XLOOKUP(J133,Master!E:E,Master!D:D,"ไม่พบข้อมูล"))</f>
        <v/>
      </c>
      <c r="J133" s="3" t="str" cm="1">
        <f t="array" ref="J133">IF(ISBLANK(F133),"",_xlfn.XLOOKUP(TRUE,'Master แปลงคำ'!A:A=F133, 'Master แปลงคำ'!B:B, "ไม่พบข้อมูล"))</f>
        <v/>
      </c>
      <c r="K133" s="23" t="str">
        <f>IF(OR(ISBLANK(F133),ISBLANK(G133)),"", COUNTIFS('Mk หลังแก้'!U:U,I133,'Mk หลังแก้'!Q:Q,H133,'Mk หลังแก้'!V:V,J133))</f>
        <v/>
      </c>
      <c r="L133" s="11">
        <f>SUMIFS('mk 001 10.3'!X:X,'mk 001 10.3'!V:V,J133,'mk 001 10.3'!Q:Q,H133)</f>
        <v>0</v>
      </c>
      <c r="N133" s="11">
        <f t="shared" si="4"/>
        <v>0</v>
      </c>
      <c r="O133" s="12" t="b">
        <v>0</v>
      </c>
      <c r="P133" s="12" t="b">
        <v>0</v>
      </c>
      <c r="Q133" s="24" t="str">
        <f t="shared" si="5"/>
        <v/>
      </c>
    </row>
    <row r="134" spans="2:17" x14ac:dyDescent="0.35">
      <c r="B134" s="18" t="str" cm="1">
        <f t="array" ref="B134">IFERROR(INDEX( _xlfn.TEXTSPLIT(SUBSTITUTE(A134,"เหลือ","")," "),1),"")</f>
        <v/>
      </c>
      <c r="C134" s="18" t="str" cm="1">
        <f t="array" ref="C134">IFERROR(INDEX( _xlfn.TEXTSPLIT(SUBSTITUTE(A134,"เหลือ","")," "),2),"")</f>
        <v/>
      </c>
      <c r="D134" s="18" t="str" cm="1">
        <f t="array" ref="D134">IFERROR(INDEX( _xlfn.TEXTSPLIT(SUBSTITUTE(A134,"เหลือ","")," "),3),"")</f>
        <v/>
      </c>
      <c r="H134" s="3" t="str">
        <f>IF(ISBLANK(G134),"",IFERROR(VLOOKUP(G134,Master!$K$1:$L$100,2,0),"ไม่พบข้อมูล"))</f>
        <v/>
      </c>
      <c r="I134" s="3" t="str">
        <f>IF(ISBLANK(F134),"",_xlfn.XLOOKUP(J134,Master!E:E,Master!D:D,"ไม่พบข้อมูล"))</f>
        <v/>
      </c>
      <c r="J134" s="3" t="str" cm="1">
        <f t="array" ref="J134">IF(ISBLANK(F134),"",_xlfn.XLOOKUP(TRUE,'Master แปลงคำ'!A:A=F134, 'Master แปลงคำ'!B:B, "ไม่พบข้อมูล"))</f>
        <v/>
      </c>
      <c r="K134" s="23" t="str">
        <f>IF(OR(ISBLANK(F134),ISBLANK(G134)),"", COUNTIFS('Mk หลังแก้'!U:U,I134,'Mk หลังแก้'!Q:Q,H134,'Mk หลังแก้'!V:V,J134))</f>
        <v/>
      </c>
      <c r="L134" s="11">
        <f>SUMIFS('mk 001 10.3'!X:X,'mk 001 10.3'!V:V,J134,'mk 001 10.3'!Q:Q,H134)</f>
        <v>0</v>
      </c>
      <c r="N134" s="11">
        <f t="shared" si="4"/>
        <v>0</v>
      </c>
      <c r="O134" s="12" t="b">
        <v>0</v>
      </c>
      <c r="P134" s="12" t="b">
        <v>0</v>
      </c>
      <c r="Q134" s="24" t="str">
        <f t="shared" si="5"/>
        <v/>
      </c>
    </row>
    <row r="135" spans="2:17" x14ac:dyDescent="0.35">
      <c r="B135" s="18" t="str" cm="1">
        <f t="array" ref="B135">IFERROR(INDEX( _xlfn.TEXTSPLIT(SUBSTITUTE(A135,"เหลือ","")," "),1),"")</f>
        <v/>
      </c>
      <c r="C135" s="18" t="str" cm="1">
        <f t="array" ref="C135">IFERROR(INDEX( _xlfn.TEXTSPLIT(SUBSTITUTE(A135,"เหลือ","")," "),2),"")</f>
        <v/>
      </c>
      <c r="D135" s="18" t="str" cm="1">
        <f t="array" ref="D135">IFERROR(INDEX( _xlfn.TEXTSPLIT(SUBSTITUTE(A135,"เหลือ","")," "),3),"")</f>
        <v/>
      </c>
      <c r="H135" s="3" t="str">
        <f>IF(ISBLANK(G135),"",IFERROR(VLOOKUP(G135,Master!$K$1:$L$100,2,0),"ไม่พบข้อมูล"))</f>
        <v/>
      </c>
      <c r="I135" s="3" t="str">
        <f>IF(ISBLANK(F135),"",_xlfn.XLOOKUP(J135,Master!E:E,Master!D:D,"ไม่พบข้อมูล"))</f>
        <v/>
      </c>
      <c r="J135" s="3" t="str" cm="1">
        <f t="array" ref="J135">IF(ISBLANK(F135),"",_xlfn.XLOOKUP(TRUE,'Master แปลงคำ'!A:A=F135, 'Master แปลงคำ'!B:B, "ไม่พบข้อมูล"))</f>
        <v/>
      </c>
      <c r="K135" s="23" t="str">
        <f>IF(OR(ISBLANK(F135),ISBLANK(G135)),"", COUNTIFS('Mk หลังแก้'!U:U,I135,'Mk หลังแก้'!Q:Q,H135,'Mk หลังแก้'!V:V,J135))</f>
        <v/>
      </c>
      <c r="L135" s="11">
        <f>SUMIFS('mk 001 10.3'!X:X,'mk 001 10.3'!V:V,J135,'mk 001 10.3'!Q:Q,H135)</f>
        <v>0</v>
      </c>
      <c r="N135" s="11">
        <f t="shared" si="4"/>
        <v>0</v>
      </c>
      <c r="O135" s="12" t="b">
        <v>0</v>
      </c>
      <c r="P135" s="12" t="b">
        <v>0</v>
      </c>
      <c r="Q135" s="24" t="str">
        <f t="shared" si="5"/>
        <v/>
      </c>
    </row>
    <row r="136" spans="2:17" x14ac:dyDescent="0.35">
      <c r="B136" s="18" t="str" cm="1">
        <f t="array" ref="B136">IFERROR(INDEX( _xlfn.TEXTSPLIT(SUBSTITUTE(A136,"เหลือ","")," "),1),"")</f>
        <v/>
      </c>
      <c r="C136" s="18" t="str" cm="1">
        <f t="array" ref="C136">IFERROR(INDEX( _xlfn.TEXTSPLIT(SUBSTITUTE(A136,"เหลือ","")," "),2),"")</f>
        <v/>
      </c>
      <c r="D136" s="18" t="str" cm="1">
        <f t="array" ref="D136">IFERROR(INDEX( _xlfn.TEXTSPLIT(SUBSTITUTE(A136,"เหลือ","")," "),3),"")</f>
        <v/>
      </c>
      <c r="H136" s="3" t="str">
        <f>IF(ISBLANK(G136),"",IFERROR(VLOOKUP(G136,Master!$K$1:$L$100,2,0),"ไม่พบข้อมูล"))</f>
        <v/>
      </c>
      <c r="I136" s="3" t="str">
        <f>IF(ISBLANK(F136),"",_xlfn.XLOOKUP(J136,Master!E:E,Master!D:D,"ไม่พบข้อมูล"))</f>
        <v/>
      </c>
      <c r="J136" s="3" t="str" cm="1">
        <f t="array" ref="J136">IF(ISBLANK(F136),"",_xlfn.XLOOKUP(TRUE,'Master แปลงคำ'!A:A=F136, 'Master แปลงคำ'!B:B, "ไม่พบข้อมูล"))</f>
        <v/>
      </c>
      <c r="K136" s="23" t="str">
        <f>IF(OR(ISBLANK(F136),ISBLANK(G136)),"", COUNTIFS('Mk หลังแก้'!U:U,I136,'Mk หลังแก้'!Q:Q,H136,'Mk หลังแก้'!V:V,J136))</f>
        <v/>
      </c>
      <c r="L136" s="11">
        <f>SUMIFS('mk 001 10.3'!X:X,'mk 001 10.3'!V:V,J136,'mk 001 10.3'!Q:Q,H136)</f>
        <v>0</v>
      </c>
      <c r="N136" s="11">
        <f t="shared" si="4"/>
        <v>0</v>
      </c>
      <c r="O136" s="12" t="b">
        <v>0</v>
      </c>
      <c r="P136" s="12" t="b">
        <v>0</v>
      </c>
      <c r="Q136" s="24" t="str">
        <f t="shared" si="5"/>
        <v/>
      </c>
    </row>
    <row r="137" spans="2:17" x14ac:dyDescent="0.35">
      <c r="B137" s="18" t="str" cm="1">
        <f t="array" ref="B137">IFERROR(INDEX( _xlfn.TEXTSPLIT(SUBSTITUTE(A137,"เหลือ","")," "),1),"")</f>
        <v/>
      </c>
      <c r="C137" s="18" t="str" cm="1">
        <f t="array" ref="C137">IFERROR(INDEX( _xlfn.TEXTSPLIT(SUBSTITUTE(A137,"เหลือ","")," "),2),"")</f>
        <v/>
      </c>
      <c r="D137" s="18" t="str" cm="1">
        <f t="array" ref="D137">IFERROR(INDEX( _xlfn.TEXTSPLIT(SUBSTITUTE(A137,"เหลือ","")," "),3),"")</f>
        <v/>
      </c>
      <c r="H137" s="3" t="str">
        <f>IF(ISBLANK(G137),"",IFERROR(VLOOKUP(G137,Master!$K$1:$L$100,2,0),"ไม่พบข้อมูล"))</f>
        <v/>
      </c>
      <c r="I137" s="3" t="str">
        <f>IF(ISBLANK(F137),"",_xlfn.XLOOKUP(J137,Master!E:E,Master!D:D,"ไม่พบข้อมูล"))</f>
        <v/>
      </c>
      <c r="J137" s="3" t="str" cm="1">
        <f t="array" ref="J137">IF(ISBLANK(F137),"",_xlfn.XLOOKUP(TRUE,'Master แปลงคำ'!A:A=F137, 'Master แปลงคำ'!B:B, "ไม่พบข้อมูล"))</f>
        <v/>
      </c>
      <c r="K137" s="23" t="str">
        <f>IF(OR(ISBLANK(F137),ISBLANK(G137)),"", COUNTIFS('Mk หลังแก้'!U:U,I137,'Mk หลังแก้'!Q:Q,H137,'Mk หลังแก้'!V:V,J137))</f>
        <v/>
      </c>
      <c r="L137" s="11">
        <f>SUMIFS('mk 001 10.3'!X:X,'mk 001 10.3'!V:V,J137,'mk 001 10.3'!Q:Q,H137)</f>
        <v>0</v>
      </c>
      <c r="N137" s="11">
        <f t="shared" si="4"/>
        <v>0</v>
      </c>
      <c r="O137" s="12" t="b">
        <v>0</v>
      </c>
      <c r="P137" s="12" t="b">
        <v>0</v>
      </c>
      <c r="Q137" s="24" t="str">
        <f t="shared" si="5"/>
        <v/>
      </c>
    </row>
    <row r="138" spans="2:17" x14ac:dyDescent="0.35">
      <c r="B138" s="18" t="str" cm="1">
        <f t="array" ref="B138">IFERROR(INDEX( _xlfn.TEXTSPLIT(SUBSTITUTE(A138,"เหลือ","")," "),1),"")</f>
        <v/>
      </c>
      <c r="C138" s="18" t="str" cm="1">
        <f t="array" ref="C138">IFERROR(INDEX( _xlfn.TEXTSPLIT(SUBSTITUTE(A138,"เหลือ","")," "),2),"")</f>
        <v/>
      </c>
      <c r="D138" s="18" t="str" cm="1">
        <f t="array" ref="D138">IFERROR(INDEX( _xlfn.TEXTSPLIT(SUBSTITUTE(A138,"เหลือ","")," "),3),"")</f>
        <v/>
      </c>
      <c r="H138" s="3" t="str">
        <f>IF(ISBLANK(G138),"",IFERROR(VLOOKUP(G138,Master!$K$1:$L$100,2,0),"ไม่พบข้อมูล"))</f>
        <v/>
      </c>
      <c r="I138" s="3" t="str">
        <f>IF(ISBLANK(F138),"",_xlfn.XLOOKUP(J138,Master!E:E,Master!D:D,"ไม่พบข้อมูล"))</f>
        <v/>
      </c>
      <c r="J138" s="3" t="str" cm="1">
        <f t="array" ref="J138">IF(ISBLANK(F138),"",_xlfn.XLOOKUP(TRUE,'Master แปลงคำ'!A:A=F138, 'Master แปลงคำ'!B:B, "ไม่พบข้อมูล"))</f>
        <v/>
      </c>
      <c r="K138" s="23" t="str">
        <f>IF(OR(ISBLANK(F138),ISBLANK(G138)),"", COUNTIFS('Mk หลังแก้'!U:U,I138,'Mk หลังแก้'!Q:Q,H138,'Mk หลังแก้'!V:V,J138))</f>
        <v/>
      </c>
      <c r="L138" s="11">
        <f>SUMIFS('mk 001 10.3'!X:X,'mk 001 10.3'!V:V,J138,'mk 001 10.3'!Q:Q,H138)</f>
        <v>0</v>
      </c>
      <c r="N138" s="11">
        <f t="shared" si="4"/>
        <v>0</v>
      </c>
      <c r="O138" s="12" t="b">
        <v>0</v>
      </c>
      <c r="P138" s="12" t="b">
        <v>0</v>
      </c>
      <c r="Q138" s="24" t="str">
        <f t="shared" si="5"/>
        <v/>
      </c>
    </row>
    <row r="139" spans="2:17" x14ac:dyDescent="0.35">
      <c r="B139" s="18" t="str" cm="1">
        <f t="array" ref="B139">IFERROR(INDEX( _xlfn.TEXTSPLIT(SUBSTITUTE(A139,"เหลือ","")," "),1),"")</f>
        <v/>
      </c>
      <c r="C139" s="18" t="str" cm="1">
        <f t="array" ref="C139">IFERROR(INDEX( _xlfn.TEXTSPLIT(SUBSTITUTE(A139,"เหลือ","")," "),2),"")</f>
        <v/>
      </c>
      <c r="D139" s="18" t="str" cm="1">
        <f t="array" ref="D139">IFERROR(INDEX( _xlfn.TEXTSPLIT(SUBSTITUTE(A139,"เหลือ","")," "),3),"")</f>
        <v/>
      </c>
      <c r="H139" s="3" t="str">
        <f>IF(ISBLANK(G139),"",IFERROR(VLOOKUP(G139,Master!$K$1:$L$100,2,0),"ไม่พบข้อมูล"))</f>
        <v/>
      </c>
      <c r="I139" s="3" t="str">
        <f>IF(ISBLANK(F139),"",_xlfn.XLOOKUP(J139,Master!E:E,Master!D:D,"ไม่พบข้อมูล"))</f>
        <v/>
      </c>
      <c r="J139" s="3" t="str" cm="1">
        <f t="array" ref="J139">IF(ISBLANK(F139),"",_xlfn.XLOOKUP(TRUE,'Master แปลงคำ'!A:A=F139, 'Master แปลงคำ'!B:B, "ไม่พบข้อมูล"))</f>
        <v/>
      </c>
      <c r="K139" s="23" t="str">
        <f>IF(OR(ISBLANK(F139),ISBLANK(G139)),"", COUNTIFS('Mk หลังแก้'!U:U,I139,'Mk หลังแก้'!Q:Q,H139,'Mk หลังแก้'!V:V,J139))</f>
        <v/>
      </c>
      <c r="L139" s="11">
        <f>SUMIFS('mk 001 10.3'!X:X,'mk 001 10.3'!V:V,J139,'mk 001 10.3'!Q:Q,H139)</f>
        <v>0</v>
      </c>
      <c r="N139" s="11">
        <f t="shared" si="4"/>
        <v>0</v>
      </c>
      <c r="O139" s="12" t="b">
        <v>0</v>
      </c>
      <c r="P139" s="12" t="b">
        <v>0</v>
      </c>
      <c r="Q139" s="24" t="str">
        <f t="shared" si="5"/>
        <v/>
      </c>
    </row>
    <row r="140" spans="2:17" x14ac:dyDescent="0.35">
      <c r="B140" s="18" t="str" cm="1">
        <f t="array" ref="B140">IFERROR(INDEX( _xlfn.TEXTSPLIT(SUBSTITUTE(A140,"เหลือ","")," "),1),"")</f>
        <v/>
      </c>
      <c r="C140" s="18" t="str" cm="1">
        <f t="array" ref="C140">IFERROR(INDEX( _xlfn.TEXTSPLIT(SUBSTITUTE(A140,"เหลือ","")," "),2),"")</f>
        <v/>
      </c>
      <c r="D140" s="18" t="str" cm="1">
        <f t="array" ref="D140">IFERROR(INDEX( _xlfn.TEXTSPLIT(SUBSTITUTE(A140,"เหลือ","")," "),3),"")</f>
        <v/>
      </c>
      <c r="H140" s="3" t="str">
        <f>IF(ISBLANK(G140),"",IFERROR(VLOOKUP(G140,Master!$K$1:$L$100,2,0),"ไม่พบข้อมูล"))</f>
        <v/>
      </c>
      <c r="I140" s="3" t="str">
        <f>IF(ISBLANK(F140),"",_xlfn.XLOOKUP(J140,Master!E:E,Master!D:D,"ไม่พบข้อมูล"))</f>
        <v/>
      </c>
      <c r="J140" s="3" t="str" cm="1">
        <f t="array" ref="J140">IF(ISBLANK(F140),"",_xlfn.XLOOKUP(TRUE,'Master แปลงคำ'!A:A=F140, 'Master แปลงคำ'!B:B, "ไม่พบข้อมูล"))</f>
        <v/>
      </c>
      <c r="K140" s="23" t="str">
        <f>IF(OR(ISBLANK(F140),ISBLANK(G140)),"", COUNTIFS('Mk หลังแก้'!U:U,I140,'Mk หลังแก้'!Q:Q,H140,'Mk หลังแก้'!V:V,J140))</f>
        <v/>
      </c>
      <c r="L140" s="11">
        <f>SUMIFS('mk 001 10.3'!X:X,'mk 001 10.3'!V:V,J140,'mk 001 10.3'!Q:Q,H140)</f>
        <v>0</v>
      </c>
      <c r="N140" s="11">
        <f t="shared" si="4"/>
        <v>0</v>
      </c>
      <c r="O140" s="12" t="b">
        <v>0</v>
      </c>
      <c r="P140" s="12" t="b">
        <v>0</v>
      </c>
      <c r="Q140" s="24" t="str">
        <f t="shared" si="5"/>
        <v/>
      </c>
    </row>
    <row r="141" spans="2:17" x14ac:dyDescent="0.35">
      <c r="B141" s="18" t="str" cm="1">
        <f t="array" ref="B141">IFERROR(INDEX( _xlfn.TEXTSPLIT(SUBSTITUTE(A141,"เหลือ","")," "),1),"")</f>
        <v/>
      </c>
      <c r="C141" s="18" t="str" cm="1">
        <f t="array" ref="C141">IFERROR(INDEX( _xlfn.TEXTSPLIT(SUBSTITUTE(A141,"เหลือ","")," "),2),"")</f>
        <v/>
      </c>
      <c r="D141" s="18" t="str" cm="1">
        <f t="array" ref="D141">IFERROR(INDEX( _xlfn.TEXTSPLIT(SUBSTITUTE(A141,"เหลือ","")," "),3),"")</f>
        <v/>
      </c>
      <c r="H141" s="3" t="str">
        <f>IF(ISBLANK(G141),"",IFERROR(VLOOKUP(G141,Master!$K$1:$L$100,2,0),"ไม่พบข้อมูล"))</f>
        <v/>
      </c>
      <c r="I141" s="3" t="str">
        <f>IF(ISBLANK(F141),"",_xlfn.XLOOKUP(J141,Master!E:E,Master!D:D,"ไม่พบข้อมูล"))</f>
        <v/>
      </c>
      <c r="J141" s="3" t="str" cm="1">
        <f t="array" ref="J141">IF(ISBLANK(F141),"",_xlfn.XLOOKUP(TRUE,'Master แปลงคำ'!A:A=F141, 'Master แปลงคำ'!B:B, "ไม่พบข้อมูล"))</f>
        <v/>
      </c>
      <c r="K141" s="23" t="str">
        <f>IF(OR(ISBLANK(F141),ISBLANK(G141)),"", COUNTIFS('Mk หลังแก้'!U:U,I141,'Mk หลังแก้'!Q:Q,H141,'Mk หลังแก้'!V:V,J141))</f>
        <v/>
      </c>
      <c r="L141" s="11">
        <f>SUMIFS('mk 001 10.3'!X:X,'mk 001 10.3'!V:V,J141,'mk 001 10.3'!Q:Q,H141)</f>
        <v>0</v>
      </c>
      <c r="N141" s="11">
        <f t="shared" si="4"/>
        <v>0</v>
      </c>
      <c r="O141" s="12" t="b">
        <v>0</v>
      </c>
      <c r="P141" s="12" t="b">
        <v>0</v>
      </c>
      <c r="Q141" s="24" t="str">
        <f t="shared" si="5"/>
        <v/>
      </c>
    </row>
    <row r="142" spans="2:17" x14ac:dyDescent="0.35">
      <c r="B142" s="18" t="str" cm="1">
        <f t="array" ref="B142">IFERROR(INDEX( _xlfn.TEXTSPLIT(SUBSTITUTE(A142,"เหลือ","")," "),1),"")</f>
        <v/>
      </c>
      <c r="C142" s="18" t="str" cm="1">
        <f t="array" ref="C142">IFERROR(INDEX( _xlfn.TEXTSPLIT(SUBSTITUTE(A142,"เหลือ","")," "),2),"")</f>
        <v/>
      </c>
      <c r="D142" s="18" t="str" cm="1">
        <f t="array" ref="D142">IFERROR(INDEX( _xlfn.TEXTSPLIT(SUBSTITUTE(A142,"เหลือ","")," "),3),"")</f>
        <v/>
      </c>
      <c r="H142" s="3" t="str">
        <f>IF(ISBLANK(G142),"",IFERROR(VLOOKUP(G142,Master!$K$1:$L$100,2,0),"ไม่พบข้อมูล"))</f>
        <v/>
      </c>
      <c r="I142" s="3" t="str">
        <f>IF(ISBLANK(F142),"",_xlfn.XLOOKUP(J142,Master!E:E,Master!D:D,"ไม่พบข้อมูล"))</f>
        <v/>
      </c>
      <c r="J142" s="3" t="str" cm="1">
        <f t="array" ref="J142">IF(ISBLANK(F142),"",_xlfn.XLOOKUP(TRUE,'Master แปลงคำ'!A:A=F142, 'Master แปลงคำ'!B:B, "ไม่พบข้อมูล"))</f>
        <v/>
      </c>
      <c r="K142" s="23" t="str">
        <f>IF(OR(ISBLANK(F142),ISBLANK(G142)),"", COUNTIFS('Mk หลังแก้'!U:U,I142,'Mk หลังแก้'!Q:Q,H142,'Mk หลังแก้'!V:V,J142))</f>
        <v/>
      </c>
      <c r="L142" s="11">
        <f>SUMIFS('mk 001 10.3'!X:X,'mk 001 10.3'!V:V,J142,'mk 001 10.3'!Q:Q,H142)</f>
        <v>0</v>
      </c>
      <c r="N142" s="11">
        <f t="shared" si="4"/>
        <v>0</v>
      </c>
      <c r="O142" s="12" t="b">
        <v>0</v>
      </c>
      <c r="P142" s="12" t="b">
        <v>0</v>
      </c>
      <c r="Q142" s="24" t="str">
        <f t="shared" si="5"/>
        <v/>
      </c>
    </row>
    <row r="143" spans="2:17" x14ac:dyDescent="0.35">
      <c r="B143" s="18" t="str" cm="1">
        <f t="array" ref="B143">IFERROR(INDEX( _xlfn.TEXTSPLIT(SUBSTITUTE(A143,"เหลือ","")," "),1),"")</f>
        <v/>
      </c>
      <c r="C143" s="18" t="str" cm="1">
        <f t="array" ref="C143">IFERROR(INDEX( _xlfn.TEXTSPLIT(SUBSTITUTE(A143,"เหลือ","")," "),2),"")</f>
        <v/>
      </c>
      <c r="D143" s="18" t="str" cm="1">
        <f t="array" ref="D143">IFERROR(INDEX( _xlfn.TEXTSPLIT(SUBSTITUTE(A143,"เหลือ","")," "),3),"")</f>
        <v/>
      </c>
      <c r="H143" s="3" t="str">
        <f>IF(ISBLANK(G143),"",IFERROR(VLOOKUP(G143,Master!$K$1:$L$100,2,0),"ไม่พบข้อมูล"))</f>
        <v/>
      </c>
      <c r="I143" s="3" t="str">
        <f>IF(ISBLANK(F143),"",_xlfn.XLOOKUP(J143,Master!E:E,Master!D:D,"ไม่พบข้อมูล"))</f>
        <v/>
      </c>
      <c r="J143" s="3" t="str" cm="1">
        <f t="array" ref="J143">IF(ISBLANK(F143),"",_xlfn.XLOOKUP(TRUE,'Master แปลงคำ'!A:A=F143, 'Master แปลงคำ'!B:B, "ไม่พบข้อมูล"))</f>
        <v/>
      </c>
      <c r="K143" s="23" t="str">
        <f>IF(OR(ISBLANK(F143),ISBLANK(G143)),"", COUNTIFS('Mk หลังแก้'!U:U,I143,'Mk หลังแก้'!Q:Q,H143,'Mk หลังแก้'!V:V,J143))</f>
        <v/>
      </c>
      <c r="L143" s="11">
        <f>SUMIFS('mk 001 10.3'!X:X,'mk 001 10.3'!V:V,J143,'mk 001 10.3'!Q:Q,H143)</f>
        <v>0</v>
      </c>
      <c r="N143" s="11">
        <f t="shared" si="4"/>
        <v>0</v>
      </c>
      <c r="O143" s="12" t="b">
        <v>0</v>
      </c>
      <c r="P143" s="12" t="b">
        <v>0</v>
      </c>
      <c r="Q143" s="24" t="str">
        <f t="shared" si="5"/>
        <v/>
      </c>
    </row>
    <row r="144" spans="2:17" x14ac:dyDescent="0.35">
      <c r="B144" s="18" t="str" cm="1">
        <f t="array" ref="B144">IFERROR(INDEX( _xlfn.TEXTSPLIT(SUBSTITUTE(A144,"เหลือ","")," "),1),"")</f>
        <v/>
      </c>
      <c r="C144" s="18" t="str" cm="1">
        <f t="array" ref="C144">IFERROR(INDEX( _xlfn.TEXTSPLIT(SUBSTITUTE(A144,"เหลือ","")," "),2),"")</f>
        <v/>
      </c>
      <c r="D144" s="18" t="str" cm="1">
        <f t="array" ref="D144">IFERROR(INDEX( _xlfn.TEXTSPLIT(SUBSTITUTE(A144,"เหลือ","")," "),3),"")</f>
        <v/>
      </c>
      <c r="H144" s="3" t="str">
        <f>IF(ISBLANK(G144),"",IFERROR(VLOOKUP(G144,Master!$K$1:$L$100,2,0),"ไม่พบข้อมูล"))</f>
        <v/>
      </c>
      <c r="I144" s="3" t="str">
        <f>IF(ISBLANK(F144),"",_xlfn.XLOOKUP(J144,Master!E:E,Master!D:D,"ไม่พบข้อมูล"))</f>
        <v/>
      </c>
      <c r="J144" s="3" t="str" cm="1">
        <f t="array" ref="J144">IF(ISBLANK(F144),"",_xlfn.XLOOKUP(TRUE,'Master แปลงคำ'!A:A=F144, 'Master แปลงคำ'!B:B, "ไม่พบข้อมูล"))</f>
        <v/>
      </c>
      <c r="K144" s="23" t="str">
        <f>IF(OR(ISBLANK(F144),ISBLANK(G144)),"", COUNTIFS('Mk หลังแก้'!U:U,I144,'Mk หลังแก้'!Q:Q,H144,'Mk หลังแก้'!V:V,J144))</f>
        <v/>
      </c>
      <c r="L144" s="11">
        <f>SUMIFS('mk 001 10.3'!X:X,'mk 001 10.3'!V:V,J144,'mk 001 10.3'!Q:Q,H144)</f>
        <v>0</v>
      </c>
      <c r="N144" s="11">
        <f t="shared" si="4"/>
        <v>0</v>
      </c>
      <c r="O144" s="12" t="b">
        <v>0</v>
      </c>
      <c r="P144" s="12" t="b">
        <v>0</v>
      </c>
      <c r="Q144" s="24" t="str">
        <f t="shared" si="5"/>
        <v/>
      </c>
    </row>
    <row r="145" spans="2:17" x14ac:dyDescent="0.35">
      <c r="B145" s="18" t="str" cm="1">
        <f t="array" ref="B145">IFERROR(INDEX( _xlfn.TEXTSPLIT(SUBSTITUTE(A145,"เหลือ","")," "),1),"")</f>
        <v/>
      </c>
      <c r="C145" s="18" t="str" cm="1">
        <f t="array" ref="C145">IFERROR(INDEX( _xlfn.TEXTSPLIT(SUBSTITUTE(A145,"เหลือ","")," "),2),"")</f>
        <v/>
      </c>
      <c r="D145" s="18" t="str" cm="1">
        <f t="array" ref="D145">IFERROR(INDEX( _xlfn.TEXTSPLIT(SUBSTITUTE(A145,"เหลือ","")," "),3),"")</f>
        <v/>
      </c>
      <c r="H145" s="3" t="str">
        <f>IF(ISBLANK(G145),"",IFERROR(VLOOKUP(G145,Master!$K$1:$L$100,2,0),"ไม่พบข้อมูล"))</f>
        <v/>
      </c>
      <c r="I145" s="3" t="str">
        <f>IF(ISBLANK(F145),"",_xlfn.XLOOKUP(J145,Master!E:E,Master!D:D,"ไม่พบข้อมูล"))</f>
        <v/>
      </c>
      <c r="J145" s="3" t="str" cm="1">
        <f t="array" ref="J145">IF(ISBLANK(F145),"",_xlfn.XLOOKUP(TRUE,'Master แปลงคำ'!A:A=F145, 'Master แปลงคำ'!B:B, "ไม่พบข้อมูล"))</f>
        <v/>
      </c>
      <c r="K145" s="23" t="str">
        <f>IF(OR(ISBLANK(F145),ISBLANK(G145)),"", COUNTIFS('Mk หลังแก้'!U:U,I145,'Mk หลังแก้'!Q:Q,H145,'Mk หลังแก้'!V:V,J145))</f>
        <v/>
      </c>
      <c r="L145" s="11">
        <f>SUMIFS('mk 001 10.3'!X:X,'mk 001 10.3'!V:V,J145,'mk 001 10.3'!Q:Q,H145)</f>
        <v>0</v>
      </c>
      <c r="N145" s="11">
        <f t="shared" si="4"/>
        <v>0</v>
      </c>
      <c r="O145" s="12" t="b">
        <v>0</v>
      </c>
      <c r="P145" s="12" t="b">
        <v>0</v>
      </c>
      <c r="Q145" s="24" t="str">
        <f t="shared" si="5"/>
        <v/>
      </c>
    </row>
    <row r="146" spans="2:17" x14ac:dyDescent="0.35">
      <c r="B146" s="18" t="str" cm="1">
        <f t="array" ref="B146">IFERROR(INDEX( _xlfn.TEXTSPLIT(SUBSTITUTE(A146,"เหลือ","")," "),1),"")</f>
        <v/>
      </c>
      <c r="C146" s="18" t="str" cm="1">
        <f t="array" ref="C146">IFERROR(INDEX( _xlfn.TEXTSPLIT(SUBSTITUTE(A146,"เหลือ","")," "),2),"")</f>
        <v/>
      </c>
      <c r="D146" s="18" t="str" cm="1">
        <f t="array" ref="D146">IFERROR(INDEX( _xlfn.TEXTSPLIT(SUBSTITUTE(A146,"เหลือ","")," "),3),"")</f>
        <v/>
      </c>
      <c r="H146" s="3" t="str">
        <f>IF(ISBLANK(G146),"",IFERROR(VLOOKUP(G146,Master!$K$1:$L$100,2,0),"ไม่พบข้อมูล"))</f>
        <v/>
      </c>
      <c r="I146" s="3" t="str">
        <f>IF(ISBLANK(F146),"",_xlfn.XLOOKUP(J146,Master!E:E,Master!D:D,"ไม่พบข้อมูล"))</f>
        <v/>
      </c>
      <c r="J146" s="3" t="str" cm="1">
        <f t="array" ref="J146">IF(ISBLANK(F146),"",_xlfn.XLOOKUP(TRUE,'Master แปลงคำ'!A:A=F146, 'Master แปลงคำ'!B:B, "ไม่พบข้อมูล"))</f>
        <v/>
      </c>
      <c r="K146" s="23" t="str">
        <f>IF(OR(ISBLANK(F146),ISBLANK(G146)),"", COUNTIFS('Mk หลังแก้'!U:U,I146,'Mk หลังแก้'!Q:Q,H146,'Mk หลังแก้'!V:V,J146))</f>
        <v/>
      </c>
      <c r="L146" s="11">
        <f>SUMIFS('mk 001 10.3'!X:X,'mk 001 10.3'!V:V,J146,'mk 001 10.3'!Q:Q,H146)</f>
        <v>0</v>
      </c>
      <c r="N146" s="11">
        <f t="shared" si="4"/>
        <v>0</v>
      </c>
      <c r="O146" s="12" t="b">
        <v>0</v>
      </c>
      <c r="P146" s="12" t="b">
        <v>0</v>
      </c>
      <c r="Q146" s="24" t="str">
        <f t="shared" si="5"/>
        <v/>
      </c>
    </row>
    <row r="147" spans="2:17" x14ac:dyDescent="0.35">
      <c r="B147" s="18" t="str" cm="1">
        <f t="array" ref="B147">IFERROR(INDEX( _xlfn.TEXTSPLIT(SUBSTITUTE(A147,"เหลือ","")," "),1),"")</f>
        <v/>
      </c>
      <c r="C147" s="18" t="str" cm="1">
        <f t="array" ref="C147">IFERROR(INDEX( _xlfn.TEXTSPLIT(SUBSTITUTE(A147,"เหลือ","")," "),2),"")</f>
        <v/>
      </c>
      <c r="D147" s="18" t="str" cm="1">
        <f t="array" ref="D147">IFERROR(INDEX( _xlfn.TEXTSPLIT(SUBSTITUTE(A147,"เหลือ","")," "),3),"")</f>
        <v/>
      </c>
      <c r="H147" s="3" t="str">
        <f>IF(ISBLANK(G147),"",IFERROR(VLOOKUP(G147,Master!$K$1:$L$100,2,0),"ไม่พบข้อมูล"))</f>
        <v/>
      </c>
      <c r="I147" s="3" t="str">
        <f>IF(ISBLANK(F147),"",_xlfn.XLOOKUP(J147,Master!E:E,Master!D:D,"ไม่พบข้อมูล"))</f>
        <v/>
      </c>
      <c r="J147" s="3" t="str" cm="1">
        <f t="array" ref="J147">IF(ISBLANK(F147),"",_xlfn.XLOOKUP(TRUE,'Master แปลงคำ'!A:A=F147, 'Master แปลงคำ'!B:B, "ไม่พบข้อมูล"))</f>
        <v/>
      </c>
      <c r="K147" s="23" t="str">
        <f>IF(OR(ISBLANK(F147),ISBLANK(G147)),"", COUNTIFS('Mk หลังแก้'!U:U,I147,'Mk หลังแก้'!Q:Q,H147,'Mk หลังแก้'!V:V,J147))</f>
        <v/>
      </c>
      <c r="L147" s="11">
        <f>SUMIFS('mk 001 10.3'!X:X,'mk 001 10.3'!V:V,J147,'mk 001 10.3'!Q:Q,H147)</f>
        <v>0</v>
      </c>
      <c r="N147" s="11">
        <f t="shared" si="4"/>
        <v>0</v>
      </c>
      <c r="O147" s="12" t="b">
        <v>0</v>
      </c>
      <c r="P147" s="12" t="b">
        <v>0</v>
      </c>
      <c r="Q147" s="24" t="str">
        <f t="shared" si="5"/>
        <v/>
      </c>
    </row>
    <row r="148" spans="2:17" x14ac:dyDescent="0.35">
      <c r="B148" s="18" t="str" cm="1">
        <f t="array" ref="B148">IFERROR(INDEX( _xlfn.TEXTSPLIT(SUBSTITUTE(A148,"เหลือ","")," "),1),"")</f>
        <v/>
      </c>
      <c r="C148" s="18" t="str" cm="1">
        <f t="array" ref="C148">IFERROR(INDEX( _xlfn.TEXTSPLIT(SUBSTITUTE(A148,"เหลือ","")," "),2),"")</f>
        <v/>
      </c>
      <c r="D148" s="18" t="str" cm="1">
        <f t="array" ref="D148">IFERROR(INDEX( _xlfn.TEXTSPLIT(SUBSTITUTE(A148,"เหลือ","")," "),3),"")</f>
        <v/>
      </c>
      <c r="H148" s="3" t="str">
        <f>IF(ISBLANK(G148),"",IFERROR(VLOOKUP(G148,Master!$K$1:$L$100,2,0),"ไม่พบข้อมูล"))</f>
        <v/>
      </c>
      <c r="I148" s="3" t="str">
        <f>IF(ISBLANK(F148),"",_xlfn.XLOOKUP(J148,Master!E:E,Master!D:D,"ไม่พบข้อมูล"))</f>
        <v/>
      </c>
      <c r="J148" s="3" t="str" cm="1">
        <f t="array" ref="J148">IF(ISBLANK(F148),"",_xlfn.XLOOKUP(TRUE,'Master แปลงคำ'!A:A=F148, 'Master แปลงคำ'!B:B, "ไม่พบข้อมูล"))</f>
        <v/>
      </c>
      <c r="K148" s="23" t="str">
        <f>IF(OR(ISBLANK(F148),ISBLANK(G148)),"", COUNTIFS('Mk หลังแก้'!U:U,I148,'Mk หลังแก้'!Q:Q,H148,'Mk หลังแก้'!V:V,J148))</f>
        <v/>
      </c>
      <c r="L148" s="11">
        <f>SUMIFS('mk 001 10.3'!X:X,'mk 001 10.3'!V:V,J148,'mk 001 10.3'!Q:Q,H148)</f>
        <v>0</v>
      </c>
      <c r="N148" s="11">
        <f t="shared" si="4"/>
        <v>0</v>
      </c>
      <c r="O148" s="12" t="b">
        <v>0</v>
      </c>
      <c r="P148" s="12" t="b">
        <v>0</v>
      </c>
      <c r="Q148" s="24" t="str">
        <f t="shared" si="5"/>
        <v/>
      </c>
    </row>
    <row r="149" spans="2:17" x14ac:dyDescent="0.35">
      <c r="B149" s="18" t="str" cm="1">
        <f t="array" ref="B149">IFERROR(INDEX( _xlfn.TEXTSPLIT(SUBSTITUTE(A149,"เหลือ","")," "),1),"")</f>
        <v/>
      </c>
      <c r="C149" s="18" t="str" cm="1">
        <f t="array" ref="C149">IFERROR(INDEX( _xlfn.TEXTSPLIT(SUBSTITUTE(A149,"เหลือ","")," "),2),"")</f>
        <v/>
      </c>
      <c r="D149" s="18" t="str" cm="1">
        <f t="array" ref="D149">IFERROR(INDEX( _xlfn.TEXTSPLIT(SUBSTITUTE(A149,"เหลือ","")," "),3),"")</f>
        <v/>
      </c>
      <c r="H149" s="3" t="str">
        <f>IF(ISBLANK(G149),"",IFERROR(VLOOKUP(G149,Master!$K$1:$L$100,2,0),"ไม่พบข้อมูล"))</f>
        <v/>
      </c>
      <c r="I149" s="3" t="str">
        <f>IF(ISBLANK(F149),"",_xlfn.XLOOKUP(J149,Master!E:E,Master!D:D,"ไม่พบข้อมูล"))</f>
        <v/>
      </c>
      <c r="J149" s="3" t="str" cm="1">
        <f t="array" ref="J149">IF(ISBLANK(F149),"",_xlfn.XLOOKUP(TRUE,'Master แปลงคำ'!A:A=F149, 'Master แปลงคำ'!B:B, "ไม่พบข้อมูล"))</f>
        <v/>
      </c>
      <c r="K149" s="23" t="str">
        <f>IF(OR(ISBLANK(F149),ISBLANK(G149)),"", COUNTIFS('Mk หลังแก้'!U:U,I149,'Mk หลังแก้'!Q:Q,H149,'Mk หลังแก้'!V:V,J149))</f>
        <v/>
      </c>
      <c r="L149" s="11">
        <f>SUMIFS('mk 001 10.3'!X:X,'mk 001 10.3'!V:V,J149,'mk 001 10.3'!Q:Q,H149)</f>
        <v>0</v>
      </c>
      <c r="N149" s="11">
        <f t="shared" si="4"/>
        <v>0</v>
      </c>
      <c r="O149" s="12" t="b">
        <v>0</v>
      </c>
      <c r="P149" s="12" t="b">
        <v>0</v>
      </c>
      <c r="Q149" s="24" t="str">
        <f t="shared" si="5"/>
        <v/>
      </c>
    </row>
    <row r="150" spans="2:17" x14ac:dyDescent="0.35">
      <c r="B150" s="18" t="str" cm="1">
        <f t="array" ref="B150">IFERROR(INDEX( _xlfn.TEXTSPLIT(SUBSTITUTE(A150,"เหลือ","")," "),1),"")</f>
        <v/>
      </c>
      <c r="C150" s="18" t="str" cm="1">
        <f t="array" ref="C150">IFERROR(INDEX( _xlfn.TEXTSPLIT(SUBSTITUTE(A150,"เหลือ","")," "),2),"")</f>
        <v/>
      </c>
      <c r="D150" s="18" t="str" cm="1">
        <f t="array" ref="D150">IFERROR(INDEX( _xlfn.TEXTSPLIT(SUBSTITUTE(A150,"เหลือ","")," "),3),"")</f>
        <v/>
      </c>
      <c r="H150" s="3" t="str">
        <f>IF(ISBLANK(G150),"",IFERROR(VLOOKUP(G150,Master!$K$1:$L$100,2,0),"ไม่พบข้อมูล"))</f>
        <v/>
      </c>
      <c r="I150" s="3" t="str">
        <f>IF(ISBLANK(F150),"",_xlfn.XLOOKUP(J150,Master!E:E,Master!D:D,"ไม่พบข้อมูล"))</f>
        <v/>
      </c>
      <c r="J150" s="3" t="str" cm="1">
        <f t="array" ref="J150">IF(ISBLANK(F150),"",_xlfn.XLOOKUP(TRUE,'Master แปลงคำ'!A:A=F150, 'Master แปลงคำ'!B:B, "ไม่พบข้อมูล"))</f>
        <v/>
      </c>
      <c r="K150" s="23" t="str">
        <f>IF(OR(ISBLANK(F150),ISBLANK(G150)),"", COUNTIFS('Mk หลังแก้'!U:U,I150,'Mk หลังแก้'!Q:Q,H150,'Mk หลังแก้'!V:V,J150))</f>
        <v/>
      </c>
      <c r="L150" s="11">
        <f>SUMIFS('mk 001 10.3'!X:X,'mk 001 10.3'!V:V,J150,'mk 001 10.3'!Q:Q,H150)</f>
        <v>0</v>
      </c>
      <c r="N150" s="11">
        <f t="shared" si="4"/>
        <v>0</v>
      </c>
      <c r="O150" s="12" t="b">
        <v>0</v>
      </c>
      <c r="P150" s="12" t="b">
        <v>0</v>
      </c>
      <c r="Q150" s="24" t="str">
        <f t="shared" si="5"/>
        <v/>
      </c>
    </row>
    <row r="151" spans="2:17" x14ac:dyDescent="0.35">
      <c r="B151" s="18" t="str" cm="1">
        <f t="array" ref="B151">IFERROR(INDEX( _xlfn.TEXTSPLIT(SUBSTITUTE(A151,"เหลือ","")," "),1),"")</f>
        <v/>
      </c>
      <c r="C151" s="18" t="str" cm="1">
        <f t="array" ref="C151">IFERROR(INDEX( _xlfn.TEXTSPLIT(SUBSTITUTE(A151,"เหลือ","")," "),2),"")</f>
        <v/>
      </c>
      <c r="D151" s="18" t="str" cm="1">
        <f t="array" ref="D151">IFERROR(INDEX( _xlfn.TEXTSPLIT(SUBSTITUTE(A151,"เหลือ","")," "),3),"")</f>
        <v/>
      </c>
      <c r="H151" s="3" t="str">
        <f>IF(ISBLANK(G151),"",IFERROR(VLOOKUP(G151,Master!$K$1:$L$100,2,0),"ไม่พบข้อมูล"))</f>
        <v/>
      </c>
      <c r="I151" s="3" t="str">
        <f>IF(ISBLANK(F151),"",_xlfn.XLOOKUP(J151,Master!E:E,Master!D:D,"ไม่พบข้อมูล"))</f>
        <v/>
      </c>
      <c r="J151" s="3" t="str" cm="1">
        <f t="array" ref="J151">IF(ISBLANK(F151),"",_xlfn.XLOOKUP(TRUE,'Master แปลงคำ'!A:A=F151, 'Master แปลงคำ'!B:B, "ไม่พบข้อมูล"))</f>
        <v/>
      </c>
      <c r="K151" s="23" t="str">
        <f>IF(OR(ISBLANK(F151),ISBLANK(G151)),"", COUNTIFS('Mk หลังแก้'!U:U,I151,'Mk หลังแก้'!Q:Q,H151,'Mk หลังแก้'!V:V,J151))</f>
        <v/>
      </c>
      <c r="L151" s="11">
        <f>SUMIFS('mk 001 10.3'!X:X,'mk 001 10.3'!V:V,J151,'mk 001 10.3'!Q:Q,H151)</f>
        <v>0</v>
      </c>
      <c r="N151" s="11">
        <f t="shared" si="4"/>
        <v>0</v>
      </c>
      <c r="O151" s="12" t="b">
        <v>0</v>
      </c>
      <c r="P151" s="12" t="b">
        <v>0</v>
      </c>
      <c r="Q151" s="24" t="str">
        <f t="shared" si="5"/>
        <v/>
      </c>
    </row>
    <row r="152" spans="2:17" x14ac:dyDescent="0.35">
      <c r="B152" s="18" t="str" cm="1">
        <f t="array" ref="B152">IFERROR(INDEX( _xlfn.TEXTSPLIT(SUBSTITUTE(A152,"เหลือ","")," "),1),"")</f>
        <v/>
      </c>
      <c r="C152" s="18" t="str" cm="1">
        <f t="array" ref="C152">IFERROR(INDEX( _xlfn.TEXTSPLIT(SUBSTITUTE(A152,"เหลือ","")," "),2),"")</f>
        <v/>
      </c>
      <c r="D152" s="18" t="str" cm="1">
        <f t="array" ref="D152">IFERROR(INDEX( _xlfn.TEXTSPLIT(SUBSTITUTE(A152,"เหลือ","")," "),3),"")</f>
        <v/>
      </c>
      <c r="H152" s="3" t="str">
        <f>IF(ISBLANK(G152),"",IFERROR(VLOOKUP(G152,Master!$K$1:$L$100,2,0),"ไม่พบข้อมูล"))</f>
        <v/>
      </c>
      <c r="I152" s="3" t="str">
        <f>IF(ISBLANK(F152),"",_xlfn.XLOOKUP(J152,Master!E:E,Master!D:D,"ไม่พบข้อมูล"))</f>
        <v/>
      </c>
      <c r="J152" s="3" t="str" cm="1">
        <f t="array" ref="J152">IF(ISBLANK(F152),"",_xlfn.XLOOKUP(TRUE,'Master แปลงคำ'!A:A=F152, 'Master แปลงคำ'!B:B, "ไม่พบข้อมูล"))</f>
        <v/>
      </c>
      <c r="K152" s="23" t="str">
        <f>IF(OR(ISBLANK(F152),ISBLANK(G152)),"", COUNTIFS('Mk หลังแก้'!U:U,I152,'Mk หลังแก้'!Q:Q,H152,'Mk หลังแก้'!V:V,J152))</f>
        <v/>
      </c>
      <c r="L152" s="11">
        <f>SUMIFS('mk 001 10.3'!X:X,'mk 001 10.3'!V:V,J152,'mk 001 10.3'!Q:Q,H152)</f>
        <v>0</v>
      </c>
      <c r="N152" s="11">
        <f t="shared" si="4"/>
        <v>0</v>
      </c>
      <c r="O152" s="12" t="b">
        <v>0</v>
      </c>
      <c r="P152" s="12" t="b">
        <v>0</v>
      </c>
      <c r="Q152" s="24" t="str">
        <f t="shared" si="5"/>
        <v/>
      </c>
    </row>
    <row r="153" spans="2:17" x14ac:dyDescent="0.35">
      <c r="B153" s="18" t="str" cm="1">
        <f t="array" ref="B153">IFERROR(INDEX( _xlfn.TEXTSPLIT(SUBSTITUTE(A153,"เหลือ","")," "),1),"")</f>
        <v/>
      </c>
      <c r="C153" s="18" t="str" cm="1">
        <f t="array" ref="C153">IFERROR(INDEX( _xlfn.TEXTSPLIT(SUBSTITUTE(A153,"เหลือ","")," "),2),"")</f>
        <v/>
      </c>
      <c r="D153" s="18" t="str" cm="1">
        <f t="array" ref="D153">IFERROR(INDEX( _xlfn.TEXTSPLIT(SUBSTITUTE(A153,"เหลือ","")," "),3),"")</f>
        <v/>
      </c>
      <c r="H153" s="3" t="str">
        <f>IF(ISBLANK(G153),"",IFERROR(VLOOKUP(G153,Master!$K$1:$L$100,2,0),"ไม่พบข้อมูล"))</f>
        <v/>
      </c>
      <c r="I153" s="3" t="str">
        <f>IF(ISBLANK(F153),"",_xlfn.XLOOKUP(J153,Master!E:E,Master!D:D,"ไม่พบข้อมูล"))</f>
        <v/>
      </c>
      <c r="J153" s="3" t="str" cm="1">
        <f t="array" ref="J153">IF(ISBLANK(F153),"",_xlfn.XLOOKUP(TRUE,'Master แปลงคำ'!A:A=F153, 'Master แปลงคำ'!B:B, "ไม่พบข้อมูล"))</f>
        <v/>
      </c>
      <c r="K153" s="23" t="str">
        <f>IF(OR(ISBLANK(F153),ISBLANK(G153)),"", COUNTIFS('Mk หลังแก้'!U:U,I153,'Mk หลังแก้'!Q:Q,H153,'Mk หลังแก้'!V:V,J153))</f>
        <v/>
      </c>
      <c r="L153" s="11">
        <f>SUMIFS('mk 001 10.3'!X:X,'mk 001 10.3'!V:V,J153,'mk 001 10.3'!Q:Q,H153)</f>
        <v>0</v>
      </c>
      <c r="N153" s="11">
        <f t="shared" si="4"/>
        <v>0</v>
      </c>
      <c r="O153" s="12" t="b">
        <v>0</v>
      </c>
      <c r="P153" s="12" t="b">
        <v>0</v>
      </c>
      <c r="Q153" s="24" t="str">
        <f t="shared" si="5"/>
        <v/>
      </c>
    </row>
    <row r="154" spans="2:17" x14ac:dyDescent="0.35">
      <c r="B154" s="18" t="str" cm="1">
        <f t="array" ref="B154">IFERROR(INDEX( _xlfn.TEXTSPLIT(SUBSTITUTE(A154,"เหลือ","")," "),1),"")</f>
        <v/>
      </c>
      <c r="C154" s="18" t="str" cm="1">
        <f t="array" ref="C154">IFERROR(INDEX( _xlfn.TEXTSPLIT(SUBSTITUTE(A154,"เหลือ","")," "),2),"")</f>
        <v/>
      </c>
      <c r="D154" s="18" t="str" cm="1">
        <f t="array" ref="D154">IFERROR(INDEX( _xlfn.TEXTSPLIT(SUBSTITUTE(A154,"เหลือ","")," "),3),"")</f>
        <v/>
      </c>
      <c r="H154" s="3" t="str">
        <f>IF(ISBLANK(G154),"",IFERROR(VLOOKUP(G154,Master!$K$1:$L$100,2,0),"ไม่พบข้อมูล"))</f>
        <v/>
      </c>
      <c r="I154" s="3" t="str">
        <f>IF(ISBLANK(F154),"",_xlfn.XLOOKUP(J154,Master!E:E,Master!D:D,"ไม่พบข้อมูล"))</f>
        <v/>
      </c>
      <c r="J154" s="3" t="str" cm="1">
        <f t="array" ref="J154">IF(ISBLANK(F154),"",_xlfn.XLOOKUP(TRUE,'Master แปลงคำ'!A:A=F154, 'Master แปลงคำ'!B:B, "ไม่พบข้อมูล"))</f>
        <v/>
      </c>
      <c r="K154" s="23" t="str">
        <f>IF(OR(ISBLANK(F154),ISBLANK(G154)),"", COUNTIFS('Mk หลังแก้'!U:U,I154,'Mk หลังแก้'!Q:Q,H154,'Mk หลังแก้'!V:V,J154))</f>
        <v/>
      </c>
      <c r="L154" s="11">
        <f>SUMIFS('mk 001 10.3'!X:X,'mk 001 10.3'!V:V,J154,'mk 001 10.3'!Q:Q,H154)</f>
        <v>0</v>
      </c>
      <c r="N154" s="11">
        <f t="shared" si="4"/>
        <v>0</v>
      </c>
      <c r="O154" s="12" t="b">
        <v>0</v>
      </c>
      <c r="P154" s="12" t="b">
        <v>0</v>
      </c>
      <c r="Q154" s="24" t="str">
        <f t="shared" si="5"/>
        <v/>
      </c>
    </row>
    <row r="155" spans="2:17" x14ac:dyDescent="0.35">
      <c r="B155" s="18" t="str" cm="1">
        <f t="array" ref="B155">IFERROR(INDEX( _xlfn.TEXTSPLIT(SUBSTITUTE(A155,"เหลือ","")," "),1),"")</f>
        <v/>
      </c>
      <c r="C155" s="18" t="str" cm="1">
        <f t="array" ref="C155">IFERROR(INDEX( _xlfn.TEXTSPLIT(SUBSTITUTE(A155,"เหลือ","")," "),2),"")</f>
        <v/>
      </c>
      <c r="D155" s="18" t="str" cm="1">
        <f t="array" ref="D155">IFERROR(INDEX( _xlfn.TEXTSPLIT(SUBSTITUTE(A155,"เหลือ","")," "),3),"")</f>
        <v/>
      </c>
      <c r="H155" s="3" t="str">
        <f>IF(ISBLANK(G155),"",IFERROR(VLOOKUP(G155,Master!$K$1:$L$100,2,0),"ไม่พบข้อมูล"))</f>
        <v/>
      </c>
      <c r="I155" s="3" t="str">
        <f>IF(ISBLANK(F155),"",_xlfn.XLOOKUP(J155,Master!E:E,Master!D:D,"ไม่พบข้อมูล"))</f>
        <v/>
      </c>
      <c r="J155" s="3" t="str" cm="1">
        <f t="array" ref="J155">IF(ISBLANK(F155),"",_xlfn.XLOOKUP(TRUE,'Master แปลงคำ'!A:A=F155, 'Master แปลงคำ'!B:B, "ไม่พบข้อมูล"))</f>
        <v/>
      </c>
      <c r="K155" s="23" t="str">
        <f>IF(OR(ISBLANK(F155),ISBLANK(G155)),"", COUNTIFS('Mk หลังแก้'!U:U,I155,'Mk หลังแก้'!Q:Q,H155,'Mk หลังแก้'!V:V,J155))</f>
        <v/>
      </c>
      <c r="L155" s="11">
        <f>SUMIFS('mk 001 10.3'!X:X,'mk 001 10.3'!V:V,J155,'mk 001 10.3'!Q:Q,H155)</f>
        <v>0</v>
      </c>
      <c r="N155" s="11">
        <f t="shared" si="4"/>
        <v>0</v>
      </c>
      <c r="O155" s="12" t="b">
        <v>0</v>
      </c>
      <c r="P155" s="12" t="b">
        <v>0</v>
      </c>
      <c r="Q155" s="24" t="str">
        <f t="shared" si="5"/>
        <v/>
      </c>
    </row>
    <row r="156" spans="2:17" x14ac:dyDescent="0.35">
      <c r="B156" s="18" t="str" cm="1">
        <f t="array" ref="B156">IFERROR(INDEX( _xlfn.TEXTSPLIT(SUBSTITUTE(A156,"เหลือ","")," "),1),"")</f>
        <v/>
      </c>
      <c r="C156" s="18" t="str" cm="1">
        <f t="array" ref="C156">IFERROR(INDEX( _xlfn.TEXTSPLIT(SUBSTITUTE(A156,"เหลือ","")," "),2),"")</f>
        <v/>
      </c>
      <c r="D156" s="18" t="str" cm="1">
        <f t="array" ref="D156">IFERROR(INDEX( _xlfn.TEXTSPLIT(SUBSTITUTE(A156,"เหลือ","")," "),3),"")</f>
        <v/>
      </c>
      <c r="H156" s="3" t="str">
        <f>IF(ISBLANK(G156),"",IFERROR(VLOOKUP(G156,Master!$K$1:$L$100,2,0),"ไม่พบข้อมูล"))</f>
        <v/>
      </c>
      <c r="I156" s="3" t="str">
        <f>IF(ISBLANK(F156),"",_xlfn.XLOOKUP(J156,Master!E:E,Master!D:D,"ไม่พบข้อมูล"))</f>
        <v/>
      </c>
      <c r="J156" s="3" t="str" cm="1">
        <f t="array" ref="J156">IF(ISBLANK(F156),"",_xlfn.XLOOKUP(TRUE,'Master แปลงคำ'!A:A=F156, 'Master แปลงคำ'!B:B, "ไม่พบข้อมูล"))</f>
        <v/>
      </c>
      <c r="K156" s="23" t="str">
        <f>IF(OR(ISBLANK(F156),ISBLANK(G156)),"", COUNTIFS('Mk หลังแก้'!U:U,I156,'Mk หลังแก้'!Q:Q,H156,'Mk หลังแก้'!V:V,J156))</f>
        <v/>
      </c>
      <c r="L156" s="11">
        <f>SUMIFS('mk 001 10.3'!X:X,'mk 001 10.3'!V:V,J156,'mk 001 10.3'!Q:Q,H156)</f>
        <v>0</v>
      </c>
      <c r="N156" s="11">
        <f t="shared" si="4"/>
        <v>0</v>
      </c>
      <c r="O156" s="12" t="b">
        <v>0</v>
      </c>
      <c r="P156" s="12" t="b">
        <v>0</v>
      </c>
      <c r="Q156" s="24" t="str">
        <f t="shared" si="5"/>
        <v/>
      </c>
    </row>
    <row r="157" spans="2:17" x14ac:dyDescent="0.35">
      <c r="B157" s="18" t="str" cm="1">
        <f t="array" ref="B157">IFERROR(INDEX( _xlfn.TEXTSPLIT(SUBSTITUTE(A157,"เหลือ","")," "),1),"")</f>
        <v/>
      </c>
      <c r="C157" s="18" t="str" cm="1">
        <f t="array" ref="C157">IFERROR(INDEX( _xlfn.TEXTSPLIT(SUBSTITUTE(A157,"เหลือ","")," "),2),"")</f>
        <v/>
      </c>
      <c r="D157" s="18" t="str" cm="1">
        <f t="array" ref="D157">IFERROR(INDEX( _xlfn.TEXTSPLIT(SUBSTITUTE(A157,"เหลือ","")," "),3),"")</f>
        <v/>
      </c>
      <c r="H157" s="3" t="str">
        <f>IF(ISBLANK(G157),"",IFERROR(VLOOKUP(G157,Master!$K$1:$L$100,2,0),"ไม่พบข้อมูล"))</f>
        <v/>
      </c>
      <c r="I157" s="3" t="str">
        <f>IF(ISBLANK(F157),"",_xlfn.XLOOKUP(J157,Master!E:E,Master!D:D,"ไม่พบข้อมูล"))</f>
        <v/>
      </c>
      <c r="J157" s="3" t="str" cm="1">
        <f t="array" ref="J157">IF(ISBLANK(F157),"",_xlfn.XLOOKUP(TRUE,'Master แปลงคำ'!A:A=F157, 'Master แปลงคำ'!B:B, "ไม่พบข้อมูล"))</f>
        <v/>
      </c>
      <c r="K157" s="23" t="str">
        <f>IF(OR(ISBLANK(F157),ISBLANK(G157)),"", COUNTIFS('Mk หลังแก้'!U:U,I157,'Mk หลังแก้'!Q:Q,H157,'Mk หลังแก้'!V:V,J157))</f>
        <v/>
      </c>
      <c r="L157" s="11">
        <f>SUMIFS('mk 001 10.3'!X:X,'mk 001 10.3'!V:V,J157,'mk 001 10.3'!Q:Q,H157)</f>
        <v>0</v>
      </c>
      <c r="N157" s="11">
        <f t="shared" si="4"/>
        <v>0</v>
      </c>
      <c r="O157" s="12" t="b">
        <v>0</v>
      </c>
      <c r="P157" s="12" t="b">
        <v>0</v>
      </c>
      <c r="Q157" s="24" t="str">
        <f t="shared" si="5"/>
        <v/>
      </c>
    </row>
    <row r="158" spans="2:17" x14ac:dyDescent="0.35">
      <c r="B158" s="18" t="str" cm="1">
        <f t="array" ref="B158">IFERROR(INDEX( _xlfn.TEXTSPLIT(SUBSTITUTE(A158,"เหลือ","")," "),1),"")</f>
        <v/>
      </c>
      <c r="C158" s="18" t="str" cm="1">
        <f t="array" ref="C158">IFERROR(INDEX( _xlfn.TEXTSPLIT(SUBSTITUTE(A158,"เหลือ","")," "),2),"")</f>
        <v/>
      </c>
      <c r="D158" s="18" t="str" cm="1">
        <f t="array" ref="D158">IFERROR(INDEX( _xlfn.TEXTSPLIT(SUBSTITUTE(A158,"เหลือ","")," "),3),"")</f>
        <v/>
      </c>
      <c r="H158" s="3" t="str">
        <f>IF(ISBLANK(G158),"",IFERROR(VLOOKUP(G158,Master!$K$1:$L$100,2,0),"ไม่พบข้อมูล"))</f>
        <v/>
      </c>
      <c r="I158" s="3" t="str">
        <f>IF(ISBLANK(F158),"",_xlfn.XLOOKUP(J158,Master!E:E,Master!D:D,"ไม่พบข้อมูล"))</f>
        <v/>
      </c>
      <c r="J158" s="3" t="str" cm="1">
        <f t="array" ref="J158">IF(ISBLANK(F158),"",_xlfn.XLOOKUP(TRUE,'Master แปลงคำ'!A:A=F158, 'Master แปลงคำ'!B:B, "ไม่พบข้อมูล"))</f>
        <v/>
      </c>
      <c r="K158" s="23" t="str">
        <f>IF(OR(ISBLANK(F158),ISBLANK(G158)),"", COUNTIFS('Mk หลังแก้'!U:U,I158,'Mk หลังแก้'!Q:Q,H158,'Mk หลังแก้'!V:V,J158))</f>
        <v/>
      </c>
      <c r="L158" s="11">
        <f>SUMIFS('mk 001 10.3'!X:X,'mk 001 10.3'!V:V,J158,'mk 001 10.3'!Q:Q,H158)</f>
        <v>0</v>
      </c>
      <c r="N158" s="11">
        <f t="shared" si="4"/>
        <v>0</v>
      </c>
      <c r="O158" s="12" t="b">
        <v>0</v>
      </c>
      <c r="P158" s="12" t="b">
        <v>0</v>
      </c>
      <c r="Q158" s="24" t="str">
        <f t="shared" si="5"/>
        <v/>
      </c>
    </row>
    <row r="159" spans="2:17" x14ac:dyDescent="0.35">
      <c r="B159" s="18" t="str" cm="1">
        <f t="array" ref="B159">IFERROR(INDEX( _xlfn.TEXTSPLIT(SUBSTITUTE(A159,"เหลือ","")," "),1),"")</f>
        <v/>
      </c>
      <c r="C159" s="18" t="str" cm="1">
        <f t="array" ref="C159">IFERROR(INDEX( _xlfn.TEXTSPLIT(SUBSTITUTE(A159,"เหลือ","")," "),2),"")</f>
        <v/>
      </c>
      <c r="D159" s="18" t="str" cm="1">
        <f t="array" ref="D159">IFERROR(INDEX( _xlfn.TEXTSPLIT(SUBSTITUTE(A159,"เหลือ","")," "),3),"")</f>
        <v/>
      </c>
      <c r="H159" s="3" t="str">
        <f>IF(ISBLANK(G159),"",IFERROR(VLOOKUP(G159,Master!$K$1:$L$100,2,0),"ไม่พบข้อมูล"))</f>
        <v/>
      </c>
      <c r="I159" s="3" t="str">
        <f>IF(ISBLANK(F159),"",_xlfn.XLOOKUP(J159,Master!E:E,Master!D:D,"ไม่พบข้อมูล"))</f>
        <v/>
      </c>
      <c r="J159" s="3" t="str" cm="1">
        <f t="array" ref="J159">IF(ISBLANK(F159),"",_xlfn.XLOOKUP(TRUE,'Master แปลงคำ'!A:A=F159, 'Master แปลงคำ'!B:B, "ไม่พบข้อมูล"))</f>
        <v/>
      </c>
      <c r="K159" s="23" t="str">
        <f>IF(OR(ISBLANK(F159),ISBLANK(G159)),"", COUNTIFS('Mk หลังแก้'!U:U,I159,'Mk หลังแก้'!Q:Q,H159,'Mk หลังแก้'!V:V,J159))</f>
        <v/>
      </c>
      <c r="L159" s="11">
        <f>SUMIFS('mk 001 10.3'!X:X,'mk 001 10.3'!V:V,J159,'mk 001 10.3'!Q:Q,H159)</f>
        <v>0</v>
      </c>
      <c r="N159" s="11">
        <f t="shared" si="4"/>
        <v>0</v>
      </c>
      <c r="O159" s="12" t="b">
        <v>0</v>
      </c>
      <c r="P159" s="12" t="b">
        <v>0</v>
      </c>
      <c r="Q159" s="24" t="str">
        <f t="shared" si="5"/>
        <v/>
      </c>
    </row>
    <row r="160" spans="2:17" x14ac:dyDescent="0.35">
      <c r="B160" s="18" t="str" cm="1">
        <f t="array" ref="B160">IFERROR(INDEX( _xlfn.TEXTSPLIT(SUBSTITUTE(A160,"เหลือ","")," "),1),"")</f>
        <v/>
      </c>
      <c r="C160" s="18" t="str" cm="1">
        <f t="array" ref="C160">IFERROR(INDEX( _xlfn.TEXTSPLIT(SUBSTITUTE(A160,"เหลือ","")," "),2),"")</f>
        <v/>
      </c>
      <c r="D160" s="18" t="str" cm="1">
        <f t="array" ref="D160">IFERROR(INDEX( _xlfn.TEXTSPLIT(SUBSTITUTE(A160,"เหลือ","")," "),3),"")</f>
        <v/>
      </c>
      <c r="H160" s="3" t="str">
        <f>IF(ISBLANK(G160),"",IFERROR(VLOOKUP(G160,Master!$K$1:$L$100,2,0),"ไม่พบข้อมูล"))</f>
        <v/>
      </c>
      <c r="I160" s="3" t="str">
        <f>IF(ISBLANK(F160),"",_xlfn.XLOOKUP(J160,Master!E:E,Master!D:D,"ไม่พบข้อมูล"))</f>
        <v/>
      </c>
      <c r="J160" s="3" t="str" cm="1">
        <f t="array" ref="J160">IF(ISBLANK(F160),"",_xlfn.XLOOKUP(TRUE,'Master แปลงคำ'!A:A=F160, 'Master แปลงคำ'!B:B, "ไม่พบข้อมูล"))</f>
        <v/>
      </c>
      <c r="K160" s="23" t="str">
        <f>IF(OR(ISBLANK(F160),ISBLANK(G160)),"", COUNTIFS('Mk หลังแก้'!U:U,I160,'Mk หลังแก้'!Q:Q,H160,'Mk หลังแก้'!V:V,J160))</f>
        <v/>
      </c>
      <c r="L160" s="11">
        <f>SUMIFS('mk 001 10.3'!X:X,'mk 001 10.3'!V:V,J160,'mk 001 10.3'!Q:Q,H160)</f>
        <v>0</v>
      </c>
      <c r="N160" s="11">
        <f t="shared" si="4"/>
        <v>0</v>
      </c>
      <c r="O160" s="12" t="b">
        <v>0</v>
      </c>
      <c r="P160" s="12" t="b">
        <v>0</v>
      </c>
      <c r="Q160" s="24" t="str">
        <f t="shared" si="5"/>
        <v/>
      </c>
    </row>
    <row r="161" spans="2:17" x14ac:dyDescent="0.35">
      <c r="B161" s="18" t="str" cm="1">
        <f t="array" ref="B161">IFERROR(INDEX( _xlfn.TEXTSPLIT(SUBSTITUTE(A161,"เหลือ","")," "),1),"")</f>
        <v/>
      </c>
      <c r="C161" s="18" t="str" cm="1">
        <f t="array" ref="C161">IFERROR(INDEX( _xlfn.TEXTSPLIT(SUBSTITUTE(A161,"เหลือ","")," "),2),"")</f>
        <v/>
      </c>
      <c r="D161" s="18" t="str" cm="1">
        <f t="array" ref="D161">IFERROR(INDEX( _xlfn.TEXTSPLIT(SUBSTITUTE(A161,"เหลือ","")," "),3),"")</f>
        <v/>
      </c>
      <c r="H161" s="3" t="str">
        <f>IF(ISBLANK(G161),"",IFERROR(VLOOKUP(G161,Master!$K$1:$L$100,2,0),"ไม่พบข้อมูล"))</f>
        <v/>
      </c>
      <c r="I161" s="3" t="str">
        <f>IF(ISBLANK(F161),"",_xlfn.XLOOKUP(J161,Master!E:E,Master!D:D,"ไม่พบข้อมูล"))</f>
        <v/>
      </c>
      <c r="J161" s="3" t="str" cm="1">
        <f t="array" ref="J161">IF(ISBLANK(F161),"",_xlfn.XLOOKUP(TRUE,'Master แปลงคำ'!A:A=F161, 'Master แปลงคำ'!B:B, "ไม่พบข้อมูล"))</f>
        <v/>
      </c>
      <c r="K161" s="23" t="str">
        <f>IF(OR(ISBLANK(F161),ISBLANK(G161)),"", COUNTIFS('Mk หลังแก้'!U:U,I161,'Mk หลังแก้'!Q:Q,H161,'Mk หลังแก้'!V:V,J161))</f>
        <v/>
      </c>
      <c r="L161" s="11">
        <f>SUMIFS('mk 001 10.3'!X:X,'mk 001 10.3'!V:V,J161,'mk 001 10.3'!Q:Q,H161)</f>
        <v>0</v>
      </c>
      <c r="N161" s="11">
        <f t="shared" si="4"/>
        <v>0</v>
      </c>
      <c r="O161" s="12" t="b">
        <v>0</v>
      </c>
      <c r="P161" s="12" t="b">
        <v>0</v>
      </c>
      <c r="Q161" s="24" t="str">
        <f t="shared" si="5"/>
        <v/>
      </c>
    </row>
    <row r="162" spans="2:17" x14ac:dyDescent="0.35">
      <c r="B162" s="18" t="str" cm="1">
        <f t="array" ref="B162">IFERROR(INDEX( _xlfn.TEXTSPLIT(SUBSTITUTE(A162,"เหลือ","")," "),1),"")</f>
        <v/>
      </c>
      <c r="C162" s="18" t="str" cm="1">
        <f t="array" ref="C162">IFERROR(INDEX( _xlfn.TEXTSPLIT(SUBSTITUTE(A162,"เหลือ","")," "),2),"")</f>
        <v/>
      </c>
      <c r="D162" s="18" t="str" cm="1">
        <f t="array" ref="D162">IFERROR(INDEX( _xlfn.TEXTSPLIT(SUBSTITUTE(A162,"เหลือ","")," "),3),"")</f>
        <v/>
      </c>
      <c r="H162" s="3" t="str">
        <f>IF(ISBLANK(G162),"",IFERROR(VLOOKUP(G162,Master!$K$1:$L$100,2,0),"ไม่พบข้อมูล"))</f>
        <v/>
      </c>
      <c r="I162" s="3" t="str">
        <f>IF(ISBLANK(F162),"",_xlfn.XLOOKUP(J162,Master!E:E,Master!D:D,"ไม่พบข้อมูล"))</f>
        <v/>
      </c>
      <c r="J162" s="3" t="str" cm="1">
        <f t="array" ref="J162">IF(ISBLANK(F162),"",_xlfn.XLOOKUP(TRUE,'Master แปลงคำ'!A:A=F162, 'Master แปลงคำ'!B:B, "ไม่พบข้อมูล"))</f>
        <v/>
      </c>
      <c r="K162" s="23" t="str">
        <f>IF(OR(ISBLANK(F162),ISBLANK(G162)),"", COUNTIFS('Mk หลังแก้'!U:U,I162,'Mk หลังแก้'!Q:Q,H162,'Mk หลังแก้'!V:V,J162))</f>
        <v/>
      </c>
      <c r="L162" s="11">
        <f>SUMIFS('mk 001 10.3'!X:X,'mk 001 10.3'!V:V,J162,'mk 001 10.3'!Q:Q,H162)</f>
        <v>0</v>
      </c>
      <c r="N162" s="11">
        <f t="shared" si="4"/>
        <v>0</v>
      </c>
      <c r="O162" s="12" t="b">
        <v>0</v>
      </c>
      <c r="P162" s="12" t="b">
        <v>0</v>
      </c>
      <c r="Q162" s="24" t="str">
        <f t="shared" si="5"/>
        <v/>
      </c>
    </row>
    <row r="163" spans="2:17" x14ac:dyDescent="0.35">
      <c r="B163" s="18" t="str" cm="1">
        <f t="array" ref="B163">IFERROR(INDEX( _xlfn.TEXTSPLIT(SUBSTITUTE(A163,"เหลือ","")," "),1),"")</f>
        <v/>
      </c>
      <c r="C163" s="18" t="str" cm="1">
        <f t="array" ref="C163">IFERROR(INDEX( _xlfn.TEXTSPLIT(SUBSTITUTE(A163,"เหลือ","")," "),2),"")</f>
        <v/>
      </c>
      <c r="D163" s="18" t="str" cm="1">
        <f t="array" ref="D163">IFERROR(INDEX( _xlfn.TEXTSPLIT(SUBSTITUTE(A163,"เหลือ","")," "),3),"")</f>
        <v/>
      </c>
      <c r="H163" s="3" t="str">
        <f>IF(ISBLANK(G163),"",IFERROR(VLOOKUP(G163,Master!$K$1:$L$100,2,0),"ไม่พบข้อมูล"))</f>
        <v/>
      </c>
      <c r="I163" s="3" t="str">
        <f>IF(ISBLANK(F163),"",_xlfn.XLOOKUP(J163,Master!E:E,Master!D:D,"ไม่พบข้อมูล"))</f>
        <v/>
      </c>
      <c r="J163" s="3" t="str" cm="1">
        <f t="array" ref="J163">IF(ISBLANK(F163),"",_xlfn.XLOOKUP(TRUE,'Master แปลงคำ'!A:A=F163, 'Master แปลงคำ'!B:B, "ไม่พบข้อมูล"))</f>
        <v/>
      </c>
      <c r="K163" s="23" t="str">
        <f>IF(OR(ISBLANK(F163),ISBLANK(G163)),"", COUNTIFS('Mk หลังแก้'!U:U,I163,'Mk หลังแก้'!Q:Q,H163,'Mk หลังแก้'!V:V,J163))</f>
        <v/>
      </c>
      <c r="L163" s="11">
        <f>SUMIFS('mk 001 10.3'!X:X,'mk 001 10.3'!V:V,J163,'mk 001 10.3'!Q:Q,H163)</f>
        <v>0</v>
      </c>
      <c r="N163" s="11">
        <f t="shared" si="4"/>
        <v>0</v>
      </c>
      <c r="O163" s="12" t="b">
        <v>0</v>
      </c>
      <c r="P163" s="12" t="b">
        <v>0</v>
      </c>
      <c r="Q163" s="24" t="str">
        <f t="shared" si="5"/>
        <v/>
      </c>
    </row>
    <row r="164" spans="2:17" x14ac:dyDescent="0.35">
      <c r="B164" s="18" t="str" cm="1">
        <f t="array" ref="B164">IFERROR(INDEX( _xlfn.TEXTSPLIT(SUBSTITUTE(A164,"เหลือ","")," "),1),"")</f>
        <v/>
      </c>
      <c r="C164" s="18" t="str" cm="1">
        <f t="array" ref="C164">IFERROR(INDEX( _xlfn.TEXTSPLIT(SUBSTITUTE(A164,"เหลือ","")," "),2),"")</f>
        <v/>
      </c>
      <c r="D164" s="18" t="str" cm="1">
        <f t="array" ref="D164">IFERROR(INDEX( _xlfn.TEXTSPLIT(SUBSTITUTE(A164,"เหลือ","")," "),3),"")</f>
        <v/>
      </c>
      <c r="H164" s="3" t="str">
        <f>IF(ISBLANK(G164),"",IFERROR(VLOOKUP(G164,Master!$K$1:$L$100,2,0),"ไม่พบข้อมูล"))</f>
        <v/>
      </c>
      <c r="I164" s="3" t="str">
        <f>IF(ISBLANK(F164),"",_xlfn.XLOOKUP(J164,Master!E:E,Master!D:D,"ไม่พบข้อมูล"))</f>
        <v/>
      </c>
      <c r="J164" s="3" t="str" cm="1">
        <f t="array" ref="J164">IF(ISBLANK(F164),"",_xlfn.XLOOKUP(TRUE,'Master แปลงคำ'!A:A=F164, 'Master แปลงคำ'!B:B, "ไม่พบข้อมูล"))</f>
        <v/>
      </c>
      <c r="K164" s="23" t="str">
        <f>IF(OR(ISBLANK(F164),ISBLANK(G164)),"", COUNTIFS('Mk หลังแก้'!U:U,I164,'Mk หลังแก้'!Q:Q,H164,'Mk หลังแก้'!V:V,J164))</f>
        <v/>
      </c>
      <c r="L164" s="11">
        <f>SUMIFS('mk 001 10.3'!X:X,'mk 001 10.3'!V:V,J164,'mk 001 10.3'!Q:Q,H164)</f>
        <v>0</v>
      </c>
      <c r="N164" s="11">
        <f t="shared" si="4"/>
        <v>0</v>
      </c>
      <c r="O164" s="12" t="b">
        <v>0</v>
      </c>
      <c r="P164" s="12" t="b">
        <v>0</v>
      </c>
      <c r="Q164" s="24" t="str">
        <f t="shared" si="5"/>
        <v/>
      </c>
    </row>
    <row r="165" spans="2:17" x14ac:dyDescent="0.35">
      <c r="B165" s="18" t="str" cm="1">
        <f t="array" ref="B165">IFERROR(INDEX( _xlfn.TEXTSPLIT(SUBSTITUTE(A165,"เหลือ","")," "),1),"")</f>
        <v/>
      </c>
      <c r="C165" s="18" t="str" cm="1">
        <f t="array" ref="C165">IFERROR(INDEX( _xlfn.TEXTSPLIT(SUBSTITUTE(A165,"เหลือ","")," "),2),"")</f>
        <v/>
      </c>
      <c r="D165" s="18" t="str" cm="1">
        <f t="array" ref="D165">IFERROR(INDEX( _xlfn.TEXTSPLIT(SUBSTITUTE(A165,"เหลือ","")," "),3),"")</f>
        <v/>
      </c>
      <c r="H165" s="3" t="str">
        <f>IF(ISBLANK(G165),"",IFERROR(VLOOKUP(G165,Master!$K$1:$L$100,2,0),"ไม่พบข้อมูล"))</f>
        <v/>
      </c>
      <c r="I165" s="3" t="str">
        <f>IF(ISBLANK(F165),"",_xlfn.XLOOKUP(J165,Master!E:E,Master!D:D,"ไม่พบข้อมูล"))</f>
        <v/>
      </c>
      <c r="J165" s="3" t="str" cm="1">
        <f t="array" ref="J165">IF(ISBLANK(F165),"",_xlfn.XLOOKUP(TRUE,'Master แปลงคำ'!A:A=F165, 'Master แปลงคำ'!B:B, "ไม่พบข้อมูล"))</f>
        <v/>
      </c>
      <c r="K165" s="23" t="str">
        <f>IF(OR(ISBLANK(F165),ISBLANK(G165)),"", COUNTIFS('Mk หลังแก้'!U:U,I165,'Mk หลังแก้'!Q:Q,H165,'Mk หลังแก้'!V:V,J165))</f>
        <v/>
      </c>
      <c r="L165" s="11">
        <f>SUMIFS('mk 001 10.3'!X:X,'mk 001 10.3'!V:V,J165,'mk 001 10.3'!Q:Q,H165)</f>
        <v>0</v>
      </c>
      <c r="N165" s="11">
        <f t="shared" si="4"/>
        <v>0</v>
      </c>
      <c r="O165" s="12" t="b">
        <v>0</v>
      </c>
      <c r="P165" s="12" t="b">
        <v>0</v>
      </c>
      <c r="Q165" s="24" t="str">
        <f t="shared" si="5"/>
        <v/>
      </c>
    </row>
    <row r="166" spans="2:17" x14ac:dyDescent="0.35">
      <c r="B166" s="18" t="str" cm="1">
        <f t="array" ref="B166">IFERROR(INDEX( _xlfn.TEXTSPLIT(SUBSTITUTE(A166,"เหลือ","")," "),1),"")</f>
        <v/>
      </c>
      <c r="C166" s="18" t="str" cm="1">
        <f t="array" ref="C166">IFERROR(INDEX( _xlfn.TEXTSPLIT(SUBSTITUTE(A166,"เหลือ","")," "),2),"")</f>
        <v/>
      </c>
      <c r="D166" s="18" t="str" cm="1">
        <f t="array" ref="D166">IFERROR(INDEX( _xlfn.TEXTSPLIT(SUBSTITUTE(A166,"เหลือ","")," "),3),"")</f>
        <v/>
      </c>
      <c r="H166" s="3" t="str">
        <f>IF(ISBLANK(G166),"",IFERROR(VLOOKUP(G166,Master!$K$1:$L$100,2,0),"ไม่พบข้อมูล"))</f>
        <v/>
      </c>
      <c r="I166" s="3" t="str">
        <f>IF(ISBLANK(F166),"",_xlfn.XLOOKUP(J166,Master!E:E,Master!D:D,"ไม่พบข้อมูล"))</f>
        <v/>
      </c>
      <c r="J166" s="3" t="str" cm="1">
        <f t="array" ref="J166">IF(ISBLANK(F166),"",_xlfn.XLOOKUP(TRUE,'Master แปลงคำ'!A:A=F166, 'Master แปลงคำ'!B:B, "ไม่พบข้อมูล"))</f>
        <v/>
      </c>
      <c r="K166" s="23" t="str">
        <f>IF(OR(ISBLANK(F166),ISBLANK(G166)),"", COUNTIFS('Mk หลังแก้'!U:U,I166,'Mk หลังแก้'!Q:Q,H166,'Mk หลังแก้'!V:V,J166))</f>
        <v/>
      </c>
      <c r="L166" s="11">
        <f>SUMIFS('mk 001 10.3'!X:X,'mk 001 10.3'!V:V,J166,'mk 001 10.3'!Q:Q,H166)</f>
        <v>0</v>
      </c>
      <c r="N166" s="11">
        <f t="shared" si="4"/>
        <v>0</v>
      </c>
      <c r="O166" s="12" t="b">
        <v>0</v>
      </c>
      <c r="P166" s="12" t="b">
        <v>0</v>
      </c>
      <c r="Q166" s="24" t="str">
        <f t="shared" si="5"/>
        <v/>
      </c>
    </row>
    <row r="167" spans="2:17" x14ac:dyDescent="0.35">
      <c r="B167" s="18" t="str" cm="1">
        <f t="array" ref="B167">IFERROR(INDEX( _xlfn.TEXTSPLIT(SUBSTITUTE(A167,"เหลือ","")," "),1),"")</f>
        <v/>
      </c>
      <c r="C167" s="18" t="str" cm="1">
        <f t="array" ref="C167">IFERROR(INDEX( _xlfn.TEXTSPLIT(SUBSTITUTE(A167,"เหลือ","")," "),2),"")</f>
        <v/>
      </c>
      <c r="D167" s="18" t="str" cm="1">
        <f t="array" ref="D167">IFERROR(INDEX( _xlfn.TEXTSPLIT(SUBSTITUTE(A167,"เหลือ","")," "),3),"")</f>
        <v/>
      </c>
      <c r="H167" s="3" t="str">
        <f>IF(ISBLANK(G167),"",IFERROR(VLOOKUP(G167,Master!$K$1:$L$100,2,0),"ไม่พบข้อมูล"))</f>
        <v/>
      </c>
      <c r="I167" s="3" t="str">
        <f>IF(ISBLANK(F167),"",_xlfn.XLOOKUP(J167,Master!E:E,Master!D:D,"ไม่พบข้อมูล"))</f>
        <v/>
      </c>
      <c r="J167" s="3" t="str" cm="1">
        <f t="array" ref="J167">IF(ISBLANK(F167),"",_xlfn.XLOOKUP(TRUE,'Master แปลงคำ'!A:A=F167, 'Master แปลงคำ'!B:B, "ไม่พบข้อมูล"))</f>
        <v/>
      </c>
      <c r="K167" s="23" t="str">
        <f>IF(OR(ISBLANK(F167),ISBLANK(G167)),"", COUNTIFS('Mk หลังแก้'!U:U,I167,'Mk หลังแก้'!Q:Q,H167,'Mk หลังแก้'!V:V,J167))</f>
        <v/>
      </c>
      <c r="L167" s="11">
        <f>SUMIFS('mk 001 10.3'!X:X,'mk 001 10.3'!V:V,J167,'mk 001 10.3'!Q:Q,H167)</f>
        <v>0</v>
      </c>
      <c r="N167" s="11">
        <f t="shared" si="4"/>
        <v>0</v>
      </c>
      <c r="O167" s="12" t="b">
        <v>0</v>
      </c>
      <c r="P167" s="12" t="b">
        <v>0</v>
      </c>
      <c r="Q167" s="24" t="str">
        <f t="shared" si="5"/>
        <v/>
      </c>
    </row>
    <row r="168" spans="2:17" x14ac:dyDescent="0.35">
      <c r="B168" s="18" t="str" cm="1">
        <f t="array" ref="B168">IFERROR(INDEX( _xlfn.TEXTSPLIT(SUBSTITUTE(A168,"เหลือ","")," "),1),"")</f>
        <v/>
      </c>
      <c r="C168" s="18" t="str" cm="1">
        <f t="array" ref="C168">IFERROR(INDEX( _xlfn.TEXTSPLIT(SUBSTITUTE(A168,"เหลือ","")," "),2),"")</f>
        <v/>
      </c>
      <c r="D168" s="18" t="str" cm="1">
        <f t="array" ref="D168">IFERROR(INDEX( _xlfn.TEXTSPLIT(SUBSTITUTE(A168,"เหลือ","")," "),3),"")</f>
        <v/>
      </c>
      <c r="H168" s="3" t="str">
        <f>IF(ISBLANK(G168),"",IFERROR(VLOOKUP(G168,Master!$K$1:$L$100,2,0),"ไม่พบข้อมูล"))</f>
        <v/>
      </c>
      <c r="I168" s="3" t="str">
        <f>IF(ISBLANK(F168),"",_xlfn.XLOOKUP(J168,Master!E:E,Master!D:D,"ไม่พบข้อมูล"))</f>
        <v/>
      </c>
      <c r="J168" s="3" t="str" cm="1">
        <f t="array" ref="J168">IF(ISBLANK(F168),"",_xlfn.XLOOKUP(TRUE,'Master แปลงคำ'!A:A=F168, 'Master แปลงคำ'!B:B, "ไม่พบข้อมูล"))</f>
        <v/>
      </c>
      <c r="K168" s="23" t="str">
        <f>IF(OR(ISBLANK(F168),ISBLANK(G168)),"", COUNTIFS('Mk หลังแก้'!U:U,I168,'Mk หลังแก้'!Q:Q,H168,'Mk หลังแก้'!V:V,J168))</f>
        <v/>
      </c>
      <c r="L168" s="11">
        <f>SUMIFS('mk 001 10.3'!X:X,'mk 001 10.3'!V:V,J168,'mk 001 10.3'!Q:Q,H168)</f>
        <v>0</v>
      </c>
      <c r="N168" s="11">
        <f t="shared" si="4"/>
        <v>0</v>
      </c>
      <c r="O168" s="12" t="b">
        <v>0</v>
      </c>
      <c r="P168" s="12" t="b">
        <v>0</v>
      </c>
      <c r="Q168" s="24" t="str">
        <f t="shared" si="5"/>
        <v/>
      </c>
    </row>
    <row r="169" spans="2:17" x14ac:dyDescent="0.35">
      <c r="B169" s="18" t="str" cm="1">
        <f t="array" ref="B169">IFERROR(INDEX( _xlfn.TEXTSPLIT(SUBSTITUTE(A169,"เหลือ","")," "),1),"")</f>
        <v/>
      </c>
      <c r="C169" s="18" t="str" cm="1">
        <f t="array" ref="C169">IFERROR(INDEX( _xlfn.TEXTSPLIT(SUBSTITUTE(A169,"เหลือ","")," "),2),"")</f>
        <v/>
      </c>
      <c r="D169" s="18" t="str" cm="1">
        <f t="array" ref="D169">IFERROR(INDEX( _xlfn.TEXTSPLIT(SUBSTITUTE(A169,"เหลือ","")," "),3),"")</f>
        <v/>
      </c>
      <c r="H169" s="3" t="str">
        <f>IF(ISBLANK(G169),"",IFERROR(VLOOKUP(G169,Master!$K$1:$L$100,2,0),"ไม่พบข้อมูล"))</f>
        <v/>
      </c>
      <c r="I169" s="3" t="str">
        <f>IF(ISBLANK(F169),"",_xlfn.XLOOKUP(J169,Master!E:E,Master!D:D,"ไม่พบข้อมูล"))</f>
        <v/>
      </c>
      <c r="J169" s="3" t="str" cm="1">
        <f t="array" ref="J169">IF(ISBLANK(F169),"",_xlfn.XLOOKUP(TRUE,'Master แปลงคำ'!A:A=F169, 'Master แปลงคำ'!B:B, "ไม่พบข้อมูล"))</f>
        <v/>
      </c>
      <c r="K169" s="23" t="str">
        <f>IF(OR(ISBLANK(F169),ISBLANK(G169)),"", COUNTIFS('Mk หลังแก้'!U:U,I169,'Mk หลังแก้'!Q:Q,H169,'Mk หลังแก้'!V:V,J169))</f>
        <v/>
      </c>
      <c r="L169" s="11">
        <f>SUMIFS('mk 001 10.3'!X:X,'mk 001 10.3'!V:V,J169,'mk 001 10.3'!Q:Q,H169)</f>
        <v>0</v>
      </c>
      <c r="N169" s="11">
        <f t="shared" si="4"/>
        <v>0</v>
      </c>
      <c r="O169" s="12" t="b">
        <v>0</v>
      </c>
      <c r="P169" s="12" t="b">
        <v>0</v>
      </c>
      <c r="Q169" s="24" t="str">
        <f t="shared" si="5"/>
        <v/>
      </c>
    </row>
    <row r="170" spans="2:17" x14ac:dyDescent="0.35">
      <c r="B170" s="18" t="str" cm="1">
        <f t="array" ref="B170">IFERROR(INDEX( _xlfn.TEXTSPLIT(SUBSTITUTE(A170,"เหลือ","")," "),1),"")</f>
        <v/>
      </c>
      <c r="C170" s="18" t="str" cm="1">
        <f t="array" ref="C170">IFERROR(INDEX( _xlfn.TEXTSPLIT(SUBSTITUTE(A170,"เหลือ","")," "),2),"")</f>
        <v/>
      </c>
      <c r="D170" s="18" t="str" cm="1">
        <f t="array" ref="D170">IFERROR(INDEX( _xlfn.TEXTSPLIT(SUBSTITUTE(A170,"เหลือ","")," "),3),"")</f>
        <v/>
      </c>
      <c r="H170" s="3" t="str">
        <f>IF(ISBLANK(G170),"",IFERROR(VLOOKUP(G170,Master!$K$1:$L$100,2,0),"ไม่พบข้อมูล"))</f>
        <v/>
      </c>
      <c r="I170" s="3" t="str">
        <f>IF(ISBLANK(F170),"",_xlfn.XLOOKUP(J170,Master!E:E,Master!D:D,"ไม่พบข้อมูล"))</f>
        <v/>
      </c>
      <c r="J170" s="3" t="str" cm="1">
        <f t="array" ref="J170">IF(ISBLANK(F170),"",_xlfn.XLOOKUP(TRUE,'Master แปลงคำ'!A:A=F170, 'Master แปลงคำ'!B:B, "ไม่พบข้อมูล"))</f>
        <v/>
      </c>
      <c r="K170" s="23" t="str">
        <f>IF(OR(ISBLANK(F170),ISBLANK(G170)),"", COUNTIFS('Mk หลังแก้'!U:U,I170,'Mk หลังแก้'!Q:Q,H170,'Mk หลังแก้'!V:V,J170))</f>
        <v/>
      </c>
      <c r="L170" s="11">
        <f>SUMIFS('mk 001 10.3'!X:X,'mk 001 10.3'!V:V,J170,'mk 001 10.3'!Q:Q,H170)</f>
        <v>0</v>
      </c>
      <c r="N170" s="11">
        <f t="shared" si="4"/>
        <v>0</v>
      </c>
      <c r="O170" s="12" t="b">
        <v>0</v>
      </c>
      <c r="P170" s="12" t="b">
        <v>0</v>
      </c>
      <c r="Q170" s="24" t="str">
        <f t="shared" si="5"/>
        <v/>
      </c>
    </row>
    <row r="171" spans="2:17" x14ac:dyDescent="0.35">
      <c r="B171" s="18" t="str" cm="1">
        <f t="array" ref="B171">IFERROR(INDEX( _xlfn.TEXTSPLIT(SUBSTITUTE(A171,"เหลือ","")," "),1),"")</f>
        <v/>
      </c>
      <c r="C171" s="18" t="str" cm="1">
        <f t="array" ref="C171">IFERROR(INDEX( _xlfn.TEXTSPLIT(SUBSTITUTE(A171,"เหลือ","")," "),2),"")</f>
        <v/>
      </c>
      <c r="D171" s="18" t="str" cm="1">
        <f t="array" ref="D171">IFERROR(INDEX( _xlfn.TEXTSPLIT(SUBSTITUTE(A171,"เหลือ","")," "),3),"")</f>
        <v/>
      </c>
      <c r="H171" s="3" t="str">
        <f>IF(ISBLANK(G171),"",IFERROR(VLOOKUP(G171,Master!$K$1:$L$100,2,0),"ไม่พบข้อมูล"))</f>
        <v/>
      </c>
      <c r="I171" s="3" t="str">
        <f>IF(ISBLANK(F171),"",_xlfn.XLOOKUP(J171,Master!E:E,Master!D:D,"ไม่พบข้อมูล"))</f>
        <v/>
      </c>
      <c r="J171" s="3" t="str" cm="1">
        <f t="array" ref="J171">IF(ISBLANK(F171),"",_xlfn.XLOOKUP(TRUE,'Master แปลงคำ'!A:A=F171, 'Master แปลงคำ'!B:B, "ไม่พบข้อมูล"))</f>
        <v/>
      </c>
      <c r="K171" s="23" t="str">
        <f>IF(OR(ISBLANK(F171),ISBLANK(G171)),"", COUNTIFS('Mk หลังแก้'!U:U,I171,'Mk หลังแก้'!Q:Q,H171,'Mk หลังแก้'!V:V,J171))</f>
        <v/>
      </c>
      <c r="L171" s="11">
        <f>SUMIFS('mk 001 10.3'!X:X,'mk 001 10.3'!V:V,J171,'mk 001 10.3'!Q:Q,H171)</f>
        <v>0</v>
      </c>
      <c r="N171" s="11">
        <f t="shared" si="4"/>
        <v>0</v>
      </c>
      <c r="O171" s="12" t="b">
        <v>0</v>
      </c>
      <c r="P171" s="12" t="b">
        <v>0</v>
      </c>
      <c r="Q171" s="24" t="str">
        <f t="shared" si="5"/>
        <v/>
      </c>
    </row>
    <row r="172" spans="2:17" x14ac:dyDescent="0.35">
      <c r="B172" s="18" t="str" cm="1">
        <f t="array" ref="B172">IFERROR(INDEX( _xlfn.TEXTSPLIT(SUBSTITUTE(A172,"เหลือ","")," "),1),"")</f>
        <v/>
      </c>
      <c r="C172" s="18" t="str" cm="1">
        <f t="array" ref="C172">IFERROR(INDEX( _xlfn.TEXTSPLIT(SUBSTITUTE(A172,"เหลือ","")," "),2),"")</f>
        <v/>
      </c>
      <c r="D172" s="18" t="str" cm="1">
        <f t="array" ref="D172">IFERROR(INDEX( _xlfn.TEXTSPLIT(SUBSTITUTE(A172,"เหลือ","")," "),3),"")</f>
        <v/>
      </c>
      <c r="H172" s="3" t="str">
        <f>IF(ISBLANK(G172),"",IFERROR(VLOOKUP(G172,Master!$K$1:$L$100,2,0),"ไม่พบข้อมูล"))</f>
        <v/>
      </c>
      <c r="I172" s="3" t="str">
        <f>IF(ISBLANK(F172),"",_xlfn.XLOOKUP(J172,Master!E:E,Master!D:D,"ไม่พบข้อมูล"))</f>
        <v/>
      </c>
      <c r="J172" s="3" t="str" cm="1">
        <f t="array" ref="J172">IF(ISBLANK(F172),"",_xlfn.XLOOKUP(TRUE,'Master แปลงคำ'!A:A=F172, 'Master แปลงคำ'!B:B, "ไม่พบข้อมูล"))</f>
        <v/>
      </c>
      <c r="K172" s="23" t="str">
        <f>IF(OR(ISBLANK(F172),ISBLANK(G172)),"", COUNTIFS('Mk หลังแก้'!U:U,I172,'Mk หลังแก้'!Q:Q,H172,'Mk หลังแก้'!V:V,J172))</f>
        <v/>
      </c>
      <c r="L172" s="11">
        <f>SUMIFS('mk 001 10.3'!X:X,'mk 001 10.3'!V:V,J172,'mk 001 10.3'!Q:Q,H172)</f>
        <v>0</v>
      </c>
      <c r="N172" s="11">
        <f t="shared" si="4"/>
        <v>0</v>
      </c>
      <c r="O172" s="12" t="b">
        <v>0</v>
      </c>
      <c r="P172" s="12" t="b">
        <v>0</v>
      </c>
      <c r="Q172" s="24" t="str">
        <f t="shared" si="5"/>
        <v/>
      </c>
    </row>
    <row r="173" spans="2:17" x14ac:dyDescent="0.35">
      <c r="B173" s="18" t="str" cm="1">
        <f t="array" ref="B173">IFERROR(INDEX( _xlfn.TEXTSPLIT(SUBSTITUTE(A173,"เหลือ","")," "),1),"")</f>
        <v/>
      </c>
      <c r="C173" s="18" t="str" cm="1">
        <f t="array" ref="C173">IFERROR(INDEX( _xlfn.TEXTSPLIT(SUBSTITUTE(A173,"เหลือ","")," "),2),"")</f>
        <v/>
      </c>
      <c r="D173" s="18" t="str" cm="1">
        <f t="array" ref="D173">IFERROR(INDEX( _xlfn.TEXTSPLIT(SUBSTITUTE(A173,"เหลือ","")," "),3),"")</f>
        <v/>
      </c>
      <c r="H173" s="3" t="str">
        <f>IF(ISBLANK(G173),"",IFERROR(VLOOKUP(G173,Master!$K$1:$L$100,2,0),"ไม่พบข้อมูล"))</f>
        <v/>
      </c>
      <c r="I173" s="3" t="str">
        <f>IF(ISBLANK(F173),"",_xlfn.XLOOKUP(J173,Master!E:E,Master!D:D,"ไม่พบข้อมูล"))</f>
        <v/>
      </c>
      <c r="J173" s="3" t="str" cm="1">
        <f t="array" ref="J173">IF(ISBLANK(F173),"",_xlfn.XLOOKUP(TRUE,'Master แปลงคำ'!A:A=F173, 'Master แปลงคำ'!B:B, "ไม่พบข้อมูล"))</f>
        <v/>
      </c>
      <c r="K173" s="23" t="str">
        <f>IF(OR(ISBLANK(F173),ISBLANK(G173)),"", COUNTIFS('Mk หลังแก้'!U:U,I173,'Mk หลังแก้'!Q:Q,H173,'Mk หลังแก้'!V:V,J173))</f>
        <v/>
      </c>
      <c r="L173" s="11">
        <f>SUMIFS('mk 001 10.3'!X:X,'mk 001 10.3'!V:V,J173,'mk 001 10.3'!Q:Q,H173)</f>
        <v>0</v>
      </c>
      <c r="N173" s="11">
        <f t="shared" si="4"/>
        <v>0</v>
      </c>
      <c r="O173" s="12" t="b">
        <v>0</v>
      </c>
      <c r="P173" s="12" t="b">
        <v>0</v>
      </c>
      <c r="Q173" s="24" t="str">
        <f t="shared" si="5"/>
        <v/>
      </c>
    </row>
    <row r="174" spans="2:17" x14ac:dyDescent="0.35">
      <c r="B174" s="18" t="str" cm="1">
        <f t="array" ref="B174">IFERROR(INDEX( _xlfn.TEXTSPLIT(SUBSTITUTE(A174,"เหลือ","")," "),1),"")</f>
        <v/>
      </c>
      <c r="C174" s="18" t="str" cm="1">
        <f t="array" ref="C174">IFERROR(INDEX( _xlfn.TEXTSPLIT(SUBSTITUTE(A174,"เหลือ","")," "),2),"")</f>
        <v/>
      </c>
      <c r="D174" s="18" t="str" cm="1">
        <f t="array" ref="D174">IFERROR(INDEX( _xlfn.TEXTSPLIT(SUBSTITUTE(A174,"เหลือ","")," "),3),"")</f>
        <v/>
      </c>
      <c r="H174" s="3" t="str">
        <f>IF(ISBLANK(G174),"",IFERROR(VLOOKUP(G174,Master!$K$1:$L$100,2,0),"ไม่พบข้อมูล"))</f>
        <v/>
      </c>
      <c r="I174" s="3" t="str">
        <f>IF(ISBLANK(F174),"",_xlfn.XLOOKUP(J174,Master!E:E,Master!D:D,"ไม่พบข้อมูล"))</f>
        <v/>
      </c>
      <c r="J174" s="3" t="str" cm="1">
        <f t="array" ref="J174">IF(ISBLANK(F174),"",_xlfn.XLOOKUP(TRUE,'Master แปลงคำ'!A:A=F174, 'Master แปลงคำ'!B:B, "ไม่พบข้อมูล"))</f>
        <v/>
      </c>
      <c r="K174" s="23" t="str">
        <f>IF(OR(ISBLANK(F174),ISBLANK(G174)),"", COUNTIFS('Mk หลังแก้'!U:U,I174,'Mk หลังแก้'!Q:Q,H174,'Mk หลังแก้'!V:V,J174))</f>
        <v/>
      </c>
      <c r="L174" s="11">
        <f>SUMIFS('mk 001 10.3'!X:X,'mk 001 10.3'!V:V,J174,'mk 001 10.3'!Q:Q,H174)</f>
        <v>0</v>
      </c>
      <c r="N174" s="11">
        <f t="shared" si="4"/>
        <v>0</v>
      </c>
      <c r="O174" s="12" t="b">
        <v>0</v>
      </c>
      <c r="P174" s="12" t="b">
        <v>0</v>
      </c>
      <c r="Q174" s="24" t="str">
        <f t="shared" si="5"/>
        <v/>
      </c>
    </row>
    <row r="175" spans="2:17" x14ac:dyDescent="0.35">
      <c r="B175" s="18" t="str" cm="1">
        <f t="array" ref="B175">IFERROR(INDEX( _xlfn.TEXTSPLIT(SUBSTITUTE(A175,"เหลือ","")," "),1),"")</f>
        <v/>
      </c>
      <c r="C175" s="18" t="str" cm="1">
        <f t="array" ref="C175">IFERROR(INDEX( _xlfn.TEXTSPLIT(SUBSTITUTE(A175,"เหลือ","")," "),2),"")</f>
        <v/>
      </c>
      <c r="D175" s="18" t="str" cm="1">
        <f t="array" ref="D175">IFERROR(INDEX( _xlfn.TEXTSPLIT(SUBSTITUTE(A175,"เหลือ","")," "),3),"")</f>
        <v/>
      </c>
      <c r="H175" s="3" t="str">
        <f>IF(ISBLANK(G175),"",IFERROR(VLOOKUP(G175,Master!$K$1:$L$100,2,0),"ไม่พบข้อมูล"))</f>
        <v/>
      </c>
      <c r="I175" s="3" t="str">
        <f>IF(ISBLANK(F175),"",_xlfn.XLOOKUP(J175,Master!E:E,Master!D:D,"ไม่พบข้อมูล"))</f>
        <v/>
      </c>
      <c r="J175" s="3" t="str" cm="1">
        <f t="array" ref="J175">IF(ISBLANK(F175),"",_xlfn.XLOOKUP(TRUE,'Master แปลงคำ'!A:A=F175, 'Master แปลงคำ'!B:B, "ไม่พบข้อมูล"))</f>
        <v/>
      </c>
      <c r="K175" s="23" t="str">
        <f>IF(OR(ISBLANK(F175),ISBLANK(G175)),"", COUNTIFS('Mk หลังแก้'!U:U,I175,'Mk หลังแก้'!Q:Q,H175,'Mk หลังแก้'!V:V,J175))</f>
        <v/>
      </c>
      <c r="L175" s="11">
        <f>SUMIFS('mk 001 10.3'!X:X,'mk 001 10.3'!V:V,J175,'mk 001 10.3'!Q:Q,H175)</f>
        <v>0</v>
      </c>
      <c r="N175" s="11">
        <f t="shared" si="4"/>
        <v>0</v>
      </c>
      <c r="O175" s="12" t="b">
        <v>0</v>
      </c>
      <c r="P175" s="12" t="b">
        <v>0</v>
      </c>
      <c r="Q175" s="24" t="str">
        <f t="shared" si="5"/>
        <v/>
      </c>
    </row>
    <row r="176" spans="2:17" x14ac:dyDescent="0.35">
      <c r="B176" s="18" t="str" cm="1">
        <f t="array" ref="B176">IFERROR(INDEX( _xlfn.TEXTSPLIT(SUBSTITUTE(A176,"เหลือ","")," "),1),"")</f>
        <v/>
      </c>
      <c r="C176" s="18" t="str" cm="1">
        <f t="array" ref="C176">IFERROR(INDEX( _xlfn.TEXTSPLIT(SUBSTITUTE(A176,"เหลือ","")," "),2),"")</f>
        <v/>
      </c>
      <c r="D176" s="18" t="str" cm="1">
        <f t="array" ref="D176">IFERROR(INDEX( _xlfn.TEXTSPLIT(SUBSTITUTE(A176,"เหลือ","")," "),3),"")</f>
        <v/>
      </c>
      <c r="H176" s="3" t="str">
        <f>IF(ISBLANK(G176),"",IFERROR(VLOOKUP(G176,Master!$K$1:$L$100,2,0),"ไม่พบข้อมูล"))</f>
        <v/>
      </c>
      <c r="I176" s="3" t="str">
        <f>IF(ISBLANK(F176),"",_xlfn.XLOOKUP(J176,Master!E:E,Master!D:D,"ไม่พบข้อมูล"))</f>
        <v/>
      </c>
      <c r="J176" s="3" t="str" cm="1">
        <f t="array" ref="J176">IF(ISBLANK(F176),"",_xlfn.XLOOKUP(TRUE,'Master แปลงคำ'!A:A=F176, 'Master แปลงคำ'!B:B, "ไม่พบข้อมูล"))</f>
        <v/>
      </c>
      <c r="K176" s="23" t="str">
        <f>IF(OR(ISBLANK(F176),ISBLANK(G176)),"", COUNTIFS('Mk หลังแก้'!U:U,I176,'Mk หลังแก้'!Q:Q,H176,'Mk หลังแก้'!V:V,J176))</f>
        <v/>
      </c>
      <c r="L176" s="11">
        <f>SUMIFS('mk 001 10.3'!X:X,'mk 001 10.3'!V:V,J176,'mk 001 10.3'!Q:Q,H176)</f>
        <v>0</v>
      </c>
      <c r="N176" s="11">
        <f t="shared" si="4"/>
        <v>0</v>
      </c>
      <c r="O176" s="12" t="b">
        <v>0</v>
      </c>
      <c r="P176" s="12" t="b">
        <v>0</v>
      </c>
      <c r="Q176" s="24" t="str">
        <f t="shared" si="5"/>
        <v/>
      </c>
    </row>
    <row r="177" spans="2:17" x14ac:dyDescent="0.35">
      <c r="B177" s="18" t="str" cm="1">
        <f t="array" ref="B177">IFERROR(INDEX( _xlfn.TEXTSPLIT(SUBSTITUTE(A177,"เหลือ","")," "),1),"")</f>
        <v/>
      </c>
      <c r="C177" s="18" t="str" cm="1">
        <f t="array" ref="C177">IFERROR(INDEX( _xlfn.TEXTSPLIT(SUBSTITUTE(A177,"เหลือ","")," "),2),"")</f>
        <v/>
      </c>
      <c r="D177" s="18" t="str" cm="1">
        <f t="array" ref="D177">IFERROR(INDEX( _xlfn.TEXTSPLIT(SUBSTITUTE(A177,"เหลือ","")," "),3),"")</f>
        <v/>
      </c>
      <c r="H177" s="3" t="str">
        <f>IF(ISBLANK(G177),"",IFERROR(VLOOKUP(G177,Master!$K$1:$L$100,2,0),"ไม่พบข้อมูล"))</f>
        <v/>
      </c>
      <c r="I177" s="3" t="str">
        <f>IF(ISBLANK(F177),"",_xlfn.XLOOKUP(J177,Master!E:E,Master!D:D,"ไม่พบข้อมูล"))</f>
        <v/>
      </c>
      <c r="J177" s="3" t="str" cm="1">
        <f t="array" ref="J177">IF(ISBLANK(F177),"",_xlfn.XLOOKUP(TRUE,'Master แปลงคำ'!A:A=F177, 'Master แปลงคำ'!B:B, "ไม่พบข้อมูล"))</f>
        <v/>
      </c>
      <c r="K177" s="23" t="str">
        <f>IF(OR(ISBLANK(F177),ISBLANK(G177)),"", COUNTIFS('Mk หลังแก้'!U:U,I177,'Mk หลังแก้'!Q:Q,H177,'Mk หลังแก้'!V:V,J177))</f>
        <v/>
      </c>
      <c r="L177" s="11">
        <f>SUMIFS('mk 001 10.3'!X:X,'mk 001 10.3'!V:V,J177,'mk 001 10.3'!Q:Q,H177)</f>
        <v>0</v>
      </c>
      <c r="N177" s="11">
        <f t="shared" si="4"/>
        <v>0</v>
      </c>
      <c r="O177" s="12" t="b">
        <v>0</v>
      </c>
      <c r="P177" s="12" t="b">
        <v>0</v>
      </c>
      <c r="Q177" s="24" t="str">
        <f t="shared" si="5"/>
        <v/>
      </c>
    </row>
    <row r="178" spans="2:17" x14ac:dyDescent="0.35">
      <c r="B178" s="18" t="str" cm="1">
        <f t="array" ref="B178">IFERROR(INDEX( _xlfn.TEXTSPLIT(SUBSTITUTE(A178,"เหลือ","")," "),1),"")</f>
        <v/>
      </c>
      <c r="C178" s="18" t="str" cm="1">
        <f t="array" ref="C178">IFERROR(INDEX( _xlfn.TEXTSPLIT(SUBSTITUTE(A178,"เหลือ","")," "),2),"")</f>
        <v/>
      </c>
      <c r="D178" s="18" t="str" cm="1">
        <f t="array" ref="D178">IFERROR(INDEX( _xlfn.TEXTSPLIT(SUBSTITUTE(A178,"เหลือ","")," "),3),"")</f>
        <v/>
      </c>
      <c r="H178" s="3" t="str">
        <f>IF(ISBLANK(G178),"",IFERROR(VLOOKUP(G178,Master!$K$1:$L$100,2,0),"ไม่พบข้อมูล"))</f>
        <v/>
      </c>
      <c r="I178" s="3" t="str">
        <f>IF(ISBLANK(F178),"",_xlfn.XLOOKUP(J178,Master!E:E,Master!D:D,"ไม่พบข้อมูล"))</f>
        <v/>
      </c>
      <c r="J178" s="3" t="str" cm="1">
        <f t="array" ref="J178">IF(ISBLANK(F178),"",_xlfn.XLOOKUP(TRUE,'Master แปลงคำ'!A:A=F178, 'Master แปลงคำ'!B:B, "ไม่พบข้อมูล"))</f>
        <v/>
      </c>
      <c r="K178" s="23" t="str">
        <f>IF(OR(ISBLANK(F178),ISBLANK(G178)),"", COUNTIFS('Mk หลังแก้'!U:U,I178,'Mk หลังแก้'!Q:Q,H178,'Mk หลังแก้'!V:V,J178))</f>
        <v/>
      </c>
      <c r="L178" s="11">
        <f>SUMIFS('mk 001 10.3'!X:X,'mk 001 10.3'!V:V,J178,'mk 001 10.3'!Q:Q,H178)</f>
        <v>0</v>
      </c>
      <c r="N178" s="11">
        <f t="shared" si="4"/>
        <v>0</v>
      </c>
      <c r="O178" s="12" t="b">
        <v>0</v>
      </c>
      <c r="P178" s="12" t="b">
        <v>0</v>
      </c>
      <c r="Q178" s="24" t="str">
        <f t="shared" si="5"/>
        <v/>
      </c>
    </row>
    <row r="179" spans="2:17" x14ac:dyDescent="0.35">
      <c r="B179" s="18" t="str" cm="1">
        <f t="array" ref="B179">IFERROR(INDEX( _xlfn.TEXTSPLIT(SUBSTITUTE(A179,"เหลือ","")," "),1),"")</f>
        <v/>
      </c>
      <c r="C179" s="18" t="str" cm="1">
        <f t="array" ref="C179">IFERROR(INDEX( _xlfn.TEXTSPLIT(SUBSTITUTE(A179,"เหลือ","")," "),2),"")</f>
        <v/>
      </c>
      <c r="D179" s="18" t="str" cm="1">
        <f t="array" ref="D179">IFERROR(INDEX( _xlfn.TEXTSPLIT(SUBSTITUTE(A179,"เหลือ","")," "),3),"")</f>
        <v/>
      </c>
      <c r="H179" s="3" t="str">
        <f>IF(ISBLANK(G179),"",IFERROR(VLOOKUP(G179,Master!$K$1:$L$100,2,0),"ไม่พบข้อมูล"))</f>
        <v/>
      </c>
      <c r="I179" s="3" t="str">
        <f>IF(ISBLANK(F179),"",_xlfn.XLOOKUP(J179,Master!E:E,Master!D:D,"ไม่พบข้อมูล"))</f>
        <v/>
      </c>
      <c r="J179" s="3" t="str" cm="1">
        <f t="array" ref="J179">IF(ISBLANK(F179),"",_xlfn.XLOOKUP(TRUE,'Master แปลงคำ'!A:A=F179, 'Master แปลงคำ'!B:B, "ไม่พบข้อมูล"))</f>
        <v/>
      </c>
      <c r="K179" s="23" t="str">
        <f>IF(OR(ISBLANK(F179),ISBLANK(G179)),"", COUNTIFS('Mk หลังแก้'!U:U,I179,'Mk หลังแก้'!Q:Q,H179,'Mk หลังแก้'!V:V,J179))</f>
        <v/>
      </c>
      <c r="L179" s="11">
        <f>SUMIFS('mk 001 10.3'!X:X,'mk 001 10.3'!V:V,J179,'mk 001 10.3'!Q:Q,H179)</f>
        <v>0</v>
      </c>
      <c r="N179" s="11">
        <f t="shared" si="4"/>
        <v>0</v>
      </c>
      <c r="O179" s="12" t="b">
        <v>0</v>
      </c>
      <c r="P179" s="12" t="b">
        <v>0</v>
      </c>
      <c r="Q179" s="24" t="str">
        <f t="shared" si="5"/>
        <v/>
      </c>
    </row>
    <row r="180" spans="2:17" x14ac:dyDescent="0.35">
      <c r="B180" s="18" t="str" cm="1">
        <f t="array" ref="B180">IFERROR(INDEX( _xlfn.TEXTSPLIT(SUBSTITUTE(A180,"เหลือ","")," "),1),"")</f>
        <v/>
      </c>
      <c r="C180" s="18" t="str" cm="1">
        <f t="array" ref="C180">IFERROR(INDEX( _xlfn.TEXTSPLIT(SUBSTITUTE(A180,"เหลือ","")," "),2),"")</f>
        <v/>
      </c>
      <c r="D180" s="18" t="str" cm="1">
        <f t="array" ref="D180">IFERROR(INDEX( _xlfn.TEXTSPLIT(SUBSTITUTE(A180,"เหลือ","")," "),3),"")</f>
        <v/>
      </c>
      <c r="H180" s="3" t="str">
        <f>IF(ISBLANK(G180),"",IFERROR(VLOOKUP(G180,Master!$K$1:$L$100,2,0),"ไม่พบข้อมูล"))</f>
        <v/>
      </c>
      <c r="I180" s="3" t="str">
        <f>IF(ISBLANK(F180),"",_xlfn.XLOOKUP(J180,Master!E:E,Master!D:D,"ไม่พบข้อมูล"))</f>
        <v/>
      </c>
      <c r="J180" s="3" t="str" cm="1">
        <f t="array" ref="J180">IF(ISBLANK(F180),"",_xlfn.XLOOKUP(TRUE,'Master แปลงคำ'!A:A=F180, 'Master แปลงคำ'!B:B, "ไม่พบข้อมูล"))</f>
        <v/>
      </c>
      <c r="K180" s="23" t="str">
        <f>IF(OR(ISBLANK(F180),ISBLANK(G180)),"", COUNTIFS('Mk หลังแก้'!U:U,I180,'Mk หลังแก้'!Q:Q,H180,'Mk หลังแก้'!V:V,J180))</f>
        <v/>
      </c>
      <c r="L180" s="11">
        <f>SUMIFS('mk 001 10.3'!X:X,'mk 001 10.3'!V:V,J180,'mk 001 10.3'!Q:Q,H180)</f>
        <v>0</v>
      </c>
      <c r="N180" s="11">
        <f t="shared" si="4"/>
        <v>0</v>
      </c>
      <c r="O180" s="12" t="b">
        <v>0</v>
      </c>
      <c r="P180" s="12" t="b">
        <v>0</v>
      </c>
      <c r="Q180" s="24" t="str">
        <f t="shared" si="5"/>
        <v/>
      </c>
    </row>
    <row r="181" spans="2:17" x14ac:dyDescent="0.35">
      <c r="B181" s="18" t="str" cm="1">
        <f t="array" ref="B181">IFERROR(INDEX( _xlfn.TEXTSPLIT(SUBSTITUTE(A181,"เหลือ","")," "),1),"")</f>
        <v/>
      </c>
      <c r="C181" s="18" t="str" cm="1">
        <f t="array" ref="C181">IFERROR(INDEX( _xlfn.TEXTSPLIT(SUBSTITUTE(A181,"เหลือ","")," "),2),"")</f>
        <v/>
      </c>
      <c r="D181" s="18" t="str" cm="1">
        <f t="array" ref="D181">IFERROR(INDEX( _xlfn.TEXTSPLIT(SUBSTITUTE(A181,"เหลือ","")," "),3),"")</f>
        <v/>
      </c>
      <c r="H181" s="3" t="str">
        <f>IF(ISBLANK(G181),"",IFERROR(VLOOKUP(G181,Master!$K$1:$L$100,2,0),"ไม่พบข้อมูล"))</f>
        <v/>
      </c>
      <c r="I181" s="3" t="str">
        <f>IF(ISBLANK(F181),"",_xlfn.XLOOKUP(J181,Master!E:E,Master!D:D,"ไม่พบข้อมูล"))</f>
        <v/>
      </c>
      <c r="J181" s="3" t="str" cm="1">
        <f t="array" ref="J181">IF(ISBLANK(F181),"",_xlfn.XLOOKUP(TRUE,'Master แปลงคำ'!A:A=F181, 'Master แปลงคำ'!B:B, "ไม่พบข้อมูล"))</f>
        <v/>
      </c>
      <c r="K181" s="23" t="str">
        <f>IF(OR(ISBLANK(F181),ISBLANK(G181)),"", COUNTIFS('Mk หลังแก้'!U:U,I181,'Mk หลังแก้'!Q:Q,H181,'Mk หลังแก้'!V:V,J181))</f>
        <v/>
      </c>
      <c r="L181" s="11">
        <f>SUMIFS('mk 001 10.3'!X:X,'mk 001 10.3'!V:V,J181,'mk 001 10.3'!Q:Q,H181)</f>
        <v>0</v>
      </c>
      <c r="N181" s="11">
        <f t="shared" si="4"/>
        <v>0</v>
      </c>
      <c r="O181" s="12" t="b">
        <v>0</v>
      </c>
      <c r="P181" s="12" t="b">
        <v>0</v>
      </c>
      <c r="Q181" s="24" t="str">
        <f t="shared" si="5"/>
        <v/>
      </c>
    </row>
    <row r="182" spans="2:17" x14ac:dyDescent="0.35">
      <c r="B182" s="18" t="str" cm="1">
        <f t="array" ref="B182">IFERROR(INDEX( _xlfn.TEXTSPLIT(SUBSTITUTE(A182,"เหลือ","")," "),1),"")</f>
        <v/>
      </c>
      <c r="C182" s="18" t="str" cm="1">
        <f t="array" ref="C182">IFERROR(INDEX( _xlfn.TEXTSPLIT(SUBSTITUTE(A182,"เหลือ","")," "),2),"")</f>
        <v/>
      </c>
      <c r="D182" s="18" t="str" cm="1">
        <f t="array" ref="D182">IFERROR(INDEX( _xlfn.TEXTSPLIT(SUBSTITUTE(A182,"เหลือ","")," "),3),"")</f>
        <v/>
      </c>
      <c r="H182" s="3" t="str">
        <f>IF(ISBLANK(G182),"",IFERROR(VLOOKUP(G182,Master!$K$1:$L$100,2,0),"ไม่พบข้อมูล"))</f>
        <v/>
      </c>
      <c r="I182" s="3" t="str">
        <f>IF(ISBLANK(F182),"",_xlfn.XLOOKUP(J182,Master!E:E,Master!D:D,"ไม่พบข้อมูล"))</f>
        <v/>
      </c>
      <c r="J182" s="3" t="str" cm="1">
        <f t="array" ref="J182">IF(ISBLANK(F182),"",_xlfn.XLOOKUP(TRUE,'Master แปลงคำ'!A:A=F182, 'Master แปลงคำ'!B:B, "ไม่พบข้อมูล"))</f>
        <v/>
      </c>
      <c r="K182" s="23" t="str">
        <f>IF(OR(ISBLANK(F182),ISBLANK(G182)),"", COUNTIFS('Mk หลังแก้'!U:U,I182,'Mk หลังแก้'!Q:Q,H182,'Mk หลังแก้'!V:V,J182))</f>
        <v/>
      </c>
      <c r="L182" s="11">
        <f>SUMIFS('mk 001 10.3'!X:X,'mk 001 10.3'!V:V,J182,'mk 001 10.3'!Q:Q,H182)</f>
        <v>0</v>
      </c>
      <c r="N182" s="11">
        <f t="shared" si="4"/>
        <v>0</v>
      </c>
      <c r="O182" s="12" t="b">
        <v>0</v>
      </c>
      <c r="P182" s="12" t="b">
        <v>0</v>
      </c>
      <c r="Q182" s="24" t="str">
        <f t="shared" si="5"/>
        <v/>
      </c>
    </row>
    <row r="183" spans="2:17" x14ac:dyDescent="0.35">
      <c r="B183" s="18" t="str" cm="1">
        <f t="array" ref="B183">IFERROR(INDEX( _xlfn.TEXTSPLIT(SUBSTITUTE(A183,"เหลือ","")," "),1),"")</f>
        <v/>
      </c>
      <c r="C183" s="18" t="str" cm="1">
        <f t="array" ref="C183">IFERROR(INDEX( _xlfn.TEXTSPLIT(SUBSTITUTE(A183,"เหลือ","")," "),2),"")</f>
        <v/>
      </c>
      <c r="D183" s="18" t="str" cm="1">
        <f t="array" ref="D183">IFERROR(INDEX( _xlfn.TEXTSPLIT(SUBSTITUTE(A183,"เหลือ","")," "),3),"")</f>
        <v/>
      </c>
      <c r="H183" s="3" t="str">
        <f>IF(ISBLANK(G183),"",IFERROR(VLOOKUP(G183,Master!$K$1:$L$100,2,0),"ไม่พบข้อมูล"))</f>
        <v/>
      </c>
      <c r="I183" s="3" t="str">
        <f>IF(ISBLANK(F183),"",_xlfn.XLOOKUP(J183,Master!E:E,Master!D:D,"ไม่พบข้อมูล"))</f>
        <v/>
      </c>
      <c r="J183" s="3" t="str" cm="1">
        <f t="array" ref="J183">IF(ISBLANK(F183),"",_xlfn.XLOOKUP(TRUE,'Master แปลงคำ'!A:A=F183, 'Master แปลงคำ'!B:B, "ไม่พบข้อมูล"))</f>
        <v/>
      </c>
      <c r="K183" s="23" t="str">
        <f>IF(OR(ISBLANK(F183),ISBLANK(G183)),"", COUNTIFS('Mk หลังแก้'!U:U,I183,'Mk หลังแก้'!Q:Q,H183,'Mk หลังแก้'!V:V,J183))</f>
        <v/>
      </c>
      <c r="L183" s="11">
        <f>SUMIFS('mk 001 10.3'!X:X,'mk 001 10.3'!V:V,J183,'mk 001 10.3'!Q:Q,H183)</f>
        <v>0</v>
      </c>
      <c r="N183" s="11">
        <f t="shared" si="4"/>
        <v>0</v>
      </c>
      <c r="O183" s="12" t="b">
        <v>0</v>
      </c>
      <c r="P183" s="12" t="b">
        <v>0</v>
      </c>
      <c r="Q183" s="24" t="str">
        <f t="shared" si="5"/>
        <v/>
      </c>
    </row>
    <row r="184" spans="2:17" x14ac:dyDescent="0.35">
      <c r="B184" s="18" t="str" cm="1">
        <f t="array" ref="B184">IFERROR(INDEX( _xlfn.TEXTSPLIT(SUBSTITUTE(A184,"เหลือ","")," "),1),"")</f>
        <v/>
      </c>
      <c r="C184" s="18" t="str" cm="1">
        <f t="array" ref="C184">IFERROR(INDEX( _xlfn.TEXTSPLIT(SUBSTITUTE(A184,"เหลือ","")," "),2),"")</f>
        <v/>
      </c>
      <c r="D184" s="18" t="str" cm="1">
        <f t="array" ref="D184">IFERROR(INDEX( _xlfn.TEXTSPLIT(SUBSTITUTE(A184,"เหลือ","")," "),3),"")</f>
        <v/>
      </c>
      <c r="H184" s="3" t="str">
        <f>IF(ISBLANK(G184),"",IFERROR(VLOOKUP(G184,Master!$K$1:$L$100,2,0),"ไม่พบข้อมูล"))</f>
        <v/>
      </c>
      <c r="I184" s="3" t="str">
        <f>IF(ISBLANK(F184),"",_xlfn.XLOOKUP(J184,Master!E:E,Master!D:D,"ไม่พบข้อมูล"))</f>
        <v/>
      </c>
      <c r="J184" s="3" t="str" cm="1">
        <f t="array" ref="J184">IF(ISBLANK(F184),"",_xlfn.XLOOKUP(TRUE,'Master แปลงคำ'!A:A=F184, 'Master แปลงคำ'!B:B, "ไม่พบข้อมูล"))</f>
        <v/>
      </c>
      <c r="K184" s="23" t="str">
        <f>IF(OR(ISBLANK(F184),ISBLANK(G184)),"", COUNTIFS('Mk หลังแก้'!U:U,I184,'Mk หลังแก้'!Q:Q,H184,'Mk หลังแก้'!V:V,J184))</f>
        <v/>
      </c>
      <c r="L184" s="11">
        <f>SUMIFS('mk 001 10.3'!X:X,'mk 001 10.3'!V:V,J184,'mk 001 10.3'!Q:Q,H184)</f>
        <v>0</v>
      </c>
      <c r="N184" s="11">
        <f t="shared" si="4"/>
        <v>0</v>
      </c>
      <c r="O184" s="12" t="b">
        <v>0</v>
      </c>
      <c r="P184" s="12" t="b">
        <v>0</v>
      </c>
      <c r="Q184" s="24" t="str">
        <f t="shared" si="5"/>
        <v/>
      </c>
    </row>
    <row r="185" spans="2:17" x14ac:dyDescent="0.35">
      <c r="B185" s="18" t="str" cm="1">
        <f t="array" ref="B185">IFERROR(INDEX( _xlfn.TEXTSPLIT(SUBSTITUTE(A185,"เหลือ","")," "),1),"")</f>
        <v/>
      </c>
      <c r="C185" s="18" t="str" cm="1">
        <f t="array" ref="C185">IFERROR(INDEX( _xlfn.TEXTSPLIT(SUBSTITUTE(A185,"เหลือ","")," "),2),"")</f>
        <v/>
      </c>
      <c r="D185" s="18" t="str" cm="1">
        <f t="array" ref="D185">IFERROR(INDEX( _xlfn.TEXTSPLIT(SUBSTITUTE(A185,"เหลือ","")," "),3),"")</f>
        <v/>
      </c>
      <c r="H185" s="3" t="str">
        <f>IF(ISBLANK(G185),"",IFERROR(VLOOKUP(G185,Master!$K$1:$L$100,2,0),"ไม่พบข้อมูล"))</f>
        <v/>
      </c>
      <c r="I185" s="3" t="str">
        <f>IF(ISBLANK(F185),"",_xlfn.XLOOKUP(J185,Master!E:E,Master!D:D,"ไม่พบข้อมูล"))</f>
        <v/>
      </c>
      <c r="J185" s="3" t="str" cm="1">
        <f t="array" ref="J185">IF(ISBLANK(F185),"",_xlfn.XLOOKUP(TRUE,'Master แปลงคำ'!A:A=F185, 'Master แปลงคำ'!B:B, "ไม่พบข้อมูล"))</f>
        <v/>
      </c>
      <c r="K185" s="23" t="str">
        <f>IF(OR(ISBLANK(F185),ISBLANK(G185)),"", COUNTIFS('Mk หลังแก้'!U:U,I185,'Mk หลังแก้'!Q:Q,H185,'Mk หลังแก้'!V:V,J185))</f>
        <v/>
      </c>
      <c r="L185" s="11">
        <f>SUMIFS('mk 001 10.3'!X:X,'mk 001 10.3'!V:V,J185,'mk 001 10.3'!Q:Q,H185)</f>
        <v>0</v>
      </c>
      <c r="N185" s="11">
        <f t="shared" si="4"/>
        <v>0</v>
      </c>
      <c r="O185" s="12" t="b">
        <v>0</v>
      </c>
      <c r="P185" s="12" t="b">
        <v>0</v>
      </c>
      <c r="Q185" s="24" t="str">
        <f t="shared" si="5"/>
        <v/>
      </c>
    </row>
    <row r="186" spans="2:17" x14ac:dyDescent="0.35">
      <c r="B186" s="18" t="str" cm="1">
        <f t="array" ref="B186">IFERROR(INDEX( _xlfn.TEXTSPLIT(SUBSTITUTE(A186,"เหลือ","")," "),1),"")</f>
        <v/>
      </c>
      <c r="C186" s="18" t="str" cm="1">
        <f t="array" ref="C186">IFERROR(INDEX( _xlfn.TEXTSPLIT(SUBSTITUTE(A186,"เหลือ","")," "),2),"")</f>
        <v/>
      </c>
      <c r="D186" s="18" t="str" cm="1">
        <f t="array" ref="D186">IFERROR(INDEX( _xlfn.TEXTSPLIT(SUBSTITUTE(A186,"เหลือ","")," "),3),"")</f>
        <v/>
      </c>
      <c r="H186" s="3" t="str">
        <f>IF(ISBLANK(G186),"",IFERROR(VLOOKUP(G186,Master!$K$1:$L$100,2,0),"ไม่พบข้อมูล"))</f>
        <v/>
      </c>
      <c r="I186" s="3" t="str">
        <f>IF(ISBLANK(F186),"",_xlfn.XLOOKUP(J186,Master!E:E,Master!D:D,"ไม่พบข้อมูล"))</f>
        <v/>
      </c>
      <c r="J186" s="3" t="str" cm="1">
        <f t="array" ref="J186">IF(ISBLANK(F186),"",_xlfn.XLOOKUP(TRUE,'Master แปลงคำ'!A:A=F186, 'Master แปลงคำ'!B:B, "ไม่พบข้อมูล"))</f>
        <v/>
      </c>
      <c r="K186" s="23" t="str">
        <f>IF(OR(ISBLANK(F186),ISBLANK(G186)),"", COUNTIFS('Mk หลังแก้'!U:U,I186,'Mk หลังแก้'!Q:Q,H186,'Mk หลังแก้'!V:V,J186))</f>
        <v/>
      </c>
      <c r="L186" s="11">
        <f>SUMIFS('mk 001 10.3'!X:X,'mk 001 10.3'!V:V,J186,'mk 001 10.3'!Q:Q,H186)</f>
        <v>0</v>
      </c>
      <c r="N186" s="11">
        <f t="shared" si="4"/>
        <v>0</v>
      </c>
      <c r="O186" s="12" t="b">
        <v>0</v>
      </c>
      <c r="P186" s="12" t="b">
        <v>0</v>
      </c>
      <c r="Q186" s="24" t="str">
        <f t="shared" si="5"/>
        <v/>
      </c>
    </row>
    <row r="187" spans="2:17" x14ac:dyDescent="0.35">
      <c r="B187" s="18" t="str" cm="1">
        <f t="array" ref="B187">IFERROR(INDEX( _xlfn.TEXTSPLIT(SUBSTITUTE(A187,"เหลือ","")," "),1),"")</f>
        <v/>
      </c>
      <c r="C187" s="18" t="str" cm="1">
        <f t="array" ref="C187">IFERROR(INDEX( _xlfn.TEXTSPLIT(SUBSTITUTE(A187,"เหลือ","")," "),2),"")</f>
        <v/>
      </c>
      <c r="D187" s="18" t="str" cm="1">
        <f t="array" ref="D187">IFERROR(INDEX( _xlfn.TEXTSPLIT(SUBSTITUTE(A187,"เหลือ","")," "),3),"")</f>
        <v/>
      </c>
      <c r="H187" s="3" t="str">
        <f>IF(ISBLANK(G187),"",IFERROR(VLOOKUP(G187,Master!$K$1:$L$100,2,0),"ไม่พบข้อมูล"))</f>
        <v/>
      </c>
      <c r="I187" s="3" t="str">
        <f>IF(ISBLANK(F187),"",_xlfn.XLOOKUP(J187,Master!E:E,Master!D:D,"ไม่พบข้อมูล"))</f>
        <v/>
      </c>
      <c r="J187" s="3" t="str" cm="1">
        <f t="array" ref="J187">IF(ISBLANK(F187),"",_xlfn.XLOOKUP(TRUE,'Master แปลงคำ'!A:A=F187, 'Master แปลงคำ'!B:B, "ไม่พบข้อมูล"))</f>
        <v/>
      </c>
      <c r="K187" s="23" t="str">
        <f>IF(OR(ISBLANK(F187),ISBLANK(G187)),"", COUNTIFS('Mk หลังแก้'!U:U,I187,'Mk หลังแก้'!Q:Q,H187,'Mk หลังแก้'!V:V,J187))</f>
        <v/>
      </c>
      <c r="L187" s="11">
        <f>SUMIFS('mk 001 10.3'!X:X,'mk 001 10.3'!V:V,J187,'mk 001 10.3'!Q:Q,H187)</f>
        <v>0</v>
      </c>
      <c r="N187" s="11">
        <f t="shared" si="4"/>
        <v>0</v>
      </c>
      <c r="O187" s="12" t="b">
        <v>0</v>
      </c>
      <c r="P187" s="12" t="b">
        <v>0</v>
      </c>
      <c r="Q187" s="24" t="str">
        <f t="shared" si="5"/>
        <v/>
      </c>
    </row>
    <row r="188" spans="2:17" x14ac:dyDescent="0.35">
      <c r="B188" s="18" t="str" cm="1">
        <f t="array" ref="B188">IFERROR(INDEX( _xlfn.TEXTSPLIT(SUBSTITUTE(A188,"เหลือ","")," "),1),"")</f>
        <v/>
      </c>
      <c r="C188" s="18" t="str" cm="1">
        <f t="array" ref="C188">IFERROR(INDEX( _xlfn.TEXTSPLIT(SUBSTITUTE(A188,"เหลือ","")," "),2),"")</f>
        <v/>
      </c>
      <c r="D188" s="18" t="str" cm="1">
        <f t="array" ref="D188">IFERROR(INDEX( _xlfn.TEXTSPLIT(SUBSTITUTE(A188,"เหลือ","")," "),3),"")</f>
        <v/>
      </c>
      <c r="H188" s="3" t="str">
        <f>IF(ISBLANK(G188),"",IFERROR(VLOOKUP(G188,Master!$K$1:$L$100,2,0),"ไม่พบข้อมูล"))</f>
        <v/>
      </c>
      <c r="I188" s="3" t="str">
        <f>IF(ISBLANK(F188),"",_xlfn.XLOOKUP(J188,Master!E:E,Master!D:D,"ไม่พบข้อมูล"))</f>
        <v/>
      </c>
      <c r="J188" s="3" t="str" cm="1">
        <f t="array" ref="J188">IF(ISBLANK(F188),"",_xlfn.XLOOKUP(TRUE,'Master แปลงคำ'!A:A=F188, 'Master แปลงคำ'!B:B, "ไม่พบข้อมูล"))</f>
        <v/>
      </c>
      <c r="K188" s="23" t="str">
        <f>IF(OR(ISBLANK(F188),ISBLANK(G188)),"", COUNTIFS('Mk หลังแก้'!U:U,I188,'Mk หลังแก้'!Q:Q,H188,'Mk หลังแก้'!V:V,J188))</f>
        <v/>
      </c>
      <c r="L188" s="11">
        <f>SUMIFS('mk 001 10.3'!X:X,'mk 001 10.3'!V:V,J188,'mk 001 10.3'!Q:Q,H188)</f>
        <v>0</v>
      </c>
      <c r="N188" s="11">
        <f t="shared" si="4"/>
        <v>0</v>
      </c>
      <c r="O188" s="12" t="b">
        <v>0</v>
      </c>
      <c r="P188" s="12" t="b">
        <v>0</v>
      </c>
      <c r="Q188" s="24" t="str">
        <f t="shared" si="5"/>
        <v/>
      </c>
    </row>
    <row r="189" spans="2:17" x14ac:dyDescent="0.35">
      <c r="B189" s="18" t="str" cm="1">
        <f t="array" ref="B189">IFERROR(INDEX( _xlfn.TEXTSPLIT(SUBSTITUTE(A189,"เหลือ","")," "),1),"")</f>
        <v/>
      </c>
      <c r="C189" s="18" t="str" cm="1">
        <f t="array" ref="C189">IFERROR(INDEX( _xlfn.TEXTSPLIT(SUBSTITUTE(A189,"เหลือ","")," "),2),"")</f>
        <v/>
      </c>
      <c r="D189" s="18" t="str" cm="1">
        <f t="array" ref="D189">IFERROR(INDEX( _xlfn.TEXTSPLIT(SUBSTITUTE(A189,"เหลือ","")," "),3),"")</f>
        <v/>
      </c>
      <c r="H189" s="3" t="str">
        <f>IF(ISBLANK(G189),"",IFERROR(VLOOKUP(G189,Master!$K$1:$L$100,2,0),"ไม่พบข้อมูล"))</f>
        <v/>
      </c>
      <c r="I189" s="3" t="str">
        <f>IF(ISBLANK(F189),"",_xlfn.XLOOKUP(J189,Master!E:E,Master!D:D,"ไม่พบข้อมูล"))</f>
        <v/>
      </c>
      <c r="J189" s="3" t="str" cm="1">
        <f t="array" ref="J189">IF(ISBLANK(F189),"",_xlfn.XLOOKUP(TRUE,'Master แปลงคำ'!A:A=F189, 'Master แปลงคำ'!B:B, "ไม่พบข้อมูล"))</f>
        <v/>
      </c>
      <c r="K189" s="23" t="str">
        <f>IF(OR(ISBLANK(F189),ISBLANK(G189)),"", COUNTIFS('Mk หลังแก้'!U:U,I189,'Mk หลังแก้'!Q:Q,H189,'Mk หลังแก้'!V:V,J189))</f>
        <v/>
      </c>
      <c r="L189" s="11">
        <f>SUMIFS('mk 001 10.3'!X:X,'mk 001 10.3'!V:V,J189,'mk 001 10.3'!Q:Q,H189)</f>
        <v>0</v>
      </c>
      <c r="N189" s="11">
        <f t="shared" si="4"/>
        <v>0</v>
      </c>
      <c r="O189" s="12" t="b">
        <v>0</v>
      </c>
      <c r="P189" s="12" t="b">
        <v>0</v>
      </c>
      <c r="Q189" s="24" t="str">
        <f t="shared" si="5"/>
        <v/>
      </c>
    </row>
    <row r="190" spans="2:17" x14ac:dyDescent="0.35">
      <c r="B190" s="18" t="str" cm="1">
        <f t="array" ref="B190">IFERROR(INDEX( _xlfn.TEXTSPLIT(SUBSTITUTE(A190,"เหลือ","")," "),1),"")</f>
        <v/>
      </c>
      <c r="C190" s="18" t="str" cm="1">
        <f t="array" ref="C190">IFERROR(INDEX( _xlfn.TEXTSPLIT(SUBSTITUTE(A190,"เหลือ","")," "),2),"")</f>
        <v/>
      </c>
      <c r="D190" s="18" t="str" cm="1">
        <f t="array" ref="D190">IFERROR(INDEX( _xlfn.TEXTSPLIT(SUBSTITUTE(A190,"เหลือ","")," "),3),"")</f>
        <v/>
      </c>
      <c r="H190" s="3" t="str">
        <f>IF(ISBLANK(G190),"",IFERROR(VLOOKUP(G190,Master!$K$1:$L$100,2,0),"ไม่พบข้อมูล"))</f>
        <v/>
      </c>
      <c r="I190" s="3" t="str">
        <f>IF(ISBLANK(F190),"",_xlfn.XLOOKUP(J190,Master!E:E,Master!D:D,"ไม่พบข้อมูล"))</f>
        <v/>
      </c>
      <c r="J190" s="3" t="str" cm="1">
        <f t="array" ref="J190">IF(ISBLANK(F190),"",_xlfn.XLOOKUP(TRUE,'Master แปลงคำ'!A:A=F190, 'Master แปลงคำ'!B:B, "ไม่พบข้อมูล"))</f>
        <v/>
      </c>
      <c r="K190" s="23" t="str">
        <f>IF(OR(ISBLANK(F190),ISBLANK(G190)),"", COUNTIFS('Mk หลังแก้'!U:U,I190,'Mk หลังแก้'!Q:Q,H190,'Mk หลังแก้'!V:V,J190))</f>
        <v/>
      </c>
      <c r="L190" s="11">
        <f>SUMIFS('mk 001 10.3'!X:X,'mk 001 10.3'!V:V,J190,'mk 001 10.3'!Q:Q,H190)</f>
        <v>0</v>
      </c>
      <c r="N190" s="11">
        <f t="shared" si="4"/>
        <v>0</v>
      </c>
      <c r="O190" s="12" t="b">
        <v>0</v>
      </c>
      <c r="P190" s="12" t="b">
        <v>0</v>
      </c>
      <c r="Q190" s="24" t="str">
        <f t="shared" si="5"/>
        <v/>
      </c>
    </row>
    <row r="191" spans="2:17" x14ac:dyDescent="0.35">
      <c r="B191" s="18" t="str" cm="1">
        <f t="array" ref="B191">IFERROR(INDEX( _xlfn.TEXTSPLIT(SUBSTITUTE(A191,"เหลือ","")," "),1),"")</f>
        <v/>
      </c>
      <c r="C191" s="18" t="str" cm="1">
        <f t="array" ref="C191">IFERROR(INDEX( _xlfn.TEXTSPLIT(SUBSTITUTE(A191,"เหลือ","")," "),2),"")</f>
        <v/>
      </c>
      <c r="D191" s="18" t="str" cm="1">
        <f t="array" ref="D191">IFERROR(INDEX( _xlfn.TEXTSPLIT(SUBSTITUTE(A191,"เหลือ","")," "),3),"")</f>
        <v/>
      </c>
      <c r="H191" s="3" t="str">
        <f>IF(ISBLANK(G191),"",IFERROR(VLOOKUP(G191,Master!$K$1:$L$100,2,0),"ไม่พบข้อมูล"))</f>
        <v/>
      </c>
      <c r="I191" s="3" t="str">
        <f>IF(ISBLANK(F191),"",_xlfn.XLOOKUP(J191,Master!E:E,Master!D:D,"ไม่พบข้อมูล"))</f>
        <v/>
      </c>
      <c r="J191" s="3" t="str" cm="1">
        <f t="array" ref="J191">IF(ISBLANK(F191),"",_xlfn.XLOOKUP(TRUE,'Master แปลงคำ'!A:A=F191, 'Master แปลงคำ'!B:B, "ไม่พบข้อมูล"))</f>
        <v/>
      </c>
      <c r="K191" s="23" t="str">
        <f>IF(OR(ISBLANK(F191),ISBLANK(G191)),"", COUNTIFS('Mk หลังแก้'!U:U,I191,'Mk หลังแก้'!Q:Q,H191,'Mk หลังแก้'!V:V,J191))</f>
        <v/>
      </c>
      <c r="L191" s="11">
        <f>SUMIFS('mk 001 10.3'!X:X,'mk 001 10.3'!V:V,J191,'mk 001 10.3'!Q:Q,H191)</f>
        <v>0</v>
      </c>
      <c r="N191" s="11">
        <f t="shared" si="4"/>
        <v>0</v>
      </c>
      <c r="O191" s="12" t="b">
        <v>0</v>
      </c>
      <c r="P191" s="12" t="b">
        <v>0</v>
      </c>
      <c r="Q191" s="24" t="str">
        <f t="shared" si="5"/>
        <v/>
      </c>
    </row>
    <row r="192" spans="2:17" x14ac:dyDescent="0.35">
      <c r="B192" s="18" t="str" cm="1">
        <f t="array" ref="B192">IFERROR(INDEX( _xlfn.TEXTSPLIT(SUBSTITUTE(A192,"เหลือ","")," "),1),"")</f>
        <v/>
      </c>
      <c r="C192" s="18" t="str" cm="1">
        <f t="array" ref="C192">IFERROR(INDEX( _xlfn.TEXTSPLIT(SUBSTITUTE(A192,"เหลือ","")," "),2),"")</f>
        <v/>
      </c>
      <c r="D192" s="18" t="str" cm="1">
        <f t="array" ref="D192">IFERROR(INDEX( _xlfn.TEXTSPLIT(SUBSTITUTE(A192,"เหลือ","")," "),3),"")</f>
        <v/>
      </c>
      <c r="H192" s="3" t="str">
        <f>IF(ISBLANK(G192),"",IFERROR(VLOOKUP(G192,Master!$K$1:$L$100,2,0),"ไม่พบข้อมูล"))</f>
        <v/>
      </c>
      <c r="I192" s="3" t="str">
        <f>IF(ISBLANK(F192),"",_xlfn.XLOOKUP(J192,Master!E:E,Master!D:D,"ไม่พบข้อมูล"))</f>
        <v/>
      </c>
      <c r="J192" s="3" t="str" cm="1">
        <f t="array" ref="J192">IF(ISBLANK(F192),"",_xlfn.XLOOKUP(TRUE,'Master แปลงคำ'!A:A=F192, 'Master แปลงคำ'!B:B, "ไม่พบข้อมูล"))</f>
        <v/>
      </c>
      <c r="K192" s="23" t="str">
        <f>IF(OR(ISBLANK(F192),ISBLANK(G192)),"", COUNTIFS('Mk หลังแก้'!U:U,I192,'Mk หลังแก้'!Q:Q,H192,'Mk หลังแก้'!V:V,J192))</f>
        <v/>
      </c>
      <c r="L192" s="11">
        <f>SUMIFS('mk 001 10.3'!X:X,'mk 001 10.3'!V:V,J192,'mk 001 10.3'!Q:Q,H192)</f>
        <v>0</v>
      </c>
      <c r="N192" s="11">
        <f t="shared" si="4"/>
        <v>0</v>
      </c>
      <c r="O192" s="12" t="b">
        <v>0</v>
      </c>
      <c r="P192" s="12" t="b">
        <v>0</v>
      </c>
      <c r="Q192" s="24" t="str">
        <f t="shared" si="5"/>
        <v/>
      </c>
    </row>
    <row r="193" spans="2:17" x14ac:dyDescent="0.35">
      <c r="B193" s="18" t="str" cm="1">
        <f t="array" ref="B193">IFERROR(INDEX( _xlfn.TEXTSPLIT(SUBSTITUTE(A193,"เหลือ","")," "),1),"")</f>
        <v/>
      </c>
      <c r="C193" s="18" t="str" cm="1">
        <f t="array" ref="C193">IFERROR(INDEX( _xlfn.TEXTSPLIT(SUBSTITUTE(A193,"เหลือ","")," "),2),"")</f>
        <v/>
      </c>
      <c r="D193" s="18" t="str" cm="1">
        <f t="array" ref="D193">IFERROR(INDEX( _xlfn.TEXTSPLIT(SUBSTITUTE(A193,"เหลือ","")," "),3),"")</f>
        <v/>
      </c>
      <c r="H193" s="3" t="str">
        <f>IF(ISBLANK(G193),"",IFERROR(VLOOKUP(G193,Master!$K$1:$L$100,2,0),"ไม่พบข้อมูล"))</f>
        <v/>
      </c>
      <c r="I193" s="3" t="str">
        <f>IF(ISBLANK(F193),"",_xlfn.XLOOKUP(J193,Master!E:E,Master!D:D,"ไม่พบข้อมูล"))</f>
        <v/>
      </c>
      <c r="J193" s="3" t="str" cm="1">
        <f t="array" ref="J193">IF(ISBLANK(F193),"",_xlfn.XLOOKUP(TRUE,'Master แปลงคำ'!A:A=F193, 'Master แปลงคำ'!B:B, "ไม่พบข้อมูล"))</f>
        <v/>
      </c>
      <c r="K193" s="23" t="str">
        <f>IF(OR(ISBLANK(F193),ISBLANK(G193)),"", COUNTIFS('Mk หลังแก้'!U:U,I193,'Mk หลังแก้'!Q:Q,H193,'Mk หลังแก้'!V:V,J193))</f>
        <v/>
      </c>
      <c r="L193" s="11">
        <f>SUMIFS('mk 001 10.3'!X:X,'mk 001 10.3'!V:V,J193,'mk 001 10.3'!Q:Q,H193)</f>
        <v>0</v>
      </c>
      <c r="N193" s="11">
        <f t="shared" si="4"/>
        <v>0</v>
      </c>
      <c r="O193" s="12" t="b">
        <v>0</v>
      </c>
      <c r="P193" s="12" t="b">
        <v>0</v>
      </c>
      <c r="Q193" s="24" t="str">
        <f t="shared" si="5"/>
        <v/>
      </c>
    </row>
    <row r="194" spans="2:17" x14ac:dyDescent="0.35">
      <c r="B194" s="18" t="str" cm="1">
        <f t="array" ref="B194">IFERROR(INDEX( _xlfn.TEXTSPLIT(SUBSTITUTE(A194,"เหลือ","")," "),1),"")</f>
        <v/>
      </c>
      <c r="C194" s="18" t="str" cm="1">
        <f t="array" ref="C194">IFERROR(INDEX( _xlfn.TEXTSPLIT(SUBSTITUTE(A194,"เหลือ","")," "),2),"")</f>
        <v/>
      </c>
      <c r="D194" s="18" t="str" cm="1">
        <f t="array" ref="D194">IFERROR(INDEX( _xlfn.TEXTSPLIT(SUBSTITUTE(A194,"เหลือ","")," "),3),"")</f>
        <v/>
      </c>
      <c r="H194" s="3" t="str">
        <f>IF(ISBLANK(G194),"",IFERROR(VLOOKUP(G194,Master!$K$1:$L$100,2,0),"ไม่พบข้อมูล"))</f>
        <v/>
      </c>
      <c r="I194" s="3" t="str">
        <f>IF(ISBLANK(F194),"",_xlfn.XLOOKUP(J194,Master!E:E,Master!D:D,"ไม่พบข้อมูล"))</f>
        <v/>
      </c>
      <c r="J194" s="3" t="str" cm="1">
        <f t="array" ref="J194">IF(ISBLANK(F194),"",_xlfn.XLOOKUP(TRUE,'Master แปลงคำ'!A:A=F194, 'Master แปลงคำ'!B:B, "ไม่พบข้อมูล"))</f>
        <v/>
      </c>
      <c r="K194" s="23" t="str">
        <f>IF(OR(ISBLANK(F194),ISBLANK(G194)),"", COUNTIFS('Mk หลังแก้'!U:U,I194,'Mk หลังแก้'!Q:Q,H194,'Mk หลังแก้'!V:V,J194))</f>
        <v/>
      </c>
      <c r="L194" s="11">
        <f>SUMIFS('mk 001 10.3'!X:X,'mk 001 10.3'!V:V,J194,'mk 001 10.3'!Q:Q,H194)</f>
        <v>0</v>
      </c>
      <c r="N194" s="11">
        <f t="shared" si="4"/>
        <v>0</v>
      </c>
      <c r="O194" s="12" t="b">
        <v>0</v>
      </c>
      <c r="P194" s="12" t="b">
        <v>0</v>
      </c>
      <c r="Q194" s="24" t="str">
        <f t="shared" si="5"/>
        <v/>
      </c>
    </row>
    <row r="195" spans="2:17" x14ac:dyDescent="0.35">
      <c r="B195" s="18" t="str" cm="1">
        <f t="array" ref="B195">IFERROR(INDEX( _xlfn.TEXTSPLIT(SUBSTITUTE(A195,"เหลือ","")," "),1),"")</f>
        <v/>
      </c>
      <c r="C195" s="18" t="str" cm="1">
        <f t="array" ref="C195">IFERROR(INDEX( _xlfn.TEXTSPLIT(SUBSTITUTE(A195,"เหลือ","")," "),2),"")</f>
        <v/>
      </c>
      <c r="D195" s="18" t="str" cm="1">
        <f t="array" ref="D195">IFERROR(INDEX( _xlfn.TEXTSPLIT(SUBSTITUTE(A195,"เหลือ","")," "),3),"")</f>
        <v/>
      </c>
      <c r="H195" s="3" t="str">
        <f>IF(ISBLANK(G195),"",IFERROR(VLOOKUP(G195,Master!$K$1:$L$100,2,0),"ไม่พบข้อมูล"))</f>
        <v/>
      </c>
      <c r="I195" s="3" t="str">
        <f>IF(ISBLANK(F195),"",_xlfn.XLOOKUP(J195,Master!E:E,Master!D:D,"ไม่พบข้อมูล"))</f>
        <v/>
      </c>
      <c r="J195" s="3" t="str" cm="1">
        <f t="array" ref="J195">IF(ISBLANK(F195),"",_xlfn.XLOOKUP(TRUE,'Master แปลงคำ'!A:A=F195, 'Master แปลงคำ'!B:B, "ไม่พบข้อมูล"))</f>
        <v/>
      </c>
      <c r="K195" s="23" t="str">
        <f>IF(OR(ISBLANK(F195),ISBLANK(G195)),"", COUNTIFS('Mk หลังแก้'!U:U,I195,'Mk หลังแก้'!Q:Q,H195,'Mk หลังแก้'!V:V,J195))</f>
        <v/>
      </c>
      <c r="L195" s="11">
        <f>SUMIFS('mk 001 10.3'!X:X,'mk 001 10.3'!V:V,J195,'mk 001 10.3'!Q:Q,H195)</f>
        <v>0</v>
      </c>
      <c r="N195" s="11">
        <f t="shared" ref="N195:N200" si="6">IF(O195,0,M195)</f>
        <v>0</v>
      </c>
      <c r="O195" s="12" t="b">
        <v>0</v>
      </c>
      <c r="P195" s="12" t="b">
        <v>0</v>
      </c>
      <c r="Q195" s="24" t="str">
        <f t="shared" ref="Q195:Q200" si="7">IFERROR(N195/K195,"")</f>
        <v/>
      </c>
    </row>
    <row r="196" spans="2:17" x14ac:dyDescent="0.35">
      <c r="B196" s="18" t="str" cm="1">
        <f t="array" ref="B196">IFERROR(INDEX( _xlfn.TEXTSPLIT(SUBSTITUTE(A196,"เหลือ","")," "),1),"")</f>
        <v/>
      </c>
      <c r="C196" s="18" t="str" cm="1">
        <f t="array" ref="C196">IFERROR(INDEX( _xlfn.TEXTSPLIT(SUBSTITUTE(A196,"เหลือ","")," "),2),"")</f>
        <v/>
      </c>
      <c r="D196" s="18" t="str" cm="1">
        <f t="array" ref="D196">IFERROR(INDEX( _xlfn.TEXTSPLIT(SUBSTITUTE(A196,"เหลือ","")," "),3),"")</f>
        <v/>
      </c>
      <c r="H196" s="3" t="str">
        <f>IF(ISBLANK(G196),"",IFERROR(VLOOKUP(G196,Master!$K$1:$L$100,2,0),"ไม่พบข้อมูล"))</f>
        <v/>
      </c>
      <c r="I196" s="3" t="str">
        <f>IF(ISBLANK(F196),"",_xlfn.XLOOKUP(J196,Master!E:E,Master!D:D,"ไม่พบข้อมูล"))</f>
        <v/>
      </c>
      <c r="J196" s="3" t="str" cm="1">
        <f t="array" ref="J196">IF(ISBLANK(F196),"",_xlfn.XLOOKUP(TRUE,'Master แปลงคำ'!A:A=F196, 'Master แปลงคำ'!B:B, "ไม่พบข้อมูล"))</f>
        <v/>
      </c>
      <c r="K196" s="23" t="str">
        <f>IF(OR(ISBLANK(F196),ISBLANK(G196)),"", COUNTIFS('Mk หลังแก้'!U:U,I196,'Mk หลังแก้'!Q:Q,H196,'Mk หลังแก้'!V:V,J196))</f>
        <v/>
      </c>
      <c r="L196" s="11">
        <f>SUMIFS('mk 001 10.3'!X:X,'mk 001 10.3'!V:V,J196,'mk 001 10.3'!Q:Q,H196)</f>
        <v>0</v>
      </c>
      <c r="N196" s="11">
        <f t="shared" si="6"/>
        <v>0</v>
      </c>
      <c r="O196" s="12" t="b">
        <v>0</v>
      </c>
      <c r="P196" s="12" t="b">
        <v>0</v>
      </c>
      <c r="Q196" s="24" t="str">
        <f t="shared" si="7"/>
        <v/>
      </c>
    </row>
    <row r="197" spans="2:17" x14ac:dyDescent="0.35">
      <c r="B197" s="18" t="str" cm="1">
        <f t="array" ref="B197">IFERROR(INDEX( _xlfn.TEXTSPLIT(SUBSTITUTE(A197,"เหลือ","")," "),1),"")</f>
        <v/>
      </c>
      <c r="C197" s="18" t="str" cm="1">
        <f t="array" ref="C197">IFERROR(INDEX( _xlfn.TEXTSPLIT(SUBSTITUTE(A197,"เหลือ","")," "),2),"")</f>
        <v/>
      </c>
      <c r="D197" s="18" t="str" cm="1">
        <f t="array" ref="D197">IFERROR(INDEX( _xlfn.TEXTSPLIT(SUBSTITUTE(A197,"เหลือ","")," "),3),"")</f>
        <v/>
      </c>
      <c r="H197" s="3" t="str">
        <f>IF(ISBLANK(G197),"",IFERROR(VLOOKUP(G197,Master!$K$1:$L$100,2,0),"ไม่พบข้อมูล"))</f>
        <v/>
      </c>
      <c r="I197" s="3" t="str">
        <f>IF(ISBLANK(F197),"",_xlfn.XLOOKUP(J197,Master!E:E,Master!D:D,"ไม่พบข้อมูล"))</f>
        <v/>
      </c>
      <c r="J197" s="3" t="str" cm="1">
        <f t="array" ref="J197">IF(ISBLANK(F197),"",_xlfn.XLOOKUP(TRUE,'Master แปลงคำ'!A:A=F197, 'Master แปลงคำ'!B:B, "ไม่พบข้อมูล"))</f>
        <v/>
      </c>
      <c r="K197" s="23" t="str">
        <f>IF(OR(ISBLANK(F197),ISBLANK(G197)),"", COUNTIFS('Mk หลังแก้'!U:U,I197,'Mk หลังแก้'!Q:Q,H197,'Mk หลังแก้'!V:V,J197))</f>
        <v/>
      </c>
      <c r="L197" s="11">
        <f>SUMIFS('mk 001 10.3'!X:X,'mk 001 10.3'!V:V,J197,'mk 001 10.3'!Q:Q,H197)</f>
        <v>0</v>
      </c>
      <c r="N197" s="11">
        <f t="shared" si="6"/>
        <v>0</v>
      </c>
      <c r="O197" s="12" t="b">
        <v>0</v>
      </c>
      <c r="P197" s="12" t="b">
        <v>0</v>
      </c>
      <c r="Q197" s="24" t="str">
        <f t="shared" si="7"/>
        <v/>
      </c>
    </row>
    <row r="198" spans="2:17" x14ac:dyDescent="0.35">
      <c r="B198" s="18" t="str" cm="1">
        <f t="array" ref="B198">IFERROR(INDEX( _xlfn.TEXTSPLIT(SUBSTITUTE(A198,"เหลือ","")," "),1),"")</f>
        <v/>
      </c>
      <c r="C198" s="18" t="str" cm="1">
        <f t="array" ref="C198">IFERROR(INDEX( _xlfn.TEXTSPLIT(SUBSTITUTE(A198,"เหลือ","")," "),2),"")</f>
        <v/>
      </c>
      <c r="D198" s="18" t="str" cm="1">
        <f t="array" ref="D198">IFERROR(INDEX( _xlfn.TEXTSPLIT(SUBSTITUTE(A198,"เหลือ","")," "),3),"")</f>
        <v/>
      </c>
      <c r="H198" s="3" t="str">
        <f>IF(ISBLANK(G198),"",IFERROR(VLOOKUP(G198,Master!$K$1:$L$100,2,0),"ไม่พบข้อมูล"))</f>
        <v/>
      </c>
      <c r="I198" s="3" t="str">
        <f>IF(ISBLANK(F198),"",_xlfn.XLOOKUP(J198,Master!E:E,Master!D:D,"ไม่พบข้อมูล"))</f>
        <v/>
      </c>
      <c r="J198" s="3" t="str" cm="1">
        <f t="array" ref="J198">IF(ISBLANK(F198),"",_xlfn.XLOOKUP(TRUE,'Master แปลงคำ'!A:A=F198, 'Master แปลงคำ'!B:B, "ไม่พบข้อมูล"))</f>
        <v/>
      </c>
      <c r="K198" s="23" t="str">
        <f>IF(OR(ISBLANK(F198),ISBLANK(G198)),"", COUNTIFS('Mk หลังแก้'!U:U,I198,'Mk หลังแก้'!Q:Q,H198,'Mk หลังแก้'!V:V,J198))</f>
        <v/>
      </c>
      <c r="L198" s="11">
        <f>SUMIFS('mk 001 10.3'!X:X,'mk 001 10.3'!V:V,J198,'mk 001 10.3'!Q:Q,H198)</f>
        <v>0</v>
      </c>
      <c r="N198" s="11">
        <f t="shared" si="6"/>
        <v>0</v>
      </c>
      <c r="O198" s="12" t="b">
        <v>0</v>
      </c>
      <c r="P198" s="12" t="b">
        <v>0</v>
      </c>
      <c r="Q198" s="24" t="str">
        <f t="shared" si="7"/>
        <v/>
      </c>
    </row>
    <row r="199" spans="2:17" x14ac:dyDescent="0.35">
      <c r="B199" s="18" t="str" cm="1">
        <f t="array" ref="B199">IFERROR(INDEX( _xlfn.TEXTSPLIT(SUBSTITUTE(A199,"เหลือ","")," "),1),"")</f>
        <v/>
      </c>
      <c r="C199" s="18" t="str" cm="1">
        <f t="array" ref="C199">IFERROR(INDEX( _xlfn.TEXTSPLIT(SUBSTITUTE(A199,"เหลือ","")," "),2),"")</f>
        <v/>
      </c>
      <c r="D199" s="18" t="str" cm="1">
        <f t="array" ref="D199">IFERROR(INDEX( _xlfn.TEXTSPLIT(SUBSTITUTE(A199,"เหลือ","")," "),3),"")</f>
        <v/>
      </c>
      <c r="H199" s="3" t="str">
        <f>IF(ISBLANK(G199),"",IFERROR(VLOOKUP(G199,Master!$K$1:$L$100,2,0),"ไม่พบข้อมูล"))</f>
        <v/>
      </c>
      <c r="I199" s="3" t="str">
        <f>IF(ISBLANK(F199),"",_xlfn.XLOOKUP(J199,Master!E:E,Master!D:D,"ไม่พบข้อมูล"))</f>
        <v/>
      </c>
      <c r="J199" s="3" t="str" cm="1">
        <f t="array" ref="J199">IF(ISBLANK(F199),"",_xlfn.XLOOKUP(TRUE,'Master แปลงคำ'!A:A=F199, 'Master แปลงคำ'!B:B, "ไม่พบข้อมูล"))</f>
        <v/>
      </c>
      <c r="K199" s="23" t="str">
        <f>IF(OR(ISBLANK(F199),ISBLANK(G199)),"", COUNTIFS('Mk หลังแก้'!U:U,I199,'Mk หลังแก้'!Q:Q,H199,'Mk หลังแก้'!V:V,J199))</f>
        <v/>
      </c>
      <c r="L199" s="11">
        <f>SUMIFS('mk 001 10.3'!X:X,'mk 001 10.3'!V:V,J199,'mk 001 10.3'!Q:Q,H199)</f>
        <v>0</v>
      </c>
      <c r="N199" s="11">
        <f t="shared" si="6"/>
        <v>0</v>
      </c>
      <c r="O199" s="12" t="b">
        <v>0</v>
      </c>
      <c r="P199" s="12" t="b">
        <v>0</v>
      </c>
      <c r="Q199" s="24" t="str">
        <f t="shared" si="7"/>
        <v/>
      </c>
    </row>
    <row r="200" spans="2:17" x14ac:dyDescent="0.35">
      <c r="B200" s="18" t="str" cm="1">
        <f t="array" ref="B200">IFERROR(INDEX( _xlfn.TEXTSPLIT(SUBSTITUTE(A200,"เหลือ","")," "),1),"")</f>
        <v/>
      </c>
      <c r="C200" s="18" t="str" cm="1">
        <f t="array" ref="C200">IFERROR(INDEX( _xlfn.TEXTSPLIT(SUBSTITUTE(A200,"เหลือ","")," "),2),"")</f>
        <v/>
      </c>
      <c r="D200" s="18" t="str" cm="1">
        <f t="array" ref="D200">IFERROR(INDEX( _xlfn.TEXTSPLIT(SUBSTITUTE(A200,"เหลือ","")," "),3),"")</f>
        <v/>
      </c>
      <c r="H200" s="3" t="str">
        <f>IF(ISBLANK(G200),"",IFERROR(VLOOKUP(G200,Master!$K$1:$L$100,2,0),"ไม่พบข้อมูล"))</f>
        <v/>
      </c>
      <c r="I200" s="3" t="str">
        <f>IF(ISBLANK(F200),"",_xlfn.XLOOKUP(J200,Master!E:E,Master!D:D,"ไม่พบข้อมูล"))</f>
        <v/>
      </c>
      <c r="J200" s="3" t="str" cm="1">
        <f t="array" ref="J200">IF(ISBLANK(F200),"",_xlfn.XLOOKUP(TRUE,'Master แปลงคำ'!A:A=F200, 'Master แปลงคำ'!B:B, "ไม่พบข้อมูล"))</f>
        <v/>
      </c>
      <c r="K200" s="23" t="str">
        <f>IF(OR(ISBLANK(F200),ISBLANK(G200)),"", COUNTIFS('Mk หลังแก้'!U:U,I200,'Mk หลังแก้'!Q:Q,H200,'Mk หลังแก้'!V:V,J200))</f>
        <v/>
      </c>
      <c r="L200" s="11">
        <f>SUMIFS('mk 001 10.3'!X:X,'mk 001 10.3'!V:V,J200,'mk 001 10.3'!Q:Q,H200)</f>
        <v>0</v>
      </c>
      <c r="N200" s="11">
        <f t="shared" si="6"/>
        <v>0</v>
      </c>
      <c r="O200" s="12" t="b">
        <v>0</v>
      </c>
      <c r="P200" s="12" t="b">
        <v>0</v>
      </c>
      <c r="Q200" s="24" t="str">
        <f t="shared" si="7"/>
        <v/>
      </c>
    </row>
  </sheetData>
  <mergeCells count="1">
    <mergeCell ref="A1:D1"/>
  </mergeCells>
  <conditionalFormatting sqref="I2:I200">
    <cfRule type="expression" dxfId="16" priority="3">
      <formula>$I2="ไม่พบข้อมูล"</formula>
    </cfRule>
  </conditionalFormatting>
  <conditionalFormatting sqref="J2:J200">
    <cfRule type="expression" dxfId="15" priority="2">
      <formula>$J2="ไม่พบข้อมูล"</formula>
    </cfRule>
  </conditionalFormatting>
  <conditionalFormatting sqref="K2:K200">
    <cfRule type="expression" dxfId="14" priority="1">
      <formula>$K2=0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7993-EF16-4CC3-B216-119E5A2A9519}">
  <dimension ref="A1:BN200"/>
  <sheetViews>
    <sheetView workbookViewId="0">
      <selection activeCell="F1" sqref="F1"/>
    </sheetView>
  </sheetViews>
  <sheetFormatPr defaultRowHeight="14.5" x14ac:dyDescent="0.35"/>
  <cols>
    <col min="3" max="4" width="10.453125" style="1" bestFit="1" customWidth="1"/>
    <col min="7" max="7" width="21.54296875" bestFit="1" customWidth="1"/>
    <col min="8" max="8" width="6.26953125" customWidth="1"/>
    <col min="9" max="9" width="13" bestFit="1" customWidth="1"/>
    <col min="10" max="10" width="28" bestFit="1" customWidth="1"/>
    <col min="11" max="11" width="19.7265625" bestFit="1" customWidth="1"/>
    <col min="12" max="12" width="4.453125" bestFit="1" customWidth="1"/>
    <col min="14" max="14" width="12.1796875" bestFit="1" customWidth="1"/>
    <col min="15" max="15" width="27.54296875" bestFit="1" customWidth="1"/>
    <col min="16" max="16" width="14.26953125" customWidth="1"/>
    <col min="17" max="17" width="26" customWidth="1"/>
    <col min="18" max="18" width="11.453125" style="1" bestFit="1" customWidth="1"/>
    <col min="19" max="19" width="10.453125" style="1" bestFit="1" customWidth="1"/>
    <col min="20" max="20" width="19" bestFit="1" customWidth="1"/>
    <col min="21" max="21" width="9.81640625" bestFit="1" customWidth="1"/>
    <col min="22" max="22" width="22.453125" bestFit="1" customWidth="1"/>
  </cols>
  <sheetData>
    <row r="1" spans="1:66" x14ac:dyDescent="0.35">
      <c r="A1">
        <f>'mk 001 10.3'!A3</f>
        <v>0</v>
      </c>
      <c r="B1">
        <f>'mk 001 10.3'!B3</f>
        <v>0</v>
      </c>
      <c r="C1" s="1" t="str">
        <f>'mk 001 10.3'!C3</f>
        <v>14/5/2569</v>
      </c>
      <c r="D1" s="1" t="str">
        <f>'mk 001 10.3'!D3</f>
        <v>14/5/2569</v>
      </c>
      <c r="E1">
        <f>'mk 001 10.3'!E3</f>
        <v>0</v>
      </c>
      <c r="F1" t="str">
        <f>'mk 001 10.3'!F3</f>
        <v>489M</v>
      </c>
      <c r="G1" t="str">
        <f>'mk 001 10.3'!G3</f>
        <v>Modern Trade (Makro)</v>
      </c>
      <c r="H1">
        <f>'mk 001 10.3'!H3</f>
        <v>0</v>
      </c>
      <c r="I1" t="str">
        <f>'mk 001 10.3'!I3</f>
        <v>หน่วยงานกลาง</v>
      </c>
      <c r="J1" t="str">
        <f>'mk 001 10.3'!J3</f>
        <v>F213  DMCW-รชล-พระพุทธบาท</v>
      </c>
      <c r="K1" t="str">
        <f>'mk 001 10.3'!K3</f>
        <v>00000  หน่วยงานกลาง</v>
      </c>
      <c r="L1">
        <f>'mk 001 10.3'!L3</f>
        <v>923</v>
      </c>
      <c r="M1">
        <f>'mk 001 10.3'!M3</f>
        <v>0</v>
      </c>
      <c r="Q1" s="13" t="str">
        <f>IF(แปลงข้อมูล!P2,แปลงข้อมูล!H2,"")</f>
        <v/>
      </c>
      <c r="R1" s="1">
        <f>'mk 001 10.3'!R3</f>
        <v>244566</v>
      </c>
      <c r="S1" s="1" t="str">
        <f>'mk 001 10.3'!S3</f>
        <v>14/5/2569</v>
      </c>
      <c r="U1" s="13" t="str">
        <f>IF(แปลงข้อมูล!P2,แปลงข้อมูล!I2,"")</f>
        <v/>
      </c>
      <c r="V1" s="13" t="str">
        <f>IF(แปลงข้อมูล!P2,แปลงข้อมูล!J2,"")</f>
        <v/>
      </c>
      <c r="Y1" s="13" t="str">
        <f>_xlfn.XLOOKUP(V1,'mk 001 10.3'!V:V,'mk 001 10.3'!Y:Y,"")</f>
        <v/>
      </c>
      <c r="Z1" s="13" t="str">
        <f>IF(แปลงข้อมูล!P2,แปลงข้อมูล!N2,"")</f>
        <v/>
      </c>
      <c r="BL1" t="str">
        <f>'mk 001 10.3'!BL3</f>
        <v>SYSBATCH</v>
      </c>
      <c r="BM1">
        <f>'mk 001 10.3'!BM3</f>
        <v>0</v>
      </c>
      <c r="BN1">
        <f>'mk 001 10.3'!BN3</f>
        <v>0</v>
      </c>
    </row>
    <row r="2" spans="1:66" x14ac:dyDescent="0.35">
      <c r="A2">
        <f>'mk 001 10.3'!A4</f>
        <v>0</v>
      </c>
      <c r="B2">
        <f>'mk 001 10.3'!B4</f>
        <v>0</v>
      </c>
      <c r="C2" s="1" t="str">
        <f>'mk 001 10.3'!C4</f>
        <v>14/5/2569</v>
      </c>
      <c r="D2" s="1" t="str">
        <f>'mk 001 10.3'!D4</f>
        <v>14/5/2569</v>
      </c>
      <c r="E2">
        <f>'mk 001 10.3'!E4</f>
        <v>0</v>
      </c>
      <c r="F2" t="str">
        <f>'mk 001 10.3'!F4</f>
        <v>489M</v>
      </c>
      <c r="G2" t="str">
        <f>'mk 001 10.3'!G4</f>
        <v>Modern Trade (Makro)</v>
      </c>
      <c r="H2">
        <f>'mk 001 10.3'!H4</f>
        <v>0</v>
      </c>
      <c r="I2" t="str">
        <f>'mk 001 10.3'!I4</f>
        <v>หน่วยงานกลาง</v>
      </c>
      <c r="J2" t="str">
        <f>'mk 001 10.3'!J4</f>
        <v>F213  DMCW-รชล-พระพุทธบาท</v>
      </c>
      <c r="K2" t="str">
        <f>'mk 001 10.3'!K4</f>
        <v>00000  หน่วยงานกลาง</v>
      </c>
      <c r="L2">
        <f>'mk 001 10.3'!L4</f>
        <v>923</v>
      </c>
      <c r="M2">
        <f>'mk 001 10.3'!M4</f>
        <v>0</v>
      </c>
      <c r="Q2" s="13" t="str">
        <f>IF(แปลงข้อมูล!P3,แปลงข้อมูล!H3,"")</f>
        <v/>
      </c>
      <c r="R2" s="1">
        <f>'mk 001 10.3'!R4</f>
        <v>244566</v>
      </c>
      <c r="S2" s="1" t="str">
        <f>'mk 001 10.3'!S4</f>
        <v>14/5/2569</v>
      </c>
      <c r="U2" s="13" t="str">
        <f>IF(แปลงข้อมูล!P3,แปลงข้อมูล!I3,"")</f>
        <v/>
      </c>
      <c r="V2" s="13" t="str">
        <f>IF(แปลงข้อมูล!P3,แปลงข้อมูล!J3,"")</f>
        <v/>
      </c>
      <c r="Y2" s="13" t="str">
        <f>_xlfn.XLOOKUP(V2,'mk 001 10.3'!V:V,'mk 001 10.3'!Y:Y,"")</f>
        <v/>
      </c>
      <c r="Z2" s="13" t="str">
        <f>IF(แปลงข้อมูล!P3,แปลงข้อมูล!N3,"")</f>
        <v/>
      </c>
      <c r="BL2" t="str">
        <f>'mk 001 10.3'!BL4</f>
        <v>SYSBATCH</v>
      </c>
      <c r="BM2">
        <f>'mk 001 10.3'!BM4</f>
        <v>0</v>
      </c>
      <c r="BN2">
        <f>'mk 001 10.3'!BN4</f>
        <v>0</v>
      </c>
    </row>
    <row r="3" spans="1:66" x14ac:dyDescent="0.35">
      <c r="A3">
        <f>'mk 001 10.3'!A5</f>
        <v>0</v>
      </c>
      <c r="B3">
        <f>'mk 001 10.3'!B5</f>
        <v>0</v>
      </c>
      <c r="C3" s="1" t="str">
        <f>'mk 001 10.3'!C5</f>
        <v>14/5/2569</v>
      </c>
      <c r="D3" s="1" t="str">
        <f>'mk 001 10.3'!D5</f>
        <v>14/5/2569</v>
      </c>
      <c r="E3">
        <f>'mk 001 10.3'!E5</f>
        <v>0</v>
      </c>
      <c r="F3" t="str">
        <f>'mk 001 10.3'!F5</f>
        <v>489M</v>
      </c>
      <c r="G3" t="str">
        <f>'mk 001 10.3'!G5</f>
        <v>Modern Trade (Makro)</v>
      </c>
      <c r="H3">
        <f>'mk 001 10.3'!H5</f>
        <v>0</v>
      </c>
      <c r="I3" t="str">
        <f>'mk 001 10.3'!I5</f>
        <v>หน่วยงานกลาง</v>
      </c>
      <c r="J3" t="str">
        <f>'mk 001 10.3'!J5</f>
        <v>F213  DMCW-รชล-พระพุทธบาท</v>
      </c>
      <c r="K3" t="str">
        <f>'mk 001 10.3'!K5</f>
        <v>00000  หน่วยงานกลาง</v>
      </c>
      <c r="L3">
        <f>'mk 001 10.3'!L5</f>
        <v>923</v>
      </c>
      <c r="M3">
        <f>'mk 001 10.3'!M5</f>
        <v>0</v>
      </c>
      <c r="Q3" s="13" t="str">
        <f>IF(แปลงข้อมูล!P4,แปลงข้อมูล!H4,"")</f>
        <v/>
      </c>
      <c r="R3" s="1">
        <f>'mk 001 10.3'!R5</f>
        <v>244566</v>
      </c>
      <c r="S3" s="1" t="str">
        <f>'mk 001 10.3'!S5</f>
        <v>14/5/2569</v>
      </c>
      <c r="U3" s="13" t="str">
        <f>IF(แปลงข้อมูล!P4,แปลงข้อมูล!I4,"")</f>
        <v/>
      </c>
      <c r="V3" s="13" t="str">
        <f>IF(แปลงข้อมูล!P4,แปลงข้อมูล!J4,"")</f>
        <v/>
      </c>
      <c r="Y3" s="13" t="str">
        <f>_xlfn.XLOOKUP(V3,'mk 001 10.3'!V:V,'mk 001 10.3'!Y:Y,"")</f>
        <v/>
      </c>
      <c r="Z3" s="13" t="str">
        <f>IF(แปลงข้อมูล!P4,แปลงข้อมูล!N4,"")</f>
        <v/>
      </c>
      <c r="BL3" t="str">
        <f>'mk 001 10.3'!BL5</f>
        <v>SYSBATCH</v>
      </c>
      <c r="BM3">
        <f>'mk 001 10.3'!BM5</f>
        <v>0</v>
      </c>
      <c r="BN3">
        <f>'mk 001 10.3'!BN5</f>
        <v>0</v>
      </c>
    </row>
    <row r="4" spans="1:66" x14ac:dyDescent="0.35">
      <c r="A4">
        <f>'mk 001 10.3'!A6</f>
        <v>0</v>
      </c>
      <c r="B4">
        <f>'mk 001 10.3'!B6</f>
        <v>0</v>
      </c>
      <c r="C4" s="1" t="str">
        <f>'mk 001 10.3'!C6</f>
        <v>14/5/2569</v>
      </c>
      <c r="D4" s="1" t="str">
        <f>'mk 001 10.3'!D6</f>
        <v>14/5/2569</v>
      </c>
      <c r="E4">
        <f>'mk 001 10.3'!E6</f>
        <v>0</v>
      </c>
      <c r="F4" t="str">
        <f>'mk 001 10.3'!F6</f>
        <v>489M</v>
      </c>
      <c r="G4" t="str">
        <f>'mk 001 10.3'!G6</f>
        <v>Modern Trade (Makro)</v>
      </c>
      <c r="H4">
        <f>'mk 001 10.3'!H6</f>
        <v>0</v>
      </c>
      <c r="I4" t="str">
        <f>'mk 001 10.3'!I6</f>
        <v>หน่วยงานกลาง</v>
      </c>
      <c r="J4" t="str">
        <f>'mk 001 10.3'!J6</f>
        <v>F213  DMCW-รชล-พระพุทธบาท</v>
      </c>
      <c r="K4" t="str">
        <f>'mk 001 10.3'!K6</f>
        <v>00000  หน่วยงานกลาง</v>
      </c>
      <c r="L4">
        <f>'mk 001 10.3'!L6</f>
        <v>923</v>
      </c>
      <c r="M4">
        <f>'mk 001 10.3'!M6</f>
        <v>0</v>
      </c>
      <c r="Q4" s="13" t="str">
        <f>IF(แปลงข้อมูล!P5,แปลงข้อมูล!H5,"")</f>
        <v/>
      </c>
      <c r="R4" s="1">
        <f>'mk 001 10.3'!R6</f>
        <v>244566</v>
      </c>
      <c r="S4" s="1" t="str">
        <f>'mk 001 10.3'!S6</f>
        <v>14/5/2569</v>
      </c>
      <c r="U4" s="13" t="str">
        <f>IF(แปลงข้อมูล!P5,แปลงข้อมูล!I5,"")</f>
        <v/>
      </c>
      <c r="V4" s="13" t="str">
        <f>IF(แปลงข้อมูล!P5,แปลงข้อมูล!J5,"")</f>
        <v/>
      </c>
      <c r="Y4" s="13" t="str">
        <f>_xlfn.XLOOKUP(V4,'mk 001 10.3'!V:V,'mk 001 10.3'!Y:Y,"")</f>
        <v/>
      </c>
      <c r="Z4" s="13" t="str">
        <f>IF(แปลงข้อมูล!P5,แปลงข้อมูล!N5,"")</f>
        <v/>
      </c>
      <c r="BL4" t="str">
        <f>'mk 001 10.3'!BL6</f>
        <v>SYSBATCH</v>
      </c>
      <c r="BM4">
        <f>'mk 001 10.3'!BM6</f>
        <v>0</v>
      </c>
      <c r="BN4">
        <f>'mk 001 10.3'!BN6</f>
        <v>0</v>
      </c>
    </row>
    <row r="5" spans="1:66" x14ac:dyDescent="0.35">
      <c r="A5">
        <f>'mk 001 10.3'!A7</f>
        <v>0</v>
      </c>
      <c r="B5">
        <f>'mk 001 10.3'!B7</f>
        <v>0</v>
      </c>
      <c r="C5" s="1" t="str">
        <f>'mk 001 10.3'!C7</f>
        <v>14/5/2569</v>
      </c>
      <c r="D5" s="1" t="str">
        <f>'mk 001 10.3'!D7</f>
        <v>14/5/2569</v>
      </c>
      <c r="E5">
        <f>'mk 001 10.3'!E7</f>
        <v>0</v>
      </c>
      <c r="F5" t="str">
        <f>'mk 001 10.3'!F7</f>
        <v>489M</v>
      </c>
      <c r="G5" t="str">
        <f>'mk 001 10.3'!G7</f>
        <v>Modern Trade (Makro)</v>
      </c>
      <c r="H5">
        <f>'mk 001 10.3'!H7</f>
        <v>0</v>
      </c>
      <c r="I5" t="str">
        <f>'mk 001 10.3'!I7</f>
        <v>หน่วยงานกลาง</v>
      </c>
      <c r="J5" t="str">
        <f>'mk 001 10.3'!J7</f>
        <v>F213  DMCW-รชล-พระพุทธบาท</v>
      </c>
      <c r="K5" t="str">
        <f>'mk 001 10.3'!K7</f>
        <v>00000  หน่วยงานกลาง</v>
      </c>
      <c r="L5">
        <f>'mk 001 10.3'!L7</f>
        <v>923</v>
      </c>
      <c r="M5">
        <f>'mk 001 10.3'!M7</f>
        <v>0</v>
      </c>
      <c r="Q5" s="13" t="str">
        <f>IF(แปลงข้อมูล!P6,แปลงข้อมูล!H6,"")</f>
        <v/>
      </c>
      <c r="R5" s="1">
        <f>'mk 001 10.3'!R7</f>
        <v>244566</v>
      </c>
      <c r="S5" s="1" t="str">
        <f>'mk 001 10.3'!S7</f>
        <v>14/5/2569</v>
      </c>
      <c r="U5" s="13" t="str">
        <f>IF(แปลงข้อมูล!P6,แปลงข้อมูล!I6,"")</f>
        <v/>
      </c>
      <c r="V5" s="13" t="str">
        <f>IF(แปลงข้อมูล!P6,แปลงข้อมูล!J6,"")</f>
        <v/>
      </c>
      <c r="Y5" s="13" t="str">
        <f>_xlfn.XLOOKUP(V5,'mk 001 10.3'!V:V,'mk 001 10.3'!Y:Y,"")</f>
        <v/>
      </c>
      <c r="Z5" s="13" t="str">
        <f>IF(แปลงข้อมูล!P6,แปลงข้อมูล!N6,"")</f>
        <v/>
      </c>
      <c r="BL5" t="str">
        <f>'mk 001 10.3'!BL7</f>
        <v>SYSBATCH</v>
      </c>
      <c r="BM5">
        <f>'mk 001 10.3'!BM7</f>
        <v>0</v>
      </c>
      <c r="BN5">
        <f>'mk 001 10.3'!BN7</f>
        <v>0</v>
      </c>
    </row>
    <row r="6" spans="1:66" x14ac:dyDescent="0.35">
      <c r="A6">
        <f>'mk 001 10.3'!A8</f>
        <v>0</v>
      </c>
      <c r="B6">
        <f>'mk 001 10.3'!B8</f>
        <v>0</v>
      </c>
      <c r="C6" s="1" t="str">
        <f>'mk 001 10.3'!C8</f>
        <v>14/5/2569</v>
      </c>
      <c r="D6" s="1" t="str">
        <f>'mk 001 10.3'!D8</f>
        <v>14/5/2569</v>
      </c>
      <c r="E6">
        <f>'mk 001 10.3'!E8</f>
        <v>0</v>
      </c>
      <c r="F6" t="str">
        <f>'mk 001 10.3'!F8</f>
        <v>489M</v>
      </c>
      <c r="G6" t="str">
        <f>'mk 001 10.3'!G8</f>
        <v>Modern Trade (Makro)</v>
      </c>
      <c r="H6">
        <f>'mk 001 10.3'!H8</f>
        <v>0</v>
      </c>
      <c r="I6" t="str">
        <f>'mk 001 10.3'!I8</f>
        <v>หน่วยงานกลาง</v>
      </c>
      <c r="J6" t="str">
        <f>'mk 001 10.3'!J8</f>
        <v>F213  DMCW-รชล-พระพุทธบาท</v>
      </c>
      <c r="K6" t="str">
        <f>'mk 001 10.3'!K8</f>
        <v>00000  หน่วยงานกลาง</v>
      </c>
      <c r="L6">
        <f>'mk 001 10.3'!L8</f>
        <v>923</v>
      </c>
      <c r="M6">
        <f>'mk 001 10.3'!M8</f>
        <v>0</v>
      </c>
      <c r="Q6" s="13" t="str">
        <f>IF(แปลงข้อมูล!P7,แปลงข้อมูล!H7,"")</f>
        <v/>
      </c>
      <c r="R6" s="1">
        <f>'mk 001 10.3'!R8</f>
        <v>244566</v>
      </c>
      <c r="S6" s="1" t="str">
        <f>'mk 001 10.3'!S8</f>
        <v>14/5/2569</v>
      </c>
      <c r="U6" s="13" t="str">
        <f>IF(แปลงข้อมูล!P7,แปลงข้อมูล!I7,"")</f>
        <v/>
      </c>
      <c r="V6" s="13" t="str">
        <f>IF(แปลงข้อมูล!P7,แปลงข้อมูล!J7,"")</f>
        <v/>
      </c>
      <c r="Y6" s="13" t="str">
        <f>_xlfn.XLOOKUP(V6,'mk 001 10.3'!V:V,'mk 001 10.3'!Y:Y,"")</f>
        <v/>
      </c>
      <c r="Z6" s="13" t="str">
        <f>IF(แปลงข้อมูล!P7,แปลงข้อมูล!N7,"")</f>
        <v/>
      </c>
      <c r="BL6" t="str">
        <f>'mk 001 10.3'!BL8</f>
        <v>SYSBATCH</v>
      </c>
      <c r="BM6">
        <f>'mk 001 10.3'!BM8</f>
        <v>0</v>
      </c>
      <c r="BN6">
        <f>'mk 001 10.3'!BN8</f>
        <v>0</v>
      </c>
    </row>
    <row r="7" spans="1:66" x14ac:dyDescent="0.35">
      <c r="A7">
        <f>'mk 001 10.3'!A9</f>
        <v>0</v>
      </c>
      <c r="B7">
        <f>'mk 001 10.3'!B9</f>
        <v>0</v>
      </c>
      <c r="C7" s="1" t="str">
        <f>'mk 001 10.3'!C9</f>
        <v>14/5/2569</v>
      </c>
      <c r="D7" s="1" t="str">
        <f>'mk 001 10.3'!D9</f>
        <v>14/5/2569</v>
      </c>
      <c r="E7">
        <f>'mk 001 10.3'!E9</f>
        <v>0</v>
      </c>
      <c r="F7" t="str">
        <f>'mk 001 10.3'!F9</f>
        <v>489M</v>
      </c>
      <c r="G7" t="str">
        <f>'mk 001 10.3'!G9</f>
        <v>Modern Trade (Makro)</v>
      </c>
      <c r="H7">
        <f>'mk 001 10.3'!H9</f>
        <v>0</v>
      </c>
      <c r="I7" t="str">
        <f>'mk 001 10.3'!I9</f>
        <v>หน่วยงานกลาง</v>
      </c>
      <c r="J7" t="str">
        <f>'mk 001 10.3'!J9</f>
        <v>F213  DMCW-รชล-พระพุทธบาท</v>
      </c>
      <c r="K7" t="str">
        <f>'mk 001 10.3'!K9</f>
        <v>00000  หน่วยงานกลาง</v>
      </c>
      <c r="L7">
        <f>'mk 001 10.3'!L9</f>
        <v>923</v>
      </c>
      <c r="M7">
        <f>'mk 001 10.3'!M9</f>
        <v>0</v>
      </c>
      <c r="Q7" s="13" t="str">
        <f>IF(แปลงข้อมูล!P8,แปลงข้อมูล!H8,"")</f>
        <v/>
      </c>
      <c r="R7" s="1">
        <f>'mk 001 10.3'!R9</f>
        <v>244566</v>
      </c>
      <c r="S7" s="1" t="str">
        <f>'mk 001 10.3'!S9</f>
        <v>14/5/2569</v>
      </c>
      <c r="U7" s="13" t="str">
        <f>IF(แปลงข้อมูล!P8,แปลงข้อมูล!I8,"")</f>
        <v/>
      </c>
      <c r="V7" s="13" t="str">
        <f>IF(แปลงข้อมูล!P8,แปลงข้อมูล!J8,"")</f>
        <v/>
      </c>
      <c r="Y7" s="13" t="str">
        <f>_xlfn.XLOOKUP(V7,'mk 001 10.3'!V:V,'mk 001 10.3'!Y:Y,"")</f>
        <v/>
      </c>
      <c r="Z7" s="13" t="str">
        <f>IF(แปลงข้อมูล!P8,แปลงข้อมูล!N8,"")</f>
        <v/>
      </c>
      <c r="BL7" t="str">
        <f>'mk 001 10.3'!BL9</f>
        <v>SYSBATCH</v>
      </c>
      <c r="BM7">
        <f>'mk 001 10.3'!BM9</f>
        <v>0</v>
      </c>
      <c r="BN7">
        <f>'mk 001 10.3'!BN9</f>
        <v>0</v>
      </c>
    </row>
    <row r="8" spans="1:66" x14ac:dyDescent="0.35">
      <c r="A8">
        <f>'mk 001 10.3'!A10</f>
        <v>0</v>
      </c>
      <c r="B8">
        <f>'mk 001 10.3'!B10</f>
        <v>0</v>
      </c>
      <c r="C8" s="1" t="str">
        <f>'mk 001 10.3'!C10</f>
        <v>14/5/2569</v>
      </c>
      <c r="D8" s="1" t="str">
        <f>'mk 001 10.3'!D10</f>
        <v>14/5/2569</v>
      </c>
      <c r="E8">
        <f>'mk 001 10.3'!E10</f>
        <v>0</v>
      </c>
      <c r="F8" t="str">
        <f>'mk 001 10.3'!F10</f>
        <v>489M</v>
      </c>
      <c r="G8" t="str">
        <f>'mk 001 10.3'!G10</f>
        <v>Modern Trade (Makro)</v>
      </c>
      <c r="H8">
        <f>'mk 001 10.3'!H10</f>
        <v>0</v>
      </c>
      <c r="I8" t="str">
        <f>'mk 001 10.3'!I10</f>
        <v>หน่วยงานกลาง</v>
      </c>
      <c r="J8" t="str">
        <f>'mk 001 10.3'!J10</f>
        <v>F213  DMCW-รชล-พระพุทธบาท</v>
      </c>
      <c r="K8" t="str">
        <f>'mk 001 10.3'!K10</f>
        <v>00000  หน่วยงานกลาง</v>
      </c>
      <c r="L8">
        <f>'mk 001 10.3'!L10</f>
        <v>923</v>
      </c>
      <c r="M8">
        <f>'mk 001 10.3'!M10</f>
        <v>0</v>
      </c>
      <c r="Q8" s="13" t="str">
        <f>IF(แปลงข้อมูล!P9,แปลงข้อมูล!H9,"")</f>
        <v/>
      </c>
      <c r="R8" s="1">
        <f>'mk 001 10.3'!R10</f>
        <v>244566</v>
      </c>
      <c r="S8" s="1" t="str">
        <f>'mk 001 10.3'!S10</f>
        <v>14/5/2569</v>
      </c>
      <c r="U8" s="13" t="str">
        <f>IF(แปลงข้อมูล!P9,แปลงข้อมูล!I9,"")</f>
        <v/>
      </c>
      <c r="V8" s="13" t="str">
        <f>IF(แปลงข้อมูล!P9,แปลงข้อมูล!J9,"")</f>
        <v/>
      </c>
      <c r="Y8" s="13" t="str">
        <f>_xlfn.XLOOKUP(V8,'mk 001 10.3'!V:V,'mk 001 10.3'!Y:Y,"")</f>
        <v/>
      </c>
      <c r="Z8" s="13" t="str">
        <f>IF(แปลงข้อมูล!P9,แปลงข้อมูล!N9,"")</f>
        <v/>
      </c>
      <c r="BL8" t="str">
        <f>'mk 001 10.3'!BL10</f>
        <v>SYSBATCH</v>
      </c>
      <c r="BM8">
        <f>'mk 001 10.3'!BM10</f>
        <v>0</v>
      </c>
      <c r="BN8">
        <f>'mk 001 10.3'!BN10</f>
        <v>0</v>
      </c>
    </row>
    <row r="9" spans="1:66" x14ac:dyDescent="0.35">
      <c r="A9">
        <f>'mk 001 10.3'!A11</f>
        <v>0</v>
      </c>
      <c r="B9">
        <f>'mk 001 10.3'!B11</f>
        <v>0</v>
      </c>
      <c r="C9" s="1" t="str">
        <f>'mk 001 10.3'!C11</f>
        <v>14/5/2569</v>
      </c>
      <c r="D9" s="1" t="str">
        <f>'mk 001 10.3'!D11</f>
        <v>14/5/2569</v>
      </c>
      <c r="E9">
        <f>'mk 001 10.3'!E11</f>
        <v>0</v>
      </c>
      <c r="F9" t="str">
        <f>'mk 001 10.3'!F11</f>
        <v>489M</v>
      </c>
      <c r="G9" t="str">
        <f>'mk 001 10.3'!G11</f>
        <v>Modern Trade (Makro)</v>
      </c>
      <c r="H9">
        <f>'mk 001 10.3'!H11</f>
        <v>0</v>
      </c>
      <c r="I9" t="str">
        <f>'mk 001 10.3'!I11</f>
        <v>หน่วยงานกลาง</v>
      </c>
      <c r="J9" t="str">
        <f>'mk 001 10.3'!J11</f>
        <v>F213  DMCW-รชล-พระพุทธบาท</v>
      </c>
      <c r="K9" t="str">
        <f>'mk 001 10.3'!K11</f>
        <v>00000  หน่วยงานกลาง</v>
      </c>
      <c r="L9">
        <f>'mk 001 10.3'!L11</f>
        <v>923</v>
      </c>
      <c r="M9">
        <f>'mk 001 10.3'!M11</f>
        <v>0</v>
      </c>
      <c r="Q9" s="13" t="str">
        <f>IF(แปลงข้อมูล!P10,แปลงข้อมูล!H10,"")</f>
        <v/>
      </c>
      <c r="R9" s="1">
        <f>'mk 001 10.3'!R11</f>
        <v>244566</v>
      </c>
      <c r="S9" s="1" t="str">
        <f>'mk 001 10.3'!S11</f>
        <v>14/5/2569</v>
      </c>
      <c r="U9" s="13" t="str">
        <f>IF(แปลงข้อมูล!P10,แปลงข้อมูล!I10,"")</f>
        <v/>
      </c>
      <c r="V9" s="13" t="str">
        <f>IF(แปลงข้อมูล!P10,แปลงข้อมูล!J10,"")</f>
        <v/>
      </c>
      <c r="Y9" s="13" t="str">
        <f>_xlfn.XLOOKUP(V9,'mk 001 10.3'!V:V,'mk 001 10.3'!Y:Y,"")</f>
        <v/>
      </c>
      <c r="Z9" s="13" t="str">
        <f>IF(แปลงข้อมูล!P10,แปลงข้อมูล!N10,"")</f>
        <v/>
      </c>
      <c r="BL9" t="str">
        <f>'mk 001 10.3'!BL11</f>
        <v>SYSBATCH</v>
      </c>
      <c r="BM9">
        <f>'mk 001 10.3'!BM11</f>
        <v>0</v>
      </c>
      <c r="BN9">
        <f>'mk 001 10.3'!BN11</f>
        <v>0</v>
      </c>
    </row>
    <row r="10" spans="1:66" x14ac:dyDescent="0.35">
      <c r="A10">
        <f>'mk 001 10.3'!A12</f>
        <v>0</v>
      </c>
      <c r="B10">
        <f>'mk 001 10.3'!B12</f>
        <v>0</v>
      </c>
      <c r="C10" s="1" t="str">
        <f>'mk 001 10.3'!C12</f>
        <v>14/5/2569</v>
      </c>
      <c r="D10" s="1" t="str">
        <f>'mk 001 10.3'!D12</f>
        <v>14/5/2569</v>
      </c>
      <c r="E10">
        <f>'mk 001 10.3'!E12</f>
        <v>0</v>
      </c>
      <c r="F10" t="str">
        <f>'mk 001 10.3'!F12</f>
        <v>489M</v>
      </c>
      <c r="G10" t="str">
        <f>'mk 001 10.3'!G12</f>
        <v>Modern Trade (Makro)</v>
      </c>
      <c r="H10">
        <f>'mk 001 10.3'!H12</f>
        <v>0</v>
      </c>
      <c r="I10" t="str">
        <f>'mk 001 10.3'!I12</f>
        <v>หน่วยงานกลาง</v>
      </c>
      <c r="J10" t="str">
        <f>'mk 001 10.3'!J12</f>
        <v>F213  DMCW-รชล-พระพุทธบาท</v>
      </c>
      <c r="K10" t="str">
        <f>'mk 001 10.3'!K12</f>
        <v>00000  หน่วยงานกลาง</v>
      </c>
      <c r="L10">
        <f>'mk 001 10.3'!L12</f>
        <v>923</v>
      </c>
      <c r="M10">
        <f>'mk 001 10.3'!M12</f>
        <v>0</v>
      </c>
      <c r="Q10" s="13" t="str">
        <f>IF(แปลงข้อมูล!P11,แปลงข้อมูล!H11,"")</f>
        <v/>
      </c>
      <c r="R10" s="1">
        <f>'mk 001 10.3'!R12</f>
        <v>244566</v>
      </c>
      <c r="S10" s="1" t="str">
        <f>'mk 001 10.3'!S12</f>
        <v>14/5/2569</v>
      </c>
      <c r="U10" s="13" t="str">
        <f>IF(แปลงข้อมูล!P11,แปลงข้อมูล!I11,"")</f>
        <v/>
      </c>
      <c r="V10" s="13" t="str">
        <f>IF(แปลงข้อมูล!P11,แปลงข้อมูล!J11,"")</f>
        <v/>
      </c>
      <c r="Y10" s="13" t="str">
        <f>_xlfn.XLOOKUP(V10,'mk 001 10.3'!V:V,'mk 001 10.3'!Y:Y,"")</f>
        <v/>
      </c>
      <c r="Z10" s="13" t="str">
        <f>IF(แปลงข้อมูล!P11,แปลงข้อมูล!N11,"")</f>
        <v/>
      </c>
      <c r="BL10" t="str">
        <f>'mk 001 10.3'!BL12</f>
        <v>SYSBATCH</v>
      </c>
      <c r="BM10">
        <f>'mk 001 10.3'!BM12</f>
        <v>0</v>
      </c>
      <c r="BN10">
        <f>'mk 001 10.3'!BN12</f>
        <v>0</v>
      </c>
    </row>
    <row r="11" spans="1:66" x14ac:dyDescent="0.35">
      <c r="A11">
        <f>'mk 001 10.3'!A13</f>
        <v>0</v>
      </c>
      <c r="B11">
        <f>'mk 001 10.3'!B13</f>
        <v>0</v>
      </c>
      <c r="C11" s="1" t="str">
        <f>'mk 001 10.3'!C13</f>
        <v>14/5/2569</v>
      </c>
      <c r="D11" s="1" t="str">
        <f>'mk 001 10.3'!D13</f>
        <v>14/5/2569</v>
      </c>
      <c r="E11">
        <f>'mk 001 10.3'!E13</f>
        <v>0</v>
      </c>
      <c r="F11" t="str">
        <f>'mk 001 10.3'!F13</f>
        <v>489M</v>
      </c>
      <c r="G11" t="str">
        <f>'mk 001 10.3'!G13</f>
        <v>Modern Trade (Makro)</v>
      </c>
      <c r="H11">
        <f>'mk 001 10.3'!H13</f>
        <v>0</v>
      </c>
      <c r="I11" t="str">
        <f>'mk 001 10.3'!I13</f>
        <v>หน่วยงานกลาง</v>
      </c>
      <c r="J11" t="str">
        <f>'mk 001 10.3'!J13</f>
        <v>F213  DMCW-รชล-พระพุทธบาท</v>
      </c>
      <c r="K11" t="str">
        <f>'mk 001 10.3'!K13</f>
        <v>00000  หน่วยงานกลาง</v>
      </c>
      <c r="L11">
        <f>'mk 001 10.3'!L13</f>
        <v>923</v>
      </c>
      <c r="M11">
        <f>'mk 001 10.3'!M13</f>
        <v>0</v>
      </c>
      <c r="Q11" s="13" t="str">
        <f>IF(แปลงข้อมูล!P12,แปลงข้อมูล!H12,"")</f>
        <v/>
      </c>
      <c r="R11" s="1">
        <f>'mk 001 10.3'!R13</f>
        <v>244566</v>
      </c>
      <c r="S11" s="1" t="str">
        <f>'mk 001 10.3'!S13</f>
        <v>14/5/2569</v>
      </c>
      <c r="U11" s="13" t="str">
        <f>IF(แปลงข้อมูล!P12,แปลงข้อมูล!I12,"")</f>
        <v/>
      </c>
      <c r="V11" s="13" t="str">
        <f>IF(แปลงข้อมูล!P12,แปลงข้อมูล!J12,"")</f>
        <v/>
      </c>
      <c r="Y11" s="13" t="str">
        <f>_xlfn.XLOOKUP(V11,'mk 001 10.3'!V:V,'mk 001 10.3'!Y:Y,"")</f>
        <v/>
      </c>
      <c r="Z11" s="13" t="str">
        <f>IF(แปลงข้อมูล!P12,แปลงข้อมูล!N12,"")</f>
        <v/>
      </c>
      <c r="BL11" t="str">
        <f>'mk 001 10.3'!BL13</f>
        <v>SYSBATCH</v>
      </c>
      <c r="BM11">
        <f>'mk 001 10.3'!BM13</f>
        <v>0</v>
      </c>
      <c r="BN11">
        <f>'mk 001 10.3'!BN13</f>
        <v>0</v>
      </c>
    </row>
    <row r="12" spans="1:66" x14ac:dyDescent="0.35">
      <c r="A12">
        <f>'mk 001 10.3'!A14</f>
        <v>0</v>
      </c>
      <c r="B12">
        <f>'mk 001 10.3'!B14</f>
        <v>0</v>
      </c>
      <c r="C12" s="1" t="str">
        <f>'mk 001 10.3'!C14</f>
        <v>14/5/2569</v>
      </c>
      <c r="D12" s="1" t="str">
        <f>'mk 001 10.3'!D14</f>
        <v>14/5/2569</v>
      </c>
      <c r="E12">
        <f>'mk 001 10.3'!E14</f>
        <v>0</v>
      </c>
      <c r="F12" t="str">
        <f>'mk 001 10.3'!F14</f>
        <v>489M</v>
      </c>
      <c r="G12" t="str">
        <f>'mk 001 10.3'!G14</f>
        <v>Modern Trade (Makro)</v>
      </c>
      <c r="H12">
        <f>'mk 001 10.3'!H14</f>
        <v>0</v>
      </c>
      <c r="I12" t="str">
        <f>'mk 001 10.3'!I14</f>
        <v>หน่วยงานกลาง</v>
      </c>
      <c r="J12" t="str">
        <f>'mk 001 10.3'!J14</f>
        <v>F213  DMCW-รชล-พระพุทธบาท</v>
      </c>
      <c r="K12" t="str">
        <f>'mk 001 10.3'!K14</f>
        <v>00000  หน่วยงานกลาง</v>
      </c>
      <c r="L12">
        <f>'mk 001 10.3'!L14</f>
        <v>923</v>
      </c>
      <c r="M12">
        <f>'mk 001 10.3'!M14</f>
        <v>0</v>
      </c>
      <c r="Q12" s="13" t="str">
        <f>IF(แปลงข้อมูล!P13,แปลงข้อมูล!H13,"")</f>
        <v/>
      </c>
      <c r="R12" s="1">
        <f>'mk 001 10.3'!R14</f>
        <v>244566</v>
      </c>
      <c r="S12" s="1" t="str">
        <f>'mk 001 10.3'!S14</f>
        <v>14/5/2569</v>
      </c>
      <c r="U12" s="13" t="str">
        <f>IF(แปลงข้อมูล!P13,แปลงข้อมูล!I13,"")</f>
        <v/>
      </c>
      <c r="V12" s="13" t="str">
        <f>IF(แปลงข้อมูล!P13,แปลงข้อมูล!J13,"")</f>
        <v/>
      </c>
      <c r="Y12" s="13" t="str">
        <f>_xlfn.XLOOKUP(V12,'mk 001 10.3'!V:V,'mk 001 10.3'!Y:Y,"")</f>
        <v/>
      </c>
      <c r="Z12" s="13" t="str">
        <f>IF(แปลงข้อมูล!P13,แปลงข้อมูล!N13,"")</f>
        <v/>
      </c>
      <c r="BL12" t="str">
        <f>'mk 001 10.3'!BL14</f>
        <v>SYSBATCH</v>
      </c>
      <c r="BM12">
        <f>'mk 001 10.3'!BM14</f>
        <v>0</v>
      </c>
      <c r="BN12">
        <f>'mk 001 10.3'!BN14</f>
        <v>0</v>
      </c>
    </row>
    <row r="13" spans="1:66" x14ac:dyDescent="0.35">
      <c r="A13">
        <f>'mk 001 10.3'!A15</f>
        <v>0</v>
      </c>
      <c r="B13">
        <f>'mk 001 10.3'!B15</f>
        <v>0</v>
      </c>
      <c r="C13" s="1" t="str">
        <f>'mk 001 10.3'!C15</f>
        <v>14/5/2569</v>
      </c>
      <c r="D13" s="1" t="str">
        <f>'mk 001 10.3'!D15</f>
        <v>14/5/2569</v>
      </c>
      <c r="E13">
        <f>'mk 001 10.3'!E15</f>
        <v>0</v>
      </c>
      <c r="F13" t="str">
        <f>'mk 001 10.3'!F15</f>
        <v>489M</v>
      </c>
      <c r="G13" t="str">
        <f>'mk 001 10.3'!G15</f>
        <v>Modern Trade (Makro)</v>
      </c>
      <c r="H13">
        <f>'mk 001 10.3'!H15</f>
        <v>0</v>
      </c>
      <c r="I13" t="str">
        <f>'mk 001 10.3'!I15</f>
        <v>หน่วยงานกลาง</v>
      </c>
      <c r="J13" t="str">
        <f>'mk 001 10.3'!J15</f>
        <v>F213  DMCW-รชล-พระพุทธบาท</v>
      </c>
      <c r="K13" t="str">
        <f>'mk 001 10.3'!K15</f>
        <v>00000  หน่วยงานกลาง</v>
      </c>
      <c r="L13">
        <f>'mk 001 10.3'!L15</f>
        <v>923</v>
      </c>
      <c r="M13">
        <f>'mk 001 10.3'!M15</f>
        <v>0</v>
      </c>
      <c r="Q13" s="13" t="str">
        <f>IF(แปลงข้อมูล!P14,แปลงข้อมูล!H14,"")</f>
        <v/>
      </c>
      <c r="R13" s="1">
        <f>'mk 001 10.3'!R15</f>
        <v>244566</v>
      </c>
      <c r="S13" s="1" t="str">
        <f>'mk 001 10.3'!S15</f>
        <v>14/5/2569</v>
      </c>
      <c r="U13" s="13" t="str">
        <f>IF(แปลงข้อมูล!P14,แปลงข้อมูล!I14,"")</f>
        <v/>
      </c>
      <c r="V13" s="13" t="str">
        <f>IF(แปลงข้อมูล!P14,แปลงข้อมูล!J14,"")</f>
        <v/>
      </c>
      <c r="Y13" s="13" t="str">
        <f>_xlfn.XLOOKUP(V13,'mk 001 10.3'!V:V,'mk 001 10.3'!Y:Y,"")</f>
        <v/>
      </c>
      <c r="Z13" s="13" t="str">
        <f>IF(แปลงข้อมูล!P14,แปลงข้อมูล!N14,"")</f>
        <v/>
      </c>
      <c r="BL13" t="str">
        <f>'mk 001 10.3'!BL15</f>
        <v>SYSBATCH</v>
      </c>
      <c r="BM13">
        <f>'mk 001 10.3'!BM15</f>
        <v>0</v>
      </c>
      <c r="BN13">
        <f>'mk 001 10.3'!BN15</f>
        <v>0</v>
      </c>
    </row>
    <row r="14" spans="1:66" x14ac:dyDescent="0.35">
      <c r="A14">
        <f>'mk 001 10.3'!A16</f>
        <v>0</v>
      </c>
      <c r="B14">
        <f>'mk 001 10.3'!B16</f>
        <v>0</v>
      </c>
      <c r="C14" s="1" t="str">
        <f>'mk 001 10.3'!C16</f>
        <v>14/5/2569</v>
      </c>
      <c r="D14" s="1" t="str">
        <f>'mk 001 10.3'!D16</f>
        <v>14/5/2569</v>
      </c>
      <c r="E14">
        <f>'mk 001 10.3'!E16</f>
        <v>0</v>
      </c>
      <c r="F14" t="str">
        <f>'mk 001 10.3'!F16</f>
        <v>489M</v>
      </c>
      <c r="G14" t="str">
        <f>'mk 001 10.3'!G16</f>
        <v>Modern Trade (Makro)</v>
      </c>
      <c r="H14">
        <f>'mk 001 10.3'!H16</f>
        <v>0</v>
      </c>
      <c r="I14" t="str">
        <f>'mk 001 10.3'!I16</f>
        <v>หน่วยงานกลาง</v>
      </c>
      <c r="J14" t="str">
        <f>'mk 001 10.3'!J16</f>
        <v>F213  DMCW-รชล-พระพุทธบาท</v>
      </c>
      <c r="K14" t="str">
        <f>'mk 001 10.3'!K16</f>
        <v>00000  หน่วยงานกลาง</v>
      </c>
      <c r="L14">
        <f>'mk 001 10.3'!L16</f>
        <v>923</v>
      </c>
      <c r="M14">
        <f>'mk 001 10.3'!M16</f>
        <v>0</v>
      </c>
      <c r="Q14" s="13" t="str">
        <f>IF(แปลงข้อมูล!P15,แปลงข้อมูล!H15,"")</f>
        <v/>
      </c>
      <c r="R14" s="1">
        <f>'mk 001 10.3'!R16</f>
        <v>244566</v>
      </c>
      <c r="S14" s="1" t="str">
        <f>'mk 001 10.3'!S16</f>
        <v>14/5/2569</v>
      </c>
      <c r="U14" s="13" t="str">
        <f>IF(แปลงข้อมูล!P15,แปลงข้อมูล!I15,"")</f>
        <v/>
      </c>
      <c r="V14" s="13" t="str">
        <f>IF(แปลงข้อมูล!P15,แปลงข้อมูล!J15,"")</f>
        <v/>
      </c>
      <c r="Y14" s="13" t="str">
        <f>_xlfn.XLOOKUP(V14,'mk 001 10.3'!V:V,'mk 001 10.3'!Y:Y,"")</f>
        <v/>
      </c>
      <c r="Z14" s="13" t="str">
        <f>IF(แปลงข้อมูล!P15,แปลงข้อมูล!N15,"")</f>
        <v/>
      </c>
      <c r="BL14" t="str">
        <f>'mk 001 10.3'!BL16</f>
        <v>SYSBATCH</v>
      </c>
      <c r="BM14">
        <f>'mk 001 10.3'!BM16</f>
        <v>0</v>
      </c>
      <c r="BN14">
        <f>'mk 001 10.3'!BN16</f>
        <v>0</v>
      </c>
    </row>
    <row r="15" spans="1:66" x14ac:dyDescent="0.35">
      <c r="A15">
        <f>'mk 001 10.3'!A17</f>
        <v>0</v>
      </c>
      <c r="B15">
        <f>'mk 001 10.3'!B17</f>
        <v>0</v>
      </c>
      <c r="C15" s="1" t="str">
        <f>'mk 001 10.3'!C17</f>
        <v>14/5/2569</v>
      </c>
      <c r="D15" s="1" t="str">
        <f>'mk 001 10.3'!D17</f>
        <v>14/5/2569</v>
      </c>
      <c r="E15">
        <f>'mk 001 10.3'!E17</f>
        <v>0</v>
      </c>
      <c r="F15" t="str">
        <f>'mk 001 10.3'!F17</f>
        <v>489M</v>
      </c>
      <c r="G15" t="str">
        <f>'mk 001 10.3'!G17</f>
        <v>Modern Trade (Makro)</v>
      </c>
      <c r="H15">
        <f>'mk 001 10.3'!H17</f>
        <v>0</v>
      </c>
      <c r="I15" t="str">
        <f>'mk 001 10.3'!I17</f>
        <v>หน่วยงานกลาง</v>
      </c>
      <c r="J15" t="str">
        <f>'mk 001 10.3'!J17</f>
        <v>F213  DMCW-รชล-พระพุทธบาท</v>
      </c>
      <c r="K15" t="str">
        <f>'mk 001 10.3'!K17</f>
        <v>00000  หน่วยงานกลาง</v>
      </c>
      <c r="L15">
        <f>'mk 001 10.3'!L17</f>
        <v>923</v>
      </c>
      <c r="M15">
        <f>'mk 001 10.3'!M17</f>
        <v>0</v>
      </c>
      <c r="Q15" s="13" t="str">
        <f>IF(แปลงข้อมูล!P16,แปลงข้อมูล!H16,"")</f>
        <v/>
      </c>
      <c r="R15" s="1">
        <f>'mk 001 10.3'!R17</f>
        <v>244566</v>
      </c>
      <c r="S15" s="1" t="str">
        <f>'mk 001 10.3'!S17</f>
        <v>14/5/2569</v>
      </c>
      <c r="U15" s="13" t="str">
        <f>IF(แปลงข้อมูล!P16,แปลงข้อมูล!I16,"")</f>
        <v/>
      </c>
      <c r="V15" s="13" t="str">
        <f>IF(แปลงข้อมูล!P16,แปลงข้อมูล!J16,"")</f>
        <v/>
      </c>
      <c r="Y15" s="13" t="str">
        <f>_xlfn.XLOOKUP(V15,'mk 001 10.3'!V:V,'mk 001 10.3'!Y:Y,"")</f>
        <v/>
      </c>
      <c r="Z15" s="13" t="str">
        <f>IF(แปลงข้อมูล!P16,แปลงข้อมูล!N16,"")</f>
        <v/>
      </c>
      <c r="BL15" t="str">
        <f>'mk 001 10.3'!BL17</f>
        <v>SYSBATCH</v>
      </c>
      <c r="BM15">
        <f>'mk 001 10.3'!BM17</f>
        <v>0</v>
      </c>
      <c r="BN15">
        <f>'mk 001 10.3'!BN17</f>
        <v>0</v>
      </c>
    </row>
    <row r="16" spans="1:66" x14ac:dyDescent="0.35">
      <c r="A16">
        <f>'mk 001 10.3'!A18</f>
        <v>0</v>
      </c>
      <c r="B16">
        <f>'mk 001 10.3'!B18</f>
        <v>0</v>
      </c>
      <c r="C16" s="1" t="str">
        <f>'mk 001 10.3'!C18</f>
        <v>14/5/2569</v>
      </c>
      <c r="D16" s="1" t="str">
        <f>'mk 001 10.3'!D18</f>
        <v>14/5/2569</v>
      </c>
      <c r="E16">
        <f>'mk 001 10.3'!E18</f>
        <v>0</v>
      </c>
      <c r="F16" t="str">
        <f>'mk 001 10.3'!F18</f>
        <v>489M</v>
      </c>
      <c r="G16" t="str">
        <f>'mk 001 10.3'!G18</f>
        <v>Modern Trade (Makro)</v>
      </c>
      <c r="H16">
        <f>'mk 001 10.3'!H18</f>
        <v>0</v>
      </c>
      <c r="I16" t="str">
        <f>'mk 001 10.3'!I18</f>
        <v>หน่วยงานกลาง</v>
      </c>
      <c r="J16" t="str">
        <f>'mk 001 10.3'!J18</f>
        <v>F213  DMCW-รชล-พระพุทธบาท</v>
      </c>
      <c r="K16" t="str">
        <f>'mk 001 10.3'!K18</f>
        <v>00000  หน่วยงานกลาง</v>
      </c>
      <c r="L16">
        <f>'mk 001 10.3'!L18</f>
        <v>923</v>
      </c>
      <c r="M16">
        <f>'mk 001 10.3'!M18</f>
        <v>0</v>
      </c>
      <c r="Q16" s="13" t="str">
        <f>IF(แปลงข้อมูล!P17,แปลงข้อมูล!H17,"")</f>
        <v/>
      </c>
      <c r="R16" s="1">
        <f>'mk 001 10.3'!R18</f>
        <v>244566</v>
      </c>
      <c r="S16" s="1" t="str">
        <f>'mk 001 10.3'!S18</f>
        <v>14/5/2569</v>
      </c>
      <c r="U16" s="13" t="str">
        <f>IF(แปลงข้อมูล!P17,แปลงข้อมูล!I17,"")</f>
        <v/>
      </c>
      <c r="V16" s="13" t="str">
        <f>IF(แปลงข้อมูล!P17,แปลงข้อมูล!J17,"")</f>
        <v/>
      </c>
      <c r="Y16" s="13" t="str">
        <f>_xlfn.XLOOKUP(V16,'mk 001 10.3'!V:V,'mk 001 10.3'!Y:Y,"")</f>
        <v/>
      </c>
      <c r="Z16" s="13" t="str">
        <f>IF(แปลงข้อมูล!P17,แปลงข้อมูล!N17,"")</f>
        <v/>
      </c>
      <c r="BL16" t="str">
        <f>'mk 001 10.3'!BL18</f>
        <v>SYSBATCH</v>
      </c>
      <c r="BM16">
        <f>'mk 001 10.3'!BM18</f>
        <v>0</v>
      </c>
      <c r="BN16">
        <f>'mk 001 10.3'!BN18</f>
        <v>0</v>
      </c>
    </row>
    <row r="17" spans="1:66" x14ac:dyDescent="0.35">
      <c r="A17">
        <f>'mk 001 10.3'!A19</f>
        <v>0</v>
      </c>
      <c r="B17">
        <f>'mk 001 10.3'!B19</f>
        <v>0</v>
      </c>
      <c r="C17" s="1" t="str">
        <f>'mk 001 10.3'!C19</f>
        <v>14/5/2569</v>
      </c>
      <c r="D17" s="1" t="str">
        <f>'mk 001 10.3'!D19</f>
        <v>14/5/2569</v>
      </c>
      <c r="E17">
        <f>'mk 001 10.3'!E19</f>
        <v>0</v>
      </c>
      <c r="F17" t="str">
        <f>'mk 001 10.3'!F19</f>
        <v>489M</v>
      </c>
      <c r="G17" t="str">
        <f>'mk 001 10.3'!G19</f>
        <v>Modern Trade (Makro)</v>
      </c>
      <c r="H17">
        <f>'mk 001 10.3'!H19</f>
        <v>0</v>
      </c>
      <c r="I17" t="str">
        <f>'mk 001 10.3'!I19</f>
        <v>หน่วยงานกลาง</v>
      </c>
      <c r="J17" t="str">
        <f>'mk 001 10.3'!J19</f>
        <v>F213  DMCW-รชล-พระพุทธบาท</v>
      </c>
      <c r="K17" t="str">
        <f>'mk 001 10.3'!K19</f>
        <v>00000  หน่วยงานกลาง</v>
      </c>
      <c r="L17">
        <f>'mk 001 10.3'!L19</f>
        <v>923</v>
      </c>
      <c r="M17">
        <f>'mk 001 10.3'!M19</f>
        <v>0</v>
      </c>
      <c r="Q17" s="13" t="str">
        <f>IF(แปลงข้อมูล!P18,แปลงข้อมูล!H18,"")</f>
        <v/>
      </c>
      <c r="R17" s="1">
        <f>'mk 001 10.3'!R19</f>
        <v>244566</v>
      </c>
      <c r="S17" s="1" t="str">
        <f>'mk 001 10.3'!S19</f>
        <v>14/5/2569</v>
      </c>
      <c r="U17" s="13" t="str">
        <f>IF(แปลงข้อมูล!P18,แปลงข้อมูล!I18,"")</f>
        <v/>
      </c>
      <c r="V17" s="13" t="str">
        <f>IF(แปลงข้อมูล!P18,แปลงข้อมูล!J18,"")</f>
        <v/>
      </c>
      <c r="Y17" s="13" t="str">
        <f>_xlfn.XLOOKUP(V17,'mk 001 10.3'!V:V,'mk 001 10.3'!Y:Y,"")</f>
        <v/>
      </c>
      <c r="Z17" s="13" t="str">
        <f>IF(แปลงข้อมูล!P18,แปลงข้อมูล!N18,"")</f>
        <v/>
      </c>
      <c r="BL17" t="str">
        <f>'mk 001 10.3'!BL19</f>
        <v>SYSBATCH</v>
      </c>
      <c r="BM17">
        <f>'mk 001 10.3'!BM19</f>
        <v>0</v>
      </c>
      <c r="BN17">
        <f>'mk 001 10.3'!BN19</f>
        <v>0</v>
      </c>
    </row>
    <row r="18" spans="1:66" x14ac:dyDescent="0.35">
      <c r="A18">
        <f>'mk 001 10.3'!A20</f>
        <v>0</v>
      </c>
      <c r="B18">
        <f>'mk 001 10.3'!B20</f>
        <v>0</v>
      </c>
      <c r="C18" s="1" t="str">
        <f>'mk 001 10.3'!C20</f>
        <v>14/5/2569</v>
      </c>
      <c r="D18" s="1" t="str">
        <f>'mk 001 10.3'!D20</f>
        <v>14/5/2569</v>
      </c>
      <c r="E18">
        <f>'mk 001 10.3'!E20</f>
        <v>0</v>
      </c>
      <c r="F18" t="str">
        <f>'mk 001 10.3'!F20</f>
        <v>489M</v>
      </c>
      <c r="G18" t="str">
        <f>'mk 001 10.3'!G20</f>
        <v>Modern Trade (Makro)</v>
      </c>
      <c r="H18">
        <f>'mk 001 10.3'!H20</f>
        <v>0</v>
      </c>
      <c r="I18" t="str">
        <f>'mk 001 10.3'!I20</f>
        <v>หน่วยงานกลาง</v>
      </c>
      <c r="J18" t="str">
        <f>'mk 001 10.3'!J20</f>
        <v>F213  DMCW-รชล-พระพุทธบาท</v>
      </c>
      <c r="K18" t="str">
        <f>'mk 001 10.3'!K20</f>
        <v>00000  หน่วยงานกลาง</v>
      </c>
      <c r="L18">
        <f>'mk 001 10.3'!L20</f>
        <v>923</v>
      </c>
      <c r="M18">
        <f>'mk 001 10.3'!M20</f>
        <v>0</v>
      </c>
      <c r="Q18" s="13" t="str">
        <f>IF(แปลงข้อมูล!P19,แปลงข้อมูล!H19,"")</f>
        <v/>
      </c>
      <c r="R18" s="1">
        <f>'mk 001 10.3'!R20</f>
        <v>244566</v>
      </c>
      <c r="S18" s="1" t="str">
        <f>'mk 001 10.3'!S20</f>
        <v>14/5/2569</v>
      </c>
      <c r="U18" s="13" t="str">
        <f>IF(แปลงข้อมูล!P19,แปลงข้อมูล!I19,"")</f>
        <v/>
      </c>
      <c r="V18" s="13" t="str">
        <f>IF(แปลงข้อมูล!P19,แปลงข้อมูล!J19,"")</f>
        <v/>
      </c>
      <c r="Y18" s="13" t="str">
        <f>_xlfn.XLOOKUP(V18,'mk 001 10.3'!V:V,'mk 001 10.3'!Y:Y,"")</f>
        <v/>
      </c>
      <c r="Z18" s="13" t="str">
        <f>IF(แปลงข้อมูล!P19,แปลงข้อมูล!N19,"")</f>
        <v/>
      </c>
      <c r="BL18" t="str">
        <f>'mk 001 10.3'!BL20</f>
        <v>SYSBATCH</v>
      </c>
      <c r="BM18">
        <f>'mk 001 10.3'!BM20</f>
        <v>0</v>
      </c>
      <c r="BN18">
        <f>'mk 001 10.3'!BN20</f>
        <v>0</v>
      </c>
    </row>
    <row r="19" spans="1:66" x14ac:dyDescent="0.35">
      <c r="A19">
        <f>'mk 001 10.3'!A21</f>
        <v>0</v>
      </c>
      <c r="B19">
        <f>'mk 001 10.3'!B21</f>
        <v>0</v>
      </c>
      <c r="C19" s="1" t="str">
        <f>'mk 001 10.3'!C21</f>
        <v>14/5/2569</v>
      </c>
      <c r="D19" s="1" t="str">
        <f>'mk 001 10.3'!D21</f>
        <v>14/5/2569</v>
      </c>
      <c r="E19">
        <f>'mk 001 10.3'!E21</f>
        <v>0</v>
      </c>
      <c r="F19" t="str">
        <f>'mk 001 10.3'!F21</f>
        <v>489M</v>
      </c>
      <c r="G19" t="str">
        <f>'mk 001 10.3'!G21</f>
        <v>Modern Trade (Makro)</v>
      </c>
      <c r="H19">
        <f>'mk 001 10.3'!H21</f>
        <v>0</v>
      </c>
      <c r="I19" t="str">
        <f>'mk 001 10.3'!I21</f>
        <v>หน่วยงานกลาง</v>
      </c>
      <c r="J19" t="str">
        <f>'mk 001 10.3'!J21</f>
        <v>F213  DMCW-รชล-พระพุทธบาท</v>
      </c>
      <c r="K19" t="str">
        <f>'mk 001 10.3'!K21</f>
        <v>00000  หน่วยงานกลาง</v>
      </c>
      <c r="L19">
        <f>'mk 001 10.3'!L21</f>
        <v>923</v>
      </c>
      <c r="M19">
        <f>'mk 001 10.3'!M21</f>
        <v>0</v>
      </c>
      <c r="Q19" s="13" t="str">
        <f>IF(แปลงข้อมูล!P20,แปลงข้อมูล!H20,"")</f>
        <v/>
      </c>
      <c r="R19" s="1">
        <f>'mk 001 10.3'!R21</f>
        <v>244566</v>
      </c>
      <c r="S19" s="1" t="str">
        <f>'mk 001 10.3'!S21</f>
        <v>14/5/2569</v>
      </c>
      <c r="U19" s="13" t="str">
        <f>IF(แปลงข้อมูล!P20,แปลงข้อมูล!I20,"")</f>
        <v/>
      </c>
      <c r="V19" s="13" t="str">
        <f>IF(แปลงข้อมูล!P20,แปลงข้อมูล!J20,"")</f>
        <v/>
      </c>
      <c r="Y19" s="13" t="str">
        <f>_xlfn.XLOOKUP(V19,'mk 001 10.3'!V:V,'mk 001 10.3'!Y:Y,"")</f>
        <v/>
      </c>
      <c r="Z19" s="13" t="str">
        <f>IF(แปลงข้อมูล!P20,แปลงข้อมูล!N20,"")</f>
        <v/>
      </c>
      <c r="BL19" t="str">
        <f>'mk 001 10.3'!BL21</f>
        <v>SYSBATCH</v>
      </c>
      <c r="BM19">
        <f>'mk 001 10.3'!BM21</f>
        <v>0</v>
      </c>
      <c r="BN19">
        <f>'mk 001 10.3'!BN21</f>
        <v>0</v>
      </c>
    </row>
    <row r="20" spans="1:66" x14ac:dyDescent="0.35">
      <c r="A20">
        <f>'mk 001 10.3'!A22</f>
        <v>0</v>
      </c>
      <c r="B20">
        <f>'mk 001 10.3'!B22</f>
        <v>0</v>
      </c>
      <c r="C20" s="1" t="str">
        <f>'mk 001 10.3'!C22</f>
        <v>14/5/2569</v>
      </c>
      <c r="D20" s="1" t="str">
        <f>'mk 001 10.3'!D22</f>
        <v>14/5/2569</v>
      </c>
      <c r="E20">
        <f>'mk 001 10.3'!E22</f>
        <v>0</v>
      </c>
      <c r="F20" t="str">
        <f>'mk 001 10.3'!F22</f>
        <v>489M</v>
      </c>
      <c r="G20" t="str">
        <f>'mk 001 10.3'!G22</f>
        <v>Modern Trade (Makro)</v>
      </c>
      <c r="H20">
        <f>'mk 001 10.3'!H22</f>
        <v>0</v>
      </c>
      <c r="I20" t="str">
        <f>'mk 001 10.3'!I22</f>
        <v>หน่วยงานกลาง</v>
      </c>
      <c r="J20" t="str">
        <f>'mk 001 10.3'!J22</f>
        <v>F213  DMCW-รชล-พระพุทธบาท</v>
      </c>
      <c r="K20" t="str">
        <f>'mk 001 10.3'!K22</f>
        <v>00000  หน่วยงานกลาง</v>
      </c>
      <c r="L20">
        <f>'mk 001 10.3'!L22</f>
        <v>923</v>
      </c>
      <c r="M20">
        <f>'mk 001 10.3'!M22</f>
        <v>0</v>
      </c>
      <c r="Q20" s="13" t="str">
        <f>IF(แปลงข้อมูล!P21,แปลงข้อมูล!H21,"")</f>
        <v/>
      </c>
      <c r="R20" s="1">
        <f>'mk 001 10.3'!R22</f>
        <v>244566</v>
      </c>
      <c r="S20" s="1" t="str">
        <f>'mk 001 10.3'!S22</f>
        <v>14/5/2569</v>
      </c>
      <c r="U20" s="13" t="str">
        <f>IF(แปลงข้อมูล!P21,แปลงข้อมูล!I21,"")</f>
        <v/>
      </c>
      <c r="V20" s="13" t="str">
        <f>IF(แปลงข้อมูล!P21,แปลงข้อมูล!J21,"")</f>
        <v/>
      </c>
      <c r="Y20" s="13" t="str">
        <f>_xlfn.XLOOKUP(V20,'mk 001 10.3'!V:V,'mk 001 10.3'!Y:Y,"")</f>
        <v/>
      </c>
      <c r="Z20" s="13" t="str">
        <f>IF(แปลงข้อมูล!P21,แปลงข้อมูล!N21,"")</f>
        <v/>
      </c>
      <c r="BL20" t="str">
        <f>'mk 001 10.3'!BL22</f>
        <v>SYSBATCH</v>
      </c>
      <c r="BM20">
        <f>'mk 001 10.3'!BM22</f>
        <v>0</v>
      </c>
      <c r="BN20">
        <f>'mk 001 10.3'!BN22</f>
        <v>0</v>
      </c>
    </row>
    <row r="21" spans="1:66" x14ac:dyDescent="0.35">
      <c r="A21">
        <f>'mk 001 10.3'!A23</f>
        <v>0</v>
      </c>
      <c r="B21">
        <f>'mk 001 10.3'!B23</f>
        <v>0</v>
      </c>
      <c r="C21" s="1" t="str">
        <f>'mk 001 10.3'!C23</f>
        <v>14/5/2569</v>
      </c>
      <c r="D21" s="1" t="str">
        <f>'mk 001 10.3'!D23</f>
        <v>14/5/2569</v>
      </c>
      <c r="E21">
        <f>'mk 001 10.3'!E23</f>
        <v>0</v>
      </c>
      <c r="F21" t="str">
        <f>'mk 001 10.3'!F23</f>
        <v>489M</v>
      </c>
      <c r="G21" t="str">
        <f>'mk 001 10.3'!G23</f>
        <v>Modern Trade (Makro)</v>
      </c>
      <c r="H21">
        <f>'mk 001 10.3'!H23</f>
        <v>0</v>
      </c>
      <c r="I21" t="str">
        <f>'mk 001 10.3'!I23</f>
        <v>หน่วยงานกลาง</v>
      </c>
      <c r="J21" t="str">
        <f>'mk 001 10.3'!J23</f>
        <v>F213  DMCW-รชล-พระพุทธบาท</v>
      </c>
      <c r="K21" t="str">
        <f>'mk 001 10.3'!K23</f>
        <v>00000  หน่วยงานกลาง</v>
      </c>
      <c r="L21">
        <f>'mk 001 10.3'!L23</f>
        <v>923</v>
      </c>
      <c r="M21">
        <f>'mk 001 10.3'!M23</f>
        <v>0</v>
      </c>
      <c r="Q21" s="13" t="str">
        <f>IF(แปลงข้อมูล!P22,แปลงข้อมูล!H22,"")</f>
        <v/>
      </c>
      <c r="R21" s="1">
        <f>'mk 001 10.3'!R23</f>
        <v>244566</v>
      </c>
      <c r="S21" s="1" t="str">
        <f>'mk 001 10.3'!S23</f>
        <v>14/5/2569</v>
      </c>
      <c r="U21" s="13" t="str">
        <f>IF(แปลงข้อมูล!P22,แปลงข้อมูล!I22,"")</f>
        <v/>
      </c>
      <c r="V21" s="13" t="str">
        <f>IF(แปลงข้อมูล!P22,แปลงข้อมูล!J22,"")</f>
        <v/>
      </c>
      <c r="Y21" s="13" t="str">
        <f>_xlfn.XLOOKUP(V21,'mk 001 10.3'!V:V,'mk 001 10.3'!Y:Y,"")</f>
        <v/>
      </c>
      <c r="Z21" s="13" t="str">
        <f>IF(แปลงข้อมูล!P22,แปลงข้อมูล!N22,"")</f>
        <v/>
      </c>
      <c r="BL21" t="str">
        <f>'mk 001 10.3'!BL23</f>
        <v>SYSBATCH</v>
      </c>
      <c r="BM21">
        <f>'mk 001 10.3'!BM23</f>
        <v>0</v>
      </c>
      <c r="BN21">
        <f>'mk 001 10.3'!BN23</f>
        <v>0</v>
      </c>
    </row>
    <row r="22" spans="1:66" x14ac:dyDescent="0.35">
      <c r="A22">
        <f>'mk 001 10.3'!A24</f>
        <v>0</v>
      </c>
      <c r="B22">
        <f>'mk 001 10.3'!B24</f>
        <v>0</v>
      </c>
      <c r="C22" s="1" t="str">
        <f>'mk 001 10.3'!C24</f>
        <v>14/5/2569</v>
      </c>
      <c r="D22" s="1" t="str">
        <f>'mk 001 10.3'!D24</f>
        <v>14/5/2569</v>
      </c>
      <c r="E22">
        <f>'mk 001 10.3'!E24</f>
        <v>0</v>
      </c>
      <c r="F22" t="str">
        <f>'mk 001 10.3'!F24</f>
        <v>489M</v>
      </c>
      <c r="G22" t="str">
        <f>'mk 001 10.3'!G24</f>
        <v>Modern Trade (Makro)</v>
      </c>
      <c r="H22">
        <f>'mk 001 10.3'!H24</f>
        <v>0</v>
      </c>
      <c r="I22" t="str">
        <f>'mk 001 10.3'!I24</f>
        <v>หน่วยงานกลาง</v>
      </c>
      <c r="J22" t="str">
        <f>'mk 001 10.3'!J24</f>
        <v>F213  DMCW-รชล-พระพุทธบาท</v>
      </c>
      <c r="K22" t="str">
        <f>'mk 001 10.3'!K24</f>
        <v>00000  หน่วยงานกลาง</v>
      </c>
      <c r="L22">
        <f>'mk 001 10.3'!L24</f>
        <v>923</v>
      </c>
      <c r="M22">
        <f>'mk 001 10.3'!M24</f>
        <v>0</v>
      </c>
      <c r="Q22" s="13" t="str">
        <f>IF(แปลงข้อมูล!P23,แปลงข้อมูล!H23,"")</f>
        <v/>
      </c>
      <c r="R22" s="1">
        <f>'mk 001 10.3'!R24</f>
        <v>244566</v>
      </c>
      <c r="S22" s="1" t="str">
        <f>'mk 001 10.3'!S24</f>
        <v>14/5/2569</v>
      </c>
      <c r="U22" s="13" t="str">
        <f>IF(แปลงข้อมูล!P23,แปลงข้อมูล!I23,"")</f>
        <v/>
      </c>
      <c r="V22" s="13" t="str">
        <f>IF(แปลงข้อมูล!P23,แปลงข้อมูล!J23,"")</f>
        <v/>
      </c>
      <c r="Y22" s="13" t="str">
        <f>_xlfn.XLOOKUP(V22,'mk 001 10.3'!V:V,'mk 001 10.3'!Y:Y,"")</f>
        <v/>
      </c>
      <c r="Z22" s="13" t="str">
        <f>IF(แปลงข้อมูล!P23,แปลงข้อมูล!N23,"")</f>
        <v/>
      </c>
      <c r="BL22" t="str">
        <f>'mk 001 10.3'!BL24</f>
        <v>SYSBATCH</v>
      </c>
      <c r="BM22">
        <f>'mk 001 10.3'!BM24</f>
        <v>0</v>
      </c>
      <c r="BN22">
        <f>'mk 001 10.3'!BN24</f>
        <v>0</v>
      </c>
    </row>
    <row r="23" spans="1:66" x14ac:dyDescent="0.35">
      <c r="A23">
        <f>'mk 001 10.3'!A25</f>
        <v>0</v>
      </c>
      <c r="B23">
        <f>'mk 001 10.3'!B25</f>
        <v>0</v>
      </c>
      <c r="C23" s="1" t="str">
        <f>'mk 001 10.3'!C25</f>
        <v>14/5/2569</v>
      </c>
      <c r="D23" s="1" t="str">
        <f>'mk 001 10.3'!D25</f>
        <v>14/5/2569</v>
      </c>
      <c r="E23">
        <f>'mk 001 10.3'!E25</f>
        <v>0</v>
      </c>
      <c r="F23" t="str">
        <f>'mk 001 10.3'!F25</f>
        <v>489M</v>
      </c>
      <c r="G23" t="str">
        <f>'mk 001 10.3'!G25</f>
        <v>Modern Trade (Makro)</v>
      </c>
      <c r="H23">
        <f>'mk 001 10.3'!H25</f>
        <v>0</v>
      </c>
      <c r="I23" t="str">
        <f>'mk 001 10.3'!I25</f>
        <v>หน่วยงานกลาง</v>
      </c>
      <c r="J23" t="str">
        <f>'mk 001 10.3'!J25</f>
        <v>F213  DMCW-รชล-พระพุทธบาท</v>
      </c>
      <c r="K23" t="str">
        <f>'mk 001 10.3'!K25</f>
        <v>00000  หน่วยงานกลาง</v>
      </c>
      <c r="L23">
        <f>'mk 001 10.3'!L25</f>
        <v>923</v>
      </c>
      <c r="M23">
        <f>'mk 001 10.3'!M25</f>
        <v>0</v>
      </c>
      <c r="Q23" s="13" t="str">
        <f>IF(แปลงข้อมูล!P24,แปลงข้อมูล!H24,"")</f>
        <v/>
      </c>
      <c r="R23" s="1">
        <f>'mk 001 10.3'!R25</f>
        <v>244566</v>
      </c>
      <c r="S23" s="1" t="str">
        <f>'mk 001 10.3'!S25</f>
        <v>14/5/2569</v>
      </c>
      <c r="U23" s="13" t="str">
        <f>IF(แปลงข้อมูล!P24,แปลงข้อมูล!I24,"")</f>
        <v/>
      </c>
      <c r="V23" s="13" t="str">
        <f>IF(แปลงข้อมูล!P24,แปลงข้อมูล!J24,"")</f>
        <v/>
      </c>
      <c r="Y23" s="13" t="str">
        <f>_xlfn.XLOOKUP(V23,'mk 001 10.3'!V:V,'mk 001 10.3'!Y:Y,"")</f>
        <v/>
      </c>
      <c r="Z23" s="13" t="str">
        <f>IF(แปลงข้อมูล!P24,แปลงข้อมูล!N24,"")</f>
        <v/>
      </c>
      <c r="BL23" t="str">
        <f>'mk 001 10.3'!BL25</f>
        <v>SYSBATCH</v>
      </c>
      <c r="BM23">
        <f>'mk 001 10.3'!BM25</f>
        <v>0</v>
      </c>
      <c r="BN23">
        <f>'mk 001 10.3'!BN25</f>
        <v>0</v>
      </c>
    </row>
    <row r="24" spans="1:66" x14ac:dyDescent="0.35">
      <c r="A24">
        <f>'mk 001 10.3'!A26</f>
        <v>0</v>
      </c>
      <c r="B24">
        <f>'mk 001 10.3'!B26</f>
        <v>0</v>
      </c>
      <c r="C24" s="1" t="str">
        <f>'mk 001 10.3'!C26</f>
        <v>14/5/2569</v>
      </c>
      <c r="D24" s="1" t="str">
        <f>'mk 001 10.3'!D26</f>
        <v>14/5/2569</v>
      </c>
      <c r="E24">
        <f>'mk 001 10.3'!E26</f>
        <v>0</v>
      </c>
      <c r="F24" t="str">
        <f>'mk 001 10.3'!F26</f>
        <v>489M</v>
      </c>
      <c r="G24" t="str">
        <f>'mk 001 10.3'!G26</f>
        <v>Modern Trade (Makro)</v>
      </c>
      <c r="H24">
        <f>'mk 001 10.3'!H26</f>
        <v>0</v>
      </c>
      <c r="I24" t="str">
        <f>'mk 001 10.3'!I26</f>
        <v>หน่วยงานกลาง</v>
      </c>
      <c r="J24" t="str">
        <f>'mk 001 10.3'!J26</f>
        <v>F213  DMCW-รชล-พระพุทธบาท</v>
      </c>
      <c r="K24" t="str">
        <f>'mk 001 10.3'!K26</f>
        <v>00000  หน่วยงานกลาง</v>
      </c>
      <c r="L24">
        <f>'mk 001 10.3'!L26</f>
        <v>923</v>
      </c>
      <c r="M24">
        <f>'mk 001 10.3'!M26</f>
        <v>0</v>
      </c>
      <c r="Q24" s="13" t="str">
        <f>IF(แปลงข้อมูล!P25,แปลงข้อมูล!H25,"")</f>
        <v/>
      </c>
      <c r="R24" s="1">
        <f>'mk 001 10.3'!R26</f>
        <v>244566</v>
      </c>
      <c r="S24" s="1" t="str">
        <f>'mk 001 10.3'!S26</f>
        <v>14/5/2569</v>
      </c>
      <c r="U24" s="13" t="str">
        <f>IF(แปลงข้อมูล!P25,แปลงข้อมูล!I25,"")</f>
        <v/>
      </c>
      <c r="V24" s="13" t="str">
        <f>IF(แปลงข้อมูล!P25,แปลงข้อมูล!J25,"")</f>
        <v/>
      </c>
      <c r="Y24" s="13" t="str">
        <f>_xlfn.XLOOKUP(V24,'mk 001 10.3'!V:V,'mk 001 10.3'!Y:Y,"")</f>
        <v/>
      </c>
      <c r="Z24" s="13" t="str">
        <f>IF(แปลงข้อมูล!P25,แปลงข้อมูล!N25,"")</f>
        <v/>
      </c>
      <c r="BL24" t="str">
        <f>'mk 001 10.3'!BL26</f>
        <v>SYSBATCH</v>
      </c>
      <c r="BM24">
        <f>'mk 001 10.3'!BM26</f>
        <v>0</v>
      </c>
      <c r="BN24">
        <f>'mk 001 10.3'!BN26</f>
        <v>0</v>
      </c>
    </row>
    <row r="25" spans="1:66" x14ac:dyDescent="0.35">
      <c r="A25">
        <f>'mk 001 10.3'!A27</f>
        <v>0</v>
      </c>
      <c r="B25">
        <f>'mk 001 10.3'!B27</f>
        <v>0</v>
      </c>
      <c r="C25" s="1" t="str">
        <f>'mk 001 10.3'!C27</f>
        <v>14/5/2569</v>
      </c>
      <c r="D25" s="1" t="str">
        <f>'mk 001 10.3'!D27</f>
        <v>14/5/2569</v>
      </c>
      <c r="E25">
        <f>'mk 001 10.3'!E27</f>
        <v>0</v>
      </c>
      <c r="F25" t="str">
        <f>'mk 001 10.3'!F27</f>
        <v>489M</v>
      </c>
      <c r="G25" t="str">
        <f>'mk 001 10.3'!G27</f>
        <v>Modern Trade (Makro)</v>
      </c>
      <c r="H25">
        <f>'mk 001 10.3'!H27</f>
        <v>0</v>
      </c>
      <c r="I25" t="str">
        <f>'mk 001 10.3'!I27</f>
        <v>หน่วยงานกลาง</v>
      </c>
      <c r="J25" t="str">
        <f>'mk 001 10.3'!J27</f>
        <v>F213  DMCW-รชล-พระพุทธบาท</v>
      </c>
      <c r="K25" t="str">
        <f>'mk 001 10.3'!K27</f>
        <v>00000  หน่วยงานกลาง</v>
      </c>
      <c r="L25">
        <f>'mk 001 10.3'!L27</f>
        <v>923</v>
      </c>
      <c r="M25">
        <f>'mk 001 10.3'!M27</f>
        <v>0</v>
      </c>
      <c r="Q25" s="13" t="str">
        <f>IF(แปลงข้อมูล!P26,แปลงข้อมูล!H26,"")</f>
        <v/>
      </c>
      <c r="R25" s="1">
        <f>'mk 001 10.3'!R27</f>
        <v>244566</v>
      </c>
      <c r="S25" s="1" t="str">
        <f>'mk 001 10.3'!S27</f>
        <v>14/5/2569</v>
      </c>
      <c r="U25" s="13" t="str">
        <f>IF(แปลงข้อมูล!P26,แปลงข้อมูล!I26,"")</f>
        <v/>
      </c>
      <c r="V25" s="13" t="str">
        <f>IF(แปลงข้อมูล!P26,แปลงข้อมูล!J26,"")</f>
        <v/>
      </c>
      <c r="Y25" s="13" t="str">
        <f>_xlfn.XLOOKUP(V25,'mk 001 10.3'!V:V,'mk 001 10.3'!Y:Y,"")</f>
        <v/>
      </c>
      <c r="Z25" s="13" t="str">
        <f>IF(แปลงข้อมูล!P26,แปลงข้อมูล!N26,"")</f>
        <v/>
      </c>
      <c r="BL25" t="str">
        <f>'mk 001 10.3'!BL27</f>
        <v>SYSBATCH</v>
      </c>
      <c r="BM25">
        <f>'mk 001 10.3'!BM27</f>
        <v>0</v>
      </c>
      <c r="BN25">
        <f>'mk 001 10.3'!BN27</f>
        <v>0</v>
      </c>
    </row>
    <row r="26" spans="1:66" x14ac:dyDescent="0.35">
      <c r="A26">
        <f>'mk 001 10.3'!A28</f>
        <v>0</v>
      </c>
      <c r="B26">
        <f>'mk 001 10.3'!B28</f>
        <v>0</v>
      </c>
      <c r="C26" s="1" t="str">
        <f>'mk 001 10.3'!C28</f>
        <v>14/5/2569</v>
      </c>
      <c r="D26" s="1" t="str">
        <f>'mk 001 10.3'!D28</f>
        <v>14/5/2569</v>
      </c>
      <c r="E26">
        <f>'mk 001 10.3'!E28</f>
        <v>0</v>
      </c>
      <c r="F26" t="str">
        <f>'mk 001 10.3'!F28</f>
        <v>489M</v>
      </c>
      <c r="G26" t="str">
        <f>'mk 001 10.3'!G28</f>
        <v>Modern Trade (Makro)</v>
      </c>
      <c r="H26">
        <f>'mk 001 10.3'!H28</f>
        <v>0</v>
      </c>
      <c r="I26" t="str">
        <f>'mk 001 10.3'!I28</f>
        <v>หน่วยงานกลาง</v>
      </c>
      <c r="J26" t="str">
        <f>'mk 001 10.3'!J28</f>
        <v>F213  DMCW-รชล-พระพุทธบาท</v>
      </c>
      <c r="K26" t="str">
        <f>'mk 001 10.3'!K28</f>
        <v>00000  หน่วยงานกลาง</v>
      </c>
      <c r="L26">
        <f>'mk 001 10.3'!L28</f>
        <v>923</v>
      </c>
      <c r="M26">
        <f>'mk 001 10.3'!M28</f>
        <v>0</v>
      </c>
      <c r="Q26" s="13" t="str">
        <f>IF(แปลงข้อมูล!P27,แปลงข้อมูล!H27,"")</f>
        <v/>
      </c>
      <c r="R26" s="1">
        <f>'mk 001 10.3'!R28</f>
        <v>244566</v>
      </c>
      <c r="S26" s="1" t="str">
        <f>'mk 001 10.3'!S28</f>
        <v>14/5/2569</v>
      </c>
      <c r="U26" s="13" t="str">
        <f>IF(แปลงข้อมูล!P27,แปลงข้อมูล!I27,"")</f>
        <v/>
      </c>
      <c r="V26" s="13" t="str">
        <f>IF(แปลงข้อมูล!P27,แปลงข้อมูล!J27,"")</f>
        <v/>
      </c>
      <c r="Y26" s="13" t="str">
        <f>_xlfn.XLOOKUP(V26,'mk 001 10.3'!V:V,'mk 001 10.3'!Y:Y,"")</f>
        <v/>
      </c>
      <c r="Z26" s="13" t="str">
        <f>IF(แปลงข้อมูล!P27,แปลงข้อมูล!N27,"")</f>
        <v/>
      </c>
      <c r="BL26" t="str">
        <f>'mk 001 10.3'!BL28</f>
        <v>SYSBATCH</v>
      </c>
      <c r="BM26">
        <f>'mk 001 10.3'!BM28</f>
        <v>0</v>
      </c>
      <c r="BN26">
        <f>'mk 001 10.3'!BN28</f>
        <v>0</v>
      </c>
    </row>
    <row r="27" spans="1:66" x14ac:dyDescent="0.35">
      <c r="A27">
        <f>'mk 001 10.3'!A29</f>
        <v>0</v>
      </c>
      <c r="B27">
        <f>'mk 001 10.3'!B29</f>
        <v>0</v>
      </c>
      <c r="C27" s="1" t="str">
        <f>'mk 001 10.3'!C29</f>
        <v>14/5/2569</v>
      </c>
      <c r="D27" s="1" t="str">
        <f>'mk 001 10.3'!D29</f>
        <v>14/5/2569</v>
      </c>
      <c r="E27">
        <f>'mk 001 10.3'!E29</f>
        <v>0</v>
      </c>
      <c r="F27" t="str">
        <f>'mk 001 10.3'!F29</f>
        <v>489M</v>
      </c>
      <c r="G27" t="str">
        <f>'mk 001 10.3'!G29</f>
        <v>Modern Trade (Makro)</v>
      </c>
      <c r="H27">
        <f>'mk 001 10.3'!H29</f>
        <v>0</v>
      </c>
      <c r="I27" t="str">
        <f>'mk 001 10.3'!I29</f>
        <v>หน่วยงานกลาง</v>
      </c>
      <c r="J27" t="str">
        <f>'mk 001 10.3'!J29</f>
        <v>F213  DMCW-รชล-พระพุทธบาท</v>
      </c>
      <c r="K27" t="str">
        <f>'mk 001 10.3'!K29</f>
        <v>00000  หน่วยงานกลาง</v>
      </c>
      <c r="L27">
        <f>'mk 001 10.3'!L29</f>
        <v>923</v>
      </c>
      <c r="M27">
        <f>'mk 001 10.3'!M29</f>
        <v>0</v>
      </c>
      <c r="Q27" s="13" t="str">
        <f>IF(แปลงข้อมูล!P28,แปลงข้อมูล!H28,"")</f>
        <v/>
      </c>
      <c r="R27" s="1">
        <f>'mk 001 10.3'!R29</f>
        <v>244566</v>
      </c>
      <c r="S27" s="1" t="str">
        <f>'mk 001 10.3'!S29</f>
        <v>14/5/2569</v>
      </c>
      <c r="U27" s="13" t="str">
        <f>IF(แปลงข้อมูล!P28,แปลงข้อมูล!I28,"")</f>
        <v/>
      </c>
      <c r="V27" s="13" t="str">
        <f>IF(แปลงข้อมูล!P28,แปลงข้อมูล!J28,"")</f>
        <v/>
      </c>
      <c r="Y27" s="13" t="str">
        <f>_xlfn.XLOOKUP(V27,'mk 001 10.3'!V:V,'mk 001 10.3'!Y:Y,"")</f>
        <v/>
      </c>
      <c r="Z27" s="13" t="str">
        <f>IF(แปลงข้อมูล!P28,แปลงข้อมูล!N28,"")</f>
        <v/>
      </c>
      <c r="BL27" t="str">
        <f>'mk 001 10.3'!BL29</f>
        <v>SYSBATCH</v>
      </c>
      <c r="BM27">
        <f>'mk 001 10.3'!BM29</f>
        <v>0</v>
      </c>
      <c r="BN27">
        <f>'mk 001 10.3'!BN29</f>
        <v>0</v>
      </c>
    </row>
    <row r="28" spans="1:66" x14ac:dyDescent="0.35">
      <c r="A28">
        <f>'mk 001 10.3'!A30</f>
        <v>0</v>
      </c>
      <c r="B28">
        <f>'mk 001 10.3'!B30</f>
        <v>0</v>
      </c>
      <c r="C28" s="1" t="str">
        <f>'mk 001 10.3'!C30</f>
        <v>14/5/2569</v>
      </c>
      <c r="D28" s="1" t="str">
        <f>'mk 001 10.3'!D30</f>
        <v>14/5/2569</v>
      </c>
      <c r="E28">
        <f>'mk 001 10.3'!E30</f>
        <v>0</v>
      </c>
      <c r="F28" t="str">
        <f>'mk 001 10.3'!F30</f>
        <v>489M</v>
      </c>
      <c r="G28" t="str">
        <f>'mk 001 10.3'!G30</f>
        <v>Modern Trade (Makro)</v>
      </c>
      <c r="H28">
        <f>'mk 001 10.3'!H30</f>
        <v>0</v>
      </c>
      <c r="I28" t="str">
        <f>'mk 001 10.3'!I30</f>
        <v>หน่วยงานกลาง</v>
      </c>
      <c r="J28" t="str">
        <f>'mk 001 10.3'!J30</f>
        <v>F213  DMCW-รชล-พระพุทธบาท</v>
      </c>
      <c r="K28" t="str">
        <f>'mk 001 10.3'!K30</f>
        <v>00000  หน่วยงานกลาง</v>
      </c>
      <c r="L28">
        <f>'mk 001 10.3'!L30</f>
        <v>923</v>
      </c>
      <c r="M28">
        <f>'mk 001 10.3'!M30</f>
        <v>0</v>
      </c>
      <c r="Q28" s="13" t="str">
        <f>IF(แปลงข้อมูล!P29,แปลงข้อมูล!H29,"")</f>
        <v/>
      </c>
      <c r="R28" s="1">
        <f>'mk 001 10.3'!R30</f>
        <v>244566</v>
      </c>
      <c r="S28" s="1" t="str">
        <f>'mk 001 10.3'!S30</f>
        <v>14/5/2569</v>
      </c>
      <c r="U28" s="13" t="str">
        <f>IF(แปลงข้อมูล!P29,แปลงข้อมูล!I29,"")</f>
        <v/>
      </c>
      <c r="V28" s="13" t="str">
        <f>IF(แปลงข้อมูล!P29,แปลงข้อมูล!J29,"")</f>
        <v/>
      </c>
      <c r="Y28" s="13" t="str">
        <f>_xlfn.XLOOKUP(V28,'mk 001 10.3'!V:V,'mk 001 10.3'!Y:Y,"")</f>
        <v/>
      </c>
      <c r="Z28" s="13" t="str">
        <f>IF(แปลงข้อมูล!P29,แปลงข้อมูล!N29,"")</f>
        <v/>
      </c>
      <c r="BL28" t="str">
        <f>'mk 001 10.3'!BL30</f>
        <v>SYSBATCH</v>
      </c>
      <c r="BM28">
        <f>'mk 001 10.3'!BM30</f>
        <v>0</v>
      </c>
      <c r="BN28">
        <f>'mk 001 10.3'!BN30</f>
        <v>0</v>
      </c>
    </row>
    <row r="29" spans="1:66" x14ac:dyDescent="0.35">
      <c r="A29">
        <f>'mk 001 10.3'!A31</f>
        <v>0</v>
      </c>
      <c r="B29">
        <f>'mk 001 10.3'!B31</f>
        <v>0</v>
      </c>
      <c r="C29" s="1" t="str">
        <f>'mk 001 10.3'!C31</f>
        <v>14/5/2569</v>
      </c>
      <c r="D29" s="1" t="str">
        <f>'mk 001 10.3'!D31</f>
        <v>14/5/2569</v>
      </c>
      <c r="E29">
        <f>'mk 001 10.3'!E31</f>
        <v>0</v>
      </c>
      <c r="F29" t="str">
        <f>'mk 001 10.3'!F31</f>
        <v>489M</v>
      </c>
      <c r="G29" t="str">
        <f>'mk 001 10.3'!G31</f>
        <v>Modern Trade (Makro)</v>
      </c>
      <c r="H29">
        <f>'mk 001 10.3'!H31</f>
        <v>0</v>
      </c>
      <c r="I29" t="str">
        <f>'mk 001 10.3'!I31</f>
        <v>หน่วยงานกลาง</v>
      </c>
      <c r="J29" t="str">
        <f>'mk 001 10.3'!J31</f>
        <v>F213  DMCW-รชล-พระพุทธบาท</v>
      </c>
      <c r="K29" t="str">
        <f>'mk 001 10.3'!K31</f>
        <v>00000  หน่วยงานกลาง</v>
      </c>
      <c r="L29">
        <f>'mk 001 10.3'!L31</f>
        <v>923</v>
      </c>
      <c r="M29">
        <f>'mk 001 10.3'!M31</f>
        <v>0</v>
      </c>
      <c r="Q29" s="13" t="str">
        <f>IF(แปลงข้อมูล!P30,แปลงข้อมูล!H30,"")</f>
        <v/>
      </c>
      <c r="R29" s="1">
        <f>'mk 001 10.3'!R31</f>
        <v>244566</v>
      </c>
      <c r="S29" s="1" t="str">
        <f>'mk 001 10.3'!S31</f>
        <v>14/5/2569</v>
      </c>
      <c r="U29" s="13" t="str">
        <f>IF(แปลงข้อมูล!P30,แปลงข้อมูล!I30,"")</f>
        <v/>
      </c>
      <c r="V29" s="13" t="str">
        <f>IF(แปลงข้อมูล!P30,แปลงข้อมูล!J30,"")</f>
        <v/>
      </c>
      <c r="Y29" s="13" t="str">
        <f>_xlfn.XLOOKUP(V29,'mk 001 10.3'!V:V,'mk 001 10.3'!Y:Y,"")</f>
        <v/>
      </c>
      <c r="Z29" s="13" t="str">
        <f>IF(แปลงข้อมูล!P30,แปลงข้อมูล!N30,"")</f>
        <v/>
      </c>
      <c r="BL29" t="str">
        <f>'mk 001 10.3'!BL31</f>
        <v>SYSBATCH</v>
      </c>
      <c r="BM29">
        <f>'mk 001 10.3'!BM31</f>
        <v>0</v>
      </c>
      <c r="BN29">
        <f>'mk 001 10.3'!BN31</f>
        <v>0</v>
      </c>
    </row>
    <row r="30" spans="1:66" x14ac:dyDescent="0.35">
      <c r="A30">
        <f>'mk 001 10.3'!A32</f>
        <v>0</v>
      </c>
      <c r="B30">
        <f>'mk 001 10.3'!B32</f>
        <v>0</v>
      </c>
      <c r="C30" s="1" t="str">
        <f>'mk 001 10.3'!C32</f>
        <v>14/5/2569</v>
      </c>
      <c r="D30" s="1" t="str">
        <f>'mk 001 10.3'!D32</f>
        <v>14/5/2569</v>
      </c>
      <c r="E30">
        <f>'mk 001 10.3'!E32</f>
        <v>0</v>
      </c>
      <c r="F30" t="str">
        <f>'mk 001 10.3'!F32</f>
        <v>489M</v>
      </c>
      <c r="G30" t="str">
        <f>'mk 001 10.3'!G32</f>
        <v>Modern Trade (Makro)</v>
      </c>
      <c r="H30">
        <f>'mk 001 10.3'!H32</f>
        <v>0</v>
      </c>
      <c r="I30" t="str">
        <f>'mk 001 10.3'!I32</f>
        <v>หน่วยงานกลาง</v>
      </c>
      <c r="J30" t="str">
        <f>'mk 001 10.3'!J32</f>
        <v>F213  DMCW-รชล-พระพุทธบาท</v>
      </c>
      <c r="K30" t="str">
        <f>'mk 001 10.3'!K32</f>
        <v>00000  หน่วยงานกลาง</v>
      </c>
      <c r="L30">
        <f>'mk 001 10.3'!L32</f>
        <v>923</v>
      </c>
      <c r="M30">
        <f>'mk 001 10.3'!M32</f>
        <v>0</v>
      </c>
      <c r="Q30" s="13" t="str">
        <f>IF(แปลงข้อมูล!P31,แปลงข้อมูล!H31,"")</f>
        <v/>
      </c>
      <c r="R30" s="1">
        <f>'mk 001 10.3'!R32</f>
        <v>244566</v>
      </c>
      <c r="S30" s="1" t="str">
        <f>'mk 001 10.3'!S32</f>
        <v>14/5/2569</v>
      </c>
      <c r="U30" s="13" t="str">
        <f>IF(แปลงข้อมูล!P31,แปลงข้อมูล!I31,"")</f>
        <v/>
      </c>
      <c r="V30" s="13" t="str">
        <f>IF(แปลงข้อมูล!P31,แปลงข้อมูล!J31,"")</f>
        <v/>
      </c>
      <c r="Y30" s="13" t="str">
        <f>_xlfn.XLOOKUP(V30,'mk 001 10.3'!V:V,'mk 001 10.3'!Y:Y,"")</f>
        <v/>
      </c>
      <c r="Z30" s="13" t="str">
        <f>IF(แปลงข้อมูล!P31,แปลงข้อมูล!N31,"")</f>
        <v/>
      </c>
      <c r="BL30" t="str">
        <f>'mk 001 10.3'!BL32</f>
        <v>SYSBATCH</v>
      </c>
      <c r="BM30">
        <f>'mk 001 10.3'!BM32</f>
        <v>0</v>
      </c>
      <c r="BN30">
        <f>'mk 001 10.3'!BN32</f>
        <v>0</v>
      </c>
    </row>
    <row r="31" spans="1:66" x14ac:dyDescent="0.35">
      <c r="A31">
        <f>'mk 001 10.3'!A33</f>
        <v>0</v>
      </c>
      <c r="B31">
        <f>'mk 001 10.3'!B33</f>
        <v>0</v>
      </c>
      <c r="C31" s="1" t="str">
        <f>'mk 001 10.3'!C33</f>
        <v>14/5/2569</v>
      </c>
      <c r="D31" s="1" t="str">
        <f>'mk 001 10.3'!D33</f>
        <v>14/5/2569</v>
      </c>
      <c r="E31">
        <f>'mk 001 10.3'!E33</f>
        <v>0</v>
      </c>
      <c r="F31" t="str">
        <f>'mk 001 10.3'!F33</f>
        <v>489M</v>
      </c>
      <c r="G31" t="str">
        <f>'mk 001 10.3'!G33</f>
        <v>Modern Trade (Makro)</v>
      </c>
      <c r="H31">
        <f>'mk 001 10.3'!H33</f>
        <v>0</v>
      </c>
      <c r="I31" t="str">
        <f>'mk 001 10.3'!I33</f>
        <v>หน่วยงานกลาง</v>
      </c>
      <c r="J31" t="str">
        <f>'mk 001 10.3'!J33</f>
        <v>F213  DMCW-รชล-พระพุทธบาท</v>
      </c>
      <c r="K31" t="str">
        <f>'mk 001 10.3'!K33</f>
        <v>00000  หน่วยงานกลาง</v>
      </c>
      <c r="L31">
        <f>'mk 001 10.3'!L33</f>
        <v>923</v>
      </c>
      <c r="M31">
        <f>'mk 001 10.3'!M33</f>
        <v>0</v>
      </c>
      <c r="Q31" s="13" t="str">
        <f>IF(แปลงข้อมูล!P32,แปลงข้อมูล!H32,"")</f>
        <v/>
      </c>
      <c r="R31" s="1">
        <f>'mk 001 10.3'!R33</f>
        <v>244566</v>
      </c>
      <c r="S31" s="1" t="str">
        <f>'mk 001 10.3'!S33</f>
        <v>14/5/2569</v>
      </c>
      <c r="U31" s="13" t="str">
        <f>IF(แปลงข้อมูล!P32,แปลงข้อมูล!I32,"")</f>
        <v/>
      </c>
      <c r="V31" s="13" t="str">
        <f>IF(แปลงข้อมูล!P32,แปลงข้อมูล!J32,"")</f>
        <v/>
      </c>
      <c r="Y31" s="13" t="str">
        <f>_xlfn.XLOOKUP(V31,'mk 001 10.3'!V:V,'mk 001 10.3'!Y:Y,"")</f>
        <v/>
      </c>
      <c r="Z31" s="13" t="str">
        <f>IF(แปลงข้อมูล!P32,แปลงข้อมูล!N32,"")</f>
        <v/>
      </c>
      <c r="BL31" t="str">
        <f>'mk 001 10.3'!BL33</f>
        <v>SYSBATCH</v>
      </c>
      <c r="BM31">
        <f>'mk 001 10.3'!BM33</f>
        <v>0</v>
      </c>
      <c r="BN31">
        <f>'mk 001 10.3'!BN33</f>
        <v>0</v>
      </c>
    </row>
    <row r="32" spans="1:66" x14ac:dyDescent="0.35">
      <c r="A32">
        <f>'mk 001 10.3'!A34</f>
        <v>0</v>
      </c>
      <c r="B32">
        <f>'mk 001 10.3'!B34</f>
        <v>0</v>
      </c>
      <c r="C32" s="1" t="str">
        <f>'mk 001 10.3'!C34</f>
        <v>14/5/2569</v>
      </c>
      <c r="D32" s="1" t="str">
        <f>'mk 001 10.3'!D34</f>
        <v>14/5/2569</v>
      </c>
      <c r="E32">
        <f>'mk 001 10.3'!E34</f>
        <v>0</v>
      </c>
      <c r="F32" t="str">
        <f>'mk 001 10.3'!F34</f>
        <v>489M</v>
      </c>
      <c r="G32" t="str">
        <f>'mk 001 10.3'!G34</f>
        <v>Modern Trade (Makro)</v>
      </c>
      <c r="H32">
        <f>'mk 001 10.3'!H34</f>
        <v>0</v>
      </c>
      <c r="I32" t="str">
        <f>'mk 001 10.3'!I34</f>
        <v>หน่วยงานกลาง</v>
      </c>
      <c r="J32" t="str">
        <f>'mk 001 10.3'!J34</f>
        <v>F213  DMCW-รชล-พระพุทธบาท</v>
      </c>
      <c r="K32" t="str">
        <f>'mk 001 10.3'!K34</f>
        <v>00000  หน่วยงานกลาง</v>
      </c>
      <c r="L32">
        <f>'mk 001 10.3'!L34</f>
        <v>923</v>
      </c>
      <c r="M32">
        <f>'mk 001 10.3'!M34</f>
        <v>0</v>
      </c>
      <c r="Q32" s="13" t="str">
        <f>IF(แปลงข้อมูล!P33,แปลงข้อมูล!H33,"")</f>
        <v/>
      </c>
      <c r="R32" s="1">
        <f>'mk 001 10.3'!R34</f>
        <v>244566</v>
      </c>
      <c r="S32" s="1" t="str">
        <f>'mk 001 10.3'!S34</f>
        <v>14/5/2569</v>
      </c>
      <c r="U32" s="13" t="str">
        <f>IF(แปลงข้อมูล!P33,แปลงข้อมูล!I33,"")</f>
        <v/>
      </c>
      <c r="V32" s="13" t="str">
        <f>IF(แปลงข้อมูล!P33,แปลงข้อมูล!J33,"")</f>
        <v/>
      </c>
      <c r="Y32" s="13" t="str">
        <f>_xlfn.XLOOKUP(V32,'mk 001 10.3'!V:V,'mk 001 10.3'!Y:Y,"")</f>
        <v/>
      </c>
      <c r="Z32" s="13" t="str">
        <f>IF(แปลงข้อมูล!P33,แปลงข้อมูล!N33,"")</f>
        <v/>
      </c>
      <c r="BL32" t="str">
        <f>'mk 001 10.3'!BL34</f>
        <v>SYSBATCH</v>
      </c>
      <c r="BM32">
        <f>'mk 001 10.3'!BM34</f>
        <v>0</v>
      </c>
      <c r="BN32">
        <f>'mk 001 10.3'!BN34</f>
        <v>0</v>
      </c>
    </row>
    <row r="33" spans="1:66" x14ac:dyDescent="0.35">
      <c r="A33">
        <f>'mk 001 10.3'!A35</f>
        <v>0</v>
      </c>
      <c r="B33">
        <f>'mk 001 10.3'!B35</f>
        <v>0</v>
      </c>
      <c r="C33" s="1" t="str">
        <f>'mk 001 10.3'!C35</f>
        <v>14/5/2569</v>
      </c>
      <c r="D33" s="1" t="str">
        <f>'mk 001 10.3'!D35</f>
        <v>14/5/2569</v>
      </c>
      <c r="E33">
        <f>'mk 001 10.3'!E35</f>
        <v>0</v>
      </c>
      <c r="F33" t="str">
        <f>'mk 001 10.3'!F35</f>
        <v>489M</v>
      </c>
      <c r="G33" t="str">
        <f>'mk 001 10.3'!G35</f>
        <v>Modern Trade (Makro)</v>
      </c>
      <c r="H33">
        <f>'mk 001 10.3'!H35</f>
        <v>0</v>
      </c>
      <c r="I33" t="str">
        <f>'mk 001 10.3'!I35</f>
        <v>หน่วยงานกลาง</v>
      </c>
      <c r="J33" t="str">
        <f>'mk 001 10.3'!J35</f>
        <v>F213  DMCW-รชล-พระพุทธบาท</v>
      </c>
      <c r="K33" t="str">
        <f>'mk 001 10.3'!K35</f>
        <v>00000  หน่วยงานกลาง</v>
      </c>
      <c r="L33">
        <f>'mk 001 10.3'!L35</f>
        <v>923</v>
      </c>
      <c r="M33">
        <f>'mk 001 10.3'!M35</f>
        <v>0</v>
      </c>
      <c r="Q33" s="13" t="str">
        <f>IF(แปลงข้อมูล!P34,แปลงข้อมูล!H34,"")</f>
        <v/>
      </c>
      <c r="R33" s="1">
        <f>'mk 001 10.3'!R35</f>
        <v>244566</v>
      </c>
      <c r="S33" s="1" t="str">
        <f>'mk 001 10.3'!S35</f>
        <v>14/5/2569</v>
      </c>
      <c r="U33" s="13" t="str">
        <f>IF(แปลงข้อมูล!P34,แปลงข้อมูล!I34,"")</f>
        <v/>
      </c>
      <c r="V33" s="13" t="str">
        <f>IF(แปลงข้อมูล!P34,แปลงข้อมูล!J34,"")</f>
        <v/>
      </c>
      <c r="Y33" s="13" t="str">
        <f>_xlfn.XLOOKUP(V33,'mk 001 10.3'!V:V,'mk 001 10.3'!Y:Y,"")</f>
        <v/>
      </c>
      <c r="Z33" s="13" t="str">
        <f>IF(แปลงข้อมูล!P34,แปลงข้อมูล!N34,"")</f>
        <v/>
      </c>
      <c r="BL33" t="str">
        <f>'mk 001 10.3'!BL35</f>
        <v>SYSBATCH</v>
      </c>
      <c r="BM33">
        <f>'mk 001 10.3'!BM35</f>
        <v>0</v>
      </c>
      <c r="BN33">
        <f>'mk 001 10.3'!BN35</f>
        <v>0</v>
      </c>
    </row>
    <row r="34" spans="1:66" x14ac:dyDescent="0.35">
      <c r="A34">
        <f>'mk 001 10.3'!A36</f>
        <v>0</v>
      </c>
      <c r="B34">
        <f>'mk 001 10.3'!B36</f>
        <v>0</v>
      </c>
      <c r="C34" s="1" t="str">
        <f>'mk 001 10.3'!C36</f>
        <v>14/5/2569</v>
      </c>
      <c r="D34" s="1" t="str">
        <f>'mk 001 10.3'!D36</f>
        <v>14/5/2569</v>
      </c>
      <c r="E34">
        <f>'mk 001 10.3'!E36</f>
        <v>0</v>
      </c>
      <c r="F34" t="str">
        <f>'mk 001 10.3'!F36</f>
        <v>489M</v>
      </c>
      <c r="G34" t="str">
        <f>'mk 001 10.3'!G36</f>
        <v>Modern Trade (Makro)</v>
      </c>
      <c r="H34">
        <f>'mk 001 10.3'!H36</f>
        <v>0</v>
      </c>
      <c r="I34" t="str">
        <f>'mk 001 10.3'!I36</f>
        <v>หน่วยงานกลาง</v>
      </c>
      <c r="J34" t="str">
        <f>'mk 001 10.3'!J36</f>
        <v>F213  DMCW-รชล-พระพุทธบาท</v>
      </c>
      <c r="K34" t="str">
        <f>'mk 001 10.3'!K36</f>
        <v>00000  หน่วยงานกลาง</v>
      </c>
      <c r="L34">
        <f>'mk 001 10.3'!L36</f>
        <v>923</v>
      </c>
      <c r="M34">
        <f>'mk 001 10.3'!M36</f>
        <v>0</v>
      </c>
      <c r="Q34" s="13" t="str">
        <f>IF(แปลงข้อมูล!P35,แปลงข้อมูล!H35,"")</f>
        <v/>
      </c>
      <c r="R34" s="1">
        <f>'mk 001 10.3'!R36</f>
        <v>244566</v>
      </c>
      <c r="S34" s="1" t="str">
        <f>'mk 001 10.3'!S36</f>
        <v>14/5/2569</v>
      </c>
      <c r="U34" s="13" t="str">
        <f>IF(แปลงข้อมูล!P35,แปลงข้อมูล!I35,"")</f>
        <v/>
      </c>
      <c r="V34" s="13" t="str">
        <f>IF(แปลงข้อมูล!P35,แปลงข้อมูล!J35,"")</f>
        <v/>
      </c>
      <c r="Y34" s="13" t="str">
        <f>_xlfn.XLOOKUP(V34,'mk 001 10.3'!V:V,'mk 001 10.3'!Y:Y,"")</f>
        <v/>
      </c>
      <c r="Z34" s="13" t="str">
        <f>IF(แปลงข้อมูล!P35,แปลงข้อมูล!N35,"")</f>
        <v/>
      </c>
      <c r="BL34" t="str">
        <f>'mk 001 10.3'!BL36</f>
        <v>SYSBATCH</v>
      </c>
      <c r="BM34">
        <f>'mk 001 10.3'!BM36</f>
        <v>0</v>
      </c>
      <c r="BN34">
        <f>'mk 001 10.3'!BN36</f>
        <v>0</v>
      </c>
    </row>
    <row r="35" spans="1:66" x14ac:dyDescent="0.35">
      <c r="A35">
        <f>'mk 001 10.3'!A37</f>
        <v>0</v>
      </c>
      <c r="B35">
        <f>'mk 001 10.3'!B37</f>
        <v>0</v>
      </c>
      <c r="C35" s="1" t="str">
        <f>'mk 001 10.3'!C37</f>
        <v>14/5/2569</v>
      </c>
      <c r="D35" s="1" t="str">
        <f>'mk 001 10.3'!D37</f>
        <v>14/5/2569</v>
      </c>
      <c r="E35">
        <f>'mk 001 10.3'!E37</f>
        <v>0</v>
      </c>
      <c r="F35" t="str">
        <f>'mk 001 10.3'!F37</f>
        <v>489M</v>
      </c>
      <c r="G35" t="str">
        <f>'mk 001 10.3'!G37</f>
        <v>Modern Trade (Makro)</v>
      </c>
      <c r="H35">
        <f>'mk 001 10.3'!H37</f>
        <v>0</v>
      </c>
      <c r="I35" t="str">
        <f>'mk 001 10.3'!I37</f>
        <v>หน่วยงานกลาง</v>
      </c>
      <c r="J35" t="str">
        <f>'mk 001 10.3'!J37</f>
        <v>F213  DMCW-รชล-พระพุทธบาท</v>
      </c>
      <c r="K35" t="str">
        <f>'mk 001 10.3'!K37</f>
        <v>00000  หน่วยงานกลาง</v>
      </c>
      <c r="L35">
        <f>'mk 001 10.3'!L37</f>
        <v>923</v>
      </c>
      <c r="M35">
        <f>'mk 001 10.3'!M37</f>
        <v>0</v>
      </c>
      <c r="Q35" s="13" t="str">
        <f>IF(แปลงข้อมูล!P36,แปลงข้อมูล!H36,"")</f>
        <v/>
      </c>
      <c r="R35" s="1">
        <f>'mk 001 10.3'!R37</f>
        <v>244566</v>
      </c>
      <c r="S35" s="1" t="str">
        <f>'mk 001 10.3'!S37</f>
        <v>14/5/2569</v>
      </c>
      <c r="U35" s="13" t="str">
        <f>IF(แปลงข้อมูล!P36,แปลงข้อมูล!I36,"")</f>
        <v/>
      </c>
      <c r="V35" s="13" t="str">
        <f>IF(แปลงข้อมูล!P36,แปลงข้อมูล!J36,"")</f>
        <v/>
      </c>
      <c r="Y35" s="13" t="str">
        <f>_xlfn.XLOOKUP(V35,'mk 001 10.3'!V:V,'mk 001 10.3'!Y:Y,"")</f>
        <v/>
      </c>
      <c r="Z35" s="13" t="str">
        <f>IF(แปลงข้อมูล!P36,แปลงข้อมูล!N36,"")</f>
        <v/>
      </c>
      <c r="BL35" t="str">
        <f>'mk 001 10.3'!BL37</f>
        <v>SYSBATCH</v>
      </c>
      <c r="BM35">
        <f>'mk 001 10.3'!BM37</f>
        <v>0</v>
      </c>
      <c r="BN35">
        <f>'mk 001 10.3'!BN37</f>
        <v>0</v>
      </c>
    </row>
    <row r="36" spans="1:66" x14ac:dyDescent="0.35">
      <c r="A36">
        <f>'mk 001 10.3'!A38</f>
        <v>0</v>
      </c>
      <c r="B36">
        <f>'mk 001 10.3'!B38</f>
        <v>0</v>
      </c>
      <c r="C36" s="1" t="str">
        <f>'mk 001 10.3'!C38</f>
        <v>14/5/2569</v>
      </c>
      <c r="D36" s="1" t="str">
        <f>'mk 001 10.3'!D38</f>
        <v>14/5/2569</v>
      </c>
      <c r="E36">
        <f>'mk 001 10.3'!E38</f>
        <v>0</v>
      </c>
      <c r="F36" t="str">
        <f>'mk 001 10.3'!F38</f>
        <v>489M</v>
      </c>
      <c r="G36" t="str">
        <f>'mk 001 10.3'!G38</f>
        <v>Modern Trade (Makro)</v>
      </c>
      <c r="H36">
        <f>'mk 001 10.3'!H38</f>
        <v>0</v>
      </c>
      <c r="I36" t="str">
        <f>'mk 001 10.3'!I38</f>
        <v>หน่วยงานกลาง</v>
      </c>
      <c r="J36" t="str">
        <f>'mk 001 10.3'!J38</f>
        <v>F213  DMCW-รชล-พระพุทธบาท</v>
      </c>
      <c r="K36" t="str">
        <f>'mk 001 10.3'!K38</f>
        <v>00000  หน่วยงานกลาง</v>
      </c>
      <c r="L36">
        <f>'mk 001 10.3'!L38</f>
        <v>923</v>
      </c>
      <c r="M36">
        <f>'mk 001 10.3'!M38</f>
        <v>0</v>
      </c>
      <c r="Q36" s="13" t="str">
        <f>IF(แปลงข้อมูล!P37,แปลงข้อมูล!H37,"")</f>
        <v/>
      </c>
      <c r="R36" s="1">
        <f>'mk 001 10.3'!R38</f>
        <v>244566</v>
      </c>
      <c r="S36" s="1" t="str">
        <f>'mk 001 10.3'!S38</f>
        <v>14/5/2569</v>
      </c>
      <c r="U36" s="13" t="str">
        <f>IF(แปลงข้อมูล!P37,แปลงข้อมูล!I37,"")</f>
        <v/>
      </c>
      <c r="V36" s="13" t="str">
        <f>IF(แปลงข้อมูล!P37,แปลงข้อมูล!J37,"")</f>
        <v/>
      </c>
      <c r="Y36" s="13" t="str">
        <f>_xlfn.XLOOKUP(V36,'mk 001 10.3'!V:V,'mk 001 10.3'!Y:Y,"")</f>
        <v/>
      </c>
      <c r="Z36" s="13" t="str">
        <f>IF(แปลงข้อมูล!P37,แปลงข้อมูล!N37,"")</f>
        <v/>
      </c>
      <c r="BL36" t="str">
        <f>'mk 001 10.3'!BL38</f>
        <v>SYSBATCH</v>
      </c>
      <c r="BM36">
        <f>'mk 001 10.3'!BM38</f>
        <v>0</v>
      </c>
      <c r="BN36">
        <f>'mk 001 10.3'!BN38</f>
        <v>0</v>
      </c>
    </row>
    <row r="37" spans="1:66" x14ac:dyDescent="0.35">
      <c r="A37">
        <f>'mk 001 10.3'!A39</f>
        <v>0</v>
      </c>
      <c r="B37">
        <f>'mk 001 10.3'!B39</f>
        <v>0</v>
      </c>
      <c r="C37" s="1" t="str">
        <f>'mk 001 10.3'!C39</f>
        <v>14/5/2569</v>
      </c>
      <c r="D37" s="1" t="str">
        <f>'mk 001 10.3'!D39</f>
        <v>14/5/2569</v>
      </c>
      <c r="E37">
        <f>'mk 001 10.3'!E39</f>
        <v>0</v>
      </c>
      <c r="F37" t="str">
        <f>'mk 001 10.3'!F39</f>
        <v>489M</v>
      </c>
      <c r="G37" t="str">
        <f>'mk 001 10.3'!G39</f>
        <v>Modern Trade (Makro)</v>
      </c>
      <c r="H37">
        <f>'mk 001 10.3'!H39</f>
        <v>0</v>
      </c>
      <c r="I37" t="str">
        <f>'mk 001 10.3'!I39</f>
        <v>หน่วยงานกลาง</v>
      </c>
      <c r="J37" t="str">
        <f>'mk 001 10.3'!J39</f>
        <v>F213  DMCW-รชล-พระพุทธบาท</v>
      </c>
      <c r="K37" t="str">
        <f>'mk 001 10.3'!K39</f>
        <v>00000  หน่วยงานกลาง</v>
      </c>
      <c r="L37">
        <f>'mk 001 10.3'!L39</f>
        <v>923</v>
      </c>
      <c r="M37">
        <f>'mk 001 10.3'!M39</f>
        <v>0</v>
      </c>
      <c r="Q37" s="13" t="str">
        <f>IF(แปลงข้อมูล!P38,แปลงข้อมูล!H38,"")</f>
        <v/>
      </c>
      <c r="R37" s="1">
        <f>'mk 001 10.3'!R39</f>
        <v>244566</v>
      </c>
      <c r="S37" s="1" t="str">
        <f>'mk 001 10.3'!S39</f>
        <v>14/5/2569</v>
      </c>
      <c r="U37" s="13" t="str">
        <f>IF(แปลงข้อมูล!P38,แปลงข้อมูล!I38,"")</f>
        <v/>
      </c>
      <c r="V37" s="13" t="str">
        <f>IF(แปลงข้อมูล!P38,แปลงข้อมูล!J38,"")</f>
        <v/>
      </c>
      <c r="Y37" s="13" t="str">
        <f>_xlfn.XLOOKUP(V37,'mk 001 10.3'!V:V,'mk 001 10.3'!Y:Y,"")</f>
        <v/>
      </c>
      <c r="Z37" s="13" t="str">
        <f>IF(แปลงข้อมูล!P38,แปลงข้อมูล!N38,"")</f>
        <v/>
      </c>
      <c r="BL37" t="str">
        <f>'mk 001 10.3'!BL39</f>
        <v>SYSBATCH</v>
      </c>
      <c r="BM37">
        <f>'mk 001 10.3'!BM39</f>
        <v>0</v>
      </c>
      <c r="BN37">
        <f>'mk 001 10.3'!BN39</f>
        <v>0</v>
      </c>
    </row>
    <row r="38" spans="1:66" x14ac:dyDescent="0.35">
      <c r="A38">
        <f>'mk 001 10.3'!A40</f>
        <v>0</v>
      </c>
      <c r="B38">
        <f>'mk 001 10.3'!B40</f>
        <v>0</v>
      </c>
      <c r="C38" s="1" t="str">
        <f>'mk 001 10.3'!C40</f>
        <v>14/5/2569</v>
      </c>
      <c r="D38" s="1" t="str">
        <f>'mk 001 10.3'!D40</f>
        <v>14/5/2569</v>
      </c>
      <c r="E38">
        <f>'mk 001 10.3'!E40</f>
        <v>0</v>
      </c>
      <c r="F38" t="str">
        <f>'mk 001 10.3'!F40</f>
        <v>489M</v>
      </c>
      <c r="G38" t="str">
        <f>'mk 001 10.3'!G40</f>
        <v>Modern Trade (Makro)</v>
      </c>
      <c r="H38">
        <f>'mk 001 10.3'!H40</f>
        <v>0</v>
      </c>
      <c r="I38" t="str">
        <f>'mk 001 10.3'!I40</f>
        <v>หน่วยงานกลาง</v>
      </c>
      <c r="J38" t="str">
        <f>'mk 001 10.3'!J40</f>
        <v>F213  DMCW-รชล-พระพุทธบาท</v>
      </c>
      <c r="K38" t="str">
        <f>'mk 001 10.3'!K40</f>
        <v>00000  หน่วยงานกลาง</v>
      </c>
      <c r="L38">
        <f>'mk 001 10.3'!L40</f>
        <v>923</v>
      </c>
      <c r="M38">
        <f>'mk 001 10.3'!M40</f>
        <v>0</v>
      </c>
      <c r="Q38" s="13" t="str">
        <f>IF(แปลงข้อมูล!P39,แปลงข้อมูล!H39,"")</f>
        <v/>
      </c>
      <c r="R38" s="1">
        <f>'mk 001 10.3'!R40</f>
        <v>244566</v>
      </c>
      <c r="S38" s="1" t="str">
        <f>'mk 001 10.3'!S40</f>
        <v>14/5/2569</v>
      </c>
      <c r="U38" s="13" t="str">
        <f>IF(แปลงข้อมูล!P39,แปลงข้อมูล!I39,"")</f>
        <v/>
      </c>
      <c r="V38" s="13" t="str">
        <f>IF(แปลงข้อมูล!P39,แปลงข้อมูล!J39,"")</f>
        <v/>
      </c>
      <c r="Y38" s="13" t="str">
        <f>_xlfn.XLOOKUP(V38,'mk 001 10.3'!V:V,'mk 001 10.3'!Y:Y,"")</f>
        <v/>
      </c>
      <c r="Z38" s="13" t="str">
        <f>IF(แปลงข้อมูล!P39,แปลงข้อมูล!N39,"")</f>
        <v/>
      </c>
      <c r="BL38" t="str">
        <f>'mk 001 10.3'!BL40</f>
        <v>SYSBATCH</v>
      </c>
      <c r="BM38">
        <f>'mk 001 10.3'!BM40</f>
        <v>0</v>
      </c>
      <c r="BN38">
        <f>'mk 001 10.3'!BN40</f>
        <v>0</v>
      </c>
    </row>
    <row r="39" spans="1:66" x14ac:dyDescent="0.35">
      <c r="A39">
        <f>'mk 001 10.3'!A41</f>
        <v>0</v>
      </c>
      <c r="B39">
        <f>'mk 001 10.3'!B41</f>
        <v>0</v>
      </c>
      <c r="C39" s="1" t="str">
        <f>'mk 001 10.3'!C41</f>
        <v>14/5/2569</v>
      </c>
      <c r="D39" s="1" t="str">
        <f>'mk 001 10.3'!D41</f>
        <v>14/5/2569</v>
      </c>
      <c r="E39">
        <f>'mk 001 10.3'!E41</f>
        <v>0</v>
      </c>
      <c r="F39" t="str">
        <f>'mk 001 10.3'!F41</f>
        <v>489M</v>
      </c>
      <c r="G39" t="str">
        <f>'mk 001 10.3'!G41</f>
        <v>Modern Trade (Makro)</v>
      </c>
      <c r="H39">
        <f>'mk 001 10.3'!H41</f>
        <v>0</v>
      </c>
      <c r="I39" t="str">
        <f>'mk 001 10.3'!I41</f>
        <v>หน่วยงานกลาง</v>
      </c>
      <c r="J39" t="str">
        <f>'mk 001 10.3'!J41</f>
        <v>F213  DMCW-รชล-พระพุทธบาท</v>
      </c>
      <c r="K39" t="str">
        <f>'mk 001 10.3'!K41</f>
        <v>00000  หน่วยงานกลาง</v>
      </c>
      <c r="L39">
        <f>'mk 001 10.3'!L41</f>
        <v>923</v>
      </c>
      <c r="M39">
        <f>'mk 001 10.3'!M41</f>
        <v>0</v>
      </c>
      <c r="Q39" s="13" t="str">
        <f>IF(แปลงข้อมูล!P40,แปลงข้อมูล!H40,"")</f>
        <v/>
      </c>
      <c r="R39" s="1">
        <f>'mk 001 10.3'!R41</f>
        <v>244566</v>
      </c>
      <c r="S39" s="1" t="str">
        <f>'mk 001 10.3'!S41</f>
        <v>14/5/2569</v>
      </c>
      <c r="U39" s="13" t="str">
        <f>IF(แปลงข้อมูล!P40,แปลงข้อมูล!I40,"")</f>
        <v/>
      </c>
      <c r="V39" s="13" t="str">
        <f>IF(แปลงข้อมูล!P40,แปลงข้อมูล!J40,"")</f>
        <v/>
      </c>
      <c r="Y39" s="13" t="str">
        <f>_xlfn.XLOOKUP(V39,'mk 001 10.3'!V:V,'mk 001 10.3'!Y:Y,"")</f>
        <v/>
      </c>
      <c r="Z39" s="13" t="str">
        <f>IF(แปลงข้อมูล!P40,แปลงข้อมูล!N40,"")</f>
        <v/>
      </c>
      <c r="BL39" t="str">
        <f>'mk 001 10.3'!BL41</f>
        <v>SYSBATCH</v>
      </c>
      <c r="BM39">
        <f>'mk 001 10.3'!BM41</f>
        <v>0</v>
      </c>
      <c r="BN39">
        <f>'mk 001 10.3'!BN41</f>
        <v>0</v>
      </c>
    </row>
    <row r="40" spans="1:66" x14ac:dyDescent="0.35">
      <c r="A40">
        <f>'mk 001 10.3'!A42</f>
        <v>0</v>
      </c>
      <c r="B40">
        <f>'mk 001 10.3'!B42</f>
        <v>0</v>
      </c>
      <c r="C40" s="1" t="str">
        <f>'mk 001 10.3'!C42</f>
        <v>14/5/2569</v>
      </c>
      <c r="D40" s="1" t="str">
        <f>'mk 001 10.3'!D42</f>
        <v>14/5/2569</v>
      </c>
      <c r="E40">
        <f>'mk 001 10.3'!E42</f>
        <v>0</v>
      </c>
      <c r="F40" t="str">
        <f>'mk 001 10.3'!F42</f>
        <v>489M</v>
      </c>
      <c r="G40" t="str">
        <f>'mk 001 10.3'!G42</f>
        <v>Modern Trade (Makro)</v>
      </c>
      <c r="H40">
        <f>'mk 001 10.3'!H42</f>
        <v>0</v>
      </c>
      <c r="I40" t="str">
        <f>'mk 001 10.3'!I42</f>
        <v>หน่วยงานกลาง</v>
      </c>
      <c r="J40" t="str">
        <f>'mk 001 10.3'!J42</f>
        <v>F213  DMCW-รชล-พระพุทธบาท</v>
      </c>
      <c r="K40" t="str">
        <f>'mk 001 10.3'!K42</f>
        <v>00000  หน่วยงานกลาง</v>
      </c>
      <c r="L40">
        <f>'mk 001 10.3'!L42</f>
        <v>923</v>
      </c>
      <c r="M40">
        <f>'mk 001 10.3'!M42</f>
        <v>0</v>
      </c>
      <c r="Q40" s="13" t="str">
        <f>IF(แปลงข้อมูล!P41,แปลงข้อมูล!H41,"")</f>
        <v/>
      </c>
      <c r="R40" s="1">
        <f>'mk 001 10.3'!R42</f>
        <v>244566</v>
      </c>
      <c r="S40" s="1" t="str">
        <f>'mk 001 10.3'!S42</f>
        <v>14/5/2569</v>
      </c>
      <c r="U40" s="13" t="str">
        <f>IF(แปลงข้อมูล!P41,แปลงข้อมูล!I41,"")</f>
        <v/>
      </c>
      <c r="V40" s="13" t="str">
        <f>IF(แปลงข้อมูล!P41,แปลงข้อมูล!J41,"")</f>
        <v/>
      </c>
      <c r="Y40" s="13" t="str">
        <f>_xlfn.XLOOKUP(V40,'mk 001 10.3'!V:V,'mk 001 10.3'!Y:Y,"")</f>
        <v/>
      </c>
      <c r="Z40" s="13" t="str">
        <f>IF(แปลงข้อมูล!P41,แปลงข้อมูล!N41,"")</f>
        <v/>
      </c>
      <c r="BL40" t="str">
        <f>'mk 001 10.3'!BL42</f>
        <v>SYSBATCH</v>
      </c>
      <c r="BM40">
        <f>'mk 001 10.3'!BM42</f>
        <v>0</v>
      </c>
      <c r="BN40">
        <f>'mk 001 10.3'!BN42</f>
        <v>0</v>
      </c>
    </row>
    <row r="41" spans="1:66" x14ac:dyDescent="0.35">
      <c r="A41">
        <f>'mk 001 10.3'!A43</f>
        <v>0</v>
      </c>
      <c r="B41">
        <f>'mk 001 10.3'!B43</f>
        <v>0</v>
      </c>
      <c r="C41" s="1" t="str">
        <f>'mk 001 10.3'!C43</f>
        <v>14/5/2569</v>
      </c>
      <c r="D41" s="1" t="str">
        <f>'mk 001 10.3'!D43</f>
        <v>14/5/2569</v>
      </c>
      <c r="E41">
        <f>'mk 001 10.3'!E43</f>
        <v>0</v>
      </c>
      <c r="F41" t="str">
        <f>'mk 001 10.3'!F43</f>
        <v>489M</v>
      </c>
      <c r="G41" t="str">
        <f>'mk 001 10.3'!G43</f>
        <v>Modern Trade (Makro)</v>
      </c>
      <c r="H41">
        <f>'mk 001 10.3'!H43</f>
        <v>0</v>
      </c>
      <c r="I41" t="str">
        <f>'mk 001 10.3'!I43</f>
        <v>หน่วยงานกลาง</v>
      </c>
      <c r="J41" t="str">
        <f>'mk 001 10.3'!J43</f>
        <v>F213  DMCW-รชล-พระพุทธบาท</v>
      </c>
      <c r="K41" t="str">
        <f>'mk 001 10.3'!K43</f>
        <v>00000  หน่วยงานกลาง</v>
      </c>
      <c r="L41">
        <f>'mk 001 10.3'!L43</f>
        <v>923</v>
      </c>
      <c r="M41">
        <f>'mk 001 10.3'!M43</f>
        <v>0</v>
      </c>
      <c r="Q41" s="13" t="str">
        <f>IF(แปลงข้อมูล!P42,แปลงข้อมูล!H42,"")</f>
        <v/>
      </c>
      <c r="R41" s="1">
        <f>'mk 001 10.3'!R43</f>
        <v>244566</v>
      </c>
      <c r="S41" s="1" t="str">
        <f>'mk 001 10.3'!S43</f>
        <v>14/5/2569</v>
      </c>
      <c r="U41" s="13" t="str">
        <f>IF(แปลงข้อมูล!P42,แปลงข้อมูล!I42,"")</f>
        <v/>
      </c>
      <c r="V41" s="13" t="str">
        <f>IF(แปลงข้อมูล!P42,แปลงข้อมูล!J42,"")</f>
        <v/>
      </c>
      <c r="Y41" s="13" t="str">
        <f>_xlfn.XLOOKUP(V41,'mk 001 10.3'!V:V,'mk 001 10.3'!Y:Y,"")</f>
        <v/>
      </c>
      <c r="Z41" s="13" t="str">
        <f>IF(แปลงข้อมูล!P42,แปลงข้อมูล!N42,"")</f>
        <v/>
      </c>
      <c r="BL41" t="str">
        <f>'mk 001 10.3'!BL43</f>
        <v>SYSBATCH</v>
      </c>
      <c r="BM41">
        <f>'mk 001 10.3'!BM43</f>
        <v>0</v>
      </c>
      <c r="BN41">
        <f>'mk 001 10.3'!BN43</f>
        <v>0</v>
      </c>
    </row>
    <row r="42" spans="1:66" x14ac:dyDescent="0.35">
      <c r="A42">
        <f>'mk 001 10.3'!A44</f>
        <v>0</v>
      </c>
      <c r="B42">
        <f>'mk 001 10.3'!B44</f>
        <v>0</v>
      </c>
      <c r="C42" s="1" t="str">
        <f>'mk 001 10.3'!C44</f>
        <v>14/5/2569</v>
      </c>
      <c r="D42" s="1" t="str">
        <f>'mk 001 10.3'!D44</f>
        <v>14/5/2569</v>
      </c>
      <c r="E42">
        <f>'mk 001 10.3'!E44</f>
        <v>0</v>
      </c>
      <c r="F42" t="str">
        <f>'mk 001 10.3'!F44</f>
        <v>489M</v>
      </c>
      <c r="G42" t="str">
        <f>'mk 001 10.3'!G44</f>
        <v>Modern Trade (Makro)</v>
      </c>
      <c r="H42">
        <f>'mk 001 10.3'!H44</f>
        <v>0</v>
      </c>
      <c r="I42" t="str">
        <f>'mk 001 10.3'!I44</f>
        <v>หน่วยงานกลาง</v>
      </c>
      <c r="J42" t="str">
        <f>'mk 001 10.3'!J44</f>
        <v>F213  DMCW-รชล-พระพุทธบาท</v>
      </c>
      <c r="K42" t="str">
        <f>'mk 001 10.3'!K44</f>
        <v>00000  หน่วยงานกลาง</v>
      </c>
      <c r="L42">
        <f>'mk 001 10.3'!L44</f>
        <v>923</v>
      </c>
      <c r="M42">
        <f>'mk 001 10.3'!M44</f>
        <v>0</v>
      </c>
      <c r="Q42" s="13" t="str">
        <f>IF(แปลงข้อมูล!P43,แปลงข้อมูล!H43,"")</f>
        <v/>
      </c>
      <c r="R42" s="1">
        <f>'mk 001 10.3'!R44</f>
        <v>244566</v>
      </c>
      <c r="S42" s="1" t="str">
        <f>'mk 001 10.3'!S44</f>
        <v>14/5/2569</v>
      </c>
      <c r="U42" s="13" t="str">
        <f>IF(แปลงข้อมูล!P43,แปลงข้อมูล!I43,"")</f>
        <v/>
      </c>
      <c r="V42" s="13" t="str">
        <f>IF(แปลงข้อมูล!P43,แปลงข้อมูล!J43,"")</f>
        <v/>
      </c>
      <c r="Y42" s="13" t="str">
        <f>_xlfn.XLOOKUP(V42,'mk 001 10.3'!V:V,'mk 001 10.3'!Y:Y,"")</f>
        <v/>
      </c>
      <c r="Z42" s="13" t="str">
        <f>IF(แปลงข้อมูล!P43,แปลงข้อมูล!N43,"")</f>
        <v/>
      </c>
      <c r="BL42" t="str">
        <f>'mk 001 10.3'!BL44</f>
        <v>SYSBATCH</v>
      </c>
      <c r="BM42">
        <f>'mk 001 10.3'!BM44</f>
        <v>0</v>
      </c>
      <c r="BN42">
        <f>'mk 001 10.3'!BN44</f>
        <v>0</v>
      </c>
    </row>
    <row r="43" spans="1:66" x14ac:dyDescent="0.35">
      <c r="A43">
        <f>'mk 001 10.3'!A45</f>
        <v>0</v>
      </c>
      <c r="B43">
        <f>'mk 001 10.3'!B45</f>
        <v>0</v>
      </c>
      <c r="C43" s="1" t="str">
        <f>'mk 001 10.3'!C45</f>
        <v>14/5/2569</v>
      </c>
      <c r="D43" s="1" t="str">
        <f>'mk 001 10.3'!D45</f>
        <v>14/5/2569</v>
      </c>
      <c r="E43">
        <f>'mk 001 10.3'!E45</f>
        <v>0</v>
      </c>
      <c r="F43" t="str">
        <f>'mk 001 10.3'!F45</f>
        <v>489M</v>
      </c>
      <c r="G43" t="str">
        <f>'mk 001 10.3'!G45</f>
        <v>Modern Trade (Makro)</v>
      </c>
      <c r="H43">
        <f>'mk 001 10.3'!H45</f>
        <v>0</v>
      </c>
      <c r="I43" t="str">
        <f>'mk 001 10.3'!I45</f>
        <v>หน่วยงานกลาง</v>
      </c>
      <c r="J43" t="str">
        <f>'mk 001 10.3'!J45</f>
        <v>F213  DMCW-รชล-พระพุทธบาท</v>
      </c>
      <c r="K43" t="str">
        <f>'mk 001 10.3'!K45</f>
        <v>00000  หน่วยงานกลาง</v>
      </c>
      <c r="L43">
        <f>'mk 001 10.3'!L45</f>
        <v>923</v>
      </c>
      <c r="M43">
        <f>'mk 001 10.3'!M45</f>
        <v>0</v>
      </c>
      <c r="Q43" s="13" t="str">
        <f>IF(แปลงข้อมูล!P44,แปลงข้อมูล!H44,"")</f>
        <v/>
      </c>
      <c r="R43" s="1">
        <f>'mk 001 10.3'!R45</f>
        <v>244566</v>
      </c>
      <c r="S43" s="1" t="str">
        <f>'mk 001 10.3'!S45</f>
        <v>14/5/2569</v>
      </c>
      <c r="U43" s="13" t="str">
        <f>IF(แปลงข้อมูล!P44,แปลงข้อมูล!I44,"")</f>
        <v/>
      </c>
      <c r="V43" s="13" t="str">
        <f>IF(แปลงข้อมูล!P44,แปลงข้อมูล!J44,"")</f>
        <v/>
      </c>
      <c r="Y43" s="13" t="str">
        <f>_xlfn.XLOOKUP(V43,'mk 001 10.3'!V:V,'mk 001 10.3'!Y:Y,"")</f>
        <v/>
      </c>
      <c r="Z43" s="13" t="str">
        <f>IF(แปลงข้อมูล!P44,แปลงข้อมูล!N44,"")</f>
        <v/>
      </c>
      <c r="BL43" t="str">
        <f>'mk 001 10.3'!BL45</f>
        <v>SYSBATCH</v>
      </c>
      <c r="BM43">
        <f>'mk 001 10.3'!BM45</f>
        <v>0</v>
      </c>
      <c r="BN43">
        <f>'mk 001 10.3'!BN45</f>
        <v>0</v>
      </c>
    </row>
    <row r="44" spans="1:66" x14ac:dyDescent="0.35">
      <c r="A44">
        <f>'mk 001 10.3'!A46</f>
        <v>0</v>
      </c>
      <c r="B44">
        <f>'mk 001 10.3'!B46</f>
        <v>0</v>
      </c>
      <c r="C44" s="1" t="str">
        <f>'mk 001 10.3'!C46</f>
        <v>14/5/2569</v>
      </c>
      <c r="D44" s="1" t="str">
        <f>'mk 001 10.3'!D46</f>
        <v>14/5/2569</v>
      </c>
      <c r="E44">
        <f>'mk 001 10.3'!E46</f>
        <v>0</v>
      </c>
      <c r="F44" t="str">
        <f>'mk 001 10.3'!F46</f>
        <v>489M</v>
      </c>
      <c r="G44" t="str">
        <f>'mk 001 10.3'!G46</f>
        <v>Modern Trade (Makro)</v>
      </c>
      <c r="H44">
        <f>'mk 001 10.3'!H46</f>
        <v>0</v>
      </c>
      <c r="I44" t="str">
        <f>'mk 001 10.3'!I46</f>
        <v>หน่วยงานกลาง</v>
      </c>
      <c r="J44" t="str">
        <f>'mk 001 10.3'!J46</f>
        <v>F213  DMCW-รชล-พระพุทธบาท</v>
      </c>
      <c r="K44" t="str">
        <f>'mk 001 10.3'!K46</f>
        <v>00000  หน่วยงานกลาง</v>
      </c>
      <c r="L44">
        <f>'mk 001 10.3'!L46</f>
        <v>923</v>
      </c>
      <c r="M44">
        <f>'mk 001 10.3'!M46</f>
        <v>0</v>
      </c>
      <c r="Q44" s="13" t="str">
        <f>IF(แปลงข้อมูล!P45,แปลงข้อมูล!H45,"")</f>
        <v/>
      </c>
      <c r="R44" s="1">
        <f>'mk 001 10.3'!R46</f>
        <v>244566</v>
      </c>
      <c r="S44" s="1" t="str">
        <f>'mk 001 10.3'!S46</f>
        <v>14/5/2569</v>
      </c>
      <c r="U44" s="13" t="str">
        <f>IF(แปลงข้อมูล!P45,แปลงข้อมูล!I45,"")</f>
        <v/>
      </c>
      <c r="V44" s="13" t="str">
        <f>IF(แปลงข้อมูล!P45,แปลงข้อมูล!J45,"")</f>
        <v/>
      </c>
      <c r="Y44" s="13" t="str">
        <f>_xlfn.XLOOKUP(V44,'mk 001 10.3'!V:V,'mk 001 10.3'!Y:Y,"")</f>
        <v/>
      </c>
      <c r="Z44" s="13" t="str">
        <f>IF(แปลงข้อมูล!P45,แปลงข้อมูล!N45,"")</f>
        <v/>
      </c>
      <c r="BL44" t="str">
        <f>'mk 001 10.3'!BL46</f>
        <v>SYSBATCH</v>
      </c>
      <c r="BM44">
        <f>'mk 001 10.3'!BM46</f>
        <v>0</v>
      </c>
      <c r="BN44">
        <f>'mk 001 10.3'!BN46</f>
        <v>0</v>
      </c>
    </row>
    <row r="45" spans="1:66" x14ac:dyDescent="0.35">
      <c r="A45">
        <f>'mk 001 10.3'!A47</f>
        <v>0</v>
      </c>
      <c r="B45">
        <f>'mk 001 10.3'!B47</f>
        <v>0</v>
      </c>
      <c r="C45" s="1" t="str">
        <f>'mk 001 10.3'!C47</f>
        <v>14/5/2569</v>
      </c>
      <c r="D45" s="1" t="str">
        <f>'mk 001 10.3'!D47</f>
        <v>14/5/2569</v>
      </c>
      <c r="E45">
        <f>'mk 001 10.3'!E47</f>
        <v>0</v>
      </c>
      <c r="F45" t="str">
        <f>'mk 001 10.3'!F47</f>
        <v>489M</v>
      </c>
      <c r="G45" t="str">
        <f>'mk 001 10.3'!G47</f>
        <v>Modern Trade (Makro)</v>
      </c>
      <c r="H45">
        <f>'mk 001 10.3'!H47</f>
        <v>0</v>
      </c>
      <c r="I45" t="str">
        <f>'mk 001 10.3'!I47</f>
        <v>หน่วยงานกลาง</v>
      </c>
      <c r="J45" t="str">
        <f>'mk 001 10.3'!J47</f>
        <v>F213  DMCW-รชล-พระพุทธบาท</v>
      </c>
      <c r="K45" t="str">
        <f>'mk 001 10.3'!K47</f>
        <v>00000  หน่วยงานกลาง</v>
      </c>
      <c r="L45">
        <f>'mk 001 10.3'!L47</f>
        <v>923</v>
      </c>
      <c r="M45">
        <f>'mk 001 10.3'!M47</f>
        <v>0</v>
      </c>
      <c r="Q45" s="13" t="str">
        <f>IF(แปลงข้อมูล!P46,แปลงข้อมูล!H46,"")</f>
        <v/>
      </c>
      <c r="R45" s="1">
        <f>'mk 001 10.3'!R47</f>
        <v>244566</v>
      </c>
      <c r="S45" s="1" t="str">
        <f>'mk 001 10.3'!S47</f>
        <v>14/5/2569</v>
      </c>
      <c r="U45" s="13" t="str">
        <f>IF(แปลงข้อมูล!P46,แปลงข้อมูล!I46,"")</f>
        <v/>
      </c>
      <c r="V45" s="13" t="str">
        <f>IF(แปลงข้อมูล!P46,แปลงข้อมูล!J46,"")</f>
        <v/>
      </c>
      <c r="Y45" s="13" t="str">
        <f>_xlfn.XLOOKUP(V45,'mk 001 10.3'!V:V,'mk 001 10.3'!Y:Y,"")</f>
        <v/>
      </c>
      <c r="Z45" s="13" t="str">
        <f>IF(แปลงข้อมูล!P46,แปลงข้อมูล!N46,"")</f>
        <v/>
      </c>
      <c r="BL45" t="str">
        <f>'mk 001 10.3'!BL47</f>
        <v>SYSBATCH</v>
      </c>
      <c r="BM45">
        <f>'mk 001 10.3'!BM47</f>
        <v>0</v>
      </c>
      <c r="BN45">
        <f>'mk 001 10.3'!BN47</f>
        <v>0</v>
      </c>
    </row>
    <row r="46" spans="1:66" x14ac:dyDescent="0.35">
      <c r="A46">
        <f>'mk 001 10.3'!A48</f>
        <v>0</v>
      </c>
      <c r="B46">
        <f>'mk 001 10.3'!B48</f>
        <v>0</v>
      </c>
      <c r="C46" s="1" t="str">
        <f>'mk 001 10.3'!C48</f>
        <v>14/5/2569</v>
      </c>
      <c r="D46" s="1" t="str">
        <f>'mk 001 10.3'!D48</f>
        <v>14/5/2569</v>
      </c>
      <c r="E46">
        <f>'mk 001 10.3'!E48</f>
        <v>0</v>
      </c>
      <c r="F46" t="str">
        <f>'mk 001 10.3'!F48</f>
        <v>489M</v>
      </c>
      <c r="G46" t="str">
        <f>'mk 001 10.3'!G48</f>
        <v>Modern Trade (Makro)</v>
      </c>
      <c r="H46">
        <f>'mk 001 10.3'!H48</f>
        <v>0</v>
      </c>
      <c r="I46" t="str">
        <f>'mk 001 10.3'!I48</f>
        <v>หน่วยงานกลาง</v>
      </c>
      <c r="J46" t="str">
        <f>'mk 001 10.3'!J48</f>
        <v>F213  DMCW-รชล-พระพุทธบาท</v>
      </c>
      <c r="K46" t="str">
        <f>'mk 001 10.3'!K48</f>
        <v>00000  หน่วยงานกลาง</v>
      </c>
      <c r="L46">
        <f>'mk 001 10.3'!L48</f>
        <v>923</v>
      </c>
      <c r="M46">
        <f>'mk 001 10.3'!M48</f>
        <v>0</v>
      </c>
      <c r="Q46" s="13" t="str">
        <f>IF(แปลงข้อมูล!P47,แปลงข้อมูล!H47,"")</f>
        <v/>
      </c>
      <c r="R46" s="1">
        <f>'mk 001 10.3'!R48</f>
        <v>244566</v>
      </c>
      <c r="S46" s="1" t="str">
        <f>'mk 001 10.3'!S48</f>
        <v>14/5/2569</v>
      </c>
      <c r="U46" s="13" t="str">
        <f>IF(แปลงข้อมูล!P47,แปลงข้อมูล!I47,"")</f>
        <v/>
      </c>
      <c r="V46" s="13" t="str">
        <f>IF(แปลงข้อมูล!P47,แปลงข้อมูล!J47,"")</f>
        <v/>
      </c>
      <c r="Y46" s="13" t="str">
        <f>_xlfn.XLOOKUP(V46,'mk 001 10.3'!V:V,'mk 001 10.3'!Y:Y,"")</f>
        <v/>
      </c>
      <c r="Z46" s="13" t="str">
        <f>IF(แปลงข้อมูล!P47,แปลงข้อมูล!N47,"")</f>
        <v/>
      </c>
      <c r="BL46" t="str">
        <f>'mk 001 10.3'!BL48</f>
        <v>SYSBATCH</v>
      </c>
      <c r="BM46">
        <f>'mk 001 10.3'!BM48</f>
        <v>0</v>
      </c>
      <c r="BN46">
        <f>'mk 001 10.3'!BN48</f>
        <v>0</v>
      </c>
    </row>
    <row r="47" spans="1:66" x14ac:dyDescent="0.35">
      <c r="A47">
        <f>'mk 001 10.3'!A49</f>
        <v>0</v>
      </c>
      <c r="B47">
        <f>'mk 001 10.3'!B49</f>
        <v>0</v>
      </c>
      <c r="C47" s="1" t="str">
        <f>'mk 001 10.3'!C49</f>
        <v>14/5/2569</v>
      </c>
      <c r="D47" s="1" t="str">
        <f>'mk 001 10.3'!D49</f>
        <v>14/5/2569</v>
      </c>
      <c r="E47">
        <f>'mk 001 10.3'!E49</f>
        <v>0</v>
      </c>
      <c r="F47" t="str">
        <f>'mk 001 10.3'!F49</f>
        <v>489M</v>
      </c>
      <c r="G47" t="str">
        <f>'mk 001 10.3'!G49</f>
        <v>Modern Trade (Makro)</v>
      </c>
      <c r="H47">
        <f>'mk 001 10.3'!H49</f>
        <v>0</v>
      </c>
      <c r="I47" t="str">
        <f>'mk 001 10.3'!I49</f>
        <v>หน่วยงานกลาง</v>
      </c>
      <c r="J47" t="str">
        <f>'mk 001 10.3'!J49</f>
        <v>F213  DMCW-รชล-พระพุทธบาท</v>
      </c>
      <c r="K47" t="str">
        <f>'mk 001 10.3'!K49</f>
        <v>00000  หน่วยงานกลาง</v>
      </c>
      <c r="L47">
        <f>'mk 001 10.3'!L49</f>
        <v>923</v>
      </c>
      <c r="M47">
        <f>'mk 001 10.3'!M49</f>
        <v>0</v>
      </c>
      <c r="Q47" s="13" t="str">
        <f>IF(แปลงข้อมูล!P48,แปลงข้อมูล!H48,"")</f>
        <v/>
      </c>
      <c r="R47" s="1">
        <f>'mk 001 10.3'!R49</f>
        <v>244566</v>
      </c>
      <c r="S47" s="1" t="str">
        <f>'mk 001 10.3'!S49</f>
        <v>14/5/2569</v>
      </c>
      <c r="U47" s="13" t="str">
        <f>IF(แปลงข้อมูล!P48,แปลงข้อมูล!I48,"")</f>
        <v/>
      </c>
      <c r="V47" s="13" t="str">
        <f>IF(แปลงข้อมูล!P48,แปลงข้อมูล!J48,"")</f>
        <v/>
      </c>
      <c r="Y47" s="13" t="str">
        <f>_xlfn.XLOOKUP(V47,'mk 001 10.3'!V:V,'mk 001 10.3'!Y:Y,"")</f>
        <v/>
      </c>
      <c r="Z47" s="13" t="str">
        <f>IF(แปลงข้อมูล!P48,แปลงข้อมูล!N48,"")</f>
        <v/>
      </c>
      <c r="BL47" t="str">
        <f>'mk 001 10.3'!BL49</f>
        <v>SYSBATCH</v>
      </c>
      <c r="BM47">
        <f>'mk 001 10.3'!BM49</f>
        <v>0</v>
      </c>
      <c r="BN47">
        <f>'mk 001 10.3'!BN49</f>
        <v>0</v>
      </c>
    </row>
    <row r="48" spans="1:66" x14ac:dyDescent="0.35">
      <c r="A48">
        <f>'mk 001 10.3'!A50</f>
        <v>0</v>
      </c>
      <c r="B48">
        <f>'mk 001 10.3'!B50</f>
        <v>0</v>
      </c>
      <c r="C48" s="1" t="str">
        <f>'mk 001 10.3'!C50</f>
        <v>14/5/2569</v>
      </c>
      <c r="D48" s="1" t="str">
        <f>'mk 001 10.3'!D50</f>
        <v>14/5/2569</v>
      </c>
      <c r="E48">
        <f>'mk 001 10.3'!E50</f>
        <v>0</v>
      </c>
      <c r="F48" t="str">
        <f>'mk 001 10.3'!F50</f>
        <v>489M</v>
      </c>
      <c r="G48" t="str">
        <f>'mk 001 10.3'!G50</f>
        <v>Modern Trade (Makro)</v>
      </c>
      <c r="H48">
        <f>'mk 001 10.3'!H50</f>
        <v>0</v>
      </c>
      <c r="I48" t="str">
        <f>'mk 001 10.3'!I50</f>
        <v>หน่วยงานกลาง</v>
      </c>
      <c r="J48" t="str">
        <f>'mk 001 10.3'!J50</f>
        <v>F213  DMCW-รชล-พระพุทธบาท</v>
      </c>
      <c r="K48" t="str">
        <f>'mk 001 10.3'!K50</f>
        <v>00000  หน่วยงานกลาง</v>
      </c>
      <c r="L48">
        <f>'mk 001 10.3'!L50</f>
        <v>923</v>
      </c>
      <c r="M48">
        <f>'mk 001 10.3'!M50</f>
        <v>0</v>
      </c>
      <c r="Q48" s="13" t="str">
        <f>IF(แปลงข้อมูล!P49,แปลงข้อมูล!H49,"")</f>
        <v/>
      </c>
      <c r="R48" s="1">
        <f>'mk 001 10.3'!R50</f>
        <v>244566</v>
      </c>
      <c r="S48" s="1" t="str">
        <f>'mk 001 10.3'!S50</f>
        <v>14/5/2569</v>
      </c>
      <c r="U48" s="13" t="str">
        <f>IF(แปลงข้อมูล!P49,แปลงข้อมูล!I49,"")</f>
        <v/>
      </c>
      <c r="V48" s="13" t="str">
        <f>IF(แปลงข้อมูล!P49,แปลงข้อมูล!J49,"")</f>
        <v/>
      </c>
      <c r="Y48" s="13" t="str">
        <f>_xlfn.XLOOKUP(V48,'mk 001 10.3'!V:V,'mk 001 10.3'!Y:Y,"")</f>
        <v/>
      </c>
      <c r="Z48" s="13" t="str">
        <f>IF(แปลงข้อมูล!P49,แปลงข้อมูล!N49,"")</f>
        <v/>
      </c>
      <c r="BL48" t="str">
        <f>'mk 001 10.3'!BL50</f>
        <v>SYSBATCH</v>
      </c>
      <c r="BM48">
        <f>'mk 001 10.3'!BM50</f>
        <v>0</v>
      </c>
      <c r="BN48">
        <f>'mk 001 10.3'!BN50</f>
        <v>0</v>
      </c>
    </row>
    <row r="49" spans="1:66" x14ac:dyDescent="0.35">
      <c r="A49">
        <f>'mk 001 10.3'!A51</f>
        <v>0</v>
      </c>
      <c r="B49">
        <f>'mk 001 10.3'!B51</f>
        <v>0</v>
      </c>
      <c r="C49" s="1" t="str">
        <f>'mk 001 10.3'!C51</f>
        <v>14/5/2569</v>
      </c>
      <c r="D49" s="1" t="str">
        <f>'mk 001 10.3'!D51</f>
        <v>14/5/2569</v>
      </c>
      <c r="E49">
        <f>'mk 001 10.3'!E51</f>
        <v>0</v>
      </c>
      <c r="F49" t="str">
        <f>'mk 001 10.3'!F51</f>
        <v>489M</v>
      </c>
      <c r="G49" t="str">
        <f>'mk 001 10.3'!G51</f>
        <v>Modern Trade (Makro)</v>
      </c>
      <c r="H49">
        <f>'mk 001 10.3'!H51</f>
        <v>0</v>
      </c>
      <c r="I49" t="str">
        <f>'mk 001 10.3'!I51</f>
        <v>หน่วยงานกลาง</v>
      </c>
      <c r="J49" t="str">
        <f>'mk 001 10.3'!J51</f>
        <v>F213  DMCW-รชล-พระพุทธบาท</v>
      </c>
      <c r="K49" t="str">
        <f>'mk 001 10.3'!K51</f>
        <v>00000  หน่วยงานกลาง</v>
      </c>
      <c r="L49">
        <f>'mk 001 10.3'!L51</f>
        <v>923</v>
      </c>
      <c r="M49">
        <f>'mk 001 10.3'!M51</f>
        <v>0</v>
      </c>
      <c r="Q49" s="13" t="str">
        <f>IF(แปลงข้อมูล!P50,แปลงข้อมูล!H50,"")</f>
        <v/>
      </c>
      <c r="R49" s="1">
        <f>'mk 001 10.3'!R51</f>
        <v>244566</v>
      </c>
      <c r="S49" s="1" t="str">
        <f>'mk 001 10.3'!S51</f>
        <v>14/5/2569</v>
      </c>
      <c r="U49" s="13" t="str">
        <f>IF(แปลงข้อมูล!P50,แปลงข้อมูล!I50,"")</f>
        <v/>
      </c>
      <c r="V49" s="13" t="str">
        <f>IF(แปลงข้อมูล!P50,แปลงข้อมูล!J50,"")</f>
        <v/>
      </c>
      <c r="Y49" s="13" t="str">
        <f>_xlfn.XLOOKUP(V49,'mk 001 10.3'!V:V,'mk 001 10.3'!Y:Y,"")</f>
        <v/>
      </c>
      <c r="Z49" s="13" t="str">
        <f>IF(แปลงข้อมูล!P50,แปลงข้อมูล!N50,"")</f>
        <v/>
      </c>
      <c r="BL49" t="str">
        <f>'mk 001 10.3'!BL51</f>
        <v>SYSBATCH</v>
      </c>
      <c r="BM49">
        <f>'mk 001 10.3'!BM51</f>
        <v>0</v>
      </c>
      <c r="BN49">
        <f>'mk 001 10.3'!BN51</f>
        <v>0</v>
      </c>
    </row>
    <row r="50" spans="1:66" x14ac:dyDescent="0.35">
      <c r="A50">
        <f>'mk 001 10.3'!A52</f>
        <v>0</v>
      </c>
      <c r="B50">
        <f>'mk 001 10.3'!B52</f>
        <v>0</v>
      </c>
      <c r="C50" s="1" t="str">
        <f>'mk 001 10.3'!C52</f>
        <v>14/5/2569</v>
      </c>
      <c r="D50" s="1" t="str">
        <f>'mk 001 10.3'!D52</f>
        <v>14/5/2569</v>
      </c>
      <c r="E50">
        <f>'mk 001 10.3'!E52</f>
        <v>0</v>
      </c>
      <c r="F50" t="str">
        <f>'mk 001 10.3'!F52</f>
        <v>489M</v>
      </c>
      <c r="G50" t="str">
        <f>'mk 001 10.3'!G52</f>
        <v>Modern Trade (Makro)</v>
      </c>
      <c r="H50">
        <f>'mk 001 10.3'!H52</f>
        <v>0</v>
      </c>
      <c r="I50" t="str">
        <f>'mk 001 10.3'!I52</f>
        <v>หน่วยงานกลาง</v>
      </c>
      <c r="J50" t="str">
        <f>'mk 001 10.3'!J52</f>
        <v>F213  DMCW-รชล-พระพุทธบาท</v>
      </c>
      <c r="K50" t="str">
        <f>'mk 001 10.3'!K52</f>
        <v>00000  หน่วยงานกลาง</v>
      </c>
      <c r="L50">
        <f>'mk 001 10.3'!L52</f>
        <v>923</v>
      </c>
      <c r="M50">
        <f>'mk 001 10.3'!M52</f>
        <v>0</v>
      </c>
      <c r="Q50" s="13" t="str">
        <f>IF(แปลงข้อมูล!P51,แปลงข้อมูล!H51,"")</f>
        <v/>
      </c>
      <c r="R50" s="1">
        <f>'mk 001 10.3'!R52</f>
        <v>244566</v>
      </c>
      <c r="S50" s="1" t="str">
        <f>'mk 001 10.3'!S52</f>
        <v>14/5/2569</v>
      </c>
      <c r="U50" s="13" t="str">
        <f>IF(แปลงข้อมูล!P51,แปลงข้อมูล!I51,"")</f>
        <v/>
      </c>
      <c r="V50" s="13" t="str">
        <f>IF(แปลงข้อมูล!P51,แปลงข้อมูล!J51,"")</f>
        <v/>
      </c>
      <c r="Y50" s="13" t="str">
        <f>_xlfn.XLOOKUP(V50,'mk 001 10.3'!V:V,'mk 001 10.3'!Y:Y,"")</f>
        <v/>
      </c>
      <c r="Z50" s="13" t="str">
        <f>IF(แปลงข้อมูล!P51,แปลงข้อมูล!N51,"")</f>
        <v/>
      </c>
      <c r="BL50" t="str">
        <f>'mk 001 10.3'!BL52</f>
        <v>SYSBATCH</v>
      </c>
      <c r="BM50">
        <f>'mk 001 10.3'!BM52</f>
        <v>0</v>
      </c>
      <c r="BN50">
        <f>'mk 001 10.3'!BN52</f>
        <v>0</v>
      </c>
    </row>
    <row r="51" spans="1:66" x14ac:dyDescent="0.35">
      <c r="A51">
        <f>'mk 001 10.3'!A53</f>
        <v>0</v>
      </c>
      <c r="B51">
        <f>'mk 001 10.3'!B53</f>
        <v>0</v>
      </c>
      <c r="C51" s="1" t="str">
        <f>'mk 001 10.3'!C53</f>
        <v>14/5/2569</v>
      </c>
      <c r="D51" s="1" t="str">
        <f>'mk 001 10.3'!D53</f>
        <v>14/5/2569</v>
      </c>
      <c r="E51">
        <f>'mk 001 10.3'!E53</f>
        <v>0</v>
      </c>
      <c r="F51" t="str">
        <f>'mk 001 10.3'!F53</f>
        <v>489M</v>
      </c>
      <c r="G51" t="str">
        <f>'mk 001 10.3'!G53</f>
        <v>Modern Trade (Makro)</v>
      </c>
      <c r="H51">
        <f>'mk 001 10.3'!H53</f>
        <v>0</v>
      </c>
      <c r="I51" t="str">
        <f>'mk 001 10.3'!I53</f>
        <v>หน่วยงานกลาง</v>
      </c>
      <c r="J51" t="str">
        <f>'mk 001 10.3'!J53</f>
        <v>F213  DMCW-รชล-พระพุทธบาท</v>
      </c>
      <c r="K51" t="str">
        <f>'mk 001 10.3'!K53</f>
        <v>00000  หน่วยงานกลาง</v>
      </c>
      <c r="L51">
        <f>'mk 001 10.3'!L53</f>
        <v>923</v>
      </c>
      <c r="M51">
        <f>'mk 001 10.3'!M53</f>
        <v>0</v>
      </c>
      <c r="Q51" s="13" t="str">
        <f>IF(แปลงข้อมูล!P52,แปลงข้อมูล!H52,"")</f>
        <v/>
      </c>
      <c r="R51" s="1">
        <f>'mk 001 10.3'!R53</f>
        <v>244658</v>
      </c>
      <c r="S51" s="1" t="str">
        <f>'mk 001 10.3'!S53</f>
        <v>14/5/2569</v>
      </c>
      <c r="U51" s="13" t="str">
        <f>IF(แปลงข้อมูล!P52,แปลงข้อมูล!I52,"")</f>
        <v/>
      </c>
      <c r="V51" s="13" t="str">
        <f>IF(แปลงข้อมูล!P52,แปลงข้อมูล!J52,"")</f>
        <v/>
      </c>
      <c r="Y51" s="13" t="str">
        <f>_xlfn.XLOOKUP(V51,'mk 001 10.3'!V:V,'mk 001 10.3'!Y:Y,"")</f>
        <v/>
      </c>
      <c r="Z51" s="13" t="str">
        <f>IF(แปลงข้อมูล!P52,แปลงข้อมูล!N52,"")</f>
        <v/>
      </c>
      <c r="BL51" t="str">
        <f>'mk 001 10.3'!BL53</f>
        <v>SYSBATCH</v>
      </c>
      <c r="BM51">
        <f>'mk 001 10.3'!BM53</f>
        <v>0</v>
      </c>
      <c r="BN51">
        <f>'mk 001 10.3'!BN53</f>
        <v>0</v>
      </c>
    </row>
    <row r="52" spans="1:66" x14ac:dyDescent="0.35">
      <c r="A52">
        <f>'mk 001 10.3'!A54</f>
        <v>0</v>
      </c>
      <c r="B52">
        <f>'mk 001 10.3'!B54</f>
        <v>0</v>
      </c>
      <c r="C52" s="1" t="str">
        <f>'mk 001 10.3'!C54</f>
        <v>14/5/2569</v>
      </c>
      <c r="D52" s="1" t="str">
        <f>'mk 001 10.3'!D54</f>
        <v>14/5/2569</v>
      </c>
      <c r="E52">
        <f>'mk 001 10.3'!E54</f>
        <v>0</v>
      </c>
      <c r="F52" t="str">
        <f>'mk 001 10.3'!F54</f>
        <v>489M</v>
      </c>
      <c r="G52" t="str">
        <f>'mk 001 10.3'!G54</f>
        <v>Modern Trade (Makro)</v>
      </c>
      <c r="H52">
        <f>'mk 001 10.3'!H54</f>
        <v>0</v>
      </c>
      <c r="I52" t="str">
        <f>'mk 001 10.3'!I54</f>
        <v>หน่วยงานกลาง</v>
      </c>
      <c r="J52" t="str">
        <f>'mk 001 10.3'!J54</f>
        <v>F213  DMCW-รชล-พระพุทธบาท</v>
      </c>
      <c r="K52" t="str">
        <f>'mk 001 10.3'!K54</f>
        <v>00000  หน่วยงานกลาง</v>
      </c>
      <c r="L52">
        <f>'mk 001 10.3'!L54</f>
        <v>923</v>
      </c>
      <c r="M52">
        <f>'mk 001 10.3'!M54</f>
        <v>0</v>
      </c>
      <c r="Q52" s="13" t="str">
        <f>IF(แปลงข้อมูล!P53,แปลงข้อมูล!H53,"")</f>
        <v/>
      </c>
      <c r="R52" s="1">
        <f>'mk 001 10.3'!R54</f>
        <v>244658</v>
      </c>
      <c r="S52" s="1" t="str">
        <f>'mk 001 10.3'!S54</f>
        <v>14/5/2569</v>
      </c>
      <c r="U52" s="13" t="str">
        <f>IF(แปลงข้อมูล!P53,แปลงข้อมูล!I53,"")</f>
        <v/>
      </c>
      <c r="V52" s="13" t="str">
        <f>IF(แปลงข้อมูล!P53,แปลงข้อมูล!J53,"")</f>
        <v/>
      </c>
      <c r="Y52" s="13" t="str">
        <f>_xlfn.XLOOKUP(V52,'mk 001 10.3'!V:V,'mk 001 10.3'!Y:Y,"")</f>
        <v/>
      </c>
      <c r="Z52" s="13" t="str">
        <f>IF(แปลงข้อมูล!P53,แปลงข้อมูล!N53,"")</f>
        <v/>
      </c>
      <c r="BL52" t="str">
        <f>'mk 001 10.3'!BL54</f>
        <v>SYSBATCH</v>
      </c>
      <c r="BM52">
        <f>'mk 001 10.3'!BM54</f>
        <v>0</v>
      </c>
      <c r="BN52">
        <f>'mk 001 10.3'!BN54</f>
        <v>0</v>
      </c>
    </row>
    <row r="53" spans="1:66" x14ac:dyDescent="0.35">
      <c r="A53">
        <f>'mk 001 10.3'!A55</f>
        <v>0</v>
      </c>
      <c r="B53">
        <f>'mk 001 10.3'!B55</f>
        <v>0</v>
      </c>
      <c r="C53" s="1" t="str">
        <f>'mk 001 10.3'!C55</f>
        <v>14/5/2569</v>
      </c>
      <c r="D53" s="1" t="str">
        <f>'mk 001 10.3'!D55</f>
        <v>14/5/2569</v>
      </c>
      <c r="E53">
        <f>'mk 001 10.3'!E55</f>
        <v>0</v>
      </c>
      <c r="F53" t="str">
        <f>'mk 001 10.3'!F55</f>
        <v>489M</v>
      </c>
      <c r="G53" t="str">
        <f>'mk 001 10.3'!G55</f>
        <v>Modern Trade (Makro)</v>
      </c>
      <c r="H53">
        <f>'mk 001 10.3'!H55</f>
        <v>0</v>
      </c>
      <c r="I53" t="str">
        <f>'mk 001 10.3'!I55</f>
        <v>หน่วยงานกลาง</v>
      </c>
      <c r="J53" t="str">
        <f>'mk 001 10.3'!J55</f>
        <v>F213  DMCW-รชล-พระพุทธบาท</v>
      </c>
      <c r="K53" t="str">
        <f>'mk 001 10.3'!K55</f>
        <v>00000  หน่วยงานกลาง</v>
      </c>
      <c r="L53">
        <f>'mk 001 10.3'!L55</f>
        <v>923</v>
      </c>
      <c r="M53">
        <f>'mk 001 10.3'!M55</f>
        <v>0</v>
      </c>
      <c r="Q53" s="13" t="str">
        <f>IF(แปลงข้อมูล!P54,แปลงข้อมูล!H54,"")</f>
        <v/>
      </c>
      <c r="R53" s="1">
        <f>'mk 001 10.3'!R55</f>
        <v>244658</v>
      </c>
      <c r="S53" s="1" t="str">
        <f>'mk 001 10.3'!S55</f>
        <v>14/5/2569</v>
      </c>
      <c r="U53" s="13" t="str">
        <f>IF(แปลงข้อมูล!P54,แปลงข้อมูล!I54,"")</f>
        <v/>
      </c>
      <c r="V53" s="13" t="str">
        <f>IF(แปลงข้อมูล!P54,แปลงข้อมูล!J54,"")</f>
        <v/>
      </c>
      <c r="Y53" s="13" t="str">
        <f>_xlfn.XLOOKUP(V53,'mk 001 10.3'!V:V,'mk 001 10.3'!Y:Y,"")</f>
        <v/>
      </c>
      <c r="Z53" s="13" t="str">
        <f>IF(แปลงข้อมูล!P54,แปลงข้อมูล!N54,"")</f>
        <v/>
      </c>
      <c r="BL53" t="str">
        <f>'mk 001 10.3'!BL55</f>
        <v>SYSBATCH</v>
      </c>
      <c r="BM53">
        <f>'mk 001 10.3'!BM55</f>
        <v>0</v>
      </c>
      <c r="BN53">
        <f>'mk 001 10.3'!BN55</f>
        <v>0</v>
      </c>
    </row>
    <row r="54" spans="1:66" x14ac:dyDescent="0.35">
      <c r="A54">
        <f>'mk 001 10.3'!A56</f>
        <v>0</v>
      </c>
      <c r="B54">
        <f>'mk 001 10.3'!B56</f>
        <v>0</v>
      </c>
      <c r="C54" s="1" t="str">
        <f>'mk 001 10.3'!C56</f>
        <v>14/5/2569</v>
      </c>
      <c r="D54" s="1" t="str">
        <f>'mk 001 10.3'!D56</f>
        <v>14/5/2569</v>
      </c>
      <c r="E54">
        <f>'mk 001 10.3'!E56</f>
        <v>0</v>
      </c>
      <c r="F54" t="str">
        <f>'mk 001 10.3'!F56</f>
        <v>489M</v>
      </c>
      <c r="G54" t="str">
        <f>'mk 001 10.3'!G56</f>
        <v>Modern Trade (Makro)</v>
      </c>
      <c r="H54">
        <f>'mk 001 10.3'!H56</f>
        <v>0</v>
      </c>
      <c r="I54" t="str">
        <f>'mk 001 10.3'!I56</f>
        <v>หน่วยงานกลาง</v>
      </c>
      <c r="J54" t="str">
        <f>'mk 001 10.3'!J56</f>
        <v>F213  DMCW-รชล-พระพุทธบาท</v>
      </c>
      <c r="K54" t="str">
        <f>'mk 001 10.3'!K56</f>
        <v>00000  หน่วยงานกลาง</v>
      </c>
      <c r="L54">
        <f>'mk 001 10.3'!L56</f>
        <v>923</v>
      </c>
      <c r="M54">
        <f>'mk 001 10.3'!M56</f>
        <v>0</v>
      </c>
      <c r="Q54" s="13" t="str">
        <f>IF(แปลงข้อมูล!P55,แปลงข้อมูล!H55,"")</f>
        <v/>
      </c>
      <c r="R54" s="1">
        <f>'mk 001 10.3'!R56</f>
        <v>244658</v>
      </c>
      <c r="S54" s="1" t="str">
        <f>'mk 001 10.3'!S56</f>
        <v>14/5/2569</v>
      </c>
      <c r="U54" s="13" t="str">
        <f>IF(แปลงข้อมูล!P55,แปลงข้อมูล!I55,"")</f>
        <v/>
      </c>
      <c r="V54" s="13" t="str">
        <f>IF(แปลงข้อมูล!P55,แปลงข้อมูล!J55,"")</f>
        <v/>
      </c>
      <c r="Y54" s="13" t="str">
        <f>_xlfn.XLOOKUP(V54,'mk 001 10.3'!V:V,'mk 001 10.3'!Y:Y,"")</f>
        <v/>
      </c>
      <c r="Z54" s="13" t="str">
        <f>IF(แปลงข้อมูล!P55,แปลงข้อมูล!N55,"")</f>
        <v/>
      </c>
      <c r="BL54" t="str">
        <f>'mk 001 10.3'!BL56</f>
        <v>SYSBATCH</v>
      </c>
      <c r="BM54">
        <f>'mk 001 10.3'!BM56</f>
        <v>0</v>
      </c>
      <c r="BN54">
        <f>'mk 001 10.3'!BN56</f>
        <v>0</v>
      </c>
    </row>
    <row r="55" spans="1:66" x14ac:dyDescent="0.35">
      <c r="A55">
        <f>'mk 001 10.3'!A57</f>
        <v>0</v>
      </c>
      <c r="B55">
        <f>'mk 001 10.3'!B57</f>
        <v>0</v>
      </c>
      <c r="C55" s="1" t="str">
        <f>'mk 001 10.3'!C57</f>
        <v>14/5/2569</v>
      </c>
      <c r="D55" s="1" t="str">
        <f>'mk 001 10.3'!D57</f>
        <v>14/5/2569</v>
      </c>
      <c r="E55">
        <f>'mk 001 10.3'!E57</f>
        <v>0</v>
      </c>
      <c r="F55" t="str">
        <f>'mk 001 10.3'!F57</f>
        <v>489M</v>
      </c>
      <c r="G55" t="str">
        <f>'mk 001 10.3'!G57</f>
        <v>Modern Trade (Makro)</v>
      </c>
      <c r="H55">
        <f>'mk 001 10.3'!H57</f>
        <v>0</v>
      </c>
      <c r="I55" t="str">
        <f>'mk 001 10.3'!I57</f>
        <v>หน่วยงานกลาง</v>
      </c>
      <c r="J55" t="str">
        <f>'mk 001 10.3'!J57</f>
        <v>F213  DMCW-รชล-พระพุทธบาท</v>
      </c>
      <c r="K55" t="str">
        <f>'mk 001 10.3'!K57</f>
        <v>00000  หน่วยงานกลาง</v>
      </c>
      <c r="L55">
        <f>'mk 001 10.3'!L57</f>
        <v>923</v>
      </c>
      <c r="M55">
        <f>'mk 001 10.3'!M57</f>
        <v>0</v>
      </c>
      <c r="Q55" s="13" t="str">
        <f>IF(แปลงข้อมูล!P56,แปลงข้อมูล!H56,"")</f>
        <v/>
      </c>
      <c r="R55" s="1">
        <f>'mk 001 10.3'!R57</f>
        <v>244658</v>
      </c>
      <c r="S55" s="1" t="str">
        <f>'mk 001 10.3'!S57</f>
        <v>14/5/2569</v>
      </c>
      <c r="U55" s="13" t="str">
        <f>IF(แปลงข้อมูล!P56,แปลงข้อมูล!I56,"")</f>
        <v/>
      </c>
      <c r="V55" s="13" t="str">
        <f>IF(แปลงข้อมูล!P56,แปลงข้อมูล!J56,"")</f>
        <v/>
      </c>
      <c r="Y55" s="13" t="str">
        <f>_xlfn.XLOOKUP(V55,'mk 001 10.3'!V:V,'mk 001 10.3'!Y:Y,"")</f>
        <v/>
      </c>
      <c r="Z55" s="13" t="str">
        <f>IF(แปลงข้อมูล!P56,แปลงข้อมูล!N56,"")</f>
        <v/>
      </c>
      <c r="BL55" t="str">
        <f>'mk 001 10.3'!BL57</f>
        <v>SYSBATCH</v>
      </c>
      <c r="BM55">
        <f>'mk 001 10.3'!BM57</f>
        <v>0</v>
      </c>
      <c r="BN55">
        <f>'mk 001 10.3'!BN57</f>
        <v>0</v>
      </c>
    </row>
    <row r="56" spans="1:66" x14ac:dyDescent="0.35">
      <c r="A56">
        <f>'mk 001 10.3'!A58</f>
        <v>0</v>
      </c>
      <c r="B56">
        <f>'mk 001 10.3'!B58</f>
        <v>0</v>
      </c>
      <c r="C56" s="1" t="str">
        <f>'mk 001 10.3'!C58</f>
        <v>14/5/2569</v>
      </c>
      <c r="D56" s="1" t="str">
        <f>'mk 001 10.3'!D58</f>
        <v>14/5/2569</v>
      </c>
      <c r="E56">
        <f>'mk 001 10.3'!E58</f>
        <v>0</v>
      </c>
      <c r="F56" t="str">
        <f>'mk 001 10.3'!F58</f>
        <v>489M</v>
      </c>
      <c r="G56" t="str">
        <f>'mk 001 10.3'!G58</f>
        <v>Modern Trade (Makro)</v>
      </c>
      <c r="H56">
        <f>'mk 001 10.3'!H58</f>
        <v>0</v>
      </c>
      <c r="I56" t="str">
        <f>'mk 001 10.3'!I58</f>
        <v>หน่วยงานกลาง</v>
      </c>
      <c r="J56" t="str">
        <f>'mk 001 10.3'!J58</f>
        <v>F213  DMCW-รชล-พระพุทธบาท</v>
      </c>
      <c r="K56" t="str">
        <f>'mk 001 10.3'!K58</f>
        <v>00000  หน่วยงานกลาง</v>
      </c>
      <c r="L56">
        <f>'mk 001 10.3'!L58</f>
        <v>923</v>
      </c>
      <c r="M56">
        <f>'mk 001 10.3'!M58</f>
        <v>0</v>
      </c>
      <c r="Q56" s="13" t="str">
        <f>IF(แปลงข้อมูล!P57,แปลงข้อมูล!H57,"")</f>
        <v/>
      </c>
      <c r="R56" s="1">
        <f>'mk 001 10.3'!R58</f>
        <v>244658</v>
      </c>
      <c r="S56" s="1" t="str">
        <f>'mk 001 10.3'!S58</f>
        <v>14/5/2569</v>
      </c>
      <c r="U56" s="13" t="str">
        <f>IF(แปลงข้อมูล!P57,แปลงข้อมูล!I57,"")</f>
        <v/>
      </c>
      <c r="V56" s="13" t="str">
        <f>IF(แปลงข้อมูล!P57,แปลงข้อมูล!J57,"")</f>
        <v/>
      </c>
      <c r="Y56" s="13" t="str">
        <f>_xlfn.XLOOKUP(V56,'mk 001 10.3'!V:V,'mk 001 10.3'!Y:Y,"")</f>
        <v/>
      </c>
      <c r="Z56" s="13" t="str">
        <f>IF(แปลงข้อมูล!P57,แปลงข้อมูล!N57,"")</f>
        <v/>
      </c>
      <c r="BL56" t="str">
        <f>'mk 001 10.3'!BL58</f>
        <v>SYSBATCH</v>
      </c>
      <c r="BM56">
        <f>'mk 001 10.3'!BM58</f>
        <v>0</v>
      </c>
      <c r="BN56">
        <f>'mk 001 10.3'!BN58</f>
        <v>0</v>
      </c>
    </row>
    <row r="57" spans="1:66" x14ac:dyDescent="0.35">
      <c r="A57">
        <f>'mk 001 10.3'!A59</f>
        <v>0</v>
      </c>
      <c r="B57">
        <f>'mk 001 10.3'!B59</f>
        <v>0</v>
      </c>
      <c r="C57" s="1" t="str">
        <f>'mk 001 10.3'!C59</f>
        <v>14/5/2569</v>
      </c>
      <c r="D57" s="1" t="str">
        <f>'mk 001 10.3'!D59</f>
        <v>14/5/2569</v>
      </c>
      <c r="E57">
        <f>'mk 001 10.3'!E59</f>
        <v>0</v>
      </c>
      <c r="F57" t="str">
        <f>'mk 001 10.3'!F59</f>
        <v>489M</v>
      </c>
      <c r="G57" t="str">
        <f>'mk 001 10.3'!G59</f>
        <v>Modern Trade (Makro)</v>
      </c>
      <c r="H57">
        <f>'mk 001 10.3'!H59</f>
        <v>0</v>
      </c>
      <c r="I57" t="str">
        <f>'mk 001 10.3'!I59</f>
        <v>หน่วยงานกลาง</v>
      </c>
      <c r="J57" t="str">
        <f>'mk 001 10.3'!J59</f>
        <v>F213  DMCW-รชล-พระพุทธบาท</v>
      </c>
      <c r="K57" t="str">
        <f>'mk 001 10.3'!K59</f>
        <v>00000  หน่วยงานกลาง</v>
      </c>
      <c r="L57">
        <f>'mk 001 10.3'!L59</f>
        <v>923</v>
      </c>
      <c r="M57">
        <f>'mk 001 10.3'!M59</f>
        <v>0</v>
      </c>
      <c r="Q57" s="13" t="str">
        <f>IF(แปลงข้อมูล!P58,แปลงข้อมูล!H58,"")</f>
        <v/>
      </c>
      <c r="R57" s="1">
        <f>'mk 001 10.3'!R59</f>
        <v>244658</v>
      </c>
      <c r="S57" s="1" t="str">
        <f>'mk 001 10.3'!S59</f>
        <v>14/5/2569</v>
      </c>
      <c r="U57" s="13" t="str">
        <f>IF(แปลงข้อมูล!P58,แปลงข้อมูล!I58,"")</f>
        <v/>
      </c>
      <c r="V57" s="13" t="str">
        <f>IF(แปลงข้อมูล!P58,แปลงข้อมูล!J58,"")</f>
        <v/>
      </c>
      <c r="Y57" s="13" t="str">
        <f>_xlfn.XLOOKUP(V57,'mk 001 10.3'!V:V,'mk 001 10.3'!Y:Y,"")</f>
        <v/>
      </c>
      <c r="Z57" s="13" t="str">
        <f>IF(แปลงข้อมูล!P58,แปลงข้อมูล!N58,"")</f>
        <v/>
      </c>
      <c r="BL57" t="str">
        <f>'mk 001 10.3'!BL59</f>
        <v>SYSBATCH</v>
      </c>
      <c r="BM57">
        <f>'mk 001 10.3'!BM59</f>
        <v>0</v>
      </c>
      <c r="BN57">
        <f>'mk 001 10.3'!BN59</f>
        <v>0</v>
      </c>
    </row>
    <row r="58" spans="1:66" x14ac:dyDescent="0.35">
      <c r="A58">
        <f>'mk 001 10.3'!A60</f>
        <v>0</v>
      </c>
      <c r="B58">
        <f>'mk 001 10.3'!B60</f>
        <v>0</v>
      </c>
      <c r="C58" s="1" t="str">
        <f>'mk 001 10.3'!C60</f>
        <v>14/5/2569</v>
      </c>
      <c r="D58" s="1" t="str">
        <f>'mk 001 10.3'!D60</f>
        <v>14/5/2569</v>
      </c>
      <c r="E58">
        <f>'mk 001 10.3'!E60</f>
        <v>0</v>
      </c>
      <c r="F58" t="str">
        <f>'mk 001 10.3'!F60</f>
        <v>489M</v>
      </c>
      <c r="G58" t="str">
        <f>'mk 001 10.3'!G60</f>
        <v>Modern Trade (Makro)</v>
      </c>
      <c r="H58">
        <f>'mk 001 10.3'!H60</f>
        <v>0</v>
      </c>
      <c r="I58" t="str">
        <f>'mk 001 10.3'!I60</f>
        <v>หน่วยงานกลาง</v>
      </c>
      <c r="J58" t="str">
        <f>'mk 001 10.3'!J60</f>
        <v>F213  DMCW-รชล-พระพุทธบาท</v>
      </c>
      <c r="K58" t="str">
        <f>'mk 001 10.3'!K60</f>
        <v>00000  หน่วยงานกลาง</v>
      </c>
      <c r="L58">
        <f>'mk 001 10.3'!L60</f>
        <v>923</v>
      </c>
      <c r="M58">
        <f>'mk 001 10.3'!M60</f>
        <v>0</v>
      </c>
      <c r="Q58" s="13" t="str">
        <f>IF(แปลงข้อมูล!P59,แปลงข้อมูล!H59,"")</f>
        <v/>
      </c>
      <c r="R58" s="1">
        <f>'mk 001 10.3'!R60</f>
        <v>244658</v>
      </c>
      <c r="S58" s="1" t="str">
        <f>'mk 001 10.3'!S60</f>
        <v>14/5/2569</v>
      </c>
      <c r="U58" s="13" t="str">
        <f>IF(แปลงข้อมูล!P59,แปลงข้อมูล!I59,"")</f>
        <v/>
      </c>
      <c r="V58" s="13" t="str">
        <f>IF(แปลงข้อมูล!P59,แปลงข้อมูล!J59,"")</f>
        <v/>
      </c>
      <c r="Y58" s="13" t="str">
        <f>_xlfn.XLOOKUP(V58,'mk 001 10.3'!V:V,'mk 001 10.3'!Y:Y,"")</f>
        <v/>
      </c>
      <c r="Z58" s="13" t="str">
        <f>IF(แปลงข้อมูล!P59,แปลงข้อมูล!N59,"")</f>
        <v/>
      </c>
      <c r="BL58" t="str">
        <f>'mk 001 10.3'!BL60</f>
        <v>SYSBATCH</v>
      </c>
      <c r="BM58">
        <f>'mk 001 10.3'!BM60</f>
        <v>0</v>
      </c>
      <c r="BN58">
        <f>'mk 001 10.3'!BN60</f>
        <v>0</v>
      </c>
    </row>
    <row r="59" spans="1:66" x14ac:dyDescent="0.35">
      <c r="A59">
        <f>'mk 001 10.3'!A61</f>
        <v>0</v>
      </c>
      <c r="B59">
        <f>'mk 001 10.3'!B61</f>
        <v>0</v>
      </c>
      <c r="C59" s="1" t="str">
        <f>'mk 001 10.3'!C61</f>
        <v>14/5/2569</v>
      </c>
      <c r="D59" s="1" t="str">
        <f>'mk 001 10.3'!D61</f>
        <v>14/5/2569</v>
      </c>
      <c r="E59">
        <f>'mk 001 10.3'!E61</f>
        <v>0</v>
      </c>
      <c r="F59" t="str">
        <f>'mk 001 10.3'!F61</f>
        <v>489M</v>
      </c>
      <c r="G59" t="str">
        <f>'mk 001 10.3'!G61</f>
        <v>Modern Trade (Makro)</v>
      </c>
      <c r="H59">
        <f>'mk 001 10.3'!H61</f>
        <v>0</v>
      </c>
      <c r="I59" t="str">
        <f>'mk 001 10.3'!I61</f>
        <v>หน่วยงานกลาง</v>
      </c>
      <c r="J59" t="str">
        <f>'mk 001 10.3'!J61</f>
        <v>F213  DMCW-รชล-พระพุทธบาท</v>
      </c>
      <c r="K59" t="str">
        <f>'mk 001 10.3'!K61</f>
        <v>00000  หน่วยงานกลาง</v>
      </c>
      <c r="L59">
        <f>'mk 001 10.3'!L61</f>
        <v>923</v>
      </c>
      <c r="M59">
        <f>'mk 001 10.3'!M61</f>
        <v>0</v>
      </c>
      <c r="Q59" s="13" t="str">
        <f>IF(แปลงข้อมูล!P60,แปลงข้อมูล!H60,"")</f>
        <v/>
      </c>
      <c r="R59" s="1">
        <f>'mk 001 10.3'!R61</f>
        <v>244658</v>
      </c>
      <c r="S59" s="1" t="str">
        <f>'mk 001 10.3'!S61</f>
        <v>14/5/2569</v>
      </c>
      <c r="U59" s="13" t="str">
        <f>IF(แปลงข้อมูล!P60,แปลงข้อมูล!I60,"")</f>
        <v/>
      </c>
      <c r="V59" s="13" t="str">
        <f>IF(แปลงข้อมูล!P60,แปลงข้อมูล!J60,"")</f>
        <v/>
      </c>
      <c r="Y59" s="13" t="str">
        <f>_xlfn.XLOOKUP(V59,'mk 001 10.3'!V:V,'mk 001 10.3'!Y:Y,"")</f>
        <v/>
      </c>
      <c r="Z59" s="13" t="str">
        <f>IF(แปลงข้อมูล!P60,แปลงข้อมูล!N60,"")</f>
        <v/>
      </c>
      <c r="BL59" t="str">
        <f>'mk 001 10.3'!BL61</f>
        <v>SYSBATCH</v>
      </c>
      <c r="BM59">
        <f>'mk 001 10.3'!BM61</f>
        <v>0</v>
      </c>
      <c r="BN59">
        <f>'mk 001 10.3'!BN61</f>
        <v>0</v>
      </c>
    </row>
    <row r="60" spans="1:66" x14ac:dyDescent="0.35">
      <c r="A60">
        <f>'mk 001 10.3'!A62</f>
        <v>0</v>
      </c>
      <c r="B60">
        <f>'mk 001 10.3'!B62</f>
        <v>0</v>
      </c>
      <c r="C60" s="1" t="str">
        <f>'mk 001 10.3'!C62</f>
        <v>14/5/2569</v>
      </c>
      <c r="D60" s="1" t="str">
        <f>'mk 001 10.3'!D62</f>
        <v>14/5/2569</v>
      </c>
      <c r="E60">
        <f>'mk 001 10.3'!E62</f>
        <v>0</v>
      </c>
      <c r="F60" t="str">
        <f>'mk 001 10.3'!F62</f>
        <v>489M</v>
      </c>
      <c r="G60" t="str">
        <f>'mk 001 10.3'!G62</f>
        <v>Modern Trade (Makro)</v>
      </c>
      <c r="H60">
        <f>'mk 001 10.3'!H62</f>
        <v>0</v>
      </c>
      <c r="I60" t="str">
        <f>'mk 001 10.3'!I62</f>
        <v>หน่วยงานกลาง</v>
      </c>
      <c r="J60" t="str">
        <f>'mk 001 10.3'!J62</f>
        <v>F213  DMCW-รชล-พระพุทธบาท</v>
      </c>
      <c r="K60" t="str">
        <f>'mk 001 10.3'!K62</f>
        <v>00000  หน่วยงานกลาง</v>
      </c>
      <c r="L60">
        <f>'mk 001 10.3'!L62</f>
        <v>923</v>
      </c>
      <c r="M60">
        <f>'mk 001 10.3'!M62</f>
        <v>0</v>
      </c>
      <c r="Q60" s="13" t="str">
        <f>IF(แปลงข้อมูล!P61,แปลงข้อมูล!H61,"")</f>
        <v/>
      </c>
      <c r="R60" s="1">
        <f>'mk 001 10.3'!R62</f>
        <v>244658</v>
      </c>
      <c r="S60" s="1" t="str">
        <f>'mk 001 10.3'!S62</f>
        <v>14/5/2569</v>
      </c>
      <c r="U60" s="13" t="str">
        <f>IF(แปลงข้อมูล!P61,แปลงข้อมูล!I61,"")</f>
        <v/>
      </c>
      <c r="V60" s="13" t="str">
        <f>IF(แปลงข้อมูล!P61,แปลงข้อมูล!J61,"")</f>
        <v/>
      </c>
      <c r="Y60" s="13" t="str">
        <f>_xlfn.XLOOKUP(V60,'mk 001 10.3'!V:V,'mk 001 10.3'!Y:Y,"")</f>
        <v/>
      </c>
      <c r="Z60" s="13" t="str">
        <f>IF(แปลงข้อมูล!P61,แปลงข้อมูล!N61,"")</f>
        <v/>
      </c>
      <c r="BL60" t="str">
        <f>'mk 001 10.3'!BL62</f>
        <v>SYSBATCH</v>
      </c>
      <c r="BM60">
        <f>'mk 001 10.3'!BM62</f>
        <v>0</v>
      </c>
      <c r="BN60">
        <f>'mk 001 10.3'!BN62</f>
        <v>0</v>
      </c>
    </row>
    <row r="61" spans="1:66" x14ac:dyDescent="0.35">
      <c r="A61">
        <f>'mk 001 10.3'!A63</f>
        <v>0</v>
      </c>
      <c r="B61">
        <f>'mk 001 10.3'!B63</f>
        <v>0</v>
      </c>
      <c r="C61" s="1" t="str">
        <f>'mk 001 10.3'!C63</f>
        <v>14/5/2569</v>
      </c>
      <c r="D61" s="1" t="str">
        <f>'mk 001 10.3'!D63</f>
        <v>14/5/2569</v>
      </c>
      <c r="E61">
        <f>'mk 001 10.3'!E63</f>
        <v>0</v>
      </c>
      <c r="F61" t="str">
        <f>'mk 001 10.3'!F63</f>
        <v>489M</v>
      </c>
      <c r="G61" t="str">
        <f>'mk 001 10.3'!G63</f>
        <v>Modern Trade (Makro)</v>
      </c>
      <c r="H61">
        <f>'mk 001 10.3'!H63</f>
        <v>0</v>
      </c>
      <c r="I61" t="str">
        <f>'mk 001 10.3'!I63</f>
        <v>หน่วยงานกลาง</v>
      </c>
      <c r="J61" t="str">
        <f>'mk 001 10.3'!J63</f>
        <v>F213  DMCW-รชล-พระพุทธบาท</v>
      </c>
      <c r="K61" t="str">
        <f>'mk 001 10.3'!K63</f>
        <v>00000  หน่วยงานกลาง</v>
      </c>
      <c r="L61">
        <f>'mk 001 10.3'!L63</f>
        <v>923</v>
      </c>
      <c r="M61">
        <f>'mk 001 10.3'!M63</f>
        <v>0</v>
      </c>
      <c r="Q61" s="13" t="str">
        <f>IF(แปลงข้อมูล!P62,แปลงข้อมูล!H62,"")</f>
        <v/>
      </c>
      <c r="R61" s="1">
        <f>'mk 001 10.3'!R63</f>
        <v>244658</v>
      </c>
      <c r="S61" s="1" t="str">
        <f>'mk 001 10.3'!S63</f>
        <v>14/5/2569</v>
      </c>
      <c r="U61" s="13" t="str">
        <f>IF(แปลงข้อมูล!P62,แปลงข้อมูล!I62,"")</f>
        <v/>
      </c>
      <c r="V61" s="13" t="str">
        <f>IF(แปลงข้อมูล!P62,แปลงข้อมูล!J62,"")</f>
        <v/>
      </c>
      <c r="Y61" s="13" t="str">
        <f>_xlfn.XLOOKUP(V61,'mk 001 10.3'!V:V,'mk 001 10.3'!Y:Y,"")</f>
        <v/>
      </c>
      <c r="Z61" s="13" t="str">
        <f>IF(แปลงข้อมูล!P62,แปลงข้อมูล!N62,"")</f>
        <v/>
      </c>
      <c r="BL61" t="str">
        <f>'mk 001 10.3'!BL63</f>
        <v>SYSBATCH</v>
      </c>
      <c r="BM61">
        <f>'mk 001 10.3'!BM63</f>
        <v>0</v>
      </c>
      <c r="BN61">
        <f>'mk 001 10.3'!BN63</f>
        <v>0</v>
      </c>
    </row>
    <row r="62" spans="1:66" x14ac:dyDescent="0.35">
      <c r="A62">
        <f>'mk 001 10.3'!A64</f>
        <v>0</v>
      </c>
      <c r="B62">
        <f>'mk 001 10.3'!B64</f>
        <v>0</v>
      </c>
      <c r="C62" s="1" t="str">
        <f>'mk 001 10.3'!C64</f>
        <v>14/5/2569</v>
      </c>
      <c r="D62" s="1" t="str">
        <f>'mk 001 10.3'!D64</f>
        <v>14/5/2569</v>
      </c>
      <c r="E62">
        <f>'mk 001 10.3'!E64</f>
        <v>0</v>
      </c>
      <c r="F62" t="str">
        <f>'mk 001 10.3'!F64</f>
        <v>489M</v>
      </c>
      <c r="G62" t="str">
        <f>'mk 001 10.3'!G64</f>
        <v>Modern Trade (Makro)</v>
      </c>
      <c r="H62">
        <f>'mk 001 10.3'!H64</f>
        <v>0</v>
      </c>
      <c r="I62" t="str">
        <f>'mk 001 10.3'!I64</f>
        <v>หน่วยงานกลาง</v>
      </c>
      <c r="J62" t="str">
        <f>'mk 001 10.3'!J64</f>
        <v>F213  DMCW-รชล-พระพุทธบาท</v>
      </c>
      <c r="K62" t="str">
        <f>'mk 001 10.3'!K64</f>
        <v>00000  หน่วยงานกลาง</v>
      </c>
      <c r="L62">
        <f>'mk 001 10.3'!L64</f>
        <v>923</v>
      </c>
      <c r="M62">
        <f>'mk 001 10.3'!M64</f>
        <v>0</v>
      </c>
      <c r="Q62" s="13" t="str">
        <f>IF(แปลงข้อมูล!P63,แปลงข้อมูล!H63,"")</f>
        <v/>
      </c>
      <c r="R62" s="1">
        <f>'mk 001 10.3'!R64</f>
        <v>244658</v>
      </c>
      <c r="S62" s="1" t="str">
        <f>'mk 001 10.3'!S64</f>
        <v>14/5/2569</v>
      </c>
      <c r="U62" s="13" t="str">
        <f>IF(แปลงข้อมูล!P63,แปลงข้อมูล!I63,"")</f>
        <v/>
      </c>
      <c r="V62" s="13" t="str">
        <f>IF(แปลงข้อมูล!P63,แปลงข้อมูล!J63,"")</f>
        <v/>
      </c>
      <c r="Y62" s="13" t="str">
        <f>_xlfn.XLOOKUP(V62,'mk 001 10.3'!V:V,'mk 001 10.3'!Y:Y,"")</f>
        <v/>
      </c>
      <c r="Z62" s="13" t="str">
        <f>IF(แปลงข้อมูล!P63,แปลงข้อมูล!N63,"")</f>
        <v/>
      </c>
      <c r="BL62" t="str">
        <f>'mk 001 10.3'!BL64</f>
        <v>SYSBATCH</v>
      </c>
      <c r="BM62">
        <f>'mk 001 10.3'!BM64</f>
        <v>0</v>
      </c>
      <c r="BN62">
        <f>'mk 001 10.3'!BN64</f>
        <v>0</v>
      </c>
    </row>
    <row r="63" spans="1:66" x14ac:dyDescent="0.35">
      <c r="A63">
        <f>'mk 001 10.3'!A65</f>
        <v>0</v>
      </c>
      <c r="B63">
        <f>'mk 001 10.3'!B65</f>
        <v>0</v>
      </c>
      <c r="C63" s="1" t="str">
        <f>'mk 001 10.3'!C65</f>
        <v>14/5/2569</v>
      </c>
      <c r="D63" s="1" t="str">
        <f>'mk 001 10.3'!D65</f>
        <v>14/5/2569</v>
      </c>
      <c r="E63">
        <f>'mk 001 10.3'!E65</f>
        <v>0</v>
      </c>
      <c r="F63" t="str">
        <f>'mk 001 10.3'!F65</f>
        <v>489M</v>
      </c>
      <c r="G63" t="str">
        <f>'mk 001 10.3'!G65</f>
        <v>Modern Trade (Makro)</v>
      </c>
      <c r="H63">
        <f>'mk 001 10.3'!H65</f>
        <v>0</v>
      </c>
      <c r="I63" t="str">
        <f>'mk 001 10.3'!I65</f>
        <v>หน่วยงานกลาง</v>
      </c>
      <c r="J63" t="str">
        <f>'mk 001 10.3'!J65</f>
        <v>F213  DMCW-รชล-พระพุทธบาท</v>
      </c>
      <c r="K63" t="str">
        <f>'mk 001 10.3'!K65</f>
        <v>00000  หน่วยงานกลาง</v>
      </c>
      <c r="L63">
        <f>'mk 001 10.3'!L65</f>
        <v>923</v>
      </c>
      <c r="M63">
        <f>'mk 001 10.3'!M65</f>
        <v>0</v>
      </c>
      <c r="Q63" s="13" t="str">
        <f>IF(แปลงข้อมูล!P64,แปลงข้อมูล!H64,"")</f>
        <v/>
      </c>
      <c r="R63" s="1">
        <f>'mk 001 10.3'!R65</f>
        <v>244658</v>
      </c>
      <c r="S63" s="1" t="str">
        <f>'mk 001 10.3'!S65</f>
        <v>14/5/2569</v>
      </c>
      <c r="U63" s="13" t="str">
        <f>IF(แปลงข้อมูล!P64,แปลงข้อมูล!I64,"")</f>
        <v/>
      </c>
      <c r="V63" s="13" t="str">
        <f>IF(แปลงข้อมูล!P64,แปลงข้อมูล!J64,"")</f>
        <v/>
      </c>
      <c r="Y63" s="13" t="str">
        <f>_xlfn.XLOOKUP(V63,'mk 001 10.3'!V:V,'mk 001 10.3'!Y:Y,"")</f>
        <v/>
      </c>
      <c r="Z63" s="13" t="str">
        <f>IF(แปลงข้อมูล!P64,แปลงข้อมูล!N64,"")</f>
        <v/>
      </c>
      <c r="BL63" t="str">
        <f>'mk 001 10.3'!BL65</f>
        <v>SYSBATCH</v>
      </c>
      <c r="BM63">
        <f>'mk 001 10.3'!BM65</f>
        <v>0</v>
      </c>
      <c r="BN63">
        <f>'mk 001 10.3'!BN65</f>
        <v>0</v>
      </c>
    </row>
    <row r="64" spans="1:66" x14ac:dyDescent="0.35">
      <c r="A64">
        <f>'mk 001 10.3'!A66</f>
        <v>0</v>
      </c>
      <c r="B64">
        <f>'mk 001 10.3'!B66</f>
        <v>0</v>
      </c>
      <c r="C64" s="1" t="str">
        <f>'mk 001 10.3'!C66</f>
        <v>14/5/2569</v>
      </c>
      <c r="D64" s="1" t="str">
        <f>'mk 001 10.3'!D66</f>
        <v>14/5/2569</v>
      </c>
      <c r="E64">
        <f>'mk 001 10.3'!E66</f>
        <v>0</v>
      </c>
      <c r="F64" t="str">
        <f>'mk 001 10.3'!F66</f>
        <v>489M</v>
      </c>
      <c r="G64" t="str">
        <f>'mk 001 10.3'!G66</f>
        <v>Modern Trade (Makro)</v>
      </c>
      <c r="H64">
        <f>'mk 001 10.3'!H66</f>
        <v>0</v>
      </c>
      <c r="I64" t="str">
        <f>'mk 001 10.3'!I66</f>
        <v>หน่วยงานกลาง</v>
      </c>
      <c r="J64" t="str">
        <f>'mk 001 10.3'!J66</f>
        <v>F213  DMCW-รชล-พระพุทธบาท</v>
      </c>
      <c r="K64" t="str">
        <f>'mk 001 10.3'!K66</f>
        <v>00000  หน่วยงานกลาง</v>
      </c>
      <c r="L64">
        <f>'mk 001 10.3'!L66</f>
        <v>923</v>
      </c>
      <c r="M64">
        <f>'mk 001 10.3'!M66</f>
        <v>0</v>
      </c>
      <c r="Q64" s="13" t="str">
        <f>IF(แปลงข้อมูล!P65,แปลงข้อมูล!H65,"")</f>
        <v/>
      </c>
      <c r="R64" s="1">
        <f>'mk 001 10.3'!R66</f>
        <v>244658</v>
      </c>
      <c r="S64" s="1" t="str">
        <f>'mk 001 10.3'!S66</f>
        <v>14/5/2569</v>
      </c>
      <c r="U64" s="13" t="str">
        <f>IF(แปลงข้อมูล!P65,แปลงข้อมูล!I65,"")</f>
        <v/>
      </c>
      <c r="V64" s="13" t="str">
        <f>IF(แปลงข้อมูล!P65,แปลงข้อมูล!J65,"")</f>
        <v/>
      </c>
      <c r="Y64" s="13" t="str">
        <f>_xlfn.XLOOKUP(V64,'mk 001 10.3'!V:V,'mk 001 10.3'!Y:Y,"")</f>
        <v/>
      </c>
      <c r="Z64" s="13" t="str">
        <f>IF(แปลงข้อมูล!P65,แปลงข้อมูล!N65,"")</f>
        <v/>
      </c>
      <c r="BL64" t="str">
        <f>'mk 001 10.3'!BL66</f>
        <v>SYSBATCH</v>
      </c>
      <c r="BM64">
        <f>'mk 001 10.3'!BM66</f>
        <v>0</v>
      </c>
      <c r="BN64">
        <f>'mk 001 10.3'!BN66</f>
        <v>0</v>
      </c>
    </row>
    <row r="65" spans="1:66" x14ac:dyDescent="0.35">
      <c r="A65">
        <f>'mk 001 10.3'!A67</f>
        <v>0</v>
      </c>
      <c r="B65">
        <f>'mk 001 10.3'!B67</f>
        <v>0</v>
      </c>
      <c r="C65" s="1" t="str">
        <f>'mk 001 10.3'!C67</f>
        <v>14/5/2569</v>
      </c>
      <c r="D65" s="1" t="str">
        <f>'mk 001 10.3'!D67</f>
        <v>14/5/2569</v>
      </c>
      <c r="E65">
        <f>'mk 001 10.3'!E67</f>
        <v>0</v>
      </c>
      <c r="F65" t="str">
        <f>'mk 001 10.3'!F67</f>
        <v>489M</v>
      </c>
      <c r="G65" t="str">
        <f>'mk 001 10.3'!G67</f>
        <v>Modern Trade (Makro)</v>
      </c>
      <c r="H65">
        <f>'mk 001 10.3'!H67</f>
        <v>0</v>
      </c>
      <c r="I65" t="str">
        <f>'mk 001 10.3'!I67</f>
        <v>หน่วยงานกลาง</v>
      </c>
      <c r="J65" t="str">
        <f>'mk 001 10.3'!J67</f>
        <v>F213  DMCW-รชล-พระพุทธบาท</v>
      </c>
      <c r="K65" t="str">
        <f>'mk 001 10.3'!K67</f>
        <v>00000  หน่วยงานกลาง</v>
      </c>
      <c r="L65">
        <f>'mk 001 10.3'!L67</f>
        <v>923</v>
      </c>
      <c r="M65">
        <f>'mk 001 10.3'!M67</f>
        <v>0</v>
      </c>
      <c r="Q65" s="13" t="str">
        <f>IF(แปลงข้อมูล!P66,แปลงข้อมูล!H66,"")</f>
        <v/>
      </c>
      <c r="R65" s="1">
        <f>'mk 001 10.3'!R67</f>
        <v>244658</v>
      </c>
      <c r="S65" s="1" t="str">
        <f>'mk 001 10.3'!S67</f>
        <v>14/5/2569</v>
      </c>
      <c r="U65" s="13" t="str">
        <f>IF(แปลงข้อมูล!P66,แปลงข้อมูล!I66,"")</f>
        <v/>
      </c>
      <c r="V65" s="13" t="str">
        <f>IF(แปลงข้อมูล!P66,แปลงข้อมูล!J66,"")</f>
        <v/>
      </c>
      <c r="Y65" s="13" t="str">
        <f>_xlfn.XLOOKUP(V65,'mk 001 10.3'!V:V,'mk 001 10.3'!Y:Y,"")</f>
        <v/>
      </c>
      <c r="Z65" s="13" t="str">
        <f>IF(แปลงข้อมูล!P66,แปลงข้อมูล!N66,"")</f>
        <v/>
      </c>
      <c r="BL65" t="str">
        <f>'mk 001 10.3'!BL67</f>
        <v>SYSBATCH</v>
      </c>
      <c r="BM65">
        <f>'mk 001 10.3'!BM67</f>
        <v>0</v>
      </c>
      <c r="BN65">
        <f>'mk 001 10.3'!BN67</f>
        <v>0</v>
      </c>
    </row>
    <row r="66" spans="1:66" x14ac:dyDescent="0.35">
      <c r="A66">
        <f>'mk 001 10.3'!A68</f>
        <v>0</v>
      </c>
      <c r="B66">
        <f>'mk 001 10.3'!B68</f>
        <v>0</v>
      </c>
      <c r="C66" s="1" t="str">
        <f>'mk 001 10.3'!C68</f>
        <v>14/5/2569</v>
      </c>
      <c r="D66" s="1" t="str">
        <f>'mk 001 10.3'!D68</f>
        <v>14/5/2569</v>
      </c>
      <c r="E66">
        <f>'mk 001 10.3'!E68</f>
        <v>0</v>
      </c>
      <c r="F66" t="str">
        <f>'mk 001 10.3'!F68</f>
        <v>489M</v>
      </c>
      <c r="G66" t="str">
        <f>'mk 001 10.3'!G68</f>
        <v>Modern Trade (Makro)</v>
      </c>
      <c r="H66">
        <f>'mk 001 10.3'!H68</f>
        <v>0</v>
      </c>
      <c r="I66" t="str">
        <f>'mk 001 10.3'!I68</f>
        <v>หน่วยงานกลาง</v>
      </c>
      <c r="J66" t="str">
        <f>'mk 001 10.3'!J68</f>
        <v>F213  DMCW-รชล-พระพุทธบาท</v>
      </c>
      <c r="K66" t="str">
        <f>'mk 001 10.3'!K68</f>
        <v>00000  หน่วยงานกลาง</v>
      </c>
      <c r="L66">
        <f>'mk 001 10.3'!L68</f>
        <v>923</v>
      </c>
      <c r="M66">
        <f>'mk 001 10.3'!M68</f>
        <v>0</v>
      </c>
      <c r="Q66" s="13" t="str">
        <f>IF(แปลงข้อมูล!P67,แปลงข้อมูล!H67,"")</f>
        <v/>
      </c>
      <c r="R66" s="1">
        <f>'mk 001 10.3'!R68</f>
        <v>244658</v>
      </c>
      <c r="S66" s="1" t="str">
        <f>'mk 001 10.3'!S68</f>
        <v>14/5/2569</v>
      </c>
      <c r="U66" s="13" t="str">
        <f>IF(แปลงข้อมูล!P67,แปลงข้อมูล!I67,"")</f>
        <v/>
      </c>
      <c r="V66" s="13" t="str">
        <f>IF(แปลงข้อมูล!P67,แปลงข้อมูล!J67,"")</f>
        <v/>
      </c>
      <c r="Y66" s="13" t="str">
        <f>_xlfn.XLOOKUP(V66,'mk 001 10.3'!V:V,'mk 001 10.3'!Y:Y,"")</f>
        <v/>
      </c>
      <c r="Z66" s="13" t="str">
        <f>IF(แปลงข้อมูล!P67,แปลงข้อมูล!N67,"")</f>
        <v/>
      </c>
      <c r="BL66" t="str">
        <f>'mk 001 10.3'!BL68</f>
        <v>SYSBATCH</v>
      </c>
      <c r="BM66">
        <f>'mk 001 10.3'!BM68</f>
        <v>0</v>
      </c>
      <c r="BN66">
        <f>'mk 001 10.3'!BN68</f>
        <v>0</v>
      </c>
    </row>
    <row r="67" spans="1:66" x14ac:dyDescent="0.35">
      <c r="A67">
        <f>'mk 001 10.3'!A69</f>
        <v>0</v>
      </c>
      <c r="B67">
        <f>'mk 001 10.3'!B69</f>
        <v>0</v>
      </c>
      <c r="C67" s="1" t="str">
        <f>'mk 001 10.3'!C69</f>
        <v>14/5/2569</v>
      </c>
      <c r="D67" s="1" t="str">
        <f>'mk 001 10.3'!D69</f>
        <v>14/5/2569</v>
      </c>
      <c r="E67">
        <f>'mk 001 10.3'!E69</f>
        <v>0</v>
      </c>
      <c r="F67" t="str">
        <f>'mk 001 10.3'!F69</f>
        <v>489M</v>
      </c>
      <c r="G67" t="str">
        <f>'mk 001 10.3'!G69</f>
        <v>Modern Trade (Makro)</v>
      </c>
      <c r="H67">
        <f>'mk 001 10.3'!H69</f>
        <v>0</v>
      </c>
      <c r="I67" t="str">
        <f>'mk 001 10.3'!I69</f>
        <v>หน่วยงานกลาง</v>
      </c>
      <c r="J67" t="str">
        <f>'mk 001 10.3'!J69</f>
        <v>F213  DMCW-รชล-พระพุทธบาท</v>
      </c>
      <c r="K67" t="str">
        <f>'mk 001 10.3'!K69</f>
        <v>00000  หน่วยงานกลาง</v>
      </c>
      <c r="L67">
        <f>'mk 001 10.3'!L69</f>
        <v>923</v>
      </c>
      <c r="M67">
        <f>'mk 001 10.3'!M69</f>
        <v>0</v>
      </c>
      <c r="Q67" s="13" t="str">
        <f>IF(แปลงข้อมูล!P68,แปลงข้อมูล!H68,"")</f>
        <v/>
      </c>
      <c r="R67" s="1">
        <f>'mk 001 10.3'!R69</f>
        <v>244658</v>
      </c>
      <c r="S67" s="1" t="str">
        <f>'mk 001 10.3'!S69</f>
        <v>14/5/2569</v>
      </c>
      <c r="U67" s="13" t="str">
        <f>IF(แปลงข้อมูล!P68,แปลงข้อมูล!I68,"")</f>
        <v/>
      </c>
      <c r="V67" s="13" t="str">
        <f>IF(แปลงข้อมูล!P68,แปลงข้อมูล!J68,"")</f>
        <v/>
      </c>
      <c r="Y67" s="13" t="str">
        <f>_xlfn.XLOOKUP(V67,'mk 001 10.3'!V:V,'mk 001 10.3'!Y:Y,"")</f>
        <v/>
      </c>
      <c r="Z67" s="13" t="str">
        <f>IF(แปลงข้อมูล!P68,แปลงข้อมูล!N68,"")</f>
        <v/>
      </c>
      <c r="BL67" t="str">
        <f>'mk 001 10.3'!BL69</f>
        <v>SYSBATCH</v>
      </c>
      <c r="BM67">
        <f>'mk 001 10.3'!BM69</f>
        <v>0</v>
      </c>
      <c r="BN67">
        <f>'mk 001 10.3'!BN69</f>
        <v>0</v>
      </c>
    </row>
    <row r="68" spans="1:66" x14ac:dyDescent="0.35">
      <c r="A68">
        <f>'mk 001 10.3'!A70</f>
        <v>0</v>
      </c>
      <c r="B68">
        <f>'mk 001 10.3'!B70</f>
        <v>0</v>
      </c>
      <c r="C68" s="1" t="str">
        <f>'mk 001 10.3'!C70</f>
        <v>14/5/2569</v>
      </c>
      <c r="D68" s="1" t="str">
        <f>'mk 001 10.3'!D70</f>
        <v>14/5/2569</v>
      </c>
      <c r="E68">
        <f>'mk 001 10.3'!E70</f>
        <v>0</v>
      </c>
      <c r="F68" t="str">
        <f>'mk 001 10.3'!F70</f>
        <v>489M</v>
      </c>
      <c r="G68" t="str">
        <f>'mk 001 10.3'!G70</f>
        <v>Modern Trade (Makro)</v>
      </c>
      <c r="H68">
        <f>'mk 001 10.3'!H70</f>
        <v>0</v>
      </c>
      <c r="I68" t="str">
        <f>'mk 001 10.3'!I70</f>
        <v>หน่วยงานกลาง</v>
      </c>
      <c r="J68" t="str">
        <f>'mk 001 10.3'!J70</f>
        <v>F213  DMCW-รชล-พระพุทธบาท</v>
      </c>
      <c r="K68" t="str">
        <f>'mk 001 10.3'!K70</f>
        <v>00000  หน่วยงานกลาง</v>
      </c>
      <c r="L68">
        <f>'mk 001 10.3'!L70</f>
        <v>923</v>
      </c>
      <c r="M68">
        <f>'mk 001 10.3'!M70</f>
        <v>0</v>
      </c>
      <c r="Q68" s="13" t="str">
        <f>IF(แปลงข้อมูล!P69,แปลงข้อมูล!H69,"")</f>
        <v/>
      </c>
      <c r="R68" s="1">
        <f>'mk 001 10.3'!R70</f>
        <v>244658</v>
      </c>
      <c r="S68" s="1" t="str">
        <f>'mk 001 10.3'!S70</f>
        <v>14/5/2569</v>
      </c>
      <c r="U68" s="13" t="str">
        <f>IF(แปลงข้อมูล!P69,แปลงข้อมูล!I69,"")</f>
        <v/>
      </c>
      <c r="V68" s="13" t="str">
        <f>IF(แปลงข้อมูล!P69,แปลงข้อมูล!J69,"")</f>
        <v/>
      </c>
      <c r="Y68" s="13" t="str">
        <f>_xlfn.XLOOKUP(V68,'mk 001 10.3'!V:V,'mk 001 10.3'!Y:Y,"")</f>
        <v/>
      </c>
      <c r="Z68" s="13" t="str">
        <f>IF(แปลงข้อมูล!P69,แปลงข้อมูล!N69,"")</f>
        <v/>
      </c>
      <c r="BL68" t="str">
        <f>'mk 001 10.3'!BL70</f>
        <v>SYSBATCH</v>
      </c>
      <c r="BM68">
        <f>'mk 001 10.3'!BM70</f>
        <v>0</v>
      </c>
      <c r="BN68">
        <f>'mk 001 10.3'!BN70</f>
        <v>0</v>
      </c>
    </row>
    <row r="69" spans="1:66" x14ac:dyDescent="0.35">
      <c r="A69">
        <f>'mk 001 10.3'!A71</f>
        <v>0</v>
      </c>
      <c r="B69">
        <f>'mk 001 10.3'!B71</f>
        <v>0</v>
      </c>
      <c r="C69" s="1" t="str">
        <f>'mk 001 10.3'!C71</f>
        <v>14/5/2569</v>
      </c>
      <c r="D69" s="1" t="str">
        <f>'mk 001 10.3'!D71</f>
        <v>14/5/2569</v>
      </c>
      <c r="E69">
        <f>'mk 001 10.3'!E71</f>
        <v>0</v>
      </c>
      <c r="F69" t="str">
        <f>'mk 001 10.3'!F71</f>
        <v>489M</v>
      </c>
      <c r="G69" t="str">
        <f>'mk 001 10.3'!G71</f>
        <v>Modern Trade (Makro)</v>
      </c>
      <c r="H69">
        <f>'mk 001 10.3'!H71</f>
        <v>0</v>
      </c>
      <c r="I69" t="str">
        <f>'mk 001 10.3'!I71</f>
        <v>หน่วยงานกลาง</v>
      </c>
      <c r="J69" t="str">
        <f>'mk 001 10.3'!J71</f>
        <v>F213  DMCW-รชล-พระพุทธบาท</v>
      </c>
      <c r="K69" t="str">
        <f>'mk 001 10.3'!K71</f>
        <v>00000  หน่วยงานกลาง</v>
      </c>
      <c r="L69">
        <f>'mk 001 10.3'!L71</f>
        <v>923</v>
      </c>
      <c r="M69">
        <f>'mk 001 10.3'!M71</f>
        <v>0</v>
      </c>
      <c r="Q69" s="13" t="str">
        <f>IF(แปลงข้อมูล!P70,แปลงข้อมูล!H70,"")</f>
        <v/>
      </c>
      <c r="R69" s="1">
        <f>'mk 001 10.3'!R71</f>
        <v>244658</v>
      </c>
      <c r="S69" s="1" t="str">
        <f>'mk 001 10.3'!S71</f>
        <v>14/5/2569</v>
      </c>
      <c r="U69" s="13" t="str">
        <f>IF(แปลงข้อมูล!P70,แปลงข้อมูล!I70,"")</f>
        <v/>
      </c>
      <c r="V69" s="13" t="str">
        <f>IF(แปลงข้อมูล!P70,แปลงข้อมูล!J70,"")</f>
        <v/>
      </c>
      <c r="Y69" s="13" t="str">
        <f>_xlfn.XLOOKUP(V69,'mk 001 10.3'!V:V,'mk 001 10.3'!Y:Y,"")</f>
        <v/>
      </c>
      <c r="Z69" s="13" t="str">
        <f>IF(แปลงข้อมูล!P70,แปลงข้อมูล!N70,"")</f>
        <v/>
      </c>
      <c r="BL69" t="str">
        <f>'mk 001 10.3'!BL71</f>
        <v>SYSBATCH</v>
      </c>
      <c r="BM69">
        <f>'mk 001 10.3'!BM71</f>
        <v>0</v>
      </c>
      <c r="BN69">
        <f>'mk 001 10.3'!BN71</f>
        <v>0</v>
      </c>
    </row>
    <row r="70" spans="1:66" x14ac:dyDescent="0.35">
      <c r="A70">
        <f>'mk 001 10.3'!A72</f>
        <v>0</v>
      </c>
      <c r="B70">
        <f>'mk 001 10.3'!B72</f>
        <v>0</v>
      </c>
      <c r="C70" s="1" t="str">
        <f>'mk 001 10.3'!C72</f>
        <v>14/5/2569</v>
      </c>
      <c r="D70" s="1" t="str">
        <f>'mk 001 10.3'!D72</f>
        <v>14/5/2569</v>
      </c>
      <c r="E70">
        <f>'mk 001 10.3'!E72</f>
        <v>0</v>
      </c>
      <c r="F70" t="str">
        <f>'mk 001 10.3'!F72</f>
        <v>489M</v>
      </c>
      <c r="G70" t="str">
        <f>'mk 001 10.3'!G72</f>
        <v>Modern Trade (Makro)</v>
      </c>
      <c r="H70">
        <f>'mk 001 10.3'!H72</f>
        <v>0</v>
      </c>
      <c r="I70" t="str">
        <f>'mk 001 10.3'!I72</f>
        <v>หน่วยงานกลาง</v>
      </c>
      <c r="J70" t="str">
        <f>'mk 001 10.3'!J72</f>
        <v>F213  DMCW-รชล-พระพุทธบาท</v>
      </c>
      <c r="K70" t="str">
        <f>'mk 001 10.3'!K72</f>
        <v>00000  หน่วยงานกลาง</v>
      </c>
      <c r="L70">
        <f>'mk 001 10.3'!L72</f>
        <v>923</v>
      </c>
      <c r="M70">
        <f>'mk 001 10.3'!M72</f>
        <v>0</v>
      </c>
      <c r="Q70" s="13" t="str">
        <f>IF(แปลงข้อมูล!P71,แปลงข้อมูล!H71,"")</f>
        <v/>
      </c>
      <c r="R70" s="1">
        <f>'mk 001 10.3'!R72</f>
        <v>244658</v>
      </c>
      <c r="S70" s="1" t="str">
        <f>'mk 001 10.3'!S72</f>
        <v>14/5/2569</v>
      </c>
      <c r="U70" s="13" t="str">
        <f>IF(แปลงข้อมูล!P71,แปลงข้อมูล!I71,"")</f>
        <v/>
      </c>
      <c r="V70" s="13" t="str">
        <f>IF(แปลงข้อมูล!P71,แปลงข้อมูล!J71,"")</f>
        <v/>
      </c>
      <c r="Y70" s="13" t="str">
        <f>_xlfn.XLOOKUP(V70,'mk 001 10.3'!V:V,'mk 001 10.3'!Y:Y,"")</f>
        <v/>
      </c>
      <c r="Z70" s="13" t="str">
        <f>IF(แปลงข้อมูล!P71,แปลงข้อมูล!N71,"")</f>
        <v/>
      </c>
      <c r="BL70" t="str">
        <f>'mk 001 10.3'!BL72</f>
        <v>SYSBATCH</v>
      </c>
      <c r="BM70">
        <f>'mk 001 10.3'!BM72</f>
        <v>0</v>
      </c>
      <c r="BN70">
        <f>'mk 001 10.3'!BN72</f>
        <v>0</v>
      </c>
    </row>
    <row r="71" spans="1:66" x14ac:dyDescent="0.35">
      <c r="A71">
        <f>'mk 001 10.3'!A73</f>
        <v>0</v>
      </c>
      <c r="B71">
        <f>'mk 001 10.3'!B73</f>
        <v>0</v>
      </c>
      <c r="C71" s="1" t="str">
        <f>'mk 001 10.3'!C73</f>
        <v>14/5/2569</v>
      </c>
      <c r="D71" s="1" t="str">
        <f>'mk 001 10.3'!D73</f>
        <v>14/5/2569</v>
      </c>
      <c r="E71">
        <f>'mk 001 10.3'!E73</f>
        <v>0</v>
      </c>
      <c r="F71" t="str">
        <f>'mk 001 10.3'!F73</f>
        <v>489M</v>
      </c>
      <c r="G71" t="str">
        <f>'mk 001 10.3'!G73</f>
        <v>Modern Trade (Makro)</v>
      </c>
      <c r="H71">
        <f>'mk 001 10.3'!H73</f>
        <v>0</v>
      </c>
      <c r="I71" t="str">
        <f>'mk 001 10.3'!I73</f>
        <v>หน่วยงานกลาง</v>
      </c>
      <c r="J71" t="str">
        <f>'mk 001 10.3'!J73</f>
        <v>F213  DMCW-รชล-พระพุทธบาท</v>
      </c>
      <c r="K71" t="str">
        <f>'mk 001 10.3'!K73</f>
        <v>00000  หน่วยงานกลาง</v>
      </c>
      <c r="L71">
        <f>'mk 001 10.3'!L73</f>
        <v>923</v>
      </c>
      <c r="M71">
        <f>'mk 001 10.3'!M73</f>
        <v>0</v>
      </c>
      <c r="Q71" s="13" t="str">
        <f>IF(แปลงข้อมูล!P72,แปลงข้อมูล!H72,"")</f>
        <v/>
      </c>
      <c r="R71" s="1">
        <f>'mk 001 10.3'!R73</f>
        <v>244658</v>
      </c>
      <c r="S71" s="1" t="str">
        <f>'mk 001 10.3'!S73</f>
        <v>14/5/2569</v>
      </c>
      <c r="U71" s="13" t="str">
        <f>IF(แปลงข้อมูล!P72,แปลงข้อมูล!I72,"")</f>
        <v/>
      </c>
      <c r="V71" s="13" t="str">
        <f>IF(แปลงข้อมูล!P72,แปลงข้อมูล!J72,"")</f>
        <v/>
      </c>
      <c r="Y71" s="13" t="str">
        <f>_xlfn.XLOOKUP(V71,'mk 001 10.3'!V:V,'mk 001 10.3'!Y:Y,"")</f>
        <v/>
      </c>
      <c r="Z71" s="13" t="str">
        <f>IF(แปลงข้อมูล!P72,แปลงข้อมูล!N72,"")</f>
        <v/>
      </c>
      <c r="BL71" t="str">
        <f>'mk 001 10.3'!BL73</f>
        <v>SYSBATCH</v>
      </c>
      <c r="BM71">
        <f>'mk 001 10.3'!BM73</f>
        <v>0</v>
      </c>
      <c r="BN71">
        <f>'mk 001 10.3'!BN73</f>
        <v>0</v>
      </c>
    </row>
    <row r="72" spans="1:66" x14ac:dyDescent="0.35">
      <c r="A72">
        <f>'mk 001 10.3'!A74</f>
        <v>0</v>
      </c>
      <c r="B72">
        <f>'mk 001 10.3'!B74</f>
        <v>0</v>
      </c>
      <c r="C72" s="1" t="str">
        <f>'mk 001 10.3'!C74</f>
        <v>14/5/2569</v>
      </c>
      <c r="D72" s="1" t="str">
        <f>'mk 001 10.3'!D74</f>
        <v>14/5/2569</v>
      </c>
      <c r="E72">
        <f>'mk 001 10.3'!E74</f>
        <v>0</v>
      </c>
      <c r="F72" t="str">
        <f>'mk 001 10.3'!F74</f>
        <v>489M</v>
      </c>
      <c r="G72" t="str">
        <f>'mk 001 10.3'!G74</f>
        <v>Modern Trade (Makro)</v>
      </c>
      <c r="H72">
        <f>'mk 001 10.3'!H74</f>
        <v>0</v>
      </c>
      <c r="I72" t="str">
        <f>'mk 001 10.3'!I74</f>
        <v>หน่วยงานกลาง</v>
      </c>
      <c r="J72" t="str">
        <f>'mk 001 10.3'!J74</f>
        <v>F213  DMCW-รชล-พระพุทธบาท</v>
      </c>
      <c r="K72" t="str">
        <f>'mk 001 10.3'!K74</f>
        <v>00000  หน่วยงานกลาง</v>
      </c>
      <c r="L72">
        <f>'mk 001 10.3'!L74</f>
        <v>923</v>
      </c>
      <c r="M72">
        <f>'mk 001 10.3'!M74</f>
        <v>0</v>
      </c>
      <c r="Q72" s="13" t="str">
        <f>IF(แปลงข้อมูล!P73,แปลงข้อมูล!H73,"")</f>
        <v/>
      </c>
      <c r="R72" s="1">
        <f>'mk 001 10.3'!R74</f>
        <v>244658</v>
      </c>
      <c r="S72" s="1" t="str">
        <f>'mk 001 10.3'!S74</f>
        <v>14/5/2569</v>
      </c>
      <c r="U72" s="13" t="str">
        <f>IF(แปลงข้อมูล!P73,แปลงข้อมูล!I73,"")</f>
        <v/>
      </c>
      <c r="V72" s="13" t="str">
        <f>IF(แปลงข้อมูล!P73,แปลงข้อมูล!J73,"")</f>
        <v/>
      </c>
      <c r="Y72" s="13" t="str">
        <f>_xlfn.XLOOKUP(V72,'mk 001 10.3'!V:V,'mk 001 10.3'!Y:Y,"")</f>
        <v/>
      </c>
      <c r="Z72" s="13" t="str">
        <f>IF(แปลงข้อมูล!P73,แปลงข้อมูล!N73,"")</f>
        <v/>
      </c>
      <c r="BL72" t="str">
        <f>'mk 001 10.3'!BL74</f>
        <v>SYSBATCH</v>
      </c>
      <c r="BM72">
        <f>'mk 001 10.3'!BM74</f>
        <v>0</v>
      </c>
      <c r="BN72">
        <f>'mk 001 10.3'!BN74</f>
        <v>0</v>
      </c>
    </row>
    <row r="73" spans="1:66" x14ac:dyDescent="0.35">
      <c r="A73">
        <f>'mk 001 10.3'!A75</f>
        <v>0</v>
      </c>
      <c r="B73">
        <f>'mk 001 10.3'!B75</f>
        <v>0</v>
      </c>
      <c r="C73" s="1" t="str">
        <f>'mk 001 10.3'!C75</f>
        <v>14/5/2569</v>
      </c>
      <c r="D73" s="1" t="str">
        <f>'mk 001 10.3'!D75</f>
        <v>14/5/2569</v>
      </c>
      <c r="E73">
        <f>'mk 001 10.3'!E75</f>
        <v>0</v>
      </c>
      <c r="F73" t="str">
        <f>'mk 001 10.3'!F75</f>
        <v>489M</v>
      </c>
      <c r="G73" t="str">
        <f>'mk 001 10.3'!G75</f>
        <v>Modern Trade (Makro)</v>
      </c>
      <c r="H73">
        <f>'mk 001 10.3'!H75</f>
        <v>0</v>
      </c>
      <c r="I73" t="str">
        <f>'mk 001 10.3'!I75</f>
        <v>หน่วยงานกลาง</v>
      </c>
      <c r="J73" t="str">
        <f>'mk 001 10.3'!J75</f>
        <v>F213  DMCW-รชล-พระพุทธบาท</v>
      </c>
      <c r="K73" t="str">
        <f>'mk 001 10.3'!K75</f>
        <v>00000  หน่วยงานกลาง</v>
      </c>
      <c r="L73">
        <f>'mk 001 10.3'!L75</f>
        <v>923</v>
      </c>
      <c r="M73">
        <f>'mk 001 10.3'!M75</f>
        <v>0</v>
      </c>
      <c r="Q73" s="13" t="str">
        <f>IF(แปลงข้อมูล!P74,แปลงข้อมูล!H74,"")</f>
        <v/>
      </c>
      <c r="R73" s="1">
        <f>'mk 001 10.3'!R75</f>
        <v>244658</v>
      </c>
      <c r="S73" s="1" t="str">
        <f>'mk 001 10.3'!S75</f>
        <v>14/5/2569</v>
      </c>
      <c r="U73" s="13" t="str">
        <f>IF(แปลงข้อมูล!P74,แปลงข้อมูล!I74,"")</f>
        <v/>
      </c>
      <c r="V73" s="13" t="str">
        <f>IF(แปลงข้อมูล!P74,แปลงข้อมูล!J74,"")</f>
        <v/>
      </c>
      <c r="Y73" s="13" t="str">
        <f>_xlfn.XLOOKUP(V73,'mk 001 10.3'!V:V,'mk 001 10.3'!Y:Y,"")</f>
        <v/>
      </c>
      <c r="Z73" s="13" t="str">
        <f>IF(แปลงข้อมูล!P74,แปลงข้อมูล!N74,"")</f>
        <v/>
      </c>
      <c r="BL73" t="str">
        <f>'mk 001 10.3'!BL75</f>
        <v>SYSBATCH</v>
      </c>
      <c r="BM73">
        <f>'mk 001 10.3'!BM75</f>
        <v>0</v>
      </c>
      <c r="BN73">
        <f>'mk 001 10.3'!BN75</f>
        <v>0</v>
      </c>
    </row>
    <row r="74" spans="1:66" x14ac:dyDescent="0.35">
      <c r="A74">
        <f>'mk 001 10.3'!A76</f>
        <v>0</v>
      </c>
      <c r="B74">
        <f>'mk 001 10.3'!B76</f>
        <v>0</v>
      </c>
      <c r="C74" s="1" t="str">
        <f>'mk 001 10.3'!C76</f>
        <v>14/5/2569</v>
      </c>
      <c r="D74" s="1" t="str">
        <f>'mk 001 10.3'!D76</f>
        <v>14/5/2569</v>
      </c>
      <c r="E74">
        <f>'mk 001 10.3'!E76</f>
        <v>0</v>
      </c>
      <c r="F74" t="str">
        <f>'mk 001 10.3'!F76</f>
        <v>489M</v>
      </c>
      <c r="G74" t="str">
        <f>'mk 001 10.3'!G76</f>
        <v>Modern Trade (Makro)</v>
      </c>
      <c r="H74">
        <f>'mk 001 10.3'!H76</f>
        <v>0</v>
      </c>
      <c r="I74" t="str">
        <f>'mk 001 10.3'!I76</f>
        <v>หน่วยงานกลาง</v>
      </c>
      <c r="J74" t="str">
        <f>'mk 001 10.3'!J76</f>
        <v>F213  DMCW-รชล-พระพุทธบาท</v>
      </c>
      <c r="K74" t="str">
        <f>'mk 001 10.3'!K76</f>
        <v>00000  หน่วยงานกลาง</v>
      </c>
      <c r="L74">
        <f>'mk 001 10.3'!L76</f>
        <v>923</v>
      </c>
      <c r="M74">
        <f>'mk 001 10.3'!M76</f>
        <v>0</v>
      </c>
      <c r="Q74" s="13" t="str">
        <f>IF(แปลงข้อมูล!P75,แปลงข้อมูล!H75,"")</f>
        <v/>
      </c>
      <c r="R74" s="1">
        <f>'mk 001 10.3'!R76</f>
        <v>244658</v>
      </c>
      <c r="S74" s="1" t="str">
        <f>'mk 001 10.3'!S76</f>
        <v>14/5/2569</v>
      </c>
      <c r="U74" s="13" t="str">
        <f>IF(แปลงข้อมูล!P75,แปลงข้อมูล!I75,"")</f>
        <v/>
      </c>
      <c r="V74" s="13" t="str">
        <f>IF(แปลงข้อมูล!P75,แปลงข้อมูล!J75,"")</f>
        <v/>
      </c>
      <c r="Y74" s="13" t="str">
        <f>_xlfn.XLOOKUP(V74,'mk 001 10.3'!V:V,'mk 001 10.3'!Y:Y,"")</f>
        <v/>
      </c>
      <c r="Z74" s="13" t="str">
        <f>IF(แปลงข้อมูล!P75,แปลงข้อมูล!N75,"")</f>
        <v/>
      </c>
      <c r="BL74" t="str">
        <f>'mk 001 10.3'!BL76</f>
        <v>SYSBATCH</v>
      </c>
      <c r="BM74">
        <f>'mk 001 10.3'!BM76</f>
        <v>0</v>
      </c>
      <c r="BN74">
        <f>'mk 001 10.3'!BN76</f>
        <v>0</v>
      </c>
    </row>
    <row r="75" spans="1:66" x14ac:dyDescent="0.35">
      <c r="A75">
        <f>'mk 001 10.3'!A77</f>
        <v>0</v>
      </c>
      <c r="B75">
        <f>'mk 001 10.3'!B77</f>
        <v>0</v>
      </c>
      <c r="C75" s="1" t="str">
        <f>'mk 001 10.3'!C77</f>
        <v>14/5/2569</v>
      </c>
      <c r="D75" s="1" t="str">
        <f>'mk 001 10.3'!D77</f>
        <v>14/5/2569</v>
      </c>
      <c r="E75">
        <f>'mk 001 10.3'!E77</f>
        <v>0</v>
      </c>
      <c r="F75" t="str">
        <f>'mk 001 10.3'!F77</f>
        <v>489M</v>
      </c>
      <c r="G75" t="str">
        <f>'mk 001 10.3'!G77</f>
        <v>Modern Trade (Makro)</v>
      </c>
      <c r="H75">
        <f>'mk 001 10.3'!H77</f>
        <v>0</v>
      </c>
      <c r="I75" t="str">
        <f>'mk 001 10.3'!I77</f>
        <v>หน่วยงานกลาง</v>
      </c>
      <c r="J75" t="str">
        <f>'mk 001 10.3'!J77</f>
        <v>F213  DMCW-รชล-พระพุทธบาท</v>
      </c>
      <c r="K75" t="str">
        <f>'mk 001 10.3'!K77</f>
        <v>00000  หน่วยงานกลาง</v>
      </c>
      <c r="L75">
        <f>'mk 001 10.3'!L77</f>
        <v>923</v>
      </c>
      <c r="M75">
        <f>'mk 001 10.3'!M77</f>
        <v>0</v>
      </c>
      <c r="Q75" s="13" t="str">
        <f>IF(แปลงข้อมูล!P76,แปลงข้อมูล!H76,"")</f>
        <v/>
      </c>
      <c r="R75" s="1">
        <f>'mk 001 10.3'!R77</f>
        <v>244658</v>
      </c>
      <c r="S75" s="1" t="str">
        <f>'mk 001 10.3'!S77</f>
        <v>14/5/2569</v>
      </c>
      <c r="U75" s="13" t="str">
        <f>IF(แปลงข้อมูล!P76,แปลงข้อมูล!I76,"")</f>
        <v/>
      </c>
      <c r="V75" s="13" t="str">
        <f>IF(แปลงข้อมูล!P76,แปลงข้อมูล!J76,"")</f>
        <v/>
      </c>
      <c r="Y75" s="13" t="str">
        <f>_xlfn.XLOOKUP(V75,'mk 001 10.3'!V:V,'mk 001 10.3'!Y:Y,"")</f>
        <v/>
      </c>
      <c r="Z75" s="13" t="str">
        <f>IF(แปลงข้อมูล!P76,แปลงข้อมูล!N76,"")</f>
        <v/>
      </c>
      <c r="BL75" t="str">
        <f>'mk 001 10.3'!BL77</f>
        <v>SYSBATCH</v>
      </c>
      <c r="BM75">
        <f>'mk 001 10.3'!BM77</f>
        <v>0</v>
      </c>
      <c r="BN75">
        <f>'mk 001 10.3'!BN77</f>
        <v>0</v>
      </c>
    </row>
    <row r="76" spans="1:66" x14ac:dyDescent="0.35">
      <c r="A76">
        <f>'mk 001 10.3'!A78</f>
        <v>0</v>
      </c>
      <c r="B76">
        <f>'mk 001 10.3'!B78</f>
        <v>0</v>
      </c>
      <c r="C76" s="1" t="str">
        <f>'mk 001 10.3'!C78</f>
        <v>14/5/2569</v>
      </c>
      <c r="D76" s="1" t="str">
        <f>'mk 001 10.3'!D78</f>
        <v>14/5/2569</v>
      </c>
      <c r="E76">
        <f>'mk 001 10.3'!E78</f>
        <v>0</v>
      </c>
      <c r="F76" t="str">
        <f>'mk 001 10.3'!F78</f>
        <v>489M</v>
      </c>
      <c r="G76" t="str">
        <f>'mk 001 10.3'!G78</f>
        <v>Modern Trade (Makro)</v>
      </c>
      <c r="H76">
        <f>'mk 001 10.3'!H78</f>
        <v>0</v>
      </c>
      <c r="I76" t="str">
        <f>'mk 001 10.3'!I78</f>
        <v>หน่วยงานกลาง</v>
      </c>
      <c r="J76" t="str">
        <f>'mk 001 10.3'!J78</f>
        <v>F213  DMCW-รชล-พระพุทธบาท</v>
      </c>
      <c r="K76" t="str">
        <f>'mk 001 10.3'!K78</f>
        <v>00000  หน่วยงานกลาง</v>
      </c>
      <c r="L76">
        <f>'mk 001 10.3'!L78</f>
        <v>923</v>
      </c>
      <c r="M76">
        <f>'mk 001 10.3'!M78</f>
        <v>0</v>
      </c>
      <c r="Q76" s="13" t="str">
        <f>IF(แปลงข้อมูล!P77,แปลงข้อมูล!H77,"")</f>
        <v/>
      </c>
      <c r="R76" s="1">
        <f>'mk 001 10.3'!R78</f>
        <v>244658</v>
      </c>
      <c r="S76" s="1" t="str">
        <f>'mk 001 10.3'!S78</f>
        <v>14/5/2569</v>
      </c>
      <c r="U76" s="13" t="str">
        <f>IF(แปลงข้อมูล!P77,แปลงข้อมูล!I77,"")</f>
        <v/>
      </c>
      <c r="V76" s="13" t="str">
        <f>IF(แปลงข้อมูล!P77,แปลงข้อมูล!J77,"")</f>
        <v/>
      </c>
      <c r="Y76" s="13" t="str">
        <f>_xlfn.XLOOKUP(V76,'mk 001 10.3'!V:V,'mk 001 10.3'!Y:Y,"")</f>
        <v/>
      </c>
      <c r="Z76" s="13" t="str">
        <f>IF(แปลงข้อมูล!P77,แปลงข้อมูล!N77,"")</f>
        <v/>
      </c>
      <c r="BL76" t="str">
        <f>'mk 001 10.3'!BL78</f>
        <v>SYSBATCH</v>
      </c>
      <c r="BM76">
        <f>'mk 001 10.3'!BM78</f>
        <v>0</v>
      </c>
      <c r="BN76">
        <f>'mk 001 10.3'!BN78</f>
        <v>0</v>
      </c>
    </row>
    <row r="77" spans="1:66" x14ac:dyDescent="0.35">
      <c r="A77">
        <f>'mk 001 10.3'!A79</f>
        <v>0</v>
      </c>
      <c r="B77">
        <f>'mk 001 10.3'!B79</f>
        <v>0</v>
      </c>
      <c r="C77" s="1" t="str">
        <f>'mk 001 10.3'!C79</f>
        <v>14/5/2569</v>
      </c>
      <c r="D77" s="1" t="str">
        <f>'mk 001 10.3'!D79</f>
        <v>14/5/2569</v>
      </c>
      <c r="E77">
        <f>'mk 001 10.3'!E79</f>
        <v>0</v>
      </c>
      <c r="F77" t="str">
        <f>'mk 001 10.3'!F79</f>
        <v>489M</v>
      </c>
      <c r="G77" t="str">
        <f>'mk 001 10.3'!G79</f>
        <v>Modern Trade (Makro)</v>
      </c>
      <c r="H77">
        <f>'mk 001 10.3'!H79</f>
        <v>0</v>
      </c>
      <c r="I77" t="str">
        <f>'mk 001 10.3'!I79</f>
        <v>หน่วยงานกลาง</v>
      </c>
      <c r="J77" t="str">
        <f>'mk 001 10.3'!J79</f>
        <v>F213  DMCW-รชล-พระพุทธบาท</v>
      </c>
      <c r="K77" t="str">
        <f>'mk 001 10.3'!K79</f>
        <v>00000  หน่วยงานกลาง</v>
      </c>
      <c r="L77">
        <f>'mk 001 10.3'!L79</f>
        <v>923</v>
      </c>
      <c r="M77">
        <f>'mk 001 10.3'!M79</f>
        <v>0</v>
      </c>
      <c r="Q77" s="13" t="str">
        <f>IF(แปลงข้อมูล!P78,แปลงข้อมูล!H78,"")</f>
        <v/>
      </c>
      <c r="R77" s="1">
        <f>'mk 001 10.3'!R79</f>
        <v>244658</v>
      </c>
      <c r="S77" s="1" t="str">
        <f>'mk 001 10.3'!S79</f>
        <v>14/5/2569</v>
      </c>
      <c r="U77" s="13" t="str">
        <f>IF(แปลงข้อมูล!P78,แปลงข้อมูล!I78,"")</f>
        <v/>
      </c>
      <c r="V77" s="13" t="str">
        <f>IF(แปลงข้อมูล!P78,แปลงข้อมูล!J78,"")</f>
        <v/>
      </c>
      <c r="Y77" s="13" t="str">
        <f>_xlfn.XLOOKUP(V77,'mk 001 10.3'!V:V,'mk 001 10.3'!Y:Y,"")</f>
        <v/>
      </c>
      <c r="Z77" s="13" t="str">
        <f>IF(แปลงข้อมูล!P78,แปลงข้อมูล!N78,"")</f>
        <v/>
      </c>
      <c r="BL77" t="str">
        <f>'mk 001 10.3'!BL79</f>
        <v>SYSBATCH</v>
      </c>
      <c r="BM77">
        <f>'mk 001 10.3'!BM79</f>
        <v>0</v>
      </c>
      <c r="BN77">
        <f>'mk 001 10.3'!BN79</f>
        <v>0</v>
      </c>
    </row>
    <row r="78" spans="1:66" x14ac:dyDescent="0.35">
      <c r="A78">
        <f>'mk 001 10.3'!A80</f>
        <v>0</v>
      </c>
      <c r="B78">
        <f>'mk 001 10.3'!B80</f>
        <v>0</v>
      </c>
      <c r="C78" s="1" t="str">
        <f>'mk 001 10.3'!C80</f>
        <v>14/5/2569</v>
      </c>
      <c r="D78" s="1" t="str">
        <f>'mk 001 10.3'!D80</f>
        <v>14/5/2569</v>
      </c>
      <c r="E78">
        <f>'mk 001 10.3'!E80</f>
        <v>0</v>
      </c>
      <c r="F78" t="str">
        <f>'mk 001 10.3'!F80</f>
        <v>489M</v>
      </c>
      <c r="G78" t="str">
        <f>'mk 001 10.3'!G80</f>
        <v>Modern Trade (Makro)</v>
      </c>
      <c r="H78">
        <f>'mk 001 10.3'!H80</f>
        <v>0</v>
      </c>
      <c r="I78" t="str">
        <f>'mk 001 10.3'!I80</f>
        <v>หน่วยงานกลาง</v>
      </c>
      <c r="J78" t="str">
        <f>'mk 001 10.3'!J80</f>
        <v>F213  DMCW-รชล-พระพุทธบาท</v>
      </c>
      <c r="K78" t="str">
        <f>'mk 001 10.3'!K80</f>
        <v>00000  หน่วยงานกลาง</v>
      </c>
      <c r="L78">
        <f>'mk 001 10.3'!L80</f>
        <v>923</v>
      </c>
      <c r="M78">
        <f>'mk 001 10.3'!M80</f>
        <v>0</v>
      </c>
      <c r="Q78" s="13" t="str">
        <f>IF(แปลงข้อมูล!P79,แปลงข้อมูล!H79,"")</f>
        <v/>
      </c>
      <c r="R78" s="1">
        <f>'mk 001 10.3'!R80</f>
        <v>244658</v>
      </c>
      <c r="S78" s="1" t="str">
        <f>'mk 001 10.3'!S80</f>
        <v>14/5/2569</v>
      </c>
      <c r="U78" s="13" t="str">
        <f>IF(แปลงข้อมูล!P79,แปลงข้อมูล!I79,"")</f>
        <v/>
      </c>
      <c r="V78" s="13" t="str">
        <f>IF(แปลงข้อมูล!P79,แปลงข้อมูล!J79,"")</f>
        <v/>
      </c>
      <c r="Y78" s="13" t="str">
        <f>_xlfn.XLOOKUP(V78,'mk 001 10.3'!V:V,'mk 001 10.3'!Y:Y,"")</f>
        <v/>
      </c>
      <c r="Z78" s="13" t="str">
        <f>IF(แปลงข้อมูล!P79,แปลงข้อมูล!N79,"")</f>
        <v/>
      </c>
      <c r="BL78" t="str">
        <f>'mk 001 10.3'!BL80</f>
        <v>SYSBATCH</v>
      </c>
      <c r="BM78">
        <f>'mk 001 10.3'!BM80</f>
        <v>0</v>
      </c>
      <c r="BN78">
        <f>'mk 001 10.3'!BN80</f>
        <v>0</v>
      </c>
    </row>
    <row r="79" spans="1:66" x14ac:dyDescent="0.35">
      <c r="A79">
        <f>'mk 001 10.3'!A81</f>
        <v>0</v>
      </c>
      <c r="B79">
        <f>'mk 001 10.3'!B81</f>
        <v>0</v>
      </c>
      <c r="C79" s="1" t="str">
        <f>'mk 001 10.3'!C81</f>
        <v>14/5/2569</v>
      </c>
      <c r="D79" s="1" t="str">
        <f>'mk 001 10.3'!D81</f>
        <v>14/5/2569</v>
      </c>
      <c r="E79">
        <f>'mk 001 10.3'!E81</f>
        <v>0</v>
      </c>
      <c r="F79" t="str">
        <f>'mk 001 10.3'!F81</f>
        <v>489M</v>
      </c>
      <c r="G79" t="str">
        <f>'mk 001 10.3'!G81</f>
        <v>Modern Trade (Makro)</v>
      </c>
      <c r="H79">
        <f>'mk 001 10.3'!H81</f>
        <v>0</v>
      </c>
      <c r="I79" t="str">
        <f>'mk 001 10.3'!I81</f>
        <v>หน่วยงานกลาง</v>
      </c>
      <c r="J79" t="str">
        <f>'mk 001 10.3'!J81</f>
        <v>F213  DMCW-รชล-พระพุทธบาท</v>
      </c>
      <c r="K79" t="str">
        <f>'mk 001 10.3'!K81</f>
        <v>00000  หน่วยงานกลาง</v>
      </c>
      <c r="L79">
        <f>'mk 001 10.3'!L81</f>
        <v>923</v>
      </c>
      <c r="M79">
        <f>'mk 001 10.3'!M81</f>
        <v>0</v>
      </c>
      <c r="Q79" s="13" t="str">
        <f>IF(แปลงข้อมูล!P80,แปลงข้อมูล!H80,"")</f>
        <v/>
      </c>
      <c r="R79" s="1">
        <f>'mk 001 10.3'!R81</f>
        <v>244658</v>
      </c>
      <c r="S79" s="1" t="str">
        <f>'mk 001 10.3'!S81</f>
        <v>14/5/2569</v>
      </c>
      <c r="U79" s="13" t="str">
        <f>IF(แปลงข้อมูล!P80,แปลงข้อมูล!I80,"")</f>
        <v/>
      </c>
      <c r="V79" s="13" t="str">
        <f>IF(แปลงข้อมูล!P80,แปลงข้อมูล!J80,"")</f>
        <v/>
      </c>
      <c r="Y79" s="13" t="str">
        <f>_xlfn.XLOOKUP(V79,'mk 001 10.3'!V:V,'mk 001 10.3'!Y:Y,"")</f>
        <v/>
      </c>
      <c r="Z79" s="13" t="str">
        <f>IF(แปลงข้อมูล!P80,แปลงข้อมูล!N80,"")</f>
        <v/>
      </c>
      <c r="BL79" t="str">
        <f>'mk 001 10.3'!BL81</f>
        <v>SYSBATCH</v>
      </c>
      <c r="BM79">
        <f>'mk 001 10.3'!BM81</f>
        <v>0</v>
      </c>
      <c r="BN79">
        <f>'mk 001 10.3'!BN81</f>
        <v>0</v>
      </c>
    </row>
    <row r="80" spans="1:66" x14ac:dyDescent="0.35">
      <c r="A80">
        <f>'mk 001 10.3'!A82</f>
        <v>0</v>
      </c>
      <c r="B80">
        <f>'mk 001 10.3'!B82</f>
        <v>0</v>
      </c>
      <c r="C80" s="1" t="str">
        <f>'mk 001 10.3'!C82</f>
        <v>14/5/2569</v>
      </c>
      <c r="D80" s="1" t="str">
        <f>'mk 001 10.3'!D82</f>
        <v>14/5/2569</v>
      </c>
      <c r="E80">
        <f>'mk 001 10.3'!E82</f>
        <v>0</v>
      </c>
      <c r="F80" t="str">
        <f>'mk 001 10.3'!F82</f>
        <v>489M</v>
      </c>
      <c r="G80" t="str">
        <f>'mk 001 10.3'!G82</f>
        <v>Modern Trade (Makro)</v>
      </c>
      <c r="H80">
        <f>'mk 001 10.3'!H82</f>
        <v>0</v>
      </c>
      <c r="I80" t="str">
        <f>'mk 001 10.3'!I82</f>
        <v>หน่วยงานกลาง</v>
      </c>
      <c r="J80" t="str">
        <f>'mk 001 10.3'!J82</f>
        <v>F213  DMCW-รชล-พระพุทธบาท</v>
      </c>
      <c r="K80" t="str">
        <f>'mk 001 10.3'!K82</f>
        <v>00000  หน่วยงานกลาง</v>
      </c>
      <c r="L80">
        <f>'mk 001 10.3'!L82</f>
        <v>923</v>
      </c>
      <c r="M80">
        <f>'mk 001 10.3'!M82</f>
        <v>0</v>
      </c>
      <c r="Q80" s="13" t="str">
        <f>IF(แปลงข้อมูล!P81,แปลงข้อมูล!H81,"")</f>
        <v/>
      </c>
      <c r="R80" s="1">
        <f>'mk 001 10.3'!R82</f>
        <v>244658</v>
      </c>
      <c r="S80" s="1" t="str">
        <f>'mk 001 10.3'!S82</f>
        <v>14/5/2569</v>
      </c>
      <c r="U80" s="13" t="str">
        <f>IF(แปลงข้อมูล!P81,แปลงข้อมูล!I81,"")</f>
        <v/>
      </c>
      <c r="V80" s="13" t="str">
        <f>IF(แปลงข้อมูล!P81,แปลงข้อมูล!J81,"")</f>
        <v/>
      </c>
      <c r="Y80" s="13" t="str">
        <f>_xlfn.XLOOKUP(V80,'mk 001 10.3'!V:V,'mk 001 10.3'!Y:Y,"")</f>
        <v/>
      </c>
      <c r="Z80" s="13" t="str">
        <f>IF(แปลงข้อมูล!P81,แปลงข้อมูล!N81,"")</f>
        <v/>
      </c>
      <c r="BL80" t="str">
        <f>'mk 001 10.3'!BL82</f>
        <v>SYSBATCH</v>
      </c>
      <c r="BM80">
        <f>'mk 001 10.3'!BM82</f>
        <v>0</v>
      </c>
      <c r="BN80">
        <f>'mk 001 10.3'!BN82</f>
        <v>0</v>
      </c>
    </row>
    <row r="81" spans="1:66" x14ac:dyDescent="0.35">
      <c r="A81">
        <f>'mk 001 10.3'!A83</f>
        <v>0</v>
      </c>
      <c r="B81">
        <f>'mk 001 10.3'!B83</f>
        <v>0</v>
      </c>
      <c r="C81" s="1" t="str">
        <f>'mk 001 10.3'!C83</f>
        <v>14/5/2569</v>
      </c>
      <c r="D81" s="1" t="str">
        <f>'mk 001 10.3'!D83</f>
        <v>14/5/2569</v>
      </c>
      <c r="E81">
        <f>'mk 001 10.3'!E83</f>
        <v>0</v>
      </c>
      <c r="F81" t="str">
        <f>'mk 001 10.3'!F83</f>
        <v>489M</v>
      </c>
      <c r="G81" t="str">
        <f>'mk 001 10.3'!G83</f>
        <v>Modern Trade (Makro)</v>
      </c>
      <c r="H81">
        <f>'mk 001 10.3'!H83</f>
        <v>0</v>
      </c>
      <c r="I81" t="str">
        <f>'mk 001 10.3'!I83</f>
        <v>หน่วยงานกลาง</v>
      </c>
      <c r="J81" t="str">
        <f>'mk 001 10.3'!J83</f>
        <v>F213  DMCW-รชล-พระพุทธบาท</v>
      </c>
      <c r="K81" t="str">
        <f>'mk 001 10.3'!K83</f>
        <v>00000  หน่วยงานกลาง</v>
      </c>
      <c r="L81">
        <f>'mk 001 10.3'!L83</f>
        <v>923</v>
      </c>
      <c r="M81">
        <f>'mk 001 10.3'!M83</f>
        <v>0</v>
      </c>
      <c r="Q81" s="13" t="str">
        <f>IF(แปลงข้อมูล!P82,แปลงข้อมูล!H82,"")</f>
        <v/>
      </c>
      <c r="R81" s="1">
        <f>'mk 001 10.3'!R83</f>
        <v>244658</v>
      </c>
      <c r="S81" s="1" t="str">
        <f>'mk 001 10.3'!S83</f>
        <v>14/5/2569</v>
      </c>
      <c r="U81" s="13" t="str">
        <f>IF(แปลงข้อมูล!P82,แปลงข้อมูล!I82,"")</f>
        <v/>
      </c>
      <c r="V81" s="13" t="str">
        <f>IF(แปลงข้อมูล!P82,แปลงข้อมูล!J82,"")</f>
        <v/>
      </c>
      <c r="Y81" s="13" t="str">
        <f>_xlfn.XLOOKUP(V81,'mk 001 10.3'!V:V,'mk 001 10.3'!Y:Y,"")</f>
        <v/>
      </c>
      <c r="Z81" s="13" t="str">
        <f>IF(แปลงข้อมูล!P82,แปลงข้อมูล!N82,"")</f>
        <v/>
      </c>
      <c r="BL81" t="str">
        <f>'mk 001 10.3'!BL83</f>
        <v>SYSBATCH</v>
      </c>
      <c r="BM81">
        <f>'mk 001 10.3'!BM83</f>
        <v>0</v>
      </c>
      <c r="BN81">
        <f>'mk 001 10.3'!BN83</f>
        <v>0</v>
      </c>
    </row>
    <row r="82" spans="1:66" x14ac:dyDescent="0.35">
      <c r="A82">
        <f>'mk 001 10.3'!A84</f>
        <v>0</v>
      </c>
      <c r="B82">
        <f>'mk 001 10.3'!B84</f>
        <v>0</v>
      </c>
      <c r="C82" s="1" t="str">
        <f>'mk 001 10.3'!C84</f>
        <v>14/5/2569</v>
      </c>
      <c r="D82" s="1" t="str">
        <f>'mk 001 10.3'!D84</f>
        <v>14/5/2569</v>
      </c>
      <c r="E82">
        <f>'mk 001 10.3'!E84</f>
        <v>0</v>
      </c>
      <c r="F82" t="str">
        <f>'mk 001 10.3'!F84</f>
        <v>489M</v>
      </c>
      <c r="G82" t="str">
        <f>'mk 001 10.3'!G84</f>
        <v>Modern Trade (Makro)</v>
      </c>
      <c r="H82">
        <f>'mk 001 10.3'!H84</f>
        <v>0</v>
      </c>
      <c r="I82" t="str">
        <f>'mk 001 10.3'!I84</f>
        <v>หน่วยงานกลาง</v>
      </c>
      <c r="J82" t="str">
        <f>'mk 001 10.3'!J84</f>
        <v>F213  DMCW-รชล-พระพุทธบาท</v>
      </c>
      <c r="K82" t="str">
        <f>'mk 001 10.3'!K84</f>
        <v>00000  หน่วยงานกลาง</v>
      </c>
      <c r="L82">
        <f>'mk 001 10.3'!L84</f>
        <v>923</v>
      </c>
      <c r="M82">
        <f>'mk 001 10.3'!M84</f>
        <v>0</v>
      </c>
      <c r="Q82" s="13" t="str">
        <f>IF(แปลงข้อมูล!P83,แปลงข้อมูล!H83,"")</f>
        <v/>
      </c>
      <c r="R82" s="1">
        <f>'mk 001 10.3'!R84</f>
        <v>244658</v>
      </c>
      <c r="S82" s="1" t="str">
        <f>'mk 001 10.3'!S84</f>
        <v>14/5/2569</v>
      </c>
      <c r="U82" s="13" t="str">
        <f>IF(แปลงข้อมูล!P83,แปลงข้อมูล!I83,"")</f>
        <v/>
      </c>
      <c r="V82" s="13" t="str">
        <f>IF(แปลงข้อมูล!P83,แปลงข้อมูล!J83,"")</f>
        <v/>
      </c>
      <c r="Y82" s="13" t="str">
        <f>_xlfn.XLOOKUP(V82,'mk 001 10.3'!V:V,'mk 001 10.3'!Y:Y,"")</f>
        <v/>
      </c>
      <c r="Z82" s="13" t="str">
        <f>IF(แปลงข้อมูล!P83,แปลงข้อมูล!N83,"")</f>
        <v/>
      </c>
      <c r="BL82" t="str">
        <f>'mk 001 10.3'!BL84</f>
        <v>SYSBATCH</v>
      </c>
      <c r="BM82">
        <f>'mk 001 10.3'!BM84</f>
        <v>0</v>
      </c>
      <c r="BN82">
        <f>'mk 001 10.3'!BN84</f>
        <v>0</v>
      </c>
    </row>
    <row r="83" spans="1:66" x14ac:dyDescent="0.35">
      <c r="A83">
        <f>'mk 001 10.3'!A85</f>
        <v>0</v>
      </c>
      <c r="B83">
        <f>'mk 001 10.3'!B85</f>
        <v>0</v>
      </c>
      <c r="C83" s="1" t="str">
        <f>'mk 001 10.3'!C85</f>
        <v>14/5/2569</v>
      </c>
      <c r="D83" s="1" t="str">
        <f>'mk 001 10.3'!D85</f>
        <v>14/5/2569</v>
      </c>
      <c r="E83">
        <f>'mk 001 10.3'!E85</f>
        <v>0</v>
      </c>
      <c r="F83" t="str">
        <f>'mk 001 10.3'!F85</f>
        <v>489M</v>
      </c>
      <c r="G83" t="str">
        <f>'mk 001 10.3'!G85</f>
        <v>Modern Trade (Makro)</v>
      </c>
      <c r="H83">
        <f>'mk 001 10.3'!H85</f>
        <v>0</v>
      </c>
      <c r="I83" t="str">
        <f>'mk 001 10.3'!I85</f>
        <v>หน่วยงานกลาง</v>
      </c>
      <c r="J83" t="str">
        <f>'mk 001 10.3'!J85</f>
        <v>F213  DMCW-รชล-พระพุทธบาท</v>
      </c>
      <c r="K83" t="str">
        <f>'mk 001 10.3'!K85</f>
        <v>00000  หน่วยงานกลาง</v>
      </c>
      <c r="L83">
        <f>'mk 001 10.3'!L85</f>
        <v>923</v>
      </c>
      <c r="M83">
        <f>'mk 001 10.3'!M85</f>
        <v>0</v>
      </c>
      <c r="Q83" s="13" t="str">
        <f>IF(แปลงข้อมูล!P84,แปลงข้อมูล!H84,"")</f>
        <v/>
      </c>
      <c r="R83" s="1">
        <f>'mk 001 10.3'!R85</f>
        <v>244658</v>
      </c>
      <c r="S83" s="1" t="str">
        <f>'mk 001 10.3'!S85</f>
        <v>14/5/2569</v>
      </c>
      <c r="U83" s="13" t="str">
        <f>IF(แปลงข้อมูล!P84,แปลงข้อมูล!I84,"")</f>
        <v/>
      </c>
      <c r="V83" s="13" t="str">
        <f>IF(แปลงข้อมูล!P84,แปลงข้อมูล!J84,"")</f>
        <v/>
      </c>
      <c r="Y83" s="13" t="str">
        <f>_xlfn.XLOOKUP(V83,'mk 001 10.3'!V:V,'mk 001 10.3'!Y:Y,"")</f>
        <v/>
      </c>
      <c r="Z83" s="13" t="str">
        <f>IF(แปลงข้อมูล!P84,แปลงข้อมูล!N84,"")</f>
        <v/>
      </c>
      <c r="BL83" t="str">
        <f>'mk 001 10.3'!BL85</f>
        <v>SYSBATCH</v>
      </c>
      <c r="BM83">
        <f>'mk 001 10.3'!BM85</f>
        <v>0</v>
      </c>
      <c r="BN83">
        <f>'mk 001 10.3'!BN85</f>
        <v>0</v>
      </c>
    </row>
    <row r="84" spans="1:66" x14ac:dyDescent="0.35">
      <c r="A84">
        <f>'mk 001 10.3'!A86</f>
        <v>0</v>
      </c>
      <c r="B84">
        <f>'mk 001 10.3'!B86</f>
        <v>0</v>
      </c>
      <c r="C84" s="1" t="str">
        <f>'mk 001 10.3'!C86</f>
        <v>14/5/2569</v>
      </c>
      <c r="D84" s="1" t="str">
        <f>'mk 001 10.3'!D86</f>
        <v>14/5/2569</v>
      </c>
      <c r="E84">
        <f>'mk 001 10.3'!E86</f>
        <v>0</v>
      </c>
      <c r="F84" t="str">
        <f>'mk 001 10.3'!F86</f>
        <v>489M</v>
      </c>
      <c r="G84" t="str">
        <f>'mk 001 10.3'!G86</f>
        <v>Modern Trade (Makro)</v>
      </c>
      <c r="H84">
        <f>'mk 001 10.3'!H86</f>
        <v>0</v>
      </c>
      <c r="I84" t="str">
        <f>'mk 001 10.3'!I86</f>
        <v>หน่วยงานกลาง</v>
      </c>
      <c r="J84" t="str">
        <f>'mk 001 10.3'!J86</f>
        <v>F213  DMCW-รชล-พระพุทธบาท</v>
      </c>
      <c r="K84" t="str">
        <f>'mk 001 10.3'!K86</f>
        <v>00000  หน่วยงานกลาง</v>
      </c>
      <c r="L84">
        <f>'mk 001 10.3'!L86</f>
        <v>923</v>
      </c>
      <c r="M84">
        <f>'mk 001 10.3'!M86</f>
        <v>0</v>
      </c>
      <c r="Q84" s="13" t="str">
        <f>IF(แปลงข้อมูล!P85,แปลงข้อมูล!H85,"")</f>
        <v/>
      </c>
      <c r="R84" s="1">
        <f>'mk 001 10.3'!R86</f>
        <v>244658</v>
      </c>
      <c r="S84" s="1" t="str">
        <f>'mk 001 10.3'!S86</f>
        <v>14/5/2569</v>
      </c>
      <c r="U84" s="13" t="str">
        <f>IF(แปลงข้อมูล!P85,แปลงข้อมูล!I85,"")</f>
        <v/>
      </c>
      <c r="V84" s="13" t="str">
        <f>IF(แปลงข้อมูล!P85,แปลงข้อมูล!J85,"")</f>
        <v/>
      </c>
      <c r="Y84" s="13" t="str">
        <f>_xlfn.XLOOKUP(V84,'mk 001 10.3'!V:V,'mk 001 10.3'!Y:Y,"")</f>
        <v/>
      </c>
      <c r="Z84" s="13" t="str">
        <f>IF(แปลงข้อมูล!P85,แปลงข้อมูล!N85,"")</f>
        <v/>
      </c>
      <c r="BL84" t="str">
        <f>'mk 001 10.3'!BL86</f>
        <v>SYSBATCH</v>
      </c>
      <c r="BM84">
        <f>'mk 001 10.3'!BM86</f>
        <v>0</v>
      </c>
      <c r="BN84">
        <f>'mk 001 10.3'!BN86</f>
        <v>0</v>
      </c>
    </row>
    <row r="85" spans="1:66" x14ac:dyDescent="0.35">
      <c r="A85">
        <f>'mk 001 10.3'!A87</f>
        <v>0</v>
      </c>
      <c r="B85">
        <f>'mk 001 10.3'!B87</f>
        <v>0</v>
      </c>
      <c r="C85" s="1" t="str">
        <f>'mk 001 10.3'!C87</f>
        <v>14/5/2569</v>
      </c>
      <c r="D85" s="1" t="str">
        <f>'mk 001 10.3'!D87</f>
        <v>14/5/2569</v>
      </c>
      <c r="E85">
        <f>'mk 001 10.3'!E87</f>
        <v>0</v>
      </c>
      <c r="F85" t="str">
        <f>'mk 001 10.3'!F87</f>
        <v>489M</v>
      </c>
      <c r="G85" t="str">
        <f>'mk 001 10.3'!G87</f>
        <v>Modern Trade (Makro)</v>
      </c>
      <c r="H85">
        <f>'mk 001 10.3'!H87</f>
        <v>0</v>
      </c>
      <c r="I85" t="str">
        <f>'mk 001 10.3'!I87</f>
        <v>หน่วยงานกลาง</v>
      </c>
      <c r="J85" t="str">
        <f>'mk 001 10.3'!J87</f>
        <v>F213  DMCW-รชล-พระพุทธบาท</v>
      </c>
      <c r="K85" t="str">
        <f>'mk 001 10.3'!K87</f>
        <v>00000  หน่วยงานกลาง</v>
      </c>
      <c r="L85">
        <f>'mk 001 10.3'!L87</f>
        <v>923</v>
      </c>
      <c r="M85">
        <f>'mk 001 10.3'!M87</f>
        <v>0</v>
      </c>
      <c r="Q85" s="13" t="str">
        <f>IF(แปลงข้อมูล!P86,แปลงข้อมูล!H86,"")</f>
        <v/>
      </c>
      <c r="R85" s="1">
        <f>'mk 001 10.3'!R87</f>
        <v>244658</v>
      </c>
      <c r="S85" s="1" t="str">
        <f>'mk 001 10.3'!S87</f>
        <v>14/5/2569</v>
      </c>
      <c r="U85" s="13" t="str">
        <f>IF(แปลงข้อมูล!P86,แปลงข้อมูล!I86,"")</f>
        <v/>
      </c>
      <c r="V85" s="13" t="str">
        <f>IF(แปลงข้อมูล!P86,แปลงข้อมูล!J86,"")</f>
        <v/>
      </c>
      <c r="Y85" s="13" t="str">
        <f>_xlfn.XLOOKUP(V85,'mk 001 10.3'!V:V,'mk 001 10.3'!Y:Y,"")</f>
        <v/>
      </c>
      <c r="Z85" s="13" t="str">
        <f>IF(แปลงข้อมูล!P86,แปลงข้อมูล!N86,"")</f>
        <v/>
      </c>
      <c r="BL85" t="str">
        <f>'mk 001 10.3'!BL87</f>
        <v>SYSBATCH</v>
      </c>
      <c r="BM85">
        <f>'mk 001 10.3'!BM87</f>
        <v>0</v>
      </c>
      <c r="BN85">
        <f>'mk 001 10.3'!BN87</f>
        <v>0</v>
      </c>
    </row>
    <row r="86" spans="1:66" x14ac:dyDescent="0.35">
      <c r="A86">
        <f>'mk 001 10.3'!A88</f>
        <v>0</v>
      </c>
      <c r="B86">
        <f>'mk 001 10.3'!B88</f>
        <v>0</v>
      </c>
      <c r="C86" s="1" t="str">
        <f>'mk 001 10.3'!C88</f>
        <v>14/5/2569</v>
      </c>
      <c r="D86" s="1" t="str">
        <f>'mk 001 10.3'!D88</f>
        <v>14/5/2569</v>
      </c>
      <c r="E86">
        <f>'mk 001 10.3'!E88</f>
        <v>0</v>
      </c>
      <c r="F86" t="str">
        <f>'mk 001 10.3'!F88</f>
        <v>489M</v>
      </c>
      <c r="G86" t="str">
        <f>'mk 001 10.3'!G88</f>
        <v>Modern Trade (Makro)</v>
      </c>
      <c r="H86">
        <f>'mk 001 10.3'!H88</f>
        <v>0</v>
      </c>
      <c r="I86" t="str">
        <f>'mk 001 10.3'!I88</f>
        <v>หน่วยงานกลาง</v>
      </c>
      <c r="J86" t="str">
        <f>'mk 001 10.3'!J88</f>
        <v>F213  DMCW-รชล-พระพุทธบาท</v>
      </c>
      <c r="K86" t="str">
        <f>'mk 001 10.3'!K88</f>
        <v>00000  หน่วยงานกลาง</v>
      </c>
      <c r="L86">
        <f>'mk 001 10.3'!L88</f>
        <v>923</v>
      </c>
      <c r="M86">
        <f>'mk 001 10.3'!M88</f>
        <v>0</v>
      </c>
      <c r="Q86" s="13" t="str">
        <f>IF(แปลงข้อมูล!P87,แปลงข้อมูล!H87,"")</f>
        <v/>
      </c>
      <c r="R86" s="1">
        <f>'mk 001 10.3'!R88</f>
        <v>244658</v>
      </c>
      <c r="S86" s="1" t="str">
        <f>'mk 001 10.3'!S88</f>
        <v>14/5/2569</v>
      </c>
      <c r="U86" s="13" t="str">
        <f>IF(แปลงข้อมูล!P87,แปลงข้อมูล!I87,"")</f>
        <v/>
      </c>
      <c r="V86" s="13" t="str">
        <f>IF(แปลงข้อมูล!P87,แปลงข้อมูล!J87,"")</f>
        <v/>
      </c>
      <c r="Y86" s="13" t="str">
        <f>_xlfn.XLOOKUP(V86,'mk 001 10.3'!V:V,'mk 001 10.3'!Y:Y,"")</f>
        <v/>
      </c>
      <c r="Z86" s="13" t="str">
        <f>IF(แปลงข้อมูล!P87,แปลงข้อมูล!N87,"")</f>
        <v/>
      </c>
      <c r="BL86" t="str">
        <f>'mk 001 10.3'!BL88</f>
        <v>SYSBATCH</v>
      </c>
      <c r="BM86">
        <f>'mk 001 10.3'!BM88</f>
        <v>0</v>
      </c>
      <c r="BN86">
        <f>'mk 001 10.3'!BN88</f>
        <v>0</v>
      </c>
    </row>
    <row r="87" spans="1:66" x14ac:dyDescent="0.35">
      <c r="A87">
        <f>'mk 001 10.3'!A89</f>
        <v>0</v>
      </c>
      <c r="B87">
        <f>'mk 001 10.3'!B89</f>
        <v>0</v>
      </c>
      <c r="C87" s="1" t="str">
        <f>'mk 001 10.3'!C89</f>
        <v>14/5/2569</v>
      </c>
      <c r="D87" s="1" t="str">
        <f>'mk 001 10.3'!D89</f>
        <v>14/5/2569</v>
      </c>
      <c r="E87">
        <f>'mk 001 10.3'!E89</f>
        <v>0</v>
      </c>
      <c r="F87" t="str">
        <f>'mk 001 10.3'!F89</f>
        <v>489M</v>
      </c>
      <c r="G87" t="str">
        <f>'mk 001 10.3'!G89</f>
        <v>Modern Trade (Makro)</v>
      </c>
      <c r="H87">
        <f>'mk 001 10.3'!H89</f>
        <v>0</v>
      </c>
      <c r="I87" t="str">
        <f>'mk 001 10.3'!I89</f>
        <v>หน่วยงานกลาง</v>
      </c>
      <c r="J87" t="str">
        <f>'mk 001 10.3'!J89</f>
        <v>F213  DMCW-รชล-พระพุทธบาท</v>
      </c>
      <c r="K87" t="str">
        <f>'mk 001 10.3'!K89</f>
        <v>00000  หน่วยงานกลาง</v>
      </c>
      <c r="L87">
        <f>'mk 001 10.3'!L89</f>
        <v>923</v>
      </c>
      <c r="M87">
        <f>'mk 001 10.3'!M89</f>
        <v>0</v>
      </c>
      <c r="Q87" s="13" t="str">
        <f>IF(แปลงข้อมูล!P88,แปลงข้อมูล!H88,"")</f>
        <v/>
      </c>
      <c r="R87" s="1">
        <f>'mk 001 10.3'!R89</f>
        <v>244658</v>
      </c>
      <c r="S87" s="1" t="str">
        <f>'mk 001 10.3'!S89</f>
        <v>14/5/2569</v>
      </c>
      <c r="U87" s="13" t="str">
        <f>IF(แปลงข้อมูล!P88,แปลงข้อมูล!I88,"")</f>
        <v/>
      </c>
      <c r="V87" s="13" t="str">
        <f>IF(แปลงข้อมูล!P88,แปลงข้อมูล!J88,"")</f>
        <v/>
      </c>
      <c r="Y87" s="13" t="str">
        <f>_xlfn.XLOOKUP(V87,'mk 001 10.3'!V:V,'mk 001 10.3'!Y:Y,"")</f>
        <v/>
      </c>
      <c r="Z87" s="13" t="str">
        <f>IF(แปลงข้อมูล!P88,แปลงข้อมูล!N88,"")</f>
        <v/>
      </c>
      <c r="BL87" t="str">
        <f>'mk 001 10.3'!BL89</f>
        <v>SYSBATCH</v>
      </c>
      <c r="BM87">
        <f>'mk 001 10.3'!BM89</f>
        <v>0</v>
      </c>
      <c r="BN87">
        <f>'mk 001 10.3'!BN89</f>
        <v>0</v>
      </c>
    </row>
    <row r="88" spans="1:66" x14ac:dyDescent="0.35">
      <c r="A88">
        <f>'mk 001 10.3'!A90</f>
        <v>0</v>
      </c>
      <c r="B88">
        <f>'mk 001 10.3'!B90</f>
        <v>0</v>
      </c>
      <c r="C88" s="1" t="str">
        <f>'mk 001 10.3'!C90</f>
        <v>14/5/2569</v>
      </c>
      <c r="D88" s="1" t="str">
        <f>'mk 001 10.3'!D90</f>
        <v>14/5/2569</v>
      </c>
      <c r="E88">
        <f>'mk 001 10.3'!E90</f>
        <v>0</v>
      </c>
      <c r="F88" t="str">
        <f>'mk 001 10.3'!F90</f>
        <v>489M</v>
      </c>
      <c r="G88" t="str">
        <f>'mk 001 10.3'!G90</f>
        <v>Modern Trade (Makro)</v>
      </c>
      <c r="H88">
        <f>'mk 001 10.3'!H90</f>
        <v>0</v>
      </c>
      <c r="I88" t="str">
        <f>'mk 001 10.3'!I90</f>
        <v>หน่วยงานกลาง</v>
      </c>
      <c r="J88" t="str">
        <f>'mk 001 10.3'!J90</f>
        <v>F213  DMCW-รชล-พระพุทธบาท</v>
      </c>
      <c r="K88" t="str">
        <f>'mk 001 10.3'!K90</f>
        <v>00000  หน่วยงานกลาง</v>
      </c>
      <c r="L88">
        <f>'mk 001 10.3'!L90</f>
        <v>923</v>
      </c>
      <c r="M88">
        <f>'mk 001 10.3'!M90</f>
        <v>0</v>
      </c>
      <c r="Q88" s="13" t="str">
        <f>IF(แปลงข้อมูล!P89,แปลงข้อมูล!H89,"")</f>
        <v/>
      </c>
      <c r="R88" s="1">
        <f>'mk 001 10.3'!R90</f>
        <v>244658</v>
      </c>
      <c r="S88" s="1" t="str">
        <f>'mk 001 10.3'!S90</f>
        <v>14/5/2569</v>
      </c>
      <c r="U88" s="13" t="str">
        <f>IF(แปลงข้อมูล!P89,แปลงข้อมูล!I89,"")</f>
        <v/>
      </c>
      <c r="V88" s="13" t="str">
        <f>IF(แปลงข้อมูล!P89,แปลงข้อมูล!J89,"")</f>
        <v/>
      </c>
      <c r="Y88" s="13" t="str">
        <f>_xlfn.XLOOKUP(V88,'mk 001 10.3'!V:V,'mk 001 10.3'!Y:Y,"")</f>
        <v/>
      </c>
      <c r="Z88" s="13" t="str">
        <f>IF(แปลงข้อมูล!P89,แปลงข้อมูล!N89,"")</f>
        <v/>
      </c>
      <c r="BL88" t="str">
        <f>'mk 001 10.3'!BL90</f>
        <v>SYSBATCH</v>
      </c>
      <c r="BM88">
        <f>'mk 001 10.3'!BM90</f>
        <v>0</v>
      </c>
      <c r="BN88">
        <f>'mk 001 10.3'!BN90</f>
        <v>0</v>
      </c>
    </row>
    <row r="89" spans="1:66" x14ac:dyDescent="0.35">
      <c r="A89">
        <f>'mk 001 10.3'!A91</f>
        <v>0</v>
      </c>
      <c r="B89">
        <f>'mk 001 10.3'!B91</f>
        <v>0</v>
      </c>
      <c r="C89" s="1" t="str">
        <f>'mk 001 10.3'!C91</f>
        <v>14/5/2569</v>
      </c>
      <c r="D89" s="1" t="str">
        <f>'mk 001 10.3'!D91</f>
        <v>14/5/2569</v>
      </c>
      <c r="E89">
        <f>'mk 001 10.3'!E91</f>
        <v>0</v>
      </c>
      <c r="F89" t="str">
        <f>'mk 001 10.3'!F91</f>
        <v>489M</v>
      </c>
      <c r="G89" t="str">
        <f>'mk 001 10.3'!G91</f>
        <v>Modern Trade (Makro)</v>
      </c>
      <c r="H89">
        <f>'mk 001 10.3'!H91</f>
        <v>0</v>
      </c>
      <c r="I89" t="str">
        <f>'mk 001 10.3'!I91</f>
        <v>หน่วยงานกลาง</v>
      </c>
      <c r="J89" t="str">
        <f>'mk 001 10.3'!J91</f>
        <v>F213  DMCW-รชล-พระพุทธบาท</v>
      </c>
      <c r="K89" t="str">
        <f>'mk 001 10.3'!K91</f>
        <v>00000  หน่วยงานกลาง</v>
      </c>
      <c r="L89">
        <f>'mk 001 10.3'!L91</f>
        <v>923</v>
      </c>
      <c r="M89">
        <f>'mk 001 10.3'!M91</f>
        <v>0</v>
      </c>
      <c r="Q89" s="13" t="str">
        <f>IF(แปลงข้อมูล!P90,แปลงข้อมูล!H90,"")</f>
        <v/>
      </c>
      <c r="R89" s="1">
        <f>'mk 001 10.3'!R91</f>
        <v>244658</v>
      </c>
      <c r="S89" s="1" t="str">
        <f>'mk 001 10.3'!S91</f>
        <v>14/5/2569</v>
      </c>
      <c r="U89" s="13" t="str">
        <f>IF(แปลงข้อมูล!P90,แปลงข้อมูล!I90,"")</f>
        <v/>
      </c>
      <c r="V89" s="13" t="str">
        <f>IF(แปลงข้อมูล!P90,แปลงข้อมูล!J90,"")</f>
        <v/>
      </c>
      <c r="Y89" s="13" t="str">
        <f>_xlfn.XLOOKUP(V89,'mk 001 10.3'!V:V,'mk 001 10.3'!Y:Y,"")</f>
        <v/>
      </c>
      <c r="Z89" s="13" t="str">
        <f>IF(แปลงข้อมูล!P90,แปลงข้อมูล!N90,"")</f>
        <v/>
      </c>
      <c r="BL89" t="str">
        <f>'mk 001 10.3'!BL91</f>
        <v>SYSBATCH</v>
      </c>
      <c r="BM89">
        <f>'mk 001 10.3'!BM91</f>
        <v>0</v>
      </c>
      <c r="BN89">
        <f>'mk 001 10.3'!BN91</f>
        <v>0</v>
      </c>
    </row>
    <row r="90" spans="1:66" x14ac:dyDescent="0.35">
      <c r="A90">
        <f>'mk 001 10.3'!A92</f>
        <v>0</v>
      </c>
      <c r="B90">
        <f>'mk 001 10.3'!B92</f>
        <v>0</v>
      </c>
      <c r="C90" s="1" t="str">
        <f>'mk 001 10.3'!C92</f>
        <v>14/5/2569</v>
      </c>
      <c r="D90" s="1" t="str">
        <f>'mk 001 10.3'!D92</f>
        <v>14/5/2569</v>
      </c>
      <c r="E90">
        <f>'mk 001 10.3'!E92</f>
        <v>0</v>
      </c>
      <c r="F90" t="str">
        <f>'mk 001 10.3'!F92</f>
        <v>489M</v>
      </c>
      <c r="G90" t="str">
        <f>'mk 001 10.3'!G92</f>
        <v>Modern Trade (Makro)</v>
      </c>
      <c r="H90">
        <f>'mk 001 10.3'!H92</f>
        <v>0</v>
      </c>
      <c r="I90" t="str">
        <f>'mk 001 10.3'!I92</f>
        <v>หน่วยงานกลาง</v>
      </c>
      <c r="J90" t="str">
        <f>'mk 001 10.3'!J92</f>
        <v>F213  DMCW-รชล-พระพุทธบาท</v>
      </c>
      <c r="K90" t="str">
        <f>'mk 001 10.3'!K92</f>
        <v>00000  หน่วยงานกลาง</v>
      </c>
      <c r="L90">
        <f>'mk 001 10.3'!L92</f>
        <v>923</v>
      </c>
      <c r="M90">
        <f>'mk 001 10.3'!M92</f>
        <v>0</v>
      </c>
      <c r="Q90" s="13" t="str">
        <f>IF(แปลงข้อมูล!P91,แปลงข้อมูล!H91,"")</f>
        <v/>
      </c>
      <c r="R90" s="1">
        <f>'mk 001 10.3'!R92</f>
        <v>244658</v>
      </c>
      <c r="S90" s="1" t="str">
        <f>'mk 001 10.3'!S92</f>
        <v>14/5/2569</v>
      </c>
      <c r="U90" s="13" t="str">
        <f>IF(แปลงข้อมูล!P91,แปลงข้อมูล!I91,"")</f>
        <v/>
      </c>
      <c r="V90" s="13" t="str">
        <f>IF(แปลงข้อมูล!P91,แปลงข้อมูล!J91,"")</f>
        <v/>
      </c>
      <c r="Y90" s="13" t="str">
        <f>_xlfn.XLOOKUP(V90,'mk 001 10.3'!V:V,'mk 001 10.3'!Y:Y,"")</f>
        <v/>
      </c>
      <c r="Z90" s="13" t="str">
        <f>IF(แปลงข้อมูล!P91,แปลงข้อมูล!N91,"")</f>
        <v/>
      </c>
      <c r="BL90" t="str">
        <f>'mk 001 10.3'!BL92</f>
        <v>SYSBATCH</v>
      </c>
      <c r="BM90">
        <f>'mk 001 10.3'!BM92</f>
        <v>0</v>
      </c>
      <c r="BN90">
        <f>'mk 001 10.3'!BN92</f>
        <v>0</v>
      </c>
    </row>
    <row r="91" spans="1:66" x14ac:dyDescent="0.35">
      <c r="A91">
        <f>'mk 001 10.3'!A93</f>
        <v>0</v>
      </c>
      <c r="B91">
        <f>'mk 001 10.3'!B93</f>
        <v>0</v>
      </c>
      <c r="C91" s="1" t="str">
        <f>'mk 001 10.3'!C93</f>
        <v>14/5/2569</v>
      </c>
      <c r="D91" s="1" t="str">
        <f>'mk 001 10.3'!D93</f>
        <v>14/5/2569</v>
      </c>
      <c r="E91">
        <f>'mk 001 10.3'!E93</f>
        <v>0</v>
      </c>
      <c r="F91" t="str">
        <f>'mk 001 10.3'!F93</f>
        <v>489M</v>
      </c>
      <c r="G91" t="str">
        <f>'mk 001 10.3'!G93</f>
        <v>Modern Trade (Makro)</v>
      </c>
      <c r="H91">
        <f>'mk 001 10.3'!H93</f>
        <v>0</v>
      </c>
      <c r="I91" t="str">
        <f>'mk 001 10.3'!I93</f>
        <v>หน่วยงานกลาง</v>
      </c>
      <c r="J91" t="str">
        <f>'mk 001 10.3'!J93</f>
        <v>F213  DMCW-รชล-พระพุทธบาท</v>
      </c>
      <c r="K91" t="str">
        <f>'mk 001 10.3'!K93</f>
        <v>00000  หน่วยงานกลาง</v>
      </c>
      <c r="L91">
        <f>'mk 001 10.3'!L93</f>
        <v>923</v>
      </c>
      <c r="M91">
        <f>'mk 001 10.3'!M93</f>
        <v>0</v>
      </c>
      <c r="Q91" s="13" t="str">
        <f>IF(แปลงข้อมูล!P92,แปลงข้อมูล!H92,"")</f>
        <v/>
      </c>
      <c r="R91" s="1">
        <f>'mk 001 10.3'!R93</f>
        <v>244658</v>
      </c>
      <c r="S91" s="1" t="str">
        <f>'mk 001 10.3'!S93</f>
        <v>14/5/2569</v>
      </c>
      <c r="U91" s="13" t="str">
        <f>IF(แปลงข้อมูล!P92,แปลงข้อมูล!I92,"")</f>
        <v/>
      </c>
      <c r="V91" s="13" t="str">
        <f>IF(แปลงข้อมูล!P92,แปลงข้อมูล!J92,"")</f>
        <v/>
      </c>
      <c r="Y91" s="13" t="str">
        <f>_xlfn.XLOOKUP(V91,'mk 001 10.3'!V:V,'mk 001 10.3'!Y:Y,"")</f>
        <v/>
      </c>
      <c r="Z91" s="13" t="str">
        <f>IF(แปลงข้อมูล!P92,แปลงข้อมูล!N92,"")</f>
        <v/>
      </c>
      <c r="BL91" t="str">
        <f>'mk 001 10.3'!BL93</f>
        <v>SYSBATCH</v>
      </c>
      <c r="BM91">
        <f>'mk 001 10.3'!BM93</f>
        <v>0</v>
      </c>
      <c r="BN91">
        <f>'mk 001 10.3'!BN93</f>
        <v>0</v>
      </c>
    </row>
    <row r="92" spans="1:66" x14ac:dyDescent="0.35">
      <c r="A92">
        <f>'mk 001 10.3'!A94</f>
        <v>0</v>
      </c>
      <c r="B92">
        <f>'mk 001 10.3'!B94</f>
        <v>0</v>
      </c>
      <c r="C92" s="1" t="str">
        <f>'mk 001 10.3'!C94</f>
        <v>14/5/2569</v>
      </c>
      <c r="D92" s="1" t="str">
        <f>'mk 001 10.3'!D94</f>
        <v>14/5/2569</v>
      </c>
      <c r="E92">
        <f>'mk 001 10.3'!E94</f>
        <v>0</v>
      </c>
      <c r="F92" t="str">
        <f>'mk 001 10.3'!F94</f>
        <v>489M</v>
      </c>
      <c r="G92" t="str">
        <f>'mk 001 10.3'!G94</f>
        <v>Modern Trade (Makro)</v>
      </c>
      <c r="H92">
        <f>'mk 001 10.3'!H94</f>
        <v>0</v>
      </c>
      <c r="I92" t="str">
        <f>'mk 001 10.3'!I94</f>
        <v>หน่วยงานกลาง</v>
      </c>
      <c r="J92" t="str">
        <f>'mk 001 10.3'!J94</f>
        <v>F213  DMCW-รชล-พระพุทธบาท</v>
      </c>
      <c r="K92" t="str">
        <f>'mk 001 10.3'!K94</f>
        <v>00000  หน่วยงานกลาง</v>
      </c>
      <c r="L92">
        <f>'mk 001 10.3'!L94</f>
        <v>923</v>
      </c>
      <c r="M92">
        <f>'mk 001 10.3'!M94</f>
        <v>0</v>
      </c>
      <c r="Q92" s="13" t="str">
        <f>IF(แปลงข้อมูล!P93,แปลงข้อมูล!H93,"")</f>
        <v/>
      </c>
      <c r="R92" s="1">
        <f>'mk 001 10.3'!R94</f>
        <v>244658</v>
      </c>
      <c r="S92" s="1" t="str">
        <f>'mk 001 10.3'!S94</f>
        <v>14/5/2569</v>
      </c>
      <c r="U92" s="13" t="str">
        <f>IF(แปลงข้อมูล!P93,แปลงข้อมูล!I93,"")</f>
        <v/>
      </c>
      <c r="V92" s="13" t="str">
        <f>IF(แปลงข้อมูล!P93,แปลงข้อมูล!J93,"")</f>
        <v/>
      </c>
      <c r="Y92" s="13" t="str">
        <f>_xlfn.XLOOKUP(V92,'mk 001 10.3'!V:V,'mk 001 10.3'!Y:Y,"")</f>
        <v/>
      </c>
      <c r="Z92" s="13" t="str">
        <f>IF(แปลงข้อมูล!P93,แปลงข้อมูล!N93,"")</f>
        <v/>
      </c>
      <c r="BL92" t="str">
        <f>'mk 001 10.3'!BL94</f>
        <v>SYSBATCH</v>
      </c>
      <c r="BM92">
        <f>'mk 001 10.3'!BM94</f>
        <v>0</v>
      </c>
      <c r="BN92">
        <f>'mk 001 10.3'!BN94</f>
        <v>0</v>
      </c>
    </row>
    <row r="93" spans="1:66" x14ac:dyDescent="0.35">
      <c r="A93">
        <f>'mk 001 10.3'!A95</f>
        <v>0</v>
      </c>
      <c r="B93">
        <f>'mk 001 10.3'!B95</f>
        <v>0</v>
      </c>
      <c r="C93" s="1" t="str">
        <f>'mk 001 10.3'!C95</f>
        <v>14/5/2569</v>
      </c>
      <c r="D93" s="1" t="str">
        <f>'mk 001 10.3'!D95</f>
        <v>14/5/2569</v>
      </c>
      <c r="E93">
        <f>'mk 001 10.3'!E95</f>
        <v>0</v>
      </c>
      <c r="F93" t="str">
        <f>'mk 001 10.3'!F95</f>
        <v>489M</v>
      </c>
      <c r="G93" t="str">
        <f>'mk 001 10.3'!G95</f>
        <v>Modern Trade (Makro)</v>
      </c>
      <c r="H93">
        <f>'mk 001 10.3'!H95</f>
        <v>0</v>
      </c>
      <c r="I93" t="str">
        <f>'mk 001 10.3'!I95</f>
        <v>หน่วยงานกลาง</v>
      </c>
      <c r="J93" t="str">
        <f>'mk 001 10.3'!J95</f>
        <v>F213  DMCW-รชล-พระพุทธบาท</v>
      </c>
      <c r="K93" t="str">
        <f>'mk 001 10.3'!K95</f>
        <v>00000  หน่วยงานกลาง</v>
      </c>
      <c r="L93">
        <f>'mk 001 10.3'!L95</f>
        <v>923</v>
      </c>
      <c r="M93">
        <f>'mk 001 10.3'!M95</f>
        <v>0</v>
      </c>
      <c r="Q93" s="13" t="str">
        <f>IF(แปลงข้อมูล!P94,แปลงข้อมูล!H94,"")</f>
        <v/>
      </c>
      <c r="R93" s="1">
        <f>'mk 001 10.3'!R95</f>
        <v>244658</v>
      </c>
      <c r="S93" s="1" t="str">
        <f>'mk 001 10.3'!S95</f>
        <v>14/5/2569</v>
      </c>
      <c r="U93" s="13" t="str">
        <f>IF(แปลงข้อมูล!P94,แปลงข้อมูล!I94,"")</f>
        <v/>
      </c>
      <c r="V93" s="13" t="str">
        <f>IF(แปลงข้อมูล!P94,แปลงข้อมูล!J94,"")</f>
        <v/>
      </c>
      <c r="Y93" s="13" t="str">
        <f>_xlfn.XLOOKUP(V93,'mk 001 10.3'!V:V,'mk 001 10.3'!Y:Y,"")</f>
        <v/>
      </c>
      <c r="Z93" s="13" t="str">
        <f>IF(แปลงข้อมูล!P94,แปลงข้อมูล!N94,"")</f>
        <v/>
      </c>
      <c r="BL93" t="str">
        <f>'mk 001 10.3'!BL95</f>
        <v>SYSBATCH</v>
      </c>
      <c r="BM93">
        <f>'mk 001 10.3'!BM95</f>
        <v>0</v>
      </c>
      <c r="BN93">
        <f>'mk 001 10.3'!BN95</f>
        <v>0</v>
      </c>
    </row>
    <row r="94" spans="1:66" x14ac:dyDescent="0.35">
      <c r="A94">
        <f>'mk 001 10.3'!A96</f>
        <v>0</v>
      </c>
      <c r="B94">
        <f>'mk 001 10.3'!B96</f>
        <v>0</v>
      </c>
      <c r="C94" s="1" t="str">
        <f>'mk 001 10.3'!C96</f>
        <v>14/5/2569</v>
      </c>
      <c r="D94" s="1" t="str">
        <f>'mk 001 10.3'!D96</f>
        <v>14/5/2569</v>
      </c>
      <c r="E94">
        <f>'mk 001 10.3'!E96</f>
        <v>0</v>
      </c>
      <c r="F94" t="str">
        <f>'mk 001 10.3'!F96</f>
        <v>489M</v>
      </c>
      <c r="G94" t="str">
        <f>'mk 001 10.3'!G96</f>
        <v>Modern Trade (Makro)</v>
      </c>
      <c r="H94">
        <f>'mk 001 10.3'!H96</f>
        <v>0</v>
      </c>
      <c r="I94" t="str">
        <f>'mk 001 10.3'!I96</f>
        <v>หน่วยงานกลาง</v>
      </c>
      <c r="J94" t="str">
        <f>'mk 001 10.3'!J96</f>
        <v>F213  DMCW-รชล-พระพุทธบาท</v>
      </c>
      <c r="K94" t="str">
        <f>'mk 001 10.3'!K96</f>
        <v>00000  หน่วยงานกลาง</v>
      </c>
      <c r="L94">
        <f>'mk 001 10.3'!L96</f>
        <v>923</v>
      </c>
      <c r="M94">
        <f>'mk 001 10.3'!M96</f>
        <v>0</v>
      </c>
      <c r="Q94" s="13" t="str">
        <f>IF(แปลงข้อมูล!P95,แปลงข้อมูล!H95,"")</f>
        <v/>
      </c>
      <c r="R94" s="1">
        <f>'mk 001 10.3'!R96</f>
        <v>244658</v>
      </c>
      <c r="S94" s="1" t="str">
        <f>'mk 001 10.3'!S96</f>
        <v>14/5/2569</v>
      </c>
      <c r="U94" s="13" t="str">
        <f>IF(แปลงข้อมูล!P95,แปลงข้อมูล!I95,"")</f>
        <v/>
      </c>
      <c r="V94" s="13" t="str">
        <f>IF(แปลงข้อมูล!P95,แปลงข้อมูล!J95,"")</f>
        <v/>
      </c>
      <c r="Y94" s="13" t="str">
        <f>_xlfn.XLOOKUP(V94,'mk 001 10.3'!V:V,'mk 001 10.3'!Y:Y,"")</f>
        <v/>
      </c>
      <c r="Z94" s="13" t="str">
        <f>IF(แปลงข้อมูล!P95,แปลงข้อมูล!N95,"")</f>
        <v/>
      </c>
      <c r="BL94" t="str">
        <f>'mk 001 10.3'!BL96</f>
        <v>SYSBATCH</v>
      </c>
      <c r="BM94">
        <f>'mk 001 10.3'!BM96</f>
        <v>0</v>
      </c>
      <c r="BN94">
        <f>'mk 001 10.3'!BN96</f>
        <v>0</v>
      </c>
    </row>
    <row r="95" spans="1:66" x14ac:dyDescent="0.35">
      <c r="A95">
        <f>'mk 001 10.3'!A97</f>
        <v>0</v>
      </c>
      <c r="B95">
        <f>'mk 001 10.3'!B97</f>
        <v>0</v>
      </c>
      <c r="C95" s="1" t="str">
        <f>'mk 001 10.3'!C97</f>
        <v>14/5/2569</v>
      </c>
      <c r="D95" s="1" t="str">
        <f>'mk 001 10.3'!D97</f>
        <v>14/5/2569</v>
      </c>
      <c r="E95">
        <f>'mk 001 10.3'!E97</f>
        <v>0</v>
      </c>
      <c r="F95" t="str">
        <f>'mk 001 10.3'!F97</f>
        <v>489M</v>
      </c>
      <c r="G95" t="str">
        <f>'mk 001 10.3'!G97</f>
        <v>Modern Trade (Makro)</v>
      </c>
      <c r="H95">
        <f>'mk 001 10.3'!H97</f>
        <v>0</v>
      </c>
      <c r="I95" t="str">
        <f>'mk 001 10.3'!I97</f>
        <v>หน่วยงานกลาง</v>
      </c>
      <c r="J95" t="str">
        <f>'mk 001 10.3'!J97</f>
        <v>F213  DMCW-รชล-พระพุทธบาท</v>
      </c>
      <c r="K95" t="str">
        <f>'mk 001 10.3'!K97</f>
        <v>00000  หน่วยงานกลาง</v>
      </c>
      <c r="L95">
        <f>'mk 001 10.3'!L97</f>
        <v>923</v>
      </c>
      <c r="M95">
        <f>'mk 001 10.3'!M97</f>
        <v>0</v>
      </c>
      <c r="Q95" s="13" t="str">
        <f>IF(แปลงข้อมูล!P96,แปลงข้อมูล!H96,"")</f>
        <v/>
      </c>
      <c r="R95" s="1">
        <f>'mk 001 10.3'!R97</f>
        <v>244658</v>
      </c>
      <c r="S95" s="1" t="str">
        <f>'mk 001 10.3'!S97</f>
        <v>14/5/2569</v>
      </c>
      <c r="U95" s="13" t="str">
        <f>IF(แปลงข้อมูล!P96,แปลงข้อมูล!I96,"")</f>
        <v/>
      </c>
      <c r="V95" s="13" t="str">
        <f>IF(แปลงข้อมูล!P96,แปลงข้อมูล!J96,"")</f>
        <v/>
      </c>
      <c r="Y95" s="13" t="str">
        <f>_xlfn.XLOOKUP(V95,'mk 001 10.3'!V:V,'mk 001 10.3'!Y:Y,"")</f>
        <v/>
      </c>
      <c r="Z95" s="13" t="str">
        <f>IF(แปลงข้อมูล!P96,แปลงข้อมูล!N96,"")</f>
        <v/>
      </c>
      <c r="BL95" t="str">
        <f>'mk 001 10.3'!BL97</f>
        <v>SYSBATCH</v>
      </c>
      <c r="BM95">
        <f>'mk 001 10.3'!BM97</f>
        <v>0</v>
      </c>
      <c r="BN95">
        <f>'mk 001 10.3'!BN97</f>
        <v>0</v>
      </c>
    </row>
    <row r="96" spans="1:66" x14ac:dyDescent="0.35">
      <c r="A96">
        <f>'mk 001 10.3'!A98</f>
        <v>0</v>
      </c>
      <c r="B96">
        <f>'mk 001 10.3'!B98</f>
        <v>0</v>
      </c>
      <c r="C96" s="1" t="str">
        <f>'mk 001 10.3'!C98</f>
        <v>14/5/2569</v>
      </c>
      <c r="D96" s="1" t="str">
        <f>'mk 001 10.3'!D98</f>
        <v>14/5/2569</v>
      </c>
      <c r="E96">
        <f>'mk 001 10.3'!E98</f>
        <v>0</v>
      </c>
      <c r="F96" t="str">
        <f>'mk 001 10.3'!F98</f>
        <v>489M</v>
      </c>
      <c r="G96" t="str">
        <f>'mk 001 10.3'!G98</f>
        <v>Modern Trade (Makro)</v>
      </c>
      <c r="H96">
        <f>'mk 001 10.3'!H98</f>
        <v>0</v>
      </c>
      <c r="I96" t="str">
        <f>'mk 001 10.3'!I98</f>
        <v>หน่วยงานกลาง</v>
      </c>
      <c r="J96" t="str">
        <f>'mk 001 10.3'!J98</f>
        <v>F213  DMCW-รชล-พระพุทธบาท</v>
      </c>
      <c r="K96" t="str">
        <f>'mk 001 10.3'!K98</f>
        <v>00000  หน่วยงานกลาง</v>
      </c>
      <c r="L96">
        <f>'mk 001 10.3'!L98</f>
        <v>923</v>
      </c>
      <c r="M96">
        <f>'mk 001 10.3'!M98</f>
        <v>0</v>
      </c>
      <c r="Q96" s="13" t="str">
        <f>IF(แปลงข้อมูล!P97,แปลงข้อมูล!H97,"")</f>
        <v/>
      </c>
      <c r="R96" s="1">
        <f>'mk 001 10.3'!R98</f>
        <v>244658</v>
      </c>
      <c r="S96" s="1" t="str">
        <f>'mk 001 10.3'!S98</f>
        <v>14/5/2569</v>
      </c>
      <c r="U96" s="13" t="str">
        <f>IF(แปลงข้อมูล!P97,แปลงข้อมูล!I97,"")</f>
        <v/>
      </c>
      <c r="V96" s="13" t="str">
        <f>IF(แปลงข้อมูล!P97,แปลงข้อมูล!J97,"")</f>
        <v/>
      </c>
      <c r="Y96" s="13" t="str">
        <f>_xlfn.XLOOKUP(V96,'mk 001 10.3'!V:V,'mk 001 10.3'!Y:Y,"")</f>
        <v/>
      </c>
      <c r="Z96" s="13" t="str">
        <f>IF(แปลงข้อมูล!P97,แปลงข้อมูล!N97,"")</f>
        <v/>
      </c>
      <c r="BL96" t="str">
        <f>'mk 001 10.3'!BL98</f>
        <v>SYSBATCH</v>
      </c>
      <c r="BM96">
        <f>'mk 001 10.3'!BM98</f>
        <v>0</v>
      </c>
      <c r="BN96">
        <f>'mk 001 10.3'!BN98</f>
        <v>0</v>
      </c>
    </row>
    <row r="97" spans="1:66" x14ac:dyDescent="0.35">
      <c r="A97">
        <f>'mk 001 10.3'!A99</f>
        <v>0</v>
      </c>
      <c r="B97">
        <f>'mk 001 10.3'!B99</f>
        <v>0</v>
      </c>
      <c r="C97" s="1" t="str">
        <f>'mk 001 10.3'!C99</f>
        <v>14/5/2569</v>
      </c>
      <c r="D97" s="1" t="str">
        <f>'mk 001 10.3'!D99</f>
        <v>14/5/2569</v>
      </c>
      <c r="E97">
        <f>'mk 001 10.3'!E99</f>
        <v>0</v>
      </c>
      <c r="F97" t="str">
        <f>'mk 001 10.3'!F99</f>
        <v>489M</v>
      </c>
      <c r="G97" t="str">
        <f>'mk 001 10.3'!G99</f>
        <v>Modern Trade (Makro)</v>
      </c>
      <c r="H97">
        <f>'mk 001 10.3'!H99</f>
        <v>0</v>
      </c>
      <c r="I97" t="str">
        <f>'mk 001 10.3'!I99</f>
        <v>หน่วยงานกลาง</v>
      </c>
      <c r="J97" t="str">
        <f>'mk 001 10.3'!J99</f>
        <v>F213  DMCW-รชล-พระพุทธบาท</v>
      </c>
      <c r="K97" t="str">
        <f>'mk 001 10.3'!K99</f>
        <v>00000  หน่วยงานกลาง</v>
      </c>
      <c r="L97">
        <f>'mk 001 10.3'!L99</f>
        <v>923</v>
      </c>
      <c r="M97">
        <f>'mk 001 10.3'!M99</f>
        <v>0</v>
      </c>
      <c r="Q97" s="13" t="str">
        <f>IF(แปลงข้อมูล!P98,แปลงข้อมูล!H98,"")</f>
        <v/>
      </c>
      <c r="R97" s="1">
        <f>'mk 001 10.3'!R99</f>
        <v>244658</v>
      </c>
      <c r="S97" s="1" t="str">
        <f>'mk 001 10.3'!S99</f>
        <v>14/5/2569</v>
      </c>
      <c r="U97" s="13" t="str">
        <f>IF(แปลงข้อมูล!P98,แปลงข้อมูล!I98,"")</f>
        <v/>
      </c>
      <c r="V97" s="13" t="str">
        <f>IF(แปลงข้อมูล!P98,แปลงข้อมูล!J98,"")</f>
        <v/>
      </c>
      <c r="Y97" s="13" t="str">
        <f>_xlfn.XLOOKUP(V97,'mk 001 10.3'!V:V,'mk 001 10.3'!Y:Y,"")</f>
        <v/>
      </c>
      <c r="Z97" s="13" t="str">
        <f>IF(แปลงข้อมูล!P98,แปลงข้อมูล!N98,"")</f>
        <v/>
      </c>
      <c r="BL97" t="str">
        <f>'mk 001 10.3'!BL99</f>
        <v>SYSBATCH</v>
      </c>
      <c r="BM97">
        <f>'mk 001 10.3'!BM99</f>
        <v>0</v>
      </c>
      <c r="BN97">
        <f>'mk 001 10.3'!BN99</f>
        <v>0</v>
      </c>
    </row>
    <row r="98" spans="1:66" x14ac:dyDescent="0.35">
      <c r="A98">
        <f>'mk 001 10.3'!A100</f>
        <v>0</v>
      </c>
      <c r="B98">
        <f>'mk 001 10.3'!B100</f>
        <v>0</v>
      </c>
      <c r="C98" s="1" t="str">
        <f>'mk 001 10.3'!C100</f>
        <v>14/5/2569</v>
      </c>
      <c r="D98" s="1" t="str">
        <f>'mk 001 10.3'!D100</f>
        <v>14/5/2569</v>
      </c>
      <c r="E98">
        <f>'mk 001 10.3'!E100</f>
        <v>0</v>
      </c>
      <c r="F98" t="str">
        <f>'mk 001 10.3'!F100</f>
        <v>489M</v>
      </c>
      <c r="G98" t="str">
        <f>'mk 001 10.3'!G100</f>
        <v>Modern Trade (Makro)</v>
      </c>
      <c r="H98">
        <f>'mk 001 10.3'!H100</f>
        <v>0</v>
      </c>
      <c r="I98" t="str">
        <f>'mk 001 10.3'!I100</f>
        <v>หน่วยงานกลาง</v>
      </c>
      <c r="J98" t="str">
        <f>'mk 001 10.3'!J100</f>
        <v>F213  DMCW-รชล-พระพุทธบาท</v>
      </c>
      <c r="K98" t="str">
        <f>'mk 001 10.3'!K100</f>
        <v>00000  หน่วยงานกลาง</v>
      </c>
      <c r="L98">
        <f>'mk 001 10.3'!L100</f>
        <v>923</v>
      </c>
      <c r="M98">
        <f>'mk 001 10.3'!M100</f>
        <v>0</v>
      </c>
      <c r="Q98" s="13" t="str">
        <f>IF(แปลงข้อมูล!P99,แปลงข้อมูล!H99,"")</f>
        <v/>
      </c>
      <c r="R98" s="1">
        <f>'mk 001 10.3'!R100</f>
        <v>244658</v>
      </c>
      <c r="S98" s="1" t="str">
        <f>'mk 001 10.3'!S100</f>
        <v>14/5/2569</v>
      </c>
      <c r="U98" s="13" t="str">
        <f>IF(แปลงข้อมูล!P99,แปลงข้อมูล!I99,"")</f>
        <v/>
      </c>
      <c r="V98" s="13" t="str">
        <f>IF(แปลงข้อมูล!P99,แปลงข้อมูล!J99,"")</f>
        <v/>
      </c>
      <c r="Y98" s="13" t="str">
        <f>_xlfn.XLOOKUP(V98,'mk 001 10.3'!V:V,'mk 001 10.3'!Y:Y,"")</f>
        <v/>
      </c>
      <c r="Z98" s="13" t="str">
        <f>IF(แปลงข้อมูล!P99,แปลงข้อมูล!N99,"")</f>
        <v/>
      </c>
      <c r="BL98" t="str">
        <f>'mk 001 10.3'!BL100</f>
        <v>SYSBATCH</v>
      </c>
      <c r="BM98">
        <f>'mk 001 10.3'!BM100</f>
        <v>0</v>
      </c>
      <c r="BN98">
        <f>'mk 001 10.3'!BN100</f>
        <v>0</v>
      </c>
    </row>
    <row r="99" spans="1:66" x14ac:dyDescent="0.35">
      <c r="A99">
        <f>'mk 001 10.3'!A101</f>
        <v>0</v>
      </c>
      <c r="B99">
        <f>'mk 001 10.3'!B101</f>
        <v>0</v>
      </c>
      <c r="C99" s="1" t="str">
        <f>'mk 001 10.3'!C101</f>
        <v>14/5/2569</v>
      </c>
      <c r="D99" s="1" t="str">
        <f>'mk 001 10.3'!D101</f>
        <v>14/5/2569</v>
      </c>
      <c r="E99">
        <f>'mk 001 10.3'!E101</f>
        <v>0</v>
      </c>
      <c r="F99" t="str">
        <f>'mk 001 10.3'!F101</f>
        <v>489M</v>
      </c>
      <c r="G99" t="str">
        <f>'mk 001 10.3'!G101</f>
        <v>Modern Trade (Makro)</v>
      </c>
      <c r="H99">
        <f>'mk 001 10.3'!H101</f>
        <v>0</v>
      </c>
      <c r="I99" t="str">
        <f>'mk 001 10.3'!I101</f>
        <v>หน่วยงานกลาง</v>
      </c>
      <c r="J99" t="str">
        <f>'mk 001 10.3'!J101</f>
        <v>F213  DMCW-รชล-พระพุทธบาท</v>
      </c>
      <c r="K99" t="str">
        <f>'mk 001 10.3'!K101</f>
        <v>00000  หน่วยงานกลาง</v>
      </c>
      <c r="L99">
        <f>'mk 001 10.3'!L101</f>
        <v>923</v>
      </c>
      <c r="M99">
        <f>'mk 001 10.3'!M101</f>
        <v>0</v>
      </c>
      <c r="Q99" s="13" t="str">
        <f>IF(แปลงข้อมูล!P100,แปลงข้อมูล!H100,"")</f>
        <v/>
      </c>
      <c r="R99" s="1">
        <f>'mk 001 10.3'!R101</f>
        <v>244658</v>
      </c>
      <c r="S99" s="1" t="str">
        <f>'mk 001 10.3'!S101</f>
        <v>14/5/2569</v>
      </c>
      <c r="U99" s="13" t="str">
        <f>IF(แปลงข้อมูล!P100,แปลงข้อมูล!I100,"")</f>
        <v/>
      </c>
      <c r="V99" s="13" t="str">
        <f>IF(แปลงข้อมูล!P100,แปลงข้อมูล!J100,"")</f>
        <v/>
      </c>
      <c r="Y99" s="13" t="str">
        <f>_xlfn.XLOOKUP(V99,'mk 001 10.3'!V:V,'mk 001 10.3'!Y:Y,"")</f>
        <v/>
      </c>
      <c r="Z99" s="13" t="str">
        <f>IF(แปลงข้อมูล!P100,แปลงข้อมูล!N100,"")</f>
        <v/>
      </c>
      <c r="BL99" t="str">
        <f>'mk 001 10.3'!BL101</f>
        <v>SYSBATCH</v>
      </c>
      <c r="BM99">
        <f>'mk 001 10.3'!BM101</f>
        <v>0</v>
      </c>
      <c r="BN99">
        <f>'mk 001 10.3'!BN101</f>
        <v>0</v>
      </c>
    </row>
    <row r="100" spans="1:66" x14ac:dyDescent="0.35">
      <c r="A100">
        <f>'mk 001 10.3'!A102</f>
        <v>0</v>
      </c>
      <c r="B100">
        <f>'mk 001 10.3'!B102</f>
        <v>0</v>
      </c>
      <c r="C100" s="1" t="str">
        <f>'mk 001 10.3'!C102</f>
        <v>14/5/2569</v>
      </c>
      <c r="D100" s="1" t="str">
        <f>'mk 001 10.3'!D102</f>
        <v>14/5/2569</v>
      </c>
      <c r="E100">
        <f>'mk 001 10.3'!E102</f>
        <v>0</v>
      </c>
      <c r="F100" t="str">
        <f>'mk 001 10.3'!F102</f>
        <v>489M</v>
      </c>
      <c r="G100" t="str">
        <f>'mk 001 10.3'!G102</f>
        <v>Modern Trade (Makro)</v>
      </c>
      <c r="H100">
        <f>'mk 001 10.3'!H102</f>
        <v>0</v>
      </c>
      <c r="I100" t="str">
        <f>'mk 001 10.3'!I102</f>
        <v>หน่วยงานกลาง</v>
      </c>
      <c r="J100" t="str">
        <f>'mk 001 10.3'!J102</f>
        <v>F213  DMCW-รชล-พระพุทธบาท</v>
      </c>
      <c r="K100" t="str">
        <f>'mk 001 10.3'!K102</f>
        <v>00000  หน่วยงานกลาง</v>
      </c>
      <c r="L100">
        <f>'mk 001 10.3'!L102</f>
        <v>923</v>
      </c>
      <c r="M100">
        <f>'mk 001 10.3'!M102</f>
        <v>0</v>
      </c>
      <c r="Q100" s="13" t="str">
        <f>IF(แปลงข้อมูล!P101,แปลงข้อมูล!H101,"")</f>
        <v/>
      </c>
      <c r="R100" s="1">
        <f>'mk 001 10.3'!R102</f>
        <v>244658</v>
      </c>
      <c r="S100" s="1" t="str">
        <f>'mk 001 10.3'!S102</f>
        <v>14/5/2569</v>
      </c>
      <c r="U100" s="13" t="str">
        <f>IF(แปลงข้อมูล!P101,แปลงข้อมูล!I101,"")</f>
        <v/>
      </c>
      <c r="V100" s="13" t="str">
        <f>IF(แปลงข้อมูล!P101,แปลงข้อมูล!J101,"")</f>
        <v/>
      </c>
      <c r="Y100" s="13" t="str">
        <f>_xlfn.XLOOKUP(V100,'mk 001 10.3'!V:V,'mk 001 10.3'!Y:Y,"")</f>
        <v/>
      </c>
      <c r="Z100" s="13" t="str">
        <f>IF(แปลงข้อมูล!P101,แปลงข้อมูล!N101,"")</f>
        <v/>
      </c>
      <c r="BL100" t="str">
        <f>'mk 001 10.3'!BL102</f>
        <v>SYSBATCH</v>
      </c>
      <c r="BM100">
        <f>'mk 001 10.3'!BM102</f>
        <v>0</v>
      </c>
      <c r="BN100">
        <f>'mk 001 10.3'!BN102</f>
        <v>0</v>
      </c>
    </row>
    <row r="101" spans="1:66" x14ac:dyDescent="0.35">
      <c r="A101">
        <f>'mk 001 10.3'!A103</f>
        <v>0</v>
      </c>
      <c r="B101">
        <f>'mk 001 10.3'!B103</f>
        <v>0</v>
      </c>
      <c r="C101" s="1" t="str">
        <f>'mk 001 10.3'!C103</f>
        <v>14/5/2569</v>
      </c>
      <c r="D101" s="1" t="str">
        <f>'mk 001 10.3'!D103</f>
        <v>14/5/2569</v>
      </c>
      <c r="E101">
        <f>'mk 001 10.3'!E103</f>
        <v>0</v>
      </c>
      <c r="F101" t="str">
        <f>'mk 001 10.3'!F103</f>
        <v>489M</v>
      </c>
      <c r="G101" t="str">
        <f>'mk 001 10.3'!G103</f>
        <v>Modern Trade (Makro)</v>
      </c>
      <c r="H101">
        <f>'mk 001 10.3'!H103</f>
        <v>0</v>
      </c>
      <c r="I101" t="str">
        <f>'mk 001 10.3'!I103</f>
        <v>หน่วยงานกลาง</v>
      </c>
      <c r="J101" t="str">
        <f>'mk 001 10.3'!J103</f>
        <v>F213  DMCW-รชล-พระพุทธบาท</v>
      </c>
      <c r="K101" t="str">
        <f>'mk 001 10.3'!K103</f>
        <v>00000  หน่วยงานกลาง</v>
      </c>
      <c r="L101">
        <f>'mk 001 10.3'!L103</f>
        <v>923</v>
      </c>
      <c r="M101">
        <f>'mk 001 10.3'!M103</f>
        <v>0</v>
      </c>
      <c r="Q101" s="13" t="str">
        <f>IF(แปลงข้อมูล!P102,แปลงข้อมูล!H102,"")</f>
        <v/>
      </c>
      <c r="R101" s="1">
        <f>'mk 001 10.3'!R103</f>
        <v>244658</v>
      </c>
      <c r="S101" s="1" t="str">
        <f>'mk 001 10.3'!S103</f>
        <v>14/5/2569</v>
      </c>
      <c r="U101" s="13" t="str">
        <f>IF(แปลงข้อมูล!P102,แปลงข้อมูล!I102,"")</f>
        <v/>
      </c>
      <c r="V101" s="13" t="str">
        <f>IF(แปลงข้อมูล!P102,แปลงข้อมูล!J102,"")</f>
        <v/>
      </c>
      <c r="Y101" s="13" t="str">
        <f>_xlfn.XLOOKUP(V101,'mk 001 10.3'!V:V,'mk 001 10.3'!Y:Y,"")</f>
        <v/>
      </c>
      <c r="Z101" s="13" t="str">
        <f>IF(แปลงข้อมูล!P102,แปลงข้อมูล!N102,"")</f>
        <v/>
      </c>
      <c r="BL101" t="str">
        <f>'mk 001 10.3'!BL103</f>
        <v>SYSBATCH</v>
      </c>
      <c r="BM101">
        <f>'mk 001 10.3'!BM103</f>
        <v>0</v>
      </c>
      <c r="BN101">
        <f>'mk 001 10.3'!BN103</f>
        <v>0</v>
      </c>
    </row>
    <row r="102" spans="1:66" x14ac:dyDescent="0.35">
      <c r="A102">
        <f>'mk 001 10.3'!A104</f>
        <v>0</v>
      </c>
      <c r="B102">
        <f>'mk 001 10.3'!B104</f>
        <v>0</v>
      </c>
      <c r="C102" s="1" t="str">
        <f>'mk 001 10.3'!C104</f>
        <v>14/5/2569</v>
      </c>
      <c r="D102" s="1" t="str">
        <f>'mk 001 10.3'!D104</f>
        <v>14/5/2569</v>
      </c>
      <c r="E102">
        <f>'mk 001 10.3'!E104</f>
        <v>0</v>
      </c>
      <c r="F102" t="str">
        <f>'mk 001 10.3'!F104</f>
        <v>489M</v>
      </c>
      <c r="G102" t="str">
        <f>'mk 001 10.3'!G104</f>
        <v>Modern Trade (Makro)</v>
      </c>
      <c r="H102">
        <f>'mk 001 10.3'!H104</f>
        <v>0</v>
      </c>
      <c r="I102" t="str">
        <f>'mk 001 10.3'!I104</f>
        <v>หน่วยงานกลาง</v>
      </c>
      <c r="J102" t="str">
        <f>'mk 001 10.3'!J104</f>
        <v>F213  DMCW-รชล-พระพุทธบาท</v>
      </c>
      <c r="K102" t="str">
        <f>'mk 001 10.3'!K104</f>
        <v>00000  หน่วยงานกลาง</v>
      </c>
      <c r="L102">
        <f>'mk 001 10.3'!L104</f>
        <v>923</v>
      </c>
      <c r="M102">
        <f>'mk 001 10.3'!M104</f>
        <v>0</v>
      </c>
      <c r="Q102" s="13" t="str">
        <f>IF(แปลงข้อมูล!P103,แปลงข้อมูล!H103,"")</f>
        <v/>
      </c>
      <c r="R102" s="1">
        <f>'mk 001 10.3'!R104</f>
        <v>244658</v>
      </c>
      <c r="S102" s="1" t="str">
        <f>'mk 001 10.3'!S104</f>
        <v>14/5/2569</v>
      </c>
      <c r="U102" s="13" t="str">
        <f>IF(แปลงข้อมูล!P103,แปลงข้อมูล!I103,"")</f>
        <v/>
      </c>
      <c r="V102" s="13" t="str">
        <f>IF(แปลงข้อมูล!P103,แปลงข้อมูล!J103,"")</f>
        <v/>
      </c>
      <c r="Y102" s="13" t="str">
        <f>_xlfn.XLOOKUP(V102,'mk 001 10.3'!V:V,'mk 001 10.3'!Y:Y,"")</f>
        <v/>
      </c>
      <c r="Z102" s="13" t="str">
        <f>IF(แปลงข้อมูล!P103,แปลงข้อมูล!N103,"")</f>
        <v/>
      </c>
      <c r="BL102" t="str">
        <f>'mk 001 10.3'!BL104</f>
        <v>SYSBATCH</v>
      </c>
      <c r="BM102">
        <f>'mk 001 10.3'!BM104</f>
        <v>0</v>
      </c>
      <c r="BN102">
        <f>'mk 001 10.3'!BN104</f>
        <v>0</v>
      </c>
    </row>
    <row r="103" spans="1:66" x14ac:dyDescent="0.35">
      <c r="A103">
        <f>'mk 001 10.3'!A105</f>
        <v>0</v>
      </c>
      <c r="B103">
        <f>'mk 001 10.3'!B105</f>
        <v>0</v>
      </c>
      <c r="C103" s="1" t="str">
        <f>'mk 001 10.3'!C105</f>
        <v>14/5/2569</v>
      </c>
      <c r="D103" s="1" t="str">
        <f>'mk 001 10.3'!D105</f>
        <v>14/5/2569</v>
      </c>
      <c r="E103">
        <f>'mk 001 10.3'!E105</f>
        <v>0</v>
      </c>
      <c r="F103" t="str">
        <f>'mk 001 10.3'!F105</f>
        <v>489M</v>
      </c>
      <c r="G103" t="str">
        <f>'mk 001 10.3'!G105</f>
        <v>Modern Trade (Makro)</v>
      </c>
      <c r="H103">
        <f>'mk 001 10.3'!H105</f>
        <v>0</v>
      </c>
      <c r="I103" t="str">
        <f>'mk 001 10.3'!I105</f>
        <v>หน่วยงานกลาง</v>
      </c>
      <c r="J103" t="str">
        <f>'mk 001 10.3'!J105</f>
        <v>F213  DMCW-รชล-พระพุทธบาท</v>
      </c>
      <c r="K103" t="str">
        <f>'mk 001 10.3'!K105</f>
        <v>00000  หน่วยงานกลาง</v>
      </c>
      <c r="L103">
        <f>'mk 001 10.3'!L105</f>
        <v>923</v>
      </c>
      <c r="M103">
        <f>'mk 001 10.3'!M105</f>
        <v>0</v>
      </c>
      <c r="Q103" s="13" t="str">
        <f>IF(แปลงข้อมูล!P104,แปลงข้อมูล!H104,"")</f>
        <v/>
      </c>
      <c r="R103" s="1">
        <f>'mk 001 10.3'!R105</f>
        <v>244658</v>
      </c>
      <c r="S103" s="1" t="str">
        <f>'mk 001 10.3'!S105</f>
        <v>14/5/2569</v>
      </c>
      <c r="U103" s="13" t="str">
        <f>IF(แปลงข้อมูล!P104,แปลงข้อมูล!I104,"")</f>
        <v/>
      </c>
      <c r="V103" s="13" t="str">
        <f>IF(แปลงข้อมูล!P104,แปลงข้อมูล!J104,"")</f>
        <v/>
      </c>
      <c r="Y103" s="13" t="str">
        <f>_xlfn.XLOOKUP(V103,'mk 001 10.3'!V:V,'mk 001 10.3'!Y:Y,"")</f>
        <v/>
      </c>
      <c r="Z103" s="13" t="str">
        <f>IF(แปลงข้อมูล!P104,แปลงข้อมูล!N104,"")</f>
        <v/>
      </c>
      <c r="BL103" t="str">
        <f>'mk 001 10.3'!BL105</f>
        <v>SYSBATCH</v>
      </c>
      <c r="BM103">
        <f>'mk 001 10.3'!BM105</f>
        <v>0</v>
      </c>
      <c r="BN103">
        <f>'mk 001 10.3'!BN105</f>
        <v>0</v>
      </c>
    </row>
    <row r="104" spans="1:66" x14ac:dyDescent="0.35">
      <c r="A104">
        <f>'mk 001 10.3'!A106</f>
        <v>0</v>
      </c>
      <c r="B104">
        <f>'mk 001 10.3'!B106</f>
        <v>0</v>
      </c>
      <c r="C104" s="1" t="str">
        <f>'mk 001 10.3'!C106</f>
        <v>14/5/2569</v>
      </c>
      <c r="D104" s="1" t="str">
        <f>'mk 001 10.3'!D106</f>
        <v>14/5/2569</v>
      </c>
      <c r="E104">
        <f>'mk 001 10.3'!E106</f>
        <v>0</v>
      </c>
      <c r="F104" t="str">
        <f>'mk 001 10.3'!F106</f>
        <v>489M</v>
      </c>
      <c r="G104" t="str">
        <f>'mk 001 10.3'!G106</f>
        <v>Modern Trade (Makro)</v>
      </c>
      <c r="H104">
        <f>'mk 001 10.3'!H106</f>
        <v>0</v>
      </c>
      <c r="I104" t="str">
        <f>'mk 001 10.3'!I106</f>
        <v>หน่วยงานกลาง</v>
      </c>
      <c r="J104" t="str">
        <f>'mk 001 10.3'!J106</f>
        <v>F213  DMCW-รชล-พระพุทธบาท</v>
      </c>
      <c r="K104" t="str">
        <f>'mk 001 10.3'!K106</f>
        <v>00000  หน่วยงานกลาง</v>
      </c>
      <c r="L104">
        <f>'mk 001 10.3'!L106</f>
        <v>923</v>
      </c>
      <c r="M104">
        <f>'mk 001 10.3'!M106</f>
        <v>0</v>
      </c>
      <c r="Q104" s="13" t="str">
        <f>IF(แปลงข้อมูล!P105,แปลงข้อมูล!H105,"")</f>
        <v/>
      </c>
      <c r="R104" s="1">
        <f>'mk 001 10.3'!R106</f>
        <v>244658</v>
      </c>
      <c r="S104" s="1" t="str">
        <f>'mk 001 10.3'!S106</f>
        <v>14/5/2569</v>
      </c>
      <c r="U104" s="13" t="str">
        <f>IF(แปลงข้อมูล!P105,แปลงข้อมูล!I105,"")</f>
        <v/>
      </c>
      <c r="V104" s="13" t="str">
        <f>IF(แปลงข้อมูล!P105,แปลงข้อมูล!J105,"")</f>
        <v/>
      </c>
      <c r="Y104" s="13" t="str">
        <f>_xlfn.XLOOKUP(V104,'mk 001 10.3'!V:V,'mk 001 10.3'!Y:Y,"")</f>
        <v/>
      </c>
      <c r="Z104" s="13" t="str">
        <f>IF(แปลงข้อมูล!P105,แปลงข้อมูล!N105,"")</f>
        <v/>
      </c>
      <c r="BL104" t="str">
        <f>'mk 001 10.3'!BL106</f>
        <v>SYSBATCH</v>
      </c>
      <c r="BM104">
        <f>'mk 001 10.3'!BM106</f>
        <v>0</v>
      </c>
      <c r="BN104">
        <f>'mk 001 10.3'!BN106</f>
        <v>0</v>
      </c>
    </row>
    <row r="105" spans="1:66" x14ac:dyDescent="0.35">
      <c r="A105">
        <f>'mk 001 10.3'!A107</f>
        <v>0</v>
      </c>
      <c r="B105">
        <f>'mk 001 10.3'!B107</f>
        <v>0</v>
      </c>
      <c r="C105" s="1" t="str">
        <f>'mk 001 10.3'!C107</f>
        <v>14/5/2569</v>
      </c>
      <c r="D105" s="1" t="str">
        <f>'mk 001 10.3'!D107</f>
        <v>14/5/2569</v>
      </c>
      <c r="E105">
        <f>'mk 001 10.3'!E107</f>
        <v>0</v>
      </c>
      <c r="F105" t="str">
        <f>'mk 001 10.3'!F107</f>
        <v>489M</v>
      </c>
      <c r="G105" t="str">
        <f>'mk 001 10.3'!G107</f>
        <v>Modern Trade (Makro)</v>
      </c>
      <c r="H105">
        <f>'mk 001 10.3'!H107</f>
        <v>0</v>
      </c>
      <c r="I105" t="str">
        <f>'mk 001 10.3'!I107</f>
        <v>หน่วยงานกลาง</v>
      </c>
      <c r="J105" t="str">
        <f>'mk 001 10.3'!J107</f>
        <v>F213  DMCW-รชล-พระพุทธบาท</v>
      </c>
      <c r="K105" t="str">
        <f>'mk 001 10.3'!K107</f>
        <v>00000  หน่วยงานกลาง</v>
      </c>
      <c r="L105">
        <f>'mk 001 10.3'!L107</f>
        <v>923</v>
      </c>
      <c r="M105">
        <f>'mk 001 10.3'!M107</f>
        <v>0</v>
      </c>
      <c r="Q105" s="13" t="str">
        <f>IF(แปลงข้อมูล!P106,แปลงข้อมูล!H106,"")</f>
        <v/>
      </c>
      <c r="R105" s="1">
        <f>'mk 001 10.3'!R107</f>
        <v>244658</v>
      </c>
      <c r="S105" s="1" t="str">
        <f>'mk 001 10.3'!S107</f>
        <v>14/5/2569</v>
      </c>
      <c r="U105" s="13" t="str">
        <f>IF(แปลงข้อมูล!P106,แปลงข้อมูล!I106,"")</f>
        <v/>
      </c>
      <c r="V105" s="13" t="str">
        <f>IF(แปลงข้อมูล!P106,แปลงข้อมูล!J106,"")</f>
        <v/>
      </c>
      <c r="Y105" s="13" t="str">
        <f>_xlfn.XLOOKUP(V105,'mk 001 10.3'!V:V,'mk 001 10.3'!Y:Y,"")</f>
        <v/>
      </c>
      <c r="Z105" s="13" t="str">
        <f>IF(แปลงข้อมูล!P106,แปลงข้อมูล!N106,"")</f>
        <v/>
      </c>
      <c r="BL105" t="str">
        <f>'mk 001 10.3'!BL107</f>
        <v>SYSBATCH</v>
      </c>
      <c r="BM105">
        <f>'mk 001 10.3'!BM107</f>
        <v>0</v>
      </c>
      <c r="BN105">
        <f>'mk 001 10.3'!BN107</f>
        <v>0</v>
      </c>
    </row>
    <row r="106" spans="1:66" x14ac:dyDescent="0.35">
      <c r="A106">
        <f>'mk 001 10.3'!A108</f>
        <v>0</v>
      </c>
      <c r="B106">
        <f>'mk 001 10.3'!B108</f>
        <v>0</v>
      </c>
      <c r="C106" s="1" t="str">
        <f>'mk 001 10.3'!C108</f>
        <v>14/5/2569</v>
      </c>
      <c r="D106" s="1" t="str">
        <f>'mk 001 10.3'!D108</f>
        <v>14/5/2569</v>
      </c>
      <c r="E106">
        <f>'mk 001 10.3'!E108</f>
        <v>0</v>
      </c>
      <c r="F106" t="str">
        <f>'mk 001 10.3'!F108</f>
        <v>489M</v>
      </c>
      <c r="G106" t="str">
        <f>'mk 001 10.3'!G108</f>
        <v>Modern Trade (Makro)</v>
      </c>
      <c r="H106">
        <f>'mk 001 10.3'!H108</f>
        <v>0</v>
      </c>
      <c r="I106" t="str">
        <f>'mk 001 10.3'!I108</f>
        <v>หน่วยงานกลาง</v>
      </c>
      <c r="J106" t="str">
        <f>'mk 001 10.3'!J108</f>
        <v>F213  DMCW-รชล-พระพุทธบาท</v>
      </c>
      <c r="K106" t="str">
        <f>'mk 001 10.3'!K108</f>
        <v>00000  หน่วยงานกลาง</v>
      </c>
      <c r="L106">
        <f>'mk 001 10.3'!L108</f>
        <v>923</v>
      </c>
      <c r="M106">
        <f>'mk 001 10.3'!M108</f>
        <v>0</v>
      </c>
      <c r="Q106" s="13" t="str">
        <f>IF(แปลงข้อมูล!P107,แปลงข้อมูล!H107,"")</f>
        <v/>
      </c>
      <c r="R106" s="1">
        <f>'mk 001 10.3'!R108</f>
        <v>244658</v>
      </c>
      <c r="S106" s="1" t="str">
        <f>'mk 001 10.3'!S108</f>
        <v>14/5/2569</v>
      </c>
      <c r="U106" s="13" t="str">
        <f>IF(แปลงข้อมูล!P107,แปลงข้อมูล!I107,"")</f>
        <v/>
      </c>
      <c r="V106" s="13" t="str">
        <f>IF(แปลงข้อมูล!P107,แปลงข้อมูล!J107,"")</f>
        <v/>
      </c>
      <c r="Y106" s="13" t="str">
        <f>_xlfn.XLOOKUP(V106,'mk 001 10.3'!V:V,'mk 001 10.3'!Y:Y,"")</f>
        <v/>
      </c>
      <c r="Z106" s="13" t="str">
        <f>IF(แปลงข้อมูล!P107,แปลงข้อมูล!N107,"")</f>
        <v/>
      </c>
      <c r="BL106" t="str">
        <f>'mk 001 10.3'!BL108</f>
        <v>SYSBATCH</v>
      </c>
      <c r="BM106">
        <f>'mk 001 10.3'!BM108</f>
        <v>0</v>
      </c>
      <c r="BN106">
        <f>'mk 001 10.3'!BN108</f>
        <v>0</v>
      </c>
    </row>
    <row r="107" spans="1:66" x14ac:dyDescent="0.35">
      <c r="A107">
        <f>'mk 001 10.3'!A109</f>
        <v>0</v>
      </c>
      <c r="B107">
        <f>'mk 001 10.3'!B109</f>
        <v>0</v>
      </c>
      <c r="C107" s="1" t="str">
        <f>'mk 001 10.3'!C109</f>
        <v>14/5/2569</v>
      </c>
      <c r="D107" s="1" t="str">
        <f>'mk 001 10.3'!D109</f>
        <v>14/5/2569</v>
      </c>
      <c r="E107">
        <f>'mk 001 10.3'!E109</f>
        <v>0</v>
      </c>
      <c r="F107" t="str">
        <f>'mk 001 10.3'!F109</f>
        <v>489M</v>
      </c>
      <c r="G107" t="str">
        <f>'mk 001 10.3'!G109</f>
        <v>Modern Trade (Makro)</v>
      </c>
      <c r="H107">
        <f>'mk 001 10.3'!H109</f>
        <v>0</v>
      </c>
      <c r="I107" t="str">
        <f>'mk 001 10.3'!I109</f>
        <v>หน่วยงานกลาง</v>
      </c>
      <c r="J107" t="str">
        <f>'mk 001 10.3'!J109</f>
        <v>F213  DMCW-รชล-พระพุทธบาท</v>
      </c>
      <c r="K107" t="str">
        <f>'mk 001 10.3'!K109</f>
        <v>00000  หน่วยงานกลาง</v>
      </c>
      <c r="L107">
        <f>'mk 001 10.3'!L109</f>
        <v>923</v>
      </c>
      <c r="M107">
        <f>'mk 001 10.3'!M109</f>
        <v>0</v>
      </c>
      <c r="Q107" s="13" t="str">
        <f>IF(แปลงข้อมูล!P108,แปลงข้อมูล!H108,"")</f>
        <v/>
      </c>
      <c r="R107" s="1">
        <f>'mk 001 10.3'!R109</f>
        <v>244658</v>
      </c>
      <c r="S107" s="1" t="str">
        <f>'mk 001 10.3'!S109</f>
        <v>14/5/2569</v>
      </c>
      <c r="U107" s="13" t="str">
        <f>IF(แปลงข้อมูล!P108,แปลงข้อมูล!I108,"")</f>
        <v/>
      </c>
      <c r="V107" s="13" t="str">
        <f>IF(แปลงข้อมูล!P108,แปลงข้อมูล!J108,"")</f>
        <v/>
      </c>
      <c r="Y107" s="13" t="str">
        <f>_xlfn.XLOOKUP(V107,'mk 001 10.3'!V:V,'mk 001 10.3'!Y:Y,"")</f>
        <v/>
      </c>
      <c r="Z107" s="13" t="str">
        <f>IF(แปลงข้อมูล!P108,แปลงข้อมูล!N108,"")</f>
        <v/>
      </c>
      <c r="BL107" t="str">
        <f>'mk 001 10.3'!BL109</f>
        <v>SYSBATCH</v>
      </c>
      <c r="BM107">
        <f>'mk 001 10.3'!BM109</f>
        <v>0</v>
      </c>
      <c r="BN107">
        <f>'mk 001 10.3'!BN109</f>
        <v>0</v>
      </c>
    </row>
    <row r="108" spans="1:66" x14ac:dyDescent="0.35">
      <c r="A108">
        <f>'mk 001 10.3'!A110</f>
        <v>0</v>
      </c>
      <c r="B108">
        <f>'mk 001 10.3'!B110</f>
        <v>0</v>
      </c>
      <c r="C108" s="1" t="str">
        <f>'mk 001 10.3'!C110</f>
        <v>14/5/2569</v>
      </c>
      <c r="D108" s="1" t="str">
        <f>'mk 001 10.3'!D110</f>
        <v>14/5/2569</v>
      </c>
      <c r="E108">
        <f>'mk 001 10.3'!E110</f>
        <v>0</v>
      </c>
      <c r="F108" t="str">
        <f>'mk 001 10.3'!F110</f>
        <v>489M</v>
      </c>
      <c r="G108" t="str">
        <f>'mk 001 10.3'!G110</f>
        <v>Modern Trade (Makro)</v>
      </c>
      <c r="H108">
        <f>'mk 001 10.3'!H110</f>
        <v>0</v>
      </c>
      <c r="I108" t="str">
        <f>'mk 001 10.3'!I110</f>
        <v>หน่วยงานกลาง</v>
      </c>
      <c r="J108" t="str">
        <f>'mk 001 10.3'!J110</f>
        <v>F213  DMCW-รชล-พระพุทธบาท</v>
      </c>
      <c r="K108" t="str">
        <f>'mk 001 10.3'!K110</f>
        <v>00000  หน่วยงานกลาง</v>
      </c>
      <c r="L108">
        <f>'mk 001 10.3'!L110</f>
        <v>923</v>
      </c>
      <c r="M108">
        <f>'mk 001 10.3'!M110</f>
        <v>0</v>
      </c>
      <c r="Q108" s="13" t="str">
        <f>IF(แปลงข้อมูล!P109,แปลงข้อมูล!H109,"")</f>
        <v/>
      </c>
      <c r="R108" s="1">
        <f>'mk 001 10.3'!R110</f>
        <v>244658</v>
      </c>
      <c r="S108" s="1" t="str">
        <f>'mk 001 10.3'!S110</f>
        <v>14/5/2569</v>
      </c>
      <c r="U108" s="13" t="str">
        <f>IF(แปลงข้อมูล!P109,แปลงข้อมูล!I109,"")</f>
        <v/>
      </c>
      <c r="V108" s="13" t="str">
        <f>IF(แปลงข้อมูล!P109,แปลงข้อมูล!J109,"")</f>
        <v/>
      </c>
      <c r="Y108" s="13" t="str">
        <f>_xlfn.XLOOKUP(V108,'mk 001 10.3'!V:V,'mk 001 10.3'!Y:Y,"")</f>
        <v/>
      </c>
      <c r="Z108" s="13" t="str">
        <f>IF(แปลงข้อมูล!P109,แปลงข้อมูล!N109,"")</f>
        <v/>
      </c>
      <c r="BL108" t="str">
        <f>'mk 001 10.3'!BL110</f>
        <v>SYSBATCH</v>
      </c>
      <c r="BM108">
        <f>'mk 001 10.3'!BM110</f>
        <v>0</v>
      </c>
      <c r="BN108">
        <f>'mk 001 10.3'!BN110</f>
        <v>0</v>
      </c>
    </row>
    <row r="109" spans="1:66" x14ac:dyDescent="0.35">
      <c r="A109">
        <f>'mk 001 10.3'!A111</f>
        <v>0</v>
      </c>
      <c r="B109">
        <f>'mk 001 10.3'!B111</f>
        <v>0</v>
      </c>
      <c r="C109" s="1" t="str">
        <f>'mk 001 10.3'!C111</f>
        <v>14/5/2569</v>
      </c>
      <c r="D109" s="1" t="str">
        <f>'mk 001 10.3'!D111</f>
        <v>14/5/2569</v>
      </c>
      <c r="E109">
        <f>'mk 001 10.3'!E111</f>
        <v>0</v>
      </c>
      <c r="F109" t="str">
        <f>'mk 001 10.3'!F111</f>
        <v>489M</v>
      </c>
      <c r="G109" t="str">
        <f>'mk 001 10.3'!G111</f>
        <v>Modern Trade (Makro)</v>
      </c>
      <c r="H109">
        <f>'mk 001 10.3'!H111</f>
        <v>0</v>
      </c>
      <c r="I109" t="str">
        <f>'mk 001 10.3'!I111</f>
        <v>หน่วยงานกลาง</v>
      </c>
      <c r="J109" t="str">
        <f>'mk 001 10.3'!J111</f>
        <v>F213  DMCW-รชล-พระพุทธบาท</v>
      </c>
      <c r="K109" t="str">
        <f>'mk 001 10.3'!K111</f>
        <v>00000  หน่วยงานกลาง</v>
      </c>
      <c r="L109">
        <f>'mk 001 10.3'!L111</f>
        <v>923</v>
      </c>
      <c r="M109">
        <f>'mk 001 10.3'!M111</f>
        <v>0</v>
      </c>
      <c r="Q109" s="13" t="str">
        <f>IF(แปลงข้อมูล!P110,แปลงข้อมูล!H110,"")</f>
        <v/>
      </c>
      <c r="R109" s="1">
        <f>'mk 001 10.3'!R111</f>
        <v>244658</v>
      </c>
      <c r="S109" s="1" t="str">
        <f>'mk 001 10.3'!S111</f>
        <v>14/5/2569</v>
      </c>
      <c r="U109" s="13" t="str">
        <f>IF(แปลงข้อมูล!P110,แปลงข้อมูล!I110,"")</f>
        <v/>
      </c>
      <c r="V109" s="13" t="str">
        <f>IF(แปลงข้อมูล!P110,แปลงข้อมูล!J110,"")</f>
        <v/>
      </c>
      <c r="Y109" s="13" t="str">
        <f>_xlfn.XLOOKUP(V109,'mk 001 10.3'!V:V,'mk 001 10.3'!Y:Y,"")</f>
        <v/>
      </c>
      <c r="Z109" s="13" t="str">
        <f>IF(แปลงข้อมูล!P110,แปลงข้อมูล!N110,"")</f>
        <v/>
      </c>
      <c r="BL109" t="str">
        <f>'mk 001 10.3'!BL111</f>
        <v>SYSBATCH</v>
      </c>
      <c r="BM109">
        <f>'mk 001 10.3'!BM111</f>
        <v>0</v>
      </c>
      <c r="BN109">
        <f>'mk 001 10.3'!BN111</f>
        <v>0</v>
      </c>
    </row>
    <row r="110" spans="1:66" x14ac:dyDescent="0.35">
      <c r="A110">
        <f>'mk 001 10.3'!A112</f>
        <v>0</v>
      </c>
      <c r="B110">
        <f>'mk 001 10.3'!B112</f>
        <v>0</v>
      </c>
      <c r="C110" s="1" t="str">
        <f>'mk 001 10.3'!C112</f>
        <v>14/5/2569</v>
      </c>
      <c r="D110" s="1" t="str">
        <f>'mk 001 10.3'!D112</f>
        <v>14/5/2569</v>
      </c>
      <c r="E110">
        <f>'mk 001 10.3'!E112</f>
        <v>0</v>
      </c>
      <c r="F110" t="str">
        <f>'mk 001 10.3'!F112</f>
        <v>489M</v>
      </c>
      <c r="G110" t="str">
        <f>'mk 001 10.3'!G112</f>
        <v>Modern Trade (Makro)</v>
      </c>
      <c r="H110">
        <f>'mk 001 10.3'!H112</f>
        <v>0</v>
      </c>
      <c r="I110" t="str">
        <f>'mk 001 10.3'!I112</f>
        <v>หน่วยงานกลาง</v>
      </c>
      <c r="J110" t="str">
        <f>'mk 001 10.3'!J112</f>
        <v>F213  DMCW-รชล-พระพุทธบาท</v>
      </c>
      <c r="K110" t="str">
        <f>'mk 001 10.3'!K112</f>
        <v>00000  หน่วยงานกลาง</v>
      </c>
      <c r="L110">
        <f>'mk 001 10.3'!L112</f>
        <v>923</v>
      </c>
      <c r="M110">
        <f>'mk 001 10.3'!M112</f>
        <v>0</v>
      </c>
      <c r="Q110" s="13" t="str">
        <f>IF(แปลงข้อมูล!P111,แปลงข้อมูล!H111,"")</f>
        <v/>
      </c>
      <c r="R110" s="1">
        <f>'mk 001 10.3'!R112</f>
        <v>244658</v>
      </c>
      <c r="S110" s="1" t="str">
        <f>'mk 001 10.3'!S112</f>
        <v>14/5/2569</v>
      </c>
      <c r="U110" s="13" t="str">
        <f>IF(แปลงข้อมูล!P111,แปลงข้อมูล!I111,"")</f>
        <v/>
      </c>
      <c r="V110" s="13" t="str">
        <f>IF(แปลงข้อมูล!P111,แปลงข้อมูล!J111,"")</f>
        <v/>
      </c>
      <c r="Y110" s="13" t="str">
        <f>_xlfn.XLOOKUP(V110,'mk 001 10.3'!V:V,'mk 001 10.3'!Y:Y,"")</f>
        <v/>
      </c>
      <c r="Z110" s="13" t="str">
        <f>IF(แปลงข้อมูล!P111,แปลงข้อมูล!N111,"")</f>
        <v/>
      </c>
      <c r="BL110" t="str">
        <f>'mk 001 10.3'!BL112</f>
        <v>SYSBATCH</v>
      </c>
      <c r="BM110">
        <f>'mk 001 10.3'!BM112</f>
        <v>0</v>
      </c>
      <c r="BN110">
        <f>'mk 001 10.3'!BN112</f>
        <v>0</v>
      </c>
    </row>
    <row r="111" spans="1:66" x14ac:dyDescent="0.35">
      <c r="A111">
        <f>'mk 001 10.3'!A113</f>
        <v>0</v>
      </c>
      <c r="B111">
        <f>'mk 001 10.3'!B113</f>
        <v>0</v>
      </c>
      <c r="C111" s="1" t="str">
        <f>'mk 001 10.3'!C113</f>
        <v>14/5/2569</v>
      </c>
      <c r="D111" s="1" t="str">
        <f>'mk 001 10.3'!D113</f>
        <v>14/5/2569</v>
      </c>
      <c r="E111">
        <f>'mk 001 10.3'!E113</f>
        <v>0</v>
      </c>
      <c r="F111" t="str">
        <f>'mk 001 10.3'!F113</f>
        <v>489M</v>
      </c>
      <c r="G111" t="str">
        <f>'mk 001 10.3'!G113</f>
        <v>Modern Trade (Makro)</v>
      </c>
      <c r="H111">
        <f>'mk 001 10.3'!H113</f>
        <v>0</v>
      </c>
      <c r="I111" t="str">
        <f>'mk 001 10.3'!I113</f>
        <v>หน่วยงานกลาง</v>
      </c>
      <c r="J111" t="str">
        <f>'mk 001 10.3'!J113</f>
        <v>F213  DMCW-รชล-พระพุทธบาท</v>
      </c>
      <c r="K111" t="str">
        <f>'mk 001 10.3'!K113</f>
        <v>00000  หน่วยงานกลาง</v>
      </c>
      <c r="L111">
        <f>'mk 001 10.3'!L113</f>
        <v>923</v>
      </c>
      <c r="M111">
        <f>'mk 001 10.3'!M113</f>
        <v>0</v>
      </c>
      <c r="Q111" s="13" t="str">
        <f>IF(แปลงข้อมูล!P112,แปลงข้อมูล!H112,"")</f>
        <v/>
      </c>
      <c r="R111" s="1">
        <f>'mk 001 10.3'!R113</f>
        <v>244658</v>
      </c>
      <c r="S111" s="1" t="str">
        <f>'mk 001 10.3'!S113</f>
        <v>14/5/2569</v>
      </c>
      <c r="U111" s="13" t="str">
        <f>IF(แปลงข้อมูล!P112,แปลงข้อมูล!I112,"")</f>
        <v/>
      </c>
      <c r="V111" s="13" t="str">
        <f>IF(แปลงข้อมูล!P112,แปลงข้อมูล!J112,"")</f>
        <v/>
      </c>
      <c r="Y111" s="13" t="str">
        <f>_xlfn.XLOOKUP(V111,'mk 001 10.3'!V:V,'mk 001 10.3'!Y:Y,"")</f>
        <v/>
      </c>
      <c r="Z111" s="13" t="str">
        <f>IF(แปลงข้อมูล!P112,แปลงข้อมูล!N112,"")</f>
        <v/>
      </c>
      <c r="BL111" t="str">
        <f>'mk 001 10.3'!BL113</f>
        <v>SYSBATCH</v>
      </c>
      <c r="BM111">
        <f>'mk 001 10.3'!BM113</f>
        <v>0</v>
      </c>
      <c r="BN111">
        <f>'mk 001 10.3'!BN113</f>
        <v>0</v>
      </c>
    </row>
    <row r="112" spans="1:66" x14ac:dyDescent="0.35">
      <c r="A112">
        <f>'mk 001 10.3'!A114</f>
        <v>0</v>
      </c>
      <c r="B112">
        <f>'mk 001 10.3'!B114</f>
        <v>0</v>
      </c>
      <c r="C112" s="1" t="str">
        <f>'mk 001 10.3'!C114</f>
        <v>14/5/2569</v>
      </c>
      <c r="D112" s="1" t="str">
        <f>'mk 001 10.3'!D114</f>
        <v>14/5/2569</v>
      </c>
      <c r="E112">
        <f>'mk 001 10.3'!E114</f>
        <v>0</v>
      </c>
      <c r="F112" t="str">
        <f>'mk 001 10.3'!F114</f>
        <v>489M</v>
      </c>
      <c r="G112" t="str">
        <f>'mk 001 10.3'!G114</f>
        <v>Modern Trade (Makro)</v>
      </c>
      <c r="H112">
        <f>'mk 001 10.3'!H114</f>
        <v>0</v>
      </c>
      <c r="I112" t="str">
        <f>'mk 001 10.3'!I114</f>
        <v>หน่วยงานกลาง</v>
      </c>
      <c r="J112" t="str">
        <f>'mk 001 10.3'!J114</f>
        <v>F213  DMCW-รชล-พระพุทธบาท</v>
      </c>
      <c r="K112" t="str">
        <f>'mk 001 10.3'!K114</f>
        <v>00000  หน่วยงานกลาง</v>
      </c>
      <c r="L112">
        <f>'mk 001 10.3'!L114</f>
        <v>923</v>
      </c>
      <c r="M112">
        <f>'mk 001 10.3'!M114</f>
        <v>0</v>
      </c>
      <c r="Q112" s="13" t="str">
        <f>IF(แปลงข้อมูล!P113,แปลงข้อมูล!H113,"")</f>
        <v/>
      </c>
      <c r="R112" s="1">
        <f>'mk 001 10.3'!R114</f>
        <v>244658</v>
      </c>
      <c r="S112" s="1" t="str">
        <f>'mk 001 10.3'!S114</f>
        <v>14/5/2569</v>
      </c>
      <c r="U112" s="13" t="str">
        <f>IF(แปลงข้อมูล!P113,แปลงข้อมูล!I113,"")</f>
        <v/>
      </c>
      <c r="V112" s="13" t="str">
        <f>IF(แปลงข้อมูล!P113,แปลงข้อมูล!J113,"")</f>
        <v/>
      </c>
      <c r="Y112" s="13" t="str">
        <f>_xlfn.XLOOKUP(V112,'mk 001 10.3'!V:V,'mk 001 10.3'!Y:Y,"")</f>
        <v/>
      </c>
      <c r="Z112" s="13" t="str">
        <f>IF(แปลงข้อมูล!P113,แปลงข้อมูล!N113,"")</f>
        <v/>
      </c>
      <c r="BL112" t="str">
        <f>'mk 001 10.3'!BL114</f>
        <v>SYSBATCH</v>
      </c>
      <c r="BM112">
        <f>'mk 001 10.3'!BM114</f>
        <v>0</v>
      </c>
      <c r="BN112">
        <f>'mk 001 10.3'!BN114</f>
        <v>0</v>
      </c>
    </row>
    <row r="113" spans="1:66" x14ac:dyDescent="0.35">
      <c r="A113">
        <f>'mk 001 10.3'!A115</f>
        <v>0</v>
      </c>
      <c r="B113">
        <f>'mk 001 10.3'!B115</f>
        <v>0</v>
      </c>
      <c r="C113" s="1" t="str">
        <f>'mk 001 10.3'!C115</f>
        <v>14/5/2569</v>
      </c>
      <c r="D113" s="1" t="str">
        <f>'mk 001 10.3'!D115</f>
        <v>14/5/2569</v>
      </c>
      <c r="E113">
        <f>'mk 001 10.3'!E115</f>
        <v>0</v>
      </c>
      <c r="F113" t="str">
        <f>'mk 001 10.3'!F115</f>
        <v>489M</v>
      </c>
      <c r="G113" t="str">
        <f>'mk 001 10.3'!G115</f>
        <v>Modern Trade (Makro)</v>
      </c>
      <c r="H113">
        <f>'mk 001 10.3'!H115</f>
        <v>0</v>
      </c>
      <c r="I113" t="str">
        <f>'mk 001 10.3'!I115</f>
        <v>หน่วยงานกลาง</v>
      </c>
      <c r="J113" t="str">
        <f>'mk 001 10.3'!J115</f>
        <v>F213  DMCW-รชล-พระพุทธบาท</v>
      </c>
      <c r="K113" t="str">
        <f>'mk 001 10.3'!K115</f>
        <v>00000  หน่วยงานกลาง</v>
      </c>
      <c r="L113">
        <f>'mk 001 10.3'!L115</f>
        <v>923</v>
      </c>
      <c r="M113">
        <f>'mk 001 10.3'!M115</f>
        <v>0</v>
      </c>
      <c r="Q113" s="13" t="str">
        <f>IF(แปลงข้อมูล!P114,แปลงข้อมูล!H114,"")</f>
        <v/>
      </c>
      <c r="R113" s="1">
        <f>'mk 001 10.3'!R115</f>
        <v>244658</v>
      </c>
      <c r="S113" s="1" t="str">
        <f>'mk 001 10.3'!S115</f>
        <v>14/5/2569</v>
      </c>
      <c r="U113" s="13" t="str">
        <f>IF(แปลงข้อมูล!P114,แปลงข้อมูล!I114,"")</f>
        <v/>
      </c>
      <c r="V113" s="13" t="str">
        <f>IF(แปลงข้อมูล!P114,แปลงข้อมูล!J114,"")</f>
        <v/>
      </c>
      <c r="Y113" s="13" t="str">
        <f>_xlfn.XLOOKUP(V113,'mk 001 10.3'!V:V,'mk 001 10.3'!Y:Y,"")</f>
        <v/>
      </c>
      <c r="Z113" s="13" t="str">
        <f>IF(แปลงข้อมูล!P114,แปลงข้อมูล!N114,"")</f>
        <v/>
      </c>
      <c r="BL113" t="str">
        <f>'mk 001 10.3'!BL115</f>
        <v>SYSBATCH</v>
      </c>
      <c r="BM113">
        <f>'mk 001 10.3'!BM115</f>
        <v>0</v>
      </c>
      <c r="BN113">
        <f>'mk 001 10.3'!BN115</f>
        <v>0</v>
      </c>
    </row>
    <row r="114" spans="1:66" x14ac:dyDescent="0.35">
      <c r="A114">
        <f>'mk 001 10.3'!A116</f>
        <v>0</v>
      </c>
      <c r="B114">
        <f>'mk 001 10.3'!B116</f>
        <v>0</v>
      </c>
      <c r="C114" s="1" t="str">
        <f>'mk 001 10.3'!C116</f>
        <v>14/5/2569</v>
      </c>
      <c r="D114" s="1" t="str">
        <f>'mk 001 10.3'!D116</f>
        <v>14/5/2569</v>
      </c>
      <c r="E114">
        <f>'mk 001 10.3'!E116</f>
        <v>0</v>
      </c>
      <c r="F114" t="str">
        <f>'mk 001 10.3'!F116</f>
        <v>489M</v>
      </c>
      <c r="G114" t="str">
        <f>'mk 001 10.3'!G116</f>
        <v>Modern Trade (Makro)</v>
      </c>
      <c r="H114">
        <f>'mk 001 10.3'!H116</f>
        <v>0</v>
      </c>
      <c r="I114" t="str">
        <f>'mk 001 10.3'!I116</f>
        <v>หน่วยงานกลาง</v>
      </c>
      <c r="J114" t="str">
        <f>'mk 001 10.3'!J116</f>
        <v>F213  DMCW-รชล-พระพุทธบาท</v>
      </c>
      <c r="K114" t="str">
        <f>'mk 001 10.3'!K116</f>
        <v>00000  หน่วยงานกลาง</v>
      </c>
      <c r="L114">
        <f>'mk 001 10.3'!L116</f>
        <v>923</v>
      </c>
      <c r="M114">
        <f>'mk 001 10.3'!M116</f>
        <v>0</v>
      </c>
      <c r="Q114" s="13" t="str">
        <f>IF(แปลงข้อมูล!P115,แปลงข้อมูล!H115,"")</f>
        <v/>
      </c>
      <c r="R114" s="1">
        <f>'mk 001 10.3'!R116</f>
        <v>244658</v>
      </c>
      <c r="S114" s="1" t="str">
        <f>'mk 001 10.3'!S116</f>
        <v>14/5/2569</v>
      </c>
      <c r="U114" s="13" t="str">
        <f>IF(แปลงข้อมูล!P115,แปลงข้อมูล!I115,"")</f>
        <v/>
      </c>
      <c r="V114" s="13" t="str">
        <f>IF(แปลงข้อมูล!P115,แปลงข้อมูล!J115,"")</f>
        <v/>
      </c>
      <c r="Y114" s="13" t="str">
        <f>_xlfn.XLOOKUP(V114,'mk 001 10.3'!V:V,'mk 001 10.3'!Y:Y,"")</f>
        <v/>
      </c>
      <c r="Z114" s="13" t="str">
        <f>IF(แปลงข้อมูล!P115,แปลงข้อมูล!N115,"")</f>
        <v/>
      </c>
      <c r="BL114" t="str">
        <f>'mk 001 10.3'!BL116</f>
        <v>SYSBATCH</v>
      </c>
      <c r="BM114">
        <f>'mk 001 10.3'!BM116</f>
        <v>0</v>
      </c>
      <c r="BN114">
        <f>'mk 001 10.3'!BN116</f>
        <v>0</v>
      </c>
    </row>
    <row r="115" spans="1:66" x14ac:dyDescent="0.35">
      <c r="A115">
        <f>'mk 001 10.3'!A117</f>
        <v>0</v>
      </c>
      <c r="B115">
        <f>'mk 001 10.3'!B117</f>
        <v>0</v>
      </c>
      <c r="C115" s="1" t="str">
        <f>'mk 001 10.3'!C117</f>
        <v>14/5/2569</v>
      </c>
      <c r="D115" s="1" t="str">
        <f>'mk 001 10.3'!D117</f>
        <v>14/5/2569</v>
      </c>
      <c r="E115">
        <f>'mk 001 10.3'!E117</f>
        <v>0</v>
      </c>
      <c r="F115" t="str">
        <f>'mk 001 10.3'!F117</f>
        <v>489M</v>
      </c>
      <c r="G115" t="str">
        <f>'mk 001 10.3'!G117</f>
        <v>Modern Trade (Makro)</v>
      </c>
      <c r="H115">
        <f>'mk 001 10.3'!H117</f>
        <v>0</v>
      </c>
      <c r="I115" t="str">
        <f>'mk 001 10.3'!I117</f>
        <v>หน่วยงานกลาง</v>
      </c>
      <c r="J115" t="str">
        <f>'mk 001 10.3'!J117</f>
        <v>F213  DMCW-รชล-พระพุทธบาท</v>
      </c>
      <c r="K115" t="str">
        <f>'mk 001 10.3'!K117</f>
        <v>00000  หน่วยงานกลาง</v>
      </c>
      <c r="L115">
        <f>'mk 001 10.3'!L117</f>
        <v>923</v>
      </c>
      <c r="M115">
        <f>'mk 001 10.3'!M117</f>
        <v>0</v>
      </c>
      <c r="Q115" s="13" t="str">
        <f>IF(แปลงข้อมูล!P116,แปลงข้อมูล!H116,"")</f>
        <v/>
      </c>
      <c r="R115" s="1">
        <f>'mk 001 10.3'!R117</f>
        <v>244658</v>
      </c>
      <c r="S115" s="1" t="str">
        <f>'mk 001 10.3'!S117</f>
        <v>14/5/2569</v>
      </c>
      <c r="U115" s="13" t="str">
        <f>IF(แปลงข้อมูล!P116,แปลงข้อมูล!I116,"")</f>
        <v/>
      </c>
      <c r="V115" s="13" t="str">
        <f>IF(แปลงข้อมูล!P116,แปลงข้อมูล!J116,"")</f>
        <v/>
      </c>
      <c r="Y115" s="13" t="str">
        <f>_xlfn.XLOOKUP(V115,'mk 001 10.3'!V:V,'mk 001 10.3'!Y:Y,"")</f>
        <v/>
      </c>
      <c r="Z115" s="13" t="str">
        <f>IF(แปลงข้อมูล!P116,แปลงข้อมูล!N116,"")</f>
        <v/>
      </c>
      <c r="BL115" t="str">
        <f>'mk 001 10.3'!BL117</f>
        <v>SYSBATCH</v>
      </c>
      <c r="BM115">
        <f>'mk 001 10.3'!BM117</f>
        <v>0</v>
      </c>
      <c r="BN115">
        <f>'mk 001 10.3'!BN117</f>
        <v>0</v>
      </c>
    </row>
    <row r="116" spans="1:66" x14ac:dyDescent="0.35">
      <c r="A116">
        <f>'mk 001 10.3'!A118</f>
        <v>0</v>
      </c>
      <c r="B116">
        <f>'mk 001 10.3'!B118</f>
        <v>0</v>
      </c>
      <c r="C116" s="1" t="str">
        <f>'mk 001 10.3'!C118</f>
        <v>14/5/2569</v>
      </c>
      <c r="D116" s="1" t="str">
        <f>'mk 001 10.3'!D118</f>
        <v>14/5/2569</v>
      </c>
      <c r="E116">
        <f>'mk 001 10.3'!E118</f>
        <v>0</v>
      </c>
      <c r="F116" t="str">
        <f>'mk 001 10.3'!F118</f>
        <v>489M</v>
      </c>
      <c r="G116" t="str">
        <f>'mk 001 10.3'!G118</f>
        <v>Modern Trade (Makro)</v>
      </c>
      <c r="H116">
        <f>'mk 001 10.3'!H118</f>
        <v>0</v>
      </c>
      <c r="I116" t="str">
        <f>'mk 001 10.3'!I118</f>
        <v>หน่วยงานกลาง</v>
      </c>
      <c r="J116" t="str">
        <f>'mk 001 10.3'!J118</f>
        <v>F213  DMCW-รชล-พระพุทธบาท</v>
      </c>
      <c r="K116" t="str">
        <f>'mk 001 10.3'!K118</f>
        <v>00000  หน่วยงานกลาง</v>
      </c>
      <c r="L116">
        <f>'mk 001 10.3'!L118</f>
        <v>923</v>
      </c>
      <c r="M116">
        <f>'mk 001 10.3'!M118</f>
        <v>0</v>
      </c>
      <c r="Q116" s="13" t="str">
        <f>IF(แปลงข้อมูล!P117,แปลงข้อมูล!H117,"")</f>
        <v/>
      </c>
      <c r="R116" s="1">
        <f>'mk 001 10.3'!R118</f>
        <v>244658</v>
      </c>
      <c r="S116" s="1" t="str">
        <f>'mk 001 10.3'!S118</f>
        <v>14/5/2569</v>
      </c>
      <c r="U116" s="13" t="str">
        <f>IF(แปลงข้อมูล!P117,แปลงข้อมูล!I117,"")</f>
        <v/>
      </c>
      <c r="V116" s="13" t="str">
        <f>IF(แปลงข้อมูล!P117,แปลงข้อมูล!J117,"")</f>
        <v/>
      </c>
      <c r="Y116" s="13" t="str">
        <f>_xlfn.XLOOKUP(V116,'mk 001 10.3'!V:V,'mk 001 10.3'!Y:Y,"")</f>
        <v/>
      </c>
      <c r="Z116" s="13" t="str">
        <f>IF(แปลงข้อมูล!P117,แปลงข้อมูล!N117,"")</f>
        <v/>
      </c>
      <c r="BL116" t="str">
        <f>'mk 001 10.3'!BL118</f>
        <v>SYSBATCH</v>
      </c>
      <c r="BM116">
        <f>'mk 001 10.3'!BM118</f>
        <v>0</v>
      </c>
      <c r="BN116">
        <f>'mk 001 10.3'!BN118</f>
        <v>0</v>
      </c>
    </row>
    <row r="117" spans="1:66" x14ac:dyDescent="0.35">
      <c r="A117">
        <f>'mk 001 10.3'!A119</f>
        <v>0</v>
      </c>
      <c r="B117">
        <f>'mk 001 10.3'!B119</f>
        <v>0</v>
      </c>
      <c r="C117" s="1" t="str">
        <f>'mk 001 10.3'!C119</f>
        <v>14/5/2569</v>
      </c>
      <c r="D117" s="1" t="str">
        <f>'mk 001 10.3'!D119</f>
        <v>14/5/2569</v>
      </c>
      <c r="E117">
        <f>'mk 001 10.3'!E119</f>
        <v>0</v>
      </c>
      <c r="F117" t="str">
        <f>'mk 001 10.3'!F119</f>
        <v>489M</v>
      </c>
      <c r="G117" t="str">
        <f>'mk 001 10.3'!G119</f>
        <v>Modern Trade (Makro)</v>
      </c>
      <c r="H117">
        <f>'mk 001 10.3'!H119</f>
        <v>0</v>
      </c>
      <c r="I117" t="str">
        <f>'mk 001 10.3'!I119</f>
        <v>หน่วยงานกลาง</v>
      </c>
      <c r="J117" t="str">
        <f>'mk 001 10.3'!J119</f>
        <v>F213  DMCW-รชล-พระพุทธบาท</v>
      </c>
      <c r="K117" t="str">
        <f>'mk 001 10.3'!K119</f>
        <v>00000  หน่วยงานกลาง</v>
      </c>
      <c r="L117">
        <f>'mk 001 10.3'!L119</f>
        <v>923</v>
      </c>
      <c r="M117">
        <f>'mk 001 10.3'!M119</f>
        <v>0</v>
      </c>
      <c r="Q117" s="13" t="str">
        <f>IF(แปลงข้อมูล!P118,แปลงข้อมูล!H118,"")</f>
        <v/>
      </c>
      <c r="R117" s="1">
        <f>'mk 001 10.3'!R119</f>
        <v>244658</v>
      </c>
      <c r="S117" s="1" t="str">
        <f>'mk 001 10.3'!S119</f>
        <v>14/5/2569</v>
      </c>
      <c r="U117" s="13" t="str">
        <f>IF(แปลงข้อมูล!P118,แปลงข้อมูล!I118,"")</f>
        <v/>
      </c>
      <c r="V117" s="13" t="str">
        <f>IF(แปลงข้อมูล!P118,แปลงข้อมูล!J118,"")</f>
        <v/>
      </c>
      <c r="Y117" s="13" t="str">
        <f>_xlfn.XLOOKUP(V117,'mk 001 10.3'!V:V,'mk 001 10.3'!Y:Y,"")</f>
        <v/>
      </c>
      <c r="Z117" s="13" t="str">
        <f>IF(แปลงข้อมูล!P118,แปลงข้อมูล!N118,"")</f>
        <v/>
      </c>
      <c r="BL117" t="str">
        <f>'mk 001 10.3'!BL119</f>
        <v>SYSBATCH</v>
      </c>
      <c r="BM117">
        <f>'mk 001 10.3'!BM119</f>
        <v>0</v>
      </c>
      <c r="BN117">
        <f>'mk 001 10.3'!BN119</f>
        <v>0</v>
      </c>
    </row>
    <row r="118" spans="1:66" x14ac:dyDescent="0.35">
      <c r="A118">
        <f>'mk 001 10.3'!A120</f>
        <v>0</v>
      </c>
      <c r="B118">
        <f>'mk 001 10.3'!B120</f>
        <v>0</v>
      </c>
      <c r="C118" s="1" t="str">
        <f>'mk 001 10.3'!C120</f>
        <v>14/5/2569</v>
      </c>
      <c r="D118" s="1" t="str">
        <f>'mk 001 10.3'!D120</f>
        <v>14/5/2569</v>
      </c>
      <c r="E118">
        <f>'mk 001 10.3'!E120</f>
        <v>0</v>
      </c>
      <c r="F118" t="str">
        <f>'mk 001 10.3'!F120</f>
        <v>489M</v>
      </c>
      <c r="G118" t="str">
        <f>'mk 001 10.3'!G120</f>
        <v>Modern Trade (Makro)</v>
      </c>
      <c r="H118">
        <f>'mk 001 10.3'!H120</f>
        <v>0</v>
      </c>
      <c r="I118" t="str">
        <f>'mk 001 10.3'!I120</f>
        <v>หน่วยงานกลาง</v>
      </c>
      <c r="J118" t="str">
        <f>'mk 001 10.3'!J120</f>
        <v>F213  DMCW-รชล-พระพุทธบาท</v>
      </c>
      <c r="K118" t="str">
        <f>'mk 001 10.3'!K120</f>
        <v>00000  หน่วยงานกลาง</v>
      </c>
      <c r="L118">
        <f>'mk 001 10.3'!L120</f>
        <v>923</v>
      </c>
      <c r="M118">
        <f>'mk 001 10.3'!M120</f>
        <v>0</v>
      </c>
      <c r="Q118" s="13" t="str">
        <f>IF(แปลงข้อมูล!P119,แปลงข้อมูล!H119,"")</f>
        <v/>
      </c>
      <c r="R118" s="1">
        <f>'mk 001 10.3'!R120</f>
        <v>244658</v>
      </c>
      <c r="S118" s="1" t="str">
        <f>'mk 001 10.3'!S120</f>
        <v>14/5/2569</v>
      </c>
      <c r="U118" s="13" t="str">
        <f>IF(แปลงข้อมูล!P119,แปลงข้อมูล!I119,"")</f>
        <v/>
      </c>
      <c r="V118" s="13" t="str">
        <f>IF(แปลงข้อมูล!P119,แปลงข้อมูล!J119,"")</f>
        <v/>
      </c>
      <c r="Y118" s="13" t="str">
        <f>_xlfn.XLOOKUP(V118,'mk 001 10.3'!V:V,'mk 001 10.3'!Y:Y,"")</f>
        <v/>
      </c>
      <c r="Z118" s="13" t="str">
        <f>IF(แปลงข้อมูล!P119,แปลงข้อมูล!N119,"")</f>
        <v/>
      </c>
      <c r="BL118" t="str">
        <f>'mk 001 10.3'!BL120</f>
        <v>SYSBATCH</v>
      </c>
      <c r="BM118">
        <f>'mk 001 10.3'!BM120</f>
        <v>0</v>
      </c>
      <c r="BN118">
        <f>'mk 001 10.3'!BN120</f>
        <v>0</v>
      </c>
    </row>
    <row r="119" spans="1:66" x14ac:dyDescent="0.35">
      <c r="A119">
        <f>'mk 001 10.3'!A121</f>
        <v>0</v>
      </c>
      <c r="B119">
        <f>'mk 001 10.3'!B121</f>
        <v>0</v>
      </c>
      <c r="C119" s="1" t="str">
        <f>'mk 001 10.3'!C121</f>
        <v>14/5/2569</v>
      </c>
      <c r="D119" s="1" t="str">
        <f>'mk 001 10.3'!D121</f>
        <v>14/5/2569</v>
      </c>
      <c r="E119">
        <f>'mk 001 10.3'!E121</f>
        <v>0</v>
      </c>
      <c r="F119" t="str">
        <f>'mk 001 10.3'!F121</f>
        <v>489M</v>
      </c>
      <c r="G119" t="str">
        <f>'mk 001 10.3'!G121</f>
        <v>Modern Trade (Makro)</v>
      </c>
      <c r="H119">
        <f>'mk 001 10.3'!H121</f>
        <v>0</v>
      </c>
      <c r="I119" t="str">
        <f>'mk 001 10.3'!I121</f>
        <v>หน่วยงานกลาง</v>
      </c>
      <c r="J119" t="str">
        <f>'mk 001 10.3'!J121</f>
        <v>F213  DMCW-รชล-พระพุทธบาท</v>
      </c>
      <c r="K119" t="str">
        <f>'mk 001 10.3'!K121</f>
        <v>00000  หน่วยงานกลาง</v>
      </c>
      <c r="L119">
        <f>'mk 001 10.3'!L121</f>
        <v>923</v>
      </c>
      <c r="M119">
        <f>'mk 001 10.3'!M121</f>
        <v>0</v>
      </c>
      <c r="Q119" s="13" t="str">
        <f>IF(แปลงข้อมูล!P120,แปลงข้อมูล!H120,"")</f>
        <v/>
      </c>
      <c r="R119" s="1">
        <f>'mk 001 10.3'!R121</f>
        <v>244658</v>
      </c>
      <c r="S119" s="1" t="str">
        <f>'mk 001 10.3'!S121</f>
        <v>14/5/2569</v>
      </c>
      <c r="U119" s="13" t="str">
        <f>IF(แปลงข้อมูล!P120,แปลงข้อมูล!I120,"")</f>
        <v/>
      </c>
      <c r="V119" s="13" t="str">
        <f>IF(แปลงข้อมูล!P120,แปลงข้อมูล!J120,"")</f>
        <v/>
      </c>
      <c r="Y119" s="13" t="str">
        <f>_xlfn.XLOOKUP(V119,'mk 001 10.3'!V:V,'mk 001 10.3'!Y:Y,"")</f>
        <v/>
      </c>
      <c r="Z119" s="13" t="str">
        <f>IF(แปลงข้อมูล!P120,แปลงข้อมูล!N120,"")</f>
        <v/>
      </c>
      <c r="BL119" t="str">
        <f>'mk 001 10.3'!BL121</f>
        <v>SYSBATCH</v>
      </c>
      <c r="BM119">
        <f>'mk 001 10.3'!BM121</f>
        <v>0</v>
      </c>
      <c r="BN119">
        <f>'mk 001 10.3'!BN121</f>
        <v>0</v>
      </c>
    </row>
    <row r="120" spans="1:66" x14ac:dyDescent="0.35">
      <c r="A120">
        <f>'mk 001 10.3'!A122</f>
        <v>0</v>
      </c>
      <c r="B120">
        <f>'mk 001 10.3'!B122</f>
        <v>0</v>
      </c>
      <c r="C120" s="1" t="str">
        <f>'mk 001 10.3'!C122</f>
        <v>14/5/2569</v>
      </c>
      <c r="D120" s="1" t="str">
        <f>'mk 001 10.3'!D122</f>
        <v>14/5/2569</v>
      </c>
      <c r="E120">
        <f>'mk 001 10.3'!E122</f>
        <v>0</v>
      </c>
      <c r="F120" t="str">
        <f>'mk 001 10.3'!F122</f>
        <v>489M</v>
      </c>
      <c r="G120" t="str">
        <f>'mk 001 10.3'!G122</f>
        <v>Modern Trade (Makro)</v>
      </c>
      <c r="H120">
        <f>'mk 001 10.3'!H122</f>
        <v>0</v>
      </c>
      <c r="I120" t="str">
        <f>'mk 001 10.3'!I122</f>
        <v>หน่วยงานกลาง</v>
      </c>
      <c r="J120" t="str">
        <f>'mk 001 10.3'!J122</f>
        <v>F213  DMCW-รชล-พระพุทธบาท</v>
      </c>
      <c r="K120" t="str">
        <f>'mk 001 10.3'!K122</f>
        <v>00000  หน่วยงานกลาง</v>
      </c>
      <c r="L120">
        <f>'mk 001 10.3'!L122</f>
        <v>923</v>
      </c>
      <c r="M120">
        <f>'mk 001 10.3'!M122</f>
        <v>0</v>
      </c>
      <c r="Q120" s="13" t="str">
        <f>IF(แปลงข้อมูล!P121,แปลงข้อมูล!H121,"")</f>
        <v/>
      </c>
      <c r="R120" s="1">
        <f>'mk 001 10.3'!R122</f>
        <v>244658</v>
      </c>
      <c r="S120" s="1" t="str">
        <f>'mk 001 10.3'!S122</f>
        <v>14/5/2569</v>
      </c>
      <c r="U120" s="13" t="str">
        <f>IF(แปลงข้อมูล!P121,แปลงข้อมูล!I121,"")</f>
        <v/>
      </c>
      <c r="V120" s="13" t="str">
        <f>IF(แปลงข้อมูล!P121,แปลงข้อมูล!J121,"")</f>
        <v/>
      </c>
      <c r="Y120" s="13" t="str">
        <f>_xlfn.XLOOKUP(V120,'mk 001 10.3'!V:V,'mk 001 10.3'!Y:Y,"")</f>
        <v/>
      </c>
      <c r="Z120" s="13" t="str">
        <f>IF(แปลงข้อมูล!P121,แปลงข้อมูล!N121,"")</f>
        <v/>
      </c>
      <c r="BL120" t="str">
        <f>'mk 001 10.3'!BL122</f>
        <v>SYSBATCH</v>
      </c>
      <c r="BM120">
        <f>'mk 001 10.3'!BM122</f>
        <v>0</v>
      </c>
      <c r="BN120">
        <f>'mk 001 10.3'!BN122</f>
        <v>0</v>
      </c>
    </row>
    <row r="121" spans="1:66" x14ac:dyDescent="0.35">
      <c r="A121">
        <f>'mk 001 10.3'!A123</f>
        <v>0</v>
      </c>
      <c r="B121">
        <f>'mk 001 10.3'!B123</f>
        <v>0</v>
      </c>
      <c r="C121" s="1" t="str">
        <f>'mk 001 10.3'!C123</f>
        <v>14/5/2569</v>
      </c>
      <c r="D121" s="1" t="str">
        <f>'mk 001 10.3'!D123</f>
        <v>14/5/2569</v>
      </c>
      <c r="E121">
        <f>'mk 001 10.3'!E123</f>
        <v>0</v>
      </c>
      <c r="F121" t="str">
        <f>'mk 001 10.3'!F123</f>
        <v>489M</v>
      </c>
      <c r="G121" t="str">
        <f>'mk 001 10.3'!G123</f>
        <v>Modern Trade (Makro)</v>
      </c>
      <c r="H121">
        <f>'mk 001 10.3'!H123</f>
        <v>0</v>
      </c>
      <c r="I121" t="str">
        <f>'mk 001 10.3'!I123</f>
        <v>หน่วยงานกลาง</v>
      </c>
      <c r="J121" t="str">
        <f>'mk 001 10.3'!J123</f>
        <v>F213  DMCW-รชล-พระพุทธบาท</v>
      </c>
      <c r="K121" t="str">
        <f>'mk 001 10.3'!K123</f>
        <v>00000  หน่วยงานกลาง</v>
      </c>
      <c r="L121">
        <f>'mk 001 10.3'!L123</f>
        <v>923</v>
      </c>
      <c r="M121">
        <f>'mk 001 10.3'!M123</f>
        <v>0</v>
      </c>
      <c r="Q121" s="13" t="str">
        <f>IF(แปลงข้อมูล!P122,แปลงข้อมูล!H122,"")</f>
        <v/>
      </c>
      <c r="R121" s="1">
        <f>'mk 001 10.3'!R123</f>
        <v>244658</v>
      </c>
      <c r="S121" s="1" t="str">
        <f>'mk 001 10.3'!S123</f>
        <v>14/5/2569</v>
      </c>
      <c r="U121" s="13" t="str">
        <f>IF(แปลงข้อมูล!P122,แปลงข้อมูล!I122,"")</f>
        <v/>
      </c>
      <c r="V121" s="13" t="str">
        <f>IF(แปลงข้อมูล!P122,แปลงข้อมูล!J122,"")</f>
        <v/>
      </c>
      <c r="Y121" s="13" t="str">
        <f>_xlfn.XLOOKUP(V121,'mk 001 10.3'!V:V,'mk 001 10.3'!Y:Y,"")</f>
        <v/>
      </c>
      <c r="Z121" s="13" t="str">
        <f>IF(แปลงข้อมูล!P122,แปลงข้อมูล!N122,"")</f>
        <v/>
      </c>
      <c r="BL121" t="str">
        <f>'mk 001 10.3'!BL123</f>
        <v>SYSBATCH</v>
      </c>
      <c r="BM121">
        <f>'mk 001 10.3'!BM123</f>
        <v>0</v>
      </c>
      <c r="BN121">
        <f>'mk 001 10.3'!BN123</f>
        <v>0</v>
      </c>
    </row>
    <row r="122" spans="1:66" x14ac:dyDescent="0.35">
      <c r="A122">
        <f>'mk 001 10.3'!A124</f>
        <v>0</v>
      </c>
      <c r="B122">
        <f>'mk 001 10.3'!B124</f>
        <v>0</v>
      </c>
      <c r="C122" s="1" t="str">
        <f>'mk 001 10.3'!C124</f>
        <v>14/5/2569</v>
      </c>
      <c r="D122" s="1" t="str">
        <f>'mk 001 10.3'!D124</f>
        <v>14/5/2569</v>
      </c>
      <c r="E122">
        <f>'mk 001 10.3'!E124</f>
        <v>0</v>
      </c>
      <c r="F122" t="str">
        <f>'mk 001 10.3'!F124</f>
        <v>489M</v>
      </c>
      <c r="G122" t="str">
        <f>'mk 001 10.3'!G124</f>
        <v>Modern Trade (Makro)</v>
      </c>
      <c r="H122">
        <f>'mk 001 10.3'!H124</f>
        <v>0</v>
      </c>
      <c r="I122" t="str">
        <f>'mk 001 10.3'!I124</f>
        <v>หน่วยงานกลาง</v>
      </c>
      <c r="J122" t="str">
        <f>'mk 001 10.3'!J124</f>
        <v>F213  DMCW-รชล-พระพุทธบาท</v>
      </c>
      <c r="K122" t="str">
        <f>'mk 001 10.3'!K124</f>
        <v>00000  หน่วยงานกลาง</v>
      </c>
      <c r="L122">
        <f>'mk 001 10.3'!L124</f>
        <v>923</v>
      </c>
      <c r="M122">
        <f>'mk 001 10.3'!M124</f>
        <v>0</v>
      </c>
      <c r="Q122" s="13" t="str">
        <f>IF(แปลงข้อมูล!P123,แปลงข้อมูล!H123,"")</f>
        <v/>
      </c>
      <c r="R122" s="1">
        <f>'mk 001 10.3'!R124</f>
        <v>244658</v>
      </c>
      <c r="S122" s="1" t="str">
        <f>'mk 001 10.3'!S124</f>
        <v>14/5/2569</v>
      </c>
      <c r="U122" s="13" t="str">
        <f>IF(แปลงข้อมูล!P123,แปลงข้อมูล!I123,"")</f>
        <v/>
      </c>
      <c r="V122" s="13" t="str">
        <f>IF(แปลงข้อมูล!P123,แปลงข้อมูล!J123,"")</f>
        <v/>
      </c>
      <c r="Y122" s="13" t="str">
        <f>_xlfn.XLOOKUP(V122,'mk 001 10.3'!V:V,'mk 001 10.3'!Y:Y,"")</f>
        <v/>
      </c>
      <c r="Z122" s="13" t="str">
        <f>IF(แปลงข้อมูล!P123,แปลงข้อมูล!N123,"")</f>
        <v/>
      </c>
      <c r="BL122" t="str">
        <f>'mk 001 10.3'!BL124</f>
        <v>SYSBATCH</v>
      </c>
      <c r="BM122">
        <f>'mk 001 10.3'!BM124</f>
        <v>0</v>
      </c>
      <c r="BN122">
        <f>'mk 001 10.3'!BN124</f>
        <v>0</v>
      </c>
    </row>
    <row r="123" spans="1:66" x14ac:dyDescent="0.35">
      <c r="A123">
        <f>'mk 001 10.3'!A125</f>
        <v>0</v>
      </c>
      <c r="B123">
        <f>'mk 001 10.3'!B125</f>
        <v>0</v>
      </c>
      <c r="C123" s="1" t="str">
        <f>'mk 001 10.3'!C125</f>
        <v>14/5/2569</v>
      </c>
      <c r="D123" s="1" t="str">
        <f>'mk 001 10.3'!D125</f>
        <v>14/5/2569</v>
      </c>
      <c r="E123">
        <f>'mk 001 10.3'!E125</f>
        <v>0</v>
      </c>
      <c r="F123" t="str">
        <f>'mk 001 10.3'!F125</f>
        <v>489M</v>
      </c>
      <c r="G123" t="str">
        <f>'mk 001 10.3'!G125</f>
        <v>Modern Trade (Makro)</v>
      </c>
      <c r="H123">
        <f>'mk 001 10.3'!H125</f>
        <v>0</v>
      </c>
      <c r="I123" t="str">
        <f>'mk 001 10.3'!I125</f>
        <v>หน่วยงานกลาง</v>
      </c>
      <c r="J123" t="str">
        <f>'mk 001 10.3'!J125</f>
        <v>F213  DMCW-รชล-พระพุทธบาท</v>
      </c>
      <c r="K123" t="str">
        <f>'mk 001 10.3'!K125</f>
        <v>00000  หน่วยงานกลาง</v>
      </c>
      <c r="L123">
        <f>'mk 001 10.3'!L125</f>
        <v>923</v>
      </c>
      <c r="M123">
        <f>'mk 001 10.3'!M125</f>
        <v>0</v>
      </c>
      <c r="Q123" s="13" t="str">
        <f>IF(แปลงข้อมูล!P124,แปลงข้อมูล!H124,"")</f>
        <v/>
      </c>
      <c r="R123" s="1">
        <f>'mk 001 10.3'!R125</f>
        <v>244658</v>
      </c>
      <c r="S123" s="1" t="str">
        <f>'mk 001 10.3'!S125</f>
        <v>14/5/2569</v>
      </c>
      <c r="U123" s="13" t="str">
        <f>IF(แปลงข้อมูล!P124,แปลงข้อมูล!I124,"")</f>
        <v/>
      </c>
      <c r="V123" s="13" t="str">
        <f>IF(แปลงข้อมูล!P124,แปลงข้อมูล!J124,"")</f>
        <v/>
      </c>
      <c r="Y123" s="13" t="str">
        <f>_xlfn.XLOOKUP(V123,'mk 001 10.3'!V:V,'mk 001 10.3'!Y:Y,"")</f>
        <v/>
      </c>
      <c r="Z123" s="13" t="str">
        <f>IF(แปลงข้อมูล!P124,แปลงข้อมูล!N124,"")</f>
        <v/>
      </c>
      <c r="BL123" t="str">
        <f>'mk 001 10.3'!BL125</f>
        <v>SYSBATCH</v>
      </c>
      <c r="BM123">
        <f>'mk 001 10.3'!BM125</f>
        <v>0</v>
      </c>
      <c r="BN123">
        <f>'mk 001 10.3'!BN125</f>
        <v>0</v>
      </c>
    </row>
    <row r="124" spans="1:66" x14ac:dyDescent="0.35">
      <c r="A124">
        <f>'mk 001 10.3'!A126</f>
        <v>0</v>
      </c>
      <c r="B124">
        <f>'mk 001 10.3'!B126</f>
        <v>0</v>
      </c>
      <c r="C124" s="1" t="str">
        <f>'mk 001 10.3'!C126</f>
        <v>14/5/2569</v>
      </c>
      <c r="D124" s="1" t="str">
        <f>'mk 001 10.3'!D126</f>
        <v>14/5/2569</v>
      </c>
      <c r="E124">
        <f>'mk 001 10.3'!E126</f>
        <v>0</v>
      </c>
      <c r="F124" t="str">
        <f>'mk 001 10.3'!F126</f>
        <v>489M</v>
      </c>
      <c r="G124" t="str">
        <f>'mk 001 10.3'!G126</f>
        <v>Modern Trade (Makro)</v>
      </c>
      <c r="H124">
        <f>'mk 001 10.3'!H126</f>
        <v>0</v>
      </c>
      <c r="I124" t="str">
        <f>'mk 001 10.3'!I126</f>
        <v>หน่วยงานกลาง</v>
      </c>
      <c r="J124" t="str">
        <f>'mk 001 10.3'!J126</f>
        <v>F213  DMCW-รชล-พระพุทธบาท</v>
      </c>
      <c r="K124" t="str">
        <f>'mk 001 10.3'!K126</f>
        <v>00000  หน่วยงานกลาง</v>
      </c>
      <c r="L124">
        <f>'mk 001 10.3'!L126</f>
        <v>923</v>
      </c>
      <c r="M124">
        <f>'mk 001 10.3'!M126</f>
        <v>0</v>
      </c>
      <c r="Q124" s="13" t="str">
        <f>IF(แปลงข้อมูล!P125,แปลงข้อมูล!H125,"")</f>
        <v/>
      </c>
      <c r="R124" s="1">
        <f>'mk 001 10.3'!R126</f>
        <v>244658</v>
      </c>
      <c r="S124" s="1" t="str">
        <f>'mk 001 10.3'!S126</f>
        <v>14/5/2569</v>
      </c>
      <c r="U124" s="13" t="str">
        <f>IF(แปลงข้อมูล!P125,แปลงข้อมูล!I125,"")</f>
        <v/>
      </c>
      <c r="V124" s="13" t="str">
        <f>IF(แปลงข้อมูล!P125,แปลงข้อมูล!J125,"")</f>
        <v/>
      </c>
      <c r="Y124" s="13" t="str">
        <f>_xlfn.XLOOKUP(V124,'mk 001 10.3'!V:V,'mk 001 10.3'!Y:Y,"")</f>
        <v/>
      </c>
      <c r="Z124" s="13" t="str">
        <f>IF(แปลงข้อมูล!P125,แปลงข้อมูล!N125,"")</f>
        <v/>
      </c>
      <c r="BL124" t="str">
        <f>'mk 001 10.3'!BL126</f>
        <v>SYSBATCH</v>
      </c>
      <c r="BM124">
        <f>'mk 001 10.3'!BM126</f>
        <v>0</v>
      </c>
      <c r="BN124">
        <f>'mk 001 10.3'!BN126</f>
        <v>0</v>
      </c>
    </row>
    <row r="125" spans="1:66" x14ac:dyDescent="0.35">
      <c r="A125">
        <f>'mk 001 10.3'!A127</f>
        <v>0</v>
      </c>
      <c r="B125">
        <f>'mk 001 10.3'!B127</f>
        <v>0</v>
      </c>
      <c r="C125" s="1" t="str">
        <f>'mk 001 10.3'!C127</f>
        <v>14/5/2569</v>
      </c>
      <c r="D125" s="1" t="str">
        <f>'mk 001 10.3'!D127</f>
        <v>14/5/2569</v>
      </c>
      <c r="E125">
        <f>'mk 001 10.3'!E127</f>
        <v>0</v>
      </c>
      <c r="F125" t="str">
        <f>'mk 001 10.3'!F127</f>
        <v>489M</v>
      </c>
      <c r="G125" t="str">
        <f>'mk 001 10.3'!G127</f>
        <v>Modern Trade (Makro)</v>
      </c>
      <c r="H125">
        <f>'mk 001 10.3'!H127</f>
        <v>0</v>
      </c>
      <c r="I125" t="str">
        <f>'mk 001 10.3'!I127</f>
        <v>หน่วยงานกลาง</v>
      </c>
      <c r="J125" t="str">
        <f>'mk 001 10.3'!J127</f>
        <v>F213  DMCW-รชล-พระพุทธบาท</v>
      </c>
      <c r="K125" t="str">
        <f>'mk 001 10.3'!K127</f>
        <v>00000  หน่วยงานกลาง</v>
      </c>
      <c r="L125">
        <f>'mk 001 10.3'!L127</f>
        <v>923</v>
      </c>
      <c r="M125">
        <f>'mk 001 10.3'!M127</f>
        <v>0</v>
      </c>
      <c r="Q125" s="13" t="str">
        <f>IF(แปลงข้อมูล!P126,แปลงข้อมูล!H126,"")</f>
        <v/>
      </c>
      <c r="R125" s="1">
        <f>'mk 001 10.3'!R127</f>
        <v>244658</v>
      </c>
      <c r="S125" s="1" t="str">
        <f>'mk 001 10.3'!S127</f>
        <v>14/5/2569</v>
      </c>
      <c r="U125" s="13" t="str">
        <f>IF(แปลงข้อมูล!P126,แปลงข้อมูล!I126,"")</f>
        <v/>
      </c>
      <c r="V125" s="13" t="str">
        <f>IF(แปลงข้อมูล!P126,แปลงข้อมูล!J126,"")</f>
        <v/>
      </c>
      <c r="Y125" s="13" t="str">
        <f>_xlfn.XLOOKUP(V125,'mk 001 10.3'!V:V,'mk 001 10.3'!Y:Y,"")</f>
        <v/>
      </c>
      <c r="Z125" s="13" t="str">
        <f>IF(แปลงข้อมูล!P126,แปลงข้อมูล!N126,"")</f>
        <v/>
      </c>
      <c r="BL125" t="str">
        <f>'mk 001 10.3'!BL127</f>
        <v>SYSBATCH</v>
      </c>
      <c r="BM125">
        <f>'mk 001 10.3'!BM127</f>
        <v>0</v>
      </c>
      <c r="BN125">
        <f>'mk 001 10.3'!BN127</f>
        <v>0</v>
      </c>
    </row>
    <row r="126" spans="1:66" x14ac:dyDescent="0.35">
      <c r="A126">
        <f>'mk 001 10.3'!A128</f>
        <v>0</v>
      </c>
      <c r="B126">
        <f>'mk 001 10.3'!B128</f>
        <v>0</v>
      </c>
      <c r="C126" s="1" t="str">
        <f>'mk 001 10.3'!C128</f>
        <v>14/5/2569</v>
      </c>
      <c r="D126" s="1" t="str">
        <f>'mk 001 10.3'!D128</f>
        <v>14/5/2569</v>
      </c>
      <c r="E126">
        <f>'mk 001 10.3'!E128</f>
        <v>0</v>
      </c>
      <c r="F126" t="str">
        <f>'mk 001 10.3'!F128</f>
        <v>489M</v>
      </c>
      <c r="G126" t="str">
        <f>'mk 001 10.3'!G128</f>
        <v>Modern Trade (Makro)</v>
      </c>
      <c r="H126">
        <f>'mk 001 10.3'!H128</f>
        <v>0</v>
      </c>
      <c r="I126" t="str">
        <f>'mk 001 10.3'!I128</f>
        <v>หน่วยงานกลาง</v>
      </c>
      <c r="J126" t="str">
        <f>'mk 001 10.3'!J128</f>
        <v>F213  DMCW-รชล-พระพุทธบาท</v>
      </c>
      <c r="K126" t="str">
        <f>'mk 001 10.3'!K128</f>
        <v>00000  หน่วยงานกลาง</v>
      </c>
      <c r="L126">
        <f>'mk 001 10.3'!L128</f>
        <v>923</v>
      </c>
      <c r="M126">
        <f>'mk 001 10.3'!M128</f>
        <v>0</v>
      </c>
      <c r="Q126" s="13" t="str">
        <f>IF(แปลงข้อมูล!P127,แปลงข้อมูล!H127,"")</f>
        <v/>
      </c>
      <c r="R126" s="1">
        <f>'mk 001 10.3'!R128</f>
        <v>244658</v>
      </c>
      <c r="S126" s="1" t="str">
        <f>'mk 001 10.3'!S128</f>
        <v>14/5/2569</v>
      </c>
      <c r="U126" s="13" t="str">
        <f>IF(แปลงข้อมูล!P127,แปลงข้อมูล!I127,"")</f>
        <v/>
      </c>
      <c r="V126" s="13" t="str">
        <f>IF(แปลงข้อมูล!P127,แปลงข้อมูล!J127,"")</f>
        <v/>
      </c>
      <c r="Y126" s="13" t="str">
        <f>_xlfn.XLOOKUP(V126,'mk 001 10.3'!V:V,'mk 001 10.3'!Y:Y,"")</f>
        <v/>
      </c>
      <c r="Z126" s="13" t="str">
        <f>IF(แปลงข้อมูล!P127,แปลงข้อมูล!N127,"")</f>
        <v/>
      </c>
      <c r="BL126" t="str">
        <f>'mk 001 10.3'!BL128</f>
        <v>SYSBATCH</v>
      </c>
      <c r="BM126">
        <f>'mk 001 10.3'!BM128</f>
        <v>0</v>
      </c>
      <c r="BN126">
        <f>'mk 001 10.3'!BN128</f>
        <v>0</v>
      </c>
    </row>
    <row r="127" spans="1:66" x14ac:dyDescent="0.35">
      <c r="A127">
        <f>'mk 001 10.3'!A129</f>
        <v>0</v>
      </c>
      <c r="B127">
        <f>'mk 001 10.3'!B129</f>
        <v>0</v>
      </c>
      <c r="C127" s="1" t="str">
        <f>'mk 001 10.3'!C129</f>
        <v>14/5/2569</v>
      </c>
      <c r="D127" s="1" t="str">
        <f>'mk 001 10.3'!D129</f>
        <v>14/5/2569</v>
      </c>
      <c r="E127">
        <f>'mk 001 10.3'!E129</f>
        <v>0</v>
      </c>
      <c r="F127" t="str">
        <f>'mk 001 10.3'!F129</f>
        <v>489M</v>
      </c>
      <c r="G127" t="str">
        <f>'mk 001 10.3'!G129</f>
        <v>Modern Trade (Makro)</v>
      </c>
      <c r="H127">
        <f>'mk 001 10.3'!H129</f>
        <v>0</v>
      </c>
      <c r="I127" t="str">
        <f>'mk 001 10.3'!I129</f>
        <v>หน่วยงานกลาง</v>
      </c>
      <c r="J127" t="str">
        <f>'mk 001 10.3'!J129</f>
        <v>F213  DMCW-รชล-พระพุทธบาท</v>
      </c>
      <c r="K127" t="str">
        <f>'mk 001 10.3'!K129</f>
        <v>00000  หน่วยงานกลาง</v>
      </c>
      <c r="L127">
        <f>'mk 001 10.3'!L129</f>
        <v>923</v>
      </c>
      <c r="M127">
        <f>'mk 001 10.3'!M129</f>
        <v>0</v>
      </c>
      <c r="Q127" s="13" t="str">
        <f>IF(แปลงข้อมูล!P128,แปลงข้อมูล!H128,"")</f>
        <v/>
      </c>
      <c r="R127" s="1">
        <f>'mk 001 10.3'!R129</f>
        <v>244658</v>
      </c>
      <c r="S127" s="1" t="str">
        <f>'mk 001 10.3'!S129</f>
        <v>14/5/2569</v>
      </c>
      <c r="U127" s="13" t="str">
        <f>IF(แปลงข้อมูล!P128,แปลงข้อมูล!I128,"")</f>
        <v/>
      </c>
      <c r="V127" s="13" t="str">
        <f>IF(แปลงข้อมูล!P128,แปลงข้อมูล!J128,"")</f>
        <v/>
      </c>
      <c r="Y127" s="13" t="str">
        <f>_xlfn.XLOOKUP(V127,'mk 001 10.3'!V:V,'mk 001 10.3'!Y:Y,"")</f>
        <v/>
      </c>
      <c r="Z127" s="13" t="str">
        <f>IF(แปลงข้อมูล!P128,แปลงข้อมูล!N128,"")</f>
        <v/>
      </c>
      <c r="BL127" t="str">
        <f>'mk 001 10.3'!BL129</f>
        <v>SYSBATCH</v>
      </c>
      <c r="BM127">
        <f>'mk 001 10.3'!BM129</f>
        <v>0</v>
      </c>
      <c r="BN127">
        <f>'mk 001 10.3'!BN129</f>
        <v>0</v>
      </c>
    </row>
    <row r="128" spans="1:66" x14ac:dyDescent="0.35">
      <c r="A128">
        <f>'mk 001 10.3'!A130</f>
        <v>0</v>
      </c>
      <c r="B128">
        <f>'mk 001 10.3'!B130</f>
        <v>0</v>
      </c>
      <c r="C128" s="1" t="str">
        <f>'mk 001 10.3'!C130</f>
        <v>14/5/2569</v>
      </c>
      <c r="D128" s="1" t="str">
        <f>'mk 001 10.3'!D130</f>
        <v>14/5/2569</v>
      </c>
      <c r="E128">
        <f>'mk 001 10.3'!E130</f>
        <v>0</v>
      </c>
      <c r="F128" t="str">
        <f>'mk 001 10.3'!F130</f>
        <v>489M</v>
      </c>
      <c r="G128" t="str">
        <f>'mk 001 10.3'!G130</f>
        <v>Modern Trade (Makro)</v>
      </c>
      <c r="H128">
        <f>'mk 001 10.3'!H130</f>
        <v>0</v>
      </c>
      <c r="I128" t="str">
        <f>'mk 001 10.3'!I130</f>
        <v>หน่วยงานกลาง</v>
      </c>
      <c r="J128" t="str">
        <f>'mk 001 10.3'!J130</f>
        <v>F213  DMCW-รชล-พระพุทธบาท</v>
      </c>
      <c r="K128" t="str">
        <f>'mk 001 10.3'!K130</f>
        <v>00000  หน่วยงานกลาง</v>
      </c>
      <c r="L128">
        <f>'mk 001 10.3'!L130</f>
        <v>923</v>
      </c>
      <c r="M128">
        <f>'mk 001 10.3'!M130</f>
        <v>0</v>
      </c>
      <c r="Q128" s="13" t="str">
        <f>IF(แปลงข้อมูล!P129,แปลงข้อมูล!H129,"")</f>
        <v/>
      </c>
      <c r="R128" s="1">
        <f>'mk 001 10.3'!R130</f>
        <v>244658</v>
      </c>
      <c r="S128" s="1" t="str">
        <f>'mk 001 10.3'!S130</f>
        <v>14/5/2569</v>
      </c>
      <c r="U128" s="13" t="str">
        <f>IF(แปลงข้อมูล!P129,แปลงข้อมูล!I129,"")</f>
        <v/>
      </c>
      <c r="V128" s="13" t="str">
        <f>IF(แปลงข้อมูล!P129,แปลงข้อมูล!J129,"")</f>
        <v/>
      </c>
      <c r="Y128" s="13" t="str">
        <f>_xlfn.XLOOKUP(V128,'mk 001 10.3'!V:V,'mk 001 10.3'!Y:Y,"")</f>
        <v/>
      </c>
      <c r="Z128" s="13" t="str">
        <f>IF(แปลงข้อมูล!P129,แปลงข้อมูล!N129,"")</f>
        <v/>
      </c>
      <c r="BL128" t="str">
        <f>'mk 001 10.3'!BL130</f>
        <v>SYSBATCH</v>
      </c>
      <c r="BM128">
        <f>'mk 001 10.3'!BM130</f>
        <v>0</v>
      </c>
      <c r="BN128">
        <f>'mk 001 10.3'!BN130</f>
        <v>0</v>
      </c>
    </row>
    <row r="129" spans="1:66" x14ac:dyDescent="0.35">
      <c r="A129">
        <f>'mk 001 10.3'!A131</f>
        <v>0</v>
      </c>
      <c r="B129">
        <f>'mk 001 10.3'!B131</f>
        <v>0</v>
      </c>
      <c r="C129" s="1" t="str">
        <f>'mk 001 10.3'!C131</f>
        <v>14/5/2569</v>
      </c>
      <c r="D129" s="1" t="str">
        <f>'mk 001 10.3'!D131</f>
        <v>14/5/2569</v>
      </c>
      <c r="E129">
        <f>'mk 001 10.3'!E131</f>
        <v>0</v>
      </c>
      <c r="F129" t="str">
        <f>'mk 001 10.3'!F131</f>
        <v>489M</v>
      </c>
      <c r="G129" t="str">
        <f>'mk 001 10.3'!G131</f>
        <v>Modern Trade (Makro)</v>
      </c>
      <c r="H129">
        <f>'mk 001 10.3'!H131</f>
        <v>0</v>
      </c>
      <c r="I129" t="str">
        <f>'mk 001 10.3'!I131</f>
        <v>หน่วยงานกลาง</v>
      </c>
      <c r="J129" t="str">
        <f>'mk 001 10.3'!J131</f>
        <v>F213  DMCW-รชล-พระพุทธบาท</v>
      </c>
      <c r="K129" t="str">
        <f>'mk 001 10.3'!K131</f>
        <v>00000  หน่วยงานกลาง</v>
      </c>
      <c r="L129">
        <f>'mk 001 10.3'!L131</f>
        <v>923</v>
      </c>
      <c r="M129">
        <f>'mk 001 10.3'!M131</f>
        <v>0</v>
      </c>
      <c r="Q129" s="13" t="str">
        <f>IF(แปลงข้อมูล!P130,แปลงข้อมูล!H130,"")</f>
        <v/>
      </c>
      <c r="R129" s="1">
        <f>'mk 001 10.3'!R131</f>
        <v>244658</v>
      </c>
      <c r="S129" s="1" t="str">
        <f>'mk 001 10.3'!S131</f>
        <v>14/5/2569</v>
      </c>
      <c r="U129" s="13" t="str">
        <f>IF(แปลงข้อมูล!P130,แปลงข้อมูล!I130,"")</f>
        <v/>
      </c>
      <c r="V129" s="13" t="str">
        <f>IF(แปลงข้อมูล!P130,แปลงข้อมูล!J130,"")</f>
        <v/>
      </c>
      <c r="Y129" s="13" t="str">
        <f>_xlfn.XLOOKUP(V129,'mk 001 10.3'!V:V,'mk 001 10.3'!Y:Y,"")</f>
        <v/>
      </c>
      <c r="Z129" s="13" t="str">
        <f>IF(แปลงข้อมูล!P130,แปลงข้อมูล!N130,"")</f>
        <v/>
      </c>
      <c r="BL129" t="str">
        <f>'mk 001 10.3'!BL131</f>
        <v>SYSBATCH</v>
      </c>
      <c r="BM129">
        <f>'mk 001 10.3'!BM131</f>
        <v>0</v>
      </c>
      <c r="BN129">
        <f>'mk 001 10.3'!BN131</f>
        <v>0</v>
      </c>
    </row>
    <row r="130" spans="1:66" x14ac:dyDescent="0.35">
      <c r="A130">
        <f>'mk 001 10.3'!A132</f>
        <v>0</v>
      </c>
      <c r="B130">
        <f>'mk 001 10.3'!B132</f>
        <v>0</v>
      </c>
      <c r="C130" s="1" t="str">
        <f>'mk 001 10.3'!C132</f>
        <v>14/5/2569</v>
      </c>
      <c r="D130" s="1" t="str">
        <f>'mk 001 10.3'!D132</f>
        <v>14/5/2569</v>
      </c>
      <c r="E130">
        <f>'mk 001 10.3'!E132</f>
        <v>0</v>
      </c>
      <c r="F130" t="str">
        <f>'mk 001 10.3'!F132</f>
        <v>489M</v>
      </c>
      <c r="G130" t="str">
        <f>'mk 001 10.3'!G132</f>
        <v>Modern Trade (Makro)</v>
      </c>
      <c r="H130">
        <f>'mk 001 10.3'!H132</f>
        <v>0</v>
      </c>
      <c r="I130" t="str">
        <f>'mk 001 10.3'!I132</f>
        <v>หน่วยงานกลาง</v>
      </c>
      <c r="J130" t="str">
        <f>'mk 001 10.3'!J132</f>
        <v>F213  DMCW-รชล-พระพุทธบาท</v>
      </c>
      <c r="K130" t="str">
        <f>'mk 001 10.3'!K132</f>
        <v>00000  หน่วยงานกลาง</v>
      </c>
      <c r="L130">
        <f>'mk 001 10.3'!L132</f>
        <v>923</v>
      </c>
      <c r="M130">
        <f>'mk 001 10.3'!M132</f>
        <v>0</v>
      </c>
      <c r="Q130" s="13" t="str">
        <f>IF(แปลงข้อมูล!P131,แปลงข้อมูล!H131,"")</f>
        <v/>
      </c>
      <c r="R130" s="1">
        <f>'mk 001 10.3'!R132</f>
        <v>244658</v>
      </c>
      <c r="S130" s="1" t="str">
        <f>'mk 001 10.3'!S132</f>
        <v>14/5/2569</v>
      </c>
      <c r="U130" s="13" t="str">
        <f>IF(แปลงข้อมูล!P131,แปลงข้อมูล!I131,"")</f>
        <v/>
      </c>
      <c r="V130" s="13" t="str">
        <f>IF(แปลงข้อมูล!P131,แปลงข้อมูล!J131,"")</f>
        <v/>
      </c>
      <c r="Y130" s="13" t="str">
        <f>_xlfn.XLOOKUP(V130,'mk 001 10.3'!V:V,'mk 001 10.3'!Y:Y,"")</f>
        <v/>
      </c>
      <c r="Z130" s="13" t="str">
        <f>IF(แปลงข้อมูล!P131,แปลงข้อมูล!N131,"")</f>
        <v/>
      </c>
      <c r="BL130" t="str">
        <f>'mk 001 10.3'!BL132</f>
        <v>SYSBATCH</v>
      </c>
      <c r="BM130">
        <f>'mk 001 10.3'!BM132</f>
        <v>0</v>
      </c>
      <c r="BN130">
        <f>'mk 001 10.3'!BN132</f>
        <v>0</v>
      </c>
    </row>
    <row r="131" spans="1:66" x14ac:dyDescent="0.35">
      <c r="A131">
        <f>'mk 001 10.3'!A133</f>
        <v>0</v>
      </c>
      <c r="B131">
        <f>'mk 001 10.3'!B133</f>
        <v>0</v>
      </c>
      <c r="C131" s="1" t="str">
        <f>'mk 001 10.3'!C133</f>
        <v>14/5/2569</v>
      </c>
      <c r="D131" s="1" t="str">
        <f>'mk 001 10.3'!D133</f>
        <v>14/5/2569</v>
      </c>
      <c r="E131">
        <f>'mk 001 10.3'!E133</f>
        <v>0</v>
      </c>
      <c r="F131" t="str">
        <f>'mk 001 10.3'!F133</f>
        <v>489M</v>
      </c>
      <c r="G131" t="str">
        <f>'mk 001 10.3'!G133</f>
        <v>Modern Trade (Makro)</v>
      </c>
      <c r="H131">
        <f>'mk 001 10.3'!H133</f>
        <v>0</v>
      </c>
      <c r="I131" t="str">
        <f>'mk 001 10.3'!I133</f>
        <v>หน่วยงานกลาง</v>
      </c>
      <c r="J131" t="str">
        <f>'mk 001 10.3'!J133</f>
        <v>F213  DMCW-รชล-พระพุทธบาท</v>
      </c>
      <c r="K131" t="str">
        <f>'mk 001 10.3'!K133</f>
        <v>00000  หน่วยงานกลาง</v>
      </c>
      <c r="L131">
        <f>'mk 001 10.3'!L133</f>
        <v>923</v>
      </c>
      <c r="M131">
        <f>'mk 001 10.3'!M133</f>
        <v>0</v>
      </c>
      <c r="Q131" s="13" t="str">
        <f>IF(แปลงข้อมูล!P132,แปลงข้อมูล!H132,"")</f>
        <v/>
      </c>
      <c r="R131" s="1">
        <f>'mk 001 10.3'!R133</f>
        <v>244658</v>
      </c>
      <c r="S131" s="1" t="str">
        <f>'mk 001 10.3'!S133</f>
        <v>14/5/2569</v>
      </c>
      <c r="U131" s="13" t="str">
        <f>IF(แปลงข้อมูล!P132,แปลงข้อมูล!I132,"")</f>
        <v/>
      </c>
      <c r="V131" s="13" t="str">
        <f>IF(แปลงข้อมูล!P132,แปลงข้อมูล!J132,"")</f>
        <v/>
      </c>
      <c r="Y131" s="13" t="str">
        <f>_xlfn.XLOOKUP(V131,'mk 001 10.3'!V:V,'mk 001 10.3'!Y:Y,"")</f>
        <v/>
      </c>
      <c r="Z131" s="13" t="str">
        <f>IF(แปลงข้อมูล!P132,แปลงข้อมูล!N132,"")</f>
        <v/>
      </c>
      <c r="BL131" t="str">
        <f>'mk 001 10.3'!BL133</f>
        <v>SYSBATCH</v>
      </c>
      <c r="BM131">
        <f>'mk 001 10.3'!BM133</f>
        <v>0</v>
      </c>
      <c r="BN131">
        <f>'mk 001 10.3'!BN133</f>
        <v>0</v>
      </c>
    </row>
    <row r="132" spans="1:66" x14ac:dyDescent="0.35">
      <c r="A132">
        <f>'mk 001 10.3'!A134</f>
        <v>0</v>
      </c>
      <c r="B132">
        <f>'mk 001 10.3'!B134</f>
        <v>0</v>
      </c>
      <c r="C132" s="1" t="str">
        <f>'mk 001 10.3'!C134</f>
        <v>14/5/2569</v>
      </c>
      <c r="D132" s="1" t="str">
        <f>'mk 001 10.3'!D134</f>
        <v>14/5/2569</v>
      </c>
      <c r="E132">
        <f>'mk 001 10.3'!E134</f>
        <v>0</v>
      </c>
      <c r="F132" t="str">
        <f>'mk 001 10.3'!F134</f>
        <v>489M</v>
      </c>
      <c r="G132" t="str">
        <f>'mk 001 10.3'!G134</f>
        <v>Modern Trade (Makro)</v>
      </c>
      <c r="H132">
        <f>'mk 001 10.3'!H134</f>
        <v>0</v>
      </c>
      <c r="I132" t="str">
        <f>'mk 001 10.3'!I134</f>
        <v>หน่วยงานกลาง</v>
      </c>
      <c r="J132" t="str">
        <f>'mk 001 10.3'!J134</f>
        <v>F213  DMCW-รชล-พระพุทธบาท</v>
      </c>
      <c r="K132" t="str">
        <f>'mk 001 10.3'!K134</f>
        <v>00000  หน่วยงานกลาง</v>
      </c>
      <c r="L132">
        <f>'mk 001 10.3'!L134</f>
        <v>923</v>
      </c>
      <c r="M132">
        <f>'mk 001 10.3'!M134</f>
        <v>0</v>
      </c>
      <c r="Q132" s="13" t="str">
        <f>IF(แปลงข้อมูล!P133,แปลงข้อมูล!H133,"")</f>
        <v/>
      </c>
      <c r="R132" s="1">
        <f>'mk 001 10.3'!R134</f>
        <v>244658</v>
      </c>
      <c r="S132" s="1" t="str">
        <f>'mk 001 10.3'!S134</f>
        <v>14/5/2569</v>
      </c>
      <c r="U132" s="13" t="str">
        <f>IF(แปลงข้อมูล!P133,แปลงข้อมูล!I133,"")</f>
        <v/>
      </c>
      <c r="V132" s="13" t="str">
        <f>IF(แปลงข้อมูล!P133,แปลงข้อมูล!J133,"")</f>
        <v/>
      </c>
      <c r="Y132" s="13" t="str">
        <f>_xlfn.XLOOKUP(V132,'mk 001 10.3'!V:V,'mk 001 10.3'!Y:Y,"")</f>
        <v/>
      </c>
      <c r="Z132" s="13" t="str">
        <f>IF(แปลงข้อมูล!P133,แปลงข้อมูล!N133,"")</f>
        <v/>
      </c>
      <c r="BL132" t="str">
        <f>'mk 001 10.3'!BL134</f>
        <v>SYSBATCH</v>
      </c>
      <c r="BM132">
        <f>'mk 001 10.3'!BM134</f>
        <v>0</v>
      </c>
      <c r="BN132">
        <f>'mk 001 10.3'!BN134</f>
        <v>0</v>
      </c>
    </row>
    <row r="133" spans="1:66" x14ac:dyDescent="0.35">
      <c r="A133">
        <f>'mk 001 10.3'!A135</f>
        <v>0</v>
      </c>
      <c r="B133">
        <f>'mk 001 10.3'!B135</f>
        <v>0</v>
      </c>
      <c r="C133" s="1" t="str">
        <f>'mk 001 10.3'!C135</f>
        <v>14/5/2569</v>
      </c>
      <c r="D133" s="1" t="str">
        <f>'mk 001 10.3'!D135</f>
        <v>14/5/2569</v>
      </c>
      <c r="E133">
        <f>'mk 001 10.3'!E135</f>
        <v>0</v>
      </c>
      <c r="F133" t="str">
        <f>'mk 001 10.3'!F135</f>
        <v>489M</v>
      </c>
      <c r="G133" t="str">
        <f>'mk 001 10.3'!G135</f>
        <v>Modern Trade (Makro)</v>
      </c>
      <c r="H133">
        <f>'mk 001 10.3'!H135</f>
        <v>0</v>
      </c>
      <c r="I133" t="str">
        <f>'mk 001 10.3'!I135</f>
        <v>หน่วยงานกลาง</v>
      </c>
      <c r="J133" t="str">
        <f>'mk 001 10.3'!J135</f>
        <v>F213  DMCW-รชล-พระพุทธบาท</v>
      </c>
      <c r="K133" t="str">
        <f>'mk 001 10.3'!K135</f>
        <v>00000  หน่วยงานกลาง</v>
      </c>
      <c r="L133">
        <f>'mk 001 10.3'!L135</f>
        <v>923</v>
      </c>
      <c r="M133">
        <f>'mk 001 10.3'!M135</f>
        <v>0</v>
      </c>
      <c r="Q133" s="13" t="str">
        <f>IF(แปลงข้อมูล!P134,แปลงข้อมูล!H134,"")</f>
        <v/>
      </c>
      <c r="R133" s="1">
        <f>'mk 001 10.3'!R135</f>
        <v>244658</v>
      </c>
      <c r="S133" s="1" t="str">
        <f>'mk 001 10.3'!S135</f>
        <v>14/5/2569</v>
      </c>
      <c r="U133" s="13" t="str">
        <f>IF(แปลงข้อมูล!P134,แปลงข้อมูล!I134,"")</f>
        <v/>
      </c>
      <c r="V133" s="13" t="str">
        <f>IF(แปลงข้อมูล!P134,แปลงข้อมูล!J134,"")</f>
        <v/>
      </c>
      <c r="Y133" s="13" t="str">
        <f>_xlfn.XLOOKUP(V133,'mk 001 10.3'!V:V,'mk 001 10.3'!Y:Y,"")</f>
        <v/>
      </c>
      <c r="Z133" s="13" t="str">
        <f>IF(แปลงข้อมูล!P134,แปลงข้อมูล!N134,"")</f>
        <v/>
      </c>
      <c r="BL133" t="str">
        <f>'mk 001 10.3'!BL135</f>
        <v>SYSBATCH</v>
      </c>
      <c r="BM133">
        <f>'mk 001 10.3'!BM135</f>
        <v>0</v>
      </c>
      <c r="BN133">
        <f>'mk 001 10.3'!BN135</f>
        <v>0</v>
      </c>
    </row>
    <row r="134" spans="1:66" x14ac:dyDescent="0.35">
      <c r="A134">
        <f>'mk 001 10.3'!A136</f>
        <v>0</v>
      </c>
      <c r="B134">
        <f>'mk 001 10.3'!B136</f>
        <v>0</v>
      </c>
      <c r="C134" s="1" t="str">
        <f>'mk 001 10.3'!C136</f>
        <v>14/5/2569</v>
      </c>
      <c r="D134" s="1" t="str">
        <f>'mk 001 10.3'!D136</f>
        <v>14/5/2569</v>
      </c>
      <c r="E134">
        <f>'mk 001 10.3'!E136</f>
        <v>0</v>
      </c>
      <c r="F134" t="str">
        <f>'mk 001 10.3'!F136</f>
        <v>489M</v>
      </c>
      <c r="G134" t="str">
        <f>'mk 001 10.3'!G136</f>
        <v>Modern Trade (Makro)</v>
      </c>
      <c r="H134">
        <f>'mk 001 10.3'!H136</f>
        <v>0</v>
      </c>
      <c r="I134" t="str">
        <f>'mk 001 10.3'!I136</f>
        <v>หน่วยงานกลาง</v>
      </c>
      <c r="J134" t="str">
        <f>'mk 001 10.3'!J136</f>
        <v>F213  DMCW-รชล-พระพุทธบาท</v>
      </c>
      <c r="K134" t="str">
        <f>'mk 001 10.3'!K136</f>
        <v>00000  หน่วยงานกลาง</v>
      </c>
      <c r="L134">
        <f>'mk 001 10.3'!L136</f>
        <v>923</v>
      </c>
      <c r="M134">
        <f>'mk 001 10.3'!M136</f>
        <v>0</v>
      </c>
      <c r="Q134" s="13" t="str">
        <f>IF(แปลงข้อมูล!P135,แปลงข้อมูล!H135,"")</f>
        <v/>
      </c>
      <c r="R134" s="1">
        <f>'mk 001 10.3'!R136</f>
        <v>244658</v>
      </c>
      <c r="S134" s="1" t="str">
        <f>'mk 001 10.3'!S136</f>
        <v>14/5/2569</v>
      </c>
      <c r="U134" s="13" t="str">
        <f>IF(แปลงข้อมูล!P135,แปลงข้อมูล!I135,"")</f>
        <v/>
      </c>
      <c r="V134" s="13" t="str">
        <f>IF(แปลงข้อมูล!P135,แปลงข้อมูล!J135,"")</f>
        <v/>
      </c>
      <c r="Y134" s="13" t="str">
        <f>_xlfn.XLOOKUP(V134,'mk 001 10.3'!V:V,'mk 001 10.3'!Y:Y,"")</f>
        <v/>
      </c>
      <c r="Z134" s="13" t="str">
        <f>IF(แปลงข้อมูล!P135,แปลงข้อมูล!N135,"")</f>
        <v/>
      </c>
      <c r="BL134" t="str">
        <f>'mk 001 10.3'!BL136</f>
        <v>SYSBATCH</v>
      </c>
      <c r="BM134">
        <f>'mk 001 10.3'!BM136</f>
        <v>0</v>
      </c>
      <c r="BN134">
        <f>'mk 001 10.3'!BN136</f>
        <v>0</v>
      </c>
    </row>
    <row r="135" spans="1:66" x14ac:dyDescent="0.35">
      <c r="A135">
        <f>'mk 001 10.3'!A137</f>
        <v>0</v>
      </c>
      <c r="B135">
        <f>'mk 001 10.3'!B137</f>
        <v>0</v>
      </c>
      <c r="C135" s="1" t="str">
        <f>'mk 001 10.3'!C137</f>
        <v>14/5/2569</v>
      </c>
      <c r="D135" s="1" t="str">
        <f>'mk 001 10.3'!D137</f>
        <v>14/5/2569</v>
      </c>
      <c r="E135">
        <f>'mk 001 10.3'!E137</f>
        <v>0</v>
      </c>
      <c r="F135" t="str">
        <f>'mk 001 10.3'!F137</f>
        <v>489M</v>
      </c>
      <c r="G135" t="str">
        <f>'mk 001 10.3'!G137</f>
        <v>Modern Trade (Makro)</v>
      </c>
      <c r="H135">
        <f>'mk 001 10.3'!H137</f>
        <v>0</v>
      </c>
      <c r="I135" t="str">
        <f>'mk 001 10.3'!I137</f>
        <v>หน่วยงานกลาง</v>
      </c>
      <c r="J135" t="str">
        <f>'mk 001 10.3'!J137</f>
        <v>F213  DMCW-รชล-พระพุทธบาท</v>
      </c>
      <c r="K135" t="str">
        <f>'mk 001 10.3'!K137</f>
        <v>00000  หน่วยงานกลาง</v>
      </c>
      <c r="L135">
        <f>'mk 001 10.3'!L137</f>
        <v>923</v>
      </c>
      <c r="M135">
        <f>'mk 001 10.3'!M137</f>
        <v>0</v>
      </c>
      <c r="Q135" s="13" t="str">
        <f>IF(แปลงข้อมูล!P136,แปลงข้อมูล!H136,"")</f>
        <v/>
      </c>
      <c r="R135" s="1">
        <f>'mk 001 10.3'!R137</f>
        <v>244658</v>
      </c>
      <c r="S135" s="1" t="str">
        <f>'mk 001 10.3'!S137</f>
        <v>14/5/2569</v>
      </c>
      <c r="U135" s="13" t="str">
        <f>IF(แปลงข้อมูล!P136,แปลงข้อมูล!I136,"")</f>
        <v/>
      </c>
      <c r="V135" s="13" t="str">
        <f>IF(แปลงข้อมูล!P136,แปลงข้อมูล!J136,"")</f>
        <v/>
      </c>
      <c r="Y135" s="13" t="str">
        <f>_xlfn.XLOOKUP(V135,'mk 001 10.3'!V:V,'mk 001 10.3'!Y:Y,"")</f>
        <v/>
      </c>
      <c r="Z135" s="13" t="str">
        <f>IF(แปลงข้อมูล!P136,แปลงข้อมูล!N136,"")</f>
        <v/>
      </c>
      <c r="BL135" t="str">
        <f>'mk 001 10.3'!BL137</f>
        <v>SYSBATCH</v>
      </c>
      <c r="BM135">
        <f>'mk 001 10.3'!BM137</f>
        <v>0</v>
      </c>
      <c r="BN135">
        <f>'mk 001 10.3'!BN137</f>
        <v>0</v>
      </c>
    </row>
    <row r="136" spans="1:66" x14ac:dyDescent="0.35">
      <c r="A136">
        <f>'mk 001 10.3'!A138</f>
        <v>0</v>
      </c>
      <c r="B136">
        <f>'mk 001 10.3'!B138</f>
        <v>0</v>
      </c>
      <c r="C136" s="1" t="str">
        <f>'mk 001 10.3'!C138</f>
        <v>14/5/2569</v>
      </c>
      <c r="D136" s="1" t="str">
        <f>'mk 001 10.3'!D138</f>
        <v>14/5/2569</v>
      </c>
      <c r="E136">
        <f>'mk 001 10.3'!E138</f>
        <v>0</v>
      </c>
      <c r="F136" t="str">
        <f>'mk 001 10.3'!F138</f>
        <v>489M</v>
      </c>
      <c r="G136" t="str">
        <f>'mk 001 10.3'!G138</f>
        <v>Modern Trade (Makro)</v>
      </c>
      <c r="H136">
        <f>'mk 001 10.3'!H138</f>
        <v>0</v>
      </c>
      <c r="I136" t="str">
        <f>'mk 001 10.3'!I138</f>
        <v>หน่วยงานกลาง</v>
      </c>
      <c r="J136" t="str">
        <f>'mk 001 10.3'!J138</f>
        <v>F213  DMCW-รชล-พระพุทธบาท</v>
      </c>
      <c r="K136" t="str">
        <f>'mk 001 10.3'!K138</f>
        <v>00000  หน่วยงานกลาง</v>
      </c>
      <c r="L136">
        <f>'mk 001 10.3'!L138</f>
        <v>923</v>
      </c>
      <c r="M136">
        <f>'mk 001 10.3'!M138</f>
        <v>0</v>
      </c>
      <c r="Q136" s="13" t="str">
        <f>IF(แปลงข้อมูล!P137,แปลงข้อมูล!H137,"")</f>
        <v/>
      </c>
      <c r="R136" s="1">
        <f>'mk 001 10.3'!R138</f>
        <v>244658</v>
      </c>
      <c r="S136" s="1" t="str">
        <f>'mk 001 10.3'!S138</f>
        <v>14/5/2569</v>
      </c>
      <c r="U136" s="13" t="str">
        <f>IF(แปลงข้อมูล!P137,แปลงข้อมูล!I137,"")</f>
        <v/>
      </c>
      <c r="V136" s="13" t="str">
        <f>IF(แปลงข้อมูล!P137,แปลงข้อมูล!J137,"")</f>
        <v/>
      </c>
      <c r="Y136" s="13" t="str">
        <f>_xlfn.XLOOKUP(V136,'mk 001 10.3'!V:V,'mk 001 10.3'!Y:Y,"")</f>
        <v/>
      </c>
      <c r="Z136" s="13" t="str">
        <f>IF(แปลงข้อมูล!P137,แปลงข้อมูล!N137,"")</f>
        <v/>
      </c>
      <c r="BL136" t="str">
        <f>'mk 001 10.3'!BL138</f>
        <v>SYSBATCH</v>
      </c>
      <c r="BM136">
        <f>'mk 001 10.3'!BM138</f>
        <v>0</v>
      </c>
      <c r="BN136">
        <f>'mk 001 10.3'!BN138</f>
        <v>0</v>
      </c>
    </row>
    <row r="137" spans="1:66" x14ac:dyDescent="0.35">
      <c r="A137">
        <f>'mk 001 10.3'!A139</f>
        <v>0</v>
      </c>
      <c r="B137">
        <f>'mk 001 10.3'!B139</f>
        <v>0</v>
      </c>
      <c r="C137" s="1" t="str">
        <f>'mk 001 10.3'!C139</f>
        <v>14/5/2569</v>
      </c>
      <c r="D137" s="1" t="str">
        <f>'mk 001 10.3'!D139</f>
        <v>14/5/2569</v>
      </c>
      <c r="E137">
        <f>'mk 001 10.3'!E139</f>
        <v>0</v>
      </c>
      <c r="F137" t="str">
        <f>'mk 001 10.3'!F139</f>
        <v>489M</v>
      </c>
      <c r="G137" t="str">
        <f>'mk 001 10.3'!G139</f>
        <v>Modern Trade (Makro)</v>
      </c>
      <c r="H137">
        <f>'mk 001 10.3'!H139</f>
        <v>0</v>
      </c>
      <c r="I137" t="str">
        <f>'mk 001 10.3'!I139</f>
        <v>หน่วยงานกลาง</v>
      </c>
      <c r="J137" t="str">
        <f>'mk 001 10.3'!J139</f>
        <v>F213  DMCW-รชล-พระพุทธบาท</v>
      </c>
      <c r="K137" t="str">
        <f>'mk 001 10.3'!K139</f>
        <v>00000  หน่วยงานกลาง</v>
      </c>
      <c r="L137">
        <f>'mk 001 10.3'!L139</f>
        <v>923</v>
      </c>
      <c r="M137">
        <f>'mk 001 10.3'!M139</f>
        <v>0</v>
      </c>
      <c r="Q137" s="13" t="str">
        <f>IF(แปลงข้อมูล!P138,แปลงข้อมูล!H138,"")</f>
        <v/>
      </c>
      <c r="R137" s="1">
        <f>'mk 001 10.3'!R139</f>
        <v>244658</v>
      </c>
      <c r="S137" s="1" t="str">
        <f>'mk 001 10.3'!S139</f>
        <v>14/5/2569</v>
      </c>
      <c r="U137" s="13" t="str">
        <f>IF(แปลงข้อมูล!P138,แปลงข้อมูล!I138,"")</f>
        <v/>
      </c>
      <c r="V137" s="13" t="str">
        <f>IF(แปลงข้อมูล!P138,แปลงข้อมูล!J138,"")</f>
        <v/>
      </c>
      <c r="Y137" s="13" t="str">
        <f>_xlfn.XLOOKUP(V137,'mk 001 10.3'!V:V,'mk 001 10.3'!Y:Y,"")</f>
        <v/>
      </c>
      <c r="Z137" s="13" t="str">
        <f>IF(แปลงข้อมูล!P138,แปลงข้อมูล!N138,"")</f>
        <v/>
      </c>
      <c r="BL137" t="str">
        <f>'mk 001 10.3'!BL139</f>
        <v>SYSBATCH</v>
      </c>
      <c r="BM137">
        <f>'mk 001 10.3'!BM139</f>
        <v>0</v>
      </c>
      <c r="BN137">
        <f>'mk 001 10.3'!BN139</f>
        <v>0</v>
      </c>
    </row>
    <row r="138" spans="1:66" x14ac:dyDescent="0.35">
      <c r="A138">
        <f>'mk 001 10.3'!A140</f>
        <v>0</v>
      </c>
      <c r="B138">
        <f>'mk 001 10.3'!B140</f>
        <v>0</v>
      </c>
      <c r="C138" s="1" t="str">
        <f>'mk 001 10.3'!C140</f>
        <v>14/5/2569</v>
      </c>
      <c r="D138" s="1" t="str">
        <f>'mk 001 10.3'!D140</f>
        <v>14/5/2569</v>
      </c>
      <c r="E138">
        <f>'mk 001 10.3'!E140</f>
        <v>0</v>
      </c>
      <c r="F138" t="str">
        <f>'mk 001 10.3'!F140</f>
        <v>489M</v>
      </c>
      <c r="G138" t="str">
        <f>'mk 001 10.3'!G140</f>
        <v>Modern Trade (Makro)</v>
      </c>
      <c r="H138">
        <f>'mk 001 10.3'!H140</f>
        <v>0</v>
      </c>
      <c r="I138" t="str">
        <f>'mk 001 10.3'!I140</f>
        <v>หน่วยงานกลาง</v>
      </c>
      <c r="J138" t="str">
        <f>'mk 001 10.3'!J140</f>
        <v>F213  DMCW-รชล-พระพุทธบาท</v>
      </c>
      <c r="K138" t="str">
        <f>'mk 001 10.3'!K140</f>
        <v>00000  หน่วยงานกลาง</v>
      </c>
      <c r="L138">
        <f>'mk 001 10.3'!L140</f>
        <v>923</v>
      </c>
      <c r="M138">
        <f>'mk 001 10.3'!M140</f>
        <v>0</v>
      </c>
      <c r="Q138" s="13" t="str">
        <f>IF(แปลงข้อมูล!P139,แปลงข้อมูล!H139,"")</f>
        <v/>
      </c>
      <c r="R138" s="1">
        <f>'mk 001 10.3'!R140</f>
        <v>244658</v>
      </c>
      <c r="S138" s="1" t="str">
        <f>'mk 001 10.3'!S140</f>
        <v>14/5/2569</v>
      </c>
      <c r="U138" s="13" t="str">
        <f>IF(แปลงข้อมูล!P139,แปลงข้อมูล!I139,"")</f>
        <v/>
      </c>
      <c r="V138" s="13" t="str">
        <f>IF(แปลงข้อมูล!P139,แปลงข้อมูล!J139,"")</f>
        <v/>
      </c>
      <c r="Y138" s="13" t="str">
        <f>_xlfn.XLOOKUP(V138,'mk 001 10.3'!V:V,'mk 001 10.3'!Y:Y,"")</f>
        <v/>
      </c>
      <c r="Z138" s="13" t="str">
        <f>IF(แปลงข้อมูล!P139,แปลงข้อมูล!N139,"")</f>
        <v/>
      </c>
      <c r="BL138" t="str">
        <f>'mk 001 10.3'!BL140</f>
        <v>SYSBATCH</v>
      </c>
      <c r="BM138">
        <f>'mk 001 10.3'!BM140</f>
        <v>0</v>
      </c>
      <c r="BN138">
        <f>'mk 001 10.3'!BN140</f>
        <v>0</v>
      </c>
    </row>
    <row r="139" spans="1:66" x14ac:dyDescent="0.35">
      <c r="A139">
        <f>'mk 001 10.3'!A141</f>
        <v>0</v>
      </c>
      <c r="B139">
        <f>'mk 001 10.3'!B141</f>
        <v>0</v>
      </c>
      <c r="C139" s="1" t="str">
        <f>'mk 001 10.3'!C141</f>
        <v>14/5/2569</v>
      </c>
      <c r="D139" s="1" t="str">
        <f>'mk 001 10.3'!D141</f>
        <v>14/5/2569</v>
      </c>
      <c r="E139">
        <f>'mk 001 10.3'!E141</f>
        <v>0</v>
      </c>
      <c r="F139" t="str">
        <f>'mk 001 10.3'!F141</f>
        <v>489M</v>
      </c>
      <c r="G139" t="str">
        <f>'mk 001 10.3'!G141</f>
        <v>Modern Trade (Makro)</v>
      </c>
      <c r="H139">
        <f>'mk 001 10.3'!H141</f>
        <v>0</v>
      </c>
      <c r="I139" t="str">
        <f>'mk 001 10.3'!I141</f>
        <v>หน่วยงานกลาง</v>
      </c>
      <c r="J139" t="str">
        <f>'mk 001 10.3'!J141</f>
        <v>F213  DMCW-รชล-พระพุทธบาท</v>
      </c>
      <c r="K139" t="str">
        <f>'mk 001 10.3'!K141</f>
        <v>00000  หน่วยงานกลาง</v>
      </c>
      <c r="L139">
        <f>'mk 001 10.3'!L141</f>
        <v>923</v>
      </c>
      <c r="M139">
        <f>'mk 001 10.3'!M141</f>
        <v>0</v>
      </c>
      <c r="Q139" s="13" t="str">
        <f>IF(แปลงข้อมูล!P140,แปลงข้อมูล!H140,"")</f>
        <v/>
      </c>
      <c r="R139" s="1">
        <f>'mk 001 10.3'!R141</f>
        <v>244658</v>
      </c>
      <c r="S139" s="1" t="str">
        <f>'mk 001 10.3'!S141</f>
        <v>14/5/2569</v>
      </c>
      <c r="U139" s="13" t="str">
        <f>IF(แปลงข้อมูล!P140,แปลงข้อมูล!I140,"")</f>
        <v/>
      </c>
      <c r="V139" s="13" t="str">
        <f>IF(แปลงข้อมูล!P140,แปลงข้อมูล!J140,"")</f>
        <v/>
      </c>
      <c r="Y139" s="13" t="str">
        <f>_xlfn.XLOOKUP(V139,'mk 001 10.3'!V:V,'mk 001 10.3'!Y:Y,"")</f>
        <v/>
      </c>
      <c r="Z139" s="13" t="str">
        <f>IF(แปลงข้อมูล!P140,แปลงข้อมูล!N140,"")</f>
        <v/>
      </c>
      <c r="BL139" t="str">
        <f>'mk 001 10.3'!BL141</f>
        <v>SYSBATCH</v>
      </c>
      <c r="BM139">
        <f>'mk 001 10.3'!BM141</f>
        <v>0</v>
      </c>
      <c r="BN139">
        <f>'mk 001 10.3'!BN141</f>
        <v>0</v>
      </c>
    </row>
    <row r="140" spans="1:66" x14ac:dyDescent="0.35">
      <c r="A140">
        <f>'mk 001 10.3'!A142</f>
        <v>0</v>
      </c>
      <c r="B140">
        <f>'mk 001 10.3'!B142</f>
        <v>0</v>
      </c>
      <c r="C140" s="1" t="str">
        <f>'mk 001 10.3'!C142</f>
        <v>14/5/2569</v>
      </c>
      <c r="D140" s="1" t="str">
        <f>'mk 001 10.3'!D142</f>
        <v>14/5/2569</v>
      </c>
      <c r="E140">
        <f>'mk 001 10.3'!E142</f>
        <v>0</v>
      </c>
      <c r="F140" t="str">
        <f>'mk 001 10.3'!F142</f>
        <v>489M</v>
      </c>
      <c r="G140" t="str">
        <f>'mk 001 10.3'!G142</f>
        <v>Modern Trade (Makro)</v>
      </c>
      <c r="H140">
        <f>'mk 001 10.3'!H142</f>
        <v>0</v>
      </c>
      <c r="I140" t="str">
        <f>'mk 001 10.3'!I142</f>
        <v>หน่วยงานกลาง</v>
      </c>
      <c r="J140" t="str">
        <f>'mk 001 10.3'!J142</f>
        <v>F213  DMCW-รชล-พระพุทธบาท</v>
      </c>
      <c r="K140" t="str">
        <f>'mk 001 10.3'!K142</f>
        <v>00000  หน่วยงานกลาง</v>
      </c>
      <c r="L140">
        <f>'mk 001 10.3'!L142</f>
        <v>923</v>
      </c>
      <c r="M140">
        <f>'mk 001 10.3'!M142</f>
        <v>0</v>
      </c>
      <c r="Q140" s="13" t="str">
        <f>IF(แปลงข้อมูล!P141,แปลงข้อมูล!H141,"")</f>
        <v/>
      </c>
      <c r="R140" s="1">
        <f>'mk 001 10.3'!R142</f>
        <v>244658</v>
      </c>
      <c r="S140" s="1" t="str">
        <f>'mk 001 10.3'!S142</f>
        <v>14/5/2569</v>
      </c>
      <c r="U140" s="13" t="str">
        <f>IF(แปลงข้อมูล!P141,แปลงข้อมูล!I141,"")</f>
        <v/>
      </c>
      <c r="V140" s="13" t="str">
        <f>IF(แปลงข้อมูล!P141,แปลงข้อมูล!J141,"")</f>
        <v/>
      </c>
      <c r="Y140" s="13" t="str">
        <f>_xlfn.XLOOKUP(V140,'mk 001 10.3'!V:V,'mk 001 10.3'!Y:Y,"")</f>
        <v/>
      </c>
      <c r="Z140" s="13" t="str">
        <f>IF(แปลงข้อมูล!P141,แปลงข้อมูล!N141,"")</f>
        <v/>
      </c>
      <c r="BL140" t="str">
        <f>'mk 001 10.3'!BL142</f>
        <v>SYSBATCH</v>
      </c>
      <c r="BM140">
        <f>'mk 001 10.3'!BM142</f>
        <v>0</v>
      </c>
      <c r="BN140">
        <f>'mk 001 10.3'!BN142</f>
        <v>0</v>
      </c>
    </row>
    <row r="141" spans="1:66" x14ac:dyDescent="0.35">
      <c r="A141">
        <f>'mk 001 10.3'!A143</f>
        <v>0</v>
      </c>
      <c r="B141">
        <f>'mk 001 10.3'!B143</f>
        <v>0</v>
      </c>
      <c r="C141" s="1" t="str">
        <f>'mk 001 10.3'!C143</f>
        <v>14/5/2569</v>
      </c>
      <c r="D141" s="1" t="str">
        <f>'mk 001 10.3'!D143</f>
        <v>14/5/2569</v>
      </c>
      <c r="E141">
        <f>'mk 001 10.3'!E143</f>
        <v>0</v>
      </c>
      <c r="F141" t="str">
        <f>'mk 001 10.3'!F143</f>
        <v>489M</v>
      </c>
      <c r="G141" t="str">
        <f>'mk 001 10.3'!G143</f>
        <v>Modern Trade (Makro)</v>
      </c>
      <c r="H141">
        <f>'mk 001 10.3'!H143</f>
        <v>0</v>
      </c>
      <c r="I141" t="str">
        <f>'mk 001 10.3'!I143</f>
        <v>หน่วยงานกลาง</v>
      </c>
      <c r="J141" t="str">
        <f>'mk 001 10.3'!J143</f>
        <v>F213  DMCW-รชล-พระพุทธบาท</v>
      </c>
      <c r="K141" t="str">
        <f>'mk 001 10.3'!K143</f>
        <v>00000  หน่วยงานกลาง</v>
      </c>
      <c r="L141">
        <f>'mk 001 10.3'!L143</f>
        <v>923</v>
      </c>
      <c r="M141">
        <f>'mk 001 10.3'!M143</f>
        <v>0</v>
      </c>
      <c r="Q141" s="13" t="str">
        <f>IF(แปลงข้อมูล!P142,แปลงข้อมูล!H142,"")</f>
        <v/>
      </c>
      <c r="R141" s="1">
        <f>'mk 001 10.3'!R143</f>
        <v>244658</v>
      </c>
      <c r="S141" s="1" t="str">
        <f>'mk 001 10.3'!S143</f>
        <v>14/5/2569</v>
      </c>
      <c r="U141" s="13" t="str">
        <f>IF(แปลงข้อมูล!P142,แปลงข้อมูล!I142,"")</f>
        <v/>
      </c>
      <c r="V141" s="13" t="str">
        <f>IF(แปลงข้อมูล!P142,แปลงข้อมูล!J142,"")</f>
        <v/>
      </c>
      <c r="Y141" s="13" t="str">
        <f>_xlfn.XLOOKUP(V141,'mk 001 10.3'!V:V,'mk 001 10.3'!Y:Y,"")</f>
        <v/>
      </c>
      <c r="Z141" s="13" t="str">
        <f>IF(แปลงข้อมูล!P142,แปลงข้อมูล!N142,"")</f>
        <v/>
      </c>
      <c r="BL141" t="str">
        <f>'mk 001 10.3'!BL143</f>
        <v>SYSBATCH</v>
      </c>
      <c r="BM141">
        <f>'mk 001 10.3'!BM143</f>
        <v>0</v>
      </c>
      <c r="BN141">
        <f>'mk 001 10.3'!BN143</f>
        <v>0</v>
      </c>
    </row>
    <row r="142" spans="1:66" x14ac:dyDescent="0.35">
      <c r="A142">
        <f>'mk 001 10.3'!A144</f>
        <v>0</v>
      </c>
      <c r="B142">
        <f>'mk 001 10.3'!B144</f>
        <v>0</v>
      </c>
      <c r="C142" s="1" t="str">
        <f>'mk 001 10.3'!C144</f>
        <v>14/5/2569</v>
      </c>
      <c r="D142" s="1" t="str">
        <f>'mk 001 10.3'!D144</f>
        <v>14/5/2569</v>
      </c>
      <c r="E142">
        <f>'mk 001 10.3'!E144</f>
        <v>0</v>
      </c>
      <c r="F142" t="str">
        <f>'mk 001 10.3'!F144</f>
        <v>489M</v>
      </c>
      <c r="G142" t="str">
        <f>'mk 001 10.3'!G144</f>
        <v>Modern Trade (Makro)</v>
      </c>
      <c r="H142">
        <f>'mk 001 10.3'!H144</f>
        <v>0</v>
      </c>
      <c r="I142" t="str">
        <f>'mk 001 10.3'!I144</f>
        <v>หน่วยงานกลาง</v>
      </c>
      <c r="J142" t="str">
        <f>'mk 001 10.3'!J144</f>
        <v>F213  DMCW-รชล-พระพุทธบาท</v>
      </c>
      <c r="K142" t="str">
        <f>'mk 001 10.3'!K144</f>
        <v>00000  หน่วยงานกลาง</v>
      </c>
      <c r="L142">
        <f>'mk 001 10.3'!L144</f>
        <v>923</v>
      </c>
      <c r="M142">
        <f>'mk 001 10.3'!M144</f>
        <v>0</v>
      </c>
      <c r="Q142" s="13" t="str">
        <f>IF(แปลงข้อมูล!P143,แปลงข้อมูล!H143,"")</f>
        <v/>
      </c>
      <c r="R142" s="1">
        <f>'mk 001 10.3'!R144</f>
        <v>244658</v>
      </c>
      <c r="S142" s="1" t="str">
        <f>'mk 001 10.3'!S144</f>
        <v>14/5/2569</v>
      </c>
      <c r="U142" s="13" t="str">
        <f>IF(แปลงข้อมูล!P143,แปลงข้อมูล!I143,"")</f>
        <v/>
      </c>
      <c r="V142" s="13" t="str">
        <f>IF(แปลงข้อมูล!P143,แปลงข้อมูล!J143,"")</f>
        <v/>
      </c>
      <c r="Y142" s="13" t="str">
        <f>_xlfn.XLOOKUP(V142,'mk 001 10.3'!V:V,'mk 001 10.3'!Y:Y,"")</f>
        <v/>
      </c>
      <c r="Z142" s="13" t="str">
        <f>IF(แปลงข้อมูล!P143,แปลงข้อมูล!N143,"")</f>
        <v/>
      </c>
      <c r="BL142" t="str">
        <f>'mk 001 10.3'!BL144</f>
        <v>SYSBATCH</v>
      </c>
      <c r="BM142">
        <f>'mk 001 10.3'!BM144</f>
        <v>0</v>
      </c>
      <c r="BN142">
        <f>'mk 001 10.3'!BN144</f>
        <v>0</v>
      </c>
    </row>
    <row r="143" spans="1:66" x14ac:dyDescent="0.35">
      <c r="A143">
        <f>'mk 001 10.3'!A145</f>
        <v>0</v>
      </c>
      <c r="B143">
        <f>'mk 001 10.3'!B145</f>
        <v>0</v>
      </c>
      <c r="C143" s="1" t="str">
        <f>'mk 001 10.3'!C145</f>
        <v>14/5/2569</v>
      </c>
      <c r="D143" s="1" t="str">
        <f>'mk 001 10.3'!D145</f>
        <v>14/5/2569</v>
      </c>
      <c r="E143">
        <f>'mk 001 10.3'!E145</f>
        <v>0</v>
      </c>
      <c r="F143" t="str">
        <f>'mk 001 10.3'!F145</f>
        <v>489M</v>
      </c>
      <c r="G143" t="str">
        <f>'mk 001 10.3'!G145</f>
        <v>Modern Trade (Makro)</v>
      </c>
      <c r="H143">
        <f>'mk 001 10.3'!H145</f>
        <v>0</v>
      </c>
      <c r="I143" t="str">
        <f>'mk 001 10.3'!I145</f>
        <v>หน่วยงานกลาง</v>
      </c>
      <c r="J143" t="str">
        <f>'mk 001 10.3'!J145</f>
        <v>F213  DMCW-รชล-พระพุทธบาท</v>
      </c>
      <c r="K143" t="str">
        <f>'mk 001 10.3'!K145</f>
        <v>00000  หน่วยงานกลาง</v>
      </c>
      <c r="L143">
        <f>'mk 001 10.3'!L145</f>
        <v>923</v>
      </c>
      <c r="M143">
        <f>'mk 001 10.3'!M145</f>
        <v>0</v>
      </c>
      <c r="Q143" s="13" t="str">
        <f>IF(แปลงข้อมูล!P144,แปลงข้อมูล!H144,"")</f>
        <v/>
      </c>
      <c r="R143" s="1">
        <f>'mk 001 10.3'!R145</f>
        <v>244658</v>
      </c>
      <c r="S143" s="1" t="str">
        <f>'mk 001 10.3'!S145</f>
        <v>14/5/2569</v>
      </c>
      <c r="U143" s="13" t="str">
        <f>IF(แปลงข้อมูล!P144,แปลงข้อมูล!I144,"")</f>
        <v/>
      </c>
      <c r="V143" s="13" t="str">
        <f>IF(แปลงข้อมูล!P144,แปลงข้อมูล!J144,"")</f>
        <v/>
      </c>
      <c r="Y143" s="13" t="str">
        <f>_xlfn.XLOOKUP(V143,'mk 001 10.3'!V:V,'mk 001 10.3'!Y:Y,"")</f>
        <v/>
      </c>
      <c r="Z143" s="13" t="str">
        <f>IF(แปลงข้อมูล!P144,แปลงข้อมูล!N144,"")</f>
        <v/>
      </c>
      <c r="BL143" t="str">
        <f>'mk 001 10.3'!BL145</f>
        <v>SYSBATCH</v>
      </c>
      <c r="BM143">
        <f>'mk 001 10.3'!BM145</f>
        <v>0</v>
      </c>
      <c r="BN143">
        <f>'mk 001 10.3'!BN145</f>
        <v>0</v>
      </c>
    </row>
    <row r="144" spans="1:66" x14ac:dyDescent="0.35">
      <c r="A144">
        <f>'mk 001 10.3'!A146</f>
        <v>0</v>
      </c>
      <c r="B144">
        <f>'mk 001 10.3'!B146</f>
        <v>0</v>
      </c>
      <c r="C144" s="1" t="str">
        <f>'mk 001 10.3'!C146</f>
        <v>14/5/2569</v>
      </c>
      <c r="D144" s="1" t="str">
        <f>'mk 001 10.3'!D146</f>
        <v>14/5/2569</v>
      </c>
      <c r="E144">
        <f>'mk 001 10.3'!E146</f>
        <v>0</v>
      </c>
      <c r="F144" t="str">
        <f>'mk 001 10.3'!F146</f>
        <v>489M</v>
      </c>
      <c r="G144" t="str">
        <f>'mk 001 10.3'!G146</f>
        <v>Modern Trade (Makro)</v>
      </c>
      <c r="H144">
        <f>'mk 001 10.3'!H146</f>
        <v>0</v>
      </c>
      <c r="I144" t="str">
        <f>'mk 001 10.3'!I146</f>
        <v>หน่วยงานกลาง</v>
      </c>
      <c r="J144" t="str">
        <f>'mk 001 10.3'!J146</f>
        <v>F213  DMCW-รชล-พระพุทธบาท</v>
      </c>
      <c r="K144" t="str">
        <f>'mk 001 10.3'!K146</f>
        <v>00000  หน่วยงานกลาง</v>
      </c>
      <c r="L144">
        <f>'mk 001 10.3'!L146</f>
        <v>923</v>
      </c>
      <c r="M144">
        <f>'mk 001 10.3'!M146</f>
        <v>0</v>
      </c>
      <c r="Q144" s="13" t="str">
        <f>IF(แปลงข้อมูล!P145,แปลงข้อมูล!H145,"")</f>
        <v/>
      </c>
      <c r="R144" s="1">
        <f>'mk 001 10.3'!R146</f>
        <v>244658</v>
      </c>
      <c r="S144" s="1" t="str">
        <f>'mk 001 10.3'!S146</f>
        <v>14/5/2569</v>
      </c>
      <c r="U144" s="13" t="str">
        <f>IF(แปลงข้อมูล!P145,แปลงข้อมูล!I145,"")</f>
        <v/>
      </c>
      <c r="V144" s="13" t="str">
        <f>IF(แปลงข้อมูล!P145,แปลงข้อมูล!J145,"")</f>
        <v/>
      </c>
      <c r="Y144" s="13" t="str">
        <f>_xlfn.XLOOKUP(V144,'mk 001 10.3'!V:V,'mk 001 10.3'!Y:Y,"")</f>
        <v/>
      </c>
      <c r="Z144" s="13" t="str">
        <f>IF(แปลงข้อมูล!P145,แปลงข้อมูล!N145,"")</f>
        <v/>
      </c>
      <c r="BL144" t="str">
        <f>'mk 001 10.3'!BL146</f>
        <v>SYSBATCH</v>
      </c>
      <c r="BM144">
        <f>'mk 001 10.3'!BM146</f>
        <v>0</v>
      </c>
      <c r="BN144">
        <f>'mk 001 10.3'!BN146</f>
        <v>0</v>
      </c>
    </row>
    <row r="145" spans="1:66" x14ac:dyDescent="0.35">
      <c r="A145">
        <f>'mk 001 10.3'!A147</f>
        <v>0</v>
      </c>
      <c r="B145">
        <f>'mk 001 10.3'!B147</f>
        <v>0</v>
      </c>
      <c r="C145" s="1" t="str">
        <f>'mk 001 10.3'!C147</f>
        <v>14/5/2569</v>
      </c>
      <c r="D145" s="1" t="str">
        <f>'mk 001 10.3'!D147</f>
        <v>14/5/2569</v>
      </c>
      <c r="E145">
        <f>'mk 001 10.3'!E147</f>
        <v>0</v>
      </c>
      <c r="F145" t="str">
        <f>'mk 001 10.3'!F147</f>
        <v>489M</v>
      </c>
      <c r="G145" t="str">
        <f>'mk 001 10.3'!G147</f>
        <v>Modern Trade (Makro)</v>
      </c>
      <c r="H145">
        <f>'mk 001 10.3'!H147</f>
        <v>0</v>
      </c>
      <c r="I145" t="str">
        <f>'mk 001 10.3'!I147</f>
        <v>หน่วยงานกลาง</v>
      </c>
      <c r="J145" t="str">
        <f>'mk 001 10.3'!J147</f>
        <v>F213  DMCW-รชล-พระพุทธบาท</v>
      </c>
      <c r="K145" t="str">
        <f>'mk 001 10.3'!K147</f>
        <v>00000  หน่วยงานกลาง</v>
      </c>
      <c r="L145">
        <f>'mk 001 10.3'!L147</f>
        <v>923</v>
      </c>
      <c r="M145">
        <f>'mk 001 10.3'!M147</f>
        <v>0</v>
      </c>
      <c r="Q145" s="13" t="str">
        <f>IF(แปลงข้อมูล!P146,แปลงข้อมูล!H146,"")</f>
        <v/>
      </c>
      <c r="R145" s="1">
        <f>'mk 001 10.3'!R147</f>
        <v>244658</v>
      </c>
      <c r="S145" s="1" t="str">
        <f>'mk 001 10.3'!S147</f>
        <v>14/5/2569</v>
      </c>
      <c r="U145" s="13" t="str">
        <f>IF(แปลงข้อมูล!P146,แปลงข้อมูล!I146,"")</f>
        <v/>
      </c>
      <c r="V145" s="13" t="str">
        <f>IF(แปลงข้อมูล!P146,แปลงข้อมูล!J146,"")</f>
        <v/>
      </c>
      <c r="Y145" s="13" t="str">
        <f>_xlfn.XLOOKUP(V145,'mk 001 10.3'!V:V,'mk 001 10.3'!Y:Y,"")</f>
        <v/>
      </c>
      <c r="Z145" s="13" t="str">
        <f>IF(แปลงข้อมูล!P146,แปลงข้อมูล!N146,"")</f>
        <v/>
      </c>
      <c r="BL145" t="str">
        <f>'mk 001 10.3'!BL147</f>
        <v>SYSBATCH</v>
      </c>
      <c r="BM145">
        <f>'mk 001 10.3'!BM147</f>
        <v>0</v>
      </c>
      <c r="BN145">
        <f>'mk 001 10.3'!BN147</f>
        <v>0</v>
      </c>
    </row>
    <row r="146" spans="1:66" x14ac:dyDescent="0.35">
      <c r="A146">
        <f>'mk 001 10.3'!A148</f>
        <v>0</v>
      </c>
      <c r="B146">
        <f>'mk 001 10.3'!B148</f>
        <v>0</v>
      </c>
      <c r="C146" s="1" t="str">
        <f>'mk 001 10.3'!C148</f>
        <v>14/5/2569</v>
      </c>
      <c r="D146" s="1" t="str">
        <f>'mk 001 10.3'!D148</f>
        <v>14/5/2569</v>
      </c>
      <c r="E146">
        <f>'mk 001 10.3'!E148</f>
        <v>0</v>
      </c>
      <c r="F146" t="str">
        <f>'mk 001 10.3'!F148</f>
        <v>489M</v>
      </c>
      <c r="G146" t="str">
        <f>'mk 001 10.3'!G148</f>
        <v>Modern Trade (Makro)</v>
      </c>
      <c r="H146">
        <f>'mk 001 10.3'!H148</f>
        <v>0</v>
      </c>
      <c r="I146" t="str">
        <f>'mk 001 10.3'!I148</f>
        <v>หน่วยงานกลาง</v>
      </c>
      <c r="J146" t="str">
        <f>'mk 001 10.3'!J148</f>
        <v>F213  DMCW-รชล-พระพุทธบาท</v>
      </c>
      <c r="K146" t="str">
        <f>'mk 001 10.3'!K148</f>
        <v>00000  หน่วยงานกลาง</v>
      </c>
      <c r="L146">
        <f>'mk 001 10.3'!L148</f>
        <v>923</v>
      </c>
      <c r="M146">
        <f>'mk 001 10.3'!M148</f>
        <v>0</v>
      </c>
      <c r="Q146" s="13" t="str">
        <f>IF(แปลงข้อมูล!P147,แปลงข้อมูล!H147,"")</f>
        <v/>
      </c>
      <c r="R146" s="1">
        <f>'mk 001 10.3'!R148</f>
        <v>244658</v>
      </c>
      <c r="S146" s="1" t="str">
        <f>'mk 001 10.3'!S148</f>
        <v>14/5/2569</v>
      </c>
      <c r="U146" s="13" t="str">
        <f>IF(แปลงข้อมูล!P147,แปลงข้อมูล!I147,"")</f>
        <v/>
      </c>
      <c r="V146" s="13" t="str">
        <f>IF(แปลงข้อมูล!P147,แปลงข้อมูล!J147,"")</f>
        <v/>
      </c>
      <c r="Y146" s="13" t="str">
        <f>_xlfn.XLOOKUP(V146,'mk 001 10.3'!V:V,'mk 001 10.3'!Y:Y,"")</f>
        <v/>
      </c>
      <c r="Z146" s="13" t="str">
        <f>IF(แปลงข้อมูล!P147,แปลงข้อมูล!N147,"")</f>
        <v/>
      </c>
      <c r="BL146" t="str">
        <f>'mk 001 10.3'!BL148</f>
        <v>SYSBATCH</v>
      </c>
      <c r="BM146">
        <f>'mk 001 10.3'!BM148</f>
        <v>0</v>
      </c>
      <c r="BN146">
        <f>'mk 001 10.3'!BN148</f>
        <v>0</v>
      </c>
    </row>
    <row r="147" spans="1:66" x14ac:dyDescent="0.35">
      <c r="A147">
        <f>'mk 001 10.3'!A149</f>
        <v>0</v>
      </c>
      <c r="B147">
        <f>'mk 001 10.3'!B149</f>
        <v>0</v>
      </c>
      <c r="C147" s="1" t="str">
        <f>'mk 001 10.3'!C149</f>
        <v>14/5/2569</v>
      </c>
      <c r="D147" s="1" t="str">
        <f>'mk 001 10.3'!D149</f>
        <v>14/5/2569</v>
      </c>
      <c r="E147">
        <f>'mk 001 10.3'!E149</f>
        <v>0</v>
      </c>
      <c r="F147" t="str">
        <f>'mk 001 10.3'!F149</f>
        <v>489M</v>
      </c>
      <c r="G147" t="str">
        <f>'mk 001 10.3'!G149</f>
        <v>Modern Trade (Makro)</v>
      </c>
      <c r="H147">
        <f>'mk 001 10.3'!H149</f>
        <v>0</v>
      </c>
      <c r="I147" t="str">
        <f>'mk 001 10.3'!I149</f>
        <v>หน่วยงานกลาง</v>
      </c>
      <c r="J147" t="str">
        <f>'mk 001 10.3'!J149</f>
        <v>F213  DMCW-รชล-พระพุทธบาท</v>
      </c>
      <c r="K147" t="str">
        <f>'mk 001 10.3'!K149</f>
        <v>00000  หน่วยงานกลาง</v>
      </c>
      <c r="L147">
        <f>'mk 001 10.3'!L149</f>
        <v>923</v>
      </c>
      <c r="M147">
        <f>'mk 001 10.3'!M149</f>
        <v>0</v>
      </c>
      <c r="Q147" s="13" t="str">
        <f>IF(แปลงข้อมูล!P148,แปลงข้อมูล!H148,"")</f>
        <v/>
      </c>
      <c r="R147" s="1">
        <f>'mk 001 10.3'!R149</f>
        <v>244658</v>
      </c>
      <c r="S147" s="1" t="str">
        <f>'mk 001 10.3'!S149</f>
        <v>14/5/2569</v>
      </c>
      <c r="U147" s="13" t="str">
        <f>IF(แปลงข้อมูล!P148,แปลงข้อมูล!I148,"")</f>
        <v/>
      </c>
      <c r="V147" s="13" t="str">
        <f>IF(แปลงข้อมูล!P148,แปลงข้อมูล!J148,"")</f>
        <v/>
      </c>
      <c r="Y147" s="13" t="str">
        <f>_xlfn.XLOOKUP(V147,'mk 001 10.3'!V:V,'mk 001 10.3'!Y:Y,"")</f>
        <v/>
      </c>
      <c r="Z147" s="13" t="str">
        <f>IF(แปลงข้อมูล!P148,แปลงข้อมูล!N148,"")</f>
        <v/>
      </c>
      <c r="BL147" t="str">
        <f>'mk 001 10.3'!BL149</f>
        <v>SYSBATCH</v>
      </c>
      <c r="BM147">
        <f>'mk 001 10.3'!BM149</f>
        <v>0</v>
      </c>
      <c r="BN147">
        <f>'mk 001 10.3'!BN149</f>
        <v>0</v>
      </c>
    </row>
    <row r="148" spans="1:66" x14ac:dyDescent="0.35">
      <c r="A148">
        <f>'mk 001 10.3'!A150</f>
        <v>0</v>
      </c>
      <c r="B148">
        <f>'mk 001 10.3'!B150</f>
        <v>0</v>
      </c>
      <c r="C148" s="1" t="str">
        <f>'mk 001 10.3'!C150</f>
        <v>14/5/2569</v>
      </c>
      <c r="D148" s="1" t="str">
        <f>'mk 001 10.3'!D150</f>
        <v>14/5/2569</v>
      </c>
      <c r="E148">
        <f>'mk 001 10.3'!E150</f>
        <v>0</v>
      </c>
      <c r="F148" t="str">
        <f>'mk 001 10.3'!F150</f>
        <v>489M</v>
      </c>
      <c r="G148" t="str">
        <f>'mk 001 10.3'!G150</f>
        <v>Modern Trade (Makro)</v>
      </c>
      <c r="H148">
        <f>'mk 001 10.3'!H150</f>
        <v>0</v>
      </c>
      <c r="I148" t="str">
        <f>'mk 001 10.3'!I150</f>
        <v>หน่วยงานกลาง</v>
      </c>
      <c r="J148" t="str">
        <f>'mk 001 10.3'!J150</f>
        <v>F213  DMCW-รชล-พระพุทธบาท</v>
      </c>
      <c r="K148" t="str">
        <f>'mk 001 10.3'!K150</f>
        <v>00000  หน่วยงานกลาง</v>
      </c>
      <c r="L148">
        <f>'mk 001 10.3'!L150</f>
        <v>923</v>
      </c>
      <c r="M148">
        <f>'mk 001 10.3'!M150</f>
        <v>0</v>
      </c>
      <c r="Q148" s="13" t="str">
        <f>IF(แปลงข้อมูล!P149,แปลงข้อมูล!H149,"")</f>
        <v/>
      </c>
      <c r="R148" s="1">
        <f>'mk 001 10.3'!R150</f>
        <v>244658</v>
      </c>
      <c r="S148" s="1" t="str">
        <f>'mk 001 10.3'!S150</f>
        <v>14/5/2569</v>
      </c>
      <c r="U148" s="13" t="str">
        <f>IF(แปลงข้อมูล!P149,แปลงข้อมูล!I149,"")</f>
        <v/>
      </c>
      <c r="V148" s="13" t="str">
        <f>IF(แปลงข้อมูล!P149,แปลงข้อมูล!J149,"")</f>
        <v/>
      </c>
      <c r="Y148" s="13" t="str">
        <f>_xlfn.XLOOKUP(V148,'mk 001 10.3'!V:V,'mk 001 10.3'!Y:Y,"")</f>
        <v/>
      </c>
      <c r="Z148" s="13" t="str">
        <f>IF(แปลงข้อมูล!P149,แปลงข้อมูล!N149,"")</f>
        <v/>
      </c>
      <c r="BL148" t="str">
        <f>'mk 001 10.3'!BL150</f>
        <v>SYSBATCH</v>
      </c>
      <c r="BM148">
        <f>'mk 001 10.3'!BM150</f>
        <v>0</v>
      </c>
      <c r="BN148">
        <f>'mk 001 10.3'!BN150</f>
        <v>0</v>
      </c>
    </row>
    <row r="149" spans="1:66" x14ac:dyDescent="0.35">
      <c r="A149">
        <f>'mk 001 10.3'!A151</f>
        <v>0</v>
      </c>
      <c r="B149">
        <f>'mk 001 10.3'!B151</f>
        <v>0</v>
      </c>
      <c r="C149" s="1" t="str">
        <f>'mk 001 10.3'!C151</f>
        <v>14/5/2569</v>
      </c>
      <c r="D149" s="1" t="str">
        <f>'mk 001 10.3'!D151</f>
        <v>14/5/2569</v>
      </c>
      <c r="E149">
        <f>'mk 001 10.3'!E151</f>
        <v>0</v>
      </c>
      <c r="F149" t="str">
        <f>'mk 001 10.3'!F151</f>
        <v>489M</v>
      </c>
      <c r="G149" t="str">
        <f>'mk 001 10.3'!G151</f>
        <v>Modern Trade (Makro)</v>
      </c>
      <c r="H149">
        <f>'mk 001 10.3'!H151</f>
        <v>0</v>
      </c>
      <c r="I149" t="str">
        <f>'mk 001 10.3'!I151</f>
        <v>หน่วยงานกลาง</v>
      </c>
      <c r="J149" t="str">
        <f>'mk 001 10.3'!J151</f>
        <v>F213  DMCW-รชล-พระพุทธบาท</v>
      </c>
      <c r="K149" t="str">
        <f>'mk 001 10.3'!K151</f>
        <v>00000  หน่วยงานกลาง</v>
      </c>
      <c r="L149">
        <f>'mk 001 10.3'!L151</f>
        <v>923</v>
      </c>
      <c r="M149">
        <f>'mk 001 10.3'!M151</f>
        <v>0</v>
      </c>
      <c r="Q149" s="13" t="str">
        <f>IF(แปลงข้อมูล!P150,แปลงข้อมูล!H150,"")</f>
        <v/>
      </c>
      <c r="R149" s="1">
        <f>'mk 001 10.3'!R151</f>
        <v>244658</v>
      </c>
      <c r="S149" s="1" t="str">
        <f>'mk 001 10.3'!S151</f>
        <v>14/5/2569</v>
      </c>
      <c r="U149" s="13" t="str">
        <f>IF(แปลงข้อมูล!P150,แปลงข้อมูล!I150,"")</f>
        <v/>
      </c>
      <c r="V149" s="13" t="str">
        <f>IF(แปลงข้อมูล!P150,แปลงข้อมูล!J150,"")</f>
        <v/>
      </c>
      <c r="Y149" s="13" t="str">
        <f>_xlfn.XLOOKUP(V149,'mk 001 10.3'!V:V,'mk 001 10.3'!Y:Y,"")</f>
        <v/>
      </c>
      <c r="Z149" s="13" t="str">
        <f>IF(แปลงข้อมูล!P150,แปลงข้อมูล!N150,"")</f>
        <v/>
      </c>
      <c r="BL149" t="str">
        <f>'mk 001 10.3'!BL151</f>
        <v>SYSBATCH</v>
      </c>
      <c r="BM149">
        <f>'mk 001 10.3'!BM151</f>
        <v>0</v>
      </c>
      <c r="BN149">
        <f>'mk 001 10.3'!BN151</f>
        <v>0</v>
      </c>
    </row>
    <row r="150" spans="1:66" x14ac:dyDescent="0.35">
      <c r="A150">
        <f>'mk 001 10.3'!A152</f>
        <v>0</v>
      </c>
      <c r="B150">
        <f>'mk 001 10.3'!B152</f>
        <v>0</v>
      </c>
      <c r="C150" s="1" t="str">
        <f>'mk 001 10.3'!C152</f>
        <v>14/5/2569</v>
      </c>
      <c r="D150" s="1" t="str">
        <f>'mk 001 10.3'!D152</f>
        <v>14/5/2569</v>
      </c>
      <c r="E150">
        <f>'mk 001 10.3'!E152</f>
        <v>0</v>
      </c>
      <c r="F150" t="str">
        <f>'mk 001 10.3'!F152</f>
        <v>489M</v>
      </c>
      <c r="G150" t="str">
        <f>'mk 001 10.3'!G152</f>
        <v>Modern Trade (Makro)</v>
      </c>
      <c r="H150">
        <f>'mk 001 10.3'!H152</f>
        <v>0</v>
      </c>
      <c r="I150" t="str">
        <f>'mk 001 10.3'!I152</f>
        <v>หน่วยงานกลาง</v>
      </c>
      <c r="J150" t="str">
        <f>'mk 001 10.3'!J152</f>
        <v>F213  DMCW-รชล-พระพุทธบาท</v>
      </c>
      <c r="K150" t="str">
        <f>'mk 001 10.3'!K152</f>
        <v>00000  หน่วยงานกลาง</v>
      </c>
      <c r="L150">
        <f>'mk 001 10.3'!L152</f>
        <v>923</v>
      </c>
      <c r="M150">
        <f>'mk 001 10.3'!M152</f>
        <v>0</v>
      </c>
      <c r="Q150" s="13" t="str">
        <f>IF(แปลงข้อมูล!P151,แปลงข้อมูล!H151,"")</f>
        <v/>
      </c>
      <c r="R150" s="1">
        <f>'mk 001 10.3'!R152</f>
        <v>244658</v>
      </c>
      <c r="S150" s="1" t="str">
        <f>'mk 001 10.3'!S152</f>
        <v>14/5/2569</v>
      </c>
      <c r="U150" s="13" t="str">
        <f>IF(แปลงข้อมูล!P151,แปลงข้อมูล!I151,"")</f>
        <v/>
      </c>
      <c r="V150" s="13" t="str">
        <f>IF(แปลงข้อมูล!P151,แปลงข้อมูล!J151,"")</f>
        <v/>
      </c>
      <c r="Y150" s="13" t="str">
        <f>_xlfn.XLOOKUP(V150,'mk 001 10.3'!V:V,'mk 001 10.3'!Y:Y,"")</f>
        <v/>
      </c>
      <c r="Z150" s="13" t="str">
        <f>IF(แปลงข้อมูล!P151,แปลงข้อมูล!N151,"")</f>
        <v/>
      </c>
      <c r="BL150" t="str">
        <f>'mk 001 10.3'!BL152</f>
        <v>SYSBATCH</v>
      </c>
      <c r="BM150">
        <f>'mk 001 10.3'!BM152</f>
        <v>0</v>
      </c>
      <c r="BN150">
        <f>'mk 001 10.3'!BN152</f>
        <v>0</v>
      </c>
    </row>
    <row r="151" spans="1:66" x14ac:dyDescent="0.35">
      <c r="A151">
        <f>'mk 001 10.3'!A153</f>
        <v>0</v>
      </c>
      <c r="B151">
        <f>'mk 001 10.3'!B153</f>
        <v>0</v>
      </c>
      <c r="C151" s="1" t="str">
        <f>'mk 001 10.3'!C153</f>
        <v>14/5/2569</v>
      </c>
      <c r="D151" s="1" t="str">
        <f>'mk 001 10.3'!D153</f>
        <v>14/5/2569</v>
      </c>
      <c r="E151">
        <f>'mk 001 10.3'!E153</f>
        <v>0</v>
      </c>
      <c r="F151" t="str">
        <f>'mk 001 10.3'!F153</f>
        <v>489M</v>
      </c>
      <c r="G151" t="str">
        <f>'mk 001 10.3'!G153</f>
        <v>Modern Trade (Makro)</v>
      </c>
      <c r="H151">
        <f>'mk 001 10.3'!H153</f>
        <v>0</v>
      </c>
      <c r="I151" t="str">
        <f>'mk 001 10.3'!I153</f>
        <v>หน่วยงานกลาง</v>
      </c>
      <c r="J151" t="str">
        <f>'mk 001 10.3'!J153</f>
        <v>F213  DMCW-รชล-พระพุทธบาท</v>
      </c>
      <c r="K151" t="str">
        <f>'mk 001 10.3'!K153</f>
        <v>00000  หน่วยงานกลาง</v>
      </c>
      <c r="L151">
        <f>'mk 001 10.3'!L153</f>
        <v>923</v>
      </c>
      <c r="M151">
        <f>'mk 001 10.3'!M153</f>
        <v>0</v>
      </c>
      <c r="Q151" s="13" t="str">
        <f>IF(แปลงข้อมูล!P152,แปลงข้อมูล!H152,"")</f>
        <v/>
      </c>
      <c r="R151" s="1">
        <f>'mk 001 10.3'!R153</f>
        <v>244658</v>
      </c>
      <c r="S151" s="1" t="str">
        <f>'mk 001 10.3'!S153</f>
        <v>14/5/2569</v>
      </c>
      <c r="U151" s="13" t="str">
        <f>IF(แปลงข้อมูล!P152,แปลงข้อมูล!I152,"")</f>
        <v/>
      </c>
      <c r="V151" s="13" t="str">
        <f>IF(แปลงข้อมูล!P152,แปลงข้อมูล!J152,"")</f>
        <v/>
      </c>
      <c r="Y151" s="13" t="str">
        <f>_xlfn.XLOOKUP(V151,'mk 001 10.3'!V:V,'mk 001 10.3'!Y:Y,"")</f>
        <v/>
      </c>
      <c r="Z151" s="13" t="str">
        <f>IF(แปลงข้อมูล!P152,แปลงข้อมูล!N152,"")</f>
        <v/>
      </c>
      <c r="BL151" t="str">
        <f>'mk 001 10.3'!BL153</f>
        <v>SYSBATCH</v>
      </c>
      <c r="BM151">
        <f>'mk 001 10.3'!BM153</f>
        <v>0</v>
      </c>
      <c r="BN151">
        <f>'mk 001 10.3'!BN153</f>
        <v>0</v>
      </c>
    </row>
    <row r="152" spans="1:66" x14ac:dyDescent="0.35">
      <c r="A152">
        <f>'mk 001 10.3'!A154</f>
        <v>0</v>
      </c>
      <c r="B152">
        <f>'mk 001 10.3'!B154</f>
        <v>0</v>
      </c>
      <c r="C152" s="1" t="str">
        <f>'mk 001 10.3'!C154</f>
        <v>14/5/2569</v>
      </c>
      <c r="D152" s="1" t="str">
        <f>'mk 001 10.3'!D154</f>
        <v>14/5/2569</v>
      </c>
      <c r="E152">
        <f>'mk 001 10.3'!E154</f>
        <v>0</v>
      </c>
      <c r="F152" t="str">
        <f>'mk 001 10.3'!F154</f>
        <v>489M</v>
      </c>
      <c r="G152" t="str">
        <f>'mk 001 10.3'!G154</f>
        <v>Modern Trade (Makro)</v>
      </c>
      <c r="H152">
        <f>'mk 001 10.3'!H154</f>
        <v>0</v>
      </c>
      <c r="I152" t="str">
        <f>'mk 001 10.3'!I154</f>
        <v>หน่วยงานกลาง</v>
      </c>
      <c r="J152" t="str">
        <f>'mk 001 10.3'!J154</f>
        <v>F213  DMCW-รชล-พระพุทธบาท</v>
      </c>
      <c r="K152" t="str">
        <f>'mk 001 10.3'!K154</f>
        <v>00000  หน่วยงานกลาง</v>
      </c>
      <c r="L152">
        <f>'mk 001 10.3'!L154</f>
        <v>923</v>
      </c>
      <c r="M152">
        <f>'mk 001 10.3'!M154</f>
        <v>0</v>
      </c>
      <c r="Q152" s="13" t="str">
        <f>IF(แปลงข้อมูล!P153,แปลงข้อมูล!H153,"")</f>
        <v/>
      </c>
      <c r="R152" s="1">
        <f>'mk 001 10.3'!R154</f>
        <v>244658</v>
      </c>
      <c r="S152" s="1" t="str">
        <f>'mk 001 10.3'!S154</f>
        <v>14/5/2569</v>
      </c>
      <c r="U152" s="13" t="str">
        <f>IF(แปลงข้อมูล!P153,แปลงข้อมูล!I153,"")</f>
        <v/>
      </c>
      <c r="V152" s="13" t="str">
        <f>IF(แปลงข้อมูล!P153,แปลงข้อมูล!J153,"")</f>
        <v/>
      </c>
      <c r="Y152" s="13" t="str">
        <f>_xlfn.XLOOKUP(V152,'mk 001 10.3'!V:V,'mk 001 10.3'!Y:Y,"")</f>
        <v/>
      </c>
      <c r="Z152" s="13" t="str">
        <f>IF(แปลงข้อมูล!P153,แปลงข้อมูล!N153,"")</f>
        <v/>
      </c>
      <c r="BL152" t="str">
        <f>'mk 001 10.3'!BL154</f>
        <v>SYSBATCH</v>
      </c>
      <c r="BM152">
        <f>'mk 001 10.3'!BM154</f>
        <v>0</v>
      </c>
      <c r="BN152">
        <f>'mk 001 10.3'!BN154</f>
        <v>0</v>
      </c>
    </row>
    <row r="153" spans="1:66" x14ac:dyDescent="0.35">
      <c r="A153">
        <f>'mk 001 10.3'!A155</f>
        <v>0</v>
      </c>
      <c r="B153">
        <f>'mk 001 10.3'!B155</f>
        <v>0</v>
      </c>
      <c r="C153" s="1" t="str">
        <f>'mk 001 10.3'!C155</f>
        <v>14/5/2569</v>
      </c>
      <c r="D153" s="1" t="str">
        <f>'mk 001 10.3'!D155</f>
        <v>14/5/2569</v>
      </c>
      <c r="E153">
        <f>'mk 001 10.3'!E155</f>
        <v>0</v>
      </c>
      <c r="F153" t="str">
        <f>'mk 001 10.3'!F155</f>
        <v>489M</v>
      </c>
      <c r="G153" t="str">
        <f>'mk 001 10.3'!G155</f>
        <v>Modern Trade (Makro)</v>
      </c>
      <c r="H153">
        <f>'mk 001 10.3'!H155</f>
        <v>0</v>
      </c>
      <c r="I153" t="str">
        <f>'mk 001 10.3'!I155</f>
        <v>หน่วยงานกลาง</v>
      </c>
      <c r="J153" t="str">
        <f>'mk 001 10.3'!J155</f>
        <v>F213  DMCW-รชล-พระพุทธบาท</v>
      </c>
      <c r="K153" t="str">
        <f>'mk 001 10.3'!K155</f>
        <v>00000  หน่วยงานกลาง</v>
      </c>
      <c r="L153">
        <f>'mk 001 10.3'!L155</f>
        <v>923</v>
      </c>
      <c r="M153">
        <f>'mk 001 10.3'!M155</f>
        <v>0</v>
      </c>
      <c r="Q153" s="13" t="str">
        <f>IF(แปลงข้อมูล!P154,แปลงข้อมูล!H154,"")</f>
        <v/>
      </c>
      <c r="R153" s="1">
        <f>'mk 001 10.3'!R155</f>
        <v>244658</v>
      </c>
      <c r="S153" s="1" t="str">
        <f>'mk 001 10.3'!S155</f>
        <v>14/5/2569</v>
      </c>
      <c r="U153" s="13" t="str">
        <f>IF(แปลงข้อมูล!P154,แปลงข้อมูล!I154,"")</f>
        <v/>
      </c>
      <c r="V153" s="13" t="str">
        <f>IF(แปลงข้อมูล!P154,แปลงข้อมูล!J154,"")</f>
        <v/>
      </c>
      <c r="Y153" s="13" t="str">
        <f>_xlfn.XLOOKUP(V153,'mk 001 10.3'!V:V,'mk 001 10.3'!Y:Y,"")</f>
        <v/>
      </c>
      <c r="Z153" s="13" t="str">
        <f>IF(แปลงข้อมูล!P154,แปลงข้อมูล!N154,"")</f>
        <v/>
      </c>
      <c r="BL153" t="str">
        <f>'mk 001 10.3'!BL155</f>
        <v>SYSBATCH</v>
      </c>
      <c r="BM153">
        <f>'mk 001 10.3'!BM155</f>
        <v>0</v>
      </c>
      <c r="BN153">
        <f>'mk 001 10.3'!BN155</f>
        <v>0</v>
      </c>
    </row>
    <row r="154" spans="1:66" x14ac:dyDescent="0.35">
      <c r="A154">
        <f>'mk 001 10.3'!A156</f>
        <v>0</v>
      </c>
      <c r="B154">
        <f>'mk 001 10.3'!B156</f>
        <v>0</v>
      </c>
      <c r="C154" s="1" t="str">
        <f>'mk 001 10.3'!C156</f>
        <v>14/5/2569</v>
      </c>
      <c r="D154" s="1" t="str">
        <f>'mk 001 10.3'!D156</f>
        <v>14/5/2569</v>
      </c>
      <c r="E154">
        <f>'mk 001 10.3'!E156</f>
        <v>0</v>
      </c>
      <c r="F154" t="str">
        <f>'mk 001 10.3'!F156</f>
        <v>489M</v>
      </c>
      <c r="G154" t="str">
        <f>'mk 001 10.3'!G156</f>
        <v>Modern Trade (Makro)</v>
      </c>
      <c r="H154">
        <f>'mk 001 10.3'!H156</f>
        <v>0</v>
      </c>
      <c r="I154" t="str">
        <f>'mk 001 10.3'!I156</f>
        <v>หน่วยงานกลาง</v>
      </c>
      <c r="J154" t="str">
        <f>'mk 001 10.3'!J156</f>
        <v>F213  DMCW-รชล-พระพุทธบาท</v>
      </c>
      <c r="K154" t="str">
        <f>'mk 001 10.3'!K156</f>
        <v>00000  หน่วยงานกลาง</v>
      </c>
      <c r="L154">
        <f>'mk 001 10.3'!L156</f>
        <v>923</v>
      </c>
      <c r="M154">
        <f>'mk 001 10.3'!M156</f>
        <v>0</v>
      </c>
      <c r="Q154" s="13" t="str">
        <f>IF(แปลงข้อมูล!P155,แปลงข้อมูล!H155,"")</f>
        <v/>
      </c>
      <c r="R154" s="1">
        <f>'mk 001 10.3'!R156</f>
        <v>244658</v>
      </c>
      <c r="S154" s="1" t="str">
        <f>'mk 001 10.3'!S156</f>
        <v>14/5/2569</v>
      </c>
      <c r="U154" s="13" t="str">
        <f>IF(แปลงข้อมูล!P155,แปลงข้อมูล!I155,"")</f>
        <v/>
      </c>
      <c r="V154" s="13" t="str">
        <f>IF(แปลงข้อมูล!P155,แปลงข้อมูล!J155,"")</f>
        <v/>
      </c>
      <c r="Y154" s="13" t="str">
        <f>_xlfn.XLOOKUP(V154,'mk 001 10.3'!V:V,'mk 001 10.3'!Y:Y,"")</f>
        <v/>
      </c>
      <c r="Z154" s="13" t="str">
        <f>IF(แปลงข้อมูล!P155,แปลงข้อมูล!N155,"")</f>
        <v/>
      </c>
      <c r="BL154" t="str">
        <f>'mk 001 10.3'!BL156</f>
        <v>SYSBATCH</v>
      </c>
      <c r="BM154">
        <f>'mk 001 10.3'!BM156</f>
        <v>0</v>
      </c>
      <c r="BN154">
        <f>'mk 001 10.3'!BN156</f>
        <v>0</v>
      </c>
    </row>
    <row r="155" spans="1:66" x14ac:dyDescent="0.35">
      <c r="A155">
        <f>'mk 001 10.3'!A157</f>
        <v>0</v>
      </c>
      <c r="B155">
        <f>'mk 001 10.3'!B157</f>
        <v>0</v>
      </c>
      <c r="C155" s="1" t="str">
        <f>'mk 001 10.3'!C157</f>
        <v>14/5/2569</v>
      </c>
      <c r="D155" s="1" t="str">
        <f>'mk 001 10.3'!D157</f>
        <v>14/5/2569</v>
      </c>
      <c r="E155">
        <f>'mk 001 10.3'!E157</f>
        <v>0</v>
      </c>
      <c r="F155" t="str">
        <f>'mk 001 10.3'!F157</f>
        <v>489M</v>
      </c>
      <c r="G155" t="str">
        <f>'mk 001 10.3'!G157</f>
        <v>Modern Trade (Makro)</v>
      </c>
      <c r="H155">
        <f>'mk 001 10.3'!H157</f>
        <v>0</v>
      </c>
      <c r="I155" t="str">
        <f>'mk 001 10.3'!I157</f>
        <v>หน่วยงานกลาง</v>
      </c>
      <c r="J155" t="str">
        <f>'mk 001 10.3'!J157</f>
        <v>F213  DMCW-รชล-พระพุทธบาท</v>
      </c>
      <c r="K155" t="str">
        <f>'mk 001 10.3'!K157</f>
        <v>00000  หน่วยงานกลาง</v>
      </c>
      <c r="L155">
        <f>'mk 001 10.3'!L157</f>
        <v>923</v>
      </c>
      <c r="M155">
        <f>'mk 001 10.3'!M157</f>
        <v>0</v>
      </c>
      <c r="Q155" s="13" t="str">
        <f>IF(แปลงข้อมูล!P156,แปลงข้อมูล!H156,"")</f>
        <v/>
      </c>
      <c r="R155" s="1">
        <f>'mk 001 10.3'!R157</f>
        <v>244658</v>
      </c>
      <c r="S155" s="1" t="str">
        <f>'mk 001 10.3'!S157</f>
        <v>14/5/2569</v>
      </c>
      <c r="U155" s="13" t="str">
        <f>IF(แปลงข้อมูล!P156,แปลงข้อมูล!I156,"")</f>
        <v/>
      </c>
      <c r="V155" s="13" t="str">
        <f>IF(แปลงข้อมูล!P156,แปลงข้อมูล!J156,"")</f>
        <v/>
      </c>
      <c r="Y155" s="13" t="str">
        <f>_xlfn.XLOOKUP(V155,'mk 001 10.3'!V:V,'mk 001 10.3'!Y:Y,"")</f>
        <v/>
      </c>
      <c r="Z155" s="13" t="str">
        <f>IF(แปลงข้อมูล!P156,แปลงข้อมูล!N156,"")</f>
        <v/>
      </c>
      <c r="BL155" t="str">
        <f>'mk 001 10.3'!BL157</f>
        <v>SYSBATCH</v>
      </c>
      <c r="BM155">
        <f>'mk 001 10.3'!BM157</f>
        <v>0</v>
      </c>
      <c r="BN155">
        <f>'mk 001 10.3'!BN157</f>
        <v>0</v>
      </c>
    </row>
    <row r="156" spans="1:66" x14ac:dyDescent="0.35">
      <c r="A156">
        <f>'mk 001 10.3'!A158</f>
        <v>0</v>
      </c>
      <c r="B156">
        <f>'mk 001 10.3'!B158</f>
        <v>0</v>
      </c>
      <c r="C156" s="1" t="str">
        <f>'mk 001 10.3'!C158</f>
        <v>14/5/2569</v>
      </c>
      <c r="D156" s="1" t="str">
        <f>'mk 001 10.3'!D158</f>
        <v>14/5/2569</v>
      </c>
      <c r="E156">
        <f>'mk 001 10.3'!E158</f>
        <v>0</v>
      </c>
      <c r="F156" t="str">
        <f>'mk 001 10.3'!F158</f>
        <v>489M</v>
      </c>
      <c r="G156" t="str">
        <f>'mk 001 10.3'!G158</f>
        <v>Modern Trade (Makro)</v>
      </c>
      <c r="H156">
        <f>'mk 001 10.3'!H158</f>
        <v>0</v>
      </c>
      <c r="I156" t="str">
        <f>'mk 001 10.3'!I158</f>
        <v>หน่วยงานกลาง</v>
      </c>
      <c r="J156" t="str">
        <f>'mk 001 10.3'!J158</f>
        <v>F213  DMCW-รชล-พระพุทธบาท</v>
      </c>
      <c r="K156" t="str">
        <f>'mk 001 10.3'!K158</f>
        <v>00000  หน่วยงานกลาง</v>
      </c>
      <c r="L156">
        <f>'mk 001 10.3'!L158</f>
        <v>923</v>
      </c>
      <c r="M156">
        <f>'mk 001 10.3'!M158</f>
        <v>0</v>
      </c>
      <c r="Q156" s="13" t="str">
        <f>IF(แปลงข้อมูล!P157,แปลงข้อมูล!H157,"")</f>
        <v/>
      </c>
      <c r="R156" s="1">
        <f>'mk 001 10.3'!R158</f>
        <v>244658</v>
      </c>
      <c r="S156" s="1" t="str">
        <f>'mk 001 10.3'!S158</f>
        <v>14/5/2569</v>
      </c>
      <c r="U156" s="13" t="str">
        <f>IF(แปลงข้อมูล!P157,แปลงข้อมูล!I157,"")</f>
        <v/>
      </c>
      <c r="V156" s="13" t="str">
        <f>IF(แปลงข้อมูล!P157,แปลงข้อมูล!J157,"")</f>
        <v/>
      </c>
      <c r="Y156" s="13" t="str">
        <f>_xlfn.XLOOKUP(V156,'mk 001 10.3'!V:V,'mk 001 10.3'!Y:Y,"")</f>
        <v/>
      </c>
      <c r="Z156" s="13" t="str">
        <f>IF(แปลงข้อมูล!P157,แปลงข้อมูล!N157,"")</f>
        <v/>
      </c>
      <c r="BL156" t="str">
        <f>'mk 001 10.3'!BL158</f>
        <v>SYSBATCH</v>
      </c>
      <c r="BM156">
        <f>'mk 001 10.3'!BM158</f>
        <v>0</v>
      </c>
      <c r="BN156">
        <f>'mk 001 10.3'!BN158</f>
        <v>0</v>
      </c>
    </row>
    <row r="157" spans="1:66" x14ac:dyDescent="0.35">
      <c r="A157">
        <f>'mk 001 10.3'!A159</f>
        <v>0</v>
      </c>
      <c r="B157">
        <f>'mk 001 10.3'!B159</f>
        <v>0</v>
      </c>
      <c r="C157" s="1" t="str">
        <f>'mk 001 10.3'!C159</f>
        <v>14/5/2569</v>
      </c>
      <c r="D157" s="1" t="str">
        <f>'mk 001 10.3'!D159</f>
        <v>14/5/2569</v>
      </c>
      <c r="E157">
        <f>'mk 001 10.3'!E159</f>
        <v>0</v>
      </c>
      <c r="F157" t="str">
        <f>'mk 001 10.3'!F159</f>
        <v>489M</v>
      </c>
      <c r="G157" t="str">
        <f>'mk 001 10.3'!G159</f>
        <v>Modern Trade (Makro)</v>
      </c>
      <c r="H157">
        <f>'mk 001 10.3'!H159</f>
        <v>0</v>
      </c>
      <c r="I157" t="str">
        <f>'mk 001 10.3'!I159</f>
        <v>หน่วยงานกลาง</v>
      </c>
      <c r="J157" t="str">
        <f>'mk 001 10.3'!J159</f>
        <v>F213  DMCW-รชล-พระพุทธบาท</v>
      </c>
      <c r="K157" t="str">
        <f>'mk 001 10.3'!K159</f>
        <v>00000  หน่วยงานกลาง</v>
      </c>
      <c r="L157">
        <f>'mk 001 10.3'!L159</f>
        <v>923</v>
      </c>
      <c r="M157">
        <f>'mk 001 10.3'!M159</f>
        <v>0</v>
      </c>
      <c r="Q157" s="13" t="str">
        <f>IF(แปลงข้อมูล!P158,แปลงข้อมูล!H158,"")</f>
        <v/>
      </c>
      <c r="R157" s="1">
        <f>'mk 001 10.3'!R159</f>
        <v>244658</v>
      </c>
      <c r="S157" s="1" t="str">
        <f>'mk 001 10.3'!S159</f>
        <v>14/5/2569</v>
      </c>
      <c r="U157" s="13" t="str">
        <f>IF(แปลงข้อมูล!P158,แปลงข้อมูล!I158,"")</f>
        <v/>
      </c>
      <c r="V157" s="13" t="str">
        <f>IF(แปลงข้อมูล!P158,แปลงข้อมูล!J158,"")</f>
        <v/>
      </c>
      <c r="Y157" s="13" t="str">
        <f>_xlfn.XLOOKUP(V157,'mk 001 10.3'!V:V,'mk 001 10.3'!Y:Y,"")</f>
        <v/>
      </c>
      <c r="Z157" s="13" t="str">
        <f>IF(แปลงข้อมูล!P158,แปลงข้อมูล!N158,"")</f>
        <v/>
      </c>
      <c r="BL157" t="str">
        <f>'mk 001 10.3'!BL159</f>
        <v>SYSBATCH</v>
      </c>
      <c r="BM157">
        <f>'mk 001 10.3'!BM159</f>
        <v>0</v>
      </c>
      <c r="BN157">
        <f>'mk 001 10.3'!BN159</f>
        <v>0</v>
      </c>
    </row>
    <row r="158" spans="1:66" x14ac:dyDescent="0.35">
      <c r="A158">
        <f>'mk 001 10.3'!A160</f>
        <v>0</v>
      </c>
      <c r="B158">
        <f>'mk 001 10.3'!B160</f>
        <v>0</v>
      </c>
      <c r="C158" s="1" t="str">
        <f>'mk 001 10.3'!C160</f>
        <v>14/5/2569</v>
      </c>
      <c r="D158" s="1" t="str">
        <f>'mk 001 10.3'!D160</f>
        <v>14/5/2569</v>
      </c>
      <c r="E158">
        <f>'mk 001 10.3'!E160</f>
        <v>0</v>
      </c>
      <c r="F158" t="str">
        <f>'mk 001 10.3'!F160</f>
        <v>489M</v>
      </c>
      <c r="G158" t="str">
        <f>'mk 001 10.3'!G160</f>
        <v>Modern Trade (Makro)</v>
      </c>
      <c r="H158">
        <f>'mk 001 10.3'!H160</f>
        <v>0</v>
      </c>
      <c r="I158" t="str">
        <f>'mk 001 10.3'!I160</f>
        <v>หน่วยงานกลาง</v>
      </c>
      <c r="J158" t="str">
        <f>'mk 001 10.3'!J160</f>
        <v>F213  DMCW-รชล-พระพุทธบาท</v>
      </c>
      <c r="K158" t="str">
        <f>'mk 001 10.3'!K160</f>
        <v>00000  หน่วยงานกลาง</v>
      </c>
      <c r="L158">
        <f>'mk 001 10.3'!L160</f>
        <v>923</v>
      </c>
      <c r="M158">
        <f>'mk 001 10.3'!M160</f>
        <v>0</v>
      </c>
      <c r="Q158" s="13" t="str">
        <f>IF(แปลงข้อมูล!P159,แปลงข้อมูล!H159,"")</f>
        <v/>
      </c>
      <c r="R158" s="1">
        <f>'mk 001 10.3'!R160</f>
        <v>244658</v>
      </c>
      <c r="S158" s="1" t="str">
        <f>'mk 001 10.3'!S160</f>
        <v>14/5/2569</v>
      </c>
      <c r="U158" s="13" t="str">
        <f>IF(แปลงข้อมูล!P159,แปลงข้อมูล!I159,"")</f>
        <v/>
      </c>
      <c r="V158" s="13" t="str">
        <f>IF(แปลงข้อมูล!P159,แปลงข้อมูล!J159,"")</f>
        <v/>
      </c>
      <c r="Y158" s="13" t="str">
        <f>_xlfn.XLOOKUP(V158,'mk 001 10.3'!V:V,'mk 001 10.3'!Y:Y,"")</f>
        <v/>
      </c>
      <c r="Z158" s="13" t="str">
        <f>IF(แปลงข้อมูล!P159,แปลงข้อมูล!N159,"")</f>
        <v/>
      </c>
      <c r="BL158" t="str">
        <f>'mk 001 10.3'!BL160</f>
        <v>SYSBATCH</v>
      </c>
      <c r="BM158">
        <f>'mk 001 10.3'!BM160</f>
        <v>0</v>
      </c>
      <c r="BN158">
        <f>'mk 001 10.3'!BN160</f>
        <v>0</v>
      </c>
    </row>
    <row r="159" spans="1:66" x14ac:dyDescent="0.35">
      <c r="A159">
        <f>'mk 001 10.3'!A161</f>
        <v>0</v>
      </c>
      <c r="B159">
        <f>'mk 001 10.3'!B161</f>
        <v>0</v>
      </c>
      <c r="C159" s="1" t="str">
        <f>'mk 001 10.3'!C161</f>
        <v>14/5/2569</v>
      </c>
      <c r="D159" s="1" t="str">
        <f>'mk 001 10.3'!D161</f>
        <v>14/5/2569</v>
      </c>
      <c r="E159">
        <f>'mk 001 10.3'!E161</f>
        <v>0</v>
      </c>
      <c r="F159" t="str">
        <f>'mk 001 10.3'!F161</f>
        <v>489M</v>
      </c>
      <c r="G159" t="str">
        <f>'mk 001 10.3'!G161</f>
        <v>Modern Trade (Makro)</v>
      </c>
      <c r="H159">
        <f>'mk 001 10.3'!H161</f>
        <v>0</v>
      </c>
      <c r="I159" t="str">
        <f>'mk 001 10.3'!I161</f>
        <v>หน่วยงานกลาง</v>
      </c>
      <c r="J159" t="str">
        <f>'mk 001 10.3'!J161</f>
        <v>F213  DMCW-รชล-พระพุทธบาท</v>
      </c>
      <c r="K159" t="str">
        <f>'mk 001 10.3'!K161</f>
        <v>00000  หน่วยงานกลาง</v>
      </c>
      <c r="L159">
        <f>'mk 001 10.3'!L161</f>
        <v>923</v>
      </c>
      <c r="M159">
        <f>'mk 001 10.3'!M161</f>
        <v>0</v>
      </c>
      <c r="Q159" s="13" t="str">
        <f>IF(แปลงข้อมูล!P160,แปลงข้อมูล!H160,"")</f>
        <v/>
      </c>
      <c r="R159" s="1">
        <f>'mk 001 10.3'!R161</f>
        <v>244658</v>
      </c>
      <c r="S159" s="1" t="str">
        <f>'mk 001 10.3'!S161</f>
        <v>14/5/2569</v>
      </c>
      <c r="U159" s="13" t="str">
        <f>IF(แปลงข้อมูล!P160,แปลงข้อมูล!I160,"")</f>
        <v/>
      </c>
      <c r="V159" s="13" t="str">
        <f>IF(แปลงข้อมูล!P160,แปลงข้อมูล!J160,"")</f>
        <v/>
      </c>
      <c r="Y159" s="13" t="str">
        <f>_xlfn.XLOOKUP(V159,'mk 001 10.3'!V:V,'mk 001 10.3'!Y:Y,"")</f>
        <v/>
      </c>
      <c r="Z159" s="13" t="str">
        <f>IF(แปลงข้อมูล!P160,แปลงข้อมูล!N160,"")</f>
        <v/>
      </c>
      <c r="BL159" t="str">
        <f>'mk 001 10.3'!BL161</f>
        <v>SYSBATCH</v>
      </c>
      <c r="BM159">
        <f>'mk 001 10.3'!BM161</f>
        <v>0</v>
      </c>
      <c r="BN159">
        <f>'mk 001 10.3'!BN161</f>
        <v>0</v>
      </c>
    </row>
    <row r="160" spans="1:66" x14ac:dyDescent="0.35">
      <c r="A160">
        <f>'mk 001 10.3'!A162</f>
        <v>0</v>
      </c>
      <c r="B160">
        <f>'mk 001 10.3'!B162</f>
        <v>0</v>
      </c>
      <c r="C160" s="1" t="str">
        <f>'mk 001 10.3'!C162</f>
        <v>14/5/2569</v>
      </c>
      <c r="D160" s="1" t="str">
        <f>'mk 001 10.3'!D162</f>
        <v>14/5/2569</v>
      </c>
      <c r="E160">
        <f>'mk 001 10.3'!E162</f>
        <v>0</v>
      </c>
      <c r="F160" t="str">
        <f>'mk 001 10.3'!F162</f>
        <v>489M</v>
      </c>
      <c r="G160" t="str">
        <f>'mk 001 10.3'!G162</f>
        <v>Modern Trade (Makro)</v>
      </c>
      <c r="H160">
        <f>'mk 001 10.3'!H162</f>
        <v>0</v>
      </c>
      <c r="I160" t="str">
        <f>'mk 001 10.3'!I162</f>
        <v>หน่วยงานกลาง</v>
      </c>
      <c r="J160" t="str">
        <f>'mk 001 10.3'!J162</f>
        <v>F213  DMCW-รชล-พระพุทธบาท</v>
      </c>
      <c r="K160" t="str">
        <f>'mk 001 10.3'!K162</f>
        <v>00000  หน่วยงานกลาง</v>
      </c>
      <c r="L160">
        <f>'mk 001 10.3'!L162</f>
        <v>923</v>
      </c>
      <c r="M160">
        <f>'mk 001 10.3'!M162</f>
        <v>0</v>
      </c>
      <c r="Q160" s="13" t="str">
        <f>IF(แปลงข้อมูล!P161,แปลงข้อมูล!H161,"")</f>
        <v/>
      </c>
      <c r="R160" s="1">
        <f>'mk 001 10.3'!R162</f>
        <v>244658</v>
      </c>
      <c r="S160" s="1" t="str">
        <f>'mk 001 10.3'!S162</f>
        <v>14/5/2569</v>
      </c>
      <c r="U160" s="13" t="str">
        <f>IF(แปลงข้อมูล!P161,แปลงข้อมูล!I161,"")</f>
        <v/>
      </c>
      <c r="V160" s="13" t="str">
        <f>IF(แปลงข้อมูล!P161,แปลงข้อมูล!J161,"")</f>
        <v/>
      </c>
      <c r="Y160" s="13" t="str">
        <f>_xlfn.XLOOKUP(V160,'mk 001 10.3'!V:V,'mk 001 10.3'!Y:Y,"")</f>
        <v/>
      </c>
      <c r="Z160" s="13" t="str">
        <f>IF(แปลงข้อมูล!P161,แปลงข้อมูล!N161,"")</f>
        <v/>
      </c>
      <c r="BL160" t="str">
        <f>'mk 001 10.3'!BL162</f>
        <v>SYSBATCH</v>
      </c>
      <c r="BM160">
        <f>'mk 001 10.3'!BM162</f>
        <v>0</v>
      </c>
      <c r="BN160">
        <f>'mk 001 10.3'!BN162</f>
        <v>0</v>
      </c>
    </row>
    <row r="161" spans="1:66" x14ac:dyDescent="0.35">
      <c r="A161">
        <f>'mk 001 10.3'!A163</f>
        <v>0</v>
      </c>
      <c r="B161">
        <f>'mk 001 10.3'!B163</f>
        <v>0</v>
      </c>
      <c r="C161" s="1" t="str">
        <f>'mk 001 10.3'!C163</f>
        <v>14/5/2569</v>
      </c>
      <c r="D161" s="1" t="str">
        <f>'mk 001 10.3'!D163</f>
        <v>14/5/2569</v>
      </c>
      <c r="E161">
        <f>'mk 001 10.3'!E163</f>
        <v>0</v>
      </c>
      <c r="F161" t="str">
        <f>'mk 001 10.3'!F163</f>
        <v>489M</v>
      </c>
      <c r="G161" t="str">
        <f>'mk 001 10.3'!G163</f>
        <v>Modern Trade (Makro)</v>
      </c>
      <c r="H161">
        <f>'mk 001 10.3'!H163</f>
        <v>0</v>
      </c>
      <c r="I161" t="str">
        <f>'mk 001 10.3'!I163</f>
        <v>หน่วยงานกลาง</v>
      </c>
      <c r="J161" t="str">
        <f>'mk 001 10.3'!J163</f>
        <v>F213  DMCW-รชล-พระพุทธบาท</v>
      </c>
      <c r="K161" t="str">
        <f>'mk 001 10.3'!K163</f>
        <v>00000  หน่วยงานกลาง</v>
      </c>
      <c r="L161">
        <f>'mk 001 10.3'!L163</f>
        <v>923</v>
      </c>
      <c r="M161">
        <f>'mk 001 10.3'!M163</f>
        <v>0</v>
      </c>
      <c r="Q161" s="13" t="str">
        <f>IF(แปลงข้อมูล!P162,แปลงข้อมูล!H162,"")</f>
        <v/>
      </c>
      <c r="R161" s="1">
        <f>'mk 001 10.3'!R163</f>
        <v>244658</v>
      </c>
      <c r="S161" s="1" t="str">
        <f>'mk 001 10.3'!S163</f>
        <v>14/5/2569</v>
      </c>
      <c r="U161" s="13" t="str">
        <f>IF(แปลงข้อมูล!P162,แปลงข้อมูล!I162,"")</f>
        <v/>
      </c>
      <c r="V161" s="13" t="str">
        <f>IF(แปลงข้อมูล!P162,แปลงข้อมูล!J162,"")</f>
        <v/>
      </c>
      <c r="Y161" s="13" t="str">
        <f>_xlfn.XLOOKUP(V161,'mk 001 10.3'!V:V,'mk 001 10.3'!Y:Y,"")</f>
        <v/>
      </c>
      <c r="Z161" s="13" t="str">
        <f>IF(แปลงข้อมูล!P162,แปลงข้อมูล!N162,"")</f>
        <v/>
      </c>
      <c r="BL161" t="str">
        <f>'mk 001 10.3'!BL163</f>
        <v>SYSBATCH</v>
      </c>
      <c r="BM161">
        <f>'mk 001 10.3'!BM163</f>
        <v>0</v>
      </c>
      <c r="BN161">
        <f>'mk 001 10.3'!BN163</f>
        <v>0</v>
      </c>
    </row>
    <row r="162" spans="1:66" x14ac:dyDescent="0.35">
      <c r="A162">
        <f>'mk 001 10.3'!A164</f>
        <v>0</v>
      </c>
      <c r="B162">
        <f>'mk 001 10.3'!B164</f>
        <v>0</v>
      </c>
      <c r="C162" s="1" t="str">
        <f>'mk 001 10.3'!C164</f>
        <v>14/5/2569</v>
      </c>
      <c r="D162" s="1" t="str">
        <f>'mk 001 10.3'!D164</f>
        <v>14/5/2569</v>
      </c>
      <c r="E162">
        <f>'mk 001 10.3'!E164</f>
        <v>0</v>
      </c>
      <c r="F162" t="str">
        <f>'mk 001 10.3'!F164</f>
        <v>489M</v>
      </c>
      <c r="G162" t="str">
        <f>'mk 001 10.3'!G164</f>
        <v>Modern Trade (Makro)</v>
      </c>
      <c r="H162">
        <f>'mk 001 10.3'!H164</f>
        <v>0</v>
      </c>
      <c r="I162" t="str">
        <f>'mk 001 10.3'!I164</f>
        <v>หน่วยงานกลาง</v>
      </c>
      <c r="J162" t="str">
        <f>'mk 001 10.3'!J164</f>
        <v>F213  DMCW-รชล-พระพุทธบาท</v>
      </c>
      <c r="K162" t="str">
        <f>'mk 001 10.3'!K164</f>
        <v>00000  หน่วยงานกลาง</v>
      </c>
      <c r="L162">
        <f>'mk 001 10.3'!L164</f>
        <v>923</v>
      </c>
      <c r="M162">
        <f>'mk 001 10.3'!M164</f>
        <v>0</v>
      </c>
      <c r="Q162" s="13" t="str">
        <f>IF(แปลงข้อมูล!P163,แปลงข้อมูล!H163,"")</f>
        <v/>
      </c>
      <c r="R162" s="1">
        <f>'mk 001 10.3'!R164</f>
        <v>244658</v>
      </c>
      <c r="S162" s="1" t="str">
        <f>'mk 001 10.3'!S164</f>
        <v>14/5/2569</v>
      </c>
      <c r="U162" s="13" t="str">
        <f>IF(แปลงข้อมูล!P163,แปลงข้อมูล!I163,"")</f>
        <v/>
      </c>
      <c r="V162" s="13" t="str">
        <f>IF(แปลงข้อมูล!P163,แปลงข้อมูล!J163,"")</f>
        <v/>
      </c>
      <c r="Y162" s="13" t="str">
        <f>_xlfn.XLOOKUP(V162,'mk 001 10.3'!V:V,'mk 001 10.3'!Y:Y,"")</f>
        <v/>
      </c>
      <c r="Z162" s="13" t="str">
        <f>IF(แปลงข้อมูล!P163,แปลงข้อมูล!N163,"")</f>
        <v/>
      </c>
      <c r="BL162" t="str">
        <f>'mk 001 10.3'!BL164</f>
        <v>SYSBATCH</v>
      </c>
      <c r="BM162">
        <f>'mk 001 10.3'!BM164</f>
        <v>0</v>
      </c>
      <c r="BN162">
        <f>'mk 001 10.3'!BN164</f>
        <v>0</v>
      </c>
    </row>
    <row r="163" spans="1:66" x14ac:dyDescent="0.35">
      <c r="A163">
        <f>'mk 001 10.3'!A165</f>
        <v>0</v>
      </c>
      <c r="B163">
        <f>'mk 001 10.3'!B165</f>
        <v>0</v>
      </c>
      <c r="C163" s="1" t="str">
        <f>'mk 001 10.3'!C165</f>
        <v>14/5/2569</v>
      </c>
      <c r="D163" s="1" t="str">
        <f>'mk 001 10.3'!D165</f>
        <v>14/5/2569</v>
      </c>
      <c r="E163">
        <f>'mk 001 10.3'!E165</f>
        <v>0</v>
      </c>
      <c r="F163" t="str">
        <f>'mk 001 10.3'!F165</f>
        <v>489M</v>
      </c>
      <c r="G163" t="str">
        <f>'mk 001 10.3'!G165</f>
        <v>Modern Trade (Makro)</v>
      </c>
      <c r="H163">
        <f>'mk 001 10.3'!H165</f>
        <v>0</v>
      </c>
      <c r="I163" t="str">
        <f>'mk 001 10.3'!I165</f>
        <v>หน่วยงานกลาง</v>
      </c>
      <c r="J163" t="str">
        <f>'mk 001 10.3'!J165</f>
        <v>F213  DMCW-รชล-พระพุทธบาท</v>
      </c>
      <c r="K163" t="str">
        <f>'mk 001 10.3'!K165</f>
        <v>00000  หน่วยงานกลาง</v>
      </c>
      <c r="L163">
        <f>'mk 001 10.3'!L165</f>
        <v>923</v>
      </c>
      <c r="M163">
        <f>'mk 001 10.3'!M165</f>
        <v>0</v>
      </c>
      <c r="Q163" s="13" t="str">
        <f>IF(แปลงข้อมูล!P164,แปลงข้อมูล!H164,"")</f>
        <v/>
      </c>
      <c r="R163" s="1">
        <f>'mk 001 10.3'!R165</f>
        <v>244658</v>
      </c>
      <c r="S163" s="1" t="str">
        <f>'mk 001 10.3'!S165</f>
        <v>14/5/2569</v>
      </c>
      <c r="U163" s="13" t="str">
        <f>IF(แปลงข้อมูล!P164,แปลงข้อมูล!I164,"")</f>
        <v/>
      </c>
      <c r="V163" s="13" t="str">
        <f>IF(แปลงข้อมูล!P164,แปลงข้อมูล!J164,"")</f>
        <v/>
      </c>
      <c r="Y163" s="13" t="str">
        <f>_xlfn.XLOOKUP(V163,'mk 001 10.3'!V:V,'mk 001 10.3'!Y:Y,"")</f>
        <v/>
      </c>
      <c r="Z163" s="13" t="str">
        <f>IF(แปลงข้อมูล!P164,แปลงข้อมูล!N164,"")</f>
        <v/>
      </c>
      <c r="BL163" t="str">
        <f>'mk 001 10.3'!BL165</f>
        <v>SYSBATCH</v>
      </c>
      <c r="BM163">
        <f>'mk 001 10.3'!BM165</f>
        <v>0</v>
      </c>
      <c r="BN163">
        <f>'mk 001 10.3'!BN165</f>
        <v>0</v>
      </c>
    </row>
    <row r="164" spans="1:66" x14ac:dyDescent="0.35">
      <c r="A164">
        <f>'mk 001 10.3'!A166</f>
        <v>0</v>
      </c>
      <c r="B164">
        <f>'mk 001 10.3'!B166</f>
        <v>0</v>
      </c>
      <c r="C164" s="1" t="str">
        <f>'mk 001 10.3'!C166</f>
        <v>14/5/2569</v>
      </c>
      <c r="D164" s="1" t="str">
        <f>'mk 001 10.3'!D166</f>
        <v>14/5/2569</v>
      </c>
      <c r="E164">
        <f>'mk 001 10.3'!E166</f>
        <v>0</v>
      </c>
      <c r="F164" t="str">
        <f>'mk 001 10.3'!F166</f>
        <v>489M</v>
      </c>
      <c r="G164" t="str">
        <f>'mk 001 10.3'!G166</f>
        <v>Modern Trade (Makro)</v>
      </c>
      <c r="H164">
        <f>'mk 001 10.3'!H166</f>
        <v>0</v>
      </c>
      <c r="I164" t="str">
        <f>'mk 001 10.3'!I166</f>
        <v>หน่วยงานกลาง</v>
      </c>
      <c r="J164" t="str">
        <f>'mk 001 10.3'!J166</f>
        <v>F213  DMCW-รชล-พระพุทธบาท</v>
      </c>
      <c r="K164" t="str">
        <f>'mk 001 10.3'!K166</f>
        <v>00000  หน่วยงานกลาง</v>
      </c>
      <c r="L164">
        <f>'mk 001 10.3'!L166</f>
        <v>923</v>
      </c>
      <c r="M164">
        <f>'mk 001 10.3'!M166</f>
        <v>0</v>
      </c>
      <c r="Q164" s="13" t="str">
        <f>IF(แปลงข้อมูล!P165,แปลงข้อมูล!H165,"")</f>
        <v/>
      </c>
      <c r="R164" s="1">
        <f>'mk 001 10.3'!R166</f>
        <v>244658</v>
      </c>
      <c r="S164" s="1" t="str">
        <f>'mk 001 10.3'!S166</f>
        <v>14/5/2569</v>
      </c>
      <c r="U164" s="13" t="str">
        <f>IF(แปลงข้อมูล!P165,แปลงข้อมูล!I165,"")</f>
        <v/>
      </c>
      <c r="V164" s="13" t="str">
        <f>IF(แปลงข้อมูล!P165,แปลงข้อมูล!J165,"")</f>
        <v/>
      </c>
      <c r="Y164" s="13" t="str">
        <f>_xlfn.XLOOKUP(V164,'mk 001 10.3'!V:V,'mk 001 10.3'!Y:Y,"")</f>
        <v/>
      </c>
      <c r="Z164" s="13" t="str">
        <f>IF(แปลงข้อมูล!P165,แปลงข้อมูล!N165,"")</f>
        <v/>
      </c>
      <c r="BL164" t="str">
        <f>'mk 001 10.3'!BL166</f>
        <v>SYSBATCH</v>
      </c>
      <c r="BM164">
        <f>'mk 001 10.3'!BM166</f>
        <v>0</v>
      </c>
      <c r="BN164">
        <f>'mk 001 10.3'!BN166</f>
        <v>0</v>
      </c>
    </row>
    <row r="165" spans="1:66" x14ac:dyDescent="0.35">
      <c r="A165">
        <f>'mk 001 10.3'!A167</f>
        <v>0</v>
      </c>
      <c r="B165">
        <f>'mk 001 10.3'!B167</f>
        <v>0</v>
      </c>
      <c r="C165" s="1" t="str">
        <f>'mk 001 10.3'!C167</f>
        <v>14/5/2569</v>
      </c>
      <c r="D165" s="1" t="str">
        <f>'mk 001 10.3'!D167</f>
        <v>14/5/2569</v>
      </c>
      <c r="E165">
        <f>'mk 001 10.3'!E167</f>
        <v>0</v>
      </c>
      <c r="F165" t="str">
        <f>'mk 001 10.3'!F167</f>
        <v>489M</v>
      </c>
      <c r="G165" t="str">
        <f>'mk 001 10.3'!G167</f>
        <v>Modern Trade (Makro)</v>
      </c>
      <c r="H165">
        <f>'mk 001 10.3'!H167</f>
        <v>0</v>
      </c>
      <c r="I165" t="str">
        <f>'mk 001 10.3'!I167</f>
        <v>หน่วยงานกลาง</v>
      </c>
      <c r="J165" t="str">
        <f>'mk 001 10.3'!J167</f>
        <v>F213  DMCW-รชล-พระพุทธบาท</v>
      </c>
      <c r="K165" t="str">
        <f>'mk 001 10.3'!K167</f>
        <v>00000  หน่วยงานกลาง</v>
      </c>
      <c r="L165">
        <f>'mk 001 10.3'!L167</f>
        <v>923</v>
      </c>
      <c r="M165">
        <f>'mk 001 10.3'!M167</f>
        <v>0</v>
      </c>
      <c r="Q165" s="13" t="str">
        <f>IF(แปลงข้อมูล!P166,แปลงข้อมูล!H166,"")</f>
        <v/>
      </c>
      <c r="R165" s="1">
        <f>'mk 001 10.3'!R167</f>
        <v>244658</v>
      </c>
      <c r="S165" s="1" t="str">
        <f>'mk 001 10.3'!S167</f>
        <v>14/5/2569</v>
      </c>
      <c r="U165" s="13" t="str">
        <f>IF(แปลงข้อมูล!P166,แปลงข้อมูล!I166,"")</f>
        <v/>
      </c>
      <c r="V165" s="13" t="str">
        <f>IF(แปลงข้อมูล!P166,แปลงข้อมูล!J166,"")</f>
        <v/>
      </c>
      <c r="Y165" s="13" t="str">
        <f>_xlfn.XLOOKUP(V165,'mk 001 10.3'!V:V,'mk 001 10.3'!Y:Y,"")</f>
        <v/>
      </c>
      <c r="Z165" s="13" t="str">
        <f>IF(แปลงข้อมูล!P166,แปลงข้อมูล!N166,"")</f>
        <v/>
      </c>
      <c r="BL165" t="str">
        <f>'mk 001 10.3'!BL167</f>
        <v>SYSBATCH</v>
      </c>
      <c r="BM165">
        <f>'mk 001 10.3'!BM167</f>
        <v>0</v>
      </c>
      <c r="BN165">
        <f>'mk 001 10.3'!BN167</f>
        <v>0</v>
      </c>
    </row>
    <row r="166" spans="1:66" x14ac:dyDescent="0.35">
      <c r="A166">
        <f>'mk 001 10.3'!A168</f>
        <v>0</v>
      </c>
      <c r="B166">
        <f>'mk 001 10.3'!B168</f>
        <v>0</v>
      </c>
      <c r="C166" s="1" t="str">
        <f>'mk 001 10.3'!C168</f>
        <v>14/5/2569</v>
      </c>
      <c r="D166" s="1" t="str">
        <f>'mk 001 10.3'!D168</f>
        <v>14/5/2569</v>
      </c>
      <c r="E166">
        <f>'mk 001 10.3'!E168</f>
        <v>0</v>
      </c>
      <c r="F166" t="str">
        <f>'mk 001 10.3'!F168</f>
        <v>489M</v>
      </c>
      <c r="G166" t="str">
        <f>'mk 001 10.3'!G168</f>
        <v>Modern Trade (Makro)</v>
      </c>
      <c r="H166">
        <f>'mk 001 10.3'!H168</f>
        <v>0</v>
      </c>
      <c r="I166" t="str">
        <f>'mk 001 10.3'!I168</f>
        <v>หน่วยงานกลาง</v>
      </c>
      <c r="J166" t="str">
        <f>'mk 001 10.3'!J168</f>
        <v>F213  DMCW-รชล-พระพุทธบาท</v>
      </c>
      <c r="K166" t="str">
        <f>'mk 001 10.3'!K168</f>
        <v>00000  หน่วยงานกลาง</v>
      </c>
      <c r="L166">
        <f>'mk 001 10.3'!L168</f>
        <v>923</v>
      </c>
      <c r="M166">
        <f>'mk 001 10.3'!M168</f>
        <v>0</v>
      </c>
      <c r="Q166" s="13" t="str">
        <f>IF(แปลงข้อมูล!P167,แปลงข้อมูล!H167,"")</f>
        <v/>
      </c>
      <c r="R166" s="1">
        <f>'mk 001 10.3'!R168</f>
        <v>244658</v>
      </c>
      <c r="S166" s="1" t="str">
        <f>'mk 001 10.3'!S168</f>
        <v>14/5/2569</v>
      </c>
      <c r="U166" s="13" t="str">
        <f>IF(แปลงข้อมูล!P167,แปลงข้อมูล!I167,"")</f>
        <v/>
      </c>
      <c r="V166" s="13" t="str">
        <f>IF(แปลงข้อมูล!P167,แปลงข้อมูล!J167,"")</f>
        <v/>
      </c>
      <c r="Y166" s="13" t="str">
        <f>_xlfn.XLOOKUP(V166,'mk 001 10.3'!V:V,'mk 001 10.3'!Y:Y,"")</f>
        <v/>
      </c>
      <c r="Z166" s="13" t="str">
        <f>IF(แปลงข้อมูล!P167,แปลงข้อมูล!N167,"")</f>
        <v/>
      </c>
      <c r="BL166" t="str">
        <f>'mk 001 10.3'!BL168</f>
        <v>SYSBATCH</v>
      </c>
      <c r="BM166">
        <f>'mk 001 10.3'!BM168</f>
        <v>0</v>
      </c>
      <c r="BN166">
        <f>'mk 001 10.3'!BN168</f>
        <v>0</v>
      </c>
    </row>
    <row r="167" spans="1:66" x14ac:dyDescent="0.35">
      <c r="A167">
        <f>'mk 001 10.3'!A169</f>
        <v>0</v>
      </c>
      <c r="B167">
        <f>'mk 001 10.3'!B169</f>
        <v>0</v>
      </c>
      <c r="C167" s="1" t="str">
        <f>'mk 001 10.3'!C169</f>
        <v>14/5/2569</v>
      </c>
      <c r="D167" s="1" t="str">
        <f>'mk 001 10.3'!D169</f>
        <v>14/5/2569</v>
      </c>
      <c r="E167">
        <f>'mk 001 10.3'!E169</f>
        <v>0</v>
      </c>
      <c r="F167" t="str">
        <f>'mk 001 10.3'!F169</f>
        <v>489M</v>
      </c>
      <c r="G167" t="str">
        <f>'mk 001 10.3'!G169</f>
        <v>Modern Trade (Makro)</v>
      </c>
      <c r="H167">
        <f>'mk 001 10.3'!H169</f>
        <v>0</v>
      </c>
      <c r="I167" t="str">
        <f>'mk 001 10.3'!I169</f>
        <v>หน่วยงานกลาง</v>
      </c>
      <c r="J167" t="str">
        <f>'mk 001 10.3'!J169</f>
        <v>F213  DMCW-รชล-พระพุทธบาท</v>
      </c>
      <c r="K167" t="str">
        <f>'mk 001 10.3'!K169</f>
        <v>00000  หน่วยงานกลาง</v>
      </c>
      <c r="L167">
        <f>'mk 001 10.3'!L169</f>
        <v>923</v>
      </c>
      <c r="M167">
        <f>'mk 001 10.3'!M169</f>
        <v>0</v>
      </c>
      <c r="Q167" s="13" t="str">
        <f>IF(แปลงข้อมูล!P168,แปลงข้อมูล!H168,"")</f>
        <v/>
      </c>
      <c r="R167" s="1">
        <f>'mk 001 10.3'!R169</f>
        <v>244658</v>
      </c>
      <c r="S167" s="1" t="str">
        <f>'mk 001 10.3'!S169</f>
        <v>14/5/2569</v>
      </c>
      <c r="U167" s="13" t="str">
        <f>IF(แปลงข้อมูล!P168,แปลงข้อมูล!I168,"")</f>
        <v/>
      </c>
      <c r="V167" s="13" t="str">
        <f>IF(แปลงข้อมูล!P168,แปลงข้อมูล!J168,"")</f>
        <v/>
      </c>
      <c r="Y167" s="13" t="str">
        <f>_xlfn.XLOOKUP(V167,'mk 001 10.3'!V:V,'mk 001 10.3'!Y:Y,"")</f>
        <v/>
      </c>
      <c r="Z167" s="13" t="str">
        <f>IF(แปลงข้อมูล!P168,แปลงข้อมูล!N168,"")</f>
        <v/>
      </c>
      <c r="BL167" t="str">
        <f>'mk 001 10.3'!BL169</f>
        <v>SYSBATCH</v>
      </c>
      <c r="BM167">
        <f>'mk 001 10.3'!BM169</f>
        <v>0</v>
      </c>
      <c r="BN167">
        <f>'mk 001 10.3'!BN169</f>
        <v>0</v>
      </c>
    </row>
    <row r="168" spans="1:66" x14ac:dyDescent="0.35">
      <c r="A168">
        <f>'mk 001 10.3'!A170</f>
        <v>0</v>
      </c>
      <c r="B168">
        <f>'mk 001 10.3'!B170</f>
        <v>0</v>
      </c>
      <c r="C168" s="1" t="str">
        <f>'mk 001 10.3'!C170</f>
        <v>14/5/2569</v>
      </c>
      <c r="D168" s="1" t="str">
        <f>'mk 001 10.3'!D170</f>
        <v>14/5/2569</v>
      </c>
      <c r="E168">
        <f>'mk 001 10.3'!E170</f>
        <v>0</v>
      </c>
      <c r="F168" t="str">
        <f>'mk 001 10.3'!F170</f>
        <v>489M</v>
      </c>
      <c r="G168" t="str">
        <f>'mk 001 10.3'!G170</f>
        <v>Modern Trade (Makro)</v>
      </c>
      <c r="H168">
        <f>'mk 001 10.3'!H170</f>
        <v>0</v>
      </c>
      <c r="I168" t="str">
        <f>'mk 001 10.3'!I170</f>
        <v>หน่วยงานกลาง</v>
      </c>
      <c r="J168" t="str">
        <f>'mk 001 10.3'!J170</f>
        <v>F213  DMCW-รชล-พระพุทธบาท</v>
      </c>
      <c r="K168" t="str">
        <f>'mk 001 10.3'!K170</f>
        <v>00000  หน่วยงานกลาง</v>
      </c>
      <c r="L168">
        <f>'mk 001 10.3'!L170</f>
        <v>923</v>
      </c>
      <c r="M168">
        <f>'mk 001 10.3'!M170</f>
        <v>0</v>
      </c>
      <c r="Q168" s="13" t="str">
        <f>IF(แปลงข้อมูล!P169,แปลงข้อมูล!H169,"")</f>
        <v/>
      </c>
      <c r="R168" s="1">
        <f>'mk 001 10.3'!R170</f>
        <v>244658</v>
      </c>
      <c r="S168" s="1" t="str">
        <f>'mk 001 10.3'!S170</f>
        <v>14/5/2569</v>
      </c>
      <c r="U168" s="13" t="str">
        <f>IF(แปลงข้อมูล!P169,แปลงข้อมูล!I169,"")</f>
        <v/>
      </c>
      <c r="V168" s="13" t="str">
        <f>IF(แปลงข้อมูล!P169,แปลงข้อมูล!J169,"")</f>
        <v/>
      </c>
      <c r="Y168" s="13" t="str">
        <f>_xlfn.XLOOKUP(V168,'mk 001 10.3'!V:V,'mk 001 10.3'!Y:Y,"")</f>
        <v/>
      </c>
      <c r="Z168" s="13" t="str">
        <f>IF(แปลงข้อมูล!P169,แปลงข้อมูล!N169,"")</f>
        <v/>
      </c>
      <c r="BL168" t="str">
        <f>'mk 001 10.3'!BL170</f>
        <v>SYSBATCH</v>
      </c>
      <c r="BM168">
        <f>'mk 001 10.3'!BM170</f>
        <v>0</v>
      </c>
      <c r="BN168">
        <f>'mk 001 10.3'!BN170</f>
        <v>0</v>
      </c>
    </row>
    <row r="169" spans="1:66" x14ac:dyDescent="0.35">
      <c r="A169">
        <f>'mk 001 10.3'!A171</f>
        <v>0</v>
      </c>
      <c r="B169">
        <f>'mk 001 10.3'!B171</f>
        <v>0</v>
      </c>
      <c r="C169" s="1" t="str">
        <f>'mk 001 10.3'!C171</f>
        <v>14/5/2569</v>
      </c>
      <c r="D169" s="1" t="str">
        <f>'mk 001 10.3'!D171</f>
        <v>14/5/2569</v>
      </c>
      <c r="E169">
        <f>'mk 001 10.3'!E171</f>
        <v>0</v>
      </c>
      <c r="F169" t="str">
        <f>'mk 001 10.3'!F171</f>
        <v>489M</v>
      </c>
      <c r="G169" t="str">
        <f>'mk 001 10.3'!G171</f>
        <v>Modern Trade (Makro)</v>
      </c>
      <c r="H169">
        <f>'mk 001 10.3'!H171</f>
        <v>0</v>
      </c>
      <c r="I169" t="str">
        <f>'mk 001 10.3'!I171</f>
        <v>หน่วยงานกลาง</v>
      </c>
      <c r="J169" t="str">
        <f>'mk 001 10.3'!J171</f>
        <v>F213  DMCW-รชล-พระพุทธบาท</v>
      </c>
      <c r="K169" t="str">
        <f>'mk 001 10.3'!K171</f>
        <v>00000  หน่วยงานกลาง</v>
      </c>
      <c r="L169">
        <f>'mk 001 10.3'!L171</f>
        <v>923</v>
      </c>
      <c r="M169">
        <f>'mk 001 10.3'!M171</f>
        <v>0</v>
      </c>
      <c r="Q169" s="13" t="str">
        <f>IF(แปลงข้อมูล!P170,แปลงข้อมูล!H170,"")</f>
        <v/>
      </c>
      <c r="R169" s="1">
        <f>'mk 001 10.3'!R171</f>
        <v>244658</v>
      </c>
      <c r="S169" s="1" t="str">
        <f>'mk 001 10.3'!S171</f>
        <v>14/5/2569</v>
      </c>
      <c r="U169" s="13" t="str">
        <f>IF(แปลงข้อมูล!P170,แปลงข้อมูล!I170,"")</f>
        <v/>
      </c>
      <c r="V169" s="13" t="str">
        <f>IF(แปลงข้อมูล!P170,แปลงข้อมูล!J170,"")</f>
        <v/>
      </c>
      <c r="Y169" s="13" t="str">
        <f>_xlfn.XLOOKUP(V169,'mk 001 10.3'!V:V,'mk 001 10.3'!Y:Y,"")</f>
        <v/>
      </c>
      <c r="Z169" s="13" t="str">
        <f>IF(แปลงข้อมูล!P170,แปลงข้อมูล!N170,"")</f>
        <v/>
      </c>
      <c r="BL169" t="str">
        <f>'mk 001 10.3'!BL171</f>
        <v>SYSBATCH</v>
      </c>
      <c r="BM169">
        <f>'mk 001 10.3'!BM171</f>
        <v>0</v>
      </c>
      <c r="BN169">
        <f>'mk 001 10.3'!BN171</f>
        <v>0</v>
      </c>
    </row>
    <row r="170" spans="1:66" x14ac:dyDescent="0.35">
      <c r="A170">
        <f>'mk 001 10.3'!A172</f>
        <v>0</v>
      </c>
      <c r="B170">
        <f>'mk 001 10.3'!B172</f>
        <v>0</v>
      </c>
      <c r="C170" s="1" t="str">
        <f>'mk 001 10.3'!C172</f>
        <v>14/5/2569</v>
      </c>
      <c r="D170" s="1" t="str">
        <f>'mk 001 10.3'!D172</f>
        <v>14/5/2569</v>
      </c>
      <c r="E170">
        <f>'mk 001 10.3'!E172</f>
        <v>0</v>
      </c>
      <c r="F170" t="str">
        <f>'mk 001 10.3'!F172</f>
        <v>489M</v>
      </c>
      <c r="G170" t="str">
        <f>'mk 001 10.3'!G172</f>
        <v>Modern Trade (Makro)</v>
      </c>
      <c r="H170">
        <f>'mk 001 10.3'!H172</f>
        <v>0</v>
      </c>
      <c r="I170" t="str">
        <f>'mk 001 10.3'!I172</f>
        <v>หน่วยงานกลาง</v>
      </c>
      <c r="J170" t="str">
        <f>'mk 001 10.3'!J172</f>
        <v>F213  DMCW-รชล-พระพุทธบาท</v>
      </c>
      <c r="K170" t="str">
        <f>'mk 001 10.3'!K172</f>
        <v>00000  หน่วยงานกลาง</v>
      </c>
      <c r="L170">
        <f>'mk 001 10.3'!L172</f>
        <v>923</v>
      </c>
      <c r="M170">
        <f>'mk 001 10.3'!M172</f>
        <v>0</v>
      </c>
      <c r="Q170" s="13" t="str">
        <f>IF(แปลงข้อมูล!P171,แปลงข้อมูล!H171,"")</f>
        <v/>
      </c>
      <c r="R170" s="1">
        <f>'mk 001 10.3'!R172</f>
        <v>244658</v>
      </c>
      <c r="S170" s="1" t="str">
        <f>'mk 001 10.3'!S172</f>
        <v>14/5/2569</v>
      </c>
      <c r="U170" s="13" t="str">
        <f>IF(แปลงข้อมูล!P171,แปลงข้อมูล!I171,"")</f>
        <v/>
      </c>
      <c r="V170" s="13" t="str">
        <f>IF(แปลงข้อมูล!P171,แปลงข้อมูล!J171,"")</f>
        <v/>
      </c>
      <c r="Y170" s="13" t="str">
        <f>_xlfn.XLOOKUP(V170,'mk 001 10.3'!V:V,'mk 001 10.3'!Y:Y,"")</f>
        <v/>
      </c>
      <c r="Z170" s="13" t="str">
        <f>IF(แปลงข้อมูล!P171,แปลงข้อมูล!N171,"")</f>
        <v/>
      </c>
      <c r="BL170" t="str">
        <f>'mk 001 10.3'!BL172</f>
        <v>SYSBATCH</v>
      </c>
      <c r="BM170">
        <f>'mk 001 10.3'!BM172</f>
        <v>0</v>
      </c>
      <c r="BN170">
        <f>'mk 001 10.3'!BN172</f>
        <v>0</v>
      </c>
    </row>
    <row r="171" spans="1:66" x14ac:dyDescent="0.35">
      <c r="A171">
        <f>'mk 001 10.3'!A173</f>
        <v>0</v>
      </c>
      <c r="B171">
        <f>'mk 001 10.3'!B173</f>
        <v>0</v>
      </c>
      <c r="C171" s="1" t="str">
        <f>'mk 001 10.3'!C173</f>
        <v>14/5/2569</v>
      </c>
      <c r="D171" s="1" t="str">
        <f>'mk 001 10.3'!D173</f>
        <v>14/5/2569</v>
      </c>
      <c r="E171">
        <f>'mk 001 10.3'!E173</f>
        <v>0</v>
      </c>
      <c r="F171" t="str">
        <f>'mk 001 10.3'!F173</f>
        <v>489M</v>
      </c>
      <c r="G171" t="str">
        <f>'mk 001 10.3'!G173</f>
        <v>Modern Trade (Makro)</v>
      </c>
      <c r="H171">
        <f>'mk 001 10.3'!H173</f>
        <v>0</v>
      </c>
      <c r="I171" t="str">
        <f>'mk 001 10.3'!I173</f>
        <v>หน่วยงานกลาง</v>
      </c>
      <c r="J171" t="str">
        <f>'mk 001 10.3'!J173</f>
        <v>F213  DMCW-รชล-พระพุทธบาท</v>
      </c>
      <c r="K171" t="str">
        <f>'mk 001 10.3'!K173</f>
        <v>00000  หน่วยงานกลาง</v>
      </c>
      <c r="L171">
        <f>'mk 001 10.3'!L173</f>
        <v>923</v>
      </c>
      <c r="M171">
        <f>'mk 001 10.3'!M173</f>
        <v>0</v>
      </c>
      <c r="Q171" s="13" t="str">
        <f>IF(แปลงข้อมูล!P172,แปลงข้อมูล!H172,"")</f>
        <v/>
      </c>
      <c r="R171" s="1">
        <f>'mk 001 10.3'!R173</f>
        <v>244658</v>
      </c>
      <c r="S171" s="1" t="str">
        <f>'mk 001 10.3'!S173</f>
        <v>14/5/2569</v>
      </c>
      <c r="U171" s="13" t="str">
        <f>IF(แปลงข้อมูล!P172,แปลงข้อมูล!I172,"")</f>
        <v/>
      </c>
      <c r="V171" s="13" t="str">
        <f>IF(แปลงข้อมูล!P172,แปลงข้อมูล!J172,"")</f>
        <v/>
      </c>
      <c r="Y171" s="13" t="str">
        <f>_xlfn.XLOOKUP(V171,'mk 001 10.3'!V:V,'mk 001 10.3'!Y:Y,"")</f>
        <v/>
      </c>
      <c r="Z171" s="13" t="str">
        <f>IF(แปลงข้อมูล!P172,แปลงข้อมูล!N172,"")</f>
        <v/>
      </c>
      <c r="BL171" t="str">
        <f>'mk 001 10.3'!BL173</f>
        <v>SYSBATCH</v>
      </c>
      <c r="BM171">
        <f>'mk 001 10.3'!BM173</f>
        <v>0</v>
      </c>
      <c r="BN171">
        <f>'mk 001 10.3'!BN173</f>
        <v>0</v>
      </c>
    </row>
    <row r="172" spans="1:66" x14ac:dyDescent="0.35">
      <c r="A172">
        <f>'mk 001 10.3'!A174</f>
        <v>0</v>
      </c>
      <c r="B172">
        <f>'mk 001 10.3'!B174</f>
        <v>0</v>
      </c>
      <c r="C172" s="1" t="str">
        <f>'mk 001 10.3'!C174</f>
        <v>14/5/2569</v>
      </c>
      <c r="D172" s="1" t="str">
        <f>'mk 001 10.3'!D174</f>
        <v>14/5/2569</v>
      </c>
      <c r="E172">
        <f>'mk 001 10.3'!E174</f>
        <v>0</v>
      </c>
      <c r="F172" t="str">
        <f>'mk 001 10.3'!F174</f>
        <v>489M</v>
      </c>
      <c r="G172" t="str">
        <f>'mk 001 10.3'!G174</f>
        <v>Modern Trade (Makro)</v>
      </c>
      <c r="H172">
        <f>'mk 001 10.3'!H174</f>
        <v>0</v>
      </c>
      <c r="I172" t="str">
        <f>'mk 001 10.3'!I174</f>
        <v>หน่วยงานกลาง</v>
      </c>
      <c r="J172" t="str">
        <f>'mk 001 10.3'!J174</f>
        <v>F213  DMCW-รชล-พระพุทธบาท</v>
      </c>
      <c r="K172" t="str">
        <f>'mk 001 10.3'!K174</f>
        <v>00000  หน่วยงานกลาง</v>
      </c>
      <c r="L172">
        <f>'mk 001 10.3'!L174</f>
        <v>923</v>
      </c>
      <c r="M172">
        <f>'mk 001 10.3'!M174</f>
        <v>0</v>
      </c>
      <c r="Q172" s="13" t="str">
        <f>IF(แปลงข้อมูล!P173,แปลงข้อมูล!H173,"")</f>
        <v/>
      </c>
      <c r="R172" s="1">
        <f>'mk 001 10.3'!R174</f>
        <v>244658</v>
      </c>
      <c r="S172" s="1" t="str">
        <f>'mk 001 10.3'!S174</f>
        <v>14/5/2569</v>
      </c>
      <c r="U172" s="13" t="str">
        <f>IF(แปลงข้อมูล!P173,แปลงข้อมูล!I173,"")</f>
        <v/>
      </c>
      <c r="V172" s="13" t="str">
        <f>IF(แปลงข้อมูล!P173,แปลงข้อมูล!J173,"")</f>
        <v/>
      </c>
      <c r="Y172" s="13" t="str">
        <f>_xlfn.XLOOKUP(V172,'mk 001 10.3'!V:V,'mk 001 10.3'!Y:Y,"")</f>
        <v/>
      </c>
      <c r="Z172" s="13" t="str">
        <f>IF(แปลงข้อมูล!P173,แปลงข้อมูล!N173,"")</f>
        <v/>
      </c>
      <c r="BL172" t="str">
        <f>'mk 001 10.3'!BL174</f>
        <v>SYSBATCH</v>
      </c>
      <c r="BM172">
        <f>'mk 001 10.3'!BM174</f>
        <v>0</v>
      </c>
      <c r="BN172">
        <f>'mk 001 10.3'!BN174</f>
        <v>0</v>
      </c>
    </row>
    <row r="173" spans="1:66" x14ac:dyDescent="0.35">
      <c r="A173">
        <f>'mk 001 10.3'!A175</f>
        <v>0</v>
      </c>
      <c r="B173">
        <f>'mk 001 10.3'!B175</f>
        <v>0</v>
      </c>
      <c r="C173" s="1" t="str">
        <f>'mk 001 10.3'!C175</f>
        <v>14/5/2569</v>
      </c>
      <c r="D173" s="1" t="str">
        <f>'mk 001 10.3'!D175</f>
        <v>14/5/2569</v>
      </c>
      <c r="E173">
        <f>'mk 001 10.3'!E175</f>
        <v>0</v>
      </c>
      <c r="F173" t="str">
        <f>'mk 001 10.3'!F175</f>
        <v>489M</v>
      </c>
      <c r="G173" t="str">
        <f>'mk 001 10.3'!G175</f>
        <v>Modern Trade (Makro)</v>
      </c>
      <c r="H173">
        <f>'mk 001 10.3'!H175</f>
        <v>0</v>
      </c>
      <c r="I173" t="str">
        <f>'mk 001 10.3'!I175</f>
        <v>หน่วยงานกลาง</v>
      </c>
      <c r="J173" t="str">
        <f>'mk 001 10.3'!J175</f>
        <v>F213  DMCW-รชล-พระพุทธบาท</v>
      </c>
      <c r="K173" t="str">
        <f>'mk 001 10.3'!K175</f>
        <v>00000  หน่วยงานกลาง</v>
      </c>
      <c r="L173">
        <f>'mk 001 10.3'!L175</f>
        <v>923</v>
      </c>
      <c r="M173">
        <f>'mk 001 10.3'!M175</f>
        <v>0</v>
      </c>
      <c r="Q173" s="13" t="str">
        <f>IF(แปลงข้อมูล!P174,แปลงข้อมูล!H174,"")</f>
        <v/>
      </c>
      <c r="R173" s="1">
        <f>'mk 001 10.3'!R175</f>
        <v>244658</v>
      </c>
      <c r="S173" s="1" t="str">
        <f>'mk 001 10.3'!S175</f>
        <v>14/5/2569</v>
      </c>
      <c r="U173" s="13" t="str">
        <f>IF(แปลงข้อมูล!P174,แปลงข้อมูล!I174,"")</f>
        <v/>
      </c>
      <c r="V173" s="13" t="str">
        <f>IF(แปลงข้อมูล!P174,แปลงข้อมูล!J174,"")</f>
        <v/>
      </c>
      <c r="Y173" s="13" t="str">
        <f>_xlfn.XLOOKUP(V173,'mk 001 10.3'!V:V,'mk 001 10.3'!Y:Y,"")</f>
        <v/>
      </c>
      <c r="Z173" s="13" t="str">
        <f>IF(แปลงข้อมูล!P174,แปลงข้อมูล!N174,"")</f>
        <v/>
      </c>
      <c r="BL173" t="str">
        <f>'mk 001 10.3'!BL175</f>
        <v>SYSBATCH</v>
      </c>
      <c r="BM173">
        <f>'mk 001 10.3'!BM175</f>
        <v>0</v>
      </c>
      <c r="BN173">
        <f>'mk 001 10.3'!BN175</f>
        <v>0</v>
      </c>
    </row>
    <row r="174" spans="1:66" x14ac:dyDescent="0.35">
      <c r="A174">
        <f>'mk 001 10.3'!A176</f>
        <v>0</v>
      </c>
      <c r="B174">
        <f>'mk 001 10.3'!B176</f>
        <v>0</v>
      </c>
      <c r="C174" s="1" t="str">
        <f>'mk 001 10.3'!C176</f>
        <v>14/5/2569</v>
      </c>
      <c r="D174" s="1" t="str">
        <f>'mk 001 10.3'!D176</f>
        <v>14/5/2569</v>
      </c>
      <c r="E174">
        <f>'mk 001 10.3'!E176</f>
        <v>0</v>
      </c>
      <c r="F174" t="str">
        <f>'mk 001 10.3'!F176</f>
        <v>489M</v>
      </c>
      <c r="G174" t="str">
        <f>'mk 001 10.3'!G176</f>
        <v>Modern Trade (Makro)</v>
      </c>
      <c r="H174">
        <f>'mk 001 10.3'!H176</f>
        <v>0</v>
      </c>
      <c r="I174" t="str">
        <f>'mk 001 10.3'!I176</f>
        <v>หน่วยงานกลาง</v>
      </c>
      <c r="J174" t="str">
        <f>'mk 001 10.3'!J176</f>
        <v>F213  DMCW-รชล-พระพุทธบาท</v>
      </c>
      <c r="K174" t="str">
        <f>'mk 001 10.3'!K176</f>
        <v>00000  หน่วยงานกลาง</v>
      </c>
      <c r="L174">
        <f>'mk 001 10.3'!L176</f>
        <v>923</v>
      </c>
      <c r="M174">
        <f>'mk 001 10.3'!M176</f>
        <v>0</v>
      </c>
      <c r="Q174" s="13" t="str">
        <f>IF(แปลงข้อมูล!P175,แปลงข้อมูล!H175,"")</f>
        <v/>
      </c>
      <c r="R174" s="1">
        <f>'mk 001 10.3'!R176</f>
        <v>244658</v>
      </c>
      <c r="S174" s="1" t="str">
        <f>'mk 001 10.3'!S176</f>
        <v>14/5/2569</v>
      </c>
      <c r="U174" s="13" t="str">
        <f>IF(แปลงข้อมูล!P175,แปลงข้อมูล!I175,"")</f>
        <v/>
      </c>
      <c r="V174" s="13" t="str">
        <f>IF(แปลงข้อมูล!P175,แปลงข้อมูล!J175,"")</f>
        <v/>
      </c>
      <c r="Y174" s="13" t="str">
        <f>_xlfn.XLOOKUP(V174,'mk 001 10.3'!V:V,'mk 001 10.3'!Y:Y,"")</f>
        <v/>
      </c>
      <c r="Z174" s="13" t="str">
        <f>IF(แปลงข้อมูล!P175,แปลงข้อมูล!N175,"")</f>
        <v/>
      </c>
      <c r="BL174" t="str">
        <f>'mk 001 10.3'!BL176</f>
        <v>SYSBATCH</v>
      </c>
      <c r="BM174">
        <f>'mk 001 10.3'!BM176</f>
        <v>0</v>
      </c>
      <c r="BN174">
        <f>'mk 001 10.3'!BN176</f>
        <v>0</v>
      </c>
    </row>
    <row r="175" spans="1:66" x14ac:dyDescent="0.35">
      <c r="A175">
        <f>'mk 001 10.3'!A177</f>
        <v>0</v>
      </c>
      <c r="B175">
        <f>'mk 001 10.3'!B177</f>
        <v>0</v>
      </c>
      <c r="C175" s="1" t="str">
        <f>'mk 001 10.3'!C177</f>
        <v>14/5/2569</v>
      </c>
      <c r="D175" s="1" t="str">
        <f>'mk 001 10.3'!D177</f>
        <v>14/5/2569</v>
      </c>
      <c r="E175">
        <f>'mk 001 10.3'!E177</f>
        <v>0</v>
      </c>
      <c r="F175" t="str">
        <f>'mk 001 10.3'!F177</f>
        <v>489M</v>
      </c>
      <c r="G175" t="str">
        <f>'mk 001 10.3'!G177</f>
        <v>Modern Trade (Makro)</v>
      </c>
      <c r="H175">
        <f>'mk 001 10.3'!H177</f>
        <v>0</v>
      </c>
      <c r="I175" t="str">
        <f>'mk 001 10.3'!I177</f>
        <v>หน่วยงานกลาง</v>
      </c>
      <c r="J175" t="str">
        <f>'mk 001 10.3'!J177</f>
        <v>F213  DMCW-รชล-พระพุทธบาท</v>
      </c>
      <c r="K175" t="str">
        <f>'mk 001 10.3'!K177</f>
        <v>00000  หน่วยงานกลาง</v>
      </c>
      <c r="L175">
        <f>'mk 001 10.3'!L177</f>
        <v>923</v>
      </c>
      <c r="M175">
        <f>'mk 001 10.3'!M177</f>
        <v>0</v>
      </c>
      <c r="Q175" s="13" t="str">
        <f>IF(แปลงข้อมูล!P176,แปลงข้อมูล!H176,"")</f>
        <v/>
      </c>
      <c r="R175" s="1">
        <f>'mk 001 10.3'!R177</f>
        <v>244658</v>
      </c>
      <c r="S175" s="1" t="str">
        <f>'mk 001 10.3'!S177</f>
        <v>14/5/2569</v>
      </c>
      <c r="U175" s="13" t="str">
        <f>IF(แปลงข้อมูล!P176,แปลงข้อมูล!I176,"")</f>
        <v/>
      </c>
      <c r="V175" s="13" t="str">
        <f>IF(แปลงข้อมูล!P176,แปลงข้อมูล!J176,"")</f>
        <v/>
      </c>
      <c r="Y175" s="13" t="str">
        <f>_xlfn.XLOOKUP(V175,'mk 001 10.3'!V:V,'mk 001 10.3'!Y:Y,"")</f>
        <v/>
      </c>
      <c r="Z175" s="13" t="str">
        <f>IF(แปลงข้อมูล!P176,แปลงข้อมูล!N176,"")</f>
        <v/>
      </c>
      <c r="BL175" t="str">
        <f>'mk 001 10.3'!BL177</f>
        <v>SYSBATCH</v>
      </c>
      <c r="BM175">
        <f>'mk 001 10.3'!BM177</f>
        <v>0</v>
      </c>
      <c r="BN175">
        <f>'mk 001 10.3'!BN177</f>
        <v>0</v>
      </c>
    </row>
    <row r="176" spans="1:66" x14ac:dyDescent="0.35">
      <c r="A176">
        <f>'mk 001 10.3'!A178</f>
        <v>0</v>
      </c>
      <c r="B176">
        <f>'mk 001 10.3'!B178</f>
        <v>0</v>
      </c>
      <c r="C176" s="1" t="str">
        <f>'mk 001 10.3'!C178</f>
        <v>14/5/2569</v>
      </c>
      <c r="D176" s="1" t="str">
        <f>'mk 001 10.3'!D178</f>
        <v>14/5/2569</v>
      </c>
      <c r="E176">
        <f>'mk 001 10.3'!E178</f>
        <v>0</v>
      </c>
      <c r="F176" t="str">
        <f>'mk 001 10.3'!F178</f>
        <v>489M</v>
      </c>
      <c r="G176" t="str">
        <f>'mk 001 10.3'!G178</f>
        <v>Modern Trade (Makro)</v>
      </c>
      <c r="H176">
        <f>'mk 001 10.3'!H178</f>
        <v>0</v>
      </c>
      <c r="I176" t="str">
        <f>'mk 001 10.3'!I178</f>
        <v>หน่วยงานกลาง</v>
      </c>
      <c r="J176" t="str">
        <f>'mk 001 10.3'!J178</f>
        <v>F213  DMCW-รชล-พระพุทธบาท</v>
      </c>
      <c r="K176" t="str">
        <f>'mk 001 10.3'!K178</f>
        <v>00000  หน่วยงานกลาง</v>
      </c>
      <c r="L176">
        <f>'mk 001 10.3'!L178</f>
        <v>923</v>
      </c>
      <c r="M176">
        <f>'mk 001 10.3'!M178</f>
        <v>0</v>
      </c>
      <c r="Q176" s="13" t="str">
        <f>IF(แปลงข้อมูล!P177,แปลงข้อมูล!H177,"")</f>
        <v/>
      </c>
      <c r="R176" s="1">
        <f>'mk 001 10.3'!R178</f>
        <v>244658</v>
      </c>
      <c r="S176" s="1" t="str">
        <f>'mk 001 10.3'!S178</f>
        <v>14/5/2569</v>
      </c>
      <c r="U176" s="13" t="str">
        <f>IF(แปลงข้อมูล!P177,แปลงข้อมูล!I177,"")</f>
        <v/>
      </c>
      <c r="V176" s="13" t="str">
        <f>IF(แปลงข้อมูล!P177,แปลงข้อมูล!J177,"")</f>
        <v/>
      </c>
      <c r="Y176" s="13" t="str">
        <f>_xlfn.XLOOKUP(V176,'mk 001 10.3'!V:V,'mk 001 10.3'!Y:Y,"")</f>
        <v/>
      </c>
      <c r="Z176" s="13" t="str">
        <f>IF(แปลงข้อมูล!P177,แปลงข้อมูล!N177,"")</f>
        <v/>
      </c>
      <c r="BL176" t="str">
        <f>'mk 001 10.3'!BL178</f>
        <v>SYSBATCH</v>
      </c>
      <c r="BM176">
        <f>'mk 001 10.3'!BM178</f>
        <v>0</v>
      </c>
      <c r="BN176">
        <f>'mk 001 10.3'!BN178</f>
        <v>0</v>
      </c>
    </row>
    <row r="177" spans="1:66" x14ac:dyDescent="0.35">
      <c r="A177">
        <f>'mk 001 10.3'!A179</f>
        <v>0</v>
      </c>
      <c r="B177">
        <f>'mk 001 10.3'!B179</f>
        <v>0</v>
      </c>
      <c r="C177" s="1" t="str">
        <f>'mk 001 10.3'!C179</f>
        <v>14/5/2569</v>
      </c>
      <c r="D177" s="1" t="str">
        <f>'mk 001 10.3'!D179</f>
        <v>14/5/2569</v>
      </c>
      <c r="E177">
        <f>'mk 001 10.3'!E179</f>
        <v>0</v>
      </c>
      <c r="F177" t="str">
        <f>'mk 001 10.3'!F179</f>
        <v>489M</v>
      </c>
      <c r="G177" t="str">
        <f>'mk 001 10.3'!G179</f>
        <v>Modern Trade (Makro)</v>
      </c>
      <c r="H177">
        <f>'mk 001 10.3'!H179</f>
        <v>0</v>
      </c>
      <c r="I177" t="str">
        <f>'mk 001 10.3'!I179</f>
        <v>หน่วยงานกลาง</v>
      </c>
      <c r="J177" t="str">
        <f>'mk 001 10.3'!J179</f>
        <v>F213  DMCW-รชล-พระพุทธบาท</v>
      </c>
      <c r="K177" t="str">
        <f>'mk 001 10.3'!K179</f>
        <v>00000  หน่วยงานกลาง</v>
      </c>
      <c r="L177">
        <f>'mk 001 10.3'!L179</f>
        <v>923</v>
      </c>
      <c r="M177">
        <f>'mk 001 10.3'!M179</f>
        <v>0</v>
      </c>
      <c r="Q177" s="13" t="str">
        <f>IF(แปลงข้อมูล!P178,แปลงข้อมูล!H178,"")</f>
        <v/>
      </c>
      <c r="R177" s="1">
        <f>'mk 001 10.3'!R179</f>
        <v>244658</v>
      </c>
      <c r="S177" s="1" t="str">
        <f>'mk 001 10.3'!S179</f>
        <v>14/5/2569</v>
      </c>
      <c r="U177" s="13" t="str">
        <f>IF(แปลงข้อมูล!P178,แปลงข้อมูล!I178,"")</f>
        <v/>
      </c>
      <c r="V177" s="13" t="str">
        <f>IF(แปลงข้อมูล!P178,แปลงข้อมูล!J178,"")</f>
        <v/>
      </c>
      <c r="Y177" s="13" t="str">
        <f>_xlfn.XLOOKUP(V177,'mk 001 10.3'!V:V,'mk 001 10.3'!Y:Y,"")</f>
        <v/>
      </c>
      <c r="Z177" s="13" t="str">
        <f>IF(แปลงข้อมูล!P178,แปลงข้อมูล!N178,"")</f>
        <v/>
      </c>
      <c r="BL177" t="str">
        <f>'mk 001 10.3'!BL179</f>
        <v>SYSBATCH</v>
      </c>
      <c r="BM177">
        <f>'mk 001 10.3'!BM179</f>
        <v>0</v>
      </c>
      <c r="BN177">
        <f>'mk 001 10.3'!BN179</f>
        <v>0</v>
      </c>
    </row>
    <row r="178" spans="1:66" x14ac:dyDescent="0.35">
      <c r="A178">
        <f>'mk 001 10.3'!A180</f>
        <v>0</v>
      </c>
      <c r="B178">
        <f>'mk 001 10.3'!B180</f>
        <v>0</v>
      </c>
      <c r="C178" s="1" t="str">
        <f>'mk 001 10.3'!C180</f>
        <v>14/5/2569</v>
      </c>
      <c r="D178" s="1" t="str">
        <f>'mk 001 10.3'!D180</f>
        <v>14/5/2569</v>
      </c>
      <c r="E178">
        <f>'mk 001 10.3'!E180</f>
        <v>0</v>
      </c>
      <c r="F178" t="str">
        <f>'mk 001 10.3'!F180</f>
        <v>489M</v>
      </c>
      <c r="G178" t="str">
        <f>'mk 001 10.3'!G180</f>
        <v>Modern Trade (Makro)</v>
      </c>
      <c r="H178">
        <f>'mk 001 10.3'!H180</f>
        <v>0</v>
      </c>
      <c r="I178" t="str">
        <f>'mk 001 10.3'!I180</f>
        <v>หน่วยงานกลาง</v>
      </c>
      <c r="J178" t="str">
        <f>'mk 001 10.3'!J180</f>
        <v>F213  DMCW-รชล-พระพุทธบาท</v>
      </c>
      <c r="K178" t="str">
        <f>'mk 001 10.3'!K180</f>
        <v>00000  หน่วยงานกลาง</v>
      </c>
      <c r="L178">
        <f>'mk 001 10.3'!L180</f>
        <v>923</v>
      </c>
      <c r="M178">
        <f>'mk 001 10.3'!M180</f>
        <v>0</v>
      </c>
      <c r="Q178" s="13" t="str">
        <f>IF(แปลงข้อมูล!P179,แปลงข้อมูล!H179,"")</f>
        <v/>
      </c>
      <c r="R178" s="1">
        <f>'mk 001 10.3'!R180</f>
        <v>244658</v>
      </c>
      <c r="S178" s="1" t="str">
        <f>'mk 001 10.3'!S180</f>
        <v>14/5/2569</v>
      </c>
      <c r="U178" s="13" t="str">
        <f>IF(แปลงข้อมูล!P179,แปลงข้อมูล!I179,"")</f>
        <v/>
      </c>
      <c r="V178" s="13" t="str">
        <f>IF(แปลงข้อมูล!P179,แปลงข้อมูล!J179,"")</f>
        <v/>
      </c>
      <c r="Y178" s="13" t="str">
        <f>_xlfn.XLOOKUP(V178,'mk 001 10.3'!V:V,'mk 001 10.3'!Y:Y,"")</f>
        <v/>
      </c>
      <c r="Z178" s="13" t="str">
        <f>IF(แปลงข้อมูล!P179,แปลงข้อมูล!N179,"")</f>
        <v/>
      </c>
      <c r="BL178" t="str">
        <f>'mk 001 10.3'!BL180</f>
        <v>SYSBATCH</v>
      </c>
      <c r="BM178">
        <f>'mk 001 10.3'!BM180</f>
        <v>0</v>
      </c>
      <c r="BN178">
        <f>'mk 001 10.3'!BN180</f>
        <v>0</v>
      </c>
    </row>
    <row r="179" spans="1:66" x14ac:dyDescent="0.35">
      <c r="A179">
        <f>'mk 001 10.3'!A181</f>
        <v>0</v>
      </c>
      <c r="B179">
        <f>'mk 001 10.3'!B181</f>
        <v>0</v>
      </c>
      <c r="C179" s="1" t="str">
        <f>'mk 001 10.3'!C181</f>
        <v>14/5/2569</v>
      </c>
      <c r="D179" s="1" t="str">
        <f>'mk 001 10.3'!D181</f>
        <v>14/5/2569</v>
      </c>
      <c r="E179">
        <f>'mk 001 10.3'!E181</f>
        <v>0</v>
      </c>
      <c r="F179" t="str">
        <f>'mk 001 10.3'!F181</f>
        <v>489M</v>
      </c>
      <c r="G179" t="str">
        <f>'mk 001 10.3'!G181</f>
        <v>Modern Trade (Makro)</v>
      </c>
      <c r="H179">
        <f>'mk 001 10.3'!H181</f>
        <v>0</v>
      </c>
      <c r="I179" t="str">
        <f>'mk 001 10.3'!I181</f>
        <v>หน่วยงานกลาง</v>
      </c>
      <c r="J179" t="str">
        <f>'mk 001 10.3'!J181</f>
        <v>F213  DMCW-รชล-พระพุทธบาท</v>
      </c>
      <c r="K179" t="str">
        <f>'mk 001 10.3'!K181</f>
        <v>00000  หน่วยงานกลาง</v>
      </c>
      <c r="L179">
        <f>'mk 001 10.3'!L181</f>
        <v>923</v>
      </c>
      <c r="M179">
        <f>'mk 001 10.3'!M181</f>
        <v>0</v>
      </c>
      <c r="Q179" s="13" t="str">
        <f>IF(แปลงข้อมูล!P180,แปลงข้อมูล!H180,"")</f>
        <v/>
      </c>
      <c r="R179" s="1">
        <f>'mk 001 10.3'!R181</f>
        <v>244658</v>
      </c>
      <c r="S179" s="1" t="str">
        <f>'mk 001 10.3'!S181</f>
        <v>14/5/2569</v>
      </c>
      <c r="U179" s="13" t="str">
        <f>IF(แปลงข้อมูล!P180,แปลงข้อมูล!I180,"")</f>
        <v/>
      </c>
      <c r="V179" s="13" t="str">
        <f>IF(แปลงข้อมูล!P180,แปลงข้อมูล!J180,"")</f>
        <v/>
      </c>
      <c r="Y179" s="13" t="str">
        <f>_xlfn.XLOOKUP(V179,'mk 001 10.3'!V:V,'mk 001 10.3'!Y:Y,"")</f>
        <v/>
      </c>
      <c r="Z179" s="13" t="str">
        <f>IF(แปลงข้อมูล!P180,แปลงข้อมูล!N180,"")</f>
        <v/>
      </c>
      <c r="BL179" t="str">
        <f>'mk 001 10.3'!BL181</f>
        <v>SYSBATCH</v>
      </c>
      <c r="BM179">
        <f>'mk 001 10.3'!BM181</f>
        <v>0</v>
      </c>
      <c r="BN179">
        <f>'mk 001 10.3'!BN181</f>
        <v>0</v>
      </c>
    </row>
    <row r="180" spans="1:66" x14ac:dyDescent="0.35">
      <c r="A180">
        <f>'mk 001 10.3'!A182</f>
        <v>0</v>
      </c>
      <c r="B180">
        <f>'mk 001 10.3'!B182</f>
        <v>0</v>
      </c>
      <c r="C180" s="1" t="str">
        <f>'mk 001 10.3'!C182</f>
        <v>14/5/2569</v>
      </c>
      <c r="D180" s="1" t="str">
        <f>'mk 001 10.3'!D182</f>
        <v>14/5/2569</v>
      </c>
      <c r="E180">
        <f>'mk 001 10.3'!E182</f>
        <v>0</v>
      </c>
      <c r="F180" t="str">
        <f>'mk 001 10.3'!F182</f>
        <v>489M</v>
      </c>
      <c r="G180" t="str">
        <f>'mk 001 10.3'!G182</f>
        <v>Modern Trade (Makro)</v>
      </c>
      <c r="H180">
        <f>'mk 001 10.3'!H182</f>
        <v>0</v>
      </c>
      <c r="I180" t="str">
        <f>'mk 001 10.3'!I182</f>
        <v>หน่วยงานกลาง</v>
      </c>
      <c r="J180" t="str">
        <f>'mk 001 10.3'!J182</f>
        <v>F213  DMCW-รชล-พระพุทธบาท</v>
      </c>
      <c r="K180" t="str">
        <f>'mk 001 10.3'!K182</f>
        <v>00000  หน่วยงานกลาง</v>
      </c>
      <c r="L180">
        <f>'mk 001 10.3'!L182</f>
        <v>923</v>
      </c>
      <c r="M180">
        <f>'mk 001 10.3'!M182</f>
        <v>0</v>
      </c>
      <c r="Q180" s="13" t="str">
        <f>IF(แปลงข้อมูล!P181,แปลงข้อมูล!H181,"")</f>
        <v/>
      </c>
      <c r="R180" s="1">
        <f>'mk 001 10.3'!R182</f>
        <v>244658</v>
      </c>
      <c r="S180" s="1" t="str">
        <f>'mk 001 10.3'!S182</f>
        <v>14/5/2569</v>
      </c>
      <c r="U180" s="13" t="str">
        <f>IF(แปลงข้อมูล!P181,แปลงข้อมูล!I181,"")</f>
        <v/>
      </c>
      <c r="V180" s="13" t="str">
        <f>IF(แปลงข้อมูล!P181,แปลงข้อมูล!J181,"")</f>
        <v/>
      </c>
      <c r="Y180" s="13" t="str">
        <f>_xlfn.XLOOKUP(V180,'mk 001 10.3'!V:V,'mk 001 10.3'!Y:Y,"")</f>
        <v/>
      </c>
      <c r="Z180" s="13" t="str">
        <f>IF(แปลงข้อมูล!P181,แปลงข้อมูล!N181,"")</f>
        <v/>
      </c>
      <c r="BL180" t="str">
        <f>'mk 001 10.3'!BL182</f>
        <v>SYSBATCH</v>
      </c>
      <c r="BM180">
        <f>'mk 001 10.3'!BM182</f>
        <v>0</v>
      </c>
      <c r="BN180">
        <f>'mk 001 10.3'!BN182</f>
        <v>0</v>
      </c>
    </row>
    <row r="181" spans="1:66" x14ac:dyDescent="0.35">
      <c r="A181">
        <f>'mk 001 10.3'!A183</f>
        <v>0</v>
      </c>
      <c r="B181">
        <f>'mk 001 10.3'!B183</f>
        <v>0</v>
      </c>
      <c r="C181" s="1" t="str">
        <f>'mk 001 10.3'!C183</f>
        <v>14/5/2569</v>
      </c>
      <c r="D181" s="1" t="str">
        <f>'mk 001 10.3'!D183</f>
        <v>14/5/2569</v>
      </c>
      <c r="E181">
        <f>'mk 001 10.3'!E183</f>
        <v>0</v>
      </c>
      <c r="F181" t="str">
        <f>'mk 001 10.3'!F183</f>
        <v>489M</v>
      </c>
      <c r="G181" t="str">
        <f>'mk 001 10.3'!G183</f>
        <v>Modern Trade (Makro)</v>
      </c>
      <c r="H181">
        <f>'mk 001 10.3'!H183</f>
        <v>0</v>
      </c>
      <c r="I181" t="str">
        <f>'mk 001 10.3'!I183</f>
        <v>หน่วยงานกลาง</v>
      </c>
      <c r="J181" t="str">
        <f>'mk 001 10.3'!J183</f>
        <v>F213  DMCW-รชล-พระพุทธบาท</v>
      </c>
      <c r="K181" t="str">
        <f>'mk 001 10.3'!K183</f>
        <v>00000  หน่วยงานกลาง</v>
      </c>
      <c r="L181">
        <f>'mk 001 10.3'!L183</f>
        <v>923</v>
      </c>
      <c r="M181">
        <f>'mk 001 10.3'!M183</f>
        <v>0</v>
      </c>
      <c r="Q181" s="13" t="str">
        <f>IF(แปลงข้อมูล!P182,แปลงข้อมูล!H182,"")</f>
        <v/>
      </c>
      <c r="R181" s="1">
        <f>'mk 001 10.3'!R183</f>
        <v>244658</v>
      </c>
      <c r="S181" s="1" t="str">
        <f>'mk 001 10.3'!S183</f>
        <v>14/5/2569</v>
      </c>
      <c r="U181" s="13" t="str">
        <f>IF(แปลงข้อมูล!P182,แปลงข้อมูล!I182,"")</f>
        <v/>
      </c>
      <c r="V181" s="13" t="str">
        <f>IF(แปลงข้อมูล!P182,แปลงข้อมูล!J182,"")</f>
        <v/>
      </c>
      <c r="Y181" s="13" t="str">
        <f>_xlfn.XLOOKUP(V181,'mk 001 10.3'!V:V,'mk 001 10.3'!Y:Y,"")</f>
        <v/>
      </c>
      <c r="Z181" s="13" t="str">
        <f>IF(แปลงข้อมูล!P182,แปลงข้อมูล!N182,"")</f>
        <v/>
      </c>
      <c r="BL181" t="str">
        <f>'mk 001 10.3'!BL183</f>
        <v>SYSBATCH</v>
      </c>
      <c r="BM181">
        <f>'mk 001 10.3'!BM183</f>
        <v>0</v>
      </c>
      <c r="BN181">
        <f>'mk 001 10.3'!BN183</f>
        <v>0</v>
      </c>
    </row>
    <row r="182" spans="1:66" x14ac:dyDescent="0.35">
      <c r="A182">
        <f>'mk 001 10.3'!A184</f>
        <v>0</v>
      </c>
      <c r="B182">
        <f>'mk 001 10.3'!B184</f>
        <v>0</v>
      </c>
      <c r="C182" s="1" t="str">
        <f>'mk 001 10.3'!C184</f>
        <v>14/5/2569</v>
      </c>
      <c r="D182" s="1" t="str">
        <f>'mk 001 10.3'!D184</f>
        <v>14/5/2569</v>
      </c>
      <c r="E182">
        <f>'mk 001 10.3'!E184</f>
        <v>0</v>
      </c>
      <c r="F182" t="str">
        <f>'mk 001 10.3'!F184</f>
        <v>489M</v>
      </c>
      <c r="G182" t="str">
        <f>'mk 001 10.3'!G184</f>
        <v>Modern Trade (Makro)</v>
      </c>
      <c r="H182">
        <f>'mk 001 10.3'!H184</f>
        <v>0</v>
      </c>
      <c r="I182" t="str">
        <f>'mk 001 10.3'!I184</f>
        <v>หน่วยงานกลาง</v>
      </c>
      <c r="J182" t="str">
        <f>'mk 001 10.3'!J184</f>
        <v>F213  DMCW-รชล-พระพุทธบาท</v>
      </c>
      <c r="K182" t="str">
        <f>'mk 001 10.3'!K184</f>
        <v>00000  หน่วยงานกลาง</v>
      </c>
      <c r="L182">
        <f>'mk 001 10.3'!L184</f>
        <v>923</v>
      </c>
      <c r="M182">
        <f>'mk 001 10.3'!M184</f>
        <v>0</v>
      </c>
      <c r="Q182" s="13" t="str">
        <f>IF(แปลงข้อมูล!P183,แปลงข้อมูล!H183,"")</f>
        <v/>
      </c>
      <c r="R182" s="1">
        <f>'mk 001 10.3'!R184</f>
        <v>244658</v>
      </c>
      <c r="S182" s="1" t="str">
        <f>'mk 001 10.3'!S184</f>
        <v>14/5/2569</v>
      </c>
      <c r="U182" s="13" t="str">
        <f>IF(แปลงข้อมูล!P183,แปลงข้อมูล!I183,"")</f>
        <v/>
      </c>
      <c r="V182" s="13" t="str">
        <f>IF(แปลงข้อมูล!P183,แปลงข้อมูล!J183,"")</f>
        <v/>
      </c>
      <c r="Y182" s="13" t="str">
        <f>_xlfn.XLOOKUP(V182,'mk 001 10.3'!V:V,'mk 001 10.3'!Y:Y,"")</f>
        <v/>
      </c>
      <c r="Z182" s="13" t="str">
        <f>IF(แปลงข้อมูล!P183,แปลงข้อมูล!N183,"")</f>
        <v/>
      </c>
      <c r="BL182" t="str">
        <f>'mk 001 10.3'!BL184</f>
        <v>SYSBATCH</v>
      </c>
      <c r="BM182">
        <f>'mk 001 10.3'!BM184</f>
        <v>0</v>
      </c>
      <c r="BN182">
        <f>'mk 001 10.3'!BN184</f>
        <v>0</v>
      </c>
    </row>
    <row r="183" spans="1:66" x14ac:dyDescent="0.35">
      <c r="A183">
        <f>'mk 001 10.3'!A185</f>
        <v>0</v>
      </c>
      <c r="B183">
        <f>'mk 001 10.3'!B185</f>
        <v>0</v>
      </c>
      <c r="C183" s="1" t="str">
        <f>'mk 001 10.3'!C185</f>
        <v>14/5/2569</v>
      </c>
      <c r="D183" s="1" t="str">
        <f>'mk 001 10.3'!D185</f>
        <v>14/5/2569</v>
      </c>
      <c r="E183">
        <f>'mk 001 10.3'!E185</f>
        <v>0</v>
      </c>
      <c r="F183" t="str">
        <f>'mk 001 10.3'!F185</f>
        <v>489M</v>
      </c>
      <c r="G183" t="str">
        <f>'mk 001 10.3'!G185</f>
        <v>Modern Trade (Makro)</v>
      </c>
      <c r="H183">
        <f>'mk 001 10.3'!H185</f>
        <v>0</v>
      </c>
      <c r="I183" t="str">
        <f>'mk 001 10.3'!I185</f>
        <v>หน่วยงานกลาง</v>
      </c>
      <c r="J183" t="str">
        <f>'mk 001 10.3'!J185</f>
        <v>F213  DMCW-รชล-พระพุทธบาท</v>
      </c>
      <c r="K183" t="str">
        <f>'mk 001 10.3'!K185</f>
        <v>00000  หน่วยงานกลาง</v>
      </c>
      <c r="L183">
        <f>'mk 001 10.3'!L185</f>
        <v>923</v>
      </c>
      <c r="M183">
        <f>'mk 001 10.3'!M185</f>
        <v>0</v>
      </c>
      <c r="Q183" s="13" t="str">
        <f>IF(แปลงข้อมูล!P184,แปลงข้อมูล!H184,"")</f>
        <v/>
      </c>
      <c r="R183" s="1">
        <f>'mk 001 10.3'!R185</f>
        <v>244658</v>
      </c>
      <c r="S183" s="1" t="str">
        <f>'mk 001 10.3'!S185</f>
        <v>14/5/2569</v>
      </c>
      <c r="U183" s="13" t="str">
        <f>IF(แปลงข้อมูล!P184,แปลงข้อมูล!I184,"")</f>
        <v/>
      </c>
      <c r="V183" s="13" t="str">
        <f>IF(แปลงข้อมูล!P184,แปลงข้อมูล!J184,"")</f>
        <v/>
      </c>
      <c r="Y183" s="13" t="str">
        <f>_xlfn.XLOOKUP(V183,'mk 001 10.3'!V:V,'mk 001 10.3'!Y:Y,"")</f>
        <v/>
      </c>
      <c r="Z183" s="13" t="str">
        <f>IF(แปลงข้อมูล!P184,แปลงข้อมูล!N184,"")</f>
        <v/>
      </c>
      <c r="BL183" t="str">
        <f>'mk 001 10.3'!BL185</f>
        <v>SYSBATCH</v>
      </c>
      <c r="BM183">
        <f>'mk 001 10.3'!BM185</f>
        <v>0</v>
      </c>
      <c r="BN183">
        <f>'mk 001 10.3'!BN185</f>
        <v>0</v>
      </c>
    </row>
    <row r="184" spans="1:66" x14ac:dyDescent="0.35">
      <c r="A184">
        <f>'mk 001 10.3'!A186</f>
        <v>0</v>
      </c>
      <c r="B184">
        <f>'mk 001 10.3'!B186</f>
        <v>0</v>
      </c>
      <c r="C184" s="1" t="str">
        <f>'mk 001 10.3'!C186</f>
        <v>14/5/2569</v>
      </c>
      <c r="D184" s="1" t="str">
        <f>'mk 001 10.3'!D186</f>
        <v>14/5/2569</v>
      </c>
      <c r="E184">
        <f>'mk 001 10.3'!E186</f>
        <v>0</v>
      </c>
      <c r="F184" t="str">
        <f>'mk 001 10.3'!F186</f>
        <v>489M</v>
      </c>
      <c r="G184" t="str">
        <f>'mk 001 10.3'!G186</f>
        <v>Modern Trade (Makro)</v>
      </c>
      <c r="H184">
        <f>'mk 001 10.3'!H186</f>
        <v>0</v>
      </c>
      <c r="I184" t="str">
        <f>'mk 001 10.3'!I186</f>
        <v>หน่วยงานกลาง</v>
      </c>
      <c r="J184" t="str">
        <f>'mk 001 10.3'!J186</f>
        <v>F213  DMCW-รชล-พระพุทธบาท</v>
      </c>
      <c r="K184" t="str">
        <f>'mk 001 10.3'!K186</f>
        <v>00000  หน่วยงานกลาง</v>
      </c>
      <c r="L184">
        <f>'mk 001 10.3'!L186</f>
        <v>923</v>
      </c>
      <c r="M184">
        <f>'mk 001 10.3'!M186</f>
        <v>0</v>
      </c>
      <c r="Q184" s="13" t="str">
        <f>IF(แปลงข้อมูล!P185,แปลงข้อมูล!H185,"")</f>
        <v/>
      </c>
      <c r="R184" s="1">
        <f>'mk 001 10.3'!R186</f>
        <v>244658</v>
      </c>
      <c r="S184" s="1" t="str">
        <f>'mk 001 10.3'!S186</f>
        <v>14/5/2569</v>
      </c>
      <c r="U184" s="13" t="str">
        <f>IF(แปลงข้อมูล!P185,แปลงข้อมูล!I185,"")</f>
        <v/>
      </c>
      <c r="V184" s="13" t="str">
        <f>IF(แปลงข้อมูล!P185,แปลงข้อมูล!J185,"")</f>
        <v/>
      </c>
      <c r="Y184" s="13" t="str">
        <f>_xlfn.XLOOKUP(V184,'mk 001 10.3'!V:V,'mk 001 10.3'!Y:Y,"")</f>
        <v/>
      </c>
      <c r="Z184" s="13" t="str">
        <f>IF(แปลงข้อมูล!P185,แปลงข้อมูล!N185,"")</f>
        <v/>
      </c>
      <c r="BL184" t="str">
        <f>'mk 001 10.3'!BL186</f>
        <v>SYSBATCH</v>
      </c>
      <c r="BM184">
        <f>'mk 001 10.3'!BM186</f>
        <v>0</v>
      </c>
      <c r="BN184">
        <f>'mk 001 10.3'!BN186</f>
        <v>0</v>
      </c>
    </row>
    <row r="185" spans="1:66" x14ac:dyDescent="0.35">
      <c r="A185">
        <f>'mk 001 10.3'!A187</f>
        <v>0</v>
      </c>
      <c r="B185">
        <f>'mk 001 10.3'!B187</f>
        <v>0</v>
      </c>
      <c r="C185" s="1" t="str">
        <f>'mk 001 10.3'!C187</f>
        <v>14/5/2569</v>
      </c>
      <c r="D185" s="1" t="str">
        <f>'mk 001 10.3'!D187</f>
        <v>14/5/2569</v>
      </c>
      <c r="E185">
        <f>'mk 001 10.3'!E187</f>
        <v>0</v>
      </c>
      <c r="F185" t="str">
        <f>'mk 001 10.3'!F187</f>
        <v>489M</v>
      </c>
      <c r="G185" t="str">
        <f>'mk 001 10.3'!G187</f>
        <v>Modern Trade (Makro)</v>
      </c>
      <c r="H185">
        <f>'mk 001 10.3'!H187</f>
        <v>0</v>
      </c>
      <c r="I185" t="str">
        <f>'mk 001 10.3'!I187</f>
        <v>หน่วยงานกลาง</v>
      </c>
      <c r="J185" t="str">
        <f>'mk 001 10.3'!J187</f>
        <v>F213  DMCW-รชล-พระพุทธบาท</v>
      </c>
      <c r="K185" t="str">
        <f>'mk 001 10.3'!K187</f>
        <v>00000  หน่วยงานกลาง</v>
      </c>
      <c r="L185">
        <f>'mk 001 10.3'!L187</f>
        <v>923</v>
      </c>
      <c r="M185">
        <f>'mk 001 10.3'!M187</f>
        <v>0</v>
      </c>
      <c r="Q185" s="13" t="str">
        <f>IF(แปลงข้อมูล!P186,แปลงข้อมูล!H186,"")</f>
        <v/>
      </c>
      <c r="R185" s="1">
        <f>'mk 001 10.3'!R187</f>
        <v>244658</v>
      </c>
      <c r="S185" s="1" t="str">
        <f>'mk 001 10.3'!S187</f>
        <v>14/5/2569</v>
      </c>
      <c r="U185" s="13" t="str">
        <f>IF(แปลงข้อมูล!P186,แปลงข้อมูล!I186,"")</f>
        <v/>
      </c>
      <c r="V185" s="13" t="str">
        <f>IF(แปลงข้อมูล!P186,แปลงข้อมูล!J186,"")</f>
        <v/>
      </c>
      <c r="Y185" s="13" t="str">
        <f>_xlfn.XLOOKUP(V185,'mk 001 10.3'!V:V,'mk 001 10.3'!Y:Y,"")</f>
        <v/>
      </c>
      <c r="Z185" s="13" t="str">
        <f>IF(แปลงข้อมูล!P186,แปลงข้อมูล!N186,"")</f>
        <v/>
      </c>
      <c r="BL185" t="str">
        <f>'mk 001 10.3'!BL187</f>
        <v>SYSBATCH</v>
      </c>
      <c r="BM185">
        <f>'mk 001 10.3'!BM187</f>
        <v>0</v>
      </c>
      <c r="BN185">
        <f>'mk 001 10.3'!BN187</f>
        <v>0</v>
      </c>
    </row>
    <row r="186" spans="1:66" x14ac:dyDescent="0.35">
      <c r="A186">
        <f>'mk 001 10.3'!A188</f>
        <v>0</v>
      </c>
      <c r="B186">
        <f>'mk 001 10.3'!B188</f>
        <v>0</v>
      </c>
      <c r="C186" s="1" t="str">
        <f>'mk 001 10.3'!C188</f>
        <v>14/5/2569</v>
      </c>
      <c r="D186" s="1" t="str">
        <f>'mk 001 10.3'!D188</f>
        <v>14/5/2569</v>
      </c>
      <c r="E186">
        <f>'mk 001 10.3'!E188</f>
        <v>0</v>
      </c>
      <c r="F186" t="str">
        <f>'mk 001 10.3'!F188</f>
        <v>489M</v>
      </c>
      <c r="G186" t="str">
        <f>'mk 001 10.3'!G188</f>
        <v>Modern Trade (Makro)</v>
      </c>
      <c r="H186">
        <f>'mk 001 10.3'!H188</f>
        <v>0</v>
      </c>
      <c r="I186" t="str">
        <f>'mk 001 10.3'!I188</f>
        <v>หน่วยงานกลาง</v>
      </c>
      <c r="J186" t="str">
        <f>'mk 001 10.3'!J188</f>
        <v>F213  DMCW-รชล-พระพุทธบาท</v>
      </c>
      <c r="K186" t="str">
        <f>'mk 001 10.3'!K188</f>
        <v>00000  หน่วยงานกลาง</v>
      </c>
      <c r="L186">
        <f>'mk 001 10.3'!L188</f>
        <v>923</v>
      </c>
      <c r="M186">
        <f>'mk 001 10.3'!M188</f>
        <v>0</v>
      </c>
      <c r="Q186" s="13" t="str">
        <f>IF(แปลงข้อมูล!P187,แปลงข้อมูล!H187,"")</f>
        <v/>
      </c>
      <c r="R186" s="1">
        <f>'mk 001 10.3'!R188</f>
        <v>244658</v>
      </c>
      <c r="S186" s="1" t="str">
        <f>'mk 001 10.3'!S188</f>
        <v>14/5/2569</v>
      </c>
      <c r="U186" s="13" t="str">
        <f>IF(แปลงข้อมูล!P187,แปลงข้อมูล!I187,"")</f>
        <v/>
      </c>
      <c r="V186" s="13" t="str">
        <f>IF(แปลงข้อมูล!P187,แปลงข้อมูล!J187,"")</f>
        <v/>
      </c>
      <c r="Y186" s="13" t="str">
        <f>_xlfn.XLOOKUP(V186,'mk 001 10.3'!V:V,'mk 001 10.3'!Y:Y,"")</f>
        <v/>
      </c>
      <c r="Z186" s="13" t="str">
        <f>IF(แปลงข้อมูล!P187,แปลงข้อมูล!N187,"")</f>
        <v/>
      </c>
      <c r="BL186" t="str">
        <f>'mk 001 10.3'!BL188</f>
        <v>SYSBATCH</v>
      </c>
      <c r="BM186">
        <f>'mk 001 10.3'!BM188</f>
        <v>0</v>
      </c>
      <c r="BN186">
        <f>'mk 001 10.3'!BN188</f>
        <v>0</v>
      </c>
    </row>
    <row r="187" spans="1:66" x14ac:dyDescent="0.35">
      <c r="A187">
        <f>'mk 001 10.3'!A189</f>
        <v>0</v>
      </c>
      <c r="B187">
        <f>'mk 001 10.3'!B189</f>
        <v>0</v>
      </c>
      <c r="C187" s="1" t="str">
        <f>'mk 001 10.3'!C189</f>
        <v>14/5/2569</v>
      </c>
      <c r="D187" s="1" t="str">
        <f>'mk 001 10.3'!D189</f>
        <v>14/5/2569</v>
      </c>
      <c r="E187">
        <f>'mk 001 10.3'!E189</f>
        <v>0</v>
      </c>
      <c r="F187" t="str">
        <f>'mk 001 10.3'!F189</f>
        <v>489M</v>
      </c>
      <c r="G187" t="str">
        <f>'mk 001 10.3'!G189</f>
        <v>Modern Trade (Makro)</v>
      </c>
      <c r="H187">
        <f>'mk 001 10.3'!H189</f>
        <v>0</v>
      </c>
      <c r="I187" t="str">
        <f>'mk 001 10.3'!I189</f>
        <v>หน่วยงานกลาง</v>
      </c>
      <c r="J187" t="str">
        <f>'mk 001 10.3'!J189</f>
        <v>F213  DMCW-รชล-พระพุทธบาท</v>
      </c>
      <c r="K187" t="str">
        <f>'mk 001 10.3'!K189</f>
        <v>00000  หน่วยงานกลาง</v>
      </c>
      <c r="L187">
        <f>'mk 001 10.3'!L189</f>
        <v>923</v>
      </c>
      <c r="M187">
        <f>'mk 001 10.3'!M189</f>
        <v>0</v>
      </c>
      <c r="Q187" s="13" t="str">
        <f>IF(แปลงข้อมูล!P188,แปลงข้อมูล!H188,"")</f>
        <v/>
      </c>
      <c r="R187" s="1">
        <f>'mk 001 10.3'!R189</f>
        <v>244658</v>
      </c>
      <c r="S187" s="1" t="str">
        <f>'mk 001 10.3'!S189</f>
        <v>14/5/2569</v>
      </c>
      <c r="U187" s="13" t="str">
        <f>IF(แปลงข้อมูล!P188,แปลงข้อมูล!I188,"")</f>
        <v/>
      </c>
      <c r="V187" s="13" t="str">
        <f>IF(แปลงข้อมูล!P188,แปลงข้อมูล!J188,"")</f>
        <v/>
      </c>
      <c r="Y187" s="13" t="str">
        <f>_xlfn.XLOOKUP(V187,'mk 001 10.3'!V:V,'mk 001 10.3'!Y:Y,"")</f>
        <v/>
      </c>
      <c r="Z187" s="13" t="str">
        <f>IF(แปลงข้อมูล!P188,แปลงข้อมูล!N188,"")</f>
        <v/>
      </c>
      <c r="BL187" t="str">
        <f>'mk 001 10.3'!BL189</f>
        <v>SYSBATCH</v>
      </c>
      <c r="BM187">
        <f>'mk 001 10.3'!BM189</f>
        <v>0</v>
      </c>
      <c r="BN187">
        <f>'mk 001 10.3'!BN189</f>
        <v>0</v>
      </c>
    </row>
    <row r="188" spans="1:66" x14ac:dyDescent="0.35">
      <c r="A188">
        <f>'mk 001 10.3'!A190</f>
        <v>0</v>
      </c>
      <c r="B188">
        <f>'mk 001 10.3'!B190</f>
        <v>0</v>
      </c>
      <c r="C188" s="1" t="str">
        <f>'mk 001 10.3'!C190</f>
        <v>14/5/2569</v>
      </c>
      <c r="D188" s="1" t="str">
        <f>'mk 001 10.3'!D190</f>
        <v>14/5/2569</v>
      </c>
      <c r="E188">
        <f>'mk 001 10.3'!E190</f>
        <v>0</v>
      </c>
      <c r="F188" t="str">
        <f>'mk 001 10.3'!F190</f>
        <v>489M</v>
      </c>
      <c r="G188" t="str">
        <f>'mk 001 10.3'!G190</f>
        <v>Modern Trade (Makro)</v>
      </c>
      <c r="H188">
        <f>'mk 001 10.3'!H190</f>
        <v>0</v>
      </c>
      <c r="I188" t="str">
        <f>'mk 001 10.3'!I190</f>
        <v>หน่วยงานกลาง</v>
      </c>
      <c r="J188" t="str">
        <f>'mk 001 10.3'!J190</f>
        <v>F213  DMCW-รชล-พระพุทธบาท</v>
      </c>
      <c r="K188" t="str">
        <f>'mk 001 10.3'!K190</f>
        <v>00000  หน่วยงานกลาง</v>
      </c>
      <c r="L188">
        <f>'mk 001 10.3'!L190</f>
        <v>923</v>
      </c>
      <c r="M188">
        <f>'mk 001 10.3'!M190</f>
        <v>0</v>
      </c>
      <c r="Q188" s="13" t="str">
        <f>IF(แปลงข้อมูล!P189,แปลงข้อมูล!H189,"")</f>
        <v/>
      </c>
      <c r="R188" s="1">
        <f>'mk 001 10.3'!R190</f>
        <v>244658</v>
      </c>
      <c r="S188" s="1" t="str">
        <f>'mk 001 10.3'!S190</f>
        <v>14/5/2569</v>
      </c>
      <c r="U188" s="13" t="str">
        <f>IF(แปลงข้อมูล!P189,แปลงข้อมูล!I189,"")</f>
        <v/>
      </c>
      <c r="V188" s="13" t="str">
        <f>IF(แปลงข้อมูล!P189,แปลงข้อมูล!J189,"")</f>
        <v/>
      </c>
      <c r="Y188" s="13" t="str">
        <f>_xlfn.XLOOKUP(V188,'mk 001 10.3'!V:V,'mk 001 10.3'!Y:Y,"")</f>
        <v/>
      </c>
      <c r="Z188" s="13" t="str">
        <f>IF(แปลงข้อมูล!P189,แปลงข้อมูล!N189,"")</f>
        <v/>
      </c>
      <c r="BL188" t="str">
        <f>'mk 001 10.3'!BL190</f>
        <v>SYSBATCH</v>
      </c>
      <c r="BM188">
        <f>'mk 001 10.3'!BM190</f>
        <v>0</v>
      </c>
      <c r="BN188">
        <f>'mk 001 10.3'!BN190</f>
        <v>0</v>
      </c>
    </row>
    <row r="189" spans="1:66" x14ac:dyDescent="0.35">
      <c r="A189">
        <f>'mk 001 10.3'!A191</f>
        <v>0</v>
      </c>
      <c r="B189">
        <f>'mk 001 10.3'!B191</f>
        <v>0</v>
      </c>
      <c r="C189" s="1" t="str">
        <f>'mk 001 10.3'!C191</f>
        <v>14/5/2569</v>
      </c>
      <c r="D189" s="1" t="str">
        <f>'mk 001 10.3'!D191</f>
        <v>14/5/2569</v>
      </c>
      <c r="E189">
        <f>'mk 001 10.3'!E191</f>
        <v>0</v>
      </c>
      <c r="F189" t="str">
        <f>'mk 001 10.3'!F191</f>
        <v>489M</v>
      </c>
      <c r="G189" t="str">
        <f>'mk 001 10.3'!G191</f>
        <v>Modern Trade (Makro)</v>
      </c>
      <c r="H189">
        <f>'mk 001 10.3'!H191</f>
        <v>0</v>
      </c>
      <c r="I189" t="str">
        <f>'mk 001 10.3'!I191</f>
        <v>หน่วยงานกลาง</v>
      </c>
      <c r="J189" t="str">
        <f>'mk 001 10.3'!J191</f>
        <v>F213  DMCW-รชล-พระพุทธบาท</v>
      </c>
      <c r="K189" t="str">
        <f>'mk 001 10.3'!K191</f>
        <v>00000  หน่วยงานกลาง</v>
      </c>
      <c r="L189">
        <f>'mk 001 10.3'!L191</f>
        <v>923</v>
      </c>
      <c r="M189">
        <f>'mk 001 10.3'!M191</f>
        <v>0</v>
      </c>
      <c r="Q189" s="13" t="str">
        <f>IF(แปลงข้อมูล!P190,แปลงข้อมูล!H190,"")</f>
        <v/>
      </c>
      <c r="R189" s="1">
        <f>'mk 001 10.3'!R191</f>
        <v>244658</v>
      </c>
      <c r="S189" s="1" t="str">
        <f>'mk 001 10.3'!S191</f>
        <v>14/5/2569</v>
      </c>
      <c r="U189" s="13" t="str">
        <f>IF(แปลงข้อมูล!P190,แปลงข้อมูล!I190,"")</f>
        <v/>
      </c>
      <c r="V189" s="13" t="str">
        <f>IF(แปลงข้อมูล!P190,แปลงข้อมูล!J190,"")</f>
        <v/>
      </c>
      <c r="Y189" s="13" t="str">
        <f>_xlfn.XLOOKUP(V189,'mk 001 10.3'!V:V,'mk 001 10.3'!Y:Y,"")</f>
        <v/>
      </c>
      <c r="Z189" s="13" t="str">
        <f>IF(แปลงข้อมูล!P190,แปลงข้อมูล!N190,"")</f>
        <v/>
      </c>
      <c r="BL189" t="str">
        <f>'mk 001 10.3'!BL191</f>
        <v>SYSBATCH</v>
      </c>
      <c r="BM189">
        <f>'mk 001 10.3'!BM191</f>
        <v>0</v>
      </c>
      <c r="BN189">
        <f>'mk 001 10.3'!BN191</f>
        <v>0</v>
      </c>
    </row>
    <row r="190" spans="1:66" x14ac:dyDescent="0.35">
      <c r="A190">
        <f>'mk 001 10.3'!A192</f>
        <v>0</v>
      </c>
      <c r="B190">
        <f>'mk 001 10.3'!B192</f>
        <v>0</v>
      </c>
      <c r="C190" s="1" t="str">
        <f>'mk 001 10.3'!C192</f>
        <v>14/5/2569</v>
      </c>
      <c r="D190" s="1" t="str">
        <f>'mk 001 10.3'!D192</f>
        <v>14/5/2569</v>
      </c>
      <c r="E190">
        <f>'mk 001 10.3'!E192</f>
        <v>0</v>
      </c>
      <c r="F190" t="str">
        <f>'mk 001 10.3'!F192</f>
        <v>489M</v>
      </c>
      <c r="G190" t="str">
        <f>'mk 001 10.3'!G192</f>
        <v>Modern Trade (Makro)</v>
      </c>
      <c r="H190">
        <f>'mk 001 10.3'!H192</f>
        <v>0</v>
      </c>
      <c r="I190" t="str">
        <f>'mk 001 10.3'!I192</f>
        <v>หน่วยงานกลาง</v>
      </c>
      <c r="J190" t="str">
        <f>'mk 001 10.3'!J192</f>
        <v>F213  DMCW-รชล-พระพุทธบาท</v>
      </c>
      <c r="K190" t="str">
        <f>'mk 001 10.3'!K192</f>
        <v>00000  หน่วยงานกลาง</v>
      </c>
      <c r="L190">
        <f>'mk 001 10.3'!L192</f>
        <v>923</v>
      </c>
      <c r="M190">
        <f>'mk 001 10.3'!M192</f>
        <v>0</v>
      </c>
      <c r="Q190" s="13" t="str">
        <f>IF(แปลงข้อมูล!P191,แปลงข้อมูล!H191,"")</f>
        <v/>
      </c>
      <c r="R190" s="1">
        <f>'mk 001 10.3'!R192</f>
        <v>244658</v>
      </c>
      <c r="S190" s="1" t="str">
        <f>'mk 001 10.3'!S192</f>
        <v>14/5/2569</v>
      </c>
      <c r="U190" s="13" t="str">
        <f>IF(แปลงข้อมูล!P191,แปลงข้อมูล!I191,"")</f>
        <v/>
      </c>
      <c r="V190" s="13" t="str">
        <f>IF(แปลงข้อมูล!P191,แปลงข้อมูล!J191,"")</f>
        <v/>
      </c>
      <c r="Y190" s="13" t="str">
        <f>_xlfn.XLOOKUP(V190,'mk 001 10.3'!V:V,'mk 001 10.3'!Y:Y,"")</f>
        <v/>
      </c>
      <c r="Z190" s="13" t="str">
        <f>IF(แปลงข้อมูล!P191,แปลงข้อมูล!N191,"")</f>
        <v/>
      </c>
      <c r="BL190" t="str">
        <f>'mk 001 10.3'!BL192</f>
        <v>SYSBATCH</v>
      </c>
      <c r="BM190">
        <f>'mk 001 10.3'!BM192</f>
        <v>0</v>
      </c>
      <c r="BN190">
        <f>'mk 001 10.3'!BN192</f>
        <v>0</v>
      </c>
    </row>
    <row r="191" spans="1:66" x14ac:dyDescent="0.35">
      <c r="A191">
        <f>'mk 001 10.3'!A193</f>
        <v>0</v>
      </c>
      <c r="B191">
        <f>'mk 001 10.3'!B193</f>
        <v>0</v>
      </c>
      <c r="C191" s="1" t="str">
        <f>'mk 001 10.3'!C193</f>
        <v>14/5/2569</v>
      </c>
      <c r="D191" s="1" t="str">
        <f>'mk 001 10.3'!D193</f>
        <v>14/5/2569</v>
      </c>
      <c r="E191">
        <f>'mk 001 10.3'!E193</f>
        <v>0</v>
      </c>
      <c r="F191" t="str">
        <f>'mk 001 10.3'!F193</f>
        <v>489M</v>
      </c>
      <c r="G191" t="str">
        <f>'mk 001 10.3'!G193</f>
        <v>Modern Trade (Makro)</v>
      </c>
      <c r="H191">
        <f>'mk 001 10.3'!H193</f>
        <v>0</v>
      </c>
      <c r="I191" t="str">
        <f>'mk 001 10.3'!I193</f>
        <v>หน่วยงานกลาง</v>
      </c>
      <c r="J191" t="str">
        <f>'mk 001 10.3'!J193</f>
        <v>F213  DMCW-รชล-พระพุทธบาท</v>
      </c>
      <c r="K191" t="str">
        <f>'mk 001 10.3'!K193</f>
        <v>00000  หน่วยงานกลาง</v>
      </c>
      <c r="L191">
        <f>'mk 001 10.3'!L193</f>
        <v>923</v>
      </c>
      <c r="M191">
        <f>'mk 001 10.3'!M193</f>
        <v>0</v>
      </c>
      <c r="Q191" s="13" t="str">
        <f>IF(แปลงข้อมูล!P192,แปลงข้อมูล!H192,"")</f>
        <v/>
      </c>
      <c r="R191" s="1">
        <f>'mk 001 10.3'!R193</f>
        <v>244658</v>
      </c>
      <c r="S191" s="1" t="str">
        <f>'mk 001 10.3'!S193</f>
        <v>14/5/2569</v>
      </c>
      <c r="U191" s="13" t="str">
        <f>IF(แปลงข้อมูล!P192,แปลงข้อมูล!I192,"")</f>
        <v/>
      </c>
      <c r="V191" s="13" t="str">
        <f>IF(แปลงข้อมูล!P192,แปลงข้อมูล!J192,"")</f>
        <v/>
      </c>
      <c r="Y191" s="13" t="str">
        <f>_xlfn.XLOOKUP(V191,'mk 001 10.3'!V:V,'mk 001 10.3'!Y:Y,"")</f>
        <v/>
      </c>
      <c r="Z191" s="13" t="str">
        <f>IF(แปลงข้อมูล!P192,แปลงข้อมูล!N192,"")</f>
        <v/>
      </c>
      <c r="BL191" t="str">
        <f>'mk 001 10.3'!BL193</f>
        <v>SYSBATCH</v>
      </c>
      <c r="BM191">
        <f>'mk 001 10.3'!BM193</f>
        <v>0</v>
      </c>
      <c r="BN191">
        <f>'mk 001 10.3'!BN193</f>
        <v>0</v>
      </c>
    </row>
    <row r="192" spans="1:66" x14ac:dyDescent="0.35">
      <c r="A192">
        <f>'mk 001 10.3'!A194</f>
        <v>0</v>
      </c>
      <c r="B192">
        <f>'mk 001 10.3'!B194</f>
        <v>0</v>
      </c>
      <c r="C192" s="1" t="str">
        <f>'mk 001 10.3'!C194</f>
        <v>14/5/2569</v>
      </c>
      <c r="D192" s="1" t="str">
        <f>'mk 001 10.3'!D194</f>
        <v>14/5/2569</v>
      </c>
      <c r="E192">
        <f>'mk 001 10.3'!E194</f>
        <v>0</v>
      </c>
      <c r="F192" t="str">
        <f>'mk 001 10.3'!F194</f>
        <v>489M</v>
      </c>
      <c r="G192" t="str">
        <f>'mk 001 10.3'!G194</f>
        <v>Modern Trade (Makro)</v>
      </c>
      <c r="H192">
        <f>'mk 001 10.3'!H194</f>
        <v>0</v>
      </c>
      <c r="I192" t="str">
        <f>'mk 001 10.3'!I194</f>
        <v>หน่วยงานกลาง</v>
      </c>
      <c r="J192" t="str">
        <f>'mk 001 10.3'!J194</f>
        <v>F213  DMCW-รชล-พระพุทธบาท</v>
      </c>
      <c r="K192" t="str">
        <f>'mk 001 10.3'!K194</f>
        <v>00000  หน่วยงานกลาง</v>
      </c>
      <c r="L192">
        <f>'mk 001 10.3'!L194</f>
        <v>923</v>
      </c>
      <c r="M192">
        <f>'mk 001 10.3'!M194</f>
        <v>0</v>
      </c>
      <c r="Q192" s="13" t="str">
        <f>IF(แปลงข้อมูล!P193,แปลงข้อมูล!H193,"")</f>
        <v/>
      </c>
      <c r="R192" s="1">
        <f>'mk 001 10.3'!R194</f>
        <v>244658</v>
      </c>
      <c r="S192" s="1" t="str">
        <f>'mk 001 10.3'!S194</f>
        <v>14/5/2569</v>
      </c>
      <c r="U192" s="13" t="str">
        <f>IF(แปลงข้อมูล!P193,แปลงข้อมูล!I193,"")</f>
        <v/>
      </c>
      <c r="V192" s="13" t="str">
        <f>IF(แปลงข้อมูล!P193,แปลงข้อมูล!J193,"")</f>
        <v/>
      </c>
      <c r="Y192" s="13" t="str">
        <f>_xlfn.XLOOKUP(V192,'mk 001 10.3'!V:V,'mk 001 10.3'!Y:Y,"")</f>
        <v/>
      </c>
      <c r="Z192" s="13" t="str">
        <f>IF(แปลงข้อมูล!P193,แปลงข้อมูล!N193,"")</f>
        <v/>
      </c>
      <c r="BL192" t="str">
        <f>'mk 001 10.3'!BL194</f>
        <v>SYSBATCH</v>
      </c>
      <c r="BM192">
        <f>'mk 001 10.3'!BM194</f>
        <v>0</v>
      </c>
      <c r="BN192">
        <f>'mk 001 10.3'!BN194</f>
        <v>0</v>
      </c>
    </row>
    <row r="193" spans="1:66" x14ac:dyDescent="0.35">
      <c r="A193">
        <f>'mk 001 10.3'!A195</f>
        <v>0</v>
      </c>
      <c r="B193">
        <f>'mk 001 10.3'!B195</f>
        <v>0</v>
      </c>
      <c r="C193" s="1" t="str">
        <f>'mk 001 10.3'!C195</f>
        <v>14/5/2569</v>
      </c>
      <c r="D193" s="1" t="str">
        <f>'mk 001 10.3'!D195</f>
        <v>14/5/2569</v>
      </c>
      <c r="E193">
        <f>'mk 001 10.3'!E195</f>
        <v>0</v>
      </c>
      <c r="F193" t="str">
        <f>'mk 001 10.3'!F195</f>
        <v>489M</v>
      </c>
      <c r="G193" t="str">
        <f>'mk 001 10.3'!G195</f>
        <v>Modern Trade (Makro)</v>
      </c>
      <c r="H193">
        <f>'mk 001 10.3'!H195</f>
        <v>0</v>
      </c>
      <c r="I193" t="str">
        <f>'mk 001 10.3'!I195</f>
        <v>หน่วยงานกลาง</v>
      </c>
      <c r="J193" t="str">
        <f>'mk 001 10.3'!J195</f>
        <v>F213  DMCW-รชล-พระพุทธบาท</v>
      </c>
      <c r="K193" t="str">
        <f>'mk 001 10.3'!K195</f>
        <v>00000  หน่วยงานกลาง</v>
      </c>
      <c r="L193">
        <f>'mk 001 10.3'!L195</f>
        <v>923</v>
      </c>
      <c r="M193">
        <f>'mk 001 10.3'!M195</f>
        <v>0</v>
      </c>
      <c r="Q193" s="13" t="str">
        <f>IF(แปลงข้อมูล!P194,แปลงข้อมูล!H194,"")</f>
        <v/>
      </c>
      <c r="R193" s="1">
        <f>'mk 001 10.3'!R195</f>
        <v>244658</v>
      </c>
      <c r="S193" s="1" t="str">
        <f>'mk 001 10.3'!S195</f>
        <v>14/5/2569</v>
      </c>
      <c r="U193" s="13" t="str">
        <f>IF(แปลงข้อมูล!P194,แปลงข้อมูล!I194,"")</f>
        <v/>
      </c>
      <c r="V193" s="13" t="str">
        <f>IF(แปลงข้อมูล!P194,แปลงข้อมูล!J194,"")</f>
        <v/>
      </c>
      <c r="Y193" s="13" t="str">
        <f>_xlfn.XLOOKUP(V193,'mk 001 10.3'!V:V,'mk 001 10.3'!Y:Y,"")</f>
        <v/>
      </c>
      <c r="Z193" s="13" t="str">
        <f>IF(แปลงข้อมูล!P194,แปลงข้อมูล!N194,"")</f>
        <v/>
      </c>
      <c r="BL193" t="str">
        <f>'mk 001 10.3'!BL195</f>
        <v>SYSBATCH</v>
      </c>
      <c r="BM193">
        <f>'mk 001 10.3'!BM195</f>
        <v>0</v>
      </c>
      <c r="BN193">
        <f>'mk 001 10.3'!BN195</f>
        <v>0</v>
      </c>
    </row>
    <row r="194" spans="1:66" x14ac:dyDescent="0.35">
      <c r="A194">
        <f>'mk 001 10.3'!A196</f>
        <v>0</v>
      </c>
      <c r="B194">
        <f>'mk 001 10.3'!B196</f>
        <v>0</v>
      </c>
      <c r="C194" s="1" t="str">
        <f>'mk 001 10.3'!C196</f>
        <v>14/5/2569</v>
      </c>
      <c r="D194" s="1" t="str">
        <f>'mk 001 10.3'!D196</f>
        <v>14/5/2569</v>
      </c>
      <c r="E194">
        <f>'mk 001 10.3'!E196</f>
        <v>0</v>
      </c>
      <c r="F194" t="str">
        <f>'mk 001 10.3'!F196</f>
        <v>489M</v>
      </c>
      <c r="G194" t="str">
        <f>'mk 001 10.3'!G196</f>
        <v>Modern Trade (Makro)</v>
      </c>
      <c r="H194">
        <f>'mk 001 10.3'!H196</f>
        <v>0</v>
      </c>
      <c r="I194" t="str">
        <f>'mk 001 10.3'!I196</f>
        <v>หน่วยงานกลาง</v>
      </c>
      <c r="J194" t="str">
        <f>'mk 001 10.3'!J196</f>
        <v>F213  DMCW-รชล-พระพุทธบาท</v>
      </c>
      <c r="K194" t="str">
        <f>'mk 001 10.3'!K196</f>
        <v>00000  หน่วยงานกลาง</v>
      </c>
      <c r="L194">
        <f>'mk 001 10.3'!L196</f>
        <v>923</v>
      </c>
      <c r="M194">
        <f>'mk 001 10.3'!M196</f>
        <v>0</v>
      </c>
      <c r="Q194" s="13" t="str">
        <f>IF(แปลงข้อมูล!P195,แปลงข้อมูล!H195,"")</f>
        <v/>
      </c>
      <c r="R194" s="1">
        <f>'mk 001 10.3'!R196</f>
        <v>244658</v>
      </c>
      <c r="S194" s="1" t="str">
        <f>'mk 001 10.3'!S196</f>
        <v>14/5/2569</v>
      </c>
      <c r="U194" s="13" t="str">
        <f>IF(แปลงข้อมูล!P195,แปลงข้อมูล!I195,"")</f>
        <v/>
      </c>
      <c r="V194" s="13" t="str">
        <f>IF(แปลงข้อมูล!P195,แปลงข้อมูล!J195,"")</f>
        <v/>
      </c>
      <c r="Y194" s="13" t="str">
        <f>_xlfn.XLOOKUP(V194,'mk 001 10.3'!V:V,'mk 001 10.3'!Y:Y,"")</f>
        <v/>
      </c>
      <c r="Z194" s="13" t="str">
        <f>IF(แปลงข้อมูล!P195,แปลงข้อมูล!N195,"")</f>
        <v/>
      </c>
      <c r="BL194" t="str">
        <f>'mk 001 10.3'!BL196</f>
        <v>SYSBATCH</v>
      </c>
      <c r="BM194">
        <f>'mk 001 10.3'!BM196</f>
        <v>0</v>
      </c>
      <c r="BN194">
        <f>'mk 001 10.3'!BN196</f>
        <v>0</v>
      </c>
    </row>
    <row r="195" spans="1:66" x14ac:dyDescent="0.35">
      <c r="A195">
        <f>'mk 001 10.3'!A197</f>
        <v>0</v>
      </c>
      <c r="B195">
        <f>'mk 001 10.3'!B197</f>
        <v>0</v>
      </c>
      <c r="C195" s="1" t="str">
        <f>'mk 001 10.3'!C197</f>
        <v>14/5/2569</v>
      </c>
      <c r="D195" s="1" t="str">
        <f>'mk 001 10.3'!D197</f>
        <v>14/5/2569</v>
      </c>
      <c r="E195">
        <f>'mk 001 10.3'!E197</f>
        <v>0</v>
      </c>
      <c r="F195" t="str">
        <f>'mk 001 10.3'!F197</f>
        <v>489M</v>
      </c>
      <c r="G195" t="str">
        <f>'mk 001 10.3'!G197</f>
        <v>Modern Trade (Makro)</v>
      </c>
      <c r="H195">
        <f>'mk 001 10.3'!H197</f>
        <v>0</v>
      </c>
      <c r="I195" t="str">
        <f>'mk 001 10.3'!I197</f>
        <v>หน่วยงานกลาง</v>
      </c>
      <c r="J195" t="str">
        <f>'mk 001 10.3'!J197</f>
        <v>F213  DMCW-รชล-พระพุทธบาท</v>
      </c>
      <c r="K195" t="str">
        <f>'mk 001 10.3'!K197</f>
        <v>00000  หน่วยงานกลาง</v>
      </c>
      <c r="L195">
        <f>'mk 001 10.3'!L197</f>
        <v>923</v>
      </c>
      <c r="M195">
        <f>'mk 001 10.3'!M197</f>
        <v>0</v>
      </c>
      <c r="Q195" s="13" t="str">
        <f>IF(แปลงข้อมูล!P196,แปลงข้อมูล!H196,"")</f>
        <v/>
      </c>
      <c r="R195" s="1">
        <f>'mk 001 10.3'!R197</f>
        <v>244658</v>
      </c>
      <c r="S195" s="1" t="str">
        <f>'mk 001 10.3'!S197</f>
        <v>14/5/2569</v>
      </c>
      <c r="U195" s="13" t="str">
        <f>IF(แปลงข้อมูล!P196,แปลงข้อมูล!I196,"")</f>
        <v/>
      </c>
      <c r="V195" s="13" t="str">
        <f>IF(แปลงข้อมูล!P196,แปลงข้อมูล!J196,"")</f>
        <v/>
      </c>
      <c r="Y195" s="13" t="str">
        <f>_xlfn.XLOOKUP(V195,'mk 001 10.3'!V:V,'mk 001 10.3'!Y:Y,"")</f>
        <v/>
      </c>
      <c r="Z195" s="13" t="str">
        <f>IF(แปลงข้อมูล!P196,แปลงข้อมูล!N196,"")</f>
        <v/>
      </c>
      <c r="BL195" t="str">
        <f>'mk 001 10.3'!BL197</f>
        <v>SYSBATCH</v>
      </c>
      <c r="BM195">
        <f>'mk 001 10.3'!BM197</f>
        <v>0</v>
      </c>
      <c r="BN195">
        <f>'mk 001 10.3'!BN197</f>
        <v>0</v>
      </c>
    </row>
    <row r="196" spans="1:66" x14ac:dyDescent="0.35">
      <c r="A196">
        <f>'mk 001 10.3'!A198</f>
        <v>0</v>
      </c>
      <c r="B196">
        <f>'mk 001 10.3'!B198</f>
        <v>0</v>
      </c>
      <c r="C196" s="1" t="str">
        <f>'mk 001 10.3'!C198</f>
        <v>14/5/2569</v>
      </c>
      <c r="D196" s="1" t="str">
        <f>'mk 001 10.3'!D198</f>
        <v>14/5/2569</v>
      </c>
      <c r="E196">
        <f>'mk 001 10.3'!E198</f>
        <v>0</v>
      </c>
      <c r="F196" t="str">
        <f>'mk 001 10.3'!F198</f>
        <v>489M</v>
      </c>
      <c r="G196" t="str">
        <f>'mk 001 10.3'!G198</f>
        <v>Modern Trade (Makro)</v>
      </c>
      <c r="H196">
        <f>'mk 001 10.3'!H198</f>
        <v>0</v>
      </c>
      <c r="I196" t="str">
        <f>'mk 001 10.3'!I198</f>
        <v>หน่วยงานกลาง</v>
      </c>
      <c r="J196" t="str">
        <f>'mk 001 10.3'!J198</f>
        <v>F213  DMCW-รชล-พระพุทธบาท</v>
      </c>
      <c r="K196" t="str">
        <f>'mk 001 10.3'!K198</f>
        <v>00000  หน่วยงานกลาง</v>
      </c>
      <c r="L196">
        <f>'mk 001 10.3'!L198</f>
        <v>923</v>
      </c>
      <c r="M196">
        <f>'mk 001 10.3'!M198</f>
        <v>0</v>
      </c>
      <c r="Q196" s="13" t="str">
        <f>IF(แปลงข้อมูล!P197,แปลงข้อมูล!H197,"")</f>
        <v/>
      </c>
      <c r="R196" s="1">
        <f>'mk 001 10.3'!R198</f>
        <v>244658</v>
      </c>
      <c r="S196" s="1" t="str">
        <f>'mk 001 10.3'!S198</f>
        <v>14/5/2569</v>
      </c>
      <c r="U196" s="13" t="str">
        <f>IF(แปลงข้อมูล!P197,แปลงข้อมูล!I197,"")</f>
        <v/>
      </c>
      <c r="V196" s="13" t="str">
        <f>IF(แปลงข้อมูล!P197,แปลงข้อมูล!J197,"")</f>
        <v/>
      </c>
      <c r="Y196" s="13" t="str">
        <f>_xlfn.XLOOKUP(V196,'mk 001 10.3'!V:V,'mk 001 10.3'!Y:Y,"")</f>
        <v/>
      </c>
      <c r="Z196" s="13" t="str">
        <f>IF(แปลงข้อมูล!P197,แปลงข้อมูล!N197,"")</f>
        <v/>
      </c>
      <c r="BL196" t="str">
        <f>'mk 001 10.3'!BL198</f>
        <v>SYSBATCH</v>
      </c>
      <c r="BM196">
        <f>'mk 001 10.3'!BM198</f>
        <v>0</v>
      </c>
      <c r="BN196">
        <f>'mk 001 10.3'!BN198</f>
        <v>0</v>
      </c>
    </row>
    <row r="197" spans="1:66" x14ac:dyDescent="0.35">
      <c r="A197">
        <f>'mk 001 10.3'!A199</f>
        <v>0</v>
      </c>
      <c r="B197">
        <f>'mk 001 10.3'!B199</f>
        <v>0</v>
      </c>
      <c r="C197" s="1" t="str">
        <f>'mk 001 10.3'!C199</f>
        <v>14/5/2569</v>
      </c>
      <c r="D197" s="1" t="str">
        <f>'mk 001 10.3'!D199</f>
        <v>14/5/2569</v>
      </c>
      <c r="E197">
        <f>'mk 001 10.3'!E199</f>
        <v>0</v>
      </c>
      <c r="F197" t="str">
        <f>'mk 001 10.3'!F199</f>
        <v>489M</v>
      </c>
      <c r="G197" t="str">
        <f>'mk 001 10.3'!G199</f>
        <v>Modern Trade (Makro)</v>
      </c>
      <c r="H197">
        <f>'mk 001 10.3'!H199</f>
        <v>0</v>
      </c>
      <c r="I197" t="str">
        <f>'mk 001 10.3'!I199</f>
        <v>หน่วยงานกลาง</v>
      </c>
      <c r="J197" t="str">
        <f>'mk 001 10.3'!J199</f>
        <v>F213  DMCW-รชล-พระพุทธบาท</v>
      </c>
      <c r="K197" t="str">
        <f>'mk 001 10.3'!K199</f>
        <v>00000  หน่วยงานกลาง</v>
      </c>
      <c r="L197">
        <f>'mk 001 10.3'!L199</f>
        <v>923</v>
      </c>
      <c r="M197">
        <f>'mk 001 10.3'!M199</f>
        <v>0</v>
      </c>
      <c r="Q197" s="13" t="str">
        <f>IF(แปลงข้อมูล!P198,แปลงข้อมูล!H198,"")</f>
        <v/>
      </c>
      <c r="R197" s="1">
        <f>'mk 001 10.3'!R199</f>
        <v>244658</v>
      </c>
      <c r="S197" s="1" t="str">
        <f>'mk 001 10.3'!S199</f>
        <v>14/5/2569</v>
      </c>
      <c r="U197" s="13" t="str">
        <f>IF(แปลงข้อมูล!P198,แปลงข้อมูล!I198,"")</f>
        <v/>
      </c>
      <c r="V197" s="13" t="str">
        <f>IF(แปลงข้อมูล!P198,แปลงข้อมูล!J198,"")</f>
        <v/>
      </c>
      <c r="Y197" s="13" t="str">
        <f>_xlfn.XLOOKUP(V197,'mk 001 10.3'!V:V,'mk 001 10.3'!Y:Y,"")</f>
        <v/>
      </c>
      <c r="Z197" s="13" t="str">
        <f>IF(แปลงข้อมูล!P198,แปลงข้อมูล!N198,"")</f>
        <v/>
      </c>
      <c r="BL197" t="str">
        <f>'mk 001 10.3'!BL199</f>
        <v>SYSBATCH</v>
      </c>
      <c r="BM197">
        <f>'mk 001 10.3'!BM199</f>
        <v>0</v>
      </c>
      <c r="BN197">
        <f>'mk 001 10.3'!BN199</f>
        <v>0</v>
      </c>
    </row>
    <row r="198" spans="1:66" x14ac:dyDescent="0.35">
      <c r="A198">
        <f>'mk 001 10.3'!A200</f>
        <v>0</v>
      </c>
      <c r="B198">
        <f>'mk 001 10.3'!B200</f>
        <v>0</v>
      </c>
      <c r="C198" s="1" t="str">
        <f>'mk 001 10.3'!C200</f>
        <v>14/5/2569</v>
      </c>
      <c r="D198" s="1" t="str">
        <f>'mk 001 10.3'!D200</f>
        <v>14/5/2569</v>
      </c>
      <c r="E198">
        <f>'mk 001 10.3'!E200</f>
        <v>0</v>
      </c>
      <c r="F198" t="str">
        <f>'mk 001 10.3'!F200</f>
        <v>489M</v>
      </c>
      <c r="G198" t="str">
        <f>'mk 001 10.3'!G200</f>
        <v>Modern Trade (Makro)</v>
      </c>
      <c r="H198">
        <f>'mk 001 10.3'!H200</f>
        <v>0</v>
      </c>
      <c r="I198" t="str">
        <f>'mk 001 10.3'!I200</f>
        <v>หน่วยงานกลาง</v>
      </c>
      <c r="J198" t="str">
        <f>'mk 001 10.3'!J200</f>
        <v>F213  DMCW-รชล-พระพุทธบาท</v>
      </c>
      <c r="K198" t="str">
        <f>'mk 001 10.3'!K200</f>
        <v>00000  หน่วยงานกลาง</v>
      </c>
      <c r="L198">
        <f>'mk 001 10.3'!L200</f>
        <v>923</v>
      </c>
      <c r="M198">
        <f>'mk 001 10.3'!M200</f>
        <v>0</v>
      </c>
      <c r="Q198" s="13" t="str">
        <f>IF(แปลงข้อมูล!P199,แปลงข้อมูล!H199,"")</f>
        <v/>
      </c>
      <c r="R198" s="1">
        <f>'mk 001 10.3'!R200</f>
        <v>244658</v>
      </c>
      <c r="S198" s="1" t="str">
        <f>'mk 001 10.3'!S200</f>
        <v>14/5/2569</v>
      </c>
      <c r="U198" s="13" t="str">
        <f>IF(แปลงข้อมูล!P199,แปลงข้อมูล!I199,"")</f>
        <v/>
      </c>
      <c r="V198" s="13" t="str">
        <f>IF(แปลงข้อมูล!P199,แปลงข้อมูล!J199,"")</f>
        <v/>
      </c>
      <c r="Y198" s="13" t="str">
        <f>_xlfn.XLOOKUP(V198,'mk 001 10.3'!V:V,'mk 001 10.3'!Y:Y,"")</f>
        <v/>
      </c>
      <c r="Z198" s="13" t="str">
        <f>IF(แปลงข้อมูล!P199,แปลงข้อมูล!N199,"")</f>
        <v/>
      </c>
      <c r="BL198" t="str">
        <f>'mk 001 10.3'!BL200</f>
        <v>SYSBATCH</v>
      </c>
      <c r="BM198">
        <f>'mk 001 10.3'!BM200</f>
        <v>0</v>
      </c>
      <c r="BN198">
        <f>'mk 001 10.3'!BN200</f>
        <v>0</v>
      </c>
    </row>
    <row r="199" spans="1:66" x14ac:dyDescent="0.35">
      <c r="A199">
        <f>'mk 001 10.3'!A201</f>
        <v>0</v>
      </c>
      <c r="B199">
        <f>'mk 001 10.3'!B201</f>
        <v>0</v>
      </c>
      <c r="C199" s="1" t="str">
        <f>'mk 001 10.3'!C201</f>
        <v>14/5/2569</v>
      </c>
      <c r="D199" s="1" t="str">
        <f>'mk 001 10.3'!D201</f>
        <v>14/5/2569</v>
      </c>
      <c r="E199">
        <f>'mk 001 10.3'!E201</f>
        <v>0</v>
      </c>
      <c r="F199" t="str">
        <f>'mk 001 10.3'!F201</f>
        <v>489M</v>
      </c>
      <c r="G199" t="str">
        <f>'mk 001 10.3'!G201</f>
        <v>Modern Trade (Makro)</v>
      </c>
      <c r="H199">
        <f>'mk 001 10.3'!H201</f>
        <v>0</v>
      </c>
      <c r="I199" t="str">
        <f>'mk 001 10.3'!I201</f>
        <v>หน่วยงานกลาง</v>
      </c>
      <c r="J199" t="str">
        <f>'mk 001 10.3'!J201</f>
        <v>F213  DMCW-รชล-พระพุทธบาท</v>
      </c>
      <c r="K199" t="str">
        <f>'mk 001 10.3'!K201</f>
        <v>00000  หน่วยงานกลาง</v>
      </c>
      <c r="L199">
        <f>'mk 001 10.3'!L201</f>
        <v>923</v>
      </c>
      <c r="M199">
        <f>'mk 001 10.3'!M201</f>
        <v>0</v>
      </c>
      <c r="Q199" s="13" t="str">
        <f>IF(แปลงข้อมูล!P200,แปลงข้อมูล!H200,"")</f>
        <v/>
      </c>
      <c r="R199" s="1">
        <f>'mk 001 10.3'!R201</f>
        <v>244658</v>
      </c>
      <c r="S199" s="1" t="str">
        <f>'mk 001 10.3'!S201</f>
        <v>14/5/2569</v>
      </c>
      <c r="U199" s="13" t="str">
        <f>IF(แปลงข้อมูล!P200,แปลงข้อมูล!I200,"")</f>
        <v/>
      </c>
      <c r="V199" s="13" t="str">
        <f>IF(แปลงข้อมูล!P200,แปลงข้อมูล!J200,"")</f>
        <v/>
      </c>
      <c r="Y199" s="13" t="str">
        <f>_xlfn.XLOOKUP(V199,'mk 001 10.3'!V:V,'mk 001 10.3'!Y:Y,"")</f>
        <v/>
      </c>
      <c r="Z199" s="13" t="str">
        <f>IF(แปลงข้อมูล!P200,แปลงข้อมูล!N200,"")</f>
        <v/>
      </c>
      <c r="BL199" t="str">
        <f>'mk 001 10.3'!BL201</f>
        <v>SYSBATCH</v>
      </c>
      <c r="BM199">
        <f>'mk 001 10.3'!BM201</f>
        <v>0</v>
      </c>
      <c r="BN199">
        <f>'mk 001 10.3'!BN201</f>
        <v>0</v>
      </c>
    </row>
    <row r="200" spans="1:66" x14ac:dyDescent="0.35">
      <c r="A200">
        <f>'mk 001 10.3'!A202</f>
        <v>0</v>
      </c>
      <c r="B200">
        <f>'mk 001 10.3'!B202</f>
        <v>0</v>
      </c>
      <c r="C200" s="1" t="str">
        <f>'mk 001 10.3'!C202</f>
        <v>14/5/2569</v>
      </c>
      <c r="D200" s="1" t="str">
        <f>'mk 001 10.3'!D202</f>
        <v>14/5/2569</v>
      </c>
      <c r="E200">
        <f>'mk 001 10.3'!E202</f>
        <v>0</v>
      </c>
      <c r="F200" t="str">
        <f>'mk 001 10.3'!F202</f>
        <v>489M</v>
      </c>
      <c r="G200" t="str">
        <f>'mk 001 10.3'!G202</f>
        <v>Modern Trade (Makro)</v>
      </c>
      <c r="H200">
        <f>'mk 001 10.3'!H202</f>
        <v>0</v>
      </c>
      <c r="I200" t="str">
        <f>'mk 001 10.3'!I202</f>
        <v>หน่วยงานกลาง</v>
      </c>
      <c r="J200" t="str">
        <f>'mk 001 10.3'!J202</f>
        <v>F213  DMCW-รชล-พระพุทธบาท</v>
      </c>
      <c r="K200" t="str">
        <f>'mk 001 10.3'!K202</f>
        <v>00000  หน่วยงานกลาง</v>
      </c>
      <c r="L200">
        <f>'mk 001 10.3'!L202</f>
        <v>923</v>
      </c>
      <c r="M200">
        <f>'mk 001 10.3'!M202</f>
        <v>0</v>
      </c>
      <c r="Q200" s="13" t="str">
        <f>IF(แปลงข้อมูล!P201,แปลงข้อมูล!H201,"")</f>
        <v/>
      </c>
      <c r="R200" s="1">
        <f>'mk 001 10.3'!R202</f>
        <v>244658</v>
      </c>
      <c r="S200" s="1" t="str">
        <f>'mk 001 10.3'!S202</f>
        <v>14/5/2569</v>
      </c>
      <c r="U200" s="13" t="str">
        <f>IF(แปลงข้อมูล!P201,แปลงข้อมูล!I201,"")</f>
        <v/>
      </c>
      <c r="V200" s="13" t="str">
        <f>IF(แปลงข้อมูล!P201,แปลงข้อมูล!J201,"")</f>
        <v/>
      </c>
      <c r="Y200" s="13" t="str">
        <f>_xlfn.XLOOKUP(V200,'mk 001 10.3'!V:V,'mk 001 10.3'!Y:Y,"")</f>
        <v/>
      </c>
      <c r="Z200" s="13" t="str">
        <f>IF(แปลงข้อมูล!P201,แปลงข้อมูล!N201,"")</f>
        <v/>
      </c>
      <c r="BL200" t="str">
        <f>'mk 001 10.3'!BL202</f>
        <v>SYSBATCH</v>
      </c>
      <c r="BM200">
        <f>'mk 001 10.3'!BM202</f>
        <v>0</v>
      </c>
      <c r="BN200">
        <f>'mk 001 10.3'!BN202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E8BE-BD28-44E7-8638-5A2E4E7EA54B}">
  <sheetPr>
    <tabColor theme="8" tint="0.59999389629810485"/>
  </sheetPr>
  <dimension ref="A1:D284"/>
  <sheetViews>
    <sheetView topLeftCell="A237" workbookViewId="0">
      <selection activeCell="A268" sqref="A268"/>
    </sheetView>
  </sheetViews>
  <sheetFormatPr defaultRowHeight="14.5" x14ac:dyDescent="0.35"/>
  <cols>
    <col min="1" max="1" width="37.54296875" customWidth="1"/>
    <col min="2" max="2" width="35.7265625" customWidth="1"/>
    <col min="4" max="4" width="27.7265625" customWidth="1"/>
  </cols>
  <sheetData>
    <row r="1" spans="1:4" x14ac:dyDescent="0.35">
      <c r="A1" s="33" t="s">
        <v>279</v>
      </c>
      <c r="B1" s="34" t="s">
        <v>280</v>
      </c>
      <c r="D1" s="13" t="s">
        <v>75</v>
      </c>
    </row>
    <row r="2" spans="1:4" x14ac:dyDescent="0.35">
      <c r="A2" t="s">
        <v>281</v>
      </c>
      <c r="B2" t="s">
        <v>35</v>
      </c>
      <c r="D2" s="13" t="s">
        <v>282</v>
      </c>
    </row>
    <row r="3" spans="1:4" x14ac:dyDescent="0.35">
      <c r="A3" t="s">
        <v>283</v>
      </c>
      <c r="B3" t="s">
        <v>35</v>
      </c>
      <c r="D3" s="13" t="s">
        <v>74</v>
      </c>
    </row>
    <row r="4" spans="1:4" x14ac:dyDescent="0.35">
      <c r="A4" t="s">
        <v>284</v>
      </c>
      <c r="B4" t="s">
        <v>28</v>
      </c>
      <c r="D4" s="13"/>
    </row>
    <row r="5" spans="1:4" x14ac:dyDescent="0.35">
      <c r="A5" t="s">
        <v>285</v>
      </c>
      <c r="B5" t="s">
        <v>28</v>
      </c>
      <c r="D5" s="13" t="s">
        <v>76</v>
      </c>
    </row>
    <row r="6" spans="1:4" x14ac:dyDescent="0.35">
      <c r="A6" t="s">
        <v>286</v>
      </c>
      <c r="B6" t="s">
        <v>28</v>
      </c>
      <c r="D6" s="13" t="s">
        <v>73</v>
      </c>
    </row>
    <row r="7" spans="1:4" x14ac:dyDescent="0.35">
      <c r="A7" t="s">
        <v>287</v>
      </c>
      <c r="B7" t="s">
        <v>28</v>
      </c>
    </row>
    <row r="8" spans="1:4" x14ac:dyDescent="0.35">
      <c r="A8" t="s">
        <v>288</v>
      </c>
      <c r="B8" t="s">
        <v>46</v>
      </c>
    </row>
    <row r="9" spans="1:4" x14ac:dyDescent="0.35">
      <c r="A9" t="s">
        <v>289</v>
      </c>
      <c r="B9" t="s">
        <v>46</v>
      </c>
    </row>
    <row r="10" spans="1:4" x14ac:dyDescent="0.35">
      <c r="A10" t="s">
        <v>290</v>
      </c>
      <c r="B10" t="s">
        <v>291</v>
      </c>
    </row>
    <row r="11" spans="1:4" x14ac:dyDescent="0.35">
      <c r="A11" t="s">
        <v>292</v>
      </c>
      <c r="B11" t="s">
        <v>292</v>
      </c>
    </row>
    <row r="12" spans="1:4" x14ac:dyDescent="0.35">
      <c r="A12" t="s">
        <v>293</v>
      </c>
      <c r="B12" t="s">
        <v>50</v>
      </c>
    </row>
    <row r="13" spans="1:4" x14ac:dyDescent="0.35">
      <c r="A13" t="s">
        <v>294</v>
      </c>
      <c r="B13" t="s">
        <v>50</v>
      </c>
    </row>
    <row r="14" spans="1:4" x14ac:dyDescent="0.35">
      <c r="A14" t="s">
        <v>295</v>
      </c>
      <c r="B14" t="s">
        <v>45</v>
      </c>
    </row>
    <row r="15" spans="1:4" x14ac:dyDescent="0.35">
      <c r="A15" t="s">
        <v>296</v>
      </c>
      <c r="B15" t="s">
        <v>296</v>
      </c>
    </row>
    <row r="16" spans="1:4" x14ac:dyDescent="0.35">
      <c r="A16" t="s">
        <v>297</v>
      </c>
      <c r="B16" t="s">
        <v>112</v>
      </c>
    </row>
    <row r="17" spans="1:2" x14ac:dyDescent="0.35">
      <c r="A17" t="s">
        <v>298</v>
      </c>
      <c r="B17" t="s">
        <v>112</v>
      </c>
    </row>
    <row r="18" spans="1:2" x14ac:dyDescent="0.35">
      <c r="A18" t="s">
        <v>299</v>
      </c>
      <c r="B18" t="s">
        <v>112</v>
      </c>
    </row>
    <row r="19" spans="1:2" x14ac:dyDescent="0.35">
      <c r="A19" t="s">
        <v>300</v>
      </c>
      <c r="B19" t="s">
        <v>111</v>
      </c>
    </row>
    <row r="20" spans="1:2" x14ac:dyDescent="0.35">
      <c r="A20" t="s">
        <v>301</v>
      </c>
      <c r="B20" t="s">
        <v>111</v>
      </c>
    </row>
    <row r="21" spans="1:2" x14ac:dyDescent="0.35">
      <c r="A21" t="s">
        <v>302</v>
      </c>
      <c r="B21" t="s">
        <v>111</v>
      </c>
    </row>
    <row r="22" spans="1:2" x14ac:dyDescent="0.35">
      <c r="A22" t="s">
        <v>303</v>
      </c>
      <c r="B22" t="s">
        <v>111</v>
      </c>
    </row>
    <row r="23" spans="1:2" x14ac:dyDescent="0.35">
      <c r="A23" t="s">
        <v>304</v>
      </c>
      <c r="B23" t="s">
        <v>304</v>
      </c>
    </row>
    <row r="24" spans="1:2" x14ac:dyDescent="0.35">
      <c r="A24" t="s">
        <v>304</v>
      </c>
      <c r="B24" t="s">
        <v>304</v>
      </c>
    </row>
    <row r="25" spans="1:2" x14ac:dyDescent="0.35">
      <c r="A25" t="s">
        <v>305</v>
      </c>
      <c r="B25" t="s">
        <v>30</v>
      </c>
    </row>
    <row r="26" spans="1:2" x14ac:dyDescent="0.35">
      <c r="A26" t="s">
        <v>306</v>
      </c>
      <c r="B26" t="s">
        <v>30</v>
      </c>
    </row>
    <row r="27" spans="1:2" x14ac:dyDescent="0.35">
      <c r="A27" t="s">
        <v>307</v>
      </c>
      <c r="B27" t="s">
        <v>30</v>
      </c>
    </row>
    <row r="28" spans="1:2" x14ac:dyDescent="0.35">
      <c r="A28" t="s">
        <v>308</v>
      </c>
      <c r="B28" t="s">
        <v>308</v>
      </c>
    </row>
    <row r="29" spans="1:2" x14ac:dyDescent="0.35">
      <c r="A29" t="s">
        <v>309</v>
      </c>
      <c r="B29" t="s">
        <v>113</v>
      </c>
    </row>
    <row r="30" spans="1:2" x14ac:dyDescent="0.35">
      <c r="A30" t="s">
        <v>310</v>
      </c>
      <c r="B30" t="s">
        <v>113</v>
      </c>
    </row>
    <row r="31" spans="1:2" x14ac:dyDescent="0.35">
      <c r="A31" t="s">
        <v>311</v>
      </c>
      <c r="B31" t="s">
        <v>113</v>
      </c>
    </row>
    <row r="32" spans="1:2" x14ac:dyDescent="0.35">
      <c r="A32" t="s">
        <v>312</v>
      </c>
      <c r="B32" t="s">
        <v>113</v>
      </c>
    </row>
    <row r="33" spans="1:2" x14ac:dyDescent="0.35">
      <c r="A33" t="s">
        <v>313</v>
      </c>
      <c r="B33" t="s">
        <v>57</v>
      </c>
    </row>
    <row r="34" spans="1:2" x14ac:dyDescent="0.35">
      <c r="A34" t="s">
        <v>314</v>
      </c>
      <c r="B34" t="s">
        <v>57</v>
      </c>
    </row>
    <row r="35" spans="1:2" x14ac:dyDescent="0.35">
      <c r="A35" s="3" t="s">
        <v>315</v>
      </c>
      <c r="B35" t="s">
        <v>78</v>
      </c>
    </row>
    <row r="36" spans="1:2" x14ac:dyDescent="0.35">
      <c r="A36" t="s">
        <v>316</v>
      </c>
      <c r="B36" t="s">
        <v>78</v>
      </c>
    </row>
    <row r="37" spans="1:2" x14ac:dyDescent="0.35">
      <c r="A37" t="s">
        <v>317</v>
      </c>
      <c r="B37" t="s">
        <v>78</v>
      </c>
    </row>
    <row r="38" spans="1:2" x14ac:dyDescent="0.35">
      <c r="A38" t="s">
        <v>318</v>
      </c>
      <c r="B38" t="s">
        <v>69</v>
      </c>
    </row>
    <row r="39" spans="1:2" x14ac:dyDescent="0.35">
      <c r="A39" t="s">
        <v>319</v>
      </c>
      <c r="B39" t="s">
        <v>319</v>
      </c>
    </row>
    <row r="40" spans="1:2" x14ac:dyDescent="0.35">
      <c r="A40" t="s">
        <v>320</v>
      </c>
      <c r="B40" t="s">
        <v>320</v>
      </c>
    </row>
    <row r="41" spans="1:2" x14ac:dyDescent="0.35">
      <c r="A41" t="s">
        <v>321</v>
      </c>
      <c r="B41" t="s">
        <v>321</v>
      </c>
    </row>
    <row r="42" spans="1:2" x14ac:dyDescent="0.35">
      <c r="A42" t="s">
        <v>322</v>
      </c>
      <c r="B42" t="s">
        <v>39</v>
      </c>
    </row>
    <row r="43" spans="1:2" ht="13.5" customHeight="1" x14ac:dyDescent="0.35">
      <c r="A43" t="s">
        <v>323</v>
      </c>
      <c r="B43" t="s">
        <v>39</v>
      </c>
    </row>
    <row r="44" spans="1:2" x14ac:dyDescent="0.35">
      <c r="A44" t="s">
        <v>324</v>
      </c>
      <c r="B44" t="s">
        <v>39</v>
      </c>
    </row>
    <row r="45" spans="1:2" x14ac:dyDescent="0.35">
      <c r="A45" t="s">
        <v>325</v>
      </c>
      <c r="B45" t="s">
        <v>25</v>
      </c>
    </row>
    <row r="46" spans="1:2" x14ac:dyDescent="0.35">
      <c r="A46" t="s">
        <v>326</v>
      </c>
      <c r="B46" t="s">
        <v>25</v>
      </c>
    </row>
    <row r="47" spans="1:2" x14ac:dyDescent="0.35">
      <c r="A47" t="s">
        <v>327</v>
      </c>
      <c r="B47" t="s">
        <v>25</v>
      </c>
    </row>
    <row r="48" spans="1:2" x14ac:dyDescent="0.35">
      <c r="A48" t="s">
        <v>328</v>
      </c>
      <c r="B48" t="s">
        <v>328</v>
      </c>
    </row>
    <row r="49" spans="1:2" x14ac:dyDescent="0.35">
      <c r="A49" t="s">
        <v>328</v>
      </c>
      <c r="B49" t="s">
        <v>328</v>
      </c>
    </row>
    <row r="50" spans="1:2" x14ac:dyDescent="0.35">
      <c r="A50" t="s">
        <v>329</v>
      </c>
      <c r="B50" t="s">
        <v>56</v>
      </c>
    </row>
    <row r="51" spans="1:2" x14ac:dyDescent="0.35">
      <c r="A51" t="s">
        <v>330</v>
      </c>
      <c r="B51" t="s">
        <v>56</v>
      </c>
    </row>
    <row r="52" spans="1:2" x14ac:dyDescent="0.35">
      <c r="A52" t="s">
        <v>331</v>
      </c>
      <c r="B52" t="s">
        <v>15</v>
      </c>
    </row>
    <row r="53" spans="1:2" x14ac:dyDescent="0.35">
      <c r="A53" t="s">
        <v>15</v>
      </c>
      <c r="B53" t="s">
        <v>15</v>
      </c>
    </row>
    <row r="54" spans="1:2" x14ac:dyDescent="0.35">
      <c r="A54" t="s">
        <v>332</v>
      </c>
      <c r="B54" t="s">
        <v>15</v>
      </c>
    </row>
    <row r="55" spans="1:2" x14ac:dyDescent="0.35">
      <c r="A55" t="s">
        <v>333</v>
      </c>
      <c r="B55" t="s">
        <v>15</v>
      </c>
    </row>
    <row r="56" spans="1:2" x14ac:dyDescent="0.35">
      <c r="A56" t="s">
        <v>334</v>
      </c>
      <c r="B56" t="s">
        <v>24</v>
      </c>
    </row>
    <row r="57" spans="1:2" x14ac:dyDescent="0.35">
      <c r="A57" t="s">
        <v>335</v>
      </c>
      <c r="B57" t="s">
        <v>24</v>
      </c>
    </row>
    <row r="58" spans="1:2" x14ac:dyDescent="0.35">
      <c r="A58" t="s">
        <v>336</v>
      </c>
      <c r="B58" t="s">
        <v>24</v>
      </c>
    </row>
    <row r="59" spans="1:2" x14ac:dyDescent="0.35">
      <c r="A59" t="s">
        <v>337</v>
      </c>
      <c r="B59" t="s">
        <v>24</v>
      </c>
    </row>
    <row r="60" spans="1:2" x14ac:dyDescent="0.35">
      <c r="A60" t="s">
        <v>338</v>
      </c>
      <c r="B60" t="s">
        <v>24</v>
      </c>
    </row>
    <row r="61" spans="1:2" x14ac:dyDescent="0.35">
      <c r="A61" t="s">
        <v>339</v>
      </c>
      <c r="B61" t="s">
        <v>340</v>
      </c>
    </row>
    <row r="62" spans="1:2" x14ac:dyDescent="0.35">
      <c r="A62" t="s">
        <v>341</v>
      </c>
      <c r="B62" t="s">
        <v>340</v>
      </c>
    </row>
    <row r="63" spans="1:2" x14ac:dyDescent="0.35">
      <c r="A63" t="s">
        <v>342</v>
      </c>
      <c r="B63" t="s">
        <v>343</v>
      </c>
    </row>
    <row r="64" spans="1:2" x14ac:dyDescent="0.35">
      <c r="A64" t="s">
        <v>344</v>
      </c>
      <c r="B64" t="s">
        <v>343</v>
      </c>
    </row>
    <row r="65" spans="1:2" x14ac:dyDescent="0.35">
      <c r="A65" t="s">
        <v>345</v>
      </c>
      <c r="B65" t="s">
        <v>345</v>
      </c>
    </row>
    <row r="66" spans="1:2" x14ac:dyDescent="0.35">
      <c r="A66" t="s">
        <v>345</v>
      </c>
      <c r="B66" t="s">
        <v>345</v>
      </c>
    </row>
    <row r="67" spans="1:2" x14ac:dyDescent="0.35">
      <c r="A67" t="s">
        <v>346</v>
      </c>
      <c r="B67" t="s">
        <v>49</v>
      </c>
    </row>
    <row r="68" spans="1:2" x14ac:dyDescent="0.35">
      <c r="A68" t="s">
        <v>347</v>
      </c>
      <c r="B68" t="s">
        <v>49</v>
      </c>
    </row>
    <row r="69" spans="1:2" x14ac:dyDescent="0.35">
      <c r="A69" t="s">
        <v>348</v>
      </c>
      <c r="B69" t="s">
        <v>49</v>
      </c>
    </row>
    <row r="70" spans="1:2" x14ac:dyDescent="0.35">
      <c r="A70" t="s">
        <v>349</v>
      </c>
      <c r="B70" t="s">
        <v>350</v>
      </c>
    </row>
    <row r="71" spans="1:2" x14ac:dyDescent="0.35">
      <c r="A71" t="s">
        <v>351</v>
      </c>
      <c r="B71" t="s">
        <v>351</v>
      </c>
    </row>
    <row r="72" spans="1:2" x14ac:dyDescent="0.35">
      <c r="A72" t="s">
        <v>351</v>
      </c>
      <c r="B72" t="s">
        <v>351</v>
      </c>
    </row>
    <row r="73" spans="1:2" x14ac:dyDescent="0.35">
      <c r="A73" t="s">
        <v>352</v>
      </c>
      <c r="B73" t="s">
        <v>353</v>
      </c>
    </row>
    <row r="74" spans="1:2" x14ac:dyDescent="0.35">
      <c r="A74" t="s">
        <v>354</v>
      </c>
      <c r="B74" t="s">
        <v>354</v>
      </c>
    </row>
    <row r="75" spans="1:2" x14ac:dyDescent="0.35">
      <c r="A75" t="s">
        <v>355</v>
      </c>
      <c r="B75" t="s">
        <v>356</v>
      </c>
    </row>
    <row r="76" spans="1:2" x14ac:dyDescent="0.35">
      <c r="A76" t="s">
        <v>357</v>
      </c>
      <c r="B76" t="s">
        <v>16</v>
      </c>
    </row>
    <row r="77" spans="1:2" x14ac:dyDescent="0.35">
      <c r="A77" t="s">
        <v>16</v>
      </c>
      <c r="B77" t="s">
        <v>16</v>
      </c>
    </row>
    <row r="78" spans="1:2" x14ac:dyDescent="0.35">
      <c r="A78" s="3" t="s">
        <v>358</v>
      </c>
      <c r="B78" t="s">
        <v>359</v>
      </c>
    </row>
    <row r="79" spans="1:2" x14ac:dyDescent="0.35">
      <c r="A79" t="s">
        <v>359</v>
      </c>
      <c r="B79" t="s">
        <v>359</v>
      </c>
    </row>
    <row r="80" spans="1:2" x14ac:dyDescent="0.35">
      <c r="A80" t="s">
        <v>360</v>
      </c>
      <c r="B80" t="s">
        <v>359</v>
      </c>
    </row>
    <row r="81" spans="1:2" x14ac:dyDescent="0.35">
      <c r="A81" t="s">
        <v>361</v>
      </c>
      <c r="B81" t="s">
        <v>362</v>
      </c>
    </row>
    <row r="82" spans="1:2" x14ac:dyDescent="0.35">
      <c r="A82" t="s">
        <v>363</v>
      </c>
      <c r="B82" t="s">
        <v>363</v>
      </c>
    </row>
    <row r="83" spans="1:2" x14ac:dyDescent="0.35">
      <c r="A83" t="s">
        <v>363</v>
      </c>
      <c r="B83" t="s">
        <v>363</v>
      </c>
    </row>
    <row r="84" spans="1:2" x14ac:dyDescent="0.35">
      <c r="A84" t="s">
        <v>363</v>
      </c>
      <c r="B84" t="s">
        <v>363</v>
      </c>
    </row>
    <row r="85" spans="1:2" x14ac:dyDescent="0.35">
      <c r="A85" t="s">
        <v>75</v>
      </c>
      <c r="B85" t="s">
        <v>75</v>
      </c>
    </row>
    <row r="86" spans="1:2" x14ac:dyDescent="0.35">
      <c r="A86" t="s">
        <v>282</v>
      </c>
      <c r="B86" t="s">
        <v>282</v>
      </c>
    </row>
    <row r="87" spans="1:2" x14ac:dyDescent="0.35">
      <c r="A87" t="s">
        <v>74</v>
      </c>
      <c r="B87" t="s">
        <v>74</v>
      </c>
    </row>
    <row r="88" spans="1:2" x14ac:dyDescent="0.35">
      <c r="A88" t="s">
        <v>76</v>
      </c>
      <c r="B88" t="s">
        <v>76</v>
      </c>
    </row>
    <row r="89" spans="1:2" x14ac:dyDescent="0.35">
      <c r="A89" t="s">
        <v>73</v>
      </c>
      <c r="B89" t="s">
        <v>73</v>
      </c>
    </row>
    <row r="90" spans="1:2" x14ac:dyDescent="0.35">
      <c r="A90" t="s">
        <v>364</v>
      </c>
      <c r="B90" t="s">
        <v>29</v>
      </c>
    </row>
    <row r="91" spans="1:2" x14ac:dyDescent="0.35">
      <c r="A91" t="s">
        <v>365</v>
      </c>
      <c r="B91" t="s">
        <v>29</v>
      </c>
    </row>
    <row r="92" spans="1:2" x14ac:dyDescent="0.35">
      <c r="A92" t="s">
        <v>366</v>
      </c>
      <c r="B92" t="s">
        <v>61</v>
      </c>
    </row>
    <row r="93" spans="1:2" x14ac:dyDescent="0.35">
      <c r="A93" t="s">
        <v>367</v>
      </c>
      <c r="B93" t="s">
        <v>367</v>
      </c>
    </row>
    <row r="94" spans="1:2" x14ac:dyDescent="0.35">
      <c r="A94" t="s">
        <v>367</v>
      </c>
      <c r="B94" t="s">
        <v>367</v>
      </c>
    </row>
    <row r="95" spans="1:2" x14ac:dyDescent="0.35">
      <c r="A95" t="s">
        <v>368</v>
      </c>
      <c r="B95" t="s">
        <v>85</v>
      </c>
    </row>
    <row r="96" spans="1:2" x14ac:dyDescent="0.35">
      <c r="A96" t="s">
        <v>369</v>
      </c>
      <c r="B96" t="s">
        <v>60</v>
      </c>
    </row>
    <row r="97" spans="1:2" x14ac:dyDescent="0.35">
      <c r="A97" t="s">
        <v>370</v>
      </c>
      <c r="B97" t="s">
        <v>116</v>
      </c>
    </row>
    <row r="98" spans="1:2" x14ac:dyDescent="0.35">
      <c r="A98" t="s">
        <v>371</v>
      </c>
      <c r="B98" t="s">
        <v>116</v>
      </c>
    </row>
    <row r="99" spans="1:2" x14ac:dyDescent="0.35">
      <c r="A99" t="s">
        <v>372</v>
      </c>
      <c r="B99" t="s">
        <v>116</v>
      </c>
    </row>
    <row r="100" spans="1:2" x14ac:dyDescent="0.35">
      <c r="A100" t="s">
        <v>373</v>
      </c>
      <c r="B100" t="s">
        <v>116</v>
      </c>
    </row>
    <row r="101" spans="1:2" x14ac:dyDescent="0.35">
      <c r="A101" t="s">
        <v>374</v>
      </c>
      <c r="B101" t="s">
        <v>31</v>
      </c>
    </row>
    <row r="102" spans="1:2" x14ac:dyDescent="0.35">
      <c r="A102" t="s">
        <v>375</v>
      </c>
      <c r="B102" t="s">
        <v>31</v>
      </c>
    </row>
    <row r="103" spans="1:2" x14ac:dyDescent="0.35">
      <c r="A103" t="s">
        <v>376</v>
      </c>
      <c r="B103" t="s">
        <v>103</v>
      </c>
    </row>
    <row r="104" spans="1:2" x14ac:dyDescent="0.35">
      <c r="A104" s="3" t="s">
        <v>377</v>
      </c>
      <c r="B104" t="s">
        <v>71</v>
      </c>
    </row>
    <row r="105" spans="1:2" x14ac:dyDescent="0.35">
      <c r="A105" t="s">
        <v>378</v>
      </c>
      <c r="B105" t="s">
        <v>71</v>
      </c>
    </row>
    <row r="106" spans="1:2" x14ac:dyDescent="0.35">
      <c r="A106" t="s">
        <v>379</v>
      </c>
      <c r="B106" t="s">
        <v>120</v>
      </c>
    </row>
    <row r="107" spans="1:2" x14ac:dyDescent="0.35">
      <c r="A107" t="s">
        <v>99</v>
      </c>
      <c r="B107" t="s">
        <v>99</v>
      </c>
    </row>
    <row r="108" spans="1:2" x14ac:dyDescent="0.35">
      <c r="A108" t="s">
        <v>107</v>
      </c>
      <c r="B108" t="s">
        <v>107</v>
      </c>
    </row>
    <row r="109" spans="1:2" x14ac:dyDescent="0.35">
      <c r="A109" t="s">
        <v>380</v>
      </c>
      <c r="B109" t="s">
        <v>18</v>
      </c>
    </row>
    <row r="110" spans="1:2" x14ac:dyDescent="0.35">
      <c r="A110" t="s">
        <v>381</v>
      </c>
      <c r="B110" t="s">
        <v>18</v>
      </c>
    </row>
    <row r="111" spans="1:2" x14ac:dyDescent="0.35">
      <c r="A111" t="s">
        <v>382</v>
      </c>
      <c r="B111" t="s">
        <v>18</v>
      </c>
    </row>
    <row r="112" spans="1:2" x14ac:dyDescent="0.35">
      <c r="A112" t="s">
        <v>383</v>
      </c>
      <c r="B112" t="s">
        <v>18</v>
      </c>
    </row>
    <row r="113" spans="1:2" x14ac:dyDescent="0.35">
      <c r="A113" t="s">
        <v>384</v>
      </c>
      <c r="B113" t="s">
        <v>18</v>
      </c>
    </row>
    <row r="114" spans="1:2" x14ac:dyDescent="0.35">
      <c r="A114" s="3" t="s">
        <v>385</v>
      </c>
      <c r="B114" t="s">
        <v>53</v>
      </c>
    </row>
    <row r="115" spans="1:2" x14ac:dyDescent="0.35">
      <c r="A115" t="s">
        <v>386</v>
      </c>
      <c r="B115" t="s">
        <v>53</v>
      </c>
    </row>
    <row r="116" spans="1:2" x14ac:dyDescent="0.35">
      <c r="A116" t="s">
        <v>53</v>
      </c>
      <c r="B116" t="s">
        <v>53</v>
      </c>
    </row>
    <row r="117" spans="1:2" x14ac:dyDescent="0.35">
      <c r="A117" t="s">
        <v>387</v>
      </c>
      <c r="B117" t="s">
        <v>53</v>
      </c>
    </row>
    <row r="118" spans="1:2" x14ac:dyDescent="0.35">
      <c r="A118" t="s">
        <v>388</v>
      </c>
      <c r="B118" t="s">
        <v>53</v>
      </c>
    </row>
    <row r="119" spans="1:2" x14ac:dyDescent="0.35">
      <c r="A119" t="s">
        <v>389</v>
      </c>
      <c r="B119" t="s">
        <v>53</v>
      </c>
    </row>
    <row r="120" spans="1:2" x14ac:dyDescent="0.35">
      <c r="A120" t="s">
        <v>390</v>
      </c>
      <c r="B120" t="s">
        <v>59</v>
      </c>
    </row>
    <row r="121" spans="1:2" x14ac:dyDescent="0.35">
      <c r="A121" t="s">
        <v>391</v>
      </c>
      <c r="B121" t="s">
        <v>59</v>
      </c>
    </row>
    <row r="122" spans="1:2" x14ac:dyDescent="0.35">
      <c r="A122" t="s">
        <v>392</v>
      </c>
      <c r="B122" t="s">
        <v>55</v>
      </c>
    </row>
    <row r="123" spans="1:2" x14ac:dyDescent="0.35">
      <c r="A123" s="3" t="s">
        <v>393</v>
      </c>
      <c r="B123" t="s">
        <v>55</v>
      </c>
    </row>
    <row r="124" spans="1:2" x14ac:dyDescent="0.35">
      <c r="A124" t="s">
        <v>394</v>
      </c>
      <c r="B124" t="s">
        <v>55</v>
      </c>
    </row>
    <row r="125" spans="1:2" x14ac:dyDescent="0.35">
      <c r="A125" t="s">
        <v>395</v>
      </c>
      <c r="B125" t="s">
        <v>55</v>
      </c>
    </row>
    <row r="126" spans="1:2" x14ac:dyDescent="0.35">
      <c r="A126" t="s">
        <v>396</v>
      </c>
      <c r="B126" t="s">
        <v>58</v>
      </c>
    </row>
    <row r="127" spans="1:2" x14ac:dyDescent="0.35">
      <c r="A127" t="s">
        <v>397</v>
      </c>
      <c r="B127" t="s">
        <v>58</v>
      </c>
    </row>
    <row r="128" spans="1:2" x14ac:dyDescent="0.35">
      <c r="A128" t="s">
        <v>398</v>
      </c>
      <c r="B128" t="s">
        <v>110</v>
      </c>
    </row>
    <row r="129" spans="1:2" x14ac:dyDescent="0.35">
      <c r="A129" t="s">
        <v>399</v>
      </c>
      <c r="B129" t="s">
        <v>110</v>
      </c>
    </row>
    <row r="130" spans="1:2" x14ac:dyDescent="0.35">
      <c r="A130" t="s">
        <v>119</v>
      </c>
      <c r="B130" t="s">
        <v>119</v>
      </c>
    </row>
    <row r="131" spans="1:2" x14ac:dyDescent="0.35">
      <c r="A131" t="s">
        <v>400</v>
      </c>
      <c r="B131" t="s">
        <v>119</v>
      </c>
    </row>
    <row r="132" spans="1:2" x14ac:dyDescent="0.35">
      <c r="A132" t="s">
        <v>401</v>
      </c>
      <c r="B132" t="s">
        <v>119</v>
      </c>
    </row>
    <row r="133" spans="1:2" x14ac:dyDescent="0.35">
      <c r="A133" t="s">
        <v>402</v>
      </c>
      <c r="B133" t="s">
        <v>119</v>
      </c>
    </row>
    <row r="134" spans="1:2" x14ac:dyDescent="0.35">
      <c r="A134" t="s">
        <v>403</v>
      </c>
      <c r="B134" t="s">
        <v>404</v>
      </c>
    </row>
    <row r="135" spans="1:2" x14ac:dyDescent="0.35">
      <c r="A135" t="s">
        <v>405</v>
      </c>
      <c r="B135" t="s">
        <v>127</v>
      </c>
    </row>
    <row r="136" spans="1:2" x14ac:dyDescent="0.35">
      <c r="A136" t="s">
        <v>406</v>
      </c>
      <c r="B136" t="s">
        <v>406</v>
      </c>
    </row>
    <row r="137" spans="1:2" x14ac:dyDescent="0.35">
      <c r="A137" t="s">
        <v>407</v>
      </c>
      <c r="B137" t="s">
        <v>51</v>
      </c>
    </row>
    <row r="138" spans="1:2" x14ac:dyDescent="0.35">
      <c r="A138" t="s">
        <v>408</v>
      </c>
      <c r="B138" t="s">
        <v>51</v>
      </c>
    </row>
    <row r="139" spans="1:2" x14ac:dyDescent="0.35">
      <c r="A139" t="s">
        <v>409</v>
      </c>
      <c r="B139" t="s">
        <v>26</v>
      </c>
    </row>
    <row r="140" spans="1:2" x14ac:dyDescent="0.35">
      <c r="A140" t="s">
        <v>410</v>
      </c>
      <c r="B140" t="s">
        <v>410</v>
      </c>
    </row>
    <row r="141" spans="1:2" x14ac:dyDescent="0.35">
      <c r="A141" t="s">
        <v>411</v>
      </c>
      <c r="B141" t="s">
        <v>411</v>
      </c>
    </row>
    <row r="142" spans="1:2" x14ac:dyDescent="0.35">
      <c r="A142" t="s">
        <v>412</v>
      </c>
      <c r="B142" t="s">
        <v>412</v>
      </c>
    </row>
    <row r="143" spans="1:2" x14ac:dyDescent="0.35">
      <c r="A143" t="s">
        <v>413</v>
      </c>
      <c r="B143" t="s">
        <v>414</v>
      </c>
    </row>
    <row r="144" spans="1:2" x14ac:dyDescent="0.35">
      <c r="A144" t="s">
        <v>415</v>
      </c>
      <c r="B144" t="s">
        <v>414</v>
      </c>
    </row>
    <row r="145" spans="1:3" x14ac:dyDescent="0.35">
      <c r="A145" t="s">
        <v>104</v>
      </c>
      <c r="B145" t="s">
        <v>104</v>
      </c>
    </row>
    <row r="146" spans="1:3" x14ac:dyDescent="0.35">
      <c r="A146" t="s">
        <v>416</v>
      </c>
      <c r="B146" t="s">
        <v>70</v>
      </c>
    </row>
    <row r="147" spans="1:3" x14ac:dyDescent="0.35">
      <c r="A147" s="3" t="s">
        <v>417</v>
      </c>
      <c r="B147" t="s">
        <v>70</v>
      </c>
    </row>
    <row r="148" spans="1:3" x14ac:dyDescent="0.35">
      <c r="A148" t="s">
        <v>418</v>
      </c>
      <c r="B148" t="s">
        <v>114</v>
      </c>
    </row>
    <row r="149" spans="1:3" x14ac:dyDescent="0.35">
      <c r="A149" t="s">
        <v>419</v>
      </c>
      <c r="B149" t="s">
        <v>114</v>
      </c>
    </row>
    <row r="150" spans="1:3" x14ac:dyDescent="0.35">
      <c r="A150" t="s">
        <v>420</v>
      </c>
      <c r="B150" t="s">
        <v>115</v>
      </c>
    </row>
    <row r="151" spans="1:3" x14ac:dyDescent="0.35">
      <c r="A151" t="s">
        <v>421</v>
      </c>
      <c r="B151" t="s">
        <v>421</v>
      </c>
    </row>
    <row r="152" spans="1:3" x14ac:dyDescent="0.35">
      <c r="A152" t="s">
        <v>422</v>
      </c>
      <c r="B152" t="s">
        <v>108</v>
      </c>
    </row>
    <row r="153" spans="1:3" x14ac:dyDescent="0.35">
      <c r="A153" t="s">
        <v>423</v>
      </c>
      <c r="B153" t="s">
        <v>108</v>
      </c>
    </row>
    <row r="154" spans="1:3" x14ac:dyDescent="0.35">
      <c r="A154" t="s">
        <v>52</v>
      </c>
      <c r="B154" t="s">
        <v>52</v>
      </c>
    </row>
    <row r="155" spans="1:3" x14ac:dyDescent="0.35">
      <c r="A155" t="s">
        <v>424</v>
      </c>
      <c r="B155" t="s">
        <v>19</v>
      </c>
    </row>
    <row r="156" spans="1:3" x14ac:dyDescent="0.35">
      <c r="A156" t="s">
        <v>425</v>
      </c>
      <c r="B156" t="s">
        <v>19</v>
      </c>
    </row>
    <row r="157" spans="1:3" x14ac:dyDescent="0.35">
      <c r="A157" t="s">
        <v>426</v>
      </c>
      <c r="B157" t="s">
        <v>19</v>
      </c>
    </row>
    <row r="158" spans="1:3" x14ac:dyDescent="0.35">
      <c r="A158" t="s">
        <v>427</v>
      </c>
      <c r="B158" t="s">
        <v>427</v>
      </c>
    </row>
    <row r="159" spans="1:3" x14ac:dyDescent="0.35">
      <c r="A159" t="s">
        <v>428</v>
      </c>
      <c r="B159" t="s">
        <v>427</v>
      </c>
    </row>
    <row r="160" spans="1:3" x14ac:dyDescent="0.35">
      <c r="A160" s="13" t="s">
        <v>40</v>
      </c>
      <c r="B160" s="13" t="s">
        <v>40</v>
      </c>
      <c r="C160" s="13"/>
    </row>
    <row r="161" spans="1:3" x14ac:dyDescent="0.35">
      <c r="A161" s="13" t="s">
        <v>429</v>
      </c>
      <c r="B161" s="13" t="s">
        <v>40</v>
      </c>
      <c r="C161" s="13"/>
    </row>
    <row r="162" spans="1:3" x14ac:dyDescent="0.35">
      <c r="A162" t="s">
        <v>430</v>
      </c>
      <c r="B162" t="s">
        <v>430</v>
      </c>
    </row>
    <row r="163" spans="1:3" x14ac:dyDescent="0.35">
      <c r="A163" t="s">
        <v>431</v>
      </c>
      <c r="B163" t="s">
        <v>82</v>
      </c>
    </row>
    <row r="164" spans="1:3" x14ac:dyDescent="0.35">
      <c r="A164" t="s">
        <v>432</v>
      </c>
      <c r="B164" t="s">
        <v>62</v>
      </c>
    </row>
    <row r="165" spans="1:3" x14ac:dyDescent="0.35">
      <c r="A165" t="s">
        <v>433</v>
      </c>
      <c r="B165" t="s">
        <v>62</v>
      </c>
    </row>
    <row r="166" spans="1:3" x14ac:dyDescent="0.35">
      <c r="A166" t="s">
        <v>434</v>
      </c>
      <c r="B166" t="s">
        <v>62</v>
      </c>
    </row>
    <row r="167" spans="1:3" x14ac:dyDescent="0.35">
      <c r="A167" t="s">
        <v>435</v>
      </c>
      <c r="B167" t="s">
        <v>62</v>
      </c>
    </row>
    <row r="168" spans="1:3" x14ac:dyDescent="0.35">
      <c r="A168" t="s">
        <v>436</v>
      </c>
      <c r="B168" t="s">
        <v>436</v>
      </c>
    </row>
    <row r="169" spans="1:3" x14ac:dyDescent="0.35">
      <c r="A169" t="s">
        <v>436</v>
      </c>
      <c r="B169" t="s">
        <v>436</v>
      </c>
    </row>
    <row r="170" spans="1:3" x14ac:dyDescent="0.35">
      <c r="A170" t="s">
        <v>436</v>
      </c>
      <c r="B170" t="s">
        <v>436</v>
      </c>
    </row>
    <row r="171" spans="1:3" x14ac:dyDescent="0.35">
      <c r="A171" t="s">
        <v>436</v>
      </c>
      <c r="B171" t="s">
        <v>436</v>
      </c>
    </row>
    <row r="172" spans="1:3" x14ac:dyDescent="0.35">
      <c r="A172" t="s">
        <v>437</v>
      </c>
      <c r="B172" t="s">
        <v>437</v>
      </c>
    </row>
    <row r="173" spans="1:3" x14ac:dyDescent="0.35">
      <c r="A173" t="s">
        <v>437</v>
      </c>
      <c r="B173" t="s">
        <v>437</v>
      </c>
    </row>
    <row r="174" spans="1:3" x14ac:dyDescent="0.35">
      <c r="A174" t="s">
        <v>438</v>
      </c>
      <c r="B174" t="s">
        <v>54</v>
      </c>
    </row>
    <row r="175" spans="1:3" x14ac:dyDescent="0.35">
      <c r="A175" t="s">
        <v>439</v>
      </c>
      <c r="B175" t="s">
        <v>54</v>
      </c>
    </row>
    <row r="176" spans="1:3" x14ac:dyDescent="0.35">
      <c r="A176" t="s">
        <v>440</v>
      </c>
      <c r="B176" t="s">
        <v>122</v>
      </c>
    </row>
    <row r="177" spans="1:2" x14ac:dyDescent="0.35">
      <c r="A177" t="s">
        <v>441</v>
      </c>
      <c r="B177" t="s">
        <v>122</v>
      </c>
    </row>
    <row r="178" spans="1:2" x14ac:dyDescent="0.35">
      <c r="A178" t="s">
        <v>442</v>
      </c>
      <c r="B178" t="s">
        <v>122</v>
      </c>
    </row>
    <row r="179" spans="1:2" x14ac:dyDescent="0.35">
      <c r="A179" t="s">
        <v>443</v>
      </c>
      <c r="B179" t="s">
        <v>122</v>
      </c>
    </row>
    <row r="180" spans="1:2" x14ac:dyDescent="0.35">
      <c r="A180" t="s">
        <v>444</v>
      </c>
      <c r="B180" t="s">
        <v>63</v>
      </c>
    </row>
    <row r="181" spans="1:2" x14ac:dyDescent="0.35">
      <c r="A181" t="s">
        <v>87</v>
      </c>
      <c r="B181" t="s">
        <v>87</v>
      </c>
    </row>
    <row r="182" spans="1:2" x14ac:dyDescent="0.35">
      <c r="A182" t="s">
        <v>96</v>
      </c>
      <c r="B182" t="s">
        <v>96</v>
      </c>
    </row>
    <row r="183" spans="1:2" x14ac:dyDescent="0.35">
      <c r="A183" s="13" t="s">
        <v>445</v>
      </c>
      <c r="B183" s="13" t="s">
        <v>123</v>
      </c>
    </row>
    <row r="184" spans="1:2" x14ac:dyDescent="0.35">
      <c r="A184" s="13" t="s">
        <v>429</v>
      </c>
      <c r="B184" s="13" t="s">
        <v>123</v>
      </c>
    </row>
    <row r="185" spans="1:2" x14ac:dyDescent="0.35">
      <c r="A185" s="13" t="s">
        <v>446</v>
      </c>
      <c r="B185" s="13" t="s">
        <v>123</v>
      </c>
    </row>
    <row r="186" spans="1:2" x14ac:dyDescent="0.35">
      <c r="A186" s="13" t="s">
        <v>40</v>
      </c>
      <c r="B186" s="13" t="s">
        <v>123</v>
      </c>
    </row>
    <row r="187" spans="1:2" x14ac:dyDescent="0.35">
      <c r="A187" t="s">
        <v>102</v>
      </c>
      <c r="B187" t="s">
        <v>102</v>
      </c>
    </row>
    <row r="188" spans="1:2" x14ac:dyDescent="0.35">
      <c r="A188" t="s">
        <v>106</v>
      </c>
      <c r="B188" t="s">
        <v>106</v>
      </c>
    </row>
    <row r="189" spans="1:2" x14ac:dyDescent="0.35">
      <c r="A189" t="s">
        <v>447</v>
      </c>
      <c r="B189" t="s">
        <v>22</v>
      </c>
    </row>
    <row r="190" spans="1:2" x14ac:dyDescent="0.35">
      <c r="A190" t="s">
        <v>448</v>
      </c>
      <c r="B190" t="s">
        <v>22</v>
      </c>
    </row>
    <row r="191" spans="1:2" x14ac:dyDescent="0.35">
      <c r="A191" t="s">
        <v>449</v>
      </c>
      <c r="B191" t="s">
        <v>449</v>
      </c>
    </row>
    <row r="192" spans="1:2" x14ac:dyDescent="0.35">
      <c r="A192" t="s">
        <v>450</v>
      </c>
      <c r="B192" t="s">
        <v>450</v>
      </c>
    </row>
    <row r="193" spans="1:2" x14ac:dyDescent="0.35">
      <c r="A193" t="s">
        <v>42</v>
      </c>
      <c r="B193" t="s">
        <v>42</v>
      </c>
    </row>
    <row r="194" spans="1:2" x14ac:dyDescent="0.35">
      <c r="A194" t="s">
        <v>451</v>
      </c>
      <c r="B194" t="s">
        <v>42</v>
      </c>
    </row>
    <row r="195" spans="1:2" x14ac:dyDescent="0.35">
      <c r="A195" t="s">
        <v>452</v>
      </c>
      <c r="B195" t="s">
        <v>81</v>
      </c>
    </row>
    <row r="196" spans="1:2" x14ac:dyDescent="0.35">
      <c r="A196" t="s">
        <v>453</v>
      </c>
      <c r="B196" t="s">
        <v>65</v>
      </c>
    </row>
    <row r="197" spans="1:2" x14ac:dyDescent="0.35">
      <c r="A197" t="s">
        <v>454</v>
      </c>
      <c r="B197" t="s">
        <v>455</v>
      </c>
    </row>
    <row r="198" spans="1:2" x14ac:dyDescent="0.35">
      <c r="A198" t="s">
        <v>91</v>
      </c>
      <c r="B198" t="s">
        <v>91</v>
      </c>
    </row>
    <row r="199" spans="1:2" x14ac:dyDescent="0.35">
      <c r="A199" t="s">
        <v>94</v>
      </c>
      <c r="B199" t="s">
        <v>94</v>
      </c>
    </row>
    <row r="200" spans="1:2" x14ac:dyDescent="0.35">
      <c r="A200" t="s">
        <v>66</v>
      </c>
      <c r="B200" t="s">
        <v>66</v>
      </c>
    </row>
    <row r="201" spans="1:2" x14ac:dyDescent="0.35">
      <c r="A201" t="s">
        <v>456</v>
      </c>
      <c r="B201" t="s">
        <v>457</v>
      </c>
    </row>
    <row r="202" spans="1:2" x14ac:dyDescent="0.35">
      <c r="A202" t="s">
        <v>458</v>
      </c>
      <c r="B202" t="s">
        <v>20</v>
      </c>
    </row>
    <row r="203" spans="1:2" x14ac:dyDescent="0.35">
      <c r="A203" t="s">
        <v>459</v>
      </c>
      <c r="B203" t="s">
        <v>20</v>
      </c>
    </row>
    <row r="204" spans="1:2" x14ac:dyDescent="0.35">
      <c r="A204" t="s">
        <v>460</v>
      </c>
      <c r="B204" t="s">
        <v>20</v>
      </c>
    </row>
    <row r="205" spans="1:2" x14ac:dyDescent="0.35">
      <c r="A205" t="s">
        <v>461</v>
      </c>
      <c r="B205" t="s">
        <v>461</v>
      </c>
    </row>
    <row r="206" spans="1:2" x14ac:dyDescent="0.35">
      <c r="A206" t="s">
        <v>462</v>
      </c>
      <c r="B206" t="s">
        <v>462</v>
      </c>
    </row>
    <row r="207" spans="1:2" x14ac:dyDescent="0.35">
      <c r="A207" t="s">
        <v>41</v>
      </c>
      <c r="B207" t="s">
        <v>41</v>
      </c>
    </row>
    <row r="208" spans="1:2" x14ac:dyDescent="0.35">
      <c r="A208" t="s">
        <v>463</v>
      </c>
      <c r="B208" t="s">
        <v>41</v>
      </c>
    </row>
    <row r="209" spans="1:2" x14ac:dyDescent="0.35">
      <c r="A209" t="s">
        <v>464</v>
      </c>
      <c r="B209" t="s">
        <v>464</v>
      </c>
    </row>
    <row r="210" spans="1:2" x14ac:dyDescent="0.35">
      <c r="A210" t="s">
        <v>465</v>
      </c>
      <c r="B210" t="s">
        <v>80</v>
      </c>
    </row>
    <row r="211" spans="1:2" x14ac:dyDescent="0.35">
      <c r="A211" t="s">
        <v>466</v>
      </c>
      <c r="B211" t="s">
        <v>467</v>
      </c>
    </row>
    <row r="212" spans="1:2" x14ac:dyDescent="0.35">
      <c r="A212" t="s">
        <v>89</v>
      </c>
      <c r="B212" t="s">
        <v>89</v>
      </c>
    </row>
    <row r="213" spans="1:2" x14ac:dyDescent="0.35">
      <c r="A213" t="s">
        <v>95</v>
      </c>
      <c r="B213" t="s">
        <v>95</v>
      </c>
    </row>
    <row r="214" spans="1:2" x14ac:dyDescent="0.35">
      <c r="A214" t="s">
        <v>468</v>
      </c>
      <c r="B214" t="s">
        <v>469</v>
      </c>
    </row>
    <row r="215" spans="1:2" x14ac:dyDescent="0.35">
      <c r="A215" t="s">
        <v>470</v>
      </c>
      <c r="B215" t="s">
        <v>471</v>
      </c>
    </row>
    <row r="216" spans="1:2" x14ac:dyDescent="0.35">
      <c r="A216" t="s">
        <v>472</v>
      </c>
      <c r="B216" t="s">
        <v>473</v>
      </c>
    </row>
    <row r="217" spans="1:2" x14ac:dyDescent="0.35">
      <c r="A217" t="s">
        <v>474</v>
      </c>
      <c r="B217" t="s">
        <v>21</v>
      </c>
    </row>
    <row r="218" spans="1:2" x14ac:dyDescent="0.35">
      <c r="A218" t="s">
        <v>475</v>
      </c>
      <c r="B218" t="s">
        <v>21</v>
      </c>
    </row>
    <row r="219" spans="1:2" x14ac:dyDescent="0.35">
      <c r="A219" t="s">
        <v>476</v>
      </c>
      <c r="B219" t="s">
        <v>64</v>
      </c>
    </row>
    <row r="220" spans="1:2" x14ac:dyDescent="0.35">
      <c r="A220" t="s">
        <v>477</v>
      </c>
      <c r="B220" t="s">
        <v>64</v>
      </c>
    </row>
    <row r="221" spans="1:2" x14ac:dyDescent="0.35">
      <c r="A221" t="s">
        <v>478</v>
      </c>
      <c r="B221" t="s">
        <v>478</v>
      </c>
    </row>
    <row r="222" spans="1:2" x14ac:dyDescent="0.35">
      <c r="A222" t="s">
        <v>479</v>
      </c>
      <c r="B222" t="s">
        <v>480</v>
      </c>
    </row>
    <row r="223" spans="1:2" x14ac:dyDescent="0.35">
      <c r="A223" t="s">
        <v>481</v>
      </c>
      <c r="B223" t="s">
        <v>23</v>
      </c>
    </row>
    <row r="224" spans="1:2" x14ac:dyDescent="0.35">
      <c r="A224" t="s">
        <v>482</v>
      </c>
      <c r="B224" t="s">
        <v>23</v>
      </c>
    </row>
    <row r="225" spans="1:2" x14ac:dyDescent="0.35">
      <c r="A225" t="s">
        <v>483</v>
      </c>
      <c r="B225" t="s">
        <v>23</v>
      </c>
    </row>
    <row r="226" spans="1:2" x14ac:dyDescent="0.35">
      <c r="A226" t="s">
        <v>484</v>
      </c>
      <c r="B226" t="s">
        <v>485</v>
      </c>
    </row>
    <row r="227" spans="1:2" x14ac:dyDescent="0.35">
      <c r="A227" t="s">
        <v>43</v>
      </c>
      <c r="B227" t="s">
        <v>43</v>
      </c>
    </row>
    <row r="228" spans="1:2" x14ac:dyDescent="0.35">
      <c r="A228" t="s">
        <v>486</v>
      </c>
      <c r="B228" t="s">
        <v>43</v>
      </c>
    </row>
    <row r="229" spans="1:2" x14ac:dyDescent="0.35">
      <c r="A229" t="s">
        <v>487</v>
      </c>
      <c r="B229" t="s">
        <v>83</v>
      </c>
    </row>
    <row r="230" spans="1:2" x14ac:dyDescent="0.35">
      <c r="A230" t="s">
        <v>488</v>
      </c>
      <c r="B230" t="s">
        <v>79</v>
      </c>
    </row>
    <row r="231" spans="1:2" x14ac:dyDescent="0.35">
      <c r="A231" s="13" t="s">
        <v>489</v>
      </c>
      <c r="B231" s="13" t="s">
        <v>67</v>
      </c>
    </row>
    <row r="232" spans="1:2" x14ac:dyDescent="0.35">
      <c r="A232" s="13" t="s">
        <v>490</v>
      </c>
      <c r="B232" s="13" t="s">
        <v>117</v>
      </c>
    </row>
    <row r="233" spans="1:2" x14ac:dyDescent="0.35">
      <c r="A233" s="13" t="s">
        <v>47</v>
      </c>
      <c r="B233" s="13" t="s">
        <v>47</v>
      </c>
    </row>
    <row r="234" spans="1:2" x14ac:dyDescent="0.35">
      <c r="A234" t="s">
        <v>491</v>
      </c>
      <c r="B234" t="s">
        <v>491</v>
      </c>
    </row>
    <row r="235" spans="1:2" x14ac:dyDescent="0.35">
      <c r="A235" t="s">
        <v>90</v>
      </c>
      <c r="B235" t="s">
        <v>90</v>
      </c>
    </row>
    <row r="236" spans="1:2" x14ac:dyDescent="0.35">
      <c r="A236" t="s">
        <v>93</v>
      </c>
      <c r="B236" t="s">
        <v>93</v>
      </c>
    </row>
    <row r="237" spans="1:2" x14ac:dyDescent="0.35">
      <c r="A237" t="s">
        <v>68</v>
      </c>
      <c r="B237" t="s">
        <v>68</v>
      </c>
    </row>
    <row r="238" spans="1:2" x14ac:dyDescent="0.35">
      <c r="A238" t="s">
        <v>100</v>
      </c>
      <c r="B238" t="s">
        <v>100</v>
      </c>
    </row>
    <row r="239" spans="1:2" x14ac:dyDescent="0.35">
      <c r="A239" t="s">
        <v>105</v>
      </c>
      <c r="B239" t="s">
        <v>105</v>
      </c>
    </row>
    <row r="240" spans="1:2" x14ac:dyDescent="0.35">
      <c r="A240" t="s">
        <v>492</v>
      </c>
      <c r="B240" t="s">
        <v>493</v>
      </c>
    </row>
    <row r="241" spans="1:2" x14ac:dyDescent="0.35">
      <c r="A241" t="s">
        <v>494</v>
      </c>
      <c r="B241" t="s">
        <v>121</v>
      </c>
    </row>
    <row r="242" spans="1:2" x14ac:dyDescent="0.35">
      <c r="A242" t="s">
        <v>101</v>
      </c>
      <c r="B242" t="s">
        <v>101</v>
      </c>
    </row>
    <row r="243" spans="1:2" x14ac:dyDescent="0.35">
      <c r="A243" t="s">
        <v>98</v>
      </c>
      <c r="B243" t="s">
        <v>98</v>
      </c>
    </row>
    <row r="244" spans="1:2" x14ac:dyDescent="0.35">
      <c r="A244" t="s">
        <v>495</v>
      </c>
      <c r="B244" t="s">
        <v>44</v>
      </c>
    </row>
    <row r="245" spans="1:2" x14ac:dyDescent="0.35">
      <c r="A245" t="s">
        <v>496</v>
      </c>
      <c r="B245" t="s">
        <v>44</v>
      </c>
    </row>
    <row r="246" spans="1:2" x14ac:dyDescent="0.35">
      <c r="A246" t="s">
        <v>497</v>
      </c>
      <c r="B246" t="s">
        <v>37</v>
      </c>
    </row>
    <row r="247" spans="1:2" x14ac:dyDescent="0.35">
      <c r="A247" t="s">
        <v>498</v>
      </c>
      <c r="B247" t="s">
        <v>37</v>
      </c>
    </row>
    <row r="248" spans="1:2" x14ac:dyDescent="0.35">
      <c r="A248" t="s">
        <v>499</v>
      </c>
      <c r="B248" t="s">
        <v>37</v>
      </c>
    </row>
    <row r="249" spans="1:2" x14ac:dyDescent="0.35">
      <c r="A249" t="s">
        <v>126</v>
      </c>
      <c r="B249" t="s">
        <v>126</v>
      </c>
    </row>
    <row r="250" spans="1:2" x14ac:dyDescent="0.35">
      <c r="A250" t="s">
        <v>500</v>
      </c>
      <c r="B250" t="s">
        <v>34</v>
      </c>
    </row>
    <row r="251" spans="1:2" x14ac:dyDescent="0.35">
      <c r="A251" t="s">
        <v>501</v>
      </c>
      <c r="B251" t="s">
        <v>34</v>
      </c>
    </row>
    <row r="252" spans="1:2" x14ac:dyDescent="0.35">
      <c r="A252" t="s">
        <v>502</v>
      </c>
      <c r="B252" t="s">
        <v>502</v>
      </c>
    </row>
    <row r="253" spans="1:2" x14ac:dyDescent="0.35">
      <c r="A253" t="s">
        <v>503</v>
      </c>
      <c r="B253" t="s">
        <v>33</v>
      </c>
    </row>
    <row r="254" spans="1:2" x14ac:dyDescent="0.35">
      <c r="A254" t="s">
        <v>504</v>
      </c>
      <c r="B254" t="s">
        <v>33</v>
      </c>
    </row>
    <row r="255" spans="1:2" x14ac:dyDescent="0.35">
      <c r="A255" t="s">
        <v>505</v>
      </c>
      <c r="B255" t="s">
        <v>505</v>
      </c>
    </row>
    <row r="256" spans="1:2" x14ac:dyDescent="0.35">
      <c r="A256" t="s">
        <v>506</v>
      </c>
      <c r="B256" t="s">
        <v>27</v>
      </c>
    </row>
    <row r="257" spans="1:2" x14ac:dyDescent="0.35">
      <c r="A257" t="s">
        <v>507</v>
      </c>
      <c r="B257" t="s">
        <v>36</v>
      </c>
    </row>
    <row r="258" spans="1:2" x14ac:dyDescent="0.35">
      <c r="A258" t="s">
        <v>508</v>
      </c>
      <c r="B258" t="s">
        <v>36</v>
      </c>
    </row>
    <row r="259" spans="1:2" x14ac:dyDescent="0.35">
      <c r="A259" t="s">
        <v>509</v>
      </c>
      <c r="B259" t="s">
        <v>36</v>
      </c>
    </row>
    <row r="260" spans="1:2" x14ac:dyDescent="0.35">
      <c r="A260" t="s">
        <v>510</v>
      </c>
      <c r="B260" t="s">
        <v>17</v>
      </c>
    </row>
    <row r="261" spans="1:2" x14ac:dyDescent="0.35">
      <c r="A261" t="s">
        <v>84</v>
      </c>
      <c r="B261" t="s">
        <v>84</v>
      </c>
    </row>
    <row r="262" spans="1:2" x14ac:dyDescent="0.35">
      <c r="A262" t="s">
        <v>511</v>
      </c>
      <c r="B262" t="s">
        <v>48</v>
      </c>
    </row>
    <row r="263" spans="1:2" x14ac:dyDescent="0.35">
      <c r="A263" t="s">
        <v>88</v>
      </c>
      <c r="B263" t="s">
        <v>88</v>
      </c>
    </row>
    <row r="264" spans="1:2" x14ac:dyDescent="0.35">
      <c r="A264" t="s">
        <v>97</v>
      </c>
      <c r="B264" t="s">
        <v>97</v>
      </c>
    </row>
    <row r="265" spans="1:2" x14ac:dyDescent="0.35">
      <c r="A265" t="s">
        <v>86</v>
      </c>
      <c r="B265" t="s">
        <v>86</v>
      </c>
    </row>
    <row r="266" spans="1:2" x14ac:dyDescent="0.35">
      <c r="A266" t="s">
        <v>92</v>
      </c>
      <c r="B266" t="s">
        <v>92</v>
      </c>
    </row>
    <row r="267" spans="1:2" x14ac:dyDescent="0.35">
      <c r="A267" t="s">
        <v>38</v>
      </c>
      <c r="B267" t="s">
        <v>38</v>
      </c>
    </row>
    <row r="268" spans="1:2" x14ac:dyDescent="0.35">
      <c r="A268" t="s">
        <v>512</v>
      </c>
      <c r="B268" t="s">
        <v>77</v>
      </c>
    </row>
    <row r="269" spans="1:2" x14ac:dyDescent="0.35">
      <c r="A269" t="s">
        <v>513</v>
      </c>
      <c r="B269" t="s">
        <v>72</v>
      </c>
    </row>
    <row r="270" spans="1:2" x14ac:dyDescent="0.35">
      <c r="A270" t="s">
        <v>514</v>
      </c>
      <c r="B270" t="s">
        <v>514</v>
      </c>
    </row>
    <row r="271" spans="1:2" x14ac:dyDescent="0.35">
      <c r="A271" t="s">
        <v>515</v>
      </c>
      <c r="B271" t="s">
        <v>515</v>
      </c>
    </row>
    <row r="272" spans="1:2" x14ac:dyDescent="0.35">
      <c r="A272" t="s">
        <v>516</v>
      </c>
      <c r="B272" t="s">
        <v>516</v>
      </c>
    </row>
    <row r="273" spans="1:2" x14ac:dyDescent="0.35">
      <c r="A273" t="s">
        <v>517</v>
      </c>
      <c r="B273" t="s">
        <v>518</v>
      </c>
    </row>
    <row r="274" spans="1:2" x14ac:dyDescent="0.35">
      <c r="A274" t="s">
        <v>519</v>
      </c>
      <c r="B274" t="s">
        <v>520</v>
      </c>
    </row>
    <row r="275" spans="1:2" x14ac:dyDescent="0.35">
      <c r="A275" t="s">
        <v>521</v>
      </c>
      <c r="B275" t="s">
        <v>32</v>
      </c>
    </row>
    <row r="276" spans="1:2" x14ac:dyDescent="0.35">
      <c r="A276" t="s">
        <v>522</v>
      </c>
      <c r="B276" t="s">
        <v>32</v>
      </c>
    </row>
    <row r="277" spans="1:2" x14ac:dyDescent="0.35">
      <c r="A277" t="s">
        <v>523</v>
      </c>
      <c r="B277" t="s">
        <v>523</v>
      </c>
    </row>
    <row r="278" spans="1:2" x14ac:dyDescent="0.35">
      <c r="A278" t="s">
        <v>524</v>
      </c>
      <c r="B278" t="s">
        <v>524</v>
      </c>
    </row>
    <row r="279" spans="1:2" x14ac:dyDescent="0.35">
      <c r="A279" t="s">
        <v>525</v>
      </c>
      <c r="B279" t="s">
        <v>525</v>
      </c>
    </row>
    <row r="280" spans="1:2" x14ac:dyDescent="0.35">
      <c r="A280" t="s">
        <v>526</v>
      </c>
      <c r="B280" t="s">
        <v>526</v>
      </c>
    </row>
    <row r="281" spans="1:2" x14ac:dyDescent="0.35">
      <c r="A281" t="s">
        <v>527</v>
      </c>
      <c r="B281" t="s">
        <v>109</v>
      </c>
    </row>
    <row r="282" spans="1:2" x14ac:dyDescent="0.35">
      <c r="A282" t="s">
        <v>528</v>
      </c>
      <c r="B282" t="s">
        <v>109</v>
      </c>
    </row>
    <row r="283" spans="1:2" x14ac:dyDescent="0.35">
      <c r="A283" t="s">
        <v>529</v>
      </c>
      <c r="B283" t="s">
        <v>109</v>
      </c>
    </row>
    <row r="284" spans="1:2" x14ac:dyDescent="0.35">
      <c r="A284" t="s">
        <v>530</v>
      </c>
      <c r="B284" t="s">
        <v>530</v>
      </c>
    </row>
  </sheetData>
  <autoFilter ref="A1:B284" xr:uid="{2720E8BE-BD28-44E7-8638-5A2E4E7EA54B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D660-CF6B-481B-9314-56AC6A2CC4DE}">
  <sheetPr>
    <tabColor theme="2" tint="-9.9978637043366805E-2"/>
  </sheetPr>
  <dimension ref="A1:N182"/>
  <sheetViews>
    <sheetView topLeftCell="D1" zoomScale="85" zoomScaleNormal="85" workbookViewId="0">
      <selection activeCell="D182" sqref="D182:G182"/>
    </sheetView>
  </sheetViews>
  <sheetFormatPr defaultRowHeight="14.5" x14ac:dyDescent="0.35"/>
  <cols>
    <col min="1" max="1" width="9.54296875" style="10" hidden="1" customWidth="1"/>
    <col min="2" max="2" width="9.81640625" style="10" hidden="1" customWidth="1"/>
    <col min="3" max="3" width="9.7265625" style="10" hidden="1" customWidth="1"/>
    <col min="4" max="4" width="19.26953125" style="10" customWidth="1"/>
    <col min="5" max="5" width="42" style="10" customWidth="1"/>
    <col min="6" max="6" width="39.7265625" style="10" customWidth="1"/>
    <col min="7" max="9" width="9.1796875" customWidth="1"/>
    <col min="11" max="11" width="9.1796875" style="3"/>
    <col min="12" max="12" width="26.54296875" style="3" bestFit="1" customWidth="1"/>
  </cols>
  <sheetData>
    <row r="1" spans="1:14" x14ac:dyDescent="0.35">
      <c r="A1" s="11" t="s">
        <v>531</v>
      </c>
      <c r="B1" s="11" t="s">
        <v>532</v>
      </c>
      <c r="C1" s="11" t="s">
        <v>533</v>
      </c>
      <c r="D1" s="11" t="s">
        <v>534</v>
      </c>
      <c r="E1" s="11" t="s">
        <v>535</v>
      </c>
      <c r="F1" s="11" t="s">
        <v>536</v>
      </c>
      <c r="G1" s="11" t="s">
        <v>265</v>
      </c>
      <c r="H1" s="11"/>
      <c r="I1" s="11"/>
      <c r="K1" s="3" t="s">
        <v>537</v>
      </c>
      <c r="L1" s="3" t="s">
        <v>269</v>
      </c>
      <c r="N1" t="s">
        <v>265</v>
      </c>
    </row>
    <row r="2" spans="1:14" x14ac:dyDescent="0.35">
      <c r="A2" t="s">
        <v>538</v>
      </c>
      <c r="B2" t="s">
        <v>539</v>
      </c>
      <c r="C2" t="s">
        <v>540</v>
      </c>
      <c r="D2">
        <v>23088112</v>
      </c>
      <c r="E2" t="s">
        <v>56</v>
      </c>
      <c r="F2" t="s">
        <v>541</v>
      </c>
      <c r="G2" t="s">
        <v>542</v>
      </c>
      <c r="K2" s="3">
        <v>38</v>
      </c>
      <c r="L2" s="3" t="s">
        <v>232</v>
      </c>
      <c r="N2" t="s">
        <v>543</v>
      </c>
    </row>
    <row r="3" spans="1:14" x14ac:dyDescent="0.35">
      <c r="A3" t="s">
        <v>538</v>
      </c>
      <c r="B3" t="s">
        <v>539</v>
      </c>
      <c r="C3" t="s">
        <v>544</v>
      </c>
      <c r="D3">
        <v>23062107</v>
      </c>
      <c r="E3" t="s">
        <v>108</v>
      </c>
      <c r="F3" t="s">
        <v>541</v>
      </c>
      <c r="G3" t="s">
        <v>545</v>
      </c>
      <c r="K3" s="3">
        <v>47</v>
      </c>
      <c r="L3" s="3" t="s">
        <v>237</v>
      </c>
      <c r="N3" t="s">
        <v>381</v>
      </c>
    </row>
    <row r="4" spans="1:14" x14ac:dyDescent="0.35">
      <c r="A4" t="s">
        <v>538</v>
      </c>
      <c r="B4" t="s">
        <v>539</v>
      </c>
      <c r="C4" t="s">
        <v>544</v>
      </c>
      <c r="D4">
        <v>23084674</v>
      </c>
      <c r="E4" t="s">
        <v>52</v>
      </c>
      <c r="F4" t="s">
        <v>541</v>
      </c>
      <c r="G4" t="s">
        <v>545</v>
      </c>
      <c r="K4" s="3">
        <v>51</v>
      </c>
      <c r="L4" s="3" t="s">
        <v>241</v>
      </c>
      <c r="N4" t="s">
        <v>546</v>
      </c>
    </row>
    <row r="5" spans="1:14" x14ac:dyDescent="0.35">
      <c r="A5" t="s">
        <v>538</v>
      </c>
      <c r="B5" t="s">
        <v>539</v>
      </c>
      <c r="C5" t="s">
        <v>547</v>
      </c>
      <c r="D5">
        <v>23000206</v>
      </c>
      <c r="E5" t="s">
        <v>15</v>
      </c>
      <c r="F5" t="s">
        <v>541</v>
      </c>
      <c r="G5" t="s">
        <v>381</v>
      </c>
      <c r="K5" s="3">
        <v>54</v>
      </c>
      <c r="L5" s="3" t="s">
        <v>548</v>
      </c>
      <c r="N5" t="s">
        <v>482</v>
      </c>
    </row>
    <row r="6" spans="1:14" x14ac:dyDescent="0.35">
      <c r="A6" t="s">
        <v>538</v>
      </c>
      <c r="B6" t="s">
        <v>539</v>
      </c>
      <c r="C6" t="s">
        <v>549</v>
      </c>
      <c r="D6">
        <v>23058586</v>
      </c>
      <c r="E6" t="s">
        <v>31</v>
      </c>
      <c r="F6" t="s">
        <v>550</v>
      </c>
      <c r="G6" t="s">
        <v>542</v>
      </c>
      <c r="K6" s="3">
        <v>82</v>
      </c>
      <c r="L6" s="3" t="s">
        <v>551</v>
      </c>
      <c r="N6" t="s">
        <v>443</v>
      </c>
    </row>
    <row r="7" spans="1:14" x14ac:dyDescent="0.35">
      <c r="A7" t="s">
        <v>538</v>
      </c>
      <c r="B7" t="s">
        <v>539</v>
      </c>
      <c r="C7" t="s">
        <v>549</v>
      </c>
      <c r="D7">
        <v>23110617</v>
      </c>
      <c r="E7" t="s">
        <v>363</v>
      </c>
      <c r="F7" t="s">
        <v>541</v>
      </c>
      <c r="G7" t="s">
        <v>542</v>
      </c>
      <c r="K7" s="3">
        <v>83</v>
      </c>
      <c r="L7" s="3" t="s">
        <v>220</v>
      </c>
      <c r="N7" t="s">
        <v>424</v>
      </c>
    </row>
    <row r="8" spans="1:14" x14ac:dyDescent="0.35">
      <c r="A8" t="s">
        <v>538</v>
      </c>
      <c r="B8" t="s">
        <v>539</v>
      </c>
      <c r="C8" t="s">
        <v>552</v>
      </c>
      <c r="D8">
        <v>23058590</v>
      </c>
      <c r="E8" t="s">
        <v>34</v>
      </c>
      <c r="F8" t="s">
        <v>553</v>
      </c>
      <c r="G8" t="s">
        <v>554</v>
      </c>
      <c r="K8" s="3">
        <v>96</v>
      </c>
      <c r="L8" s="3" t="s">
        <v>258</v>
      </c>
      <c r="N8" t="s">
        <v>555</v>
      </c>
    </row>
    <row r="9" spans="1:14" x14ac:dyDescent="0.35">
      <c r="A9" t="s">
        <v>538</v>
      </c>
      <c r="B9" t="s">
        <v>539</v>
      </c>
      <c r="C9" t="s">
        <v>552</v>
      </c>
      <c r="D9">
        <v>23110621</v>
      </c>
      <c r="E9" t="s">
        <v>502</v>
      </c>
      <c r="F9" t="s">
        <v>541</v>
      </c>
      <c r="G9" t="s">
        <v>542</v>
      </c>
      <c r="K9" s="3">
        <v>114</v>
      </c>
      <c r="L9" s="3" t="s">
        <v>228</v>
      </c>
      <c r="N9" t="s">
        <v>556</v>
      </c>
    </row>
    <row r="10" spans="1:14" x14ac:dyDescent="0.35">
      <c r="A10" t="s">
        <v>538</v>
      </c>
      <c r="B10" t="s">
        <v>539</v>
      </c>
      <c r="C10" t="s">
        <v>557</v>
      </c>
      <c r="D10">
        <v>23066875</v>
      </c>
      <c r="E10" t="s">
        <v>44</v>
      </c>
      <c r="F10" t="s">
        <v>541</v>
      </c>
      <c r="G10" t="s">
        <v>542</v>
      </c>
      <c r="K10" s="3">
        <v>164</v>
      </c>
      <c r="L10" s="3" t="s">
        <v>198</v>
      </c>
      <c r="N10" t="s">
        <v>554</v>
      </c>
    </row>
    <row r="11" spans="1:14" x14ac:dyDescent="0.35">
      <c r="A11" t="s">
        <v>538</v>
      </c>
      <c r="B11" t="s">
        <v>539</v>
      </c>
      <c r="C11" t="s">
        <v>558</v>
      </c>
      <c r="D11">
        <v>23062105</v>
      </c>
      <c r="E11" t="s">
        <v>37</v>
      </c>
      <c r="F11" t="s">
        <v>553</v>
      </c>
      <c r="G11" t="s">
        <v>554</v>
      </c>
      <c r="N11" t="s">
        <v>559</v>
      </c>
    </row>
    <row r="12" spans="1:14" x14ac:dyDescent="0.35">
      <c r="A12" t="s">
        <v>538</v>
      </c>
      <c r="B12" t="s">
        <v>539</v>
      </c>
      <c r="C12" t="s">
        <v>558</v>
      </c>
      <c r="D12">
        <v>23093507</v>
      </c>
      <c r="E12" t="s">
        <v>126</v>
      </c>
      <c r="F12" t="s">
        <v>553</v>
      </c>
      <c r="G12" t="s">
        <v>542</v>
      </c>
      <c r="N12" t="s">
        <v>560</v>
      </c>
    </row>
    <row r="13" spans="1:14" x14ac:dyDescent="0.35">
      <c r="A13" t="s">
        <v>538</v>
      </c>
      <c r="B13" t="s">
        <v>539</v>
      </c>
      <c r="C13" t="s">
        <v>561</v>
      </c>
      <c r="D13">
        <v>23058589</v>
      </c>
      <c r="E13" t="s">
        <v>33</v>
      </c>
      <c r="F13" t="s">
        <v>541</v>
      </c>
      <c r="G13" t="s">
        <v>542</v>
      </c>
      <c r="N13" t="s">
        <v>545</v>
      </c>
    </row>
    <row r="14" spans="1:14" x14ac:dyDescent="0.35">
      <c r="A14" t="s">
        <v>538</v>
      </c>
      <c r="B14" t="s">
        <v>539</v>
      </c>
      <c r="C14" t="s">
        <v>561</v>
      </c>
      <c r="D14">
        <v>23110620</v>
      </c>
      <c r="E14" t="s">
        <v>505</v>
      </c>
      <c r="F14" t="s">
        <v>541</v>
      </c>
      <c r="G14" t="s">
        <v>542</v>
      </c>
      <c r="N14" t="s">
        <v>542</v>
      </c>
    </row>
    <row r="15" spans="1:14" x14ac:dyDescent="0.35">
      <c r="A15" t="s">
        <v>538</v>
      </c>
      <c r="B15" t="s">
        <v>539</v>
      </c>
      <c r="C15" t="s">
        <v>562</v>
      </c>
      <c r="D15">
        <v>23058556</v>
      </c>
      <c r="E15" t="s">
        <v>112</v>
      </c>
      <c r="F15" t="s">
        <v>553</v>
      </c>
      <c r="G15" t="s">
        <v>554</v>
      </c>
    </row>
    <row r="16" spans="1:14" x14ac:dyDescent="0.35">
      <c r="A16" t="s">
        <v>538</v>
      </c>
      <c r="B16" t="s">
        <v>539</v>
      </c>
      <c r="C16" t="s">
        <v>562</v>
      </c>
      <c r="D16">
        <v>23062103</v>
      </c>
      <c r="E16" t="s">
        <v>111</v>
      </c>
      <c r="F16" t="s">
        <v>550</v>
      </c>
      <c r="G16" t="s">
        <v>542</v>
      </c>
    </row>
    <row r="17" spans="1:7" x14ac:dyDescent="0.35">
      <c r="A17" t="s">
        <v>538</v>
      </c>
      <c r="B17" t="s">
        <v>539</v>
      </c>
      <c r="C17" t="s">
        <v>562</v>
      </c>
      <c r="D17">
        <v>23110615</v>
      </c>
      <c r="E17" t="s">
        <v>304</v>
      </c>
      <c r="F17" t="s">
        <v>553</v>
      </c>
      <c r="G17" t="s">
        <v>554</v>
      </c>
    </row>
    <row r="18" spans="1:7" x14ac:dyDescent="0.35">
      <c r="A18" t="s">
        <v>538</v>
      </c>
      <c r="B18" t="s">
        <v>539</v>
      </c>
      <c r="C18" t="s">
        <v>563</v>
      </c>
      <c r="D18">
        <v>23110612</v>
      </c>
      <c r="E18" t="s">
        <v>296</v>
      </c>
      <c r="F18" t="s">
        <v>541</v>
      </c>
      <c r="G18" t="s">
        <v>381</v>
      </c>
    </row>
    <row r="19" spans="1:7" x14ac:dyDescent="0.35">
      <c r="A19" t="s">
        <v>538</v>
      </c>
      <c r="B19" t="s">
        <v>539</v>
      </c>
      <c r="C19" t="s">
        <v>564</v>
      </c>
      <c r="D19">
        <v>23058591</v>
      </c>
      <c r="E19" t="s">
        <v>35</v>
      </c>
      <c r="F19" t="s">
        <v>541</v>
      </c>
      <c r="G19" t="s">
        <v>381</v>
      </c>
    </row>
    <row r="20" spans="1:7" x14ac:dyDescent="0.35">
      <c r="A20" t="s">
        <v>538</v>
      </c>
      <c r="B20" t="s">
        <v>539</v>
      </c>
      <c r="C20" t="s">
        <v>565</v>
      </c>
      <c r="D20">
        <v>23058555</v>
      </c>
      <c r="E20" t="s">
        <v>28</v>
      </c>
      <c r="F20" t="s">
        <v>541</v>
      </c>
      <c r="G20" t="s">
        <v>482</v>
      </c>
    </row>
    <row r="21" spans="1:7" x14ac:dyDescent="0.35">
      <c r="A21" t="s">
        <v>538</v>
      </c>
      <c r="B21" t="s">
        <v>539</v>
      </c>
      <c r="C21" t="s">
        <v>565</v>
      </c>
      <c r="D21">
        <v>23068390</v>
      </c>
      <c r="E21" t="s">
        <v>46</v>
      </c>
      <c r="F21" t="s">
        <v>541</v>
      </c>
      <c r="G21" t="s">
        <v>482</v>
      </c>
    </row>
    <row r="22" spans="1:7" x14ac:dyDescent="0.35">
      <c r="A22" t="s">
        <v>538</v>
      </c>
      <c r="B22" t="s">
        <v>539</v>
      </c>
      <c r="C22" t="s">
        <v>565</v>
      </c>
      <c r="D22">
        <v>23073188</v>
      </c>
      <c r="E22" t="s">
        <v>50</v>
      </c>
      <c r="F22" t="s">
        <v>541</v>
      </c>
      <c r="G22" t="s">
        <v>381</v>
      </c>
    </row>
    <row r="23" spans="1:7" x14ac:dyDescent="0.35">
      <c r="A23" t="s">
        <v>538</v>
      </c>
      <c r="B23" t="s">
        <v>539</v>
      </c>
      <c r="C23" t="s">
        <v>565</v>
      </c>
      <c r="D23">
        <v>23110577</v>
      </c>
      <c r="E23" t="s">
        <v>292</v>
      </c>
      <c r="F23" t="s">
        <v>541</v>
      </c>
      <c r="G23" t="s">
        <v>482</v>
      </c>
    </row>
    <row r="24" spans="1:7" x14ac:dyDescent="0.35">
      <c r="A24" t="s">
        <v>538</v>
      </c>
      <c r="B24" t="s">
        <v>539</v>
      </c>
      <c r="C24" t="s">
        <v>565</v>
      </c>
      <c r="D24">
        <v>23110578</v>
      </c>
      <c r="E24" t="s">
        <v>291</v>
      </c>
      <c r="F24" t="s">
        <v>541</v>
      </c>
      <c r="G24" t="s">
        <v>482</v>
      </c>
    </row>
    <row r="25" spans="1:7" x14ac:dyDescent="0.35">
      <c r="A25" t="s">
        <v>538</v>
      </c>
      <c r="B25" t="s">
        <v>539</v>
      </c>
      <c r="C25" t="s">
        <v>566</v>
      </c>
      <c r="D25">
        <v>23066879</v>
      </c>
      <c r="E25" t="s">
        <v>45</v>
      </c>
      <c r="F25" t="s">
        <v>541</v>
      </c>
      <c r="G25" t="s">
        <v>381</v>
      </c>
    </row>
    <row r="26" spans="1:7" x14ac:dyDescent="0.35">
      <c r="A26" t="s">
        <v>538</v>
      </c>
      <c r="B26" t="s">
        <v>539</v>
      </c>
      <c r="C26" t="s">
        <v>567</v>
      </c>
      <c r="D26">
        <v>23058585</v>
      </c>
      <c r="E26" t="s">
        <v>30</v>
      </c>
      <c r="F26" t="s">
        <v>541</v>
      </c>
      <c r="G26" t="s">
        <v>542</v>
      </c>
    </row>
    <row r="27" spans="1:7" x14ac:dyDescent="0.35">
      <c r="A27" t="s">
        <v>538</v>
      </c>
      <c r="B27" t="s">
        <v>539</v>
      </c>
      <c r="C27" t="s">
        <v>567</v>
      </c>
      <c r="D27">
        <v>23110622</v>
      </c>
      <c r="E27" t="s">
        <v>308</v>
      </c>
      <c r="F27" t="s">
        <v>541</v>
      </c>
      <c r="G27" t="s">
        <v>542</v>
      </c>
    </row>
    <row r="28" spans="1:7" x14ac:dyDescent="0.35">
      <c r="A28" t="s">
        <v>538</v>
      </c>
      <c r="B28" t="s">
        <v>539</v>
      </c>
      <c r="C28" t="s">
        <v>568</v>
      </c>
      <c r="D28">
        <v>23067590</v>
      </c>
      <c r="E28" t="s">
        <v>113</v>
      </c>
      <c r="F28" t="s">
        <v>553</v>
      </c>
      <c r="G28" t="s">
        <v>559</v>
      </c>
    </row>
    <row r="29" spans="1:7" x14ac:dyDescent="0.35">
      <c r="A29" t="s">
        <v>538</v>
      </c>
      <c r="B29" t="s">
        <v>539</v>
      </c>
      <c r="C29" t="s">
        <v>568</v>
      </c>
      <c r="D29">
        <v>23088348</v>
      </c>
      <c r="E29" t="s">
        <v>57</v>
      </c>
      <c r="F29" t="s">
        <v>553</v>
      </c>
      <c r="G29" t="s">
        <v>556</v>
      </c>
    </row>
    <row r="30" spans="1:7" x14ac:dyDescent="0.35">
      <c r="A30" t="s">
        <v>538</v>
      </c>
      <c r="B30" t="s">
        <v>539</v>
      </c>
      <c r="C30" t="s">
        <v>568</v>
      </c>
      <c r="D30">
        <v>23098989</v>
      </c>
      <c r="E30" t="s">
        <v>69</v>
      </c>
      <c r="F30" t="s">
        <v>553</v>
      </c>
      <c r="G30" t="s">
        <v>556</v>
      </c>
    </row>
    <row r="31" spans="1:7" x14ac:dyDescent="0.35">
      <c r="A31" t="s">
        <v>538</v>
      </c>
      <c r="B31" t="s">
        <v>539</v>
      </c>
      <c r="C31" t="s">
        <v>568</v>
      </c>
      <c r="D31">
        <v>23109326</v>
      </c>
      <c r="E31" t="s">
        <v>78</v>
      </c>
      <c r="F31" t="s">
        <v>553</v>
      </c>
      <c r="G31" t="s">
        <v>556</v>
      </c>
    </row>
    <row r="32" spans="1:7" x14ac:dyDescent="0.35">
      <c r="A32" t="s">
        <v>538</v>
      </c>
      <c r="B32" t="s">
        <v>539</v>
      </c>
      <c r="C32" t="s">
        <v>568</v>
      </c>
      <c r="D32">
        <v>23110609</v>
      </c>
      <c r="E32" t="s">
        <v>321</v>
      </c>
      <c r="F32" t="s">
        <v>553</v>
      </c>
      <c r="G32" t="s">
        <v>556</v>
      </c>
    </row>
    <row r="33" spans="1:7" x14ac:dyDescent="0.35">
      <c r="A33" t="s">
        <v>538</v>
      </c>
      <c r="B33" t="s">
        <v>539</v>
      </c>
      <c r="C33" t="s">
        <v>568</v>
      </c>
      <c r="D33">
        <v>23110610</v>
      </c>
      <c r="E33" t="s">
        <v>320</v>
      </c>
      <c r="F33" t="s">
        <v>553</v>
      </c>
      <c r="G33" t="s">
        <v>556</v>
      </c>
    </row>
    <row r="34" spans="1:7" x14ac:dyDescent="0.35">
      <c r="A34" t="s">
        <v>538</v>
      </c>
      <c r="B34" t="s">
        <v>539</v>
      </c>
      <c r="C34" t="s">
        <v>568</v>
      </c>
      <c r="D34">
        <v>23110611</v>
      </c>
      <c r="E34" t="s">
        <v>319</v>
      </c>
      <c r="F34" t="s">
        <v>553</v>
      </c>
      <c r="G34" t="s">
        <v>556</v>
      </c>
    </row>
    <row r="35" spans="1:7" x14ac:dyDescent="0.35">
      <c r="A35" t="s">
        <v>538</v>
      </c>
      <c r="B35" t="s">
        <v>539</v>
      </c>
      <c r="C35" t="s">
        <v>569</v>
      </c>
      <c r="D35">
        <v>23063759</v>
      </c>
      <c r="E35" t="s">
        <v>39</v>
      </c>
      <c r="F35" t="s">
        <v>553</v>
      </c>
      <c r="G35" t="s">
        <v>559</v>
      </c>
    </row>
    <row r="36" spans="1:7" x14ac:dyDescent="0.35">
      <c r="A36" t="s">
        <v>538</v>
      </c>
      <c r="B36" t="s">
        <v>539</v>
      </c>
      <c r="C36" t="s">
        <v>570</v>
      </c>
      <c r="D36">
        <v>23058584</v>
      </c>
      <c r="E36" t="s">
        <v>29</v>
      </c>
      <c r="F36" t="s">
        <v>541</v>
      </c>
      <c r="G36" t="s">
        <v>542</v>
      </c>
    </row>
    <row r="37" spans="1:7" x14ac:dyDescent="0.35">
      <c r="A37" t="s">
        <v>538</v>
      </c>
      <c r="B37" t="s">
        <v>539</v>
      </c>
      <c r="C37" t="s">
        <v>570</v>
      </c>
      <c r="D37">
        <v>23071884</v>
      </c>
      <c r="E37" t="s">
        <v>116</v>
      </c>
      <c r="F37" t="s">
        <v>553</v>
      </c>
      <c r="G37" t="s">
        <v>542</v>
      </c>
    </row>
    <row r="38" spans="1:7" x14ac:dyDescent="0.35">
      <c r="A38" t="s">
        <v>538</v>
      </c>
      <c r="B38" t="s">
        <v>539</v>
      </c>
      <c r="C38" t="s">
        <v>570</v>
      </c>
      <c r="D38">
        <v>23097787</v>
      </c>
      <c r="E38" t="s">
        <v>60</v>
      </c>
      <c r="F38" t="s">
        <v>553</v>
      </c>
      <c r="G38" t="s">
        <v>542</v>
      </c>
    </row>
    <row r="39" spans="1:7" x14ac:dyDescent="0.35">
      <c r="A39" t="s">
        <v>538</v>
      </c>
      <c r="B39" t="s">
        <v>539</v>
      </c>
      <c r="C39" t="s">
        <v>570</v>
      </c>
      <c r="D39">
        <v>23097788</v>
      </c>
      <c r="E39" t="s">
        <v>61</v>
      </c>
      <c r="F39" t="s">
        <v>553</v>
      </c>
      <c r="G39" t="s">
        <v>542</v>
      </c>
    </row>
    <row r="40" spans="1:7" x14ac:dyDescent="0.35">
      <c r="A40" t="s">
        <v>538</v>
      </c>
      <c r="B40" t="s">
        <v>539</v>
      </c>
      <c r="C40" t="s">
        <v>570</v>
      </c>
      <c r="D40">
        <v>23109532</v>
      </c>
      <c r="E40" t="s">
        <v>85</v>
      </c>
      <c r="F40" t="s">
        <v>553</v>
      </c>
      <c r="G40" t="s">
        <v>542</v>
      </c>
    </row>
    <row r="41" spans="1:7" x14ac:dyDescent="0.35">
      <c r="A41" t="s">
        <v>538</v>
      </c>
      <c r="B41" t="s">
        <v>539</v>
      </c>
      <c r="C41" t="s">
        <v>570</v>
      </c>
      <c r="D41">
        <v>23110581</v>
      </c>
      <c r="E41" t="s">
        <v>367</v>
      </c>
      <c r="F41" t="s">
        <v>541</v>
      </c>
      <c r="G41" t="s">
        <v>542</v>
      </c>
    </row>
    <row r="42" spans="1:7" x14ac:dyDescent="0.35">
      <c r="A42" t="s">
        <v>538</v>
      </c>
      <c r="B42" t="s">
        <v>539</v>
      </c>
      <c r="C42" t="s">
        <v>571</v>
      </c>
      <c r="D42">
        <v>23062111</v>
      </c>
      <c r="E42" t="s">
        <v>110</v>
      </c>
      <c r="F42" t="s">
        <v>541</v>
      </c>
      <c r="G42" t="s">
        <v>542</v>
      </c>
    </row>
    <row r="43" spans="1:7" x14ac:dyDescent="0.35">
      <c r="A43" t="s">
        <v>538</v>
      </c>
      <c r="B43" t="s">
        <v>539</v>
      </c>
      <c r="C43" t="s">
        <v>572</v>
      </c>
      <c r="D43">
        <v>23074623</v>
      </c>
      <c r="E43" t="s">
        <v>414</v>
      </c>
      <c r="F43" t="s">
        <v>553</v>
      </c>
      <c r="G43" t="s">
        <v>546</v>
      </c>
    </row>
    <row r="44" spans="1:7" x14ac:dyDescent="0.35">
      <c r="A44" t="s">
        <v>538</v>
      </c>
      <c r="B44" t="s">
        <v>539</v>
      </c>
      <c r="C44" t="s">
        <v>572</v>
      </c>
      <c r="D44">
        <v>23075089</v>
      </c>
      <c r="E44" t="s">
        <v>51</v>
      </c>
      <c r="F44" t="s">
        <v>553</v>
      </c>
      <c r="G44" t="s">
        <v>546</v>
      </c>
    </row>
    <row r="45" spans="1:7" x14ac:dyDescent="0.35">
      <c r="A45" t="s">
        <v>538</v>
      </c>
      <c r="B45" t="s">
        <v>539</v>
      </c>
      <c r="C45" t="s">
        <v>572</v>
      </c>
      <c r="D45">
        <v>23098995</v>
      </c>
      <c r="E45" t="s">
        <v>70</v>
      </c>
      <c r="F45" t="s">
        <v>553</v>
      </c>
      <c r="G45" t="s">
        <v>546</v>
      </c>
    </row>
    <row r="46" spans="1:7" x14ac:dyDescent="0.35">
      <c r="A46" t="s">
        <v>538</v>
      </c>
      <c r="B46" t="s">
        <v>539</v>
      </c>
      <c r="C46" t="s">
        <v>572</v>
      </c>
      <c r="D46">
        <v>23110618</v>
      </c>
      <c r="E46" t="s">
        <v>410</v>
      </c>
      <c r="F46" t="s">
        <v>541</v>
      </c>
      <c r="G46" t="s">
        <v>482</v>
      </c>
    </row>
    <row r="47" spans="1:7" x14ac:dyDescent="0.35">
      <c r="A47" t="s">
        <v>538</v>
      </c>
      <c r="B47" t="s">
        <v>539</v>
      </c>
      <c r="C47" t="s">
        <v>572</v>
      </c>
      <c r="D47">
        <v>23110619</v>
      </c>
      <c r="E47" t="s">
        <v>104</v>
      </c>
      <c r="F47" t="s">
        <v>553</v>
      </c>
      <c r="G47" t="s">
        <v>546</v>
      </c>
    </row>
    <row r="48" spans="1:7" x14ac:dyDescent="0.35">
      <c r="A48" t="s">
        <v>538</v>
      </c>
      <c r="B48" t="s">
        <v>539</v>
      </c>
      <c r="C48" t="s">
        <v>572</v>
      </c>
      <c r="D48">
        <v>23110882</v>
      </c>
      <c r="E48" t="s">
        <v>411</v>
      </c>
      <c r="F48" t="s">
        <v>553</v>
      </c>
      <c r="G48" t="s">
        <v>546</v>
      </c>
    </row>
    <row r="49" spans="1:7" x14ac:dyDescent="0.35">
      <c r="A49" t="s">
        <v>538</v>
      </c>
      <c r="B49" t="s">
        <v>539</v>
      </c>
      <c r="C49" t="s">
        <v>572</v>
      </c>
      <c r="D49">
        <v>23111032</v>
      </c>
      <c r="E49" t="s">
        <v>412</v>
      </c>
      <c r="F49" t="s">
        <v>553</v>
      </c>
      <c r="G49" t="s">
        <v>546</v>
      </c>
    </row>
    <row r="50" spans="1:7" x14ac:dyDescent="0.35">
      <c r="A50" t="s">
        <v>538</v>
      </c>
      <c r="B50" t="s">
        <v>539</v>
      </c>
      <c r="C50" t="s">
        <v>573</v>
      </c>
      <c r="D50">
        <v>23058552</v>
      </c>
      <c r="E50" t="s">
        <v>26</v>
      </c>
      <c r="F50" t="s">
        <v>541</v>
      </c>
      <c r="G50" t="s">
        <v>482</v>
      </c>
    </row>
    <row r="51" spans="1:7" x14ac:dyDescent="0.35">
      <c r="A51" t="s">
        <v>538</v>
      </c>
      <c r="B51" t="s">
        <v>539</v>
      </c>
      <c r="C51" t="s">
        <v>574</v>
      </c>
      <c r="D51">
        <v>23058588</v>
      </c>
      <c r="E51" t="s">
        <v>114</v>
      </c>
      <c r="F51" t="s">
        <v>541</v>
      </c>
      <c r="G51" t="s">
        <v>542</v>
      </c>
    </row>
    <row r="52" spans="1:7" x14ac:dyDescent="0.35">
      <c r="A52" t="s">
        <v>538</v>
      </c>
      <c r="B52" t="s">
        <v>539</v>
      </c>
      <c r="C52" t="s">
        <v>575</v>
      </c>
      <c r="D52">
        <v>23062097</v>
      </c>
      <c r="E52" t="s">
        <v>115</v>
      </c>
      <c r="F52" t="s">
        <v>541</v>
      </c>
      <c r="G52" t="s">
        <v>542</v>
      </c>
    </row>
    <row r="53" spans="1:7" x14ac:dyDescent="0.35">
      <c r="A53" t="s">
        <v>538</v>
      </c>
      <c r="B53" t="s">
        <v>539</v>
      </c>
      <c r="C53" t="s">
        <v>575</v>
      </c>
      <c r="D53">
        <v>23110616</v>
      </c>
      <c r="E53" t="s">
        <v>421</v>
      </c>
      <c r="F53" t="s">
        <v>541</v>
      </c>
      <c r="G53" t="s">
        <v>542</v>
      </c>
    </row>
    <row r="54" spans="1:7" x14ac:dyDescent="0.35">
      <c r="A54" t="s">
        <v>538</v>
      </c>
      <c r="B54" t="s">
        <v>539</v>
      </c>
      <c r="C54" t="s">
        <v>576</v>
      </c>
      <c r="D54">
        <v>23058553</v>
      </c>
      <c r="E54" t="s">
        <v>27</v>
      </c>
      <c r="F54" t="s">
        <v>553</v>
      </c>
      <c r="G54" t="s">
        <v>546</v>
      </c>
    </row>
    <row r="55" spans="1:7" x14ac:dyDescent="0.35">
      <c r="A55" t="s">
        <v>538</v>
      </c>
      <c r="B55" t="s">
        <v>539</v>
      </c>
      <c r="C55" t="s">
        <v>577</v>
      </c>
      <c r="D55">
        <v>23062095</v>
      </c>
      <c r="E55" t="s">
        <v>36</v>
      </c>
      <c r="F55" t="s">
        <v>553</v>
      </c>
      <c r="G55" t="s">
        <v>559</v>
      </c>
    </row>
    <row r="56" spans="1:7" x14ac:dyDescent="0.35">
      <c r="A56" t="s">
        <v>538</v>
      </c>
      <c r="B56" t="s">
        <v>539</v>
      </c>
      <c r="C56" t="s">
        <v>578</v>
      </c>
      <c r="D56">
        <v>23058587</v>
      </c>
      <c r="E56" t="s">
        <v>32</v>
      </c>
      <c r="F56" t="s">
        <v>541</v>
      </c>
      <c r="G56" t="s">
        <v>542</v>
      </c>
    </row>
    <row r="57" spans="1:7" x14ac:dyDescent="0.35">
      <c r="A57" t="s">
        <v>538</v>
      </c>
      <c r="B57" t="s">
        <v>539</v>
      </c>
      <c r="C57" t="s">
        <v>578</v>
      </c>
      <c r="D57">
        <v>23110580</v>
      </c>
      <c r="E57" t="s">
        <v>523</v>
      </c>
      <c r="F57" t="s">
        <v>541</v>
      </c>
      <c r="G57" t="s">
        <v>542</v>
      </c>
    </row>
    <row r="58" spans="1:7" x14ac:dyDescent="0.35">
      <c r="A58" t="s">
        <v>538</v>
      </c>
      <c r="B58" t="s">
        <v>539</v>
      </c>
      <c r="C58" t="s">
        <v>579</v>
      </c>
      <c r="D58">
        <v>23023991</v>
      </c>
      <c r="E58" t="s">
        <v>524</v>
      </c>
      <c r="F58" t="s">
        <v>580</v>
      </c>
      <c r="G58" t="s">
        <v>581</v>
      </c>
    </row>
    <row r="59" spans="1:7" x14ac:dyDescent="0.35">
      <c r="A59" t="s">
        <v>538</v>
      </c>
      <c r="B59" t="s">
        <v>539</v>
      </c>
      <c r="C59" t="s">
        <v>582</v>
      </c>
      <c r="D59">
        <v>23062101</v>
      </c>
      <c r="E59" t="s">
        <v>109</v>
      </c>
      <c r="F59" t="s">
        <v>553</v>
      </c>
      <c r="G59" t="s">
        <v>559</v>
      </c>
    </row>
    <row r="60" spans="1:7" x14ac:dyDescent="0.35">
      <c r="A60" t="s">
        <v>538</v>
      </c>
      <c r="B60" t="s">
        <v>583</v>
      </c>
      <c r="C60" t="s">
        <v>584</v>
      </c>
      <c r="D60">
        <v>23057809</v>
      </c>
      <c r="E60" t="s">
        <v>18</v>
      </c>
      <c r="F60" t="s">
        <v>541</v>
      </c>
      <c r="G60" t="s">
        <v>381</v>
      </c>
    </row>
    <row r="61" spans="1:7" x14ac:dyDescent="0.35">
      <c r="A61" t="s">
        <v>538</v>
      </c>
      <c r="B61" t="s">
        <v>583</v>
      </c>
      <c r="C61" t="s">
        <v>584</v>
      </c>
      <c r="D61">
        <v>23086658</v>
      </c>
      <c r="E61" t="s">
        <v>53</v>
      </c>
      <c r="F61" t="s">
        <v>553</v>
      </c>
      <c r="G61" t="s">
        <v>543</v>
      </c>
    </row>
    <row r="62" spans="1:7" x14ac:dyDescent="0.35">
      <c r="A62" t="s">
        <v>538</v>
      </c>
      <c r="B62" t="s">
        <v>583</v>
      </c>
      <c r="C62" t="s">
        <v>584</v>
      </c>
      <c r="D62">
        <v>23088036</v>
      </c>
      <c r="E62" t="s">
        <v>55</v>
      </c>
      <c r="F62" t="s">
        <v>553</v>
      </c>
      <c r="G62" t="s">
        <v>543</v>
      </c>
    </row>
    <row r="63" spans="1:7" x14ac:dyDescent="0.35">
      <c r="A63" t="s">
        <v>538</v>
      </c>
      <c r="B63" t="s">
        <v>583</v>
      </c>
      <c r="C63" t="s">
        <v>584</v>
      </c>
      <c r="D63">
        <v>23097784</v>
      </c>
      <c r="E63" t="s">
        <v>59</v>
      </c>
      <c r="F63" t="s">
        <v>553</v>
      </c>
      <c r="G63" t="s">
        <v>543</v>
      </c>
    </row>
    <row r="64" spans="1:7" x14ac:dyDescent="0.35">
      <c r="A64" t="s">
        <v>538</v>
      </c>
      <c r="B64" t="s">
        <v>583</v>
      </c>
      <c r="C64" t="s">
        <v>584</v>
      </c>
      <c r="D64">
        <v>23105751</v>
      </c>
      <c r="E64" t="s">
        <v>73</v>
      </c>
      <c r="F64" t="s">
        <v>541</v>
      </c>
      <c r="G64" t="s">
        <v>381</v>
      </c>
    </row>
    <row r="65" spans="1:7" x14ac:dyDescent="0.35">
      <c r="A65" t="s">
        <v>538</v>
      </c>
      <c r="B65" t="s">
        <v>583</v>
      </c>
      <c r="C65" t="s">
        <v>584</v>
      </c>
      <c r="D65">
        <v>23108712</v>
      </c>
      <c r="E65" t="s">
        <v>530</v>
      </c>
      <c r="F65" t="s">
        <v>553</v>
      </c>
      <c r="G65" t="s">
        <v>543</v>
      </c>
    </row>
    <row r="66" spans="1:7" x14ac:dyDescent="0.35">
      <c r="A66" t="s">
        <v>538</v>
      </c>
      <c r="B66" t="s">
        <v>583</v>
      </c>
      <c r="C66" t="s">
        <v>584</v>
      </c>
      <c r="D66">
        <v>23110583</v>
      </c>
      <c r="E66" t="s">
        <v>525</v>
      </c>
      <c r="F66" t="s">
        <v>553</v>
      </c>
      <c r="G66" t="s">
        <v>543</v>
      </c>
    </row>
    <row r="67" spans="1:7" x14ac:dyDescent="0.35">
      <c r="A67" t="s">
        <v>538</v>
      </c>
      <c r="B67" t="s">
        <v>583</v>
      </c>
      <c r="C67" t="s">
        <v>584</v>
      </c>
      <c r="D67">
        <v>23110589</v>
      </c>
      <c r="E67" t="s">
        <v>99</v>
      </c>
      <c r="F67" t="s">
        <v>553</v>
      </c>
      <c r="G67" t="s">
        <v>443</v>
      </c>
    </row>
    <row r="68" spans="1:7" x14ac:dyDescent="0.35">
      <c r="A68" t="s">
        <v>538</v>
      </c>
      <c r="B68" t="s">
        <v>583</v>
      </c>
      <c r="C68" t="s">
        <v>584</v>
      </c>
      <c r="D68">
        <v>23110608</v>
      </c>
      <c r="E68" t="s">
        <v>526</v>
      </c>
      <c r="F68" t="s">
        <v>553</v>
      </c>
      <c r="G68" t="s">
        <v>543</v>
      </c>
    </row>
    <row r="69" spans="1:7" x14ac:dyDescent="0.35">
      <c r="A69" t="s">
        <v>538</v>
      </c>
      <c r="B69" t="s">
        <v>583</v>
      </c>
      <c r="C69" t="s">
        <v>584</v>
      </c>
      <c r="D69">
        <v>23111029</v>
      </c>
      <c r="E69" t="s">
        <v>107</v>
      </c>
      <c r="F69" t="s">
        <v>553</v>
      </c>
      <c r="G69" t="s">
        <v>443</v>
      </c>
    </row>
    <row r="70" spans="1:7" x14ac:dyDescent="0.35">
      <c r="A70" t="s">
        <v>538</v>
      </c>
      <c r="B70" t="s">
        <v>583</v>
      </c>
      <c r="C70" t="s">
        <v>585</v>
      </c>
      <c r="D70">
        <v>23000130</v>
      </c>
      <c r="E70" t="s">
        <v>427</v>
      </c>
      <c r="F70" t="s">
        <v>553</v>
      </c>
      <c r="G70" t="s">
        <v>443</v>
      </c>
    </row>
    <row r="71" spans="1:7" x14ac:dyDescent="0.35">
      <c r="A71" t="s">
        <v>538</v>
      </c>
      <c r="B71" t="s">
        <v>583</v>
      </c>
      <c r="C71" t="s">
        <v>585</v>
      </c>
      <c r="D71">
        <v>23057812</v>
      </c>
      <c r="E71" t="s">
        <v>19</v>
      </c>
      <c r="F71" t="s">
        <v>541</v>
      </c>
      <c r="G71" t="s">
        <v>424</v>
      </c>
    </row>
    <row r="72" spans="1:7" x14ac:dyDescent="0.35">
      <c r="A72" t="s">
        <v>538</v>
      </c>
      <c r="B72" t="s">
        <v>583</v>
      </c>
      <c r="C72" t="s">
        <v>585</v>
      </c>
      <c r="D72">
        <v>23065140</v>
      </c>
      <c r="E72" t="s">
        <v>40</v>
      </c>
      <c r="F72" t="s">
        <v>553</v>
      </c>
      <c r="G72" t="s">
        <v>555</v>
      </c>
    </row>
    <row r="73" spans="1:7" x14ac:dyDescent="0.35">
      <c r="A73" t="s">
        <v>538</v>
      </c>
      <c r="B73" t="s">
        <v>583</v>
      </c>
      <c r="C73" t="s">
        <v>585</v>
      </c>
      <c r="D73">
        <v>23087034</v>
      </c>
      <c r="E73" t="s">
        <v>54</v>
      </c>
      <c r="F73" t="s">
        <v>553</v>
      </c>
      <c r="G73" t="s">
        <v>443</v>
      </c>
    </row>
    <row r="74" spans="1:7" x14ac:dyDescent="0.35">
      <c r="A74" t="s">
        <v>538</v>
      </c>
      <c r="B74" t="s">
        <v>583</v>
      </c>
      <c r="C74" t="s">
        <v>585</v>
      </c>
      <c r="D74">
        <v>23097789</v>
      </c>
      <c r="E74" t="s">
        <v>62</v>
      </c>
      <c r="F74" t="s">
        <v>553</v>
      </c>
      <c r="G74" t="s">
        <v>443</v>
      </c>
    </row>
    <row r="75" spans="1:7" x14ac:dyDescent="0.35">
      <c r="A75" t="s">
        <v>538</v>
      </c>
      <c r="B75" t="s">
        <v>583</v>
      </c>
      <c r="C75" t="s">
        <v>585</v>
      </c>
      <c r="D75">
        <v>23097790</v>
      </c>
      <c r="E75" t="s">
        <v>63</v>
      </c>
      <c r="F75" t="s">
        <v>553</v>
      </c>
      <c r="G75" t="s">
        <v>555</v>
      </c>
    </row>
    <row r="76" spans="1:7" x14ac:dyDescent="0.35">
      <c r="A76" t="s">
        <v>538</v>
      </c>
      <c r="B76" t="s">
        <v>583</v>
      </c>
      <c r="C76" t="s">
        <v>585</v>
      </c>
      <c r="D76">
        <v>23098986</v>
      </c>
      <c r="E76" t="s">
        <v>120</v>
      </c>
      <c r="F76" t="s">
        <v>553</v>
      </c>
      <c r="G76" t="s">
        <v>443</v>
      </c>
    </row>
    <row r="77" spans="1:7" x14ac:dyDescent="0.35">
      <c r="A77" t="s">
        <v>538</v>
      </c>
      <c r="B77" t="s">
        <v>583</v>
      </c>
      <c r="C77" t="s">
        <v>585</v>
      </c>
      <c r="D77">
        <v>23104868</v>
      </c>
      <c r="E77" t="s">
        <v>71</v>
      </c>
      <c r="F77" t="s">
        <v>553</v>
      </c>
      <c r="G77" t="s">
        <v>443</v>
      </c>
    </row>
    <row r="78" spans="1:7" x14ac:dyDescent="0.35">
      <c r="A78" t="s">
        <v>538</v>
      </c>
      <c r="B78" t="s">
        <v>583</v>
      </c>
      <c r="C78" t="s">
        <v>585</v>
      </c>
      <c r="D78">
        <v>23105753</v>
      </c>
      <c r="E78" t="s">
        <v>75</v>
      </c>
      <c r="F78" t="s">
        <v>541</v>
      </c>
      <c r="G78" t="s">
        <v>424</v>
      </c>
    </row>
    <row r="79" spans="1:7" x14ac:dyDescent="0.35">
      <c r="A79" t="s">
        <v>538</v>
      </c>
      <c r="B79" t="s">
        <v>583</v>
      </c>
      <c r="C79" t="s">
        <v>585</v>
      </c>
      <c r="D79">
        <v>23105820</v>
      </c>
      <c r="E79" t="s">
        <v>123</v>
      </c>
      <c r="F79" t="s">
        <v>553</v>
      </c>
      <c r="G79" t="s">
        <v>555</v>
      </c>
    </row>
    <row r="80" spans="1:7" x14ac:dyDescent="0.35">
      <c r="A80" t="s">
        <v>538</v>
      </c>
      <c r="B80" t="s">
        <v>583</v>
      </c>
      <c r="C80" t="s">
        <v>585</v>
      </c>
      <c r="D80">
        <v>23106549</v>
      </c>
      <c r="E80" t="s">
        <v>122</v>
      </c>
      <c r="F80" t="s">
        <v>553</v>
      </c>
      <c r="G80" t="s">
        <v>443</v>
      </c>
    </row>
    <row r="81" spans="1:7" x14ac:dyDescent="0.35">
      <c r="A81" t="s">
        <v>538</v>
      </c>
      <c r="B81" t="s">
        <v>583</v>
      </c>
      <c r="C81" t="s">
        <v>585</v>
      </c>
      <c r="D81">
        <v>23108710</v>
      </c>
      <c r="E81" t="s">
        <v>437</v>
      </c>
      <c r="F81" t="s">
        <v>553</v>
      </c>
      <c r="G81" t="s">
        <v>443</v>
      </c>
    </row>
    <row r="82" spans="1:7" x14ac:dyDescent="0.35">
      <c r="A82" t="s">
        <v>538</v>
      </c>
      <c r="B82" t="s">
        <v>583</v>
      </c>
      <c r="C82" t="s">
        <v>585</v>
      </c>
      <c r="D82">
        <v>23109357</v>
      </c>
      <c r="E82" t="s">
        <v>82</v>
      </c>
      <c r="F82" t="s">
        <v>553</v>
      </c>
      <c r="G82" t="s">
        <v>443</v>
      </c>
    </row>
    <row r="83" spans="1:7" x14ac:dyDescent="0.35">
      <c r="A83" t="s">
        <v>538</v>
      </c>
      <c r="B83" t="s">
        <v>583</v>
      </c>
      <c r="C83" t="s">
        <v>585</v>
      </c>
      <c r="D83">
        <v>23109533</v>
      </c>
      <c r="E83" t="s">
        <v>514</v>
      </c>
      <c r="F83" t="s">
        <v>553</v>
      </c>
      <c r="G83" t="s">
        <v>560</v>
      </c>
    </row>
    <row r="84" spans="1:7" x14ac:dyDescent="0.35">
      <c r="A84" t="s">
        <v>538</v>
      </c>
      <c r="B84" t="s">
        <v>583</v>
      </c>
      <c r="C84" t="s">
        <v>585</v>
      </c>
      <c r="D84">
        <v>23110586</v>
      </c>
      <c r="E84" t="s">
        <v>436</v>
      </c>
      <c r="F84" t="s">
        <v>553</v>
      </c>
      <c r="G84" t="s">
        <v>443</v>
      </c>
    </row>
    <row r="85" spans="1:7" x14ac:dyDescent="0.35">
      <c r="A85" t="s">
        <v>538</v>
      </c>
      <c r="B85" t="s">
        <v>583</v>
      </c>
      <c r="C85" t="s">
        <v>585</v>
      </c>
      <c r="D85">
        <v>23110587</v>
      </c>
      <c r="E85" t="s">
        <v>87</v>
      </c>
      <c r="F85" t="s">
        <v>553</v>
      </c>
      <c r="G85" t="s">
        <v>555</v>
      </c>
    </row>
    <row r="86" spans="1:7" x14ac:dyDescent="0.35">
      <c r="A86" t="s">
        <v>538</v>
      </c>
      <c r="B86" t="s">
        <v>583</v>
      </c>
      <c r="C86" t="s">
        <v>585</v>
      </c>
      <c r="D86">
        <v>23110588</v>
      </c>
      <c r="E86" t="s">
        <v>102</v>
      </c>
      <c r="F86" t="s">
        <v>553</v>
      </c>
      <c r="G86" t="s">
        <v>443</v>
      </c>
    </row>
    <row r="87" spans="1:7" x14ac:dyDescent="0.35">
      <c r="A87" t="s">
        <v>538</v>
      </c>
      <c r="B87" t="s">
        <v>583</v>
      </c>
      <c r="C87" t="s">
        <v>585</v>
      </c>
      <c r="D87">
        <v>23110876</v>
      </c>
      <c r="E87" t="s">
        <v>430</v>
      </c>
      <c r="F87" t="s">
        <v>553</v>
      </c>
      <c r="G87" t="s">
        <v>443</v>
      </c>
    </row>
    <row r="88" spans="1:7" x14ac:dyDescent="0.35">
      <c r="A88" t="s">
        <v>538</v>
      </c>
      <c r="B88" t="s">
        <v>583</v>
      </c>
      <c r="C88" t="s">
        <v>585</v>
      </c>
      <c r="D88">
        <v>23111030</v>
      </c>
      <c r="E88" t="s">
        <v>106</v>
      </c>
      <c r="F88" t="s">
        <v>553</v>
      </c>
      <c r="G88" t="s">
        <v>443</v>
      </c>
    </row>
    <row r="89" spans="1:7" x14ac:dyDescent="0.35">
      <c r="A89" t="s">
        <v>538</v>
      </c>
      <c r="B89" t="s">
        <v>583</v>
      </c>
      <c r="C89" t="s">
        <v>585</v>
      </c>
      <c r="D89">
        <v>23111036</v>
      </c>
      <c r="E89" t="s">
        <v>96</v>
      </c>
      <c r="F89" t="s">
        <v>553</v>
      </c>
      <c r="G89" t="s">
        <v>555</v>
      </c>
    </row>
    <row r="90" spans="1:7" x14ac:dyDescent="0.35">
      <c r="A90" t="s">
        <v>538</v>
      </c>
      <c r="B90" t="s">
        <v>583</v>
      </c>
      <c r="C90" t="s">
        <v>586</v>
      </c>
      <c r="D90">
        <v>23058551</v>
      </c>
      <c r="E90" t="s">
        <v>25</v>
      </c>
      <c r="F90" t="s">
        <v>541</v>
      </c>
      <c r="G90" t="s">
        <v>381</v>
      </c>
    </row>
    <row r="91" spans="1:7" x14ac:dyDescent="0.35">
      <c r="A91" t="s">
        <v>538</v>
      </c>
      <c r="B91" t="s">
        <v>583</v>
      </c>
      <c r="C91" t="s">
        <v>586</v>
      </c>
      <c r="D91">
        <v>23110601</v>
      </c>
      <c r="E91" t="s">
        <v>328</v>
      </c>
      <c r="F91" t="s">
        <v>553</v>
      </c>
      <c r="G91" t="s">
        <v>543</v>
      </c>
    </row>
    <row r="92" spans="1:7" x14ac:dyDescent="0.35">
      <c r="A92" t="s">
        <v>538</v>
      </c>
      <c r="B92" t="s">
        <v>583</v>
      </c>
      <c r="C92" t="s">
        <v>587</v>
      </c>
      <c r="D92">
        <v>23015265</v>
      </c>
      <c r="E92" t="s">
        <v>16</v>
      </c>
      <c r="F92" t="s">
        <v>553</v>
      </c>
      <c r="G92" t="s">
        <v>546</v>
      </c>
    </row>
    <row r="93" spans="1:7" x14ac:dyDescent="0.35">
      <c r="A93" t="s">
        <v>538</v>
      </c>
      <c r="B93" t="s">
        <v>583</v>
      </c>
      <c r="C93" t="s">
        <v>587</v>
      </c>
      <c r="D93">
        <v>23015268</v>
      </c>
      <c r="E93" t="s">
        <v>359</v>
      </c>
      <c r="F93" t="s">
        <v>553</v>
      </c>
      <c r="G93" t="s">
        <v>546</v>
      </c>
    </row>
    <row r="94" spans="1:7" x14ac:dyDescent="0.35">
      <c r="A94" t="s">
        <v>538</v>
      </c>
      <c r="B94" t="s">
        <v>583</v>
      </c>
      <c r="C94" t="s">
        <v>587</v>
      </c>
      <c r="D94">
        <v>23025320</v>
      </c>
      <c r="E94" t="s">
        <v>353</v>
      </c>
      <c r="F94" t="s">
        <v>553</v>
      </c>
      <c r="G94" t="s">
        <v>546</v>
      </c>
    </row>
    <row r="95" spans="1:7" x14ac:dyDescent="0.35">
      <c r="A95" t="s">
        <v>538</v>
      </c>
      <c r="B95" t="s">
        <v>583</v>
      </c>
      <c r="C95" t="s">
        <v>587</v>
      </c>
      <c r="D95">
        <v>23025323</v>
      </c>
      <c r="E95" t="s">
        <v>356</v>
      </c>
      <c r="F95" t="s">
        <v>553</v>
      </c>
      <c r="G95" t="s">
        <v>546</v>
      </c>
    </row>
    <row r="96" spans="1:7" x14ac:dyDescent="0.35">
      <c r="A96" t="s">
        <v>538</v>
      </c>
      <c r="B96" t="s">
        <v>583</v>
      </c>
      <c r="C96" t="s">
        <v>587</v>
      </c>
      <c r="D96">
        <v>23057827</v>
      </c>
      <c r="E96" t="s">
        <v>24</v>
      </c>
      <c r="F96" t="s">
        <v>541</v>
      </c>
      <c r="G96" t="s">
        <v>482</v>
      </c>
    </row>
    <row r="97" spans="1:7" x14ac:dyDescent="0.35">
      <c r="A97" t="s">
        <v>538</v>
      </c>
      <c r="B97" t="s">
        <v>583</v>
      </c>
      <c r="C97" t="s">
        <v>587</v>
      </c>
      <c r="D97">
        <v>23071882</v>
      </c>
      <c r="E97" t="s">
        <v>49</v>
      </c>
      <c r="F97" t="s">
        <v>553</v>
      </c>
      <c r="G97" t="s">
        <v>546</v>
      </c>
    </row>
    <row r="98" spans="1:7" x14ac:dyDescent="0.35">
      <c r="A98" t="s">
        <v>538</v>
      </c>
      <c r="B98" t="s">
        <v>583</v>
      </c>
      <c r="C98" t="s">
        <v>587</v>
      </c>
      <c r="D98">
        <v>23074622</v>
      </c>
      <c r="E98" t="s">
        <v>350</v>
      </c>
      <c r="F98" t="s">
        <v>553</v>
      </c>
      <c r="G98" t="s">
        <v>546</v>
      </c>
    </row>
    <row r="99" spans="1:7" x14ac:dyDescent="0.35">
      <c r="A99" t="s">
        <v>538</v>
      </c>
      <c r="B99" t="s">
        <v>583</v>
      </c>
      <c r="C99" t="s">
        <v>587</v>
      </c>
      <c r="D99">
        <v>23097785</v>
      </c>
      <c r="E99" t="s">
        <v>343</v>
      </c>
      <c r="F99" t="s">
        <v>553</v>
      </c>
      <c r="G99" t="s">
        <v>546</v>
      </c>
    </row>
    <row r="100" spans="1:7" x14ac:dyDescent="0.35">
      <c r="A100" t="s">
        <v>538</v>
      </c>
      <c r="B100" t="s">
        <v>583</v>
      </c>
      <c r="C100" t="s">
        <v>587</v>
      </c>
      <c r="D100">
        <v>23109355</v>
      </c>
      <c r="E100" t="s">
        <v>362</v>
      </c>
      <c r="F100" t="s">
        <v>553</v>
      </c>
      <c r="G100" t="s">
        <v>546</v>
      </c>
    </row>
    <row r="101" spans="1:7" x14ac:dyDescent="0.35">
      <c r="A101" t="s">
        <v>538</v>
      </c>
      <c r="B101" t="s">
        <v>583</v>
      </c>
      <c r="C101" t="s">
        <v>587</v>
      </c>
      <c r="D101">
        <v>23109356</v>
      </c>
      <c r="E101" t="s">
        <v>340</v>
      </c>
      <c r="F101" t="s">
        <v>553</v>
      </c>
      <c r="G101" t="s">
        <v>546</v>
      </c>
    </row>
    <row r="102" spans="1:7" x14ac:dyDescent="0.35">
      <c r="A102" t="s">
        <v>538</v>
      </c>
      <c r="B102" t="s">
        <v>583</v>
      </c>
      <c r="C102" t="s">
        <v>587</v>
      </c>
      <c r="D102">
        <v>23110603</v>
      </c>
      <c r="E102" t="s">
        <v>354</v>
      </c>
      <c r="F102" t="s">
        <v>553</v>
      </c>
      <c r="G102" t="s">
        <v>546</v>
      </c>
    </row>
    <row r="103" spans="1:7" x14ac:dyDescent="0.35">
      <c r="A103" t="s">
        <v>538</v>
      </c>
      <c r="B103" t="s">
        <v>583</v>
      </c>
      <c r="C103" t="s">
        <v>587</v>
      </c>
      <c r="D103">
        <v>23110604</v>
      </c>
      <c r="E103" t="s">
        <v>345</v>
      </c>
      <c r="F103" t="s">
        <v>553</v>
      </c>
      <c r="G103" t="s">
        <v>546</v>
      </c>
    </row>
    <row r="104" spans="1:7" x14ac:dyDescent="0.35">
      <c r="A104" t="s">
        <v>538</v>
      </c>
      <c r="B104" t="s">
        <v>583</v>
      </c>
      <c r="C104" t="s">
        <v>587</v>
      </c>
      <c r="D104">
        <v>23110605</v>
      </c>
      <c r="E104" t="s">
        <v>351</v>
      </c>
      <c r="F104" t="s">
        <v>553</v>
      </c>
      <c r="G104" t="s">
        <v>546</v>
      </c>
    </row>
    <row r="105" spans="1:7" x14ac:dyDescent="0.35">
      <c r="A105" t="s">
        <v>538</v>
      </c>
      <c r="B105" t="s">
        <v>583</v>
      </c>
      <c r="C105" t="s">
        <v>588</v>
      </c>
      <c r="D105">
        <v>23025303</v>
      </c>
      <c r="E105" t="s">
        <v>480</v>
      </c>
      <c r="F105" t="s">
        <v>553</v>
      </c>
      <c r="G105" t="s">
        <v>546</v>
      </c>
    </row>
    <row r="106" spans="1:7" x14ac:dyDescent="0.35">
      <c r="A106" t="s">
        <v>538</v>
      </c>
      <c r="B106" t="s">
        <v>583</v>
      </c>
      <c r="C106" t="s">
        <v>588</v>
      </c>
      <c r="D106">
        <v>23057818</v>
      </c>
      <c r="E106" t="s">
        <v>21</v>
      </c>
      <c r="F106" t="s">
        <v>541</v>
      </c>
      <c r="G106" t="s">
        <v>482</v>
      </c>
    </row>
    <row r="107" spans="1:7" x14ac:dyDescent="0.35">
      <c r="A107" t="s">
        <v>538</v>
      </c>
      <c r="B107" t="s">
        <v>583</v>
      </c>
      <c r="C107" t="s">
        <v>588</v>
      </c>
      <c r="D107">
        <v>23097791</v>
      </c>
      <c r="E107" t="s">
        <v>64</v>
      </c>
      <c r="F107" t="s">
        <v>541</v>
      </c>
      <c r="G107" t="s">
        <v>482</v>
      </c>
    </row>
    <row r="108" spans="1:7" x14ac:dyDescent="0.35">
      <c r="A108" t="s">
        <v>538</v>
      </c>
      <c r="B108" t="s">
        <v>583</v>
      </c>
      <c r="C108" t="s">
        <v>588</v>
      </c>
      <c r="D108">
        <v>23110576</v>
      </c>
      <c r="E108" t="s">
        <v>478</v>
      </c>
      <c r="F108" t="s">
        <v>553</v>
      </c>
      <c r="G108" t="s">
        <v>546</v>
      </c>
    </row>
    <row r="109" spans="1:7" x14ac:dyDescent="0.35">
      <c r="A109" t="s">
        <v>538</v>
      </c>
      <c r="B109" t="s">
        <v>583</v>
      </c>
      <c r="C109" t="s">
        <v>589</v>
      </c>
      <c r="D109">
        <v>23025306</v>
      </c>
      <c r="E109" t="s">
        <v>457</v>
      </c>
      <c r="F109" t="s">
        <v>553</v>
      </c>
      <c r="G109" t="s">
        <v>543</v>
      </c>
    </row>
    <row r="110" spans="1:7" x14ac:dyDescent="0.35">
      <c r="A110" t="s">
        <v>538</v>
      </c>
      <c r="B110" t="s">
        <v>583</v>
      </c>
      <c r="C110" t="s">
        <v>589</v>
      </c>
      <c r="D110">
        <v>23057821</v>
      </c>
      <c r="E110" t="s">
        <v>22</v>
      </c>
      <c r="F110" t="s">
        <v>541</v>
      </c>
      <c r="G110" t="s">
        <v>381</v>
      </c>
    </row>
    <row r="111" spans="1:7" x14ac:dyDescent="0.35">
      <c r="A111" t="s">
        <v>538</v>
      </c>
      <c r="B111" t="s">
        <v>583</v>
      </c>
      <c r="C111" t="s">
        <v>589</v>
      </c>
      <c r="D111">
        <v>23065142</v>
      </c>
      <c r="E111" t="s">
        <v>42</v>
      </c>
      <c r="F111" t="s">
        <v>553</v>
      </c>
      <c r="G111" t="s">
        <v>555</v>
      </c>
    </row>
    <row r="112" spans="1:7" x14ac:dyDescent="0.35">
      <c r="A112" t="s">
        <v>538</v>
      </c>
      <c r="B112" t="s">
        <v>583</v>
      </c>
      <c r="C112" t="s">
        <v>589</v>
      </c>
      <c r="D112">
        <v>23097792</v>
      </c>
      <c r="E112" t="s">
        <v>65</v>
      </c>
      <c r="F112" t="s">
        <v>553</v>
      </c>
      <c r="G112" t="s">
        <v>543</v>
      </c>
    </row>
    <row r="113" spans="1:7" x14ac:dyDescent="0.35">
      <c r="A113" t="s">
        <v>538</v>
      </c>
      <c r="B113" t="s">
        <v>583</v>
      </c>
      <c r="C113" t="s">
        <v>589</v>
      </c>
      <c r="D113">
        <v>23097793</v>
      </c>
      <c r="E113" t="s">
        <v>66</v>
      </c>
      <c r="F113" t="s">
        <v>553</v>
      </c>
      <c r="G113" t="s">
        <v>555</v>
      </c>
    </row>
    <row r="114" spans="1:7" x14ac:dyDescent="0.35">
      <c r="A114" t="s">
        <v>538</v>
      </c>
      <c r="B114" t="s">
        <v>583</v>
      </c>
      <c r="C114" t="s">
        <v>589</v>
      </c>
      <c r="D114">
        <v>23105755</v>
      </c>
      <c r="E114" t="s">
        <v>282</v>
      </c>
      <c r="F114" t="s">
        <v>541</v>
      </c>
      <c r="G114" t="s">
        <v>381</v>
      </c>
    </row>
    <row r="115" spans="1:7" x14ac:dyDescent="0.35">
      <c r="A115" t="s">
        <v>538</v>
      </c>
      <c r="B115" t="s">
        <v>583</v>
      </c>
      <c r="C115" t="s">
        <v>589</v>
      </c>
      <c r="D115">
        <v>23109353</v>
      </c>
      <c r="E115" t="s">
        <v>81</v>
      </c>
      <c r="F115" t="s">
        <v>553</v>
      </c>
      <c r="G115" t="s">
        <v>555</v>
      </c>
    </row>
    <row r="116" spans="1:7" x14ac:dyDescent="0.35">
      <c r="A116" t="s">
        <v>538</v>
      </c>
      <c r="B116" t="s">
        <v>583</v>
      </c>
      <c r="C116" t="s">
        <v>589</v>
      </c>
      <c r="D116">
        <v>23109535</v>
      </c>
      <c r="E116" t="s">
        <v>515</v>
      </c>
      <c r="F116" t="s">
        <v>553</v>
      </c>
      <c r="G116" t="s">
        <v>560</v>
      </c>
    </row>
    <row r="117" spans="1:7" x14ac:dyDescent="0.35">
      <c r="A117" t="s">
        <v>538</v>
      </c>
      <c r="B117" t="s">
        <v>583</v>
      </c>
      <c r="C117" t="s">
        <v>589</v>
      </c>
      <c r="D117">
        <v>23110598</v>
      </c>
      <c r="E117" t="s">
        <v>449</v>
      </c>
      <c r="F117" t="s">
        <v>553</v>
      </c>
      <c r="G117" t="s">
        <v>543</v>
      </c>
    </row>
    <row r="118" spans="1:7" x14ac:dyDescent="0.35">
      <c r="A118" t="s">
        <v>538</v>
      </c>
      <c r="B118" t="s">
        <v>583</v>
      </c>
      <c r="C118" t="s">
        <v>589</v>
      </c>
      <c r="D118">
        <v>23110599</v>
      </c>
      <c r="E118" t="s">
        <v>450</v>
      </c>
      <c r="F118" t="s">
        <v>553</v>
      </c>
      <c r="G118" t="s">
        <v>543</v>
      </c>
    </row>
    <row r="119" spans="1:7" x14ac:dyDescent="0.35">
      <c r="A119" t="s">
        <v>538</v>
      </c>
      <c r="B119" t="s">
        <v>583</v>
      </c>
      <c r="C119" t="s">
        <v>589</v>
      </c>
      <c r="D119">
        <v>23110600</v>
      </c>
      <c r="E119" t="s">
        <v>91</v>
      </c>
      <c r="F119" t="s">
        <v>553</v>
      </c>
      <c r="G119" t="s">
        <v>555</v>
      </c>
    </row>
    <row r="120" spans="1:7" x14ac:dyDescent="0.35">
      <c r="A120" t="s">
        <v>538</v>
      </c>
      <c r="B120" t="s">
        <v>583</v>
      </c>
      <c r="C120" t="s">
        <v>589</v>
      </c>
      <c r="D120">
        <v>23110873</v>
      </c>
      <c r="E120" t="s">
        <v>455</v>
      </c>
      <c r="F120" t="s">
        <v>553</v>
      </c>
      <c r="G120" t="s">
        <v>543</v>
      </c>
    </row>
    <row r="121" spans="1:7" x14ac:dyDescent="0.35">
      <c r="A121" t="s">
        <v>538</v>
      </c>
      <c r="B121" t="s">
        <v>583</v>
      </c>
      <c r="C121" t="s">
        <v>589</v>
      </c>
      <c r="D121">
        <v>23111034</v>
      </c>
      <c r="E121" t="s">
        <v>94</v>
      </c>
      <c r="F121" t="s">
        <v>553</v>
      </c>
      <c r="G121" t="s">
        <v>555</v>
      </c>
    </row>
    <row r="122" spans="1:7" x14ac:dyDescent="0.35">
      <c r="A122" t="s">
        <v>538</v>
      </c>
      <c r="B122" t="s">
        <v>583</v>
      </c>
      <c r="C122" t="s">
        <v>590</v>
      </c>
      <c r="D122">
        <v>23015198</v>
      </c>
      <c r="E122" t="s">
        <v>119</v>
      </c>
      <c r="F122" t="s">
        <v>553</v>
      </c>
      <c r="G122" t="s">
        <v>546</v>
      </c>
    </row>
    <row r="123" spans="1:7" x14ac:dyDescent="0.35">
      <c r="A123" t="s">
        <v>538</v>
      </c>
      <c r="B123" t="s">
        <v>583</v>
      </c>
      <c r="C123" t="s">
        <v>590</v>
      </c>
      <c r="D123">
        <v>23025287</v>
      </c>
      <c r="E123" t="s">
        <v>473</v>
      </c>
      <c r="F123" t="s">
        <v>553</v>
      </c>
      <c r="G123" t="s">
        <v>546</v>
      </c>
    </row>
    <row r="124" spans="1:7" x14ac:dyDescent="0.35">
      <c r="A124" t="s">
        <v>538</v>
      </c>
      <c r="B124" t="s">
        <v>583</v>
      </c>
      <c r="C124" t="s">
        <v>590</v>
      </c>
      <c r="D124">
        <v>23057815</v>
      </c>
      <c r="E124" t="s">
        <v>20</v>
      </c>
      <c r="F124" t="s">
        <v>541</v>
      </c>
      <c r="G124" t="s">
        <v>482</v>
      </c>
    </row>
    <row r="125" spans="1:7" x14ac:dyDescent="0.35">
      <c r="A125" t="s">
        <v>538</v>
      </c>
      <c r="B125" t="s">
        <v>583</v>
      </c>
      <c r="C125" t="s">
        <v>590</v>
      </c>
      <c r="D125">
        <v>23065141</v>
      </c>
      <c r="E125" t="s">
        <v>41</v>
      </c>
      <c r="F125" t="s">
        <v>553</v>
      </c>
      <c r="G125" t="s">
        <v>555</v>
      </c>
    </row>
    <row r="126" spans="1:7" x14ac:dyDescent="0.35">
      <c r="A126" t="s">
        <v>538</v>
      </c>
      <c r="B126" t="s">
        <v>583</v>
      </c>
      <c r="C126" t="s">
        <v>590</v>
      </c>
      <c r="D126">
        <v>23097794</v>
      </c>
      <c r="E126" t="s">
        <v>467</v>
      </c>
      <c r="F126" t="s">
        <v>553</v>
      </c>
      <c r="G126" t="s">
        <v>546</v>
      </c>
    </row>
    <row r="127" spans="1:7" x14ac:dyDescent="0.35">
      <c r="A127" t="s">
        <v>538</v>
      </c>
      <c r="B127" t="s">
        <v>583</v>
      </c>
      <c r="C127" t="s">
        <v>590</v>
      </c>
      <c r="D127">
        <v>23097795</v>
      </c>
      <c r="E127" t="s">
        <v>469</v>
      </c>
      <c r="F127" t="s">
        <v>553</v>
      </c>
      <c r="G127" t="s">
        <v>555</v>
      </c>
    </row>
    <row r="128" spans="1:7" x14ac:dyDescent="0.35">
      <c r="A128" t="s">
        <v>538</v>
      </c>
      <c r="B128" t="s">
        <v>583</v>
      </c>
      <c r="C128" t="s">
        <v>590</v>
      </c>
      <c r="D128">
        <v>23098991</v>
      </c>
      <c r="E128" t="s">
        <v>127</v>
      </c>
      <c r="F128" t="s">
        <v>553</v>
      </c>
      <c r="G128" t="s">
        <v>546</v>
      </c>
    </row>
    <row r="129" spans="1:7" x14ac:dyDescent="0.35">
      <c r="A129" t="s">
        <v>538</v>
      </c>
      <c r="B129" t="s">
        <v>583</v>
      </c>
      <c r="C129" t="s">
        <v>590</v>
      </c>
      <c r="D129">
        <v>23105752</v>
      </c>
      <c r="E129" t="s">
        <v>74</v>
      </c>
      <c r="F129" t="s">
        <v>541</v>
      </c>
      <c r="G129" t="s">
        <v>482</v>
      </c>
    </row>
    <row r="130" spans="1:7" x14ac:dyDescent="0.35">
      <c r="A130" t="s">
        <v>538</v>
      </c>
      <c r="B130" t="s">
        <v>583</v>
      </c>
      <c r="C130" t="s">
        <v>590</v>
      </c>
      <c r="D130">
        <v>23108715</v>
      </c>
      <c r="E130" t="s">
        <v>471</v>
      </c>
      <c r="F130" t="s">
        <v>553</v>
      </c>
      <c r="G130" t="s">
        <v>546</v>
      </c>
    </row>
    <row r="131" spans="1:7" x14ac:dyDescent="0.35">
      <c r="A131" t="s">
        <v>538</v>
      </c>
      <c r="B131" t="s">
        <v>583</v>
      </c>
      <c r="C131" t="s">
        <v>590</v>
      </c>
      <c r="D131">
        <v>23109352</v>
      </c>
      <c r="E131" t="s">
        <v>80</v>
      </c>
      <c r="F131" t="s">
        <v>553</v>
      </c>
      <c r="G131" t="s">
        <v>555</v>
      </c>
    </row>
    <row r="132" spans="1:7" x14ac:dyDescent="0.35">
      <c r="A132" t="s">
        <v>538</v>
      </c>
      <c r="B132" t="s">
        <v>583</v>
      </c>
      <c r="C132" t="s">
        <v>590</v>
      </c>
      <c r="D132">
        <v>23109354</v>
      </c>
      <c r="E132" t="s">
        <v>404</v>
      </c>
      <c r="F132" t="s">
        <v>553</v>
      </c>
      <c r="G132" t="s">
        <v>546</v>
      </c>
    </row>
    <row r="133" spans="1:7" x14ac:dyDescent="0.35">
      <c r="A133" t="s">
        <v>538</v>
      </c>
      <c r="B133" t="s">
        <v>583</v>
      </c>
      <c r="C133" t="s">
        <v>590</v>
      </c>
      <c r="D133">
        <v>23110591</v>
      </c>
      <c r="E133" t="s">
        <v>461</v>
      </c>
      <c r="F133" t="s">
        <v>553</v>
      </c>
      <c r="G133" t="s">
        <v>546</v>
      </c>
    </row>
    <row r="134" spans="1:7" x14ac:dyDescent="0.35">
      <c r="A134" t="s">
        <v>538</v>
      </c>
      <c r="B134" t="s">
        <v>583</v>
      </c>
      <c r="C134" t="s">
        <v>590</v>
      </c>
      <c r="D134">
        <v>23110592</v>
      </c>
      <c r="E134" t="s">
        <v>462</v>
      </c>
      <c r="F134" t="s">
        <v>553</v>
      </c>
      <c r="G134" t="s">
        <v>546</v>
      </c>
    </row>
    <row r="135" spans="1:7" x14ac:dyDescent="0.35">
      <c r="A135" t="s">
        <v>538</v>
      </c>
      <c r="B135" t="s">
        <v>583</v>
      </c>
      <c r="C135" t="s">
        <v>590</v>
      </c>
      <c r="D135">
        <v>23110593</v>
      </c>
      <c r="E135" t="s">
        <v>89</v>
      </c>
      <c r="F135" t="s">
        <v>553</v>
      </c>
      <c r="G135" t="s">
        <v>555</v>
      </c>
    </row>
    <row r="136" spans="1:7" x14ac:dyDescent="0.35">
      <c r="A136" t="s">
        <v>538</v>
      </c>
      <c r="B136" t="s">
        <v>583</v>
      </c>
      <c r="C136" t="s">
        <v>590</v>
      </c>
      <c r="D136">
        <v>23110602</v>
      </c>
      <c r="E136" t="s">
        <v>406</v>
      </c>
      <c r="F136" t="s">
        <v>553</v>
      </c>
      <c r="G136" t="s">
        <v>546</v>
      </c>
    </row>
    <row r="137" spans="1:7" x14ac:dyDescent="0.35">
      <c r="A137" t="s">
        <v>538</v>
      </c>
      <c r="B137" t="s">
        <v>583</v>
      </c>
      <c r="C137" t="s">
        <v>590</v>
      </c>
      <c r="D137">
        <v>23110607</v>
      </c>
      <c r="E137" t="s">
        <v>464</v>
      </c>
      <c r="F137" t="s">
        <v>553</v>
      </c>
      <c r="G137" t="s">
        <v>546</v>
      </c>
    </row>
    <row r="138" spans="1:7" x14ac:dyDescent="0.35">
      <c r="A138" t="s">
        <v>538</v>
      </c>
      <c r="B138" t="s">
        <v>583</v>
      </c>
      <c r="C138" t="s">
        <v>590</v>
      </c>
      <c r="D138">
        <v>23111035</v>
      </c>
      <c r="E138" t="s">
        <v>95</v>
      </c>
      <c r="F138" t="s">
        <v>553</v>
      </c>
      <c r="G138" t="s">
        <v>555</v>
      </c>
    </row>
    <row r="139" spans="1:7" x14ac:dyDescent="0.35">
      <c r="A139" t="s">
        <v>538</v>
      </c>
      <c r="B139" t="s">
        <v>583</v>
      </c>
      <c r="C139" t="s">
        <v>591</v>
      </c>
      <c r="D139">
        <v>23025313</v>
      </c>
      <c r="E139" t="s">
        <v>520</v>
      </c>
      <c r="F139" t="s">
        <v>553</v>
      </c>
      <c r="G139" t="s">
        <v>546</v>
      </c>
    </row>
    <row r="140" spans="1:7" x14ac:dyDescent="0.35">
      <c r="A140" t="s">
        <v>538</v>
      </c>
      <c r="B140" t="s">
        <v>583</v>
      </c>
      <c r="C140" t="s">
        <v>591</v>
      </c>
      <c r="D140">
        <v>23057824</v>
      </c>
      <c r="E140" t="s">
        <v>23</v>
      </c>
      <c r="F140" t="s">
        <v>541</v>
      </c>
      <c r="G140" t="s">
        <v>482</v>
      </c>
    </row>
    <row r="141" spans="1:7" x14ac:dyDescent="0.35">
      <c r="A141" t="s">
        <v>538</v>
      </c>
      <c r="B141" t="s">
        <v>583</v>
      </c>
      <c r="C141" t="s">
        <v>591</v>
      </c>
      <c r="D141">
        <v>23065143</v>
      </c>
      <c r="E141" t="s">
        <v>43</v>
      </c>
      <c r="F141" t="s">
        <v>553</v>
      </c>
      <c r="G141" t="s">
        <v>555</v>
      </c>
    </row>
    <row r="142" spans="1:7" x14ac:dyDescent="0.35">
      <c r="A142" t="s">
        <v>538</v>
      </c>
      <c r="B142" t="s">
        <v>583</v>
      </c>
      <c r="C142" t="s">
        <v>591</v>
      </c>
      <c r="D142">
        <v>23070475</v>
      </c>
      <c r="E142" t="s">
        <v>47</v>
      </c>
      <c r="F142" t="s">
        <v>553</v>
      </c>
      <c r="G142" t="s">
        <v>546</v>
      </c>
    </row>
    <row r="143" spans="1:7" x14ac:dyDescent="0.35">
      <c r="A143" t="s">
        <v>538</v>
      </c>
      <c r="B143" t="s">
        <v>583</v>
      </c>
      <c r="C143" t="s">
        <v>591</v>
      </c>
      <c r="D143">
        <v>23073308</v>
      </c>
      <c r="E143" t="s">
        <v>117</v>
      </c>
      <c r="F143" t="s">
        <v>553</v>
      </c>
      <c r="G143" t="s">
        <v>546</v>
      </c>
    </row>
    <row r="144" spans="1:7" x14ac:dyDescent="0.35">
      <c r="A144" t="s">
        <v>538</v>
      </c>
      <c r="B144" t="s">
        <v>583</v>
      </c>
      <c r="C144" t="s">
        <v>591</v>
      </c>
      <c r="D144">
        <v>23092558</v>
      </c>
      <c r="E144" t="s">
        <v>493</v>
      </c>
      <c r="F144" t="s">
        <v>553</v>
      </c>
      <c r="G144" t="s">
        <v>546</v>
      </c>
    </row>
    <row r="145" spans="1:7" x14ac:dyDescent="0.35">
      <c r="A145" t="s">
        <v>538</v>
      </c>
      <c r="B145" t="s">
        <v>583</v>
      </c>
      <c r="C145" t="s">
        <v>591</v>
      </c>
      <c r="D145">
        <v>23092652</v>
      </c>
      <c r="E145" t="s">
        <v>485</v>
      </c>
      <c r="F145" t="s">
        <v>553</v>
      </c>
      <c r="G145" t="s">
        <v>546</v>
      </c>
    </row>
    <row r="146" spans="1:7" x14ac:dyDescent="0.35">
      <c r="A146" t="s">
        <v>538</v>
      </c>
      <c r="B146" t="s">
        <v>583</v>
      </c>
      <c r="C146" t="s">
        <v>591</v>
      </c>
      <c r="D146">
        <v>23097796</v>
      </c>
      <c r="E146" t="s">
        <v>67</v>
      </c>
      <c r="F146" t="s">
        <v>553</v>
      </c>
      <c r="G146" t="s">
        <v>546</v>
      </c>
    </row>
    <row r="147" spans="1:7" x14ac:dyDescent="0.35">
      <c r="A147" t="s">
        <v>538</v>
      </c>
      <c r="B147" t="s">
        <v>583</v>
      </c>
      <c r="C147" t="s">
        <v>591</v>
      </c>
      <c r="D147">
        <v>23097797</v>
      </c>
      <c r="E147" t="s">
        <v>68</v>
      </c>
      <c r="F147" t="s">
        <v>553</v>
      </c>
      <c r="G147" t="s">
        <v>555</v>
      </c>
    </row>
    <row r="148" spans="1:7" x14ac:dyDescent="0.35">
      <c r="A148" t="s">
        <v>538</v>
      </c>
      <c r="B148" t="s">
        <v>583</v>
      </c>
      <c r="C148" t="s">
        <v>591</v>
      </c>
      <c r="D148">
        <v>23098990</v>
      </c>
      <c r="E148" t="s">
        <v>121</v>
      </c>
      <c r="F148" t="s">
        <v>553</v>
      </c>
      <c r="G148" t="s">
        <v>546</v>
      </c>
    </row>
    <row r="149" spans="1:7" x14ac:dyDescent="0.35">
      <c r="A149" t="s">
        <v>538</v>
      </c>
      <c r="B149" t="s">
        <v>583</v>
      </c>
      <c r="C149" t="s">
        <v>591</v>
      </c>
      <c r="D149">
        <v>23105754</v>
      </c>
      <c r="E149" t="s">
        <v>76</v>
      </c>
      <c r="F149" t="s">
        <v>541</v>
      </c>
      <c r="G149" t="s">
        <v>482</v>
      </c>
    </row>
    <row r="150" spans="1:7" x14ac:dyDescent="0.35">
      <c r="A150" t="s">
        <v>538</v>
      </c>
      <c r="B150" t="s">
        <v>583</v>
      </c>
      <c r="C150" t="s">
        <v>591</v>
      </c>
      <c r="D150">
        <v>23109351</v>
      </c>
      <c r="E150" t="s">
        <v>79</v>
      </c>
      <c r="F150" t="s">
        <v>553</v>
      </c>
      <c r="G150" t="s">
        <v>555</v>
      </c>
    </row>
    <row r="151" spans="1:7" x14ac:dyDescent="0.35">
      <c r="A151" t="s">
        <v>538</v>
      </c>
      <c r="B151" t="s">
        <v>583</v>
      </c>
      <c r="C151" t="s">
        <v>591</v>
      </c>
      <c r="D151">
        <v>23109358</v>
      </c>
      <c r="E151" t="s">
        <v>83</v>
      </c>
      <c r="F151" t="s">
        <v>553</v>
      </c>
      <c r="G151" t="s">
        <v>546</v>
      </c>
    </row>
    <row r="152" spans="1:7" x14ac:dyDescent="0.35">
      <c r="A152" t="s">
        <v>538</v>
      </c>
      <c r="B152" t="s">
        <v>583</v>
      </c>
      <c r="C152" t="s">
        <v>591</v>
      </c>
      <c r="D152">
        <v>23109534</v>
      </c>
      <c r="E152" t="s">
        <v>516</v>
      </c>
      <c r="F152" t="s">
        <v>553</v>
      </c>
      <c r="G152" t="s">
        <v>560</v>
      </c>
    </row>
    <row r="153" spans="1:7" x14ac:dyDescent="0.35">
      <c r="A153" t="s">
        <v>538</v>
      </c>
      <c r="B153" t="s">
        <v>583</v>
      </c>
      <c r="C153" t="s">
        <v>591</v>
      </c>
      <c r="D153">
        <v>23110594</v>
      </c>
      <c r="E153" t="s">
        <v>491</v>
      </c>
      <c r="F153" t="s">
        <v>553</v>
      </c>
      <c r="G153" t="s">
        <v>546</v>
      </c>
    </row>
    <row r="154" spans="1:7" x14ac:dyDescent="0.35">
      <c r="A154" t="s">
        <v>538</v>
      </c>
      <c r="B154" t="s">
        <v>583</v>
      </c>
      <c r="C154" t="s">
        <v>591</v>
      </c>
      <c r="D154">
        <v>23110595</v>
      </c>
      <c r="E154" t="s">
        <v>90</v>
      </c>
      <c r="F154" t="s">
        <v>553</v>
      </c>
      <c r="G154" t="s">
        <v>555</v>
      </c>
    </row>
    <row r="155" spans="1:7" x14ac:dyDescent="0.35">
      <c r="A155" t="s">
        <v>538</v>
      </c>
      <c r="B155" t="s">
        <v>583</v>
      </c>
      <c r="C155" t="s">
        <v>591</v>
      </c>
      <c r="D155">
        <v>23110596</v>
      </c>
      <c r="E155" t="s">
        <v>100</v>
      </c>
      <c r="F155" t="s">
        <v>553</v>
      </c>
      <c r="G155" t="s">
        <v>546</v>
      </c>
    </row>
    <row r="156" spans="1:7" x14ac:dyDescent="0.35">
      <c r="A156" t="s">
        <v>538</v>
      </c>
      <c r="B156" t="s">
        <v>583</v>
      </c>
      <c r="C156" t="s">
        <v>591</v>
      </c>
      <c r="D156">
        <v>23110597</v>
      </c>
      <c r="E156" t="s">
        <v>101</v>
      </c>
      <c r="F156" t="s">
        <v>553</v>
      </c>
      <c r="G156" t="s">
        <v>546</v>
      </c>
    </row>
    <row r="157" spans="1:7" x14ac:dyDescent="0.35">
      <c r="A157" t="s">
        <v>538</v>
      </c>
      <c r="B157" t="s">
        <v>583</v>
      </c>
      <c r="C157" t="s">
        <v>591</v>
      </c>
      <c r="D157">
        <v>23111031</v>
      </c>
      <c r="E157" t="s">
        <v>98</v>
      </c>
      <c r="F157" t="s">
        <v>553</v>
      </c>
      <c r="G157" t="s">
        <v>546</v>
      </c>
    </row>
    <row r="158" spans="1:7" x14ac:dyDescent="0.35">
      <c r="A158" t="s">
        <v>538</v>
      </c>
      <c r="B158" t="s">
        <v>583</v>
      </c>
      <c r="C158" t="s">
        <v>591</v>
      </c>
      <c r="D158">
        <v>23111033</v>
      </c>
      <c r="E158" t="s">
        <v>93</v>
      </c>
      <c r="F158" t="s">
        <v>553</v>
      </c>
      <c r="G158" t="s">
        <v>555</v>
      </c>
    </row>
    <row r="159" spans="1:7" x14ac:dyDescent="0.35">
      <c r="A159" t="s">
        <v>538</v>
      </c>
      <c r="B159" t="s">
        <v>583</v>
      </c>
      <c r="C159" t="s">
        <v>591</v>
      </c>
      <c r="D159">
        <v>23111038</v>
      </c>
      <c r="E159" t="s">
        <v>105</v>
      </c>
      <c r="F159" t="s">
        <v>553</v>
      </c>
      <c r="G159" t="s">
        <v>546</v>
      </c>
    </row>
    <row r="160" spans="1:7" x14ac:dyDescent="0.35">
      <c r="A160" t="s">
        <v>538</v>
      </c>
      <c r="B160" t="s">
        <v>583</v>
      </c>
      <c r="C160" t="s">
        <v>592</v>
      </c>
      <c r="D160">
        <v>23025326</v>
      </c>
      <c r="E160" t="s">
        <v>518</v>
      </c>
      <c r="F160" t="s">
        <v>553</v>
      </c>
      <c r="G160" t="s">
        <v>560</v>
      </c>
    </row>
    <row r="161" spans="1:7" x14ac:dyDescent="0.35">
      <c r="A161" t="s">
        <v>538</v>
      </c>
      <c r="B161" t="s">
        <v>583</v>
      </c>
      <c r="C161" t="s">
        <v>592</v>
      </c>
      <c r="D161">
        <v>23047038</v>
      </c>
      <c r="E161" t="s">
        <v>17</v>
      </c>
      <c r="F161" t="s">
        <v>553</v>
      </c>
      <c r="G161" t="s">
        <v>560</v>
      </c>
    </row>
    <row r="162" spans="1:7" x14ac:dyDescent="0.35">
      <c r="A162" t="s">
        <v>538</v>
      </c>
      <c r="B162" t="s">
        <v>583</v>
      </c>
      <c r="C162" t="s">
        <v>592</v>
      </c>
      <c r="D162">
        <v>23062967</v>
      </c>
      <c r="E162" t="s">
        <v>38</v>
      </c>
      <c r="F162" t="s">
        <v>553</v>
      </c>
      <c r="G162" t="s">
        <v>560</v>
      </c>
    </row>
    <row r="163" spans="1:7" x14ac:dyDescent="0.35">
      <c r="A163" t="s">
        <v>538</v>
      </c>
      <c r="B163" t="s">
        <v>583</v>
      </c>
      <c r="C163" t="s">
        <v>592</v>
      </c>
      <c r="D163">
        <v>23071881</v>
      </c>
      <c r="E163" t="s">
        <v>48</v>
      </c>
      <c r="F163" t="s">
        <v>553</v>
      </c>
      <c r="G163" t="s">
        <v>560</v>
      </c>
    </row>
    <row r="164" spans="1:7" x14ac:dyDescent="0.35">
      <c r="A164" t="s">
        <v>538</v>
      </c>
      <c r="B164" t="s">
        <v>583</v>
      </c>
      <c r="C164" t="s">
        <v>592</v>
      </c>
      <c r="D164">
        <v>23097783</v>
      </c>
      <c r="E164" t="s">
        <v>58</v>
      </c>
      <c r="F164" t="s">
        <v>553</v>
      </c>
      <c r="G164" t="s">
        <v>560</v>
      </c>
    </row>
    <row r="165" spans="1:7" x14ac:dyDescent="0.35">
      <c r="A165" t="s">
        <v>538</v>
      </c>
      <c r="B165" t="s">
        <v>583</v>
      </c>
      <c r="C165" t="s">
        <v>592</v>
      </c>
      <c r="D165">
        <v>23105702</v>
      </c>
      <c r="E165" t="s">
        <v>72</v>
      </c>
      <c r="F165" t="s">
        <v>553</v>
      </c>
      <c r="G165" t="s">
        <v>560</v>
      </c>
    </row>
    <row r="166" spans="1:7" x14ac:dyDescent="0.35">
      <c r="A166" t="s">
        <v>538</v>
      </c>
      <c r="B166" t="s">
        <v>583</v>
      </c>
      <c r="C166" t="s">
        <v>592</v>
      </c>
      <c r="D166">
        <v>23108462</v>
      </c>
      <c r="E166" t="s">
        <v>77</v>
      </c>
      <c r="F166" t="s">
        <v>553</v>
      </c>
      <c r="G166" t="s">
        <v>560</v>
      </c>
    </row>
    <row r="167" spans="1:7" x14ac:dyDescent="0.35">
      <c r="A167" t="s">
        <v>538</v>
      </c>
      <c r="B167" t="s">
        <v>583</v>
      </c>
      <c r="C167" t="s">
        <v>592</v>
      </c>
      <c r="D167">
        <v>23109359</v>
      </c>
      <c r="E167" t="s">
        <v>84</v>
      </c>
      <c r="F167" t="s">
        <v>553</v>
      </c>
      <c r="G167" t="s">
        <v>560</v>
      </c>
    </row>
    <row r="168" spans="1:7" x14ac:dyDescent="0.35">
      <c r="A168" t="s">
        <v>538</v>
      </c>
      <c r="B168" t="s">
        <v>583</v>
      </c>
      <c r="C168" t="s">
        <v>592</v>
      </c>
      <c r="D168">
        <v>23110584</v>
      </c>
      <c r="E168" t="s">
        <v>86</v>
      </c>
      <c r="F168" t="s">
        <v>553</v>
      </c>
      <c r="G168" t="s">
        <v>560</v>
      </c>
    </row>
    <row r="169" spans="1:7" x14ac:dyDescent="0.35">
      <c r="A169" t="s">
        <v>538</v>
      </c>
      <c r="B169" t="s">
        <v>583</v>
      </c>
      <c r="C169" t="s">
        <v>592</v>
      </c>
      <c r="D169">
        <v>23110590</v>
      </c>
      <c r="E169" t="s">
        <v>88</v>
      </c>
      <c r="F169" t="s">
        <v>553</v>
      </c>
      <c r="G169" t="s">
        <v>560</v>
      </c>
    </row>
    <row r="170" spans="1:7" x14ac:dyDescent="0.35">
      <c r="A170" t="s">
        <v>538</v>
      </c>
      <c r="B170" t="s">
        <v>583</v>
      </c>
      <c r="C170" t="s">
        <v>592</v>
      </c>
      <c r="D170">
        <v>23111028</v>
      </c>
      <c r="E170" t="s">
        <v>92</v>
      </c>
      <c r="F170" t="s">
        <v>553</v>
      </c>
      <c r="G170" t="s">
        <v>560</v>
      </c>
    </row>
    <row r="171" spans="1:7" x14ac:dyDescent="0.35">
      <c r="A171" t="s">
        <v>538</v>
      </c>
      <c r="B171" t="s">
        <v>583</v>
      </c>
      <c r="C171" t="s">
        <v>592</v>
      </c>
      <c r="D171">
        <v>23111037</v>
      </c>
      <c r="E171" t="s">
        <v>97</v>
      </c>
      <c r="F171" t="s">
        <v>553</v>
      </c>
      <c r="G171" t="s">
        <v>560</v>
      </c>
    </row>
    <row r="172" spans="1:7" x14ac:dyDescent="0.35">
      <c r="A172" t="s">
        <v>538</v>
      </c>
      <c r="B172" t="s">
        <v>593</v>
      </c>
      <c r="C172" t="s">
        <v>594</v>
      </c>
      <c r="D172">
        <v>23083450</v>
      </c>
      <c r="E172" t="s">
        <v>103</v>
      </c>
      <c r="F172" t="s">
        <v>580</v>
      </c>
      <c r="G172" t="s">
        <v>595</v>
      </c>
    </row>
    <row r="173" spans="1:7" x14ac:dyDescent="0.35">
      <c r="D173" s="10">
        <v>23110630</v>
      </c>
      <c r="E173" s="10" t="s">
        <v>596</v>
      </c>
      <c r="G173" t="s">
        <v>560</v>
      </c>
    </row>
    <row r="174" spans="1:7" x14ac:dyDescent="0.35">
      <c r="D174" s="10">
        <v>23110631</v>
      </c>
      <c r="E174" s="10" t="s">
        <v>118</v>
      </c>
      <c r="G174" t="s">
        <v>555</v>
      </c>
    </row>
    <row r="175" spans="1:7" x14ac:dyDescent="0.35">
      <c r="D175" s="10">
        <v>23110623</v>
      </c>
      <c r="E175" s="10" t="s">
        <v>124</v>
      </c>
      <c r="G175" t="s">
        <v>559</v>
      </c>
    </row>
    <row r="176" spans="1:7" x14ac:dyDescent="0.35">
      <c r="D176" s="10">
        <v>23110624</v>
      </c>
      <c r="E176" s="10" t="s">
        <v>125</v>
      </c>
      <c r="G176" t="s">
        <v>542</v>
      </c>
    </row>
    <row r="177" spans="4:7" x14ac:dyDescent="0.35">
      <c r="D177" s="10">
        <v>23088111</v>
      </c>
      <c r="E177" s="10" t="s">
        <v>597</v>
      </c>
      <c r="G177" t="s">
        <v>559</v>
      </c>
    </row>
    <row r="178" spans="4:7" x14ac:dyDescent="0.35">
      <c r="D178" s="10">
        <v>23074624</v>
      </c>
      <c r="E178" s="10" t="s">
        <v>129</v>
      </c>
      <c r="F178" s="10" t="s">
        <v>553</v>
      </c>
      <c r="G178" t="s">
        <v>381</v>
      </c>
    </row>
    <row r="179" spans="4:7" x14ac:dyDescent="0.35">
      <c r="D179" s="10">
        <v>23074625</v>
      </c>
      <c r="E179" s="10" t="s">
        <v>130</v>
      </c>
      <c r="F179" s="10" t="s">
        <v>553</v>
      </c>
      <c r="G179" t="s">
        <v>424</v>
      </c>
    </row>
    <row r="180" spans="4:7" x14ac:dyDescent="0.35">
      <c r="D180" s="10">
        <v>23074627</v>
      </c>
      <c r="E180" s="10" t="s">
        <v>132</v>
      </c>
      <c r="F180" s="10" t="s">
        <v>553</v>
      </c>
      <c r="G180" t="s">
        <v>482</v>
      </c>
    </row>
    <row r="181" spans="4:7" x14ac:dyDescent="0.35">
      <c r="D181" s="10">
        <v>23074626</v>
      </c>
      <c r="E181" s="10" t="s">
        <v>131</v>
      </c>
      <c r="F181" s="10" t="s">
        <v>553</v>
      </c>
      <c r="G181" t="s">
        <v>381</v>
      </c>
    </row>
    <row r="182" spans="4:7" x14ac:dyDescent="0.35">
      <c r="D182" s="10">
        <v>23087679</v>
      </c>
      <c r="E182" s="10" t="s">
        <v>128</v>
      </c>
      <c r="F182" s="10" t="s">
        <v>541</v>
      </c>
      <c r="G182" t="s">
        <v>381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EC3F-4762-4904-A900-D49583AC5DE3}">
  <sheetPr>
    <tabColor theme="9" tint="0.59999389629810485"/>
  </sheetPr>
  <dimension ref="A1:BN373"/>
  <sheetViews>
    <sheetView workbookViewId="0">
      <selection activeCell="O17" sqref="O17"/>
    </sheetView>
  </sheetViews>
  <sheetFormatPr defaultRowHeight="14.5" x14ac:dyDescent="0.35"/>
  <cols>
    <col min="3" max="4" width="10.453125" bestFit="1" customWidth="1"/>
  </cols>
  <sheetData>
    <row r="1" spans="1:66" x14ac:dyDescent="0.35">
      <c r="A1" s="36" t="s">
        <v>134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</row>
    <row r="2" spans="1:66" x14ac:dyDescent="0.35">
      <c r="A2" s="36" t="s">
        <v>135</v>
      </c>
      <c r="B2" s="36" t="s">
        <v>136</v>
      </c>
      <c r="C2" s="36" t="s">
        <v>137</v>
      </c>
      <c r="D2" s="36" t="s">
        <v>138</v>
      </c>
      <c r="E2" s="36" t="s">
        <v>139</v>
      </c>
      <c r="F2" s="36" t="s">
        <v>140</v>
      </c>
      <c r="G2" s="36" t="s">
        <v>0</v>
      </c>
      <c r="H2" s="36" t="s">
        <v>141</v>
      </c>
      <c r="I2" s="36" t="s">
        <v>142</v>
      </c>
      <c r="J2" s="36" t="s">
        <v>143</v>
      </c>
      <c r="K2" s="36" t="s">
        <v>144</v>
      </c>
      <c r="L2" s="36" t="s">
        <v>2</v>
      </c>
      <c r="M2" s="36" t="s">
        <v>145</v>
      </c>
      <c r="N2" s="36" t="s">
        <v>146</v>
      </c>
      <c r="O2" s="36" t="s">
        <v>147</v>
      </c>
      <c r="P2" s="36" t="s">
        <v>148</v>
      </c>
      <c r="Q2" s="36" t="s">
        <v>5</v>
      </c>
      <c r="R2" s="36" t="s">
        <v>149</v>
      </c>
      <c r="S2" s="36" t="s">
        <v>7</v>
      </c>
      <c r="T2" s="36" t="s">
        <v>9</v>
      </c>
      <c r="U2" s="36" t="s">
        <v>12</v>
      </c>
      <c r="V2" s="36" t="s">
        <v>13</v>
      </c>
      <c r="W2" s="36" t="s">
        <v>150</v>
      </c>
      <c r="X2" s="36" t="s">
        <v>151</v>
      </c>
      <c r="Y2" s="36" t="s">
        <v>152</v>
      </c>
      <c r="Z2" s="36" t="s">
        <v>153</v>
      </c>
      <c r="AA2" s="36" t="s">
        <v>154</v>
      </c>
      <c r="AB2" s="36" t="s">
        <v>155</v>
      </c>
      <c r="AC2" s="36" t="s">
        <v>156</v>
      </c>
      <c r="AD2" s="36" t="s">
        <v>157</v>
      </c>
      <c r="AE2" s="36" t="s">
        <v>158</v>
      </c>
      <c r="AF2" s="36" t="s">
        <v>159</v>
      </c>
      <c r="AG2" s="36" t="s">
        <v>160</v>
      </c>
      <c r="AH2" s="36" t="s">
        <v>161</v>
      </c>
      <c r="AI2" s="36" t="s">
        <v>162</v>
      </c>
      <c r="AJ2" s="36" t="s">
        <v>163</v>
      </c>
      <c r="AK2" s="36" t="s">
        <v>164</v>
      </c>
      <c r="AL2" s="36" t="s">
        <v>3</v>
      </c>
      <c r="AM2" s="36" t="s">
        <v>165</v>
      </c>
      <c r="AN2" s="36" t="s">
        <v>166</v>
      </c>
      <c r="AO2" s="36" t="s">
        <v>167</v>
      </c>
      <c r="AP2" s="36" t="s">
        <v>168</v>
      </c>
      <c r="AQ2" s="36" t="s">
        <v>169</v>
      </c>
      <c r="AR2" s="36" t="s">
        <v>170</v>
      </c>
      <c r="AS2" s="36" t="s">
        <v>171</v>
      </c>
      <c r="AT2" s="36" t="s">
        <v>172</v>
      </c>
      <c r="AU2" s="36" t="s">
        <v>173</v>
      </c>
      <c r="AV2" s="36" t="s">
        <v>174</v>
      </c>
      <c r="AW2" s="36" t="s">
        <v>175</v>
      </c>
      <c r="AX2" s="36" t="s">
        <v>176</v>
      </c>
      <c r="AY2" s="36" t="s">
        <v>177</v>
      </c>
      <c r="AZ2" s="36" t="s">
        <v>178</v>
      </c>
      <c r="BA2" s="36" t="s">
        <v>6</v>
      </c>
      <c r="BB2" s="36" t="s">
        <v>179</v>
      </c>
      <c r="BC2" s="36" t="s">
        <v>180</v>
      </c>
      <c r="BD2" s="36" t="s">
        <v>181</v>
      </c>
      <c r="BE2" s="36" t="s">
        <v>182</v>
      </c>
      <c r="BF2" s="36" t="s">
        <v>183</v>
      </c>
      <c r="BG2" s="36" t="s">
        <v>184</v>
      </c>
      <c r="BH2" s="36" t="s">
        <v>185</v>
      </c>
      <c r="BI2" s="36" t="s">
        <v>186</v>
      </c>
      <c r="BJ2" s="36" t="s">
        <v>187</v>
      </c>
      <c r="BK2" s="36" t="s">
        <v>188</v>
      </c>
      <c r="BL2" s="36" t="s">
        <v>189</v>
      </c>
      <c r="BM2" s="36" t="s">
        <v>190</v>
      </c>
      <c r="BN2" s="36" t="s">
        <v>191</v>
      </c>
    </row>
    <row r="3" spans="1:66" x14ac:dyDescent="0.35">
      <c r="A3" s="36"/>
      <c r="B3" s="36"/>
      <c r="C3" s="37">
        <v>244626</v>
      </c>
      <c r="D3" s="37">
        <v>244626</v>
      </c>
      <c r="E3" s="36"/>
      <c r="F3" s="36" t="s">
        <v>192</v>
      </c>
      <c r="G3" s="36" t="s">
        <v>1</v>
      </c>
      <c r="H3" s="36">
        <v>0</v>
      </c>
      <c r="I3" s="36" t="s">
        <v>193</v>
      </c>
      <c r="J3" s="36" t="s">
        <v>194</v>
      </c>
      <c r="K3" s="36" t="s">
        <v>195</v>
      </c>
      <c r="L3" s="36">
        <v>923</v>
      </c>
      <c r="M3" s="36"/>
      <c r="N3" s="36" t="s">
        <v>239</v>
      </c>
      <c r="O3" s="36" t="s">
        <v>240</v>
      </c>
      <c r="P3" s="36">
        <v>2</v>
      </c>
      <c r="Q3" s="36" t="s">
        <v>241</v>
      </c>
      <c r="R3" s="36" t="s">
        <v>598</v>
      </c>
      <c r="S3" s="37">
        <v>244626</v>
      </c>
      <c r="T3" s="36" t="s">
        <v>599</v>
      </c>
      <c r="U3" s="36">
        <v>23097795</v>
      </c>
      <c r="V3" s="36" t="s">
        <v>469</v>
      </c>
      <c r="W3" s="36">
        <v>10</v>
      </c>
      <c r="X3" s="36">
        <v>10</v>
      </c>
      <c r="Y3" s="36">
        <v>10</v>
      </c>
      <c r="Z3" s="36">
        <v>10</v>
      </c>
      <c r="AA3" s="36">
        <v>0</v>
      </c>
      <c r="AB3" s="36">
        <v>0</v>
      </c>
      <c r="AC3" s="36">
        <v>0</v>
      </c>
      <c r="AD3" s="36">
        <v>0</v>
      </c>
      <c r="AE3" s="36">
        <v>10</v>
      </c>
      <c r="AF3" s="36">
        <v>10</v>
      </c>
      <c r="AG3" s="36"/>
      <c r="AH3" s="36"/>
      <c r="AI3" s="36" t="s">
        <v>200</v>
      </c>
      <c r="AJ3" s="36" t="s">
        <v>201</v>
      </c>
      <c r="AK3" s="36" t="s">
        <v>202</v>
      </c>
      <c r="AL3" s="36" t="s">
        <v>203</v>
      </c>
      <c r="AM3" s="36" t="s">
        <v>204</v>
      </c>
      <c r="AN3" s="36" t="s">
        <v>222</v>
      </c>
      <c r="AO3" s="36" t="s">
        <v>206</v>
      </c>
      <c r="AP3" s="36">
        <v>2</v>
      </c>
      <c r="AQ3" s="36"/>
      <c r="AR3" s="36"/>
      <c r="AS3" s="36"/>
      <c r="AT3" s="36" t="s">
        <v>247</v>
      </c>
      <c r="AU3" s="36" t="s">
        <v>600</v>
      </c>
      <c r="AV3" s="36" t="s">
        <v>216</v>
      </c>
      <c r="AW3" s="36" t="s">
        <v>209</v>
      </c>
      <c r="AX3" s="36" t="s">
        <v>210</v>
      </c>
      <c r="AY3" s="36">
        <v>0</v>
      </c>
      <c r="AZ3" s="36" t="s">
        <v>211</v>
      </c>
      <c r="BA3" s="36">
        <v>9045088524599</v>
      </c>
      <c r="BB3" s="36"/>
      <c r="BC3" s="36"/>
      <c r="BD3" s="36">
        <v>1</v>
      </c>
      <c r="BE3" s="36"/>
      <c r="BF3" s="36"/>
      <c r="BG3" s="36">
        <v>1333314600</v>
      </c>
      <c r="BH3" s="36" t="s">
        <v>213</v>
      </c>
      <c r="BI3" s="36">
        <v>10</v>
      </c>
      <c r="BJ3" s="36">
        <v>10</v>
      </c>
      <c r="BK3" s="36">
        <v>1300</v>
      </c>
      <c r="BL3" s="36" t="s">
        <v>214</v>
      </c>
      <c r="BM3" s="36"/>
      <c r="BN3" s="36"/>
    </row>
    <row r="4" spans="1:66" x14ac:dyDescent="0.35">
      <c r="A4" s="36"/>
      <c r="B4" s="36"/>
      <c r="C4" s="37">
        <v>244626</v>
      </c>
      <c r="D4" s="37">
        <v>244626</v>
      </c>
      <c r="E4" s="36"/>
      <c r="F4" s="36" t="s">
        <v>192</v>
      </c>
      <c r="G4" s="36" t="s">
        <v>1</v>
      </c>
      <c r="H4" s="36">
        <v>0</v>
      </c>
      <c r="I4" s="36" t="s">
        <v>193</v>
      </c>
      <c r="J4" s="36" t="s">
        <v>194</v>
      </c>
      <c r="K4" s="36" t="s">
        <v>195</v>
      </c>
      <c r="L4" s="36">
        <v>923</v>
      </c>
      <c r="M4" s="36"/>
      <c r="N4" s="36" t="s">
        <v>239</v>
      </c>
      <c r="O4" s="36" t="s">
        <v>240</v>
      </c>
      <c r="P4" s="36">
        <v>2</v>
      </c>
      <c r="Q4" s="36" t="s">
        <v>241</v>
      </c>
      <c r="R4" s="36" t="s">
        <v>598</v>
      </c>
      <c r="S4" s="37">
        <v>244626</v>
      </c>
      <c r="T4" s="36" t="s">
        <v>599</v>
      </c>
      <c r="U4" s="36">
        <v>23097787</v>
      </c>
      <c r="V4" s="36" t="s">
        <v>60</v>
      </c>
      <c r="W4" s="36">
        <v>0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/>
      <c r="AH4" s="36"/>
      <c r="AI4" s="36" t="s">
        <v>200</v>
      </c>
      <c r="AJ4" s="36" t="s">
        <v>201</v>
      </c>
      <c r="AK4" s="36" t="s">
        <v>215</v>
      </c>
      <c r="AL4" s="36" t="s">
        <v>203</v>
      </c>
      <c r="AM4" s="36" t="s">
        <v>204</v>
      </c>
      <c r="AN4" s="36" t="s">
        <v>222</v>
      </c>
      <c r="AO4" s="36" t="s">
        <v>206</v>
      </c>
      <c r="AP4" s="36">
        <v>2</v>
      </c>
      <c r="AQ4" s="36"/>
      <c r="AR4" s="36"/>
      <c r="AS4" s="36"/>
      <c r="AT4" s="36" t="s">
        <v>247</v>
      </c>
      <c r="AU4" s="36" t="s">
        <v>600</v>
      </c>
      <c r="AV4" s="36" t="s">
        <v>216</v>
      </c>
      <c r="AW4" s="36" t="s">
        <v>209</v>
      </c>
      <c r="AX4" s="36" t="s">
        <v>210</v>
      </c>
      <c r="AY4" s="36">
        <v>0</v>
      </c>
      <c r="AZ4" s="36" t="s">
        <v>211</v>
      </c>
      <c r="BA4" s="36">
        <v>9045088524599</v>
      </c>
      <c r="BB4" s="36"/>
      <c r="BC4" s="36"/>
      <c r="BD4" s="36">
        <v>1</v>
      </c>
      <c r="BE4" s="36"/>
      <c r="BF4" s="36"/>
      <c r="BG4" s="36">
        <v>1333314600</v>
      </c>
      <c r="BH4" s="36" t="s">
        <v>213</v>
      </c>
      <c r="BI4" s="36">
        <v>0</v>
      </c>
      <c r="BJ4" s="36">
        <v>0</v>
      </c>
      <c r="BK4" s="36">
        <v>1300</v>
      </c>
      <c r="BL4" s="36" t="s">
        <v>214</v>
      </c>
      <c r="BM4" s="36"/>
      <c r="BN4" s="36"/>
    </row>
    <row r="5" spans="1:66" x14ac:dyDescent="0.35">
      <c r="A5" s="36"/>
      <c r="B5" s="36"/>
      <c r="C5" s="37">
        <v>244626</v>
      </c>
      <c r="D5" s="37">
        <v>244626</v>
      </c>
      <c r="E5" s="36"/>
      <c r="F5" s="36" t="s">
        <v>192</v>
      </c>
      <c r="G5" s="36" t="s">
        <v>1</v>
      </c>
      <c r="H5" s="36">
        <v>0</v>
      </c>
      <c r="I5" s="36" t="s">
        <v>193</v>
      </c>
      <c r="J5" s="36" t="s">
        <v>194</v>
      </c>
      <c r="K5" s="36" t="s">
        <v>195</v>
      </c>
      <c r="L5" s="36">
        <v>923</v>
      </c>
      <c r="M5" s="36"/>
      <c r="N5" s="36" t="s">
        <v>239</v>
      </c>
      <c r="O5" s="36" t="s">
        <v>240</v>
      </c>
      <c r="P5" s="36">
        <v>2</v>
      </c>
      <c r="Q5" s="36" t="s">
        <v>241</v>
      </c>
      <c r="R5" s="36" t="s">
        <v>598</v>
      </c>
      <c r="S5" s="37">
        <v>244626</v>
      </c>
      <c r="T5" s="36" t="s">
        <v>599</v>
      </c>
      <c r="U5" s="36">
        <v>23097791</v>
      </c>
      <c r="V5" s="36" t="s">
        <v>64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/>
      <c r="AH5" s="36"/>
      <c r="AI5" s="36" t="s">
        <v>200</v>
      </c>
      <c r="AJ5" s="36" t="s">
        <v>201</v>
      </c>
      <c r="AK5" s="36" t="s">
        <v>202</v>
      </c>
      <c r="AL5" s="36" t="s">
        <v>203</v>
      </c>
      <c r="AM5" s="36" t="s">
        <v>204</v>
      </c>
      <c r="AN5" s="36" t="s">
        <v>222</v>
      </c>
      <c r="AO5" s="36" t="s">
        <v>206</v>
      </c>
      <c r="AP5" s="36">
        <v>2</v>
      </c>
      <c r="AQ5" s="36"/>
      <c r="AR5" s="36"/>
      <c r="AS5" s="36"/>
      <c r="AT5" s="36" t="s">
        <v>247</v>
      </c>
      <c r="AU5" s="36" t="s">
        <v>600</v>
      </c>
      <c r="AV5" s="36" t="s">
        <v>216</v>
      </c>
      <c r="AW5" s="36" t="s">
        <v>209</v>
      </c>
      <c r="AX5" s="36" t="s">
        <v>210</v>
      </c>
      <c r="AY5" s="36">
        <v>0</v>
      </c>
      <c r="AZ5" s="36" t="s">
        <v>211</v>
      </c>
      <c r="BA5" s="36">
        <v>9045088524599</v>
      </c>
      <c r="BB5" s="36"/>
      <c r="BC5" s="36"/>
      <c r="BD5" s="36">
        <v>1</v>
      </c>
      <c r="BE5" s="36"/>
      <c r="BF5" s="36"/>
      <c r="BG5" s="36">
        <v>1333314600</v>
      </c>
      <c r="BH5" s="36" t="s">
        <v>213</v>
      </c>
      <c r="BI5" s="36">
        <v>0</v>
      </c>
      <c r="BJ5" s="36">
        <v>0</v>
      </c>
      <c r="BK5" s="36">
        <v>1300</v>
      </c>
      <c r="BL5" s="36" t="s">
        <v>214</v>
      </c>
      <c r="BM5" s="36"/>
      <c r="BN5" s="36"/>
    </row>
    <row r="6" spans="1:66" x14ac:dyDescent="0.35">
      <c r="A6" s="36"/>
      <c r="B6" s="36"/>
      <c r="C6" s="37">
        <v>244626</v>
      </c>
      <c r="D6" s="37">
        <v>244626</v>
      </c>
      <c r="E6" s="36"/>
      <c r="F6" s="36" t="s">
        <v>192</v>
      </c>
      <c r="G6" s="36" t="s">
        <v>1</v>
      </c>
      <c r="H6" s="36">
        <v>0</v>
      </c>
      <c r="I6" s="36" t="s">
        <v>193</v>
      </c>
      <c r="J6" s="36" t="s">
        <v>194</v>
      </c>
      <c r="K6" s="36" t="s">
        <v>195</v>
      </c>
      <c r="L6" s="36">
        <v>923</v>
      </c>
      <c r="M6" s="36"/>
      <c r="N6" s="36" t="s">
        <v>239</v>
      </c>
      <c r="O6" s="36" t="s">
        <v>240</v>
      </c>
      <c r="P6" s="36">
        <v>2</v>
      </c>
      <c r="Q6" s="36" t="s">
        <v>241</v>
      </c>
      <c r="R6" s="36" t="s">
        <v>598</v>
      </c>
      <c r="S6" s="37">
        <v>244626</v>
      </c>
      <c r="T6" s="36" t="s">
        <v>599</v>
      </c>
      <c r="U6" s="36">
        <v>23097796</v>
      </c>
      <c r="V6" s="36" t="s">
        <v>67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/>
      <c r="AH6" s="36"/>
      <c r="AI6" s="36" t="s">
        <v>200</v>
      </c>
      <c r="AJ6" s="36" t="s">
        <v>201</v>
      </c>
      <c r="AK6" s="36" t="s">
        <v>202</v>
      </c>
      <c r="AL6" s="36" t="s">
        <v>203</v>
      </c>
      <c r="AM6" s="36" t="s">
        <v>204</v>
      </c>
      <c r="AN6" s="36" t="s">
        <v>222</v>
      </c>
      <c r="AO6" s="36" t="s">
        <v>206</v>
      </c>
      <c r="AP6" s="36">
        <v>2</v>
      </c>
      <c r="AQ6" s="36"/>
      <c r="AR6" s="36"/>
      <c r="AS6" s="36"/>
      <c r="AT6" s="36" t="s">
        <v>247</v>
      </c>
      <c r="AU6" s="36" t="s">
        <v>600</v>
      </c>
      <c r="AV6" s="36" t="s">
        <v>216</v>
      </c>
      <c r="AW6" s="36" t="s">
        <v>209</v>
      </c>
      <c r="AX6" s="36" t="s">
        <v>210</v>
      </c>
      <c r="AY6" s="36">
        <v>0</v>
      </c>
      <c r="AZ6" s="36" t="s">
        <v>211</v>
      </c>
      <c r="BA6" s="36">
        <v>9045088524599</v>
      </c>
      <c r="BB6" s="36"/>
      <c r="BC6" s="36"/>
      <c r="BD6" s="36">
        <v>1</v>
      </c>
      <c r="BE6" s="36"/>
      <c r="BF6" s="36"/>
      <c r="BG6" s="36">
        <v>1333314600</v>
      </c>
      <c r="BH6" s="36" t="s">
        <v>213</v>
      </c>
      <c r="BI6" s="36">
        <v>0</v>
      </c>
      <c r="BJ6" s="36">
        <v>0</v>
      </c>
      <c r="BK6" s="36">
        <v>1300</v>
      </c>
      <c r="BL6" s="36" t="s">
        <v>214</v>
      </c>
      <c r="BM6" s="36"/>
      <c r="BN6" s="36"/>
    </row>
    <row r="7" spans="1:66" x14ac:dyDescent="0.35">
      <c r="A7" s="36"/>
      <c r="B7" s="36"/>
      <c r="C7" s="37">
        <v>244626</v>
      </c>
      <c r="D7" s="37">
        <v>244626</v>
      </c>
      <c r="E7" s="36"/>
      <c r="F7" s="36" t="s">
        <v>192</v>
      </c>
      <c r="G7" s="36" t="s">
        <v>1</v>
      </c>
      <c r="H7" s="36">
        <v>0</v>
      </c>
      <c r="I7" s="36" t="s">
        <v>193</v>
      </c>
      <c r="J7" s="36" t="s">
        <v>194</v>
      </c>
      <c r="K7" s="36" t="s">
        <v>195</v>
      </c>
      <c r="L7" s="36">
        <v>923</v>
      </c>
      <c r="M7" s="36"/>
      <c r="N7" s="36" t="s">
        <v>239</v>
      </c>
      <c r="O7" s="36" t="s">
        <v>240</v>
      </c>
      <c r="P7" s="36">
        <v>2</v>
      </c>
      <c r="Q7" s="36" t="s">
        <v>241</v>
      </c>
      <c r="R7" s="36" t="s">
        <v>598</v>
      </c>
      <c r="S7" s="37">
        <v>244626</v>
      </c>
      <c r="T7" s="36" t="s">
        <v>599</v>
      </c>
      <c r="U7" s="36">
        <v>23097785</v>
      </c>
      <c r="V7" s="36" t="s">
        <v>343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/>
      <c r="AH7" s="36"/>
      <c r="AI7" s="36" t="s">
        <v>200</v>
      </c>
      <c r="AJ7" s="36" t="s">
        <v>201</v>
      </c>
      <c r="AK7" s="36" t="s">
        <v>202</v>
      </c>
      <c r="AL7" s="36" t="s">
        <v>203</v>
      </c>
      <c r="AM7" s="36" t="s">
        <v>204</v>
      </c>
      <c r="AN7" s="36" t="s">
        <v>222</v>
      </c>
      <c r="AO7" s="36" t="s">
        <v>206</v>
      </c>
      <c r="AP7" s="36">
        <v>2</v>
      </c>
      <c r="AQ7" s="36"/>
      <c r="AR7" s="36"/>
      <c r="AS7" s="36"/>
      <c r="AT7" s="36" t="s">
        <v>247</v>
      </c>
      <c r="AU7" s="36" t="s">
        <v>600</v>
      </c>
      <c r="AV7" s="36" t="s">
        <v>216</v>
      </c>
      <c r="AW7" s="36" t="s">
        <v>209</v>
      </c>
      <c r="AX7" s="36" t="s">
        <v>210</v>
      </c>
      <c r="AY7" s="36">
        <v>0</v>
      </c>
      <c r="AZ7" s="36" t="s">
        <v>211</v>
      </c>
      <c r="BA7" s="36">
        <v>9045088524599</v>
      </c>
      <c r="BB7" s="36"/>
      <c r="BC7" s="36"/>
      <c r="BD7" s="36">
        <v>1</v>
      </c>
      <c r="BE7" s="36"/>
      <c r="BF7" s="36"/>
      <c r="BG7" s="36">
        <v>1333314600</v>
      </c>
      <c r="BH7" s="36" t="s">
        <v>213</v>
      </c>
      <c r="BI7" s="36">
        <v>0</v>
      </c>
      <c r="BJ7" s="36">
        <v>0</v>
      </c>
      <c r="BK7" s="36">
        <v>1300</v>
      </c>
      <c r="BL7" s="36" t="s">
        <v>214</v>
      </c>
      <c r="BM7" s="36"/>
      <c r="BN7" s="36"/>
    </row>
    <row r="8" spans="1:66" x14ac:dyDescent="0.35">
      <c r="A8" s="36"/>
      <c r="B8" s="36"/>
      <c r="C8" s="37">
        <v>244626</v>
      </c>
      <c r="D8" s="37">
        <v>244626</v>
      </c>
      <c r="E8" s="36"/>
      <c r="F8" s="36" t="s">
        <v>192</v>
      </c>
      <c r="G8" s="36" t="s">
        <v>1</v>
      </c>
      <c r="H8" s="36">
        <v>0</v>
      </c>
      <c r="I8" s="36" t="s">
        <v>193</v>
      </c>
      <c r="J8" s="36" t="s">
        <v>194</v>
      </c>
      <c r="K8" s="36" t="s">
        <v>195</v>
      </c>
      <c r="L8" s="36">
        <v>923</v>
      </c>
      <c r="M8" s="36"/>
      <c r="N8" s="36" t="s">
        <v>239</v>
      </c>
      <c r="O8" s="36" t="s">
        <v>240</v>
      </c>
      <c r="P8" s="36">
        <v>2</v>
      </c>
      <c r="Q8" s="36" t="s">
        <v>241</v>
      </c>
      <c r="R8" s="36" t="s">
        <v>598</v>
      </c>
      <c r="S8" s="37">
        <v>244626</v>
      </c>
      <c r="T8" s="36" t="s">
        <v>599</v>
      </c>
      <c r="U8" s="36">
        <v>23097790</v>
      </c>
      <c r="V8" s="36" t="s">
        <v>63</v>
      </c>
      <c r="W8" s="36">
        <v>10</v>
      </c>
      <c r="X8" s="36">
        <v>10</v>
      </c>
      <c r="Y8" s="36">
        <v>10</v>
      </c>
      <c r="Z8" s="36">
        <v>10</v>
      </c>
      <c r="AA8" s="36">
        <v>0</v>
      </c>
      <c r="AB8" s="36">
        <v>0</v>
      </c>
      <c r="AC8" s="36">
        <v>0</v>
      </c>
      <c r="AD8" s="36">
        <v>0</v>
      </c>
      <c r="AE8" s="36">
        <v>10</v>
      </c>
      <c r="AF8" s="36">
        <v>10</v>
      </c>
      <c r="AG8" s="36"/>
      <c r="AH8" s="36"/>
      <c r="AI8" s="36" t="s">
        <v>200</v>
      </c>
      <c r="AJ8" s="36" t="s">
        <v>201</v>
      </c>
      <c r="AK8" s="36" t="s">
        <v>202</v>
      </c>
      <c r="AL8" s="36" t="s">
        <v>203</v>
      </c>
      <c r="AM8" s="36" t="s">
        <v>204</v>
      </c>
      <c r="AN8" s="36" t="s">
        <v>222</v>
      </c>
      <c r="AO8" s="36" t="s">
        <v>206</v>
      </c>
      <c r="AP8" s="36">
        <v>2</v>
      </c>
      <c r="AQ8" s="36"/>
      <c r="AR8" s="36"/>
      <c r="AS8" s="36"/>
      <c r="AT8" s="36" t="s">
        <v>247</v>
      </c>
      <c r="AU8" s="36" t="s">
        <v>600</v>
      </c>
      <c r="AV8" s="36" t="s">
        <v>216</v>
      </c>
      <c r="AW8" s="36" t="s">
        <v>209</v>
      </c>
      <c r="AX8" s="36" t="s">
        <v>210</v>
      </c>
      <c r="AY8" s="36">
        <v>0</v>
      </c>
      <c r="AZ8" s="36" t="s">
        <v>211</v>
      </c>
      <c r="BA8" s="36">
        <v>9045088524599</v>
      </c>
      <c r="BB8" s="36"/>
      <c r="BC8" s="36"/>
      <c r="BD8" s="36">
        <v>1</v>
      </c>
      <c r="BE8" s="36"/>
      <c r="BF8" s="36"/>
      <c r="BG8" s="36">
        <v>1333314600</v>
      </c>
      <c r="BH8" s="36" t="s">
        <v>213</v>
      </c>
      <c r="BI8" s="36">
        <v>10</v>
      </c>
      <c r="BJ8" s="36">
        <v>10</v>
      </c>
      <c r="BK8" s="36">
        <v>1300</v>
      </c>
      <c r="BL8" s="36" t="s">
        <v>214</v>
      </c>
      <c r="BM8" s="36"/>
      <c r="BN8" s="36"/>
    </row>
    <row r="9" spans="1:66" x14ac:dyDescent="0.35">
      <c r="A9" s="36"/>
      <c r="B9" s="36"/>
      <c r="C9" s="37">
        <v>244626</v>
      </c>
      <c r="D9" s="37">
        <v>244626</v>
      </c>
      <c r="E9" s="36"/>
      <c r="F9" s="36" t="s">
        <v>192</v>
      </c>
      <c r="G9" s="36" t="s">
        <v>1</v>
      </c>
      <c r="H9" s="36">
        <v>0</v>
      </c>
      <c r="I9" s="36" t="s">
        <v>193</v>
      </c>
      <c r="J9" s="36" t="s">
        <v>194</v>
      </c>
      <c r="K9" s="36" t="s">
        <v>195</v>
      </c>
      <c r="L9" s="36">
        <v>923</v>
      </c>
      <c r="M9" s="36"/>
      <c r="N9" s="36" t="s">
        <v>239</v>
      </c>
      <c r="O9" s="36" t="s">
        <v>240</v>
      </c>
      <c r="P9" s="36">
        <v>2</v>
      </c>
      <c r="Q9" s="36" t="s">
        <v>241</v>
      </c>
      <c r="R9" s="36" t="s">
        <v>598</v>
      </c>
      <c r="S9" s="37">
        <v>244626</v>
      </c>
      <c r="T9" s="36" t="s">
        <v>599</v>
      </c>
      <c r="U9" s="36">
        <v>23097794</v>
      </c>
      <c r="V9" s="36" t="s">
        <v>467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/>
      <c r="AH9" s="36"/>
      <c r="AI9" s="36" t="s">
        <v>200</v>
      </c>
      <c r="AJ9" s="36" t="s">
        <v>201</v>
      </c>
      <c r="AK9" s="36" t="s">
        <v>202</v>
      </c>
      <c r="AL9" s="36" t="s">
        <v>203</v>
      </c>
      <c r="AM9" s="36" t="s">
        <v>204</v>
      </c>
      <c r="AN9" s="36" t="s">
        <v>222</v>
      </c>
      <c r="AO9" s="36" t="s">
        <v>206</v>
      </c>
      <c r="AP9" s="36">
        <v>2</v>
      </c>
      <c r="AQ9" s="36"/>
      <c r="AR9" s="36"/>
      <c r="AS9" s="36"/>
      <c r="AT9" s="36" t="s">
        <v>247</v>
      </c>
      <c r="AU9" s="36" t="s">
        <v>600</v>
      </c>
      <c r="AV9" s="36" t="s">
        <v>216</v>
      </c>
      <c r="AW9" s="36" t="s">
        <v>209</v>
      </c>
      <c r="AX9" s="36" t="s">
        <v>210</v>
      </c>
      <c r="AY9" s="36">
        <v>0</v>
      </c>
      <c r="AZ9" s="36" t="s">
        <v>211</v>
      </c>
      <c r="BA9" s="36">
        <v>9045088524599</v>
      </c>
      <c r="BB9" s="36"/>
      <c r="BC9" s="36"/>
      <c r="BD9" s="36">
        <v>1</v>
      </c>
      <c r="BE9" s="36"/>
      <c r="BF9" s="36"/>
      <c r="BG9" s="36">
        <v>1333314600</v>
      </c>
      <c r="BH9" s="36" t="s">
        <v>213</v>
      </c>
      <c r="BI9" s="36">
        <v>0</v>
      </c>
      <c r="BJ9" s="36">
        <v>0</v>
      </c>
      <c r="BK9" s="36">
        <v>1300</v>
      </c>
      <c r="BL9" s="36" t="s">
        <v>214</v>
      </c>
      <c r="BM9" s="36"/>
      <c r="BN9" s="36"/>
    </row>
    <row r="10" spans="1:66" x14ac:dyDescent="0.35">
      <c r="A10" s="36"/>
      <c r="B10" s="36"/>
      <c r="C10" s="37">
        <v>244626</v>
      </c>
      <c r="D10" s="37">
        <v>244626</v>
      </c>
      <c r="E10" s="36"/>
      <c r="F10" s="36" t="s">
        <v>192</v>
      </c>
      <c r="G10" s="36" t="s">
        <v>1</v>
      </c>
      <c r="H10" s="36">
        <v>0</v>
      </c>
      <c r="I10" s="36" t="s">
        <v>193</v>
      </c>
      <c r="J10" s="36" t="s">
        <v>194</v>
      </c>
      <c r="K10" s="36" t="s">
        <v>195</v>
      </c>
      <c r="L10" s="36">
        <v>923</v>
      </c>
      <c r="M10" s="36"/>
      <c r="N10" s="36" t="s">
        <v>239</v>
      </c>
      <c r="O10" s="36" t="s">
        <v>240</v>
      </c>
      <c r="P10" s="36">
        <v>2</v>
      </c>
      <c r="Q10" s="36" t="s">
        <v>241</v>
      </c>
      <c r="R10" s="36" t="s">
        <v>598</v>
      </c>
      <c r="S10" s="37">
        <v>244626</v>
      </c>
      <c r="T10" s="36" t="s">
        <v>599</v>
      </c>
      <c r="U10" s="36">
        <v>23025326</v>
      </c>
      <c r="V10" s="36" t="s">
        <v>518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/>
      <c r="AH10" s="36"/>
      <c r="AI10" s="36" t="s">
        <v>200</v>
      </c>
      <c r="AJ10" s="36" t="s">
        <v>201</v>
      </c>
      <c r="AK10" s="36" t="s">
        <v>202</v>
      </c>
      <c r="AL10" s="36" t="s">
        <v>246</v>
      </c>
      <c r="AM10" s="36" t="s">
        <v>204</v>
      </c>
      <c r="AN10" s="36" t="s">
        <v>222</v>
      </c>
      <c r="AO10" s="36" t="s">
        <v>206</v>
      </c>
      <c r="AP10" s="36">
        <v>2</v>
      </c>
      <c r="AQ10" s="36"/>
      <c r="AR10" s="36"/>
      <c r="AS10" s="36"/>
      <c r="AT10" s="36" t="s">
        <v>247</v>
      </c>
      <c r="AU10" s="36" t="s">
        <v>600</v>
      </c>
      <c r="AV10" s="36" t="s">
        <v>249</v>
      </c>
      <c r="AW10" s="36" t="s">
        <v>209</v>
      </c>
      <c r="AX10" s="36" t="s">
        <v>210</v>
      </c>
      <c r="AY10" s="36">
        <v>0</v>
      </c>
      <c r="AZ10" s="36" t="s">
        <v>211</v>
      </c>
      <c r="BA10" s="36">
        <v>9045088524599</v>
      </c>
      <c r="BB10" s="36"/>
      <c r="BC10" s="36"/>
      <c r="BD10" s="36">
        <v>1</v>
      </c>
      <c r="BE10" s="36"/>
      <c r="BF10" s="36"/>
      <c r="BG10" s="36">
        <v>1333314600</v>
      </c>
      <c r="BH10" s="36" t="s">
        <v>213</v>
      </c>
      <c r="BI10" s="36">
        <v>0</v>
      </c>
      <c r="BJ10" s="36">
        <v>0</v>
      </c>
      <c r="BK10" s="36">
        <v>1300</v>
      </c>
      <c r="BL10" s="36" t="s">
        <v>214</v>
      </c>
      <c r="BM10" s="36"/>
      <c r="BN10" s="36"/>
    </row>
    <row r="11" spans="1:66" x14ac:dyDescent="0.35">
      <c r="A11" s="36"/>
      <c r="B11" s="36"/>
      <c r="C11" s="37">
        <v>244626</v>
      </c>
      <c r="D11" s="37">
        <v>244626</v>
      </c>
      <c r="E11" s="36"/>
      <c r="F11" s="36" t="s">
        <v>192</v>
      </c>
      <c r="G11" s="36" t="s">
        <v>1</v>
      </c>
      <c r="H11" s="36">
        <v>0</v>
      </c>
      <c r="I11" s="36" t="s">
        <v>193</v>
      </c>
      <c r="J11" s="36" t="s">
        <v>194</v>
      </c>
      <c r="K11" s="36" t="s">
        <v>195</v>
      </c>
      <c r="L11" s="36">
        <v>923</v>
      </c>
      <c r="M11" s="36"/>
      <c r="N11" s="36" t="s">
        <v>239</v>
      </c>
      <c r="O11" s="36" t="s">
        <v>240</v>
      </c>
      <c r="P11" s="36">
        <v>2</v>
      </c>
      <c r="Q11" s="36" t="s">
        <v>241</v>
      </c>
      <c r="R11" s="36" t="s">
        <v>598</v>
      </c>
      <c r="S11" s="37">
        <v>244626</v>
      </c>
      <c r="T11" s="36" t="s">
        <v>599</v>
      </c>
      <c r="U11" s="36">
        <v>23074622</v>
      </c>
      <c r="V11" s="36" t="s">
        <v>350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/>
      <c r="AH11" s="36"/>
      <c r="AI11" s="36" t="s">
        <v>200</v>
      </c>
      <c r="AJ11" s="36" t="s">
        <v>201</v>
      </c>
      <c r="AK11" s="36" t="s">
        <v>202</v>
      </c>
      <c r="AL11" s="36" t="s">
        <v>203</v>
      </c>
      <c r="AM11" s="36" t="s">
        <v>204</v>
      </c>
      <c r="AN11" s="36" t="s">
        <v>222</v>
      </c>
      <c r="AO11" s="36" t="s">
        <v>206</v>
      </c>
      <c r="AP11" s="36">
        <v>2</v>
      </c>
      <c r="AQ11" s="36"/>
      <c r="AR11" s="36"/>
      <c r="AS11" s="36"/>
      <c r="AT11" s="36" t="s">
        <v>247</v>
      </c>
      <c r="AU11" s="36" t="s">
        <v>600</v>
      </c>
      <c r="AV11" s="36" t="s">
        <v>209</v>
      </c>
      <c r="AW11" s="36" t="s">
        <v>209</v>
      </c>
      <c r="AX11" s="36" t="s">
        <v>210</v>
      </c>
      <c r="AY11" s="36">
        <v>0</v>
      </c>
      <c r="AZ11" s="36" t="s">
        <v>211</v>
      </c>
      <c r="BA11" s="36">
        <v>9045088524599</v>
      </c>
      <c r="BB11" s="36"/>
      <c r="BC11" s="36"/>
      <c r="BD11" s="36">
        <v>1</v>
      </c>
      <c r="BE11" s="36"/>
      <c r="BF11" s="36"/>
      <c r="BG11" s="36">
        <v>1333314600</v>
      </c>
      <c r="BH11" s="36" t="s">
        <v>213</v>
      </c>
      <c r="BI11" s="36">
        <v>0</v>
      </c>
      <c r="BJ11" s="36">
        <v>0</v>
      </c>
      <c r="BK11" s="36">
        <v>1300</v>
      </c>
      <c r="BL11" s="36" t="s">
        <v>214</v>
      </c>
      <c r="BM11" s="36"/>
      <c r="BN11" s="36"/>
    </row>
    <row r="12" spans="1:66" x14ac:dyDescent="0.35">
      <c r="A12" s="36"/>
      <c r="B12" s="36"/>
      <c r="C12" s="37">
        <v>244626</v>
      </c>
      <c r="D12" s="37">
        <v>244626</v>
      </c>
      <c r="E12" s="36"/>
      <c r="F12" s="36" t="s">
        <v>192</v>
      </c>
      <c r="G12" s="36" t="s">
        <v>1</v>
      </c>
      <c r="H12" s="36">
        <v>0</v>
      </c>
      <c r="I12" s="36" t="s">
        <v>193</v>
      </c>
      <c r="J12" s="36" t="s">
        <v>194</v>
      </c>
      <c r="K12" s="36" t="s">
        <v>195</v>
      </c>
      <c r="L12" s="36">
        <v>923</v>
      </c>
      <c r="M12" s="36"/>
      <c r="N12" s="36" t="s">
        <v>239</v>
      </c>
      <c r="O12" s="36" t="s">
        <v>240</v>
      </c>
      <c r="P12" s="36">
        <v>2</v>
      </c>
      <c r="Q12" s="36" t="s">
        <v>241</v>
      </c>
      <c r="R12" s="36" t="s">
        <v>598</v>
      </c>
      <c r="S12" s="37">
        <v>244626</v>
      </c>
      <c r="T12" s="36" t="s">
        <v>599</v>
      </c>
      <c r="U12" s="36">
        <v>23111028</v>
      </c>
      <c r="V12" s="36" t="s">
        <v>92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/>
      <c r="AH12" s="36"/>
      <c r="AI12" s="36" t="s">
        <v>200</v>
      </c>
      <c r="AJ12" s="36" t="s">
        <v>201</v>
      </c>
      <c r="AK12" s="36" t="s">
        <v>202</v>
      </c>
      <c r="AL12" s="36" t="s">
        <v>225</v>
      </c>
      <c r="AM12" s="36" t="s">
        <v>204</v>
      </c>
      <c r="AN12" s="36" t="s">
        <v>222</v>
      </c>
      <c r="AO12" s="36" t="s">
        <v>206</v>
      </c>
      <c r="AP12" s="36">
        <v>2</v>
      </c>
      <c r="AQ12" s="36"/>
      <c r="AR12" s="36"/>
      <c r="AS12" s="36"/>
      <c r="AT12" s="36" t="s">
        <v>247</v>
      </c>
      <c r="AU12" s="36" t="s">
        <v>600</v>
      </c>
      <c r="AV12" s="36" t="s">
        <v>216</v>
      </c>
      <c r="AW12" s="36" t="s">
        <v>209</v>
      </c>
      <c r="AX12" s="36" t="s">
        <v>210</v>
      </c>
      <c r="AY12" s="36">
        <v>0</v>
      </c>
      <c r="AZ12" s="36" t="s">
        <v>211</v>
      </c>
      <c r="BA12" s="36">
        <v>9045088524599</v>
      </c>
      <c r="BB12" s="36"/>
      <c r="BC12" s="36"/>
      <c r="BD12" s="36">
        <v>1</v>
      </c>
      <c r="BE12" s="36"/>
      <c r="BF12" s="36"/>
      <c r="BG12" s="36">
        <v>1333314600</v>
      </c>
      <c r="BH12" s="36" t="s">
        <v>213</v>
      </c>
      <c r="BI12" s="36">
        <v>0</v>
      </c>
      <c r="BJ12" s="36">
        <v>0</v>
      </c>
      <c r="BK12" s="36">
        <v>1300</v>
      </c>
      <c r="BL12" s="36" t="s">
        <v>214</v>
      </c>
      <c r="BM12" s="36"/>
      <c r="BN12" s="36"/>
    </row>
    <row r="13" spans="1:66" x14ac:dyDescent="0.35">
      <c r="A13" s="36"/>
      <c r="B13" s="36"/>
      <c r="C13" s="37">
        <v>244626</v>
      </c>
      <c r="D13" s="37">
        <v>244626</v>
      </c>
      <c r="E13" s="36"/>
      <c r="F13" s="36" t="s">
        <v>192</v>
      </c>
      <c r="G13" s="36" t="s">
        <v>1</v>
      </c>
      <c r="H13" s="36">
        <v>0</v>
      </c>
      <c r="I13" s="36" t="s">
        <v>193</v>
      </c>
      <c r="J13" s="36" t="s">
        <v>194</v>
      </c>
      <c r="K13" s="36" t="s">
        <v>195</v>
      </c>
      <c r="L13" s="36">
        <v>923</v>
      </c>
      <c r="M13" s="36"/>
      <c r="N13" s="36" t="s">
        <v>239</v>
      </c>
      <c r="O13" s="36" t="s">
        <v>240</v>
      </c>
      <c r="P13" s="36">
        <v>2</v>
      </c>
      <c r="Q13" s="36" t="s">
        <v>241</v>
      </c>
      <c r="R13" s="36" t="s">
        <v>598</v>
      </c>
      <c r="S13" s="37">
        <v>244626</v>
      </c>
      <c r="T13" s="36" t="s">
        <v>599</v>
      </c>
      <c r="U13" s="36">
        <v>23111034</v>
      </c>
      <c r="V13" s="36" t="s">
        <v>94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/>
      <c r="AH13" s="36"/>
      <c r="AI13" s="36" t="s">
        <v>200</v>
      </c>
      <c r="AJ13" s="36" t="s">
        <v>201</v>
      </c>
      <c r="AK13" s="36" t="s">
        <v>202</v>
      </c>
      <c r="AL13" s="36" t="s">
        <v>225</v>
      </c>
      <c r="AM13" s="36" t="s">
        <v>204</v>
      </c>
      <c r="AN13" s="36" t="s">
        <v>222</v>
      </c>
      <c r="AO13" s="36" t="s">
        <v>206</v>
      </c>
      <c r="AP13" s="36">
        <v>2</v>
      </c>
      <c r="AQ13" s="36"/>
      <c r="AR13" s="36"/>
      <c r="AS13" s="36"/>
      <c r="AT13" s="36" t="s">
        <v>247</v>
      </c>
      <c r="AU13" s="36" t="s">
        <v>600</v>
      </c>
      <c r="AV13" s="36" t="s">
        <v>216</v>
      </c>
      <c r="AW13" s="36" t="s">
        <v>209</v>
      </c>
      <c r="AX13" s="36" t="s">
        <v>210</v>
      </c>
      <c r="AY13" s="36">
        <v>0</v>
      </c>
      <c r="AZ13" s="36" t="s">
        <v>211</v>
      </c>
      <c r="BA13" s="36">
        <v>9045088524599</v>
      </c>
      <c r="BB13" s="36"/>
      <c r="BC13" s="36"/>
      <c r="BD13" s="36">
        <v>1</v>
      </c>
      <c r="BE13" s="36"/>
      <c r="BF13" s="36"/>
      <c r="BG13" s="36">
        <v>1333314600</v>
      </c>
      <c r="BH13" s="36" t="s">
        <v>213</v>
      </c>
      <c r="BI13" s="36">
        <v>0</v>
      </c>
      <c r="BJ13" s="36">
        <v>0</v>
      </c>
      <c r="BK13" s="36">
        <v>1300</v>
      </c>
      <c r="BL13" s="36" t="s">
        <v>214</v>
      </c>
      <c r="BM13" s="36"/>
      <c r="BN13" s="36"/>
    </row>
    <row r="14" spans="1:66" x14ac:dyDescent="0.35">
      <c r="A14" s="36"/>
      <c r="B14" s="36"/>
      <c r="C14" s="37">
        <v>244626</v>
      </c>
      <c r="D14" s="37">
        <v>244626</v>
      </c>
      <c r="E14" s="36"/>
      <c r="F14" s="36" t="s">
        <v>192</v>
      </c>
      <c r="G14" s="36" t="s">
        <v>1</v>
      </c>
      <c r="H14" s="36">
        <v>0</v>
      </c>
      <c r="I14" s="36" t="s">
        <v>193</v>
      </c>
      <c r="J14" s="36" t="s">
        <v>194</v>
      </c>
      <c r="K14" s="36" t="s">
        <v>195</v>
      </c>
      <c r="L14" s="36">
        <v>923</v>
      </c>
      <c r="M14" s="36"/>
      <c r="N14" s="36" t="s">
        <v>239</v>
      </c>
      <c r="O14" s="36" t="s">
        <v>240</v>
      </c>
      <c r="P14" s="36">
        <v>2</v>
      </c>
      <c r="Q14" s="36" t="s">
        <v>241</v>
      </c>
      <c r="R14" s="36" t="s">
        <v>598</v>
      </c>
      <c r="S14" s="37">
        <v>244626</v>
      </c>
      <c r="T14" s="36" t="s">
        <v>599</v>
      </c>
      <c r="U14" s="36">
        <v>23111036</v>
      </c>
      <c r="V14" s="36" t="s">
        <v>96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6"/>
      <c r="AH14" s="36"/>
      <c r="AI14" s="36" t="s">
        <v>200</v>
      </c>
      <c r="AJ14" s="36" t="s">
        <v>201</v>
      </c>
      <c r="AK14" s="36" t="s">
        <v>202</v>
      </c>
      <c r="AL14" s="36" t="s">
        <v>225</v>
      </c>
      <c r="AM14" s="36" t="s">
        <v>204</v>
      </c>
      <c r="AN14" s="36" t="s">
        <v>222</v>
      </c>
      <c r="AO14" s="36" t="s">
        <v>206</v>
      </c>
      <c r="AP14" s="36">
        <v>2</v>
      </c>
      <c r="AQ14" s="36"/>
      <c r="AR14" s="36"/>
      <c r="AS14" s="36"/>
      <c r="AT14" s="36" t="s">
        <v>247</v>
      </c>
      <c r="AU14" s="36" t="s">
        <v>600</v>
      </c>
      <c r="AV14" s="36" t="s">
        <v>216</v>
      </c>
      <c r="AW14" s="36" t="s">
        <v>209</v>
      </c>
      <c r="AX14" s="36" t="s">
        <v>210</v>
      </c>
      <c r="AY14" s="36">
        <v>0</v>
      </c>
      <c r="AZ14" s="36" t="s">
        <v>211</v>
      </c>
      <c r="BA14" s="36">
        <v>9045088524599</v>
      </c>
      <c r="BB14" s="36"/>
      <c r="BC14" s="36"/>
      <c r="BD14" s="36">
        <v>1</v>
      </c>
      <c r="BE14" s="36"/>
      <c r="BF14" s="36"/>
      <c r="BG14" s="36">
        <v>1333314600</v>
      </c>
      <c r="BH14" s="36" t="s">
        <v>213</v>
      </c>
      <c r="BI14" s="36">
        <v>0</v>
      </c>
      <c r="BJ14" s="36">
        <v>0</v>
      </c>
      <c r="BK14" s="36">
        <v>1300</v>
      </c>
      <c r="BL14" s="36" t="s">
        <v>214</v>
      </c>
      <c r="BM14" s="36"/>
      <c r="BN14" s="36"/>
    </row>
    <row r="15" spans="1:66" x14ac:dyDescent="0.35">
      <c r="A15" s="36"/>
      <c r="B15" s="36"/>
      <c r="C15" s="37">
        <v>244626</v>
      </c>
      <c r="D15" s="37">
        <v>244626</v>
      </c>
      <c r="E15" s="36"/>
      <c r="F15" s="36" t="s">
        <v>192</v>
      </c>
      <c r="G15" s="36" t="s">
        <v>1</v>
      </c>
      <c r="H15" s="36">
        <v>0</v>
      </c>
      <c r="I15" s="36" t="s">
        <v>193</v>
      </c>
      <c r="J15" s="36" t="s">
        <v>194</v>
      </c>
      <c r="K15" s="36" t="s">
        <v>195</v>
      </c>
      <c r="L15" s="36">
        <v>923</v>
      </c>
      <c r="M15" s="36"/>
      <c r="N15" s="36" t="s">
        <v>239</v>
      </c>
      <c r="O15" s="36" t="s">
        <v>240</v>
      </c>
      <c r="P15" s="36">
        <v>2</v>
      </c>
      <c r="Q15" s="36" t="s">
        <v>241</v>
      </c>
      <c r="R15" s="36" t="s">
        <v>598</v>
      </c>
      <c r="S15" s="37">
        <v>244626</v>
      </c>
      <c r="T15" s="36" t="s">
        <v>599</v>
      </c>
      <c r="U15" s="36">
        <v>23097789</v>
      </c>
      <c r="V15" s="36" t="s">
        <v>62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6"/>
      <c r="AH15" s="36"/>
      <c r="AI15" s="36" t="s">
        <v>200</v>
      </c>
      <c r="AJ15" s="36" t="s">
        <v>201</v>
      </c>
      <c r="AK15" s="36" t="s">
        <v>202</v>
      </c>
      <c r="AL15" s="36" t="s">
        <v>203</v>
      </c>
      <c r="AM15" s="36" t="s">
        <v>204</v>
      </c>
      <c r="AN15" s="36" t="s">
        <v>222</v>
      </c>
      <c r="AO15" s="36" t="s">
        <v>206</v>
      </c>
      <c r="AP15" s="36">
        <v>2</v>
      </c>
      <c r="AQ15" s="36"/>
      <c r="AR15" s="36"/>
      <c r="AS15" s="36"/>
      <c r="AT15" s="36" t="s">
        <v>247</v>
      </c>
      <c r="AU15" s="36" t="s">
        <v>600</v>
      </c>
      <c r="AV15" s="36" t="s">
        <v>216</v>
      </c>
      <c r="AW15" s="36" t="s">
        <v>209</v>
      </c>
      <c r="AX15" s="36" t="s">
        <v>210</v>
      </c>
      <c r="AY15" s="36">
        <v>0</v>
      </c>
      <c r="AZ15" s="36" t="s">
        <v>211</v>
      </c>
      <c r="BA15" s="36">
        <v>9045088524599</v>
      </c>
      <c r="BB15" s="36"/>
      <c r="BC15" s="36"/>
      <c r="BD15" s="36">
        <v>1</v>
      </c>
      <c r="BE15" s="36"/>
      <c r="BF15" s="36"/>
      <c r="BG15" s="36">
        <v>1333314600</v>
      </c>
      <c r="BH15" s="36" t="s">
        <v>213</v>
      </c>
      <c r="BI15" s="36">
        <v>0</v>
      </c>
      <c r="BJ15" s="36">
        <v>0</v>
      </c>
      <c r="BK15" s="36">
        <v>1300</v>
      </c>
      <c r="BL15" s="36" t="s">
        <v>214</v>
      </c>
      <c r="BM15" s="36"/>
      <c r="BN15" s="36"/>
    </row>
    <row r="16" spans="1:66" x14ac:dyDescent="0.35">
      <c r="A16" s="36"/>
      <c r="B16" s="36"/>
      <c r="C16" s="37">
        <v>244626</v>
      </c>
      <c r="D16" s="37">
        <v>244626</v>
      </c>
      <c r="E16" s="36"/>
      <c r="F16" s="36" t="s">
        <v>192</v>
      </c>
      <c r="G16" s="36" t="s">
        <v>1</v>
      </c>
      <c r="H16" s="36">
        <v>0</v>
      </c>
      <c r="I16" s="36" t="s">
        <v>193</v>
      </c>
      <c r="J16" s="36" t="s">
        <v>194</v>
      </c>
      <c r="K16" s="36" t="s">
        <v>195</v>
      </c>
      <c r="L16" s="36">
        <v>923</v>
      </c>
      <c r="M16" s="36"/>
      <c r="N16" s="36" t="s">
        <v>239</v>
      </c>
      <c r="O16" s="36" t="s">
        <v>240</v>
      </c>
      <c r="P16" s="36">
        <v>2</v>
      </c>
      <c r="Q16" s="36" t="s">
        <v>241</v>
      </c>
      <c r="R16" s="36" t="s">
        <v>598</v>
      </c>
      <c r="S16" s="37">
        <v>244626</v>
      </c>
      <c r="T16" s="36" t="s">
        <v>599</v>
      </c>
      <c r="U16" s="36">
        <v>23074623</v>
      </c>
      <c r="V16" s="36" t="s">
        <v>414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/>
      <c r="AH16" s="36"/>
      <c r="AI16" s="36" t="s">
        <v>200</v>
      </c>
      <c r="AJ16" s="36" t="s">
        <v>201</v>
      </c>
      <c r="AK16" s="36" t="s">
        <v>215</v>
      </c>
      <c r="AL16" s="36" t="s">
        <v>203</v>
      </c>
      <c r="AM16" s="36" t="s">
        <v>204</v>
      </c>
      <c r="AN16" s="36" t="s">
        <v>222</v>
      </c>
      <c r="AO16" s="36" t="s">
        <v>206</v>
      </c>
      <c r="AP16" s="36">
        <v>2</v>
      </c>
      <c r="AQ16" s="36"/>
      <c r="AR16" s="36"/>
      <c r="AS16" s="36"/>
      <c r="AT16" s="36" t="s">
        <v>247</v>
      </c>
      <c r="AU16" s="36" t="s">
        <v>600</v>
      </c>
      <c r="AV16" s="36" t="s">
        <v>209</v>
      </c>
      <c r="AW16" s="36" t="s">
        <v>209</v>
      </c>
      <c r="AX16" s="36" t="s">
        <v>210</v>
      </c>
      <c r="AY16" s="36">
        <v>0</v>
      </c>
      <c r="AZ16" s="36" t="s">
        <v>211</v>
      </c>
      <c r="BA16" s="36">
        <v>9045088524599</v>
      </c>
      <c r="BB16" s="36"/>
      <c r="BC16" s="36"/>
      <c r="BD16" s="36">
        <v>1</v>
      </c>
      <c r="BE16" s="36"/>
      <c r="BF16" s="36"/>
      <c r="BG16" s="36">
        <v>1333314600</v>
      </c>
      <c r="BH16" s="36" t="s">
        <v>213</v>
      </c>
      <c r="BI16" s="36">
        <v>0</v>
      </c>
      <c r="BJ16" s="36">
        <v>0</v>
      </c>
      <c r="BK16" s="36">
        <v>1300</v>
      </c>
      <c r="BL16" s="36" t="s">
        <v>214</v>
      </c>
      <c r="BM16" s="36"/>
      <c r="BN16" s="36"/>
    </row>
    <row r="17" spans="1:66" x14ac:dyDescent="0.35">
      <c r="A17" s="36"/>
      <c r="B17" s="36"/>
      <c r="C17" s="37">
        <v>244626</v>
      </c>
      <c r="D17" s="37">
        <v>244626</v>
      </c>
      <c r="E17" s="36"/>
      <c r="F17" s="36" t="s">
        <v>192</v>
      </c>
      <c r="G17" s="36" t="s">
        <v>1</v>
      </c>
      <c r="H17" s="36">
        <v>0</v>
      </c>
      <c r="I17" s="36" t="s">
        <v>193</v>
      </c>
      <c r="J17" s="36" t="s">
        <v>194</v>
      </c>
      <c r="K17" s="36" t="s">
        <v>195</v>
      </c>
      <c r="L17" s="36">
        <v>923</v>
      </c>
      <c r="M17" s="36"/>
      <c r="N17" s="36" t="s">
        <v>239</v>
      </c>
      <c r="O17" s="36" t="s">
        <v>240</v>
      </c>
      <c r="P17" s="36">
        <v>2</v>
      </c>
      <c r="Q17" s="36" t="s">
        <v>241</v>
      </c>
      <c r="R17" s="36" t="s">
        <v>598</v>
      </c>
      <c r="S17" s="37">
        <v>244626</v>
      </c>
      <c r="T17" s="36" t="s">
        <v>599</v>
      </c>
      <c r="U17" s="36">
        <v>23025320</v>
      </c>
      <c r="V17" s="36" t="s">
        <v>353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6"/>
      <c r="AH17" s="36"/>
      <c r="AI17" s="36" t="s">
        <v>200</v>
      </c>
      <c r="AJ17" s="36" t="s">
        <v>201</v>
      </c>
      <c r="AK17" s="36" t="s">
        <v>202</v>
      </c>
      <c r="AL17" s="36" t="s">
        <v>246</v>
      </c>
      <c r="AM17" s="36" t="s">
        <v>204</v>
      </c>
      <c r="AN17" s="36" t="s">
        <v>222</v>
      </c>
      <c r="AO17" s="36" t="s">
        <v>206</v>
      </c>
      <c r="AP17" s="36">
        <v>2</v>
      </c>
      <c r="AQ17" s="36"/>
      <c r="AR17" s="36"/>
      <c r="AS17" s="36"/>
      <c r="AT17" s="36" t="s">
        <v>247</v>
      </c>
      <c r="AU17" s="36" t="s">
        <v>600</v>
      </c>
      <c r="AV17" s="36" t="s">
        <v>249</v>
      </c>
      <c r="AW17" s="36" t="s">
        <v>209</v>
      </c>
      <c r="AX17" s="36" t="s">
        <v>210</v>
      </c>
      <c r="AY17" s="36">
        <v>0</v>
      </c>
      <c r="AZ17" s="36" t="s">
        <v>211</v>
      </c>
      <c r="BA17" s="36">
        <v>9045088524599</v>
      </c>
      <c r="BB17" s="36"/>
      <c r="BC17" s="36"/>
      <c r="BD17" s="36">
        <v>1</v>
      </c>
      <c r="BE17" s="36"/>
      <c r="BF17" s="36"/>
      <c r="BG17" s="36">
        <v>1333314600</v>
      </c>
      <c r="BH17" s="36" t="s">
        <v>213</v>
      </c>
      <c r="BI17" s="36">
        <v>0</v>
      </c>
      <c r="BJ17" s="36">
        <v>0</v>
      </c>
      <c r="BK17" s="36">
        <v>1300</v>
      </c>
      <c r="BL17" s="36" t="s">
        <v>214</v>
      </c>
      <c r="BM17" s="36"/>
      <c r="BN17" s="36"/>
    </row>
    <row r="18" spans="1:66" x14ac:dyDescent="0.35">
      <c r="A18" s="36"/>
      <c r="B18" s="36"/>
      <c r="C18" s="37">
        <v>244626</v>
      </c>
      <c r="D18" s="37">
        <v>244626</v>
      </c>
      <c r="E18" s="36"/>
      <c r="F18" s="36" t="s">
        <v>192</v>
      </c>
      <c r="G18" s="36" t="s">
        <v>1</v>
      </c>
      <c r="H18" s="36">
        <v>0</v>
      </c>
      <c r="I18" s="36" t="s">
        <v>193</v>
      </c>
      <c r="J18" s="36" t="s">
        <v>194</v>
      </c>
      <c r="K18" s="36" t="s">
        <v>195</v>
      </c>
      <c r="L18" s="36">
        <v>923</v>
      </c>
      <c r="M18" s="36"/>
      <c r="N18" s="36" t="s">
        <v>239</v>
      </c>
      <c r="O18" s="36" t="s">
        <v>240</v>
      </c>
      <c r="P18" s="36">
        <v>2</v>
      </c>
      <c r="Q18" s="36" t="s">
        <v>241</v>
      </c>
      <c r="R18" s="36" t="s">
        <v>598</v>
      </c>
      <c r="S18" s="37">
        <v>244626</v>
      </c>
      <c r="T18" s="36" t="s">
        <v>599</v>
      </c>
      <c r="U18" s="36">
        <v>23098986</v>
      </c>
      <c r="V18" s="36" t="s">
        <v>120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6"/>
      <c r="AH18" s="36"/>
      <c r="AI18" s="36" t="s">
        <v>200</v>
      </c>
      <c r="AJ18" s="36" t="s">
        <v>201</v>
      </c>
      <c r="AK18" s="36" t="s">
        <v>202</v>
      </c>
      <c r="AL18" s="36" t="s">
        <v>203</v>
      </c>
      <c r="AM18" s="36" t="s">
        <v>204</v>
      </c>
      <c r="AN18" s="36" t="s">
        <v>222</v>
      </c>
      <c r="AO18" s="36" t="s">
        <v>206</v>
      </c>
      <c r="AP18" s="36">
        <v>2</v>
      </c>
      <c r="AQ18" s="36"/>
      <c r="AR18" s="36"/>
      <c r="AS18" s="36"/>
      <c r="AT18" s="36" t="s">
        <v>247</v>
      </c>
      <c r="AU18" s="36" t="s">
        <v>600</v>
      </c>
      <c r="AV18" s="36" t="s">
        <v>216</v>
      </c>
      <c r="AW18" s="36" t="s">
        <v>209</v>
      </c>
      <c r="AX18" s="36" t="s">
        <v>210</v>
      </c>
      <c r="AY18" s="36">
        <v>0</v>
      </c>
      <c r="AZ18" s="36" t="s">
        <v>211</v>
      </c>
      <c r="BA18" s="36">
        <v>9045088524599</v>
      </c>
      <c r="BB18" s="36"/>
      <c r="BC18" s="36"/>
      <c r="BD18" s="36">
        <v>1</v>
      </c>
      <c r="BE18" s="36"/>
      <c r="BF18" s="36"/>
      <c r="BG18" s="36">
        <v>1333314600</v>
      </c>
      <c r="BH18" s="36" t="s">
        <v>213</v>
      </c>
      <c r="BI18" s="36">
        <v>0</v>
      </c>
      <c r="BJ18" s="36">
        <v>0</v>
      </c>
      <c r="BK18" s="36">
        <v>1300</v>
      </c>
      <c r="BL18" s="36" t="s">
        <v>214</v>
      </c>
      <c r="BM18" s="36"/>
      <c r="BN18" s="36"/>
    </row>
    <row r="19" spans="1:66" x14ac:dyDescent="0.35">
      <c r="A19" s="36"/>
      <c r="B19" s="36"/>
      <c r="C19" s="37">
        <v>244626</v>
      </c>
      <c r="D19" s="37">
        <v>244626</v>
      </c>
      <c r="E19" s="36"/>
      <c r="F19" s="36" t="s">
        <v>192</v>
      </c>
      <c r="G19" s="36" t="s">
        <v>1</v>
      </c>
      <c r="H19" s="36">
        <v>0</v>
      </c>
      <c r="I19" s="36" t="s">
        <v>193</v>
      </c>
      <c r="J19" s="36" t="s">
        <v>194</v>
      </c>
      <c r="K19" s="36" t="s">
        <v>195</v>
      </c>
      <c r="L19" s="36">
        <v>923</v>
      </c>
      <c r="M19" s="36"/>
      <c r="N19" s="36" t="s">
        <v>239</v>
      </c>
      <c r="O19" s="36" t="s">
        <v>240</v>
      </c>
      <c r="P19" s="36">
        <v>2</v>
      </c>
      <c r="Q19" s="36" t="s">
        <v>241</v>
      </c>
      <c r="R19" s="36" t="s">
        <v>598</v>
      </c>
      <c r="S19" s="37">
        <v>244626</v>
      </c>
      <c r="T19" s="36" t="s">
        <v>599</v>
      </c>
      <c r="U19" s="36">
        <v>23111033</v>
      </c>
      <c r="V19" s="36" t="s">
        <v>93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/>
      <c r="AH19" s="36"/>
      <c r="AI19" s="36" t="s">
        <v>200</v>
      </c>
      <c r="AJ19" s="36" t="s">
        <v>201</v>
      </c>
      <c r="AK19" s="36" t="s">
        <v>202</v>
      </c>
      <c r="AL19" s="36" t="s">
        <v>225</v>
      </c>
      <c r="AM19" s="36" t="s">
        <v>204</v>
      </c>
      <c r="AN19" s="36" t="s">
        <v>222</v>
      </c>
      <c r="AO19" s="36" t="s">
        <v>206</v>
      </c>
      <c r="AP19" s="36">
        <v>2</v>
      </c>
      <c r="AQ19" s="36"/>
      <c r="AR19" s="36"/>
      <c r="AS19" s="36"/>
      <c r="AT19" s="36" t="s">
        <v>247</v>
      </c>
      <c r="AU19" s="36" t="s">
        <v>600</v>
      </c>
      <c r="AV19" s="36" t="s">
        <v>216</v>
      </c>
      <c r="AW19" s="36" t="s">
        <v>209</v>
      </c>
      <c r="AX19" s="36" t="s">
        <v>210</v>
      </c>
      <c r="AY19" s="36">
        <v>0</v>
      </c>
      <c r="AZ19" s="36" t="s">
        <v>211</v>
      </c>
      <c r="BA19" s="36">
        <v>9045088524599</v>
      </c>
      <c r="BB19" s="36"/>
      <c r="BC19" s="36"/>
      <c r="BD19" s="36">
        <v>1</v>
      </c>
      <c r="BE19" s="36"/>
      <c r="BF19" s="36"/>
      <c r="BG19" s="36">
        <v>1333314600</v>
      </c>
      <c r="BH19" s="36" t="s">
        <v>213</v>
      </c>
      <c r="BI19" s="36">
        <v>0</v>
      </c>
      <c r="BJ19" s="36">
        <v>0</v>
      </c>
      <c r="BK19" s="36">
        <v>1300</v>
      </c>
      <c r="BL19" s="36" t="s">
        <v>214</v>
      </c>
      <c r="BM19" s="36"/>
      <c r="BN19" s="36"/>
    </row>
    <row r="20" spans="1:66" x14ac:dyDescent="0.35">
      <c r="A20" s="36"/>
      <c r="B20" s="36"/>
      <c r="C20" s="37">
        <v>244626</v>
      </c>
      <c r="D20" s="37">
        <v>244626</v>
      </c>
      <c r="E20" s="36"/>
      <c r="F20" s="36" t="s">
        <v>192</v>
      </c>
      <c r="G20" s="36" t="s">
        <v>1</v>
      </c>
      <c r="H20" s="36">
        <v>0</v>
      </c>
      <c r="I20" s="36" t="s">
        <v>193</v>
      </c>
      <c r="J20" s="36" t="s">
        <v>194</v>
      </c>
      <c r="K20" s="36" t="s">
        <v>195</v>
      </c>
      <c r="L20" s="36">
        <v>923</v>
      </c>
      <c r="M20" s="36"/>
      <c r="N20" s="36" t="s">
        <v>239</v>
      </c>
      <c r="O20" s="36" t="s">
        <v>240</v>
      </c>
      <c r="P20" s="36">
        <v>2</v>
      </c>
      <c r="Q20" s="36" t="s">
        <v>241</v>
      </c>
      <c r="R20" s="36" t="s">
        <v>598</v>
      </c>
      <c r="S20" s="37">
        <v>244626</v>
      </c>
      <c r="T20" s="36" t="s">
        <v>599</v>
      </c>
      <c r="U20" s="36">
        <v>23097784</v>
      </c>
      <c r="V20" s="36" t="s">
        <v>59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6"/>
      <c r="AH20" s="36"/>
      <c r="AI20" s="36" t="s">
        <v>200</v>
      </c>
      <c r="AJ20" s="36" t="s">
        <v>201</v>
      </c>
      <c r="AK20" s="36" t="s">
        <v>202</v>
      </c>
      <c r="AL20" s="36" t="s">
        <v>203</v>
      </c>
      <c r="AM20" s="36" t="s">
        <v>204</v>
      </c>
      <c r="AN20" s="36" t="s">
        <v>222</v>
      </c>
      <c r="AO20" s="36" t="s">
        <v>206</v>
      </c>
      <c r="AP20" s="36">
        <v>2</v>
      </c>
      <c r="AQ20" s="36"/>
      <c r="AR20" s="36"/>
      <c r="AS20" s="36"/>
      <c r="AT20" s="36" t="s">
        <v>247</v>
      </c>
      <c r="AU20" s="36" t="s">
        <v>600</v>
      </c>
      <c r="AV20" s="36" t="s">
        <v>216</v>
      </c>
      <c r="AW20" s="36" t="s">
        <v>209</v>
      </c>
      <c r="AX20" s="36" t="s">
        <v>210</v>
      </c>
      <c r="AY20" s="36">
        <v>0</v>
      </c>
      <c r="AZ20" s="36" t="s">
        <v>211</v>
      </c>
      <c r="BA20" s="36">
        <v>9045088524599</v>
      </c>
      <c r="BB20" s="36"/>
      <c r="BC20" s="36"/>
      <c r="BD20" s="36">
        <v>1</v>
      </c>
      <c r="BE20" s="36"/>
      <c r="BF20" s="36"/>
      <c r="BG20" s="36">
        <v>1333314600</v>
      </c>
      <c r="BH20" s="36" t="s">
        <v>213</v>
      </c>
      <c r="BI20" s="36">
        <v>0</v>
      </c>
      <c r="BJ20" s="36">
        <v>0</v>
      </c>
      <c r="BK20" s="36">
        <v>1300</v>
      </c>
      <c r="BL20" s="36" t="s">
        <v>214</v>
      </c>
      <c r="BM20" s="36"/>
      <c r="BN20" s="36"/>
    </row>
    <row r="21" spans="1:66" x14ac:dyDescent="0.35">
      <c r="A21" s="36"/>
      <c r="B21" s="36"/>
      <c r="C21" s="37">
        <v>244626</v>
      </c>
      <c r="D21" s="37">
        <v>244626</v>
      </c>
      <c r="E21" s="36"/>
      <c r="F21" s="36" t="s">
        <v>192</v>
      </c>
      <c r="G21" s="36" t="s">
        <v>1</v>
      </c>
      <c r="H21" s="36">
        <v>0</v>
      </c>
      <c r="I21" s="36" t="s">
        <v>193</v>
      </c>
      <c r="J21" s="36" t="s">
        <v>194</v>
      </c>
      <c r="K21" s="36" t="s">
        <v>195</v>
      </c>
      <c r="L21" s="36">
        <v>923</v>
      </c>
      <c r="M21" s="36"/>
      <c r="N21" s="36" t="s">
        <v>239</v>
      </c>
      <c r="O21" s="36" t="s">
        <v>240</v>
      </c>
      <c r="P21" s="36">
        <v>2</v>
      </c>
      <c r="Q21" s="36" t="s">
        <v>241</v>
      </c>
      <c r="R21" s="36" t="s">
        <v>598</v>
      </c>
      <c r="S21" s="37">
        <v>244626</v>
      </c>
      <c r="T21" s="36" t="s">
        <v>599</v>
      </c>
      <c r="U21" s="36">
        <v>23097792</v>
      </c>
      <c r="V21" s="36" t="s">
        <v>65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/>
      <c r="AH21" s="36"/>
      <c r="AI21" s="36" t="s">
        <v>200</v>
      </c>
      <c r="AJ21" s="36" t="s">
        <v>201</v>
      </c>
      <c r="AK21" s="36" t="s">
        <v>202</v>
      </c>
      <c r="AL21" s="36" t="s">
        <v>203</v>
      </c>
      <c r="AM21" s="36" t="s">
        <v>204</v>
      </c>
      <c r="AN21" s="36" t="s">
        <v>222</v>
      </c>
      <c r="AO21" s="36" t="s">
        <v>206</v>
      </c>
      <c r="AP21" s="36">
        <v>2</v>
      </c>
      <c r="AQ21" s="36"/>
      <c r="AR21" s="36"/>
      <c r="AS21" s="36"/>
      <c r="AT21" s="36" t="s">
        <v>247</v>
      </c>
      <c r="AU21" s="36" t="s">
        <v>600</v>
      </c>
      <c r="AV21" s="36" t="s">
        <v>216</v>
      </c>
      <c r="AW21" s="36" t="s">
        <v>209</v>
      </c>
      <c r="AX21" s="36" t="s">
        <v>210</v>
      </c>
      <c r="AY21" s="36">
        <v>0</v>
      </c>
      <c r="AZ21" s="36" t="s">
        <v>211</v>
      </c>
      <c r="BA21" s="36">
        <v>9045088524599</v>
      </c>
      <c r="BB21" s="36"/>
      <c r="BC21" s="36"/>
      <c r="BD21" s="36">
        <v>1</v>
      </c>
      <c r="BE21" s="36"/>
      <c r="BF21" s="36"/>
      <c r="BG21" s="36">
        <v>1333314600</v>
      </c>
      <c r="BH21" s="36" t="s">
        <v>213</v>
      </c>
      <c r="BI21" s="36">
        <v>0</v>
      </c>
      <c r="BJ21" s="36">
        <v>0</v>
      </c>
      <c r="BK21" s="36">
        <v>1300</v>
      </c>
      <c r="BL21" s="36" t="s">
        <v>214</v>
      </c>
      <c r="BM21" s="36"/>
      <c r="BN21" s="36"/>
    </row>
    <row r="22" spans="1:66" x14ac:dyDescent="0.35">
      <c r="A22" s="36"/>
      <c r="B22" s="36"/>
      <c r="C22" s="37">
        <v>244626</v>
      </c>
      <c r="D22" s="37">
        <v>244626</v>
      </c>
      <c r="E22" s="36"/>
      <c r="F22" s="36" t="s">
        <v>192</v>
      </c>
      <c r="G22" s="36" t="s">
        <v>1</v>
      </c>
      <c r="H22" s="36">
        <v>0</v>
      </c>
      <c r="I22" s="36" t="s">
        <v>193</v>
      </c>
      <c r="J22" s="36" t="s">
        <v>194</v>
      </c>
      <c r="K22" s="36" t="s">
        <v>195</v>
      </c>
      <c r="L22" s="36">
        <v>923</v>
      </c>
      <c r="M22" s="36"/>
      <c r="N22" s="36" t="s">
        <v>239</v>
      </c>
      <c r="O22" s="36" t="s">
        <v>240</v>
      </c>
      <c r="P22" s="36">
        <v>2</v>
      </c>
      <c r="Q22" s="36" t="s">
        <v>241</v>
      </c>
      <c r="R22" s="36" t="s">
        <v>598</v>
      </c>
      <c r="S22" s="37">
        <v>244626</v>
      </c>
      <c r="T22" s="36" t="s">
        <v>599</v>
      </c>
      <c r="U22" s="36">
        <v>23111035</v>
      </c>
      <c r="V22" s="36" t="s">
        <v>95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6"/>
      <c r="AH22" s="36"/>
      <c r="AI22" s="36" t="s">
        <v>200</v>
      </c>
      <c r="AJ22" s="36" t="s">
        <v>201</v>
      </c>
      <c r="AK22" s="36" t="s">
        <v>202</v>
      </c>
      <c r="AL22" s="36" t="s">
        <v>225</v>
      </c>
      <c r="AM22" s="36" t="s">
        <v>204</v>
      </c>
      <c r="AN22" s="36" t="s">
        <v>222</v>
      </c>
      <c r="AO22" s="36" t="s">
        <v>206</v>
      </c>
      <c r="AP22" s="36">
        <v>2</v>
      </c>
      <c r="AQ22" s="36"/>
      <c r="AR22" s="36"/>
      <c r="AS22" s="36"/>
      <c r="AT22" s="36" t="s">
        <v>247</v>
      </c>
      <c r="AU22" s="36" t="s">
        <v>600</v>
      </c>
      <c r="AV22" s="36" t="s">
        <v>216</v>
      </c>
      <c r="AW22" s="36" t="s">
        <v>209</v>
      </c>
      <c r="AX22" s="36" t="s">
        <v>210</v>
      </c>
      <c r="AY22" s="36">
        <v>0</v>
      </c>
      <c r="AZ22" s="36" t="s">
        <v>211</v>
      </c>
      <c r="BA22" s="36">
        <v>9045088524599</v>
      </c>
      <c r="BB22" s="36"/>
      <c r="BC22" s="36"/>
      <c r="BD22" s="36">
        <v>1</v>
      </c>
      <c r="BE22" s="36"/>
      <c r="BF22" s="36"/>
      <c r="BG22" s="36">
        <v>1333314600</v>
      </c>
      <c r="BH22" s="36" t="s">
        <v>213</v>
      </c>
      <c r="BI22" s="36">
        <v>0</v>
      </c>
      <c r="BJ22" s="36">
        <v>0</v>
      </c>
      <c r="BK22" s="36">
        <v>1300</v>
      </c>
      <c r="BL22" s="36" t="s">
        <v>214</v>
      </c>
      <c r="BM22" s="36"/>
      <c r="BN22" s="36"/>
    </row>
    <row r="23" spans="1:66" x14ac:dyDescent="0.35">
      <c r="A23" s="36"/>
      <c r="B23" s="36"/>
      <c r="C23" s="37">
        <v>244626</v>
      </c>
      <c r="D23" s="37">
        <v>244626</v>
      </c>
      <c r="E23" s="36"/>
      <c r="F23" s="36" t="s">
        <v>192</v>
      </c>
      <c r="G23" s="36" t="s">
        <v>1</v>
      </c>
      <c r="H23" s="36">
        <v>0</v>
      </c>
      <c r="I23" s="36" t="s">
        <v>193</v>
      </c>
      <c r="J23" s="36" t="s">
        <v>194</v>
      </c>
      <c r="K23" s="36" t="s">
        <v>195</v>
      </c>
      <c r="L23" s="36">
        <v>923</v>
      </c>
      <c r="M23" s="36"/>
      <c r="N23" s="36" t="s">
        <v>239</v>
      </c>
      <c r="O23" s="36" t="s">
        <v>240</v>
      </c>
      <c r="P23" s="36">
        <v>2</v>
      </c>
      <c r="Q23" s="36" t="s">
        <v>241</v>
      </c>
      <c r="R23" s="36" t="s">
        <v>598</v>
      </c>
      <c r="S23" s="37">
        <v>244626</v>
      </c>
      <c r="T23" s="36" t="s">
        <v>599</v>
      </c>
      <c r="U23" s="36">
        <v>23111037</v>
      </c>
      <c r="V23" s="36" t="s">
        <v>97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6"/>
      <c r="AH23" s="36"/>
      <c r="AI23" s="36" t="s">
        <v>200</v>
      </c>
      <c r="AJ23" s="36" t="s">
        <v>201</v>
      </c>
      <c r="AK23" s="36" t="s">
        <v>202</v>
      </c>
      <c r="AL23" s="36" t="s">
        <v>225</v>
      </c>
      <c r="AM23" s="36" t="s">
        <v>204</v>
      </c>
      <c r="AN23" s="36" t="s">
        <v>222</v>
      </c>
      <c r="AO23" s="36" t="s">
        <v>206</v>
      </c>
      <c r="AP23" s="36">
        <v>2</v>
      </c>
      <c r="AQ23" s="36"/>
      <c r="AR23" s="36"/>
      <c r="AS23" s="36"/>
      <c r="AT23" s="36" t="s">
        <v>247</v>
      </c>
      <c r="AU23" s="36" t="s">
        <v>600</v>
      </c>
      <c r="AV23" s="36" t="s">
        <v>216</v>
      </c>
      <c r="AW23" s="36" t="s">
        <v>209</v>
      </c>
      <c r="AX23" s="36" t="s">
        <v>210</v>
      </c>
      <c r="AY23" s="36">
        <v>0</v>
      </c>
      <c r="AZ23" s="36" t="s">
        <v>211</v>
      </c>
      <c r="BA23" s="36">
        <v>9045088524599</v>
      </c>
      <c r="BB23" s="36"/>
      <c r="BC23" s="36"/>
      <c r="BD23" s="36">
        <v>1</v>
      </c>
      <c r="BE23" s="36"/>
      <c r="BF23" s="36"/>
      <c r="BG23" s="36">
        <v>1333314600</v>
      </c>
      <c r="BH23" s="36" t="s">
        <v>213</v>
      </c>
      <c r="BI23" s="36">
        <v>0</v>
      </c>
      <c r="BJ23" s="36">
        <v>0</v>
      </c>
      <c r="BK23" s="36">
        <v>1300</v>
      </c>
      <c r="BL23" s="36" t="s">
        <v>214</v>
      </c>
      <c r="BM23" s="36"/>
      <c r="BN23" s="36"/>
    </row>
    <row r="24" spans="1:66" x14ac:dyDescent="0.35">
      <c r="A24" s="36"/>
      <c r="B24" s="36"/>
      <c r="C24" s="37">
        <v>244626</v>
      </c>
      <c r="D24" s="37">
        <v>244626</v>
      </c>
      <c r="E24" s="36"/>
      <c r="F24" s="36" t="s">
        <v>192</v>
      </c>
      <c r="G24" s="36" t="s">
        <v>1</v>
      </c>
      <c r="H24" s="36">
        <v>0</v>
      </c>
      <c r="I24" s="36" t="s">
        <v>193</v>
      </c>
      <c r="J24" s="36" t="s">
        <v>194</v>
      </c>
      <c r="K24" s="36" t="s">
        <v>195</v>
      </c>
      <c r="L24" s="36">
        <v>923</v>
      </c>
      <c r="M24" s="36"/>
      <c r="N24" s="36" t="s">
        <v>239</v>
      </c>
      <c r="O24" s="36" t="s">
        <v>240</v>
      </c>
      <c r="P24" s="36">
        <v>2</v>
      </c>
      <c r="Q24" s="36" t="s">
        <v>241</v>
      </c>
      <c r="R24" s="36" t="s">
        <v>598</v>
      </c>
      <c r="S24" s="37">
        <v>244626</v>
      </c>
      <c r="T24" s="36" t="s">
        <v>599</v>
      </c>
      <c r="U24" s="36">
        <v>23097783</v>
      </c>
      <c r="V24" s="36" t="s">
        <v>58</v>
      </c>
      <c r="W24" s="36">
        <v>10</v>
      </c>
      <c r="X24" s="36">
        <v>10</v>
      </c>
      <c r="Y24" s="36">
        <v>10</v>
      </c>
      <c r="Z24" s="36">
        <v>10</v>
      </c>
      <c r="AA24" s="36">
        <v>0</v>
      </c>
      <c r="AB24" s="36">
        <v>0</v>
      </c>
      <c r="AC24" s="36">
        <v>0</v>
      </c>
      <c r="AD24" s="36">
        <v>0</v>
      </c>
      <c r="AE24" s="36">
        <v>10</v>
      </c>
      <c r="AF24" s="36">
        <v>10</v>
      </c>
      <c r="AG24" s="36"/>
      <c r="AH24" s="36"/>
      <c r="AI24" s="36" t="s">
        <v>200</v>
      </c>
      <c r="AJ24" s="36" t="s">
        <v>201</v>
      </c>
      <c r="AK24" s="36" t="s">
        <v>202</v>
      </c>
      <c r="AL24" s="36" t="s">
        <v>203</v>
      </c>
      <c r="AM24" s="36" t="s">
        <v>204</v>
      </c>
      <c r="AN24" s="36" t="s">
        <v>222</v>
      </c>
      <c r="AO24" s="36" t="s">
        <v>206</v>
      </c>
      <c r="AP24" s="36">
        <v>2</v>
      </c>
      <c r="AQ24" s="36"/>
      <c r="AR24" s="36"/>
      <c r="AS24" s="36"/>
      <c r="AT24" s="36" t="s">
        <v>247</v>
      </c>
      <c r="AU24" s="36" t="s">
        <v>600</v>
      </c>
      <c r="AV24" s="36" t="s">
        <v>216</v>
      </c>
      <c r="AW24" s="36" t="s">
        <v>209</v>
      </c>
      <c r="AX24" s="36" t="s">
        <v>210</v>
      </c>
      <c r="AY24" s="36">
        <v>0</v>
      </c>
      <c r="AZ24" s="36" t="s">
        <v>211</v>
      </c>
      <c r="BA24" s="36">
        <v>9045088524599</v>
      </c>
      <c r="BB24" s="36"/>
      <c r="BC24" s="36"/>
      <c r="BD24" s="36">
        <v>1</v>
      </c>
      <c r="BE24" s="36"/>
      <c r="BF24" s="36"/>
      <c r="BG24" s="36">
        <v>1333314600</v>
      </c>
      <c r="BH24" s="36" t="s">
        <v>213</v>
      </c>
      <c r="BI24" s="36">
        <v>10</v>
      </c>
      <c r="BJ24" s="36">
        <v>10</v>
      </c>
      <c r="BK24" s="36">
        <v>1300</v>
      </c>
      <c r="BL24" s="36" t="s">
        <v>214</v>
      </c>
      <c r="BM24" s="36"/>
      <c r="BN24" s="36"/>
    </row>
    <row r="25" spans="1:66" x14ac:dyDescent="0.35">
      <c r="A25" s="36"/>
      <c r="B25" s="36"/>
      <c r="C25" s="37">
        <v>244626</v>
      </c>
      <c r="D25" s="37">
        <v>244626</v>
      </c>
      <c r="E25" s="36"/>
      <c r="F25" s="36" t="s">
        <v>192</v>
      </c>
      <c r="G25" s="36" t="s">
        <v>1</v>
      </c>
      <c r="H25" s="36">
        <v>0</v>
      </c>
      <c r="I25" s="36" t="s">
        <v>193</v>
      </c>
      <c r="J25" s="36" t="s">
        <v>194</v>
      </c>
      <c r="K25" s="36" t="s">
        <v>195</v>
      </c>
      <c r="L25" s="36">
        <v>923</v>
      </c>
      <c r="M25" s="36"/>
      <c r="N25" s="36" t="s">
        <v>239</v>
      </c>
      <c r="O25" s="36" t="s">
        <v>240</v>
      </c>
      <c r="P25" s="36">
        <v>2</v>
      </c>
      <c r="Q25" s="36" t="s">
        <v>241</v>
      </c>
      <c r="R25" s="36" t="s">
        <v>598</v>
      </c>
      <c r="S25" s="37">
        <v>244626</v>
      </c>
      <c r="T25" s="36" t="s">
        <v>599</v>
      </c>
      <c r="U25" s="36">
        <v>23097797</v>
      </c>
      <c r="V25" s="36" t="s">
        <v>68</v>
      </c>
      <c r="W25" s="36">
        <v>10</v>
      </c>
      <c r="X25" s="36">
        <v>10</v>
      </c>
      <c r="Y25" s="36">
        <v>10</v>
      </c>
      <c r="Z25" s="36">
        <v>10</v>
      </c>
      <c r="AA25" s="36">
        <v>0</v>
      </c>
      <c r="AB25" s="36">
        <v>0</v>
      </c>
      <c r="AC25" s="36">
        <v>0</v>
      </c>
      <c r="AD25" s="36">
        <v>0</v>
      </c>
      <c r="AE25" s="36">
        <v>10</v>
      </c>
      <c r="AF25" s="36">
        <v>10</v>
      </c>
      <c r="AG25" s="36"/>
      <c r="AH25" s="36"/>
      <c r="AI25" s="36" t="s">
        <v>200</v>
      </c>
      <c r="AJ25" s="36" t="s">
        <v>201</v>
      </c>
      <c r="AK25" s="36" t="s">
        <v>202</v>
      </c>
      <c r="AL25" s="36" t="s">
        <v>203</v>
      </c>
      <c r="AM25" s="36" t="s">
        <v>204</v>
      </c>
      <c r="AN25" s="36" t="s">
        <v>222</v>
      </c>
      <c r="AO25" s="36" t="s">
        <v>206</v>
      </c>
      <c r="AP25" s="36">
        <v>2</v>
      </c>
      <c r="AQ25" s="36"/>
      <c r="AR25" s="36"/>
      <c r="AS25" s="36"/>
      <c r="AT25" s="36" t="s">
        <v>247</v>
      </c>
      <c r="AU25" s="36" t="s">
        <v>600</v>
      </c>
      <c r="AV25" s="36" t="s">
        <v>216</v>
      </c>
      <c r="AW25" s="36" t="s">
        <v>209</v>
      </c>
      <c r="AX25" s="36" t="s">
        <v>210</v>
      </c>
      <c r="AY25" s="36">
        <v>0</v>
      </c>
      <c r="AZ25" s="36" t="s">
        <v>211</v>
      </c>
      <c r="BA25" s="36">
        <v>9045088524599</v>
      </c>
      <c r="BB25" s="36"/>
      <c r="BC25" s="36"/>
      <c r="BD25" s="36">
        <v>1</v>
      </c>
      <c r="BE25" s="36"/>
      <c r="BF25" s="36"/>
      <c r="BG25" s="36">
        <v>1333314600</v>
      </c>
      <c r="BH25" s="36" t="s">
        <v>213</v>
      </c>
      <c r="BI25" s="36">
        <v>10</v>
      </c>
      <c r="BJ25" s="36">
        <v>10</v>
      </c>
      <c r="BK25" s="36">
        <v>1300</v>
      </c>
      <c r="BL25" s="36" t="s">
        <v>214</v>
      </c>
      <c r="BM25" s="36"/>
      <c r="BN25" s="36"/>
    </row>
    <row r="26" spans="1:66" x14ac:dyDescent="0.35">
      <c r="A26" s="36"/>
      <c r="B26" s="36"/>
      <c r="C26" s="37">
        <v>244626</v>
      </c>
      <c r="D26" s="37">
        <v>244626</v>
      </c>
      <c r="E26" s="36"/>
      <c r="F26" s="36" t="s">
        <v>192</v>
      </c>
      <c r="G26" s="36" t="s">
        <v>1</v>
      </c>
      <c r="H26" s="36">
        <v>0</v>
      </c>
      <c r="I26" s="36" t="s">
        <v>193</v>
      </c>
      <c r="J26" s="36" t="s">
        <v>194</v>
      </c>
      <c r="K26" s="36" t="s">
        <v>195</v>
      </c>
      <c r="L26" s="36">
        <v>923</v>
      </c>
      <c r="M26" s="36"/>
      <c r="N26" s="36" t="s">
        <v>239</v>
      </c>
      <c r="O26" s="36" t="s">
        <v>240</v>
      </c>
      <c r="P26" s="36">
        <v>2</v>
      </c>
      <c r="Q26" s="36" t="s">
        <v>241</v>
      </c>
      <c r="R26" s="36" t="s">
        <v>598</v>
      </c>
      <c r="S26" s="37">
        <v>244626</v>
      </c>
      <c r="T26" s="36" t="s">
        <v>599</v>
      </c>
      <c r="U26" s="36">
        <v>23097793</v>
      </c>
      <c r="V26" s="36" t="s">
        <v>66</v>
      </c>
      <c r="W26" s="36">
        <v>10</v>
      </c>
      <c r="X26" s="36">
        <v>10</v>
      </c>
      <c r="Y26" s="36">
        <v>10</v>
      </c>
      <c r="Z26" s="36">
        <v>10</v>
      </c>
      <c r="AA26" s="36">
        <v>0</v>
      </c>
      <c r="AB26" s="36">
        <v>0</v>
      </c>
      <c r="AC26" s="36">
        <v>0</v>
      </c>
      <c r="AD26" s="36">
        <v>0</v>
      </c>
      <c r="AE26" s="36">
        <v>10</v>
      </c>
      <c r="AF26" s="36">
        <v>10</v>
      </c>
      <c r="AG26" s="36"/>
      <c r="AH26" s="36"/>
      <c r="AI26" s="36" t="s">
        <v>200</v>
      </c>
      <c r="AJ26" s="36" t="s">
        <v>201</v>
      </c>
      <c r="AK26" s="36" t="s">
        <v>202</v>
      </c>
      <c r="AL26" s="36" t="s">
        <v>203</v>
      </c>
      <c r="AM26" s="36" t="s">
        <v>204</v>
      </c>
      <c r="AN26" s="36" t="s">
        <v>222</v>
      </c>
      <c r="AO26" s="36" t="s">
        <v>206</v>
      </c>
      <c r="AP26" s="36">
        <v>2</v>
      </c>
      <c r="AQ26" s="36"/>
      <c r="AR26" s="36"/>
      <c r="AS26" s="36"/>
      <c r="AT26" s="36" t="s">
        <v>247</v>
      </c>
      <c r="AU26" s="36" t="s">
        <v>600</v>
      </c>
      <c r="AV26" s="36" t="s">
        <v>216</v>
      </c>
      <c r="AW26" s="36" t="s">
        <v>209</v>
      </c>
      <c r="AX26" s="36" t="s">
        <v>210</v>
      </c>
      <c r="AY26" s="36">
        <v>0</v>
      </c>
      <c r="AZ26" s="36" t="s">
        <v>211</v>
      </c>
      <c r="BA26" s="36">
        <v>9045088524599</v>
      </c>
      <c r="BB26" s="36"/>
      <c r="BC26" s="36"/>
      <c r="BD26" s="36">
        <v>1</v>
      </c>
      <c r="BE26" s="36"/>
      <c r="BF26" s="36"/>
      <c r="BG26" s="36">
        <v>1333314600</v>
      </c>
      <c r="BH26" s="36" t="s">
        <v>213</v>
      </c>
      <c r="BI26" s="36">
        <v>10</v>
      </c>
      <c r="BJ26" s="36">
        <v>10</v>
      </c>
      <c r="BK26" s="36">
        <v>1300</v>
      </c>
      <c r="BL26" s="36" t="s">
        <v>214</v>
      </c>
      <c r="BM26" s="36"/>
      <c r="BN26" s="36"/>
    </row>
    <row r="27" spans="1:66" x14ac:dyDescent="0.35">
      <c r="A27" s="36"/>
      <c r="B27" s="36"/>
      <c r="C27" s="37">
        <v>244626</v>
      </c>
      <c r="D27" s="37">
        <v>244626</v>
      </c>
      <c r="E27" s="36"/>
      <c r="F27" s="36" t="s">
        <v>192</v>
      </c>
      <c r="G27" s="36" t="s">
        <v>1</v>
      </c>
      <c r="H27" s="36">
        <v>0</v>
      </c>
      <c r="I27" s="36" t="s">
        <v>193</v>
      </c>
      <c r="J27" s="36" t="s">
        <v>194</v>
      </c>
      <c r="K27" s="36" t="s">
        <v>195</v>
      </c>
      <c r="L27" s="36">
        <v>923</v>
      </c>
      <c r="M27" s="36"/>
      <c r="N27" s="36" t="s">
        <v>239</v>
      </c>
      <c r="O27" s="36" t="s">
        <v>240</v>
      </c>
      <c r="P27" s="36">
        <v>2</v>
      </c>
      <c r="Q27" s="36" t="s">
        <v>241</v>
      </c>
      <c r="R27" s="36" t="s">
        <v>598</v>
      </c>
      <c r="S27" s="37">
        <v>244626</v>
      </c>
      <c r="T27" s="36" t="s">
        <v>599</v>
      </c>
      <c r="U27" s="36">
        <v>23025323</v>
      </c>
      <c r="V27" s="36" t="s">
        <v>356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/>
      <c r="AH27" s="36"/>
      <c r="AI27" s="36" t="s">
        <v>200</v>
      </c>
      <c r="AJ27" s="36" t="s">
        <v>201</v>
      </c>
      <c r="AK27" s="36" t="s">
        <v>202</v>
      </c>
      <c r="AL27" s="36" t="s">
        <v>246</v>
      </c>
      <c r="AM27" s="36" t="s">
        <v>204</v>
      </c>
      <c r="AN27" s="36" t="s">
        <v>222</v>
      </c>
      <c r="AO27" s="36" t="s">
        <v>206</v>
      </c>
      <c r="AP27" s="36">
        <v>2</v>
      </c>
      <c r="AQ27" s="36"/>
      <c r="AR27" s="36"/>
      <c r="AS27" s="36"/>
      <c r="AT27" s="36" t="s">
        <v>247</v>
      </c>
      <c r="AU27" s="36" t="s">
        <v>600</v>
      </c>
      <c r="AV27" s="36" t="s">
        <v>249</v>
      </c>
      <c r="AW27" s="36" t="s">
        <v>209</v>
      </c>
      <c r="AX27" s="36" t="s">
        <v>210</v>
      </c>
      <c r="AY27" s="36">
        <v>0</v>
      </c>
      <c r="AZ27" s="36" t="s">
        <v>211</v>
      </c>
      <c r="BA27" s="36">
        <v>9045088524599</v>
      </c>
      <c r="BB27" s="36"/>
      <c r="BC27" s="36"/>
      <c r="BD27" s="36">
        <v>1</v>
      </c>
      <c r="BE27" s="36"/>
      <c r="BF27" s="36"/>
      <c r="BG27" s="36">
        <v>1333314600</v>
      </c>
      <c r="BH27" s="36" t="s">
        <v>213</v>
      </c>
      <c r="BI27" s="36">
        <v>0</v>
      </c>
      <c r="BJ27" s="36">
        <v>0</v>
      </c>
      <c r="BK27" s="36">
        <v>1300</v>
      </c>
      <c r="BL27" s="36" t="s">
        <v>214</v>
      </c>
      <c r="BM27" s="36"/>
      <c r="BN27" s="36"/>
    </row>
    <row r="28" spans="1:66" x14ac:dyDescent="0.35">
      <c r="A28" s="36"/>
      <c r="B28" s="36"/>
      <c r="C28" s="37">
        <v>244626</v>
      </c>
      <c r="D28" s="37">
        <v>244626</v>
      </c>
      <c r="E28" s="36"/>
      <c r="F28" s="36" t="s">
        <v>192</v>
      </c>
      <c r="G28" s="36" t="s">
        <v>1</v>
      </c>
      <c r="H28" s="36">
        <v>0</v>
      </c>
      <c r="I28" s="36" t="s">
        <v>193</v>
      </c>
      <c r="J28" s="36" t="s">
        <v>194</v>
      </c>
      <c r="K28" s="36" t="s">
        <v>195</v>
      </c>
      <c r="L28" s="36">
        <v>923</v>
      </c>
      <c r="M28" s="36"/>
      <c r="N28" s="36" t="s">
        <v>239</v>
      </c>
      <c r="O28" s="36" t="s">
        <v>240</v>
      </c>
      <c r="P28" s="36">
        <v>2</v>
      </c>
      <c r="Q28" s="36" t="s">
        <v>241</v>
      </c>
      <c r="R28" s="36" t="s">
        <v>598</v>
      </c>
      <c r="S28" s="37">
        <v>244626</v>
      </c>
      <c r="T28" s="36" t="s">
        <v>599</v>
      </c>
      <c r="U28" s="36">
        <v>23097788</v>
      </c>
      <c r="V28" s="36" t="s">
        <v>61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/>
      <c r="AH28" s="36"/>
      <c r="AI28" s="36" t="s">
        <v>200</v>
      </c>
      <c r="AJ28" s="36" t="s">
        <v>201</v>
      </c>
      <c r="AK28" s="36" t="s">
        <v>215</v>
      </c>
      <c r="AL28" s="36" t="s">
        <v>203</v>
      </c>
      <c r="AM28" s="36" t="s">
        <v>204</v>
      </c>
      <c r="AN28" s="36" t="s">
        <v>222</v>
      </c>
      <c r="AO28" s="36" t="s">
        <v>206</v>
      </c>
      <c r="AP28" s="36">
        <v>2</v>
      </c>
      <c r="AQ28" s="36"/>
      <c r="AR28" s="36"/>
      <c r="AS28" s="36"/>
      <c r="AT28" s="36" t="s">
        <v>247</v>
      </c>
      <c r="AU28" s="36" t="s">
        <v>600</v>
      </c>
      <c r="AV28" s="36" t="s">
        <v>216</v>
      </c>
      <c r="AW28" s="36" t="s">
        <v>209</v>
      </c>
      <c r="AX28" s="36" t="s">
        <v>210</v>
      </c>
      <c r="AY28" s="36">
        <v>0</v>
      </c>
      <c r="AZ28" s="36" t="s">
        <v>211</v>
      </c>
      <c r="BA28" s="36">
        <v>9045088524599</v>
      </c>
      <c r="BB28" s="36"/>
      <c r="BC28" s="36"/>
      <c r="BD28" s="36">
        <v>1</v>
      </c>
      <c r="BE28" s="36"/>
      <c r="BF28" s="36"/>
      <c r="BG28" s="36">
        <v>1333314600</v>
      </c>
      <c r="BH28" s="36" t="s">
        <v>213</v>
      </c>
      <c r="BI28" s="36">
        <v>0</v>
      </c>
      <c r="BJ28" s="36">
        <v>0</v>
      </c>
      <c r="BK28" s="36">
        <v>1300</v>
      </c>
      <c r="BL28" s="36" t="s">
        <v>214</v>
      </c>
      <c r="BM28" s="36"/>
      <c r="BN28" s="36"/>
    </row>
    <row r="29" spans="1:66" x14ac:dyDescent="0.35">
      <c r="A29" s="36"/>
      <c r="B29" s="36"/>
      <c r="C29" s="37">
        <v>244626</v>
      </c>
      <c r="D29" s="37">
        <v>244626</v>
      </c>
      <c r="E29" s="36"/>
      <c r="F29" s="36" t="s">
        <v>192</v>
      </c>
      <c r="G29" s="36" t="s">
        <v>1</v>
      </c>
      <c r="H29" s="36">
        <v>0</v>
      </c>
      <c r="I29" s="36" t="s">
        <v>193</v>
      </c>
      <c r="J29" s="36" t="s">
        <v>194</v>
      </c>
      <c r="K29" s="36" t="s">
        <v>195</v>
      </c>
      <c r="L29" s="36">
        <v>923</v>
      </c>
      <c r="M29" s="36"/>
      <c r="N29" s="36" t="s">
        <v>218</v>
      </c>
      <c r="O29" s="36" t="s">
        <v>219</v>
      </c>
      <c r="P29" s="36">
        <v>2</v>
      </c>
      <c r="Q29" s="36" t="s">
        <v>220</v>
      </c>
      <c r="R29" s="37">
        <v>244412</v>
      </c>
      <c r="S29" s="37">
        <v>244626</v>
      </c>
      <c r="T29" s="36" t="s">
        <v>601</v>
      </c>
      <c r="U29" s="36">
        <v>23109357</v>
      </c>
      <c r="V29" s="36" t="s">
        <v>82</v>
      </c>
      <c r="W29" s="36">
        <v>2</v>
      </c>
      <c r="X29" s="36">
        <v>0.8</v>
      </c>
      <c r="Y29" s="36">
        <v>2</v>
      </c>
      <c r="Z29" s="36">
        <v>0.8</v>
      </c>
      <c r="AA29" s="36">
        <v>0</v>
      </c>
      <c r="AB29" s="36">
        <v>0</v>
      </c>
      <c r="AC29" s="36">
        <v>0</v>
      </c>
      <c r="AD29" s="36">
        <v>0</v>
      </c>
      <c r="AE29" s="36">
        <v>2</v>
      </c>
      <c r="AF29" s="36">
        <v>0.8</v>
      </c>
      <c r="AG29" s="36"/>
      <c r="AH29" s="36"/>
      <c r="AI29" s="36" t="s">
        <v>200</v>
      </c>
      <c r="AJ29" s="36" t="s">
        <v>201</v>
      </c>
      <c r="AK29" s="36" t="s">
        <v>202</v>
      </c>
      <c r="AL29" s="36" t="s">
        <v>225</v>
      </c>
      <c r="AM29" s="36" t="s">
        <v>204</v>
      </c>
      <c r="AN29" s="36" t="s">
        <v>222</v>
      </c>
      <c r="AO29" s="36" t="s">
        <v>206</v>
      </c>
      <c r="AP29" s="36">
        <v>2</v>
      </c>
      <c r="AQ29" s="36"/>
      <c r="AR29" s="36"/>
      <c r="AS29" s="36"/>
      <c r="AT29" s="36" t="s">
        <v>223</v>
      </c>
      <c r="AU29" s="36" t="s">
        <v>602</v>
      </c>
      <c r="AV29" s="36" t="s">
        <v>216</v>
      </c>
      <c r="AW29" s="36" t="s">
        <v>209</v>
      </c>
      <c r="AX29" s="36" t="s">
        <v>210</v>
      </c>
      <c r="AY29" s="36">
        <v>0</v>
      </c>
      <c r="AZ29" s="36" t="s">
        <v>211</v>
      </c>
      <c r="BA29" s="36">
        <v>9045088637538</v>
      </c>
      <c r="BB29" s="36"/>
      <c r="BC29" s="36"/>
      <c r="BD29" s="36">
        <v>1</v>
      </c>
      <c r="BE29" s="36"/>
      <c r="BF29" s="36"/>
      <c r="BG29" s="36">
        <v>1333314600</v>
      </c>
      <c r="BH29" s="36" t="s">
        <v>213</v>
      </c>
      <c r="BI29" s="36">
        <v>2</v>
      </c>
      <c r="BJ29" s="36">
        <v>0.8</v>
      </c>
      <c r="BK29" s="36">
        <v>1300</v>
      </c>
      <c r="BL29" s="36" t="s">
        <v>214</v>
      </c>
      <c r="BM29" s="36"/>
      <c r="BN29" s="36"/>
    </row>
    <row r="30" spans="1:66" x14ac:dyDescent="0.35">
      <c r="A30" s="36"/>
      <c r="B30" s="36"/>
      <c r="C30" s="37">
        <v>244626</v>
      </c>
      <c r="D30" s="37">
        <v>244626</v>
      </c>
      <c r="E30" s="36"/>
      <c r="F30" s="36" t="s">
        <v>192</v>
      </c>
      <c r="G30" s="36" t="s">
        <v>1</v>
      </c>
      <c r="H30" s="36">
        <v>0</v>
      </c>
      <c r="I30" s="36" t="s">
        <v>193</v>
      </c>
      <c r="J30" s="36" t="s">
        <v>194</v>
      </c>
      <c r="K30" s="36" t="s">
        <v>195</v>
      </c>
      <c r="L30" s="36">
        <v>923</v>
      </c>
      <c r="M30" s="36"/>
      <c r="N30" s="36" t="s">
        <v>218</v>
      </c>
      <c r="O30" s="36" t="s">
        <v>219</v>
      </c>
      <c r="P30" s="36">
        <v>2</v>
      </c>
      <c r="Q30" s="36" t="s">
        <v>220</v>
      </c>
      <c r="R30" s="37">
        <v>244412</v>
      </c>
      <c r="S30" s="37">
        <v>244626</v>
      </c>
      <c r="T30" s="36" t="s">
        <v>601</v>
      </c>
      <c r="U30" s="36">
        <v>23097788</v>
      </c>
      <c r="V30" s="36" t="s">
        <v>61</v>
      </c>
      <c r="W30" s="36">
        <v>2</v>
      </c>
      <c r="X30" s="36">
        <v>2</v>
      </c>
      <c r="Y30" s="36">
        <v>2</v>
      </c>
      <c r="Z30" s="36">
        <v>2</v>
      </c>
      <c r="AA30" s="36">
        <v>0</v>
      </c>
      <c r="AB30" s="36">
        <v>0</v>
      </c>
      <c r="AC30" s="36">
        <v>0</v>
      </c>
      <c r="AD30" s="36">
        <v>0</v>
      </c>
      <c r="AE30" s="36">
        <v>2</v>
      </c>
      <c r="AF30" s="36">
        <v>2</v>
      </c>
      <c r="AG30" s="36"/>
      <c r="AH30" s="36"/>
      <c r="AI30" s="36" t="s">
        <v>200</v>
      </c>
      <c r="AJ30" s="36" t="s">
        <v>201</v>
      </c>
      <c r="AK30" s="36" t="s">
        <v>215</v>
      </c>
      <c r="AL30" s="36" t="s">
        <v>203</v>
      </c>
      <c r="AM30" s="36" t="s">
        <v>204</v>
      </c>
      <c r="AN30" s="36" t="s">
        <v>222</v>
      </c>
      <c r="AO30" s="36" t="s">
        <v>206</v>
      </c>
      <c r="AP30" s="36">
        <v>2</v>
      </c>
      <c r="AQ30" s="36"/>
      <c r="AR30" s="36"/>
      <c r="AS30" s="36"/>
      <c r="AT30" s="36" t="s">
        <v>223</v>
      </c>
      <c r="AU30" s="36" t="s">
        <v>602</v>
      </c>
      <c r="AV30" s="36" t="s">
        <v>216</v>
      </c>
      <c r="AW30" s="36" t="s">
        <v>209</v>
      </c>
      <c r="AX30" s="36" t="s">
        <v>210</v>
      </c>
      <c r="AY30" s="36">
        <v>0</v>
      </c>
      <c r="AZ30" s="36" t="s">
        <v>211</v>
      </c>
      <c r="BA30" s="36">
        <v>9045088637538</v>
      </c>
      <c r="BB30" s="36"/>
      <c r="BC30" s="36"/>
      <c r="BD30" s="36">
        <v>1</v>
      </c>
      <c r="BE30" s="36"/>
      <c r="BF30" s="36"/>
      <c r="BG30" s="36">
        <v>1333314600</v>
      </c>
      <c r="BH30" s="36" t="s">
        <v>213</v>
      </c>
      <c r="BI30" s="36">
        <v>2</v>
      </c>
      <c r="BJ30" s="36">
        <v>2</v>
      </c>
      <c r="BK30" s="36">
        <v>1300</v>
      </c>
      <c r="BL30" s="36" t="s">
        <v>214</v>
      </c>
      <c r="BM30" s="36"/>
      <c r="BN30" s="36"/>
    </row>
    <row r="31" spans="1:66" x14ac:dyDescent="0.35">
      <c r="A31" s="36"/>
      <c r="B31" s="36"/>
      <c r="C31" s="37">
        <v>244626</v>
      </c>
      <c r="D31" s="37">
        <v>244626</v>
      </c>
      <c r="E31" s="36"/>
      <c r="F31" s="36" t="s">
        <v>192</v>
      </c>
      <c r="G31" s="36" t="s">
        <v>1</v>
      </c>
      <c r="H31" s="36">
        <v>0</v>
      </c>
      <c r="I31" s="36" t="s">
        <v>193</v>
      </c>
      <c r="J31" s="36" t="s">
        <v>194</v>
      </c>
      <c r="K31" s="36" t="s">
        <v>195</v>
      </c>
      <c r="L31" s="36">
        <v>923</v>
      </c>
      <c r="M31" s="36"/>
      <c r="N31" s="36" t="s">
        <v>218</v>
      </c>
      <c r="O31" s="36" t="s">
        <v>219</v>
      </c>
      <c r="P31" s="36">
        <v>2</v>
      </c>
      <c r="Q31" s="36" t="s">
        <v>220</v>
      </c>
      <c r="R31" s="37">
        <v>244412</v>
      </c>
      <c r="S31" s="37">
        <v>244626</v>
      </c>
      <c r="T31" s="36" t="s">
        <v>601</v>
      </c>
      <c r="U31" s="36">
        <v>23109359</v>
      </c>
      <c r="V31" s="36" t="s">
        <v>84</v>
      </c>
      <c r="W31" s="36">
        <v>12</v>
      </c>
      <c r="X31" s="36">
        <v>4.8</v>
      </c>
      <c r="Y31" s="36">
        <v>12</v>
      </c>
      <c r="Z31" s="36">
        <v>4.8</v>
      </c>
      <c r="AA31" s="36">
        <v>0</v>
      </c>
      <c r="AB31" s="36">
        <v>0</v>
      </c>
      <c r="AC31" s="36">
        <v>0</v>
      </c>
      <c r="AD31" s="36">
        <v>0</v>
      </c>
      <c r="AE31" s="36">
        <v>12</v>
      </c>
      <c r="AF31" s="36">
        <v>4.8</v>
      </c>
      <c r="AG31" s="36"/>
      <c r="AH31" s="36"/>
      <c r="AI31" s="36" t="s">
        <v>200</v>
      </c>
      <c r="AJ31" s="36" t="s">
        <v>201</v>
      </c>
      <c r="AK31" s="36" t="s">
        <v>202</v>
      </c>
      <c r="AL31" s="36" t="s">
        <v>225</v>
      </c>
      <c r="AM31" s="36" t="s">
        <v>204</v>
      </c>
      <c r="AN31" s="36" t="s">
        <v>222</v>
      </c>
      <c r="AO31" s="36" t="s">
        <v>206</v>
      </c>
      <c r="AP31" s="36">
        <v>2</v>
      </c>
      <c r="AQ31" s="36"/>
      <c r="AR31" s="36"/>
      <c r="AS31" s="36"/>
      <c r="AT31" s="36" t="s">
        <v>223</v>
      </c>
      <c r="AU31" s="36" t="s">
        <v>602</v>
      </c>
      <c r="AV31" s="36" t="s">
        <v>216</v>
      </c>
      <c r="AW31" s="36" t="s">
        <v>209</v>
      </c>
      <c r="AX31" s="36" t="s">
        <v>210</v>
      </c>
      <c r="AY31" s="36">
        <v>0</v>
      </c>
      <c r="AZ31" s="36" t="s">
        <v>211</v>
      </c>
      <c r="BA31" s="36">
        <v>9045088637538</v>
      </c>
      <c r="BB31" s="36"/>
      <c r="BC31" s="36"/>
      <c r="BD31" s="36">
        <v>1</v>
      </c>
      <c r="BE31" s="36"/>
      <c r="BF31" s="36"/>
      <c r="BG31" s="36">
        <v>1333314600</v>
      </c>
      <c r="BH31" s="36" t="s">
        <v>213</v>
      </c>
      <c r="BI31" s="36">
        <v>12</v>
      </c>
      <c r="BJ31" s="36">
        <v>4.8</v>
      </c>
      <c r="BK31" s="36">
        <v>1300</v>
      </c>
      <c r="BL31" s="36" t="s">
        <v>214</v>
      </c>
      <c r="BM31" s="36"/>
      <c r="BN31" s="36"/>
    </row>
    <row r="32" spans="1:66" x14ac:dyDescent="0.35">
      <c r="A32" s="36"/>
      <c r="B32" s="36"/>
      <c r="C32" s="37">
        <v>244626</v>
      </c>
      <c r="D32" s="37">
        <v>244626</v>
      </c>
      <c r="E32" s="36"/>
      <c r="F32" s="36" t="s">
        <v>192</v>
      </c>
      <c r="G32" s="36" t="s">
        <v>1</v>
      </c>
      <c r="H32" s="36">
        <v>0</v>
      </c>
      <c r="I32" s="36" t="s">
        <v>193</v>
      </c>
      <c r="J32" s="36" t="s">
        <v>194</v>
      </c>
      <c r="K32" s="36" t="s">
        <v>195</v>
      </c>
      <c r="L32" s="36">
        <v>923</v>
      </c>
      <c r="M32" s="36"/>
      <c r="N32" s="36" t="s">
        <v>218</v>
      </c>
      <c r="O32" s="36" t="s">
        <v>219</v>
      </c>
      <c r="P32" s="36">
        <v>2</v>
      </c>
      <c r="Q32" s="36" t="s">
        <v>220</v>
      </c>
      <c r="R32" s="37">
        <v>244412</v>
      </c>
      <c r="S32" s="37">
        <v>244626</v>
      </c>
      <c r="T32" s="36" t="s">
        <v>601</v>
      </c>
      <c r="U32" s="36">
        <v>23097787</v>
      </c>
      <c r="V32" s="36" t="s">
        <v>60</v>
      </c>
      <c r="W32" s="36">
        <v>2</v>
      </c>
      <c r="X32" s="36">
        <v>2</v>
      </c>
      <c r="Y32" s="36">
        <v>2</v>
      </c>
      <c r="Z32" s="36">
        <v>2</v>
      </c>
      <c r="AA32" s="36">
        <v>0</v>
      </c>
      <c r="AB32" s="36">
        <v>0</v>
      </c>
      <c r="AC32" s="36">
        <v>0</v>
      </c>
      <c r="AD32" s="36">
        <v>0</v>
      </c>
      <c r="AE32" s="36">
        <v>2</v>
      </c>
      <c r="AF32" s="36">
        <v>2</v>
      </c>
      <c r="AG32" s="36"/>
      <c r="AH32" s="36"/>
      <c r="AI32" s="36" t="s">
        <v>200</v>
      </c>
      <c r="AJ32" s="36" t="s">
        <v>201</v>
      </c>
      <c r="AK32" s="36" t="s">
        <v>215</v>
      </c>
      <c r="AL32" s="36" t="s">
        <v>203</v>
      </c>
      <c r="AM32" s="36" t="s">
        <v>204</v>
      </c>
      <c r="AN32" s="36" t="s">
        <v>222</v>
      </c>
      <c r="AO32" s="36" t="s">
        <v>206</v>
      </c>
      <c r="AP32" s="36">
        <v>2</v>
      </c>
      <c r="AQ32" s="36"/>
      <c r="AR32" s="36"/>
      <c r="AS32" s="36"/>
      <c r="AT32" s="36" t="s">
        <v>223</v>
      </c>
      <c r="AU32" s="36" t="s">
        <v>602</v>
      </c>
      <c r="AV32" s="36" t="s">
        <v>216</v>
      </c>
      <c r="AW32" s="36" t="s">
        <v>209</v>
      </c>
      <c r="AX32" s="36" t="s">
        <v>210</v>
      </c>
      <c r="AY32" s="36">
        <v>0</v>
      </c>
      <c r="AZ32" s="36" t="s">
        <v>211</v>
      </c>
      <c r="BA32" s="36">
        <v>9045088637538</v>
      </c>
      <c r="BB32" s="36"/>
      <c r="BC32" s="36"/>
      <c r="BD32" s="36">
        <v>1</v>
      </c>
      <c r="BE32" s="36"/>
      <c r="BF32" s="36"/>
      <c r="BG32" s="36">
        <v>1333314600</v>
      </c>
      <c r="BH32" s="36" t="s">
        <v>213</v>
      </c>
      <c r="BI32" s="36">
        <v>2</v>
      </c>
      <c r="BJ32" s="36">
        <v>2</v>
      </c>
      <c r="BK32" s="36">
        <v>1300</v>
      </c>
      <c r="BL32" s="36" t="s">
        <v>214</v>
      </c>
      <c r="BM32" s="36"/>
      <c r="BN32" s="36"/>
    </row>
    <row r="33" spans="1:66" x14ac:dyDescent="0.35">
      <c r="A33" s="36"/>
      <c r="B33" s="36"/>
      <c r="C33" s="37">
        <v>244626</v>
      </c>
      <c r="D33" s="37">
        <v>244626</v>
      </c>
      <c r="E33" s="36"/>
      <c r="F33" s="36" t="s">
        <v>192</v>
      </c>
      <c r="G33" s="36" t="s">
        <v>1</v>
      </c>
      <c r="H33" s="36">
        <v>0</v>
      </c>
      <c r="I33" s="36" t="s">
        <v>193</v>
      </c>
      <c r="J33" s="36" t="s">
        <v>194</v>
      </c>
      <c r="K33" s="36" t="s">
        <v>195</v>
      </c>
      <c r="L33" s="36">
        <v>923</v>
      </c>
      <c r="M33" s="36"/>
      <c r="N33" s="36" t="s">
        <v>218</v>
      </c>
      <c r="O33" s="36" t="s">
        <v>219</v>
      </c>
      <c r="P33" s="36">
        <v>2</v>
      </c>
      <c r="Q33" s="36" t="s">
        <v>220</v>
      </c>
      <c r="R33" s="37">
        <v>244412</v>
      </c>
      <c r="S33" s="37">
        <v>244626</v>
      </c>
      <c r="T33" s="36" t="s">
        <v>601</v>
      </c>
      <c r="U33" s="36">
        <v>23097796</v>
      </c>
      <c r="V33" s="36" t="s">
        <v>67</v>
      </c>
      <c r="W33" s="36">
        <v>2</v>
      </c>
      <c r="X33" s="36">
        <v>2</v>
      </c>
      <c r="Y33" s="36">
        <v>2</v>
      </c>
      <c r="Z33" s="36">
        <v>2</v>
      </c>
      <c r="AA33" s="36">
        <v>0</v>
      </c>
      <c r="AB33" s="36">
        <v>0</v>
      </c>
      <c r="AC33" s="36">
        <v>0</v>
      </c>
      <c r="AD33" s="36">
        <v>0</v>
      </c>
      <c r="AE33" s="36">
        <v>2</v>
      </c>
      <c r="AF33" s="36">
        <v>2</v>
      </c>
      <c r="AG33" s="36"/>
      <c r="AH33" s="36"/>
      <c r="AI33" s="36" t="s">
        <v>200</v>
      </c>
      <c r="AJ33" s="36" t="s">
        <v>201</v>
      </c>
      <c r="AK33" s="36" t="s">
        <v>202</v>
      </c>
      <c r="AL33" s="36" t="s">
        <v>203</v>
      </c>
      <c r="AM33" s="36" t="s">
        <v>204</v>
      </c>
      <c r="AN33" s="36" t="s">
        <v>222</v>
      </c>
      <c r="AO33" s="36" t="s">
        <v>206</v>
      </c>
      <c r="AP33" s="36">
        <v>2</v>
      </c>
      <c r="AQ33" s="36"/>
      <c r="AR33" s="36"/>
      <c r="AS33" s="36"/>
      <c r="AT33" s="36" t="s">
        <v>223</v>
      </c>
      <c r="AU33" s="36" t="s">
        <v>602</v>
      </c>
      <c r="AV33" s="36" t="s">
        <v>216</v>
      </c>
      <c r="AW33" s="36" t="s">
        <v>209</v>
      </c>
      <c r="AX33" s="36" t="s">
        <v>210</v>
      </c>
      <c r="AY33" s="36">
        <v>0</v>
      </c>
      <c r="AZ33" s="36" t="s">
        <v>211</v>
      </c>
      <c r="BA33" s="36">
        <v>9045088637538</v>
      </c>
      <c r="BB33" s="36"/>
      <c r="BC33" s="36"/>
      <c r="BD33" s="36">
        <v>1</v>
      </c>
      <c r="BE33" s="36"/>
      <c r="BF33" s="36"/>
      <c r="BG33" s="36">
        <v>1333314600</v>
      </c>
      <c r="BH33" s="36" t="s">
        <v>213</v>
      </c>
      <c r="BI33" s="36">
        <v>2</v>
      </c>
      <c r="BJ33" s="36">
        <v>2</v>
      </c>
      <c r="BK33" s="36">
        <v>1300</v>
      </c>
      <c r="BL33" s="36" t="s">
        <v>214</v>
      </c>
      <c r="BM33" s="36"/>
      <c r="BN33" s="36"/>
    </row>
    <row r="34" spans="1:66" x14ac:dyDescent="0.35">
      <c r="A34" s="36"/>
      <c r="B34" s="36"/>
      <c r="C34" s="37">
        <v>244626</v>
      </c>
      <c r="D34" s="37">
        <v>244626</v>
      </c>
      <c r="E34" s="36"/>
      <c r="F34" s="36" t="s">
        <v>192</v>
      </c>
      <c r="G34" s="36" t="s">
        <v>1</v>
      </c>
      <c r="H34" s="36">
        <v>0</v>
      </c>
      <c r="I34" s="36" t="s">
        <v>193</v>
      </c>
      <c r="J34" s="36" t="s">
        <v>194</v>
      </c>
      <c r="K34" s="36" t="s">
        <v>195</v>
      </c>
      <c r="L34" s="36">
        <v>923</v>
      </c>
      <c r="M34" s="36"/>
      <c r="N34" s="36" t="s">
        <v>218</v>
      </c>
      <c r="O34" s="36" t="s">
        <v>219</v>
      </c>
      <c r="P34" s="36">
        <v>2</v>
      </c>
      <c r="Q34" s="36" t="s">
        <v>220</v>
      </c>
      <c r="R34" s="37">
        <v>244412</v>
      </c>
      <c r="S34" s="37">
        <v>244626</v>
      </c>
      <c r="T34" s="36" t="s">
        <v>601</v>
      </c>
      <c r="U34" s="36">
        <v>23109358</v>
      </c>
      <c r="V34" s="36" t="s">
        <v>83</v>
      </c>
      <c r="W34" s="36">
        <v>4</v>
      </c>
      <c r="X34" s="36">
        <v>1.6</v>
      </c>
      <c r="Y34" s="36">
        <v>4</v>
      </c>
      <c r="Z34" s="36">
        <v>1.6</v>
      </c>
      <c r="AA34" s="36">
        <v>0</v>
      </c>
      <c r="AB34" s="36">
        <v>0</v>
      </c>
      <c r="AC34" s="36">
        <v>0</v>
      </c>
      <c r="AD34" s="36">
        <v>0</v>
      </c>
      <c r="AE34" s="36">
        <v>4</v>
      </c>
      <c r="AF34" s="36">
        <v>1.6</v>
      </c>
      <c r="AG34" s="36"/>
      <c r="AH34" s="36"/>
      <c r="AI34" s="36" t="s">
        <v>200</v>
      </c>
      <c r="AJ34" s="36" t="s">
        <v>201</v>
      </c>
      <c r="AK34" s="36" t="s">
        <v>202</v>
      </c>
      <c r="AL34" s="36" t="s">
        <v>225</v>
      </c>
      <c r="AM34" s="36" t="s">
        <v>204</v>
      </c>
      <c r="AN34" s="36" t="s">
        <v>222</v>
      </c>
      <c r="AO34" s="36" t="s">
        <v>206</v>
      </c>
      <c r="AP34" s="36">
        <v>2</v>
      </c>
      <c r="AQ34" s="36"/>
      <c r="AR34" s="36"/>
      <c r="AS34" s="36"/>
      <c r="AT34" s="36" t="s">
        <v>223</v>
      </c>
      <c r="AU34" s="36" t="s">
        <v>602</v>
      </c>
      <c r="AV34" s="36" t="s">
        <v>216</v>
      </c>
      <c r="AW34" s="36" t="s">
        <v>209</v>
      </c>
      <c r="AX34" s="36" t="s">
        <v>210</v>
      </c>
      <c r="AY34" s="36">
        <v>0</v>
      </c>
      <c r="AZ34" s="36" t="s">
        <v>211</v>
      </c>
      <c r="BA34" s="36">
        <v>9045088637538</v>
      </c>
      <c r="BB34" s="36"/>
      <c r="BC34" s="36"/>
      <c r="BD34" s="36">
        <v>1</v>
      </c>
      <c r="BE34" s="36"/>
      <c r="BF34" s="36"/>
      <c r="BG34" s="36">
        <v>1333314600</v>
      </c>
      <c r="BH34" s="36" t="s">
        <v>213</v>
      </c>
      <c r="BI34" s="36">
        <v>4</v>
      </c>
      <c r="BJ34" s="36">
        <v>1.6</v>
      </c>
      <c r="BK34" s="36">
        <v>1300</v>
      </c>
      <c r="BL34" s="36" t="s">
        <v>214</v>
      </c>
      <c r="BM34" s="36"/>
      <c r="BN34" s="36"/>
    </row>
    <row r="35" spans="1:66" x14ac:dyDescent="0.35">
      <c r="A35" s="36"/>
      <c r="B35" s="36"/>
      <c r="C35" s="37">
        <v>244626</v>
      </c>
      <c r="D35" s="37">
        <v>244626</v>
      </c>
      <c r="E35" s="36"/>
      <c r="F35" s="36" t="s">
        <v>192</v>
      </c>
      <c r="G35" s="36" t="s">
        <v>1</v>
      </c>
      <c r="H35" s="36">
        <v>0</v>
      </c>
      <c r="I35" s="36" t="s">
        <v>193</v>
      </c>
      <c r="J35" s="36" t="s">
        <v>194</v>
      </c>
      <c r="K35" s="36" t="s">
        <v>195</v>
      </c>
      <c r="L35" s="36">
        <v>923</v>
      </c>
      <c r="M35" s="36"/>
      <c r="N35" s="36" t="s">
        <v>218</v>
      </c>
      <c r="O35" s="36" t="s">
        <v>219</v>
      </c>
      <c r="P35" s="36">
        <v>2</v>
      </c>
      <c r="Q35" s="36" t="s">
        <v>220</v>
      </c>
      <c r="R35" s="37">
        <v>244412</v>
      </c>
      <c r="S35" s="37">
        <v>244626</v>
      </c>
      <c r="T35" s="36" t="s">
        <v>601</v>
      </c>
      <c r="U35" s="36">
        <v>23109352</v>
      </c>
      <c r="V35" s="36" t="s">
        <v>80</v>
      </c>
      <c r="W35" s="36">
        <v>12</v>
      </c>
      <c r="X35" s="36">
        <v>3</v>
      </c>
      <c r="Y35" s="36">
        <v>12</v>
      </c>
      <c r="Z35" s="36">
        <v>3</v>
      </c>
      <c r="AA35" s="36">
        <v>0</v>
      </c>
      <c r="AB35" s="36">
        <v>0</v>
      </c>
      <c r="AC35" s="36">
        <v>0</v>
      </c>
      <c r="AD35" s="36">
        <v>0</v>
      </c>
      <c r="AE35" s="36">
        <v>12</v>
      </c>
      <c r="AF35" s="36">
        <v>3</v>
      </c>
      <c r="AG35" s="36"/>
      <c r="AH35" s="36"/>
      <c r="AI35" s="36" t="s">
        <v>200</v>
      </c>
      <c r="AJ35" s="36" t="s">
        <v>201</v>
      </c>
      <c r="AK35" s="36" t="s">
        <v>202</v>
      </c>
      <c r="AL35" s="36" t="s">
        <v>225</v>
      </c>
      <c r="AM35" s="36" t="s">
        <v>204</v>
      </c>
      <c r="AN35" s="36" t="s">
        <v>222</v>
      </c>
      <c r="AO35" s="36" t="s">
        <v>206</v>
      </c>
      <c r="AP35" s="36">
        <v>2</v>
      </c>
      <c r="AQ35" s="36"/>
      <c r="AR35" s="36"/>
      <c r="AS35" s="36"/>
      <c r="AT35" s="36" t="s">
        <v>223</v>
      </c>
      <c r="AU35" s="36" t="s">
        <v>602</v>
      </c>
      <c r="AV35" s="36" t="s">
        <v>216</v>
      </c>
      <c r="AW35" s="36" t="s">
        <v>209</v>
      </c>
      <c r="AX35" s="36" t="s">
        <v>210</v>
      </c>
      <c r="AY35" s="36">
        <v>0</v>
      </c>
      <c r="AZ35" s="36" t="s">
        <v>211</v>
      </c>
      <c r="BA35" s="36">
        <v>9045088637538</v>
      </c>
      <c r="BB35" s="36"/>
      <c r="BC35" s="36"/>
      <c r="BD35" s="36">
        <v>1</v>
      </c>
      <c r="BE35" s="36"/>
      <c r="BF35" s="36"/>
      <c r="BG35" s="36">
        <v>1333314600</v>
      </c>
      <c r="BH35" s="36" t="s">
        <v>213</v>
      </c>
      <c r="BI35" s="36">
        <v>12</v>
      </c>
      <c r="BJ35" s="36">
        <v>3</v>
      </c>
      <c r="BK35" s="36">
        <v>1300</v>
      </c>
      <c r="BL35" s="36" t="s">
        <v>214</v>
      </c>
      <c r="BM35" s="36"/>
      <c r="BN35" s="36"/>
    </row>
    <row r="36" spans="1:66" x14ac:dyDescent="0.35">
      <c r="A36" s="36"/>
      <c r="B36" s="36"/>
      <c r="C36" s="37">
        <v>244626</v>
      </c>
      <c r="D36" s="37">
        <v>244626</v>
      </c>
      <c r="E36" s="36"/>
      <c r="F36" s="36" t="s">
        <v>192</v>
      </c>
      <c r="G36" s="36" t="s">
        <v>1</v>
      </c>
      <c r="H36" s="36">
        <v>0</v>
      </c>
      <c r="I36" s="36" t="s">
        <v>193</v>
      </c>
      <c r="J36" s="36" t="s">
        <v>194</v>
      </c>
      <c r="K36" s="36" t="s">
        <v>195</v>
      </c>
      <c r="L36" s="36">
        <v>923</v>
      </c>
      <c r="M36" s="36"/>
      <c r="N36" s="36" t="s">
        <v>218</v>
      </c>
      <c r="O36" s="36" t="s">
        <v>219</v>
      </c>
      <c r="P36" s="36">
        <v>2</v>
      </c>
      <c r="Q36" s="36" t="s">
        <v>220</v>
      </c>
      <c r="R36" s="37">
        <v>244412</v>
      </c>
      <c r="S36" s="37">
        <v>244626</v>
      </c>
      <c r="T36" s="36" t="s">
        <v>601</v>
      </c>
      <c r="U36" s="36">
        <v>23097793</v>
      </c>
      <c r="V36" s="36" t="s">
        <v>66</v>
      </c>
      <c r="W36" s="36">
        <v>15</v>
      </c>
      <c r="X36" s="36">
        <v>15</v>
      </c>
      <c r="Y36" s="36">
        <v>15</v>
      </c>
      <c r="Z36" s="36">
        <v>15</v>
      </c>
      <c r="AA36" s="36">
        <v>0</v>
      </c>
      <c r="AB36" s="36">
        <v>0</v>
      </c>
      <c r="AC36" s="36">
        <v>0</v>
      </c>
      <c r="AD36" s="36">
        <v>0</v>
      </c>
      <c r="AE36" s="36">
        <v>15</v>
      </c>
      <c r="AF36" s="36">
        <v>15</v>
      </c>
      <c r="AG36" s="36"/>
      <c r="AH36" s="36"/>
      <c r="AI36" s="36" t="s">
        <v>200</v>
      </c>
      <c r="AJ36" s="36" t="s">
        <v>201</v>
      </c>
      <c r="AK36" s="36" t="s">
        <v>202</v>
      </c>
      <c r="AL36" s="36" t="s">
        <v>203</v>
      </c>
      <c r="AM36" s="36" t="s">
        <v>204</v>
      </c>
      <c r="AN36" s="36" t="s">
        <v>222</v>
      </c>
      <c r="AO36" s="36" t="s">
        <v>206</v>
      </c>
      <c r="AP36" s="36">
        <v>2</v>
      </c>
      <c r="AQ36" s="36"/>
      <c r="AR36" s="36"/>
      <c r="AS36" s="36"/>
      <c r="AT36" s="36" t="s">
        <v>223</v>
      </c>
      <c r="AU36" s="36" t="s">
        <v>602</v>
      </c>
      <c r="AV36" s="36" t="s">
        <v>216</v>
      </c>
      <c r="AW36" s="36" t="s">
        <v>209</v>
      </c>
      <c r="AX36" s="36" t="s">
        <v>210</v>
      </c>
      <c r="AY36" s="36">
        <v>0</v>
      </c>
      <c r="AZ36" s="36" t="s">
        <v>211</v>
      </c>
      <c r="BA36" s="36">
        <v>9045088637538</v>
      </c>
      <c r="BB36" s="36"/>
      <c r="BC36" s="36"/>
      <c r="BD36" s="36">
        <v>1</v>
      </c>
      <c r="BE36" s="36"/>
      <c r="BF36" s="36"/>
      <c r="BG36" s="36">
        <v>1333314600</v>
      </c>
      <c r="BH36" s="36" t="s">
        <v>213</v>
      </c>
      <c r="BI36" s="36">
        <v>15</v>
      </c>
      <c r="BJ36" s="36">
        <v>15</v>
      </c>
      <c r="BK36" s="36">
        <v>1300</v>
      </c>
      <c r="BL36" s="36" t="s">
        <v>214</v>
      </c>
      <c r="BM36" s="36"/>
      <c r="BN36" s="36"/>
    </row>
    <row r="37" spans="1:66" x14ac:dyDescent="0.35">
      <c r="A37" s="36"/>
      <c r="B37" s="36"/>
      <c r="C37" s="37">
        <v>244626</v>
      </c>
      <c r="D37" s="37">
        <v>244626</v>
      </c>
      <c r="E37" s="36"/>
      <c r="F37" s="36" t="s">
        <v>192</v>
      </c>
      <c r="G37" s="36" t="s">
        <v>1</v>
      </c>
      <c r="H37" s="36">
        <v>0</v>
      </c>
      <c r="I37" s="36" t="s">
        <v>193</v>
      </c>
      <c r="J37" s="36" t="s">
        <v>194</v>
      </c>
      <c r="K37" s="36" t="s">
        <v>195</v>
      </c>
      <c r="L37" s="36">
        <v>923</v>
      </c>
      <c r="M37" s="36"/>
      <c r="N37" s="36" t="s">
        <v>218</v>
      </c>
      <c r="O37" s="36" t="s">
        <v>219</v>
      </c>
      <c r="P37" s="36">
        <v>2</v>
      </c>
      <c r="Q37" s="36" t="s">
        <v>220</v>
      </c>
      <c r="R37" s="37">
        <v>244412</v>
      </c>
      <c r="S37" s="37">
        <v>244626</v>
      </c>
      <c r="T37" s="36" t="s">
        <v>601</v>
      </c>
      <c r="U37" s="36">
        <v>23109351</v>
      </c>
      <c r="V37" s="36" t="s">
        <v>79</v>
      </c>
      <c r="W37" s="36">
        <v>12</v>
      </c>
      <c r="X37" s="36">
        <v>3</v>
      </c>
      <c r="Y37" s="36">
        <v>12</v>
      </c>
      <c r="Z37" s="36">
        <v>3</v>
      </c>
      <c r="AA37" s="36">
        <v>0</v>
      </c>
      <c r="AB37" s="36">
        <v>0</v>
      </c>
      <c r="AC37" s="36">
        <v>0</v>
      </c>
      <c r="AD37" s="36">
        <v>0</v>
      </c>
      <c r="AE37" s="36">
        <v>12</v>
      </c>
      <c r="AF37" s="36">
        <v>3</v>
      </c>
      <c r="AG37" s="36"/>
      <c r="AH37" s="36"/>
      <c r="AI37" s="36" t="s">
        <v>200</v>
      </c>
      <c r="AJ37" s="36" t="s">
        <v>201</v>
      </c>
      <c r="AK37" s="36" t="s">
        <v>202</v>
      </c>
      <c r="AL37" s="36" t="s">
        <v>225</v>
      </c>
      <c r="AM37" s="36" t="s">
        <v>204</v>
      </c>
      <c r="AN37" s="36" t="s">
        <v>222</v>
      </c>
      <c r="AO37" s="36" t="s">
        <v>206</v>
      </c>
      <c r="AP37" s="36">
        <v>2</v>
      </c>
      <c r="AQ37" s="36"/>
      <c r="AR37" s="36"/>
      <c r="AS37" s="36"/>
      <c r="AT37" s="36" t="s">
        <v>223</v>
      </c>
      <c r="AU37" s="36" t="s">
        <v>602</v>
      </c>
      <c r="AV37" s="36" t="s">
        <v>216</v>
      </c>
      <c r="AW37" s="36" t="s">
        <v>209</v>
      </c>
      <c r="AX37" s="36" t="s">
        <v>210</v>
      </c>
      <c r="AY37" s="36">
        <v>0</v>
      </c>
      <c r="AZ37" s="36" t="s">
        <v>211</v>
      </c>
      <c r="BA37" s="36">
        <v>9045088637538</v>
      </c>
      <c r="BB37" s="36"/>
      <c r="BC37" s="36"/>
      <c r="BD37" s="36">
        <v>1</v>
      </c>
      <c r="BE37" s="36"/>
      <c r="BF37" s="36"/>
      <c r="BG37" s="36">
        <v>1333314600</v>
      </c>
      <c r="BH37" s="36" t="s">
        <v>213</v>
      </c>
      <c r="BI37" s="36">
        <v>12</v>
      </c>
      <c r="BJ37" s="36">
        <v>3</v>
      </c>
      <c r="BK37" s="36">
        <v>1300</v>
      </c>
      <c r="BL37" s="36" t="s">
        <v>214</v>
      </c>
      <c r="BM37" s="36"/>
      <c r="BN37" s="36"/>
    </row>
    <row r="38" spans="1:66" x14ac:dyDescent="0.35">
      <c r="A38" s="36"/>
      <c r="B38" s="36"/>
      <c r="C38" s="37">
        <v>244626</v>
      </c>
      <c r="D38" s="37">
        <v>244626</v>
      </c>
      <c r="E38" s="36"/>
      <c r="F38" s="36" t="s">
        <v>192</v>
      </c>
      <c r="G38" s="36" t="s">
        <v>1</v>
      </c>
      <c r="H38" s="36">
        <v>0</v>
      </c>
      <c r="I38" s="36" t="s">
        <v>193</v>
      </c>
      <c r="J38" s="36" t="s">
        <v>194</v>
      </c>
      <c r="K38" s="36" t="s">
        <v>195</v>
      </c>
      <c r="L38" s="36">
        <v>923</v>
      </c>
      <c r="M38" s="36"/>
      <c r="N38" s="36" t="s">
        <v>218</v>
      </c>
      <c r="O38" s="36" t="s">
        <v>219</v>
      </c>
      <c r="P38" s="36">
        <v>2</v>
      </c>
      <c r="Q38" s="36" t="s">
        <v>220</v>
      </c>
      <c r="R38" s="37">
        <v>244412</v>
      </c>
      <c r="S38" s="37">
        <v>244626</v>
      </c>
      <c r="T38" s="36" t="s">
        <v>601</v>
      </c>
      <c r="U38" s="36">
        <v>23109353</v>
      </c>
      <c r="V38" s="36" t="s">
        <v>81</v>
      </c>
      <c r="W38" s="36">
        <v>12</v>
      </c>
      <c r="X38" s="36">
        <v>3</v>
      </c>
      <c r="Y38" s="36">
        <v>12</v>
      </c>
      <c r="Z38" s="36">
        <v>3</v>
      </c>
      <c r="AA38" s="36">
        <v>0</v>
      </c>
      <c r="AB38" s="36">
        <v>0</v>
      </c>
      <c r="AC38" s="36">
        <v>0</v>
      </c>
      <c r="AD38" s="36">
        <v>0</v>
      </c>
      <c r="AE38" s="36">
        <v>12</v>
      </c>
      <c r="AF38" s="36">
        <v>3</v>
      </c>
      <c r="AG38" s="36"/>
      <c r="AH38" s="36"/>
      <c r="AI38" s="36" t="s">
        <v>200</v>
      </c>
      <c r="AJ38" s="36" t="s">
        <v>201</v>
      </c>
      <c r="AK38" s="36" t="s">
        <v>202</v>
      </c>
      <c r="AL38" s="36" t="s">
        <v>225</v>
      </c>
      <c r="AM38" s="36" t="s">
        <v>204</v>
      </c>
      <c r="AN38" s="36" t="s">
        <v>222</v>
      </c>
      <c r="AO38" s="36" t="s">
        <v>206</v>
      </c>
      <c r="AP38" s="36">
        <v>2</v>
      </c>
      <c r="AQ38" s="36"/>
      <c r="AR38" s="36"/>
      <c r="AS38" s="36"/>
      <c r="AT38" s="36" t="s">
        <v>223</v>
      </c>
      <c r="AU38" s="36" t="s">
        <v>602</v>
      </c>
      <c r="AV38" s="36" t="s">
        <v>216</v>
      </c>
      <c r="AW38" s="36" t="s">
        <v>209</v>
      </c>
      <c r="AX38" s="36" t="s">
        <v>210</v>
      </c>
      <c r="AY38" s="36">
        <v>0</v>
      </c>
      <c r="AZ38" s="36" t="s">
        <v>211</v>
      </c>
      <c r="BA38" s="36">
        <v>9045088637538</v>
      </c>
      <c r="BB38" s="36"/>
      <c r="BC38" s="36"/>
      <c r="BD38" s="36">
        <v>1</v>
      </c>
      <c r="BE38" s="36"/>
      <c r="BF38" s="36"/>
      <c r="BG38" s="36">
        <v>1333314600</v>
      </c>
      <c r="BH38" s="36" t="s">
        <v>213</v>
      </c>
      <c r="BI38" s="36">
        <v>12</v>
      </c>
      <c r="BJ38" s="36">
        <v>3</v>
      </c>
      <c r="BK38" s="36">
        <v>1300</v>
      </c>
      <c r="BL38" s="36" t="s">
        <v>214</v>
      </c>
      <c r="BM38" s="36"/>
      <c r="BN38" s="36"/>
    </row>
    <row r="39" spans="1:66" x14ac:dyDescent="0.35">
      <c r="A39" s="36"/>
      <c r="B39" s="36"/>
      <c r="C39" s="37">
        <v>244626</v>
      </c>
      <c r="D39" s="37">
        <v>244626</v>
      </c>
      <c r="E39" s="36"/>
      <c r="F39" s="36" t="s">
        <v>192</v>
      </c>
      <c r="G39" s="36" t="s">
        <v>1</v>
      </c>
      <c r="H39" s="36">
        <v>0</v>
      </c>
      <c r="I39" s="36" t="s">
        <v>193</v>
      </c>
      <c r="J39" s="36" t="s">
        <v>194</v>
      </c>
      <c r="K39" s="36" t="s">
        <v>195</v>
      </c>
      <c r="L39" s="36">
        <v>923</v>
      </c>
      <c r="M39" s="36"/>
      <c r="N39" s="36" t="s">
        <v>218</v>
      </c>
      <c r="O39" s="36" t="s">
        <v>219</v>
      </c>
      <c r="P39" s="36">
        <v>2</v>
      </c>
      <c r="Q39" s="36" t="s">
        <v>220</v>
      </c>
      <c r="R39" s="37">
        <v>244412</v>
      </c>
      <c r="S39" s="37">
        <v>244626</v>
      </c>
      <c r="T39" s="36" t="s">
        <v>601</v>
      </c>
      <c r="U39" s="36">
        <v>23097790</v>
      </c>
      <c r="V39" s="36" t="s">
        <v>63</v>
      </c>
      <c r="W39" s="36">
        <v>15</v>
      </c>
      <c r="X39" s="36">
        <v>15</v>
      </c>
      <c r="Y39" s="36">
        <v>15</v>
      </c>
      <c r="Z39" s="36">
        <v>15</v>
      </c>
      <c r="AA39" s="36">
        <v>0</v>
      </c>
      <c r="AB39" s="36">
        <v>0</v>
      </c>
      <c r="AC39" s="36">
        <v>0</v>
      </c>
      <c r="AD39" s="36">
        <v>0</v>
      </c>
      <c r="AE39" s="36">
        <v>15</v>
      </c>
      <c r="AF39" s="36">
        <v>15</v>
      </c>
      <c r="AG39" s="36"/>
      <c r="AH39" s="36"/>
      <c r="AI39" s="36" t="s">
        <v>200</v>
      </c>
      <c r="AJ39" s="36" t="s">
        <v>201</v>
      </c>
      <c r="AK39" s="36" t="s">
        <v>202</v>
      </c>
      <c r="AL39" s="36" t="s">
        <v>203</v>
      </c>
      <c r="AM39" s="36" t="s">
        <v>204</v>
      </c>
      <c r="AN39" s="36" t="s">
        <v>222</v>
      </c>
      <c r="AO39" s="36" t="s">
        <v>206</v>
      </c>
      <c r="AP39" s="36">
        <v>2</v>
      </c>
      <c r="AQ39" s="36"/>
      <c r="AR39" s="36"/>
      <c r="AS39" s="36"/>
      <c r="AT39" s="36" t="s">
        <v>223</v>
      </c>
      <c r="AU39" s="36" t="s">
        <v>602</v>
      </c>
      <c r="AV39" s="36" t="s">
        <v>216</v>
      </c>
      <c r="AW39" s="36" t="s">
        <v>209</v>
      </c>
      <c r="AX39" s="36" t="s">
        <v>210</v>
      </c>
      <c r="AY39" s="36">
        <v>0</v>
      </c>
      <c r="AZ39" s="36" t="s">
        <v>211</v>
      </c>
      <c r="BA39" s="36">
        <v>9045088637538</v>
      </c>
      <c r="BB39" s="36"/>
      <c r="BC39" s="36"/>
      <c r="BD39" s="36">
        <v>1</v>
      </c>
      <c r="BE39" s="36"/>
      <c r="BF39" s="36"/>
      <c r="BG39" s="36">
        <v>1333314600</v>
      </c>
      <c r="BH39" s="36" t="s">
        <v>213</v>
      </c>
      <c r="BI39" s="36">
        <v>15</v>
      </c>
      <c r="BJ39" s="36">
        <v>15</v>
      </c>
      <c r="BK39" s="36">
        <v>1300</v>
      </c>
      <c r="BL39" s="36" t="s">
        <v>214</v>
      </c>
      <c r="BM39" s="36"/>
      <c r="BN39" s="36"/>
    </row>
    <row r="40" spans="1:66" x14ac:dyDescent="0.35">
      <c r="A40" s="36"/>
      <c r="B40" s="36"/>
      <c r="C40" s="37">
        <v>244626</v>
      </c>
      <c r="D40" s="37">
        <v>244626</v>
      </c>
      <c r="E40" s="36"/>
      <c r="F40" s="36" t="s">
        <v>192</v>
      </c>
      <c r="G40" s="36" t="s">
        <v>1</v>
      </c>
      <c r="H40" s="36">
        <v>0</v>
      </c>
      <c r="I40" s="36" t="s">
        <v>193</v>
      </c>
      <c r="J40" s="36" t="s">
        <v>194</v>
      </c>
      <c r="K40" s="36" t="s">
        <v>195</v>
      </c>
      <c r="L40" s="36">
        <v>923</v>
      </c>
      <c r="M40" s="36"/>
      <c r="N40" s="36" t="s">
        <v>218</v>
      </c>
      <c r="O40" s="36" t="s">
        <v>219</v>
      </c>
      <c r="P40" s="36">
        <v>2</v>
      </c>
      <c r="Q40" s="36" t="s">
        <v>220</v>
      </c>
      <c r="R40" s="37">
        <v>244412</v>
      </c>
      <c r="S40" s="37">
        <v>244626</v>
      </c>
      <c r="T40" s="36" t="s">
        <v>601</v>
      </c>
      <c r="U40" s="36">
        <v>23097794</v>
      </c>
      <c r="V40" s="36" t="s">
        <v>467</v>
      </c>
      <c r="W40" s="36">
        <v>2</v>
      </c>
      <c r="X40" s="36">
        <v>2</v>
      </c>
      <c r="Y40" s="36">
        <v>2</v>
      </c>
      <c r="Z40" s="36">
        <v>2</v>
      </c>
      <c r="AA40" s="36">
        <v>0</v>
      </c>
      <c r="AB40" s="36">
        <v>0</v>
      </c>
      <c r="AC40" s="36">
        <v>0</v>
      </c>
      <c r="AD40" s="36">
        <v>0</v>
      </c>
      <c r="AE40" s="36">
        <v>2</v>
      </c>
      <c r="AF40" s="36">
        <v>2</v>
      </c>
      <c r="AG40" s="36"/>
      <c r="AH40" s="36"/>
      <c r="AI40" s="36" t="s">
        <v>200</v>
      </c>
      <c r="AJ40" s="36" t="s">
        <v>201</v>
      </c>
      <c r="AK40" s="36" t="s">
        <v>202</v>
      </c>
      <c r="AL40" s="36" t="s">
        <v>203</v>
      </c>
      <c r="AM40" s="36" t="s">
        <v>204</v>
      </c>
      <c r="AN40" s="36" t="s">
        <v>222</v>
      </c>
      <c r="AO40" s="36" t="s">
        <v>206</v>
      </c>
      <c r="AP40" s="36">
        <v>2</v>
      </c>
      <c r="AQ40" s="36"/>
      <c r="AR40" s="36"/>
      <c r="AS40" s="36"/>
      <c r="AT40" s="36" t="s">
        <v>223</v>
      </c>
      <c r="AU40" s="36" t="s">
        <v>602</v>
      </c>
      <c r="AV40" s="36" t="s">
        <v>216</v>
      </c>
      <c r="AW40" s="36" t="s">
        <v>209</v>
      </c>
      <c r="AX40" s="36" t="s">
        <v>210</v>
      </c>
      <c r="AY40" s="36">
        <v>0</v>
      </c>
      <c r="AZ40" s="36" t="s">
        <v>211</v>
      </c>
      <c r="BA40" s="36">
        <v>9045088637538</v>
      </c>
      <c r="BB40" s="36"/>
      <c r="BC40" s="36"/>
      <c r="BD40" s="36">
        <v>1</v>
      </c>
      <c r="BE40" s="36"/>
      <c r="BF40" s="36"/>
      <c r="BG40" s="36">
        <v>1333314600</v>
      </c>
      <c r="BH40" s="36" t="s">
        <v>213</v>
      </c>
      <c r="BI40" s="36">
        <v>2</v>
      </c>
      <c r="BJ40" s="36">
        <v>2</v>
      </c>
      <c r="BK40" s="36">
        <v>1300</v>
      </c>
      <c r="BL40" s="36" t="s">
        <v>214</v>
      </c>
      <c r="BM40" s="36"/>
      <c r="BN40" s="36"/>
    </row>
    <row r="41" spans="1:66" x14ac:dyDescent="0.35">
      <c r="A41" s="36"/>
      <c r="B41" s="36"/>
      <c r="C41" s="37">
        <v>244626</v>
      </c>
      <c r="D41" s="37">
        <v>244626</v>
      </c>
      <c r="E41" s="36"/>
      <c r="F41" s="36" t="s">
        <v>192</v>
      </c>
      <c r="G41" s="36" t="s">
        <v>1</v>
      </c>
      <c r="H41" s="36">
        <v>0</v>
      </c>
      <c r="I41" s="36" t="s">
        <v>193</v>
      </c>
      <c r="J41" s="36" t="s">
        <v>194</v>
      </c>
      <c r="K41" s="36" t="s">
        <v>195</v>
      </c>
      <c r="L41" s="36">
        <v>923</v>
      </c>
      <c r="M41" s="36"/>
      <c r="N41" s="36" t="s">
        <v>218</v>
      </c>
      <c r="O41" s="36" t="s">
        <v>219</v>
      </c>
      <c r="P41" s="36">
        <v>2</v>
      </c>
      <c r="Q41" s="36" t="s">
        <v>220</v>
      </c>
      <c r="R41" s="37">
        <v>244412</v>
      </c>
      <c r="S41" s="37">
        <v>244626</v>
      </c>
      <c r="T41" s="36" t="s">
        <v>601</v>
      </c>
      <c r="U41" s="36">
        <v>23109532</v>
      </c>
      <c r="V41" s="36" t="s">
        <v>85</v>
      </c>
      <c r="W41" s="36">
        <v>4</v>
      </c>
      <c r="X41" s="36">
        <v>1.6</v>
      </c>
      <c r="Y41" s="36">
        <v>4</v>
      </c>
      <c r="Z41" s="36">
        <v>1.6</v>
      </c>
      <c r="AA41" s="36">
        <v>0</v>
      </c>
      <c r="AB41" s="36">
        <v>0</v>
      </c>
      <c r="AC41" s="36">
        <v>0</v>
      </c>
      <c r="AD41" s="36">
        <v>0</v>
      </c>
      <c r="AE41" s="36">
        <v>4</v>
      </c>
      <c r="AF41" s="36">
        <v>1.6</v>
      </c>
      <c r="AG41" s="36"/>
      <c r="AH41" s="36"/>
      <c r="AI41" s="36" t="s">
        <v>200</v>
      </c>
      <c r="AJ41" s="36" t="s">
        <v>201</v>
      </c>
      <c r="AK41" s="36" t="s">
        <v>215</v>
      </c>
      <c r="AL41" s="36" t="s">
        <v>225</v>
      </c>
      <c r="AM41" s="36" t="s">
        <v>204</v>
      </c>
      <c r="AN41" s="36" t="s">
        <v>222</v>
      </c>
      <c r="AO41" s="36" t="s">
        <v>206</v>
      </c>
      <c r="AP41" s="36">
        <v>2</v>
      </c>
      <c r="AQ41" s="36"/>
      <c r="AR41" s="36"/>
      <c r="AS41" s="36"/>
      <c r="AT41" s="36" t="s">
        <v>223</v>
      </c>
      <c r="AU41" s="36" t="s">
        <v>602</v>
      </c>
      <c r="AV41" s="36" t="s">
        <v>216</v>
      </c>
      <c r="AW41" s="36" t="s">
        <v>209</v>
      </c>
      <c r="AX41" s="36" t="s">
        <v>210</v>
      </c>
      <c r="AY41" s="36">
        <v>0</v>
      </c>
      <c r="AZ41" s="36" t="s">
        <v>211</v>
      </c>
      <c r="BA41" s="36">
        <v>9045088637538</v>
      </c>
      <c r="BB41" s="36"/>
      <c r="BC41" s="36"/>
      <c r="BD41" s="36">
        <v>1</v>
      </c>
      <c r="BE41" s="36"/>
      <c r="BF41" s="36"/>
      <c r="BG41" s="36">
        <v>1333314600</v>
      </c>
      <c r="BH41" s="36" t="s">
        <v>213</v>
      </c>
      <c r="BI41" s="36">
        <v>4</v>
      </c>
      <c r="BJ41" s="36">
        <v>1.6</v>
      </c>
      <c r="BK41" s="36">
        <v>1300</v>
      </c>
      <c r="BL41" s="36" t="s">
        <v>214</v>
      </c>
      <c r="BM41" s="36"/>
      <c r="BN41" s="36"/>
    </row>
    <row r="42" spans="1:66" x14ac:dyDescent="0.35">
      <c r="A42" s="36"/>
      <c r="B42" s="36"/>
      <c r="C42" s="37">
        <v>244626</v>
      </c>
      <c r="D42" s="37">
        <v>244626</v>
      </c>
      <c r="E42" s="36"/>
      <c r="F42" s="36" t="s">
        <v>192</v>
      </c>
      <c r="G42" s="36" t="s">
        <v>1</v>
      </c>
      <c r="H42" s="36">
        <v>0</v>
      </c>
      <c r="I42" s="36" t="s">
        <v>193</v>
      </c>
      <c r="J42" s="36" t="s">
        <v>194</v>
      </c>
      <c r="K42" s="36" t="s">
        <v>195</v>
      </c>
      <c r="L42" s="36">
        <v>923</v>
      </c>
      <c r="M42" s="36"/>
      <c r="N42" s="36" t="s">
        <v>218</v>
      </c>
      <c r="O42" s="36" t="s">
        <v>219</v>
      </c>
      <c r="P42" s="36">
        <v>2</v>
      </c>
      <c r="Q42" s="36" t="s">
        <v>220</v>
      </c>
      <c r="R42" s="37">
        <v>244412</v>
      </c>
      <c r="S42" s="37">
        <v>244626</v>
      </c>
      <c r="T42" s="36" t="s">
        <v>601</v>
      </c>
      <c r="U42" s="36">
        <v>23097797</v>
      </c>
      <c r="V42" s="36" t="s">
        <v>68</v>
      </c>
      <c r="W42" s="36">
        <v>20</v>
      </c>
      <c r="X42" s="36">
        <v>20</v>
      </c>
      <c r="Y42" s="36">
        <v>20</v>
      </c>
      <c r="Z42" s="36">
        <v>20</v>
      </c>
      <c r="AA42" s="36">
        <v>0</v>
      </c>
      <c r="AB42" s="36">
        <v>0</v>
      </c>
      <c r="AC42" s="36">
        <v>0</v>
      </c>
      <c r="AD42" s="36">
        <v>0</v>
      </c>
      <c r="AE42" s="36">
        <v>20</v>
      </c>
      <c r="AF42" s="36">
        <v>20</v>
      </c>
      <c r="AG42" s="36"/>
      <c r="AH42" s="36"/>
      <c r="AI42" s="36" t="s">
        <v>200</v>
      </c>
      <c r="AJ42" s="36" t="s">
        <v>201</v>
      </c>
      <c r="AK42" s="36" t="s">
        <v>202</v>
      </c>
      <c r="AL42" s="36" t="s">
        <v>203</v>
      </c>
      <c r="AM42" s="36" t="s">
        <v>204</v>
      </c>
      <c r="AN42" s="36" t="s">
        <v>222</v>
      </c>
      <c r="AO42" s="36" t="s">
        <v>206</v>
      </c>
      <c r="AP42" s="36">
        <v>2</v>
      </c>
      <c r="AQ42" s="36"/>
      <c r="AR42" s="36"/>
      <c r="AS42" s="36"/>
      <c r="AT42" s="36" t="s">
        <v>223</v>
      </c>
      <c r="AU42" s="36" t="s">
        <v>602</v>
      </c>
      <c r="AV42" s="36" t="s">
        <v>216</v>
      </c>
      <c r="AW42" s="36" t="s">
        <v>209</v>
      </c>
      <c r="AX42" s="36" t="s">
        <v>210</v>
      </c>
      <c r="AY42" s="36">
        <v>0</v>
      </c>
      <c r="AZ42" s="36" t="s">
        <v>211</v>
      </c>
      <c r="BA42" s="36">
        <v>9045088637538</v>
      </c>
      <c r="BB42" s="36"/>
      <c r="BC42" s="36"/>
      <c r="BD42" s="36">
        <v>1</v>
      </c>
      <c r="BE42" s="36"/>
      <c r="BF42" s="36"/>
      <c r="BG42" s="36">
        <v>1333314600</v>
      </c>
      <c r="BH42" s="36" t="s">
        <v>213</v>
      </c>
      <c r="BI42" s="36">
        <v>20</v>
      </c>
      <c r="BJ42" s="36">
        <v>20</v>
      </c>
      <c r="BK42" s="36">
        <v>1300</v>
      </c>
      <c r="BL42" s="36" t="s">
        <v>214</v>
      </c>
      <c r="BM42" s="36"/>
      <c r="BN42" s="36"/>
    </row>
    <row r="43" spans="1:66" x14ac:dyDescent="0.35">
      <c r="A43" s="36"/>
      <c r="B43" s="36"/>
      <c r="C43" s="37">
        <v>244626</v>
      </c>
      <c r="D43" s="37">
        <v>244626</v>
      </c>
      <c r="E43" s="36"/>
      <c r="F43" s="36" t="s">
        <v>192</v>
      </c>
      <c r="G43" s="36" t="s">
        <v>1</v>
      </c>
      <c r="H43" s="36">
        <v>0</v>
      </c>
      <c r="I43" s="36" t="s">
        <v>193</v>
      </c>
      <c r="J43" s="36" t="s">
        <v>194</v>
      </c>
      <c r="K43" s="36" t="s">
        <v>195</v>
      </c>
      <c r="L43" s="36">
        <v>923</v>
      </c>
      <c r="M43" s="36"/>
      <c r="N43" s="36" t="s">
        <v>218</v>
      </c>
      <c r="O43" s="36" t="s">
        <v>219</v>
      </c>
      <c r="P43" s="36">
        <v>2</v>
      </c>
      <c r="Q43" s="36" t="s">
        <v>220</v>
      </c>
      <c r="R43" s="37">
        <v>244412</v>
      </c>
      <c r="S43" s="37">
        <v>244626</v>
      </c>
      <c r="T43" s="36" t="s">
        <v>601</v>
      </c>
      <c r="U43" s="36">
        <v>23097783</v>
      </c>
      <c r="V43" s="36" t="s">
        <v>58</v>
      </c>
      <c r="W43" s="36">
        <v>100</v>
      </c>
      <c r="X43" s="36">
        <v>100</v>
      </c>
      <c r="Y43" s="36">
        <v>100</v>
      </c>
      <c r="Z43" s="36">
        <v>100</v>
      </c>
      <c r="AA43" s="36">
        <v>0</v>
      </c>
      <c r="AB43" s="36">
        <v>0</v>
      </c>
      <c r="AC43" s="36">
        <v>0</v>
      </c>
      <c r="AD43" s="36">
        <v>0</v>
      </c>
      <c r="AE43" s="36">
        <v>100</v>
      </c>
      <c r="AF43" s="36">
        <v>100</v>
      </c>
      <c r="AG43" s="36"/>
      <c r="AH43" s="36"/>
      <c r="AI43" s="36" t="s">
        <v>200</v>
      </c>
      <c r="AJ43" s="36" t="s">
        <v>201</v>
      </c>
      <c r="AK43" s="36" t="s">
        <v>202</v>
      </c>
      <c r="AL43" s="36" t="s">
        <v>203</v>
      </c>
      <c r="AM43" s="36" t="s">
        <v>204</v>
      </c>
      <c r="AN43" s="36" t="s">
        <v>222</v>
      </c>
      <c r="AO43" s="36" t="s">
        <v>206</v>
      </c>
      <c r="AP43" s="36">
        <v>2</v>
      </c>
      <c r="AQ43" s="36"/>
      <c r="AR43" s="36"/>
      <c r="AS43" s="36"/>
      <c r="AT43" s="36" t="s">
        <v>223</v>
      </c>
      <c r="AU43" s="36" t="s">
        <v>602</v>
      </c>
      <c r="AV43" s="36" t="s">
        <v>216</v>
      </c>
      <c r="AW43" s="36" t="s">
        <v>209</v>
      </c>
      <c r="AX43" s="36" t="s">
        <v>210</v>
      </c>
      <c r="AY43" s="36">
        <v>0</v>
      </c>
      <c r="AZ43" s="36" t="s">
        <v>211</v>
      </c>
      <c r="BA43" s="36">
        <v>9045088637538</v>
      </c>
      <c r="BB43" s="36"/>
      <c r="BC43" s="36"/>
      <c r="BD43" s="36">
        <v>1</v>
      </c>
      <c r="BE43" s="36"/>
      <c r="BF43" s="36"/>
      <c r="BG43" s="36">
        <v>1333314600</v>
      </c>
      <c r="BH43" s="36" t="s">
        <v>213</v>
      </c>
      <c r="BI43" s="36">
        <v>100</v>
      </c>
      <c r="BJ43" s="36">
        <v>100</v>
      </c>
      <c r="BK43" s="36">
        <v>1300</v>
      </c>
      <c r="BL43" s="36" t="s">
        <v>214</v>
      </c>
      <c r="BM43" s="36"/>
      <c r="BN43" s="36"/>
    </row>
    <row r="44" spans="1:66" x14ac:dyDescent="0.35">
      <c r="A44" s="36"/>
      <c r="B44" s="36"/>
      <c r="C44" s="37">
        <v>244626</v>
      </c>
      <c r="D44" s="37">
        <v>244626</v>
      </c>
      <c r="E44" s="36"/>
      <c r="F44" s="36" t="s">
        <v>192</v>
      </c>
      <c r="G44" s="36" t="s">
        <v>1</v>
      </c>
      <c r="H44" s="36">
        <v>0</v>
      </c>
      <c r="I44" s="36" t="s">
        <v>193</v>
      </c>
      <c r="J44" s="36" t="s">
        <v>194</v>
      </c>
      <c r="K44" s="36" t="s">
        <v>195</v>
      </c>
      <c r="L44" s="36">
        <v>923</v>
      </c>
      <c r="M44" s="36"/>
      <c r="N44" s="36" t="s">
        <v>218</v>
      </c>
      <c r="O44" s="36" t="s">
        <v>219</v>
      </c>
      <c r="P44" s="36">
        <v>2</v>
      </c>
      <c r="Q44" s="36" t="s">
        <v>220</v>
      </c>
      <c r="R44" s="37">
        <v>244412</v>
      </c>
      <c r="S44" s="37">
        <v>244626</v>
      </c>
      <c r="T44" s="36" t="s">
        <v>601</v>
      </c>
      <c r="U44" s="36">
        <v>23084674</v>
      </c>
      <c r="V44" s="36" t="s">
        <v>52</v>
      </c>
      <c r="W44" s="36">
        <v>14</v>
      </c>
      <c r="X44" s="36">
        <v>5.6</v>
      </c>
      <c r="Y44" s="36">
        <v>14</v>
      </c>
      <c r="Z44" s="36">
        <v>5.6</v>
      </c>
      <c r="AA44" s="36">
        <v>0</v>
      </c>
      <c r="AB44" s="36">
        <v>0</v>
      </c>
      <c r="AC44" s="36">
        <v>0</v>
      </c>
      <c r="AD44" s="36">
        <v>0</v>
      </c>
      <c r="AE44" s="36">
        <v>14</v>
      </c>
      <c r="AF44" s="36">
        <v>5.6</v>
      </c>
      <c r="AG44" s="36"/>
      <c r="AH44" s="36"/>
      <c r="AI44" s="36" t="s">
        <v>200</v>
      </c>
      <c r="AJ44" s="36" t="s">
        <v>201</v>
      </c>
      <c r="AK44" s="36" t="s">
        <v>215</v>
      </c>
      <c r="AL44" s="36" t="s">
        <v>246</v>
      </c>
      <c r="AM44" s="36" t="s">
        <v>204</v>
      </c>
      <c r="AN44" s="36" t="s">
        <v>222</v>
      </c>
      <c r="AO44" s="36" t="s">
        <v>206</v>
      </c>
      <c r="AP44" s="36">
        <v>2</v>
      </c>
      <c r="AQ44" s="36"/>
      <c r="AR44" s="36"/>
      <c r="AS44" s="36"/>
      <c r="AT44" s="36" t="s">
        <v>223</v>
      </c>
      <c r="AU44" s="36" t="s">
        <v>602</v>
      </c>
      <c r="AV44" s="36" t="s">
        <v>249</v>
      </c>
      <c r="AW44" s="36" t="s">
        <v>209</v>
      </c>
      <c r="AX44" s="36" t="s">
        <v>210</v>
      </c>
      <c r="AY44" s="36">
        <v>0</v>
      </c>
      <c r="AZ44" s="36" t="s">
        <v>211</v>
      </c>
      <c r="BA44" s="36">
        <v>9045088637538</v>
      </c>
      <c r="BB44" s="36"/>
      <c r="BC44" s="36"/>
      <c r="BD44" s="36">
        <v>1</v>
      </c>
      <c r="BE44" s="36"/>
      <c r="BF44" s="36"/>
      <c r="BG44" s="36">
        <v>1333314600</v>
      </c>
      <c r="BH44" s="36" t="s">
        <v>213</v>
      </c>
      <c r="BI44" s="36">
        <v>14</v>
      </c>
      <c r="BJ44" s="36">
        <v>5.6</v>
      </c>
      <c r="BK44" s="36">
        <v>1300</v>
      </c>
      <c r="BL44" s="36" t="s">
        <v>214</v>
      </c>
      <c r="BM44" s="36"/>
      <c r="BN44" s="36"/>
    </row>
    <row r="45" spans="1:66" x14ac:dyDescent="0.35">
      <c r="A45" s="36"/>
      <c r="B45" s="36"/>
      <c r="C45" s="37">
        <v>244626</v>
      </c>
      <c r="D45" s="37">
        <v>244626</v>
      </c>
      <c r="E45" s="36"/>
      <c r="F45" s="36" t="s">
        <v>192</v>
      </c>
      <c r="G45" s="36" t="s">
        <v>1</v>
      </c>
      <c r="H45" s="36">
        <v>0</v>
      </c>
      <c r="I45" s="36" t="s">
        <v>193</v>
      </c>
      <c r="J45" s="36" t="s">
        <v>194</v>
      </c>
      <c r="K45" s="36" t="s">
        <v>195</v>
      </c>
      <c r="L45" s="36">
        <v>923</v>
      </c>
      <c r="M45" s="36"/>
      <c r="N45" s="36" t="s">
        <v>230</v>
      </c>
      <c r="O45" s="36" t="s">
        <v>231</v>
      </c>
      <c r="P45" s="36">
        <v>2</v>
      </c>
      <c r="Q45" s="36" t="s">
        <v>232</v>
      </c>
      <c r="R45" s="37">
        <v>244412</v>
      </c>
      <c r="S45" s="37">
        <v>244626</v>
      </c>
      <c r="T45" s="36" t="s">
        <v>603</v>
      </c>
      <c r="U45" s="36">
        <v>23083450</v>
      </c>
      <c r="V45" s="36" t="s">
        <v>103</v>
      </c>
      <c r="W45" s="36">
        <v>16</v>
      </c>
      <c r="X45" s="36">
        <v>16</v>
      </c>
      <c r="Y45" s="36">
        <v>16</v>
      </c>
      <c r="Z45" s="36">
        <v>16</v>
      </c>
      <c r="AA45" s="36">
        <v>0</v>
      </c>
      <c r="AB45" s="36">
        <v>0</v>
      </c>
      <c r="AC45" s="36">
        <v>0</v>
      </c>
      <c r="AD45" s="36">
        <v>0</v>
      </c>
      <c r="AE45" s="36">
        <v>16</v>
      </c>
      <c r="AF45" s="36">
        <v>16</v>
      </c>
      <c r="AG45" s="36"/>
      <c r="AH45" s="36"/>
      <c r="AI45" s="36" t="s">
        <v>200</v>
      </c>
      <c r="AJ45" s="36" t="s">
        <v>201</v>
      </c>
      <c r="AK45" s="36" t="s">
        <v>215</v>
      </c>
      <c r="AL45" s="36" t="s">
        <v>254</v>
      </c>
      <c r="AM45" s="36" t="s">
        <v>204</v>
      </c>
      <c r="AN45" s="36" t="s">
        <v>222</v>
      </c>
      <c r="AO45" s="36" t="s">
        <v>206</v>
      </c>
      <c r="AP45" s="36">
        <v>2</v>
      </c>
      <c r="AQ45" s="36"/>
      <c r="AR45" s="36"/>
      <c r="AS45" s="36"/>
      <c r="AT45" s="36" t="s">
        <v>223</v>
      </c>
      <c r="AU45" s="36" t="s">
        <v>604</v>
      </c>
      <c r="AV45" s="36" t="s">
        <v>216</v>
      </c>
      <c r="AW45" s="36" t="s">
        <v>209</v>
      </c>
      <c r="AX45" s="36" t="s">
        <v>210</v>
      </c>
      <c r="AY45" s="36">
        <v>0</v>
      </c>
      <c r="AZ45" s="36" t="s">
        <v>211</v>
      </c>
      <c r="BA45" s="36">
        <v>9045088641265</v>
      </c>
      <c r="BB45" s="36"/>
      <c r="BC45" s="36"/>
      <c r="BD45" s="36">
        <v>1</v>
      </c>
      <c r="BE45" s="36"/>
      <c r="BF45" s="36"/>
      <c r="BG45" s="36">
        <v>1333314600</v>
      </c>
      <c r="BH45" s="36" t="s">
        <v>213</v>
      </c>
      <c r="BI45" s="36">
        <v>16</v>
      </c>
      <c r="BJ45" s="36">
        <v>16</v>
      </c>
      <c r="BK45" s="36">
        <v>1300</v>
      </c>
      <c r="BL45" s="36" t="s">
        <v>214</v>
      </c>
      <c r="BM45" s="36"/>
      <c r="BN45" s="36"/>
    </row>
    <row r="46" spans="1:66" x14ac:dyDescent="0.35">
      <c r="A46" s="36"/>
      <c r="B46" s="36"/>
      <c r="C46" s="37">
        <v>244626</v>
      </c>
      <c r="D46" s="37">
        <v>244626</v>
      </c>
      <c r="E46" s="36"/>
      <c r="F46" s="36" t="s">
        <v>192</v>
      </c>
      <c r="G46" s="36" t="s">
        <v>1</v>
      </c>
      <c r="H46" s="36">
        <v>0</v>
      </c>
      <c r="I46" s="36" t="s">
        <v>193</v>
      </c>
      <c r="J46" s="36" t="s">
        <v>194</v>
      </c>
      <c r="K46" s="36" t="s">
        <v>195</v>
      </c>
      <c r="L46" s="36">
        <v>923</v>
      </c>
      <c r="M46" s="36"/>
      <c r="N46" s="36" t="s">
        <v>230</v>
      </c>
      <c r="O46" s="36" t="s">
        <v>231</v>
      </c>
      <c r="P46" s="36">
        <v>2</v>
      </c>
      <c r="Q46" s="36" t="s">
        <v>232</v>
      </c>
      <c r="R46" s="37">
        <v>244412</v>
      </c>
      <c r="S46" s="37">
        <v>244626</v>
      </c>
      <c r="T46" s="36" t="s">
        <v>603</v>
      </c>
      <c r="U46" s="36">
        <v>23084674</v>
      </c>
      <c r="V46" s="36" t="s">
        <v>52</v>
      </c>
      <c r="W46" s="36">
        <v>56</v>
      </c>
      <c r="X46" s="36">
        <v>22.4</v>
      </c>
      <c r="Y46" s="36">
        <v>56</v>
      </c>
      <c r="Z46" s="36">
        <v>22.4</v>
      </c>
      <c r="AA46" s="36">
        <v>0</v>
      </c>
      <c r="AB46" s="36">
        <v>0</v>
      </c>
      <c r="AC46" s="36">
        <v>0</v>
      </c>
      <c r="AD46" s="36">
        <v>0</v>
      </c>
      <c r="AE46" s="36">
        <v>56</v>
      </c>
      <c r="AF46" s="36">
        <v>22.4</v>
      </c>
      <c r="AG46" s="36"/>
      <c r="AH46" s="36"/>
      <c r="AI46" s="36" t="s">
        <v>200</v>
      </c>
      <c r="AJ46" s="36" t="s">
        <v>201</v>
      </c>
      <c r="AK46" s="36" t="s">
        <v>215</v>
      </c>
      <c r="AL46" s="36" t="s">
        <v>246</v>
      </c>
      <c r="AM46" s="36" t="s">
        <v>204</v>
      </c>
      <c r="AN46" s="36" t="s">
        <v>222</v>
      </c>
      <c r="AO46" s="36" t="s">
        <v>206</v>
      </c>
      <c r="AP46" s="36">
        <v>2</v>
      </c>
      <c r="AQ46" s="36"/>
      <c r="AR46" s="36"/>
      <c r="AS46" s="36"/>
      <c r="AT46" s="36" t="s">
        <v>223</v>
      </c>
      <c r="AU46" s="36" t="s">
        <v>604</v>
      </c>
      <c r="AV46" s="36" t="s">
        <v>249</v>
      </c>
      <c r="AW46" s="36" t="s">
        <v>209</v>
      </c>
      <c r="AX46" s="36" t="s">
        <v>210</v>
      </c>
      <c r="AY46" s="36">
        <v>0</v>
      </c>
      <c r="AZ46" s="36" t="s">
        <v>211</v>
      </c>
      <c r="BA46" s="36">
        <v>9045088641265</v>
      </c>
      <c r="BB46" s="36"/>
      <c r="BC46" s="36"/>
      <c r="BD46" s="36">
        <v>1</v>
      </c>
      <c r="BE46" s="36"/>
      <c r="BF46" s="36"/>
      <c r="BG46" s="36">
        <v>1333314600</v>
      </c>
      <c r="BH46" s="36" t="s">
        <v>213</v>
      </c>
      <c r="BI46" s="36">
        <v>56</v>
      </c>
      <c r="BJ46" s="36">
        <v>22.4</v>
      </c>
      <c r="BK46" s="36">
        <v>1300</v>
      </c>
      <c r="BL46" s="36" t="s">
        <v>214</v>
      </c>
      <c r="BM46" s="36"/>
      <c r="BN46" s="36"/>
    </row>
    <row r="47" spans="1:66" x14ac:dyDescent="0.35">
      <c r="A47" s="36"/>
      <c r="B47" s="36"/>
      <c r="C47" s="37">
        <v>244626</v>
      </c>
      <c r="D47" s="37">
        <v>244626</v>
      </c>
      <c r="E47" s="36"/>
      <c r="F47" s="36" t="s">
        <v>192</v>
      </c>
      <c r="G47" s="36" t="s">
        <v>1</v>
      </c>
      <c r="H47" s="36">
        <v>0</v>
      </c>
      <c r="I47" s="36" t="s">
        <v>193</v>
      </c>
      <c r="J47" s="36" t="s">
        <v>194</v>
      </c>
      <c r="K47" s="36" t="s">
        <v>195</v>
      </c>
      <c r="L47" s="36">
        <v>923</v>
      </c>
      <c r="M47" s="36"/>
      <c r="N47" s="36" t="s">
        <v>218</v>
      </c>
      <c r="O47" s="36" t="s">
        <v>219</v>
      </c>
      <c r="P47" s="36">
        <v>2</v>
      </c>
      <c r="Q47" s="36" t="s">
        <v>220</v>
      </c>
      <c r="R47" s="37">
        <v>244412</v>
      </c>
      <c r="S47" s="37">
        <v>244626</v>
      </c>
      <c r="T47" s="36" t="s">
        <v>605</v>
      </c>
      <c r="U47" s="36">
        <v>23083450</v>
      </c>
      <c r="V47" s="36" t="s">
        <v>103</v>
      </c>
      <c r="W47" s="36">
        <v>16</v>
      </c>
      <c r="X47" s="36">
        <v>16</v>
      </c>
      <c r="Y47" s="36">
        <v>16</v>
      </c>
      <c r="Z47" s="36">
        <v>16</v>
      </c>
      <c r="AA47" s="36">
        <v>0</v>
      </c>
      <c r="AB47" s="36">
        <v>0</v>
      </c>
      <c r="AC47" s="36">
        <v>0</v>
      </c>
      <c r="AD47" s="36">
        <v>0</v>
      </c>
      <c r="AE47" s="36">
        <v>16</v>
      </c>
      <c r="AF47" s="36">
        <v>16</v>
      </c>
      <c r="AG47" s="36"/>
      <c r="AH47" s="36"/>
      <c r="AI47" s="36" t="s">
        <v>200</v>
      </c>
      <c r="AJ47" s="36" t="s">
        <v>201</v>
      </c>
      <c r="AK47" s="36" t="s">
        <v>215</v>
      </c>
      <c r="AL47" s="36" t="s">
        <v>254</v>
      </c>
      <c r="AM47" s="36" t="s">
        <v>204</v>
      </c>
      <c r="AN47" s="36" t="s">
        <v>222</v>
      </c>
      <c r="AO47" s="36" t="s">
        <v>206</v>
      </c>
      <c r="AP47" s="36">
        <v>2</v>
      </c>
      <c r="AQ47" s="36"/>
      <c r="AR47" s="36"/>
      <c r="AS47" s="36"/>
      <c r="AT47" s="36" t="s">
        <v>223</v>
      </c>
      <c r="AU47" s="36" t="s">
        <v>604</v>
      </c>
      <c r="AV47" s="36" t="s">
        <v>216</v>
      </c>
      <c r="AW47" s="36" t="s">
        <v>209</v>
      </c>
      <c r="AX47" s="36" t="s">
        <v>210</v>
      </c>
      <c r="AY47" s="36">
        <v>0</v>
      </c>
      <c r="AZ47" s="36" t="s">
        <v>211</v>
      </c>
      <c r="BA47" s="36">
        <v>9045088641329</v>
      </c>
      <c r="BB47" s="36"/>
      <c r="BC47" s="36"/>
      <c r="BD47" s="36">
        <v>1</v>
      </c>
      <c r="BE47" s="36"/>
      <c r="BF47" s="36"/>
      <c r="BG47" s="36">
        <v>1333314600</v>
      </c>
      <c r="BH47" s="36" t="s">
        <v>213</v>
      </c>
      <c r="BI47" s="36">
        <v>16</v>
      </c>
      <c r="BJ47" s="36">
        <v>16</v>
      </c>
      <c r="BK47" s="36">
        <v>1300</v>
      </c>
      <c r="BL47" s="36" t="s">
        <v>214</v>
      </c>
      <c r="BM47" s="36"/>
      <c r="BN47" s="36"/>
    </row>
    <row r="48" spans="1:66" x14ac:dyDescent="0.35">
      <c r="A48" s="36"/>
      <c r="B48" s="36"/>
      <c r="C48" s="37">
        <v>244626</v>
      </c>
      <c r="D48" s="37">
        <v>244626</v>
      </c>
      <c r="E48" s="36"/>
      <c r="F48" s="36" t="s">
        <v>192</v>
      </c>
      <c r="G48" s="36" t="s">
        <v>1</v>
      </c>
      <c r="H48" s="36">
        <v>0</v>
      </c>
      <c r="I48" s="36" t="s">
        <v>193</v>
      </c>
      <c r="J48" s="36" t="s">
        <v>194</v>
      </c>
      <c r="K48" s="36" t="s">
        <v>195</v>
      </c>
      <c r="L48" s="36">
        <v>923</v>
      </c>
      <c r="M48" s="36"/>
      <c r="N48" s="36" t="s">
        <v>218</v>
      </c>
      <c r="O48" s="36" t="s">
        <v>219</v>
      </c>
      <c r="P48" s="36">
        <v>2</v>
      </c>
      <c r="Q48" s="36" t="s">
        <v>220</v>
      </c>
      <c r="R48" s="37">
        <v>244412</v>
      </c>
      <c r="S48" s="37">
        <v>244626</v>
      </c>
      <c r="T48" s="36" t="s">
        <v>605</v>
      </c>
      <c r="U48" s="36">
        <v>23084674</v>
      </c>
      <c r="V48" s="36" t="s">
        <v>52</v>
      </c>
      <c r="W48" s="36">
        <v>14</v>
      </c>
      <c r="X48" s="36">
        <v>5.6</v>
      </c>
      <c r="Y48" s="36">
        <v>14</v>
      </c>
      <c r="Z48" s="36">
        <v>5.6</v>
      </c>
      <c r="AA48" s="36">
        <v>0</v>
      </c>
      <c r="AB48" s="36">
        <v>0</v>
      </c>
      <c r="AC48" s="36">
        <v>0</v>
      </c>
      <c r="AD48" s="36">
        <v>0</v>
      </c>
      <c r="AE48" s="36">
        <v>14</v>
      </c>
      <c r="AF48" s="36">
        <v>5.6</v>
      </c>
      <c r="AG48" s="36"/>
      <c r="AH48" s="36"/>
      <c r="AI48" s="36" t="s">
        <v>200</v>
      </c>
      <c r="AJ48" s="36" t="s">
        <v>201</v>
      </c>
      <c r="AK48" s="36" t="s">
        <v>215</v>
      </c>
      <c r="AL48" s="36" t="s">
        <v>246</v>
      </c>
      <c r="AM48" s="36" t="s">
        <v>204</v>
      </c>
      <c r="AN48" s="36" t="s">
        <v>222</v>
      </c>
      <c r="AO48" s="36" t="s">
        <v>206</v>
      </c>
      <c r="AP48" s="36">
        <v>2</v>
      </c>
      <c r="AQ48" s="36"/>
      <c r="AR48" s="36"/>
      <c r="AS48" s="36"/>
      <c r="AT48" s="36" t="s">
        <v>223</v>
      </c>
      <c r="AU48" s="36" t="s">
        <v>604</v>
      </c>
      <c r="AV48" s="36" t="s">
        <v>249</v>
      </c>
      <c r="AW48" s="36" t="s">
        <v>209</v>
      </c>
      <c r="AX48" s="36" t="s">
        <v>210</v>
      </c>
      <c r="AY48" s="36">
        <v>0</v>
      </c>
      <c r="AZ48" s="36" t="s">
        <v>211</v>
      </c>
      <c r="BA48" s="36">
        <v>9045088641329</v>
      </c>
      <c r="BB48" s="36"/>
      <c r="BC48" s="36"/>
      <c r="BD48" s="36">
        <v>1</v>
      </c>
      <c r="BE48" s="36"/>
      <c r="BF48" s="36"/>
      <c r="BG48" s="36">
        <v>1333314600</v>
      </c>
      <c r="BH48" s="36" t="s">
        <v>213</v>
      </c>
      <c r="BI48" s="36">
        <v>14</v>
      </c>
      <c r="BJ48" s="36">
        <v>5.6</v>
      </c>
      <c r="BK48" s="36">
        <v>1300</v>
      </c>
      <c r="BL48" s="36" t="s">
        <v>214</v>
      </c>
      <c r="BM48" s="36"/>
      <c r="BN48" s="36"/>
    </row>
    <row r="49" spans="1:66" x14ac:dyDescent="0.35">
      <c r="A49" s="36"/>
      <c r="B49" s="36"/>
      <c r="C49" s="37">
        <v>244626</v>
      </c>
      <c r="D49" s="37">
        <v>244626</v>
      </c>
      <c r="E49" s="36"/>
      <c r="F49" s="36" t="s">
        <v>192</v>
      </c>
      <c r="G49" s="36" t="s">
        <v>1</v>
      </c>
      <c r="H49" s="36">
        <v>0</v>
      </c>
      <c r="I49" s="36" t="s">
        <v>193</v>
      </c>
      <c r="J49" s="36" t="s">
        <v>194</v>
      </c>
      <c r="K49" s="36" t="s">
        <v>195</v>
      </c>
      <c r="L49" s="36">
        <v>923</v>
      </c>
      <c r="M49" s="36"/>
      <c r="N49" s="36" t="s">
        <v>226</v>
      </c>
      <c r="O49" s="36" t="s">
        <v>227</v>
      </c>
      <c r="P49" s="36">
        <v>2</v>
      </c>
      <c r="Q49" s="36" t="s">
        <v>228</v>
      </c>
      <c r="R49" s="37">
        <v>244412</v>
      </c>
      <c r="S49" s="37">
        <v>244626</v>
      </c>
      <c r="T49" s="36" t="s">
        <v>606</v>
      </c>
      <c r="U49" s="36">
        <v>23083450</v>
      </c>
      <c r="V49" s="36" t="s">
        <v>103</v>
      </c>
      <c r="W49" s="36">
        <v>16</v>
      </c>
      <c r="X49" s="36">
        <v>16</v>
      </c>
      <c r="Y49" s="36">
        <v>16</v>
      </c>
      <c r="Z49" s="36">
        <v>16</v>
      </c>
      <c r="AA49" s="36">
        <v>0</v>
      </c>
      <c r="AB49" s="36">
        <v>0</v>
      </c>
      <c r="AC49" s="36">
        <v>0</v>
      </c>
      <c r="AD49" s="36">
        <v>0</v>
      </c>
      <c r="AE49" s="36">
        <v>16</v>
      </c>
      <c r="AF49" s="36">
        <v>16</v>
      </c>
      <c r="AG49" s="36"/>
      <c r="AH49" s="36"/>
      <c r="AI49" s="36" t="s">
        <v>200</v>
      </c>
      <c r="AJ49" s="36" t="s">
        <v>201</v>
      </c>
      <c r="AK49" s="36" t="s">
        <v>215</v>
      </c>
      <c r="AL49" s="36" t="s">
        <v>254</v>
      </c>
      <c r="AM49" s="36" t="s">
        <v>204</v>
      </c>
      <c r="AN49" s="36" t="s">
        <v>222</v>
      </c>
      <c r="AO49" s="36" t="s">
        <v>206</v>
      </c>
      <c r="AP49" s="36">
        <v>2</v>
      </c>
      <c r="AQ49" s="36"/>
      <c r="AR49" s="36"/>
      <c r="AS49" s="36"/>
      <c r="AT49" s="36" t="s">
        <v>223</v>
      </c>
      <c r="AU49" s="36" t="s">
        <v>604</v>
      </c>
      <c r="AV49" s="36" t="s">
        <v>216</v>
      </c>
      <c r="AW49" s="36" t="s">
        <v>209</v>
      </c>
      <c r="AX49" s="36" t="s">
        <v>210</v>
      </c>
      <c r="AY49" s="36">
        <v>0</v>
      </c>
      <c r="AZ49" s="36" t="s">
        <v>211</v>
      </c>
      <c r="BA49" s="36">
        <v>9045088641348</v>
      </c>
      <c r="BB49" s="36"/>
      <c r="BC49" s="36"/>
      <c r="BD49" s="36">
        <v>1</v>
      </c>
      <c r="BE49" s="36"/>
      <c r="BF49" s="36"/>
      <c r="BG49" s="36">
        <v>1333314600</v>
      </c>
      <c r="BH49" s="36" t="s">
        <v>213</v>
      </c>
      <c r="BI49" s="36">
        <v>16</v>
      </c>
      <c r="BJ49" s="36">
        <v>16</v>
      </c>
      <c r="BK49" s="36">
        <v>1300</v>
      </c>
      <c r="BL49" s="36" t="s">
        <v>214</v>
      </c>
      <c r="BM49" s="36"/>
      <c r="BN49" s="36"/>
    </row>
    <row r="50" spans="1:66" x14ac:dyDescent="0.35">
      <c r="A50" s="36"/>
      <c r="B50" s="36"/>
      <c r="C50" s="37">
        <v>244626</v>
      </c>
      <c r="D50" s="37">
        <v>244626</v>
      </c>
      <c r="E50" s="36"/>
      <c r="F50" s="36" t="s">
        <v>192</v>
      </c>
      <c r="G50" s="36" t="s">
        <v>1</v>
      </c>
      <c r="H50" s="36">
        <v>0</v>
      </c>
      <c r="I50" s="36" t="s">
        <v>193</v>
      </c>
      <c r="J50" s="36" t="s">
        <v>194</v>
      </c>
      <c r="K50" s="36" t="s">
        <v>195</v>
      </c>
      <c r="L50" s="36">
        <v>923</v>
      </c>
      <c r="M50" s="36"/>
      <c r="N50" s="36" t="s">
        <v>226</v>
      </c>
      <c r="O50" s="36" t="s">
        <v>227</v>
      </c>
      <c r="P50" s="36">
        <v>2</v>
      </c>
      <c r="Q50" s="36" t="s">
        <v>228</v>
      </c>
      <c r="R50" s="37">
        <v>244412</v>
      </c>
      <c r="S50" s="37">
        <v>244626</v>
      </c>
      <c r="T50" s="36" t="s">
        <v>606</v>
      </c>
      <c r="U50" s="36">
        <v>23084674</v>
      </c>
      <c r="V50" s="36" t="s">
        <v>52</v>
      </c>
      <c r="W50" s="36">
        <v>14</v>
      </c>
      <c r="X50" s="36">
        <v>5.6</v>
      </c>
      <c r="Y50" s="36">
        <v>14</v>
      </c>
      <c r="Z50" s="36">
        <v>5.6</v>
      </c>
      <c r="AA50" s="36">
        <v>0</v>
      </c>
      <c r="AB50" s="36">
        <v>0</v>
      </c>
      <c r="AC50" s="36">
        <v>0</v>
      </c>
      <c r="AD50" s="36">
        <v>0</v>
      </c>
      <c r="AE50" s="36">
        <v>14</v>
      </c>
      <c r="AF50" s="36">
        <v>5.6</v>
      </c>
      <c r="AG50" s="36"/>
      <c r="AH50" s="36"/>
      <c r="AI50" s="36" t="s">
        <v>200</v>
      </c>
      <c r="AJ50" s="36" t="s">
        <v>201</v>
      </c>
      <c r="AK50" s="36" t="s">
        <v>215</v>
      </c>
      <c r="AL50" s="36" t="s">
        <v>246</v>
      </c>
      <c r="AM50" s="36" t="s">
        <v>204</v>
      </c>
      <c r="AN50" s="36" t="s">
        <v>222</v>
      </c>
      <c r="AO50" s="36" t="s">
        <v>206</v>
      </c>
      <c r="AP50" s="36">
        <v>2</v>
      </c>
      <c r="AQ50" s="36"/>
      <c r="AR50" s="36"/>
      <c r="AS50" s="36"/>
      <c r="AT50" s="36" t="s">
        <v>223</v>
      </c>
      <c r="AU50" s="36" t="s">
        <v>604</v>
      </c>
      <c r="AV50" s="36" t="s">
        <v>249</v>
      </c>
      <c r="AW50" s="36" t="s">
        <v>209</v>
      </c>
      <c r="AX50" s="36" t="s">
        <v>210</v>
      </c>
      <c r="AY50" s="36">
        <v>0</v>
      </c>
      <c r="AZ50" s="36" t="s">
        <v>211</v>
      </c>
      <c r="BA50" s="36">
        <v>9045088641348</v>
      </c>
      <c r="BB50" s="36"/>
      <c r="BC50" s="36"/>
      <c r="BD50" s="36">
        <v>1</v>
      </c>
      <c r="BE50" s="36"/>
      <c r="BF50" s="36"/>
      <c r="BG50" s="36">
        <v>1333314600</v>
      </c>
      <c r="BH50" s="36" t="s">
        <v>213</v>
      </c>
      <c r="BI50" s="36">
        <v>14</v>
      </c>
      <c r="BJ50" s="36">
        <v>5.6</v>
      </c>
      <c r="BK50" s="36">
        <v>1300</v>
      </c>
      <c r="BL50" s="36" t="s">
        <v>214</v>
      </c>
      <c r="BM50" s="36"/>
      <c r="BN50" s="36"/>
    </row>
    <row r="51" spans="1:66" x14ac:dyDescent="0.35">
      <c r="A51" s="36"/>
      <c r="B51" s="36"/>
      <c r="C51" s="37">
        <v>244626</v>
      </c>
      <c r="D51" s="37">
        <v>244626</v>
      </c>
      <c r="E51" s="36"/>
      <c r="F51" s="36" t="s">
        <v>192</v>
      </c>
      <c r="G51" s="36" t="s">
        <v>1</v>
      </c>
      <c r="H51" s="36">
        <v>0</v>
      </c>
      <c r="I51" s="36" t="s">
        <v>193</v>
      </c>
      <c r="J51" s="36" t="s">
        <v>194</v>
      </c>
      <c r="K51" s="36" t="s">
        <v>195</v>
      </c>
      <c r="L51" s="36">
        <v>923</v>
      </c>
      <c r="M51" s="36"/>
      <c r="N51" s="36" t="s">
        <v>196</v>
      </c>
      <c r="O51" s="36" t="s">
        <v>197</v>
      </c>
      <c r="P51" s="36">
        <v>2</v>
      </c>
      <c r="Q51" s="36" t="s">
        <v>198</v>
      </c>
      <c r="R51" s="37">
        <v>244412</v>
      </c>
      <c r="S51" s="37">
        <v>244626</v>
      </c>
      <c r="T51" s="36" t="s">
        <v>607</v>
      </c>
      <c r="U51" s="36">
        <v>23084674</v>
      </c>
      <c r="V51" s="36" t="s">
        <v>52</v>
      </c>
      <c r="W51" s="36">
        <v>14</v>
      </c>
      <c r="X51" s="36">
        <v>5.6</v>
      </c>
      <c r="Y51" s="36">
        <v>14</v>
      </c>
      <c r="Z51" s="36">
        <v>5.6</v>
      </c>
      <c r="AA51" s="36">
        <v>0</v>
      </c>
      <c r="AB51" s="36">
        <v>0</v>
      </c>
      <c r="AC51" s="36">
        <v>0</v>
      </c>
      <c r="AD51" s="36">
        <v>0</v>
      </c>
      <c r="AE51" s="36">
        <v>14</v>
      </c>
      <c r="AF51" s="36">
        <v>5.6</v>
      </c>
      <c r="AG51" s="36"/>
      <c r="AH51" s="36"/>
      <c r="AI51" s="36" t="s">
        <v>200</v>
      </c>
      <c r="AJ51" s="36" t="s">
        <v>201</v>
      </c>
      <c r="AK51" s="36" t="s">
        <v>215</v>
      </c>
      <c r="AL51" s="36" t="s">
        <v>246</v>
      </c>
      <c r="AM51" s="36" t="s">
        <v>204</v>
      </c>
      <c r="AN51" s="36" t="s">
        <v>205</v>
      </c>
      <c r="AO51" s="36" t="s">
        <v>206</v>
      </c>
      <c r="AP51" s="36">
        <v>20</v>
      </c>
      <c r="AQ51" s="36">
        <v>1</v>
      </c>
      <c r="AR51" s="36"/>
      <c r="AS51" s="36"/>
      <c r="AT51" s="36" t="s">
        <v>223</v>
      </c>
      <c r="AU51" s="36" t="s">
        <v>604</v>
      </c>
      <c r="AV51" s="36" t="s">
        <v>249</v>
      </c>
      <c r="AW51" s="36" t="s">
        <v>209</v>
      </c>
      <c r="AX51" s="36" t="s">
        <v>210</v>
      </c>
      <c r="AY51" s="36">
        <v>0</v>
      </c>
      <c r="AZ51" s="36" t="s">
        <v>211</v>
      </c>
      <c r="BA51" s="36">
        <v>9045088641497</v>
      </c>
      <c r="BB51" s="36"/>
      <c r="BC51" s="36"/>
      <c r="BD51" s="36">
        <v>1</v>
      </c>
      <c r="BE51" s="36"/>
      <c r="BF51" s="36"/>
      <c r="BG51" s="36">
        <v>1333314600</v>
      </c>
      <c r="BH51" s="36" t="s">
        <v>213</v>
      </c>
      <c r="BI51" s="36">
        <v>14</v>
      </c>
      <c r="BJ51" s="36">
        <v>5.6</v>
      </c>
      <c r="BK51" s="36"/>
      <c r="BL51" s="36" t="s">
        <v>214</v>
      </c>
      <c r="BM51" s="36"/>
      <c r="BN51" s="36"/>
    </row>
    <row r="52" spans="1:66" x14ac:dyDescent="0.35">
      <c r="A52" s="36"/>
      <c r="B52" s="36"/>
      <c r="C52" s="37">
        <v>244626</v>
      </c>
      <c r="D52" s="37">
        <v>244626</v>
      </c>
      <c r="E52" s="36"/>
      <c r="F52" s="36" t="s">
        <v>192</v>
      </c>
      <c r="G52" s="36" t="s">
        <v>1</v>
      </c>
      <c r="H52" s="36">
        <v>0</v>
      </c>
      <c r="I52" s="36" t="s">
        <v>193</v>
      </c>
      <c r="J52" s="36" t="s">
        <v>194</v>
      </c>
      <c r="K52" s="36" t="s">
        <v>195</v>
      </c>
      <c r="L52" s="36">
        <v>923</v>
      </c>
      <c r="M52" s="36"/>
      <c r="N52" s="36" t="s">
        <v>230</v>
      </c>
      <c r="O52" s="36" t="s">
        <v>231</v>
      </c>
      <c r="P52" s="36">
        <v>2</v>
      </c>
      <c r="Q52" s="36" t="s">
        <v>232</v>
      </c>
      <c r="R52" s="37">
        <v>244412</v>
      </c>
      <c r="S52" s="37">
        <v>244626</v>
      </c>
      <c r="T52" s="36" t="s">
        <v>608</v>
      </c>
      <c r="U52" s="36">
        <v>23065142</v>
      </c>
      <c r="V52" s="36" t="s">
        <v>42</v>
      </c>
      <c r="W52" s="36">
        <v>20</v>
      </c>
      <c r="X52" s="36">
        <v>20</v>
      </c>
      <c r="Y52" s="36">
        <v>20</v>
      </c>
      <c r="Z52" s="36">
        <v>20</v>
      </c>
      <c r="AA52" s="36">
        <v>0</v>
      </c>
      <c r="AB52" s="36">
        <v>0</v>
      </c>
      <c r="AC52" s="36">
        <v>0</v>
      </c>
      <c r="AD52" s="36">
        <v>0</v>
      </c>
      <c r="AE52" s="36">
        <v>20</v>
      </c>
      <c r="AF52" s="36">
        <v>20</v>
      </c>
      <c r="AG52" s="36"/>
      <c r="AH52" s="36"/>
      <c r="AI52" s="36" t="s">
        <v>200</v>
      </c>
      <c r="AJ52" s="36" t="s">
        <v>201</v>
      </c>
      <c r="AK52" s="36" t="s">
        <v>202</v>
      </c>
      <c r="AL52" s="36" t="s">
        <v>203</v>
      </c>
      <c r="AM52" s="36" t="s">
        <v>204</v>
      </c>
      <c r="AN52" s="36" t="s">
        <v>222</v>
      </c>
      <c r="AO52" s="36" t="s">
        <v>206</v>
      </c>
      <c r="AP52" s="36">
        <v>2</v>
      </c>
      <c r="AQ52" s="36"/>
      <c r="AR52" s="36"/>
      <c r="AS52" s="36"/>
      <c r="AT52" s="36" t="s">
        <v>223</v>
      </c>
      <c r="AU52" s="36" t="s">
        <v>609</v>
      </c>
      <c r="AV52" s="36" t="s">
        <v>209</v>
      </c>
      <c r="AW52" s="36" t="s">
        <v>209</v>
      </c>
      <c r="AX52" s="36" t="s">
        <v>210</v>
      </c>
      <c r="AY52" s="36">
        <v>0</v>
      </c>
      <c r="AZ52" s="36" t="s">
        <v>211</v>
      </c>
      <c r="BA52" s="36">
        <v>9044988632609</v>
      </c>
      <c r="BB52" s="36"/>
      <c r="BC52" s="36"/>
      <c r="BD52" s="36">
        <v>1</v>
      </c>
      <c r="BE52" s="36"/>
      <c r="BF52" s="36" t="s">
        <v>212</v>
      </c>
      <c r="BG52" s="36">
        <v>1333314600</v>
      </c>
      <c r="BH52" s="36" t="s">
        <v>213</v>
      </c>
      <c r="BI52" s="36">
        <v>20</v>
      </c>
      <c r="BJ52" s="36">
        <v>20</v>
      </c>
      <c r="BK52" s="36">
        <v>1300</v>
      </c>
      <c r="BL52" s="36" t="s">
        <v>214</v>
      </c>
      <c r="BM52" s="36"/>
      <c r="BN52" s="36"/>
    </row>
    <row r="53" spans="1:66" x14ac:dyDescent="0.35">
      <c r="A53" s="36"/>
      <c r="B53" s="36"/>
      <c r="C53" s="37">
        <v>244626</v>
      </c>
      <c r="D53" s="37">
        <v>244626</v>
      </c>
      <c r="E53" s="36"/>
      <c r="F53" s="36" t="s">
        <v>192</v>
      </c>
      <c r="G53" s="36" t="s">
        <v>1</v>
      </c>
      <c r="H53" s="36">
        <v>0</v>
      </c>
      <c r="I53" s="36" t="s">
        <v>193</v>
      </c>
      <c r="J53" s="36" t="s">
        <v>194</v>
      </c>
      <c r="K53" s="36" t="s">
        <v>195</v>
      </c>
      <c r="L53" s="36">
        <v>923</v>
      </c>
      <c r="M53" s="36"/>
      <c r="N53" s="36" t="s">
        <v>230</v>
      </c>
      <c r="O53" s="36" t="s">
        <v>231</v>
      </c>
      <c r="P53" s="36">
        <v>2</v>
      </c>
      <c r="Q53" s="36" t="s">
        <v>232</v>
      </c>
      <c r="R53" s="37">
        <v>244412</v>
      </c>
      <c r="S53" s="37">
        <v>244626</v>
      </c>
      <c r="T53" s="36" t="s">
        <v>608</v>
      </c>
      <c r="U53" s="36">
        <v>23062095</v>
      </c>
      <c r="V53" s="36" t="s">
        <v>36</v>
      </c>
      <c r="W53" s="36">
        <v>30</v>
      </c>
      <c r="X53" s="36">
        <v>30</v>
      </c>
      <c r="Y53" s="36">
        <v>30</v>
      </c>
      <c r="Z53" s="36">
        <v>30</v>
      </c>
      <c r="AA53" s="36">
        <v>0</v>
      </c>
      <c r="AB53" s="36">
        <v>0</v>
      </c>
      <c r="AC53" s="36">
        <v>0</v>
      </c>
      <c r="AD53" s="36">
        <v>0</v>
      </c>
      <c r="AE53" s="36">
        <v>30</v>
      </c>
      <c r="AF53" s="36">
        <v>30</v>
      </c>
      <c r="AG53" s="36"/>
      <c r="AH53" s="36"/>
      <c r="AI53" s="36" t="s">
        <v>200</v>
      </c>
      <c r="AJ53" s="36" t="s">
        <v>201</v>
      </c>
      <c r="AK53" s="36" t="s">
        <v>215</v>
      </c>
      <c r="AL53" s="36" t="s">
        <v>203</v>
      </c>
      <c r="AM53" s="36" t="s">
        <v>204</v>
      </c>
      <c r="AN53" s="36" t="s">
        <v>222</v>
      </c>
      <c r="AO53" s="36" t="s">
        <v>206</v>
      </c>
      <c r="AP53" s="36">
        <v>2</v>
      </c>
      <c r="AQ53" s="36"/>
      <c r="AR53" s="36"/>
      <c r="AS53" s="36"/>
      <c r="AT53" s="36" t="s">
        <v>223</v>
      </c>
      <c r="AU53" s="36" t="s">
        <v>609</v>
      </c>
      <c r="AV53" s="36" t="s">
        <v>209</v>
      </c>
      <c r="AW53" s="36" t="s">
        <v>209</v>
      </c>
      <c r="AX53" s="36" t="s">
        <v>210</v>
      </c>
      <c r="AY53" s="36">
        <v>0</v>
      </c>
      <c r="AZ53" s="36" t="s">
        <v>211</v>
      </c>
      <c r="BA53" s="36">
        <v>9044988632609</v>
      </c>
      <c r="BB53" s="36"/>
      <c r="BC53" s="36"/>
      <c r="BD53" s="36">
        <v>1</v>
      </c>
      <c r="BE53" s="36"/>
      <c r="BF53" s="36" t="s">
        <v>212</v>
      </c>
      <c r="BG53" s="36">
        <v>1333314600</v>
      </c>
      <c r="BH53" s="36" t="s">
        <v>213</v>
      </c>
      <c r="BI53" s="36">
        <v>30</v>
      </c>
      <c r="BJ53" s="36">
        <v>30</v>
      </c>
      <c r="BK53" s="36">
        <v>1300</v>
      </c>
      <c r="BL53" s="36" t="s">
        <v>214</v>
      </c>
      <c r="BM53" s="36"/>
      <c r="BN53" s="36"/>
    </row>
    <row r="54" spans="1:66" x14ac:dyDescent="0.35">
      <c r="A54" s="36"/>
      <c r="B54" s="36"/>
      <c r="C54" s="37">
        <v>244626</v>
      </c>
      <c r="D54" s="37">
        <v>244626</v>
      </c>
      <c r="E54" s="36"/>
      <c r="F54" s="36" t="s">
        <v>192</v>
      </c>
      <c r="G54" s="36" t="s">
        <v>1</v>
      </c>
      <c r="H54" s="36">
        <v>0</v>
      </c>
      <c r="I54" s="36" t="s">
        <v>193</v>
      </c>
      <c r="J54" s="36" t="s">
        <v>194</v>
      </c>
      <c r="K54" s="36" t="s">
        <v>195</v>
      </c>
      <c r="L54" s="36">
        <v>923</v>
      </c>
      <c r="M54" s="36"/>
      <c r="N54" s="36" t="s">
        <v>230</v>
      </c>
      <c r="O54" s="36" t="s">
        <v>231</v>
      </c>
      <c r="P54" s="36">
        <v>2</v>
      </c>
      <c r="Q54" s="36" t="s">
        <v>232</v>
      </c>
      <c r="R54" s="37">
        <v>244412</v>
      </c>
      <c r="S54" s="37">
        <v>244626</v>
      </c>
      <c r="T54" s="36" t="s">
        <v>608</v>
      </c>
      <c r="U54" s="36">
        <v>23108462</v>
      </c>
      <c r="V54" s="36" t="s">
        <v>77</v>
      </c>
      <c r="W54" s="36">
        <v>100</v>
      </c>
      <c r="X54" s="36">
        <v>100</v>
      </c>
      <c r="Y54" s="36">
        <v>100</v>
      </c>
      <c r="Z54" s="36">
        <v>100</v>
      </c>
      <c r="AA54" s="36">
        <v>0</v>
      </c>
      <c r="AB54" s="36">
        <v>0</v>
      </c>
      <c r="AC54" s="36">
        <v>0</v>
      </c>
      <c r="AD54" s="36">
        <v>0</v>
      </c>
      <c r="AE54" s="36">
        <v>100</v>
      </c>
      <c r="AF54" s="36">
        <v>100</v>
      </c>
      <c r="AG54" s="36"/>
      <c r="AH54" s="36"/>
      <c r="AI54" s="36" t="s">
        <v>200</v>
      </c>
      <c r="AJ54" s="36" t="s">
        <v>201</v>
      </c>
      <c r="AK54" s="36" t="s">
        <v>202</v>
      </c>
      <c r="AL54" s="36" t="s">
        <v>203</v>
      </c>
      <c r="AM54" s="36" t="s">
        <v>204</v>
      </c>
      <c r="AN54" s="36" t="s">
        <v>222</v>
      </c>
      <c r="AO54" s="36" t="s">
        <v>206</v>
      </c>
      <c r="AP54" s="36">
        <v>2</v>
      </c>
      <c r="AQ54" s="36"/>
      <c r="AR54" s="36"/>
      <c r="AS54" s="36"/>
      <c r="AT54" s="36" t="s">
        <v>223</v>
      </c>
      <c r="AU54" s="36" t="s">
        <v>609</v>
      </c>
      <c r="AV54" s="36" t="s">
        <v>217</v>
      </c>
      <c r="AW54" s="36" t="s">
        <v>209</v>
      </c>
      <c r="AX54" s="36" t="s">
        <v>210</v>
      </c>
      <c r="AY54" s="36">
        <v>0</v>
      </c>
      <c r="AZ54" s="36" t="s">
        <v>211</v>
      </c>
      <c r="BA54" s="36">
        <v>9044988632609</v>
      </c>
      <c r="BB54" s="36"/>
      <c r="BC54" s="36"/>
      <c r="BD54" s="36">
        <v>1</v>
      </c>
      <c r="BE54" s="36"/>
      <c r="BF54" s="36" t="s">
        <v>212</v>
      </c>
      <c r="BG54" s="36">
        <v>1333314600</v>
      </c>
      <c r="BH54" s="36" t="s">
        <v>213</v>
      </c>
      <c r="BI54" s="36">
        <v>100</v>
      </c>
      <c r="BJ54" s="36">
        <v>100</v>
      </c>
      <c r="BK54" s="36">
        <v>1300</v>
      </c>
      <c r="BL54" s="36" t="s">
        <v>214</v>
      </c>
      <c r="BM54" s="36"/>
      <c r="BN54" s="36"/>
    </row>
    <row r="55" spans="1:66" x14ac:dyDescent="0.35">
      <c r="A55" s="36"/>
      <c r="B55" s="36"/>
      <c r="C55" s="37">
        <v>244626</v>
      </c>
      <c r="D55" s="37">
        <v>244626</v>
      </c>
      <c r="E55" s="36"/>
      <c r="F55" s="36" t="s">
        <v>192</v>
      </c>
      <c r="G55" s="36" t="s">
        <v>1</v>
      </c>
      <c r="H55" s="36">
        <v>0</v>
      </c>
      <c r="I55" s="36" t="s">
        <v>193</v>
      </c>
      <c r="J55" s="36" t="s">
        <v>194</v>
      </c>
      <c r="K55" s="36" t="s">
        <v>195</v>
      </c>
      <c r="L55" s="36">
        <v>923</v>
      </c>
      <c r="M55" s="36"/>
      <c r="N55" s="36" t="s">
        <v>230</v>
      </c>
      <c r="O55" s="36" t="s">
        <v>231</v>
      </c>
      <c r="P55" s="36">
        <v>2</v>
      </c>
      <c r="Q55" s="36" t="s">
        <v>232</v>
      </c>
      <c r="R55" s="37">
        <v>244412</v>
      </c>
      <c r="S55" s="37">
        <v>244626</v>
      </c>
      <c r="T55" s="36" t="s">
        <v>608</v>
      </c>
      <c r="U55" s="36">
        <v>23058555</v>
      </c>
      <c r="V55" s="36" t="s">
        <v>28</v>
      </c>
      <c r="W55" s="36">
        <v>50</v>
      </c>
      <c r="X55" s="36">
        <v>50</v>
      </c>
      <c r="Y55" s="36">
        <v>50</v>
      </c>
      <c r="Z55" s="36">
        <v>50</v>
      </c>
      <c r="AA55" s="36">
        <v>0</v>
      </c>
      <c r="AB55" s="36">
        <v>0</v>
      </c>
      <c r="AC55" s="36">
        <v>0</v>
      </c>
      <c r="AD55" s="36">
        <v>0</v>
      </c>
      <c r="AE55" s="36">
        <v>50</v>
      </c>
      <c r="AF55" s="36">
        <v>50</v>
      </c>
      <c r="AG55" s="36"/>
      <c r="AH55" s="36"/>
      <c r="AI55" s="36" t="s">
        <v>200</v>
      </c>
      <c r="AJ55" s="36" t="s">
        <v>201</v>
      </c>
      <c r="AK55" s="36" t="s">
        <v>215</v>
      </c>
      <c r="AL55" s="36" t="s">
        <v>203</v>
      </c>
      <c r="AM55" s="36" t="s">
        <v>204</v>
      </c>
      <c r="AN55" s="36" t="s">
        <v>222</v>
      </c>
      <c r="AO55" s="36" t="s">
        <v>206</v>
      </c>
      <c r="AP55" s="36">
        <v>2</v>
      </c>
      <c r="AQ55" s="36"/>
      <c r="AR55" s="36"/>
      <c r="AS55" s="36"/>
      <c r="AT55" s="36" t="s">
        <v>223</v>
      </c>
      <c r="AU55" s="36" t="s">
        <v>609</v>
      </c>
      <c r="AV55" s="36" t="s">
        <v>209</v>
      </c>
      <c r="AW55" s="36" t="s">
        <v>209</v>
      </c>
      <c r="AX55" s="36" t="s">
        <v>210</v>
      </c>
      <c r="AY55" s="36">
        <v>0</v>
      </c>
      <c r="AZ55" s="36" t="s">
        <v>211</v>
      </c>
      <c r="BA55" s="36">
        <v>9044988632609</v>
      </c>
      <c r="BB55" s="36"/>
      <c r="BC55" s="36"/>
      <c r="BD55" s="36">
        <v>1</v>
      </c>
      <c r="BE55" s="36"/>
      <c r="BF55" s="36" t="s">
        <v>212</v>
      </c>
      <c r="BG55" s="36">
        <v>1333314600</v>
      </c>
      <c r="BH55" s="36" t="s">
        <v>213</v>
      </c>
      <c r="BI55" s="36">
        <v>50</v>
      </c>
      <c r="BJ55" s="36">
        <v>50</v>
      </c>
      <c r="BK55" s="36">
        <v>1300</v>
      </c>
      <c r="BL55" s="36" t="s">
        <v>214</v>
      </c>
      <c r="BM55" s="36"/>
      <c r="BN55" s="36"/>
    </row>
    <row r="56" spans="1:66" x14ac:dyDescent="0.35">
      <c r="A56" s="36"/>
      <c r="B56" s="36"/>
      <c r="C56" s="37">
        <v>244626</v>
      </c>
      <c r="D56" s="37">
        <v>244626</v>
      </c>
      <c r="E56" s="36"/>
      <c r="F56" s="36" t="s">
        <v>192</v>
      </c>
      <c r="G56" s="36" t="s">
        <v>1</v>
      </c>
      <c r="H56" s="36">
        <v>0</v>
      </c>
      <c r="I56" s="36" t="s">
        <v>193</v>
      </c>
      <c r="J56" s="36" t="s">
        <v>194</v>
      </c>
      <c r="K56" s="36" t="s">
        <v>195</v>
      </c>
      <c r="L56" s="36">
        <v>923</v>
      </c>
      <c r="M56" s="36"/>
      <c r="N56" s="36" t="s">
        <v>230</v>
      </c>
      <c r="O56" s="36" t="s">
        <v>231</v>
      </c>
      <c r="P56" s="36">
        <v>2</v>
      </c>
      <c r="Q56" s="36" t="s">
        <v>232</v>
      </c>
      <c r="R56" s="37">
        <v>244412</v>
      </c>
      <c r="S56" s="37">
        <v>244626</v>
      </c>
      <c r="T56" s="36" t="s">
        <v>608</v>
      </c>
      <c r="U56" s="36">
        <v>23058591</v>
      </c>
      <c r="V56" s="36" t="s">
        <v>35</v>
      </c>
      <c r="W56" s="36">
        <v>40</v>
      </c>
      <c r="X56" s="36">
        <v>40</v>
      </c>
      <c r="Y56" s="36">
        <v>40</v>
      </c>
      <c r="Z56" s="36">
        <v>40</v>
      </c>
      <c r="AA56" s="36">
        <v>0</v>
      </c>
      <c r="AB56" s="36">
        <v>0</v>
      </c>
      <c r="AC56" s="36">
        <v>0</v>
      </c>
      <c r="AD56" s="36">
        <v>0</v>
      </c>
      <c r="AE56" s="36">
        <v>40</v>
      </c>
      <c r="AF56" s="36">
        <v>40</v>
      </c>
      <c r="AG56" s="36"/>
      <c r="AH56" s="36"/>
      <c r="AI56" s="36" t="s">
        <v>200</v>
      </c>
      <c r="AJ56" s="36" t="s">
        <v>201</v>
      </c>
      <c r="AK56" s="36" t="s">
        <v>215</v>
      </c>
      <c r="AL56" s="36" t="s">
        <v>203</v>
      </c>
      <c r="AM56" s="36" t="s">
        <v>204</v>
      </c>
      <c r="AN56" s="36" t="s">
        <v>222</v>
      </c>
      <c r="AO56" s="36" t="s">
        <v>206</v>
      </c>
      <c r="AP56" s="36">
        <v>2</v>
      </c>
      <c r="AQ56" s="36"/>
      <c r="AR56" s="36"/>
      <c r="AS56" s="36"/>
      <c r="AT56" s="36" t="s">
        <v>223</v>
      </c>
      <c r="AU56" s="36" t="s">
        <v>609</v>
      </c>
      <c r="AV56" s="36" t="s">
        <v>209</v>
      </c>
      <c r="AW56" s="36" t="s">
        <v>209</v>
      </c>
      <c r="AX56" s="36" t="s">
        <v>210</v>
      </c>
      <c r="AY56" s="36">
        <v>0</v>
      </c>
      <c r="AZ56" s="36" t="s">
        <v>211</v>
      </c>
      <c r="BA56" s="36">
        <v>9044988632609</v>
      </c>
      <c r="BB56" s="36"/>
      <c r="BC56" s="36"/>
      <c r="BD56" s="36">
        <v>1</v>
      </c>
      <c r="BE56" s="36"/>
      <c r="BF56" s="36" t="s">
        <v>212</v>
      </c>
      <c r="BG56" s="36">
        <v>1333314600</v>
      </c>
      <c r="BH56" s="36" t="s">
        <v>213</v>
      </c>
      <c r="BI56" s="36">
        <v>40</v>
      </c>
      <c r="BJ56" s="36">
        <v>40</v>
      </c>
      <c r="BK56" s="36">
        <v>1300</v>
      </c>
      <c r="BL56" s="36" t="s">
        <v>214</v>
      </c>
      <c r="BM56" s="36"/>
      <c r="BN56" s="36"/>
    </row>
    <row r="57" spans="1:66" x14ac:dyDescent="0.35">
      <c r="A57" s="36"/>
      <c r="B57" s="36"/>
      <c r="C57" s="37">
        <v>244626</v>
      </c>
      <c r="D57" s="37">
        <v>244626</v>
      </c>
      <c r="E57" s="36"/>
      <c r="F57" s="36" t="s">
        <v>192</v>
      </c>
      <c r="G57" s="36" t="s">
        <v>1</v>
      </c>
      <c r="H57" s="36">
        <v>0</v>
      </c>
      <c r="I57" s="36" t="s">
        <v>193</v>
      </c>
      <c r="J57" s="36" t="s">
        <v>194</v>
      </c>
      <c r="K57" s="36" t="s">
        <v>195</v>
      </c>
      <c r="L57" s="36">
        <v>923</v>
      </c>
      <c r="M57" s="36"/>
      <c r="N57" s="36" t="s">
        <v>230</v>
      </c>
      <c r="O57" s="36" t="s">
        <v>231</v>
      </c>
      <c r="P57" s="36">
        <v>2</v>
      </c>
      <c r="Q57" s="36" t="s">
        <v>232</v>
      </c>
      <c r="R57" s="37">
        <v>244412</v>
      </c>
      <c r="S57" s="37">
        <v>244626</v>
      </c>
      <c r="T57" s="36" t="s">
        <v>608</v>
      </c>
      <c r="U57" s="36">
        <v>23057815</v>
      </c>
      <c r="V57" s="36" t="s">
        <v>20</v>
      </c>
      <c r="W57" s="36">
        <v>200</v>
      </c>
      <c r="X57" s="36">
        <v>200</v>
      </c>
      <c r="Y57" s="36">
        <v>200</v>
      </c>
      <c r="Z57" s="36">
        <v>200</v>
      </c>
      <c r="AA57" s="36">
        <v>0</v>
      </c>
      <c r="AB57" s="36">
        <v>0</v>
      </c>
      <c r="AC57" s="36">
        <v>0</v>
      </c>
      <c r="AD57" s="36">
        <v>0</v>
      </c>
      <c r="AE57" s="36">
        <v>200</v>
      </c>
      <c r="AF57" s="36">
        <v>200</v>
      </c>
      <c r="AG57" s="36"/>
      <c r="AH57" s="36"/>
      <c r="AI57" s="36" t="s">
        <v>200</v>
      </c>
      <c r="AJ57" s="36" t="s">
        <v>201</v>
      </c>
      <c r="AK57" s="36" t="s">
        <v>202</v>
      </c>
      <c r="AL57" s="36" t="s">
        <v>203</v>
      </c>
      <c r="AM57" s="36" t="s">
        <v>204</v>
      </c>
      <c r="AN57" s="36" t="s">
        <v>222</v>
      </c>
      <c r="AO57" s="36" t="s">
        <v>206</v>
      </c>
      <c r="AP57" s="36">
        <v>2</v>
      </c>
      <c r="AQ57" s="36"/>
      <c r="AR57" s="36"/>
      <c r="AS57" s="36"/>
      <c r="AT57" s="36" t="s">
        <v>223</v>
      </c>
      <c r="AU57" s="36" t="s">
        <v>609</v>
      </c>
      <c r="AV57" s="36" t="s">
        <v>209</v>
      </c>
      <c r="AW57" s="36" t="s">
        <v>209</v>
      </c>
      <c r="AX57" s="36" t="s">
        <v>210</v>
      </c>
      <c r="AY57" s="36">
        <v>0</v>
      </c>
      <c r="AZ57" s="36" t="s">
        <v>211</v>
      </c>
      <c r="BA57" s="36">
        <v>9044988632609</v>
      </c>
      <c r="BB57" s="36"/>
      <c r="BC57" s="36"/>
      <c r="BD57" s="36">
        <v>1</v>
      </c>
      <c r="BE57" s="36"/>
      <c r="BF57" s="36" t="s">
        <v>212</v>
      </c>
      <c r="BG57" s="36">
        <v>1333314600</v>
      </c>
      <c r="BH57" s="36" t="s">
        <v>213</v>
      </c>
      <c r="BI57" s="36">
        <v>200</v>
      </c>
      <c r="BJ57" s="36">
        <v>200</v>
      </c>
      <c r="BK57" s="36">
        <v>1300</v>
      </c>
      <c r="BL57" s="36" t="s">
        <v>214</v>
      </c>
      <c r="BM57" s="36"/>
      <c r="BN57" s="36"/>
    </row>
    <row r="58" spans="1:66" x14ac:dyDescent="0.35">
      <c r="A58" s="36"/>
      <c r="B58" s="36"/>
      <c r="C58" s="37">
        <v>244626</v>
      </c>
      <c r="D58" s="37">
        <v>244626</v>
      </c>
      <c r="E58" s="36"/>
      <c r="F58" s="36" t="s">
        <v>192</v>
      </c>
      <c r="G58" s="36" t="s">
        <v>1</v>
      </c>
      <c r="H58" s="36">
        <v>0</v>
      </c>
      <c r="I58" s="36" t="s">
        <v>193</v>
      </c>
      <c r="J58" s="36" t="s">
        <v>194</v>
      </c>
      <c r="K58" s="36" t="s">
        <v>195</v>
      </c>
      <c r="L58" s="36">
        <v>923</v>
      </c>
      <c r="M58" s="36"/>
      <c r="N58" s="36" t="s">
        <v>230</v>
      </c>
      <c r="O58" s="36" t="s">
        <v>231</v>
      </c>
      <c r="P58" s="36">
        <v>2</v>
      </c>
      <c r="Q58" s="36" t="s">
        <v>232</v>
      </c>
      <c r="R58" s="37">
        <v>244412</v>
      </c>
      <c r="S58" s="37">
        <v>244626</v>
      </c>
      <c r="T58" s="36" t="s">
        <v>608</v>
      </c>
      <c r="U58" s="36">
        <v>23015265</v>
      </c>
      <c r="V58" s="36" t="s">
        <v>16</v>
      </c>
      <c r="W58" s="36">
        <v>20</v>
      </c>
      <c r="X58" s="36">
        <v>20</v>
      </c>
      <c r="Y58" s="36">
        <v>20</v>
      </c>
      <c r="Z58" s="36">
        <v>20</v>
      </c>
      <c r="AA58" s="36">
        <v>0</v>
      </c>
      <c r="AB58" s="36">
        <v>0</v>
      </c>
      <c r="AC58" s="36">
        <v>0</v>
      </c>
      <c r="AD58" s="36">
        <v>0</v>
      </c>
      <c r="AE58" s="36">
        <v>20</v>
      </c>
      <c r="AF58" s="36">
        <v>20</v>
      </c>
      <c r="AG58" s="36"/>
      <c r="AH58" s="36"/>
      <c r="AI58" s="36" t="s">
        <v>200</v>
      </c>
      <c r="AJ58" s="36" t="s">
        <v>201</v>
      </c>
      <c r="AK58" s="36" t="s">
        <v>202</v>
      </c>
      <c r="AL58" s="36" t="s">
        <v>203</v>
      </c>
      <c r="AM58" s="36" t="s">
        <v>204</v>
      </c>
      <c r="AN58" s="36" t="s">
        <v>222</v>
      </c>
      <c r="AO58" s="36" t="s">
        <v>206</v>
      </c>
      <c r="AP58" s="36">
        <v>2</v>
      </c>
      <c r="AQ58" s="36"/>
      <c r="AR58" s="36"/>
      <c r="AS58" s="36"/>
      <c r="AT58" s="36" t="s">
        <v>223</v>
      </c>
      <c r="AU58" s="36" t="s">
        <v>609</v>
      </c>
      <c r="AV58" s="36" t="s">
        <v>209</v>
      </c>
      <c r="AW58" s="36" t="s">
        <v>209</v>
      </c>
      <c r="AX58" s="36" t="s">
        <v>210</v>
      </c>
      <c r="AY58" s="36">
        <v>0</v>
      </c>
      <c r="AZ58" s="36" t="s">
        <v>211</v>
      </c>
      <c r="BA58" s="36">
        <v>9044988632609</v>
      </c>
      <c r="BB58" s="36"/>
      <c r="BC58" s="36"/>
      <c r="BD58" s="36">
        <v>1</v>
      </c>
      <c r="BE58" s="36"/>
      <c r="BF58" s="36" t="s">
        <v>212</v>
      </c>
      <c r="BG58" s="36">
        <v>1333314600</v>
      </c>
      <c r="BH58" s="36" t="s">
        <v>213</v>
      </c>
      <c r="BI58" s="36">
        <v>20</v>
      </c>
      <c r="BJ58" s="36">
        <v>20</v>
      </c>
      <c r="BK58" s="36">
        <v>1300</v>
      </c>
      <c r="BL58" s="36" t="s">
        <v>214</v>
      </c>
      <c r="BM58" s="36"/>
      <c r="BN58" s="36"/>
    </row>
    <row r="59" spans="1:66" x14ac:dyDescent="0.35">
      <c r="A59" s="36"/>
      <c r="B59" s="36"/>
      <c r="C59" s="37">
        <v>244626</v>
      </c>
      <c r="D59" s="37">
        <v>244626</v>
      </c>
      <c r="E59" s="36"/>
      <c r="F59" s="36" t="s">
        <v>192</v>
      </c>
      <c r="G59" s="36" t="s">
        <v>1</v>
      </c>
      <c r="H59" s="36">
        <v>0</v>
      </c>
      <c r="I59" s="36" t="s">
        <v>193</v>
      </c>
      <c r="J59" s="36" t="s">
        <v>194</v>
      </c>
      <c r="K59" s="36" t="s">
        <v>195</v>
      </c>
      <c r="L59" s="36">
        <v>923</v>
      </c>
      <c r="M59" s="36"/>
      <c r="N59" s="36" t="s">
        <v>230</v>
      </c>
      <c r="O59" s="36" t="s">
        <v>231</v>
      </c>
      <c r="P59" s="36">
        <v>2</v>
      </c>
      <c r="Q59" s="36" t="s">
        <v>232</v>
      </c>
      <c r="R59" s="37">
        <v>244412</v>
      </c>
      <c r="S59" s="37">
        <v>244626</v>
      </c>
      <c r="T59" s="36" t="s">
        <v>608</v>
      </c>
      <c r="U59" s="36">
        <v>23065141</v>
      </c>
      <c r="V59" s="36" t="s">
        <v>41</v>
      </c>
      <c r="W59" s="36">
        <v>20</v>
      </c>
      <c r="X59" s="36">
        <v>20</v>
      </c>
      <c r="Y59" s="36">
        <v>20</v>
      </c>
      <c r="Z59" s="36">
        <v>20</v>
      </c>
      <c r="AA59" s="36">
        <v>0</v>
      </c>
      <c r="AB59" s="36">
        <v>0</v>
      </c>
      <c r="AC59" s="36">
        <v>0</v>
      </c>
      <c r="AD59" s="36">
        <v>0</v>
      </c>
      <c r="AE59" s="36">
        <v>20</v>
      </c>
      <c r="AF59" s="36">
        <v>20</v>
      </c>
      <c r="AG59" s="36"/>
      <c r="AH59" s="36"/>
      <c r="AI59" s="36" t="s">
        <v>200</v>
      </c>
      <c r="AJ59" s="36" t="s">
        <v>201</v>
      </c>
      <c r="AK59" s="36" t="s">
        <v>202</v>
      </c>
      <c r="AL59" s="36" t="s">
        <v>203</v>
      </c>
      <c r="AM59" s="36" t="s">
        <v>204</v>
      </c>
      <c r="AN59" s="36" t="s">
        <v>222</v>
      </c>
      <c r="AO59" s="36" t="s">
        <v>206</v>
      </c>
      <c r="AP59" s="36">
        <v>2</v>
      </c>
      <c r="AQ59" s="36"/>
      <c r="AR59" s="36"/>
      <c r="AS59" s="36"/>
      <c r="AT59" s="36" t="s">
        <v>223</v>
      </c>
      <c r="AU59" s="36" t="s">
        <v>609</v>
      </c>
      <c r="AV59" s="36" t="s">
        <v>209</v>
      </c>
      <c r="AW59" s="36" t="s">
        <v>209</v>
      </c>
      <c r="AX59" s="36" t="s">
        <v>210</v>
      </c>
      <c r="AY59" s="36">
        <v>0</v>
      </c>
      <c r="AZ59" s="36" t="s">
        <v>211</v>
      </c>
      <c r="BA59" s="36">
        <v>9044988632609</v>
      </c>
      <c r="BB59" s="36"/>
      <c r="BC59" s="36"/>
      <c r="BD59" s="36">
        <v>1</v>
      </c>
      <c r="BE59" s="36"/>
      <c r="BF59" s="36" t="s">
        <v>212</v>
      </c>
      <c r="BG59" s="36">
        <v>1333314600</v>
      </c>
      <c r="BH59" s="36" t="s">
        <v>213</v>
      </c>
      <c r="BI59" s="36">
        <v>20</v>
      </c>
      <c r="BJ59" s="36">
        <v>20</v>
      </c>
      <c r="BK59" s="36">
        <v>1300</v>
      </c>
      <c r="BL59" s="36" t="s">
        <v>214</v>
      </c>
      <c r="BM59" s="36"/>
      <c r="BN59" s="36"/>
    </row>
    <row r="60" spans="1:66" x14ac:dyDescent="0.35">
      <c r="A60" s="36"/>
      <c r="B60" s="36"/>
      <c r="C60" s="37">
        <v>244626</v>
      </c>
      <c r="D60" s="37">
        <v>244626</v>
      </c>
      <c r="E60" s="36"/>
      <c r="F60" s="36" t="s">
        <v>192</v>
      </c>
      <c r="G60" s="36" t="s">
        <v>1</v>
      </c>
      <c r="H60" s="36">
        <v>0</v>
      </c>
      <c r="I60" s="36" t="s">
        <v>193</v>
      </c>
      <c r="J60" s="36" t="s">
        <v>194</v>
      </c>
      <c r="K60" s="36" t="s">
        <v>195</v>
      </c>
      <c r="L60" s="36">
        <v>923</v>
      </c>
      <c r="M60" s="36"/>
      <c r="N60" s="36" t="s">
        <v>230</v>
      </c>
      <c r="O60" s="36" t="s">
        <v>231</v>
      </c>
      <c r="P60" s="36">
        <v>2</v>
      </c>
      <c r="Q60" s="36" t="s">
        <v>232</v>
      </c>
      <c r="R60" s="37">
        <v>244412</v>
      </c>
      <c r="S60" s="37">
        <v>244626</v>
      </c>
      <c r="T60" s="36" t="s">
        <v>608</v>
      </c>
      <c r="U60" s="36">
        <v>23058551</v>
      </c>
      <c r="V60" s="36" t="s">
        <v>25</v>
      </c>
      <c r="W60" s="36">
        <v>50</v>
      </c>
      <c r="X60" s="36">
        <v>50</v>
      </c>
      <c r="Y60" s="36">
        <v>50</v>
      </c>
      <c r="Z60" s="36">
        <v>50</v>
      </c>
      <c r="AA60" s="36">
        <v>0</v>
      </c>
      <c r="AB60" s="36">
        <v>0</v>
      </c>
      <c r="AC60" s="36">
        <v>0</v>
      </c>
      <c r="AD60" s="36">
        <v>0</v>
      </c>
      <c r="AE60" s="36">
        <v>50</v>
      </c>
      <c r="AF60" s="36">
        <v>50</v>
      </c>
      <c r="AG60" s="36"/>
      <c r="AH60" s="36"/>
      <c r="AI60" s="36" t="s">
        <v>200</v>
      </c>
      <c r="AJ60" s="36" t="s">
        <v>201</v>
      </c>
      <c r="AK60" s="36" t="s">
        <v>202</v>
      </c>
      <c r="AL60" s="36" t="s">
        <v>203</v>
      </c>
      <c r="AM60" s="36" t="s">
        <v>204</v>
      </c>
      <c r="AN60" s="36" t="s">
        <v>222</v>
      </c>
      <c r="AO60" s="36" t="s">
        <v>206</v>
      </c>
      <c r="AP60" s="36">
        <v>2</v>
      </c>
      <c r="AQ60" s="36"/>
      <c r="AR60" s="36"/>
      <c r="AS60" s="36"/>
      <c r="AT60" s="36" t="s">
        <v>223</v>
      </c>
      <c r="AU60" s="36" t="s">
        <v>609</v>
      </c>
      <c r="AV60" s="36" t="s">
        <v>209</v>
      </c>
      <c r="AW60" s="36" t="s">
        <v>209</v>
      </c>
      <c r="AX60" s="36" t="s">
        <v>210</v>
      </c>
      <c r="AY60" s="36">
        <v>0</v>
      </c>
      <c r="AZ60" s="36" t="s">
        <v>211</v>
      </c>
      <c r="BA60" s="36">
        <v>9044988632609</v>
      </c>
      <c r="BB60" s="36"/>
      <c r="BC60" s="36"/>
      <c r="BD60" s="36">
        <v>1</v>
      </c>
      <c r="BE60" s="36"/>
      <c r="BF60" s="36" t="s">
        <v>212</v>
      </c>
      <c r="BG60" s="36">
        <v>1333314600</v>
      </c>
      <c r="BH60" s="36" t="s">
        <v>213</v>
      </c>
      <c r="BI60" s="36">
        <v>50</v>
      </c>
      <c r="BJ60" s="36">
        <v>50</v>
      </c>
      <c r="BK60" s="36">
        <v>1300</v>
      </c>
      <c r="BL60" s="36" t="s">
        <v>214</v>
      </c>
      <c r="BM60" s="36"/>
      <c r="BN60" s="36"/>
    </row>
    <row r="61" spans="1:66" x14ac:dyDescent="0.35">
      <c r="A61" s="36"/>
      <c r="B61" s="36"/>
      <c r="C61" s="37">
        <v>244626</v>
      </c>
      <c r="D61" s="37">
        <v>244626</v>
      </c>
      <c r="E61" s="36"/>
      <c r="F61" s="36" t="s">
        <v>192</v>
      </c>
      <c r="G61" s="36" t="s">
        <v>1</v>
      </c>
      <c r="H61" s="36">
        <v>0</v>
      </c>
      <c r="I61" s="36" t="s">
        <v>193</v>
      </c>
      <c r="J61" s="36" t="s">
        <v>194</v>
      </c>
      <c r="K61" s="36" t="s">
        <v>195</v>
      </c>
      <c r="L61" s="36">
        <v>923</v>
      </c>
      <c r="M61" s="36"/>
      <c r="N61" s="36" t="s">
        <v>230</v>
      </c>
      <c r="O61" s="36" t="s">
        <v>231</v>
      </c>
      <c r="P61" s="36">
        <v>2</v>
      </c>
      <c r="Q61" s="36" t="s">
        <v>232</v>
      </c>
      <c r="R61" s="37">
        <v>244412</v>
      </c>
      <c r="S61" s="37">
        <v>244626</v>
      </c>
      <c r="T61" s="36" t="s">
        <v>608</v>
      </c>
      <c r="U61" s="36">
        <v>23065140</v>
      </c>
      <c r="V61" s="36" t="s">
        <v>40</v>
      </c>
      <c r="W61" s="36">
        <v>700</v>
      </c>
      <c r="X61" s="36">
        <v>700</v>
      </c>
      <c r="Y61" s="36">
        <v>700</v>
      </c>
      <c r="Z61" s="36">
        <v>700</v>
      </c>
      <c r="AA61" s="36">
        <v>0</v>
      </c>
      <c r="AB61" s="36">
        <v>0</v>
      </c>
      <c r="AC61" s="36">
        <v>0</v>
      </c>
      <c r="AD61" s="36">
        <v>0</v>
      </c>
      <c r="AE61" s="36">
        <v>700</v>
      </c>
      <c r="AF61" s="36">
        <v>700</v>
      </c>
      <c r="AG61" s="36"/>
      <c r="AH61" s="36"/>
      <c r="AI61" s="36" t="s">
        <v>200</v>
      </c>
      <c r="AJ61" s="36" t="s">
        <v>201</v>
      </c>
      <c r="AK61" s="36" t="s">
        <v>202</v>
      </c>
      <c r="AL61" s="36" t="s">
        <v>203</v>
      </c>
      <c r="AM61" s="36" t="s">
        <v>204</v>
      </c>
      <c r="AN61" s="36" t="s">
        <v>222</v>
      </c>
      <c r="AO61" s="36" t="s">
        <v>206</v>
      </c>
      <c r="AP61" s="36">
        <v>2</v>
      </c>
      <c r="AQ61" s="36"/>
      <c r="AR61" s="36"/>
      <c r="AS61" s="36"/>
      <c r="AT61" s="36" t="s">
        <v>223</v>
      </c>
      <c r="AU61" s="36" t="s">
        <v>609</v>
      </c>
      <c r="AV61" s="36" t="s">
        <v>209</v>
      </c>
      <c r="AW61" s="36" t="s">
        <v>209</v>
      </c>
      <c r="AX61" s="36" t="s">
        <v>210</v>
      </c>
      <c r="AY61" s="36">
        <v>0</v>
      </c>
      <c r="AZ61" s="36" t="s">
        <v>211</v>
      </c>
      <c r="BA61" s="36">
        <v>9044988632609</v>
      </c>
      <c r="BB61" s="36"/>
      <c r="BC61" s="36"/>
      <c r="BD61" s="36">
        <v>1</v>
      </c>
      <c r="BE61" s="36"/>
      <c r="BF61" s="36" t="s">
        <v>212</v>
      </c>
      <c r="BG61" s="36">
        <v>1333314600</v>
      </c>
      <c r="BH61" s="36" t="s">
        <v>213</v>
      </c>
      <c r="BI61" s="36">
        <v>700</v>
      </c>
      <c r="BJ61" s="36">
        <v>700</v>
      </c>
      <c r="BK61" s="36">
        <v>1300</v>
      </c>
      <c r="BL61" s="36" t="s">
        <v>214</v>
      </c>
      <c r="BM61" s="36"/>
      <c r="BN61" s="36"/>
    </row>
    <row r="62" spans="1:66" x14ac:dyDescent="0.35">
      <c r="A62" s="36"/>
      <c r="B62" s="36"/>
      <c r="C62" s="37">
        <v>244626</v>
      </c>
      <c r="D62" s="37">
        <v>244626</v>
      </c>
      <c r="E62" s="36"/>
      <c r="F62" s="36" t="s">
        <v>192</v>
      </c>
      <c r="G62" s="36" t="s">
        <v>1</v>
      </c>
      <c r="H62" s="36">
        <v>0</v>
      </c>
      <c r="I62" s="36" t="s">
        <v>193</v>
      </c>
      <c r="J62" s="36" t="s">
        <v>194</v>
      </c>
      <c r="K62" s="36" t="s">
        <v>195</v>
      </c>
      <c r="L62" s="36">
        <v>923</v>
      </c>
      <c r="M62" s="36"/>
      <c r="N62" s="36" t="s">
        <v>230</v>
      </c>
      <c r="O62" s="36" t="s">
        <v>231</v>
      </c>
      <c r="P62" s="36">
        <v>2</v>
      </c>
      <c r="Q62" s="36" t="s">
        <v>232</v>
      </c>
      <c r="R62" s="37">
        <v>244412</v>
      </c>
      <c r="S62" s="37">
        <v>244626</v>
      </c>
      <c r="T62" s="36" t="s">
        <v>608</v>
      </c>
      <c r="U62" s="36">
        <v>23087034</v>
      </c>
      <c r="V62" s="36" t="s">
        <v>54</v>
      </c>
      <c r="W62" s="36">
        <v>10</v>
      </c>
      <c r="X62" s="36">
        <v>10</v>
      </c>
      <c r="Y62" s="36">
        <v>10</v>
      </c>
      <c r="Z62" s="36">
        <v>10</v>
      </c>
      <c r="AA62" s="36">
        <v>0</v>
      </c>
      <c r="AB62" s="36">
        <v>0</v>
      </c>
      <c r="AC62" s="36">
        <v>0</v>
      </c>
      <c r="AD62" s="36">
        <v>0</v>
      </c>
      <c r="AE62" s="36">
        <v>10</v>
      </c>
      <c r="AF62" s="36">
        <v>10</v>
      </c>
      <c r="AG62" s="36"/>
      <c r="AH62" s="36"/>
      <c r="AI62" s="36" t="s">
        <v>200</v>
      </c>
      <c r="AJ62" s="36" t="s">
        <v>201</v>
      </c>
      <c r="AK62" s="36" t="s">
        <v>202</v>
      </c>
      <c r="AL62" s="36" t="s">
        <v>203</v>
      </c>
      <c r="AM62" s="36" t="s">
        <v>204</v>
      </c>
      <c r="AN62" s="36" t="s">
        <v>222</v>
      </c>
      <c r="AO62" s="36" t="s">
        <v>206</v>
      </c>
      <c r="AP62" s="36">
        <v>2</v>
      </c>
      <c r="AQ62" s="36"/>
      <c r="AR62" s="36"/>
      <c r="AS62" s="36"/>
      <c r="AT62" s="36" t="s">
        <v>223</v>
      </c>
      <c r="AU62" s="36" t="s">
        <v>609</v>
      </c>
      <c r="AV62" s="36" t="s">
        <v>209</v>
      </c>
      <c r="AW62" s="36" t="s">
        <v>209</v>
      </c>
      <c r="AX62" s="36" t="s">
        <v>210</v>
      </c>
      <c r="AY62" s="36">
        <v>0</v>
      </c>
      <c r="AZ62" s="36" t="s">
        <v>211</v>
      </c>
      <c r="BA62" s="36">
        <v>9044988632609</v>
      </c>
      <c r="BB62" s="36"/>
      <c r="BC62" s="36"/>
      <c r="BD62" s="36">
        <v>1</v>
      </c>
      <c r="BE62" s="36"/>
      <c r="BF62" s="36" t="s">
        <v>212</v>
      </c>
      <c r="BG62" s="36">
        <v>1333314600</v>
      </c>
      <c r="BH62" s="36" t="s">
        <v>213</v>
      </c>
      <c r="BI62" s="36">
        <v>10</v>
      </c>
      <c r="BJ62" s="36">
        <v>10</v>
      </c>
      <c r="BK62" s="36">
        <v>1300</v>
      </c>
      <c r="BL62" s="36" t="s">
        <v>214</v>
      </c>
      <c r="BM62" s="36"/>
      <c r="BN62" s="36"/>
    </row>
    <row r="63" spans="1:66" x14ac:dyDescent="0.35">
      <c r="A63" s="36"/>
      <c r="B63" s="36"/>
      <c r="C63" s="37">
        <v>244626</v>
      </c>
      <c r="D63" s="37">
        <v>244626</v>
      </c>
      <c r="E63" s="36"/>
      <c r="F63" s="36" t="s">
        <v>192</v>
      </c>
      <c r="G63" s="36" t="s">
        <v>1</v>
      </c>
      <c r="H63" s="36">
        <v>0</v>
      </c>
      <c r="I63" s="36" t="s">
        <v>193</v>
      </c>
      <c r="J63" s="36" t="s">
        <v>194</v>
      </c>
      <c r="K63" s="36" t="s">
        <v>195</v>
      </c>
      <c r="L63" s="36">
        <v>923</v>
      </c>
      <c r="M63" s="36"/>
      <c r="N63" s="36" t="s">
        <v>230</v>
      </c>
      <c r="O63" s="36" t="s">
        <v>231</v>
      </c>
      <c r="P63" s="36">
        <v>2</v>
      </c>
      <c r="Q63" s="36" t="s">
        <v>232</v>
      </c>
      <c r="R63" s="37">
        <v>244412</v>
      </c>
      <c r="S63" s="37">
        <v>244626</v>
      </c>
      <c r="T63" s="36" t="s">
        <v>608</v>
      </c>
      <c r="U63" s="36">
        <v>23057812</v>
      </c>
      <c r="V63" s="36" t="s">
        <v>19</v>
      </c>
      <c r="W63" s="36">
        <v>200</v>
      </c>
      <c r="X63" s="36">
        <v>200</v>
      </c>
      <c r="Y63" s="36">
        <v>200</v>
      </c>
      <c r="Z63" s="36">
        <v>200</v>
      </c>
      <c r="AA63" s="36">
        <v>0</v>
      </c>
      <c r="AB63" s="36">
        <v>0</v>
      </c>
      <c r="AC63" s="36">
        <v>0</v>
      </c>
      <c r="AD63" s="36">
        <v>0</v>
      </c>
      <c r="AE63" s="36">
        <v>200</v>
      </c>
      <c r="AF63" s="36">
        <v>200</v>
      </c>
      <c r="AG63" s="36"/>
      <c r="AH63" s="36"/>
      <c r="AI63" s="36" t="s">
        <v>200</v>
      </c>
      <c r="AJ63" s="36" t="s">
        <v>201</v>
      </c>
      <c r="AK63" s="36" t="s">
        <v>202</v>
      </c>
      <c r="AL63" s="36" t="s">
        <v>203</v>
      </c>
      <c r="AM63" s="36" t="s">
        <v>204</v>
      </c>
      <c r="AN63" s="36" t="s">
        <v>222</v>
      </c>
      <c r="AO63" s="36" t="s">
        <v>206</v>
      </c>
      <c r="AP63" s="36">
        <v>2</v>
      </c>
      <c r="AQ63" s="36"/>
      <c r="AR63" s="36"/>
      <c r="AS63" s="36"/>
      <c r="AT63" s="36" t="s">
        <v>223</v>
      </c>
      <c r="AU63" s="36" t="s">
        <v>609</v>
      </c>
      <c r="AV63" s="36" t="s">
        <v>209</v>
      </c>
      <c r="AW63" s="36" t="s">
        <v>209</v>
      </c>
      <c r="AX63" s="36" t="s">
        <v>210</v>
      </c>
      <c r="AY63" s="36">
        <v>0</v>
      </c>
      <c r="AZ63" s="36" t="s">
        <v>211</v>
      </c>
      <c r="BA63" s="36">
        <v>9044988632609</v>
      </c>
      <c r="BB63" s="36"/>
      <c r="BC63" s="36"/>
      <c r="BD63" s="36">
        <v>1</v>
      </c>
      <c r="BE63" s="36"/>
      <c r="BF63" s="36" t="s">
        <v>212</v>
      </c>
      <c r="BG63" s="36">
        <v>1333314600</v>
      </c>
      <c r="BH63" s="36" t="s">
        <v>213</v>
      </c>
      <c r="BI63" s="36">
        <v>200</v>
      </c>
      <c r="BJ63" s="36">
        <v>200</v>
      </c>
      <c r="BK63" s="36">
        <v>1300</v>
      </c>
      <c r="BL63" s="36" t="s">
        <v>214</v>
      </c>
      <c r="BM63" s="36"/>
      <c r="BN63" s="36"/>
    </row>
    <row r="64" spans="1:66" x14ac:dyDescent="0.35">
      <c r="A64" s="36"/>
      <c r="B64" s="36"/>
      <c r="C64" s="37">
        <v>244626</v>
      </c>
      <c r="D64" s="37">
        <v>244626</v>
      </c>
      <c r="E64" s="36"/>
      <c r="F64" s="36" t="s">
        <v>192</v>
      </c>
      <c r="G64" s="36" t="s">
        <v>1</v>
      </c>
      <c r="H64" s="36">
        <v>0</v>
      </c>
      <c r="I64" s="36" t="s">
        <v>193</v>
      </c>
      <c r="J64" s="36" t="s">
        <v>194</v>
      </c>
      <c r="K64" s="36" t="s">
        <v>195</v>
      </c>
      <c r="L64" s="36">
        <v>923</v>
      </c>
      <c r="M64" s="36"/>
      <c r="N64" s="36" t="s">
        <v>230</v>
      </c>
      <c r="O64" s="36" t="s">
        <v>231</v>
      </c>
      <c r="P64" s="36">
        <v>2</v>
      </c>
      <c r="Q64" s="36" t="s">
        <v>232</v>
      </c>
      <c r="R64" s="37">
        <v>244412</v>
      </c>
      <c r="S64" s="37">
        <v>244626</v>
      </c>
      <c r="T64" s="36" t="s">
        <v>608</v>
      </c>
      <c r="U64" s="36">
        <v>23068390</v>
      </c>
      <c r="V64" s="36" t="s">
        <v>46</v>
      </c>
      <c r="W64" s="36">
        <v>50</v>
      </c>
      <c r="X64" s="36">
        <v>50</v>
      </c>
      <c r="Y64" s="36">
        <v>50</v>
      </c>
      <c r="Z64" s="36">
        <v>50</v>
      </c>
      <c r="AA64" s="36">
        <v>0</v>
      </c>
      <c r="AB64" s="36">
        <v>0</v>
      </c>
      <c r="AC64" s="36">
        <v>0</v>
      </c>
      <c r="AD64" s="36">
        <v>0</v>
      </c>
      <c r="AE64" s="36">
        <v>50</v>
      </c>
      <c r="AF64" s="36">
        <v>50</v>
      </c>
      <c r="AG64" s="36"/>
      <c r="AH64" s="36"/>
      <c r="AI64" s="36" t="s">
        <v>200</v>
      </c>
      <c r="AJ64" s="36" t="s">
        <v>201</v>
      </c>
      <c r="AK64" s="36" t="s">
        <v>215</v>
      </c>
      <c r="AL64" s="36" t="s">
        <v>203</v>
      </c>
      <c r="AM64" s="36" t="s">
        <v>204</v>
      </c>
      <c r="AN64" s="36" t="s">
        <v>222</v>
      </c>
      <c r="AO64" s="36" t="s">
        <v>206</v>
      </c>
      <c r="AP64" s="36">
        <v>2</v>
      </c>
      <c r="AQ64" s="36"/>
      <c r="AR64" s="36"/>
      <c r="AS64" s="36"/>
      <c r="AT64" s="36" t="s">
        <v>223</v>
      </c>
      <c r="AU64" s="36" t="s">
        <v>609</v>
      </c>
      <c r="AV64" s="36" t="s">
        <v>209</v>
      </c>
      <c r="AW64" s="36" t="s">
        <v>209</v>
      </c>
      <c r="AX64" s="36" t="s">
        <v>210</v>
      </c>
      <c r="AY64" s="36">
        <v>0</v>
      </c>
      <c r="AZ64" s="36" t="s">
        <v>211</v>
      </c>
      <c r="BA64" s="36">
        <v>9044988632609</v>
      </c>
      <c r="BB64" s="36"/>
      <c r="BC64" s="36"/>
      <c r="BD64" s="36">
        <v>1</v>
      </c>
      <c r="BE64" s="36"/>
      <c r="BF64" s="36" t="s">
        <v>212</v>
      </c>
      <c r="BG64" s="36">
        <v>1333314600</v>
      </c>
      <c r="BH64" s="36" t="s">
        <v>213</v>
      </c>
      <c r="BI64" s="36">
        <v>50</v>
      </c>
      <c r="BJ64" s="36">
        <v>50</v>
      </c>
      <c r="BK64" s="36">
        <v>1300</v>
      </c>
      <c r="BL64" s="36" t="s">
        <v>214</v>
      </c>
      <c r="BM64" s="36"/>
      <c r="BN64" s="36"/>
    </row>
    <row r="65" spans="1:66" x14ac:dyDescent="0.35">
      <c r="A65" s="36"/>
      <c r="B65" s="36"/>
      <c r="C65" s="37">
        <v>244626</v>
      </c>
      <c r="D65" s="37">
        <v>244626</v>
      </c>
      <c r="E65" s="36"/>
      <c r="F65" s="36" t="s">
        <v>192</v>
      </c>
      <c r="G65" s="36" t="s">
        <v>1</v>
      </c>
      <c r="H65" s="36">
        <v>0</v>
      </c>
      <c r="I65" s="36" t="s">
        <v>193</v>
      </c>
      <c r="J65" s="36" t="s">
        <v>194</v>
      </c>
      <c r="K65" s="36" t="s">
        <v>195</v>
      </c>
      <c r="L65" s="36">
        <v>923</v>
      </c>
      <c r="M65" s="36"/>
      <c r="N65" s="36" t="s">
        <v>230</v>
      </c>
      <c r="O65" s="36" t="s">
        <v>231</v>
      </c>
      <c r="P65" s="36">
        <v>2</v>
      </c>
      <c r="Q65" s="36" t="s">
        <v>232</v>
      </c>
      <c r="R65" s="37">
        <v>244412</v>
      </c>
      <c r="S65" s="37">
        <v>244626</v>
      </c>
      <c r="T65" s="36" t="s">
        <v>608</v>
      </c>
      <c r="U65" s="36">
        <v>23065143</v>
      </c>
      <c r="V65" s="36" t="s">
        <v>43</v>
      </c>
      <c r="W65" s="36">
        <v>500</v>
      </c>
      <c r="X65" s="36">
        <v>500</v>
      </c>
      <c r="Y65" s="36">
        <v>500</v>
      </c>
      <c r="Z65" s="36">
        <v>500</v>
      </c>
      <c r="AA65" s="36">
        <v>0</v>
      </c>
      <c r="AB65" s="36">
        <v>0</v>
      </c>
      <c r="AC65" s="36">
        <v>0</v>
      </c>
      <c r="AD65" s="36">
        <v>0</v>
      </c>
      <c r="AE65" s="36">
        <v>500</v>
      </c>
      <c r="AF65" s="36">
        <v>500</v>
      </c>
      <c r="AG65" s="36"/>
      <c r="AH65" s="36"/>
      <c r="AI65" s="36" t="s">
        <v>200</v>
      </c>
      <c r="AJ65" s="36" t="s">
        <v>201</v>
      </c>
      <c r="AK65" s="36" t="s">
        <v>202</v>
      </c>
      <c r="AL65" s="36" t="s">
        <v>203</v>
      </c>
      <c r="AM65" s="36" t="s">
        <v>204</v>
      </c>
      <c r="AN65" s="36" t="s">
        <v>222</v>
      </c>
      <c r="AO65" s="36" t="s">
        <v>206</v>
      </c>
      <c r="AP65" s="36">
        <v>2</v>
      </c>
      <c r="AQ65" s="36"/>
      <c r="AR65" s="36"/>
      <c r="AS65" s="36"/>
      <c r="AT65" s="36" t="s">
        <v>223</v>
      </c>
      <c r="AU65" s="36" t="s">
        <v>609</v>
      </c>
      <c r="AV65" s="36" t="s">
        <v>209</v>
      </c>
      <c r="AW65" s="36" t="s">
        <v>209</v>
      </c>
      <c r="AX65" s="36" t="s">
        <v>210</v>
      </c>
      <c r="AY65" s="36">
        <v>0</v>
      </c>
      <c r="AZ65" s="36" t="s">
        <v>211</v>
      </c>
      <c r="BA65" s="36">
        <v>9044988632609</v>
      </c>
      <c r="BB65" s="36"/>
      <c r="BC65" s="36"/>
      <c r="BD65" s="36">
        <v>1</v>
      </c>
      <c r="BE65" s="36"/>
      <c r="BF65" s="36" t="s">
        <v>212</v>
      </c>
      <c r="BG65" s="36">
        <v>1333314600</v>
      </c>
      <c r="BH65" s="36" t="s">
        <v>213</v>
      </c>
      <c r="BI65" s="36">
        <v>500</v>
      </c>
      <c r="BJ65" s="36">
        <v>500</v>
      </c>
      <c r="BK65" s="36">
        <v>1300</v>
      </c>
      <c r="BL65" s="36" t="s">
        <v>214</v>
      </c>
      <c r="BM65" s="36"/>
      <c r="BN65" s="36"/>
    </row>
    <row r="66" spans="1:66" x14ac:dyDescent="0.35">
      <c r="A66" s="36"/>
      <c r="B66" s="36"/>
      <c r="C66" s="37">
        <v>244626</v>
      </c>
      <c r="D66" s="37">
        <v>244626</v>
      </c>
      <c r="E66" s="36"/>
      <c r="F66" s="36" t="s">
        <v>192</v>
      </c>
      <c r="G66" s="36" t="s">
        <v>1</v>
      </c>
      <c r="H66" s="36">
        <v>0</v>
      </c>
      <c r="I66" s="36" t="s">
        <v>193</v>
      </c>
      <c r="J66" s="36" t="s">
        <v>194</v>
      </c>
      <c r="K66" s="36" t="s">
        <v>195</v>
      </c>
      <c r="L66" s="36">
        <v>923</v>
      </c>
      <c r="M66" s="36"/>
      <c r="N66" s="36" t="s">
        <v>235</v>
      </c>
      <c r="O66" s="36" t="s">
        <v>236</v>
      </c>
      <c r="P66" s="36">
        <v>2</v>
      </c>
      <c r="Q66" s="36" t="s">
        <v>237</v>
      </c>
      <c r="R66" s="37">
        <v>244412</v>
      </c>
      <c r="S66" s="37">
        <v>244626</v>
      </c>
      <c r="T66" s="36" t="s">
        <v>610</v>
      </c>
      <c r="U66" s="36">
        <v>23058551</v>
      </c>
      <c r="V66" s="36" t="s">
        <v>25</v>
      </c>
      <c r="W66" s="36">
        <v>120</v>
      </c>
      <c r="X66" s="36">
        <v>120</v>
      </c>
      <c r="Y66" s="36">
        <v>120</v>
      </c>
      <c r="Z66" s="36">
        <v>120</v>
      </c>
      <c r="AA66" s="36">
        <v>0</v>
      </c>
      <c r="AB66" s="36">
        <v>0</v>
      </c>
      <c r="AC66" s="36">
        <v>0</v>
      </c>
      <c r="AD66" s="36">
        <v>0</v>
      </c>
      <c r="AE66" s="36">
        <v>120</v>
      </c>
      <c r="AF66" s="36">
        <v>120</v>
      </c>
      <c r="AG66" s="36"/>
      <c r="AH66" s="36"/>
      <c r="AI66" s="36" t="s">
        <v>200</v>
      </c>
      <c r="AJ66" s="36" t="s">
        <v>201</v>
      </c>
      <c r="AK66" s="36" t="s">
        <v>202</v>
      </c>
      <c r="AL66" s="36" t="s">
        <v>203</v>
      </c>
      <c r="AM66" s="36" t="s">
        <v>204</v>
      </c>
      <c r="AN66" s="36" t="s">
        <v>222</v>
      </c>
      <c r="AO66" s="36" t="s">
        <v>206</v>
      </c>
      <c r="AP66" s="36">
        <v>2</v>
      </c>
      <c r="AQ66" s="36"/>
      <c r="AR66" s="36"/>
      <c r="AS66" s="36"/>
      <c r="AT66" s="36" t="s">
        <v>247</v>
      </c>
      <c r="AU66" s="36" t="s">
        <v>609</v>
      </c>
      <c r="AV66" s="36" t="s">
        <v>209</v>
      </c>
      <c r="AW66" s="36" t="s">
        <v>209</v>
      </c>
      <c r="AX66" s="36" t="s">
        <v>210</v>
      </c>
      <c r="AY66" s="36">
        <v>0</v>
      </c>
      <c r="AZ66" s="36" t="s">
        <v>211</v>
      </c>
      <c r="BA66" s="36">
        <v>9044988632667</v>
      </c>
      <c r="BB66" s="36"/>
      <c r="BC66" s="36"/>
      <c r="BD66" s="36">
        <v>1</v>
      </c>
      <c r="BE66" s="36"/>
      <c r="BF66" s="36" t="s">
        <v>212</v>
      </c>
      <c r="BG66" s="36">
        <v>1333314600</v>
      </c>
      <c r="BH66" s="36" t="s">
        <v>213</v>
      </c>
      <c r="BI66" s="36">
        <v>120</v>
      </c>
      <c r="BJ66" s="36">
        <v>120</v>
      </c>
      <c r="BK66" s="36">
        <v>1300</v>
      </c>
      <c r="BL66" s="36" t="s">
        <v>214</v>
      </c>
      <c r="BM66" s="36"/>
      <c r="BN66" s="36"/>
    </row>
    <row r="67" spans="1:66" x14ac:dyDescent="0.35">
      <c r="A67" s="36"/>
      <c r="B67" s="36"/>
      <c r="C67" s="37">
        <v>244626</v>
      </c>
      <c r="D67" s="37">
        <v>244626</v>
      </c>
      <c r="E67" s="36"/>
      <c r="F67" s="36" t="s">
        <v>192</v>
      </c>
      <c r="G67" s="36" t="s">
        <v>1</v>
      </c>
      <c r="H67" s="36">
        <v>0</v>
      </c>
      <c r="I67" s="36" t="s">
        <v>193</v>
      </c>
      <c r="J67" s="36" t="s">
        <v>194</v>
      </c>
      <c r="K67" s="36" t="s">
        <v>195</v>
      </c>
      <c r="L67" s="36">
        <v>923</v>
      </c>
      <c r="M67" s="36"/>
      <c r="N67" s="36" t="s">
        <v>235</v>
      </c>
      <c r="O67" s="36" t="s">
        <v>236</v>
      </c>
      <c r="P67" s="36">
        <v>2</v>
      </c>
      <c r="Q67" s="36" t="s">
        <v>237</v>
      </c>
      <c r="R67" s="37">
        <v>244412</v>
      </c>
      <c r="S67" s="37">
        <v>244626</v>
      </c>
      <c r="T67" s="36" t="s">
        <v>610</v>
      </c>
      <c r="U67" s="36">
        <v>23057815</v>
      </c>
      <c r="V67" s="36" t="s">
        <v>20</v>
      </c>
      <c r="W67" s="36">
        <v>400</v>
      </c>
      <c r="X67" s="36">
        <v>400</v>
      </c>
      <c r="Y67" s="36">
        <v>400</v>
      </c>
      <c r="Z67" s="36">
        <v>400</v>
      </c>
      <c r="AA67" s="36">
        <v>0</v>
      </c>
      <c r="AB67" s="36">
        <v>0</v>
      </c>
      <c r="AC67" s="36">
        <v>0</v>
      </c>
      <c r="AD67" s="36">
        <v>0</v>
      </c>
      <c r="AE67" s="36">
        <v>400</v>
      </c>
      <c r="AF67" s="36">
        <v>400</v>
      </c>
      <c r="AG67" s="36"/>
      <c r="AH67" s="36"/>
      <c r="AI67" s="36" t="s">
        <v>200</v>
      </c>
      <c r="AJ67" s="36" t="s">
        <v>201</v>
      </c>
      <c r="AK67" s="36" t="s">
        <v>202</v>
      </c>
      <c r="AL67" s="36" t="s">
        <v>203</v>
      </c>
      <c r="AM67" s="36" t="s">
        <v>204</v>
      </c>
      <c r="AN67" s="36" t="s">
        <v>222</v>
      </c>
      <c r="AO67" s="36" t="s">
        <v>206</v>
      </c>
      <c r="AP67" s="36">
        <v>2</v>
      </c>
      <c r="AQ67" s="36"/>
      <c r="AR67" s="36"/>
      <c r="AS67" s="36"/>
      <c r="AT67" s="36" t="s">
        <v>247</v>
      </c>
      <c r="AU67" s="36" t="s">
        <v>609</v>
      </c>
      <c r="AV67" s="36" t="s">
        <v>209</v>
      </c>
      <c r="AW67" s="36" t="s">
        <v>209</v>
      </c>
      <c r="AX67" s="36" t="s">
        <v>210</v>
      </c>
      <c r="AY67" s="36">
        <v>0</v>
      </c>
      <c r="AZ67" s="36" t="s">
        <v>211</v>
      </c>
      <c r="BA67" s="36">
        <v>9044988632667</v>
      </c>
      <c r="BB67" s="36"/>
      <c r="BC67" s="36"/>
      <c r="BD67" s="36">
        <v>1</v>
      </c>
      <c r="BE67" s="36"/>
      <c r="BF67" s="36" t="s">
        <v>212</v>
      </c>
      <c r="BG67" s="36">
        <v>1333314600</v>
      </c>
      <c r="BH67" s="36" t="s">
        <v>213</v>
      </c>
      <c r="BI67" s="36">
        <v>400</v>
      </c>
      <c r="BJ67" s="36">
        <v>400</v>
      </c>
      <c r="BK67" s="36">
        <v>1300</v>
      </c>
      <c r="BL67" s="36" t="s">
        <v>214</v>
      </c>
      <c r="BM67" s="36"/>
      <c r="BN67" s="36"/>
    </row>
    <row r="68" spans="1:66" x14ac:dyDescent="0.35">
      <c r="A68" s="36"/>
      <c r="B68" s="36"/>
      <c r="C68" s="37">
        <v>244626</v>
      </c>
      <c r="D68" s="37">
        <v>244626</v>
      </c>
      <c r="E68" s="36"/>
      <c r="F68" s="36" t="s">
        <v>192</v>
      </c>
      <c r="G68" s="36" t="s">
        <v>1</v>
      </c>
      <c r="H68" s="36">
        <v>0</v>
      </c>
      <c r="I68" s="36" t="s">
        <v>193</v>
      </c>
      <c r="J68" s="36" t="s">
        <v>194</v>
      </c>
      <c r="K68" s="36" t="s">
        <v>195</v>
      </c>
      <c r="L68" s="36">
        <v>923</v>
      </c>
      <c r="M68" s="36"/>
      <c r="N68" s="36" t="s">
        <v>235</v>
      </c>
      <c r="O68" s="36" t="s">
        <v>236</v>
      </c>
      <c r="P68" s="36">
        <v>2</v>
      </c>
      <c r="Q68" s="36" t="s">
        <v>237</v>
      </c>
      <c r="R68" s="37">
        <v>244412</v>
      </c>
      <c r="S68" s="37">
        <v>244626</v>
      </c>
      <c r="T68" s="36" t="s">
        <v>610</v>
      </c>
      <c r="U68" s="36">
        <v>23057821</v>
      </c>
      <c r="V68" s="36" t="s">
        <v>22</v>
      </c>
      <c r="W68" s="36">
        <v>150</v>
      </c>
      <c r="X68" s="36">
        <v>150</v>
      </c>
      <c r="Y68" s="36">
        <v>150</v>
      </c>
      <c r="Z68" s="36">
        <v>150</v>
      </c>
      <c r="AA68" s="36">
        <v>0</v>
      </c>
      <c r="AB68" s="36">
        <v>0</v>
      </c>
      <c r="AC68" s="36">
        <v>0</v>
      </c>
      <c r="AD68" s="36">
        <v>0</v>
      </c>
      <c r="AE68" s="36">
        <v>150</v>
      </c>
      <c r="AF68" s="36">
        <v>150</v>
      </c>
      <c r="AG68" s="36"/>
      <c r="AH68" s="36"/>
      <c r="AI68" s="36" t="s">
        <v>200</v>
      </c>
      <c r="AJ68" s="36" t="s">
        <v>201</v>
      </c>
      <c r="AK68" s="36" t="s">
        <v>202</v>
      </c>
      <c r="AL68" s="36" t="s">
        <v>203</v>
      </c>
      <c r="AM68" s="36" t="s">
        <v>204</v>
      </c>
      <c r="AN68" s="36" t="s">
        <v>222</v>
      </c>
      <c r="AO68" s="36" t="s">
        <v>206</v>
      </c>
      <c r="AP68" s="36">
        <v>2</v>
      </c>
      <c r="AQ68" s="36"/>
      <c r="AR68" s="36"/>
      <c r="AS68" s="36"/>
      <c r="AT68" s="36" t="s">
        <v>247</v>
      </c>
      <c r="AU68" s="36" t="s">
        <v>609</v>
      </c>
      <c r="AV68" s="36" t="s">
        <v>209</v>
      </c>
      <c r="AW68" s="36" t="s">
        <v>209</v>
      </c>
      <c r="AX68" s="36" t="s">
        <v>210</v>
      </c>
      <c r="AY68" s="36">
        <v>0</v>
      </c>
      <c r="AZ68" s="36" t="s">
        <v>211</v>
      </c>
      <c r="BA68" s="36">
        <v>9044988632667</v>
      </c>
      <c r="BB68" s="36"/>
      <c r="BC68" s="36"/>
      <c r="BD68" s="36">
        <v>1</v>
      </c>
      <c r="BE68" s="36"/>
      <c r="BF68" s="36" t="s">
        <v>212</v>
      </c>
      <c r="BG68" s="36">
        <v>1333314600</v>
      </c>
      <c r="BH68" s="36" t="s">
        <v>213</v>
      </c>
      <c r="BI68" s="36">
        <v>150</v>
      </c>
      <c r="BJ68" s="36">
        <v>150</v>
      </c>
      <c r="BK68" s="36">
        <v>1300</v>
      </c>
      <c r="BL68" s="36" t="s">
        <v>214</v>
      </c>
      <c r="BM68" s="36"/>
      <c r="BN68" s="36"/>
    </row>
    <row r="69" spans="1:66" x14ac:dyDescent="0.35">
      <c r="A69" s="36"/>
      <c r="B69" s="36"/>
      <c r="C69" s="37">
        <v>244626</v>
      </c>
      <c r="D69" s="37">
        <v>244626</v>
      </c>
      <c r="E69" s="36"/>
      <c r="F69" s="36" t="s">
        <v>192</v>
      </c>
      <c r="G69" s="36" t="s">
        <v>1</v>
      </c>
      <c r="H69" s="36">
        <v>0</v>
      </c>
      <c r="I69" s="36" t="s">
        <v>193</v>
      </c>
      <c r="J69" s="36" t="s">
        <v>194</v>
      </c>
      <c r="K69" s="36" t="s">
        <v>195</v>
      </c>
      <c r="L69" s="36">
        <v>923</v>
      </c>
      <c r="M69" s="36"/>
      <c r="N69" s="36" t="s">
        <v>235</v>
      </c>
      <c r="O69" s="36" t="s">
        <v>236</v>
      </c>
      <c r="P69" s="36">
        <v>2</v>
      </c>
      <c r="Q69" s="36" t="s">
        <v>237</v>
      </c>
      <c r="R69" s="37">
        <v>244412</v>
      </c>
      <c r="S69" s="37">
        <v>244626</v>
      </c>
      <c r="T69" s="36" t="s">
        <v>610</v>
      </c>
      <c r="U69" s="36">
        <v>23058552</v>
      </c>
      <c r="V69" s="36" t="s">
        <v>26</v>
      </c>
      <c r="W69" s="36">
        <v>80</v>
      </c>
      <c r="X69" s="36">
        <v>80</v>
      </c>
      <c r="Y69" s="36">
        <v>80</v>
      </c>
      <c r="Z69" s="36">
        <v>80</v>
      </c>
      <c r="AA69" s="36">
        <v>0</v>
      </c>
      <c r="AB69" s="36">
        <v>0</v>
      </c>
      <c r="AC69" s="36">
        <v>0</v>
      </c>
      <c r="AD69" s="36">
        <v>0</v>
      </c>
      <c r="AE69" s="36">
        <v>80</v>
      </c>
      <c r="AF69" s="36">
        <v>80</v>
      </c>
      <c r="AG69" s="36"/>
      <c r="AH69" s="36"/>
      <c r="AI69" s="36" t="s">
        <v>200</v>
      </c>
      <c r="AJ69" s="36" t="s">
        <v>201</v>
      </c>
      <c r="AK69" s="36" t="s">
        <v>215</v>
      </c>
      <c r="AL69" s="36" t="s">
        <v>203</v>
      </c>
      <c r="AM69" s="36" t="s">
        <v>204</v>
      </c>
      <c r="AN69" s="36" t="s">
        <v>222</v>
      </c>
      <c r="AO69" s="36" t="s">
        <v>206</v>
      </c>
      <c r="AP69" s="36">
        <v>2</v>
      </c>
      <c r="AQ69" s="36"/>
      <c r="AR69" s="36"/>
      <c r="AS69" s="36"/>
      <c r="AT69" s="36" t="s">
        <v>247</v>
      </c>
      <c r="AU69" s="36" t="s">
        <v>609</v>
      </c>
      <c r="AV69" s="36" t="s">
        <v>209</v>
      </c>
      <c r="AW69" s="36" t="s">
        <v>209</v>
      </c>
      <c r="AX69" s="36" t="s">
        <v>210</v>
      </c>
      <c r="AY69" s="36">
        <v>0</v>
      </c>
      <c r="AZ69" s="36" t="s">
        <v>211</v>
      </c>
      <c r="BA69" s="36">
        <v>9044988632667</v>
      </c>
      <c r="BB69" s="36"/>
      <c r="BC69" s="36"/>
      <c r="BD69" s="36">
        <v>1</v>
      </c>
      <c r="BE69" s="36"/>
      <c r="BF69" s="36" t="s">
        <v>212</v>
      </c>
      <c r="BG69" s="36">
        <v>1333314600</v>
      </c>
      <c r="BH69" s="36" t="s">
        <v>213</v>
      </c>
      <c r="BI69" s="36">
        <v>80</v>
      </c>
      <c r="BJ69" s="36">
        <v>80</v>
      </c>
      <c r="BK69" s="36">
        <v>1300</v>
      </c>
      <c r="BL69" s="36" t="s">
        <v>214</v>
      </c>
      <c r="BM69" s="36"/>
      <c r="BN69" s="36"/>
    </row>
    <row r="70" spans="1:66" x14ac:dyDescent="0.35">
      <c r="A70" s="36"/>
      <c r="B70" s="36"/>
      <c r="C70" s="37">
        <v>244626</v>
      </c>
      <c r="D70" s="37">
        <v>244626</v>
      </c>
      <c r="E70" s="36"/>
      <c r="F70" s="36" t="s">
        <v>192</v>
      </c>
      <c r="G70" s="36" t="s">
        <v>1</v>
      </c>
      <c r="H70" s="36">
        <v>0</v>
      </c>
      <c r="I70" s="36" t="s">
        <v>193</v>
      </c>
      <c r="J70" s="36" t="s">
        <v>194</v>
      </c>
      <c r="K70" s="36" t="s">
        <v>195</v>
      </c>
      <c r="L70" s="36">
        <v>923</v>
      </c>
      <c r="M70" s="36"/>
      <c r="N70" s="36" t="s">
        <v>235</v>
      </c>
      <c r="O70" s="36" t="s">
        <v>236</v>
      </c>
      <c r="P70" s="36">
        <v>2</v>
      </c>
      <c r="Q70" s="36" t="s">
        <v>237</v>
      </c>
      <c r="R70" s="37">
        <v>244412</v>
      </c>
      <c r="S70" s="37">
        <v>244626</v>
      </c>
      <c r="T70" s="36" t="s">
        <v>610</v>
      </c>
      <c r="U70" s="36">
        <v>23071881</v>
      </c>
      <c r="V70" s="36" t="s">
        <v>48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/>
      <c r="AH70" s="36"/>
      <c r="AI70" s="36" t="s">
        <v>200</v>
      </c>
      <c r="AJ70" s="36" t="s">
        <v>201</v>
      </c>
      <c r="AK70" s="36" t="s">
        <v>202</v>
      </c>
      <c r="AL70" s="36" t="s">
        <v>203</v>
      </c>
      <c r="AM70" s="36" t="s">
        <v>204</v>
      </c>
      <c r="AN70" s="36" t="s">
        <v>222</v>
      </c>
      <c r="AO70" s="36" t="s">
        <v>206</v>
      </c>
      <c r="AP70" s="36">
        <v>2</v>
      </c>
      <c r="AQ70" s="36"/>
      <c r="AR70" s="36"/>
      <c r="AS70" s="36"/>
      <c r="AT70" s="36" t="s">
        <v>247</v>
      </c>
      <c r="AU70" s="36" t="s">
        <v>609</v>
      </c>
      <c r="AV70" s="36" t="s">
        <v>217</v>
      </c>
      <c r="AW70" s="36" t="s">
        <v>209</v>
      </c>
      <c r="AX70" s="36" t="s">
        <v>210</v>
      </c>
      <c r="AY70" s="36">
        <v>0</v>
      </c>
      <c r="AZ70" s="36" t="s">
        <v>211</v>
      </c>
      <c r="BA70" s="36">
        <v>9044988632667</v>
      </c>
      <c r="BB70" s="36"/>
      <c r="BC70" s="36"/>
      <c r="BD70" s="36">
        <v>1</v>
      </c>
      <c r="BE70" s="36"/>
      <c r="BF70" s="36" t="s">
        <v>212</v>
      </c>
      <c r="BG70" s="36">
        <v>1333314600</v>
      </c>
      <c r="BH70" s="36" t="s">
        <v>213</v>
      </c>
      <c r="BI70" s="36">
        <v>0</v>
      </c>
      <c r="BJ70" s="36">
        <v>0</v>
      </c>
      <c r="BK70" s="36">
        <v>1300</v>
      </c>
      <c r="BL70" s="36" t="s">
        <v>214</v>
      </c>
      <c r="BM70" s="36"/>
      <c r="BN70" s="36"/>
    </row>
    <row r="71" spans="1:66" x14ac:dyDescent="0.35">
      <c r="A71" s="36"/>
      <c r="B71" s="36"/>
      <c r="C71" s="37">
        <v>244626</v>
      </c>
      <c r="D71" s="37">
        <v>244626</v>
      </c>
      <c r="E71" s="36"/>
      <c r="F71" s="36" t="s">
        <v>192</v>
      </c>
      <c r="G71" s="36" t="s">
        <v>1</v>
      </c>
      <c r="H71" s="36">
        <v>0</v>
      </c>
      <c r="I71" s="36" t="s">
        <v>193</v>
      </c>
      <c r="J71" s="36" t="s">
        <v>194</v>
      </c>
      <c r="K71" s="36" t="s">
        <v>195</v>
      </c>
      <c r="L71" s="36">
        <v>923</v>
      </c>
      <c r="M71" s="36"/>
      <c r="N71" s="36" t="s">
        <v>235</v>
      </c>
      <c r="O71" s="36" t="s">
        <v>236</v>
      </c>
      <c r="P71" s="36">
        <v>2</v>
      </c>
      <c r="Q71" s="36" t="s">
        <v>237</v>
      </c>
      <c r="R71" s="37">
        <v>244412</v>
      </c>
      <c r="S71" s="37">
        <v>244626</v>
      </c>
      <c r="T71" s="36" t="s">
        <v>610</v>
      </c>
      <c r="U71" s="36">
        <v>23073188</v>
      </c>
      <c r="V71" s="36" t="s">
        <v>50</v>
      </c>
      <c r="W71" s="36">
        <v>10</v>
      </c>
      <c r="X71" s="36">
        <v>10</v>
      </c>
      <c r="Y71" s="36">
        <v>10</v>
      </c>
      <c r="Z71" s="36">
        <v>10</v>
      </c>
      <c r="AA71" s="36">
        <v>0</v>
      </c>
      <c r="AB71" s="36">
        <v>0</v>
      </c>
      <c r="AC71" s="36">
        <v>0</v>
      </c>
      <c r="AD71" s="36">
        <v>0</v>
      </c>
      <c r="AE71" s="36">
        <v>10</v>
      </c>
      <c r="AF71" s="36">
        <v>10</v>
      </c>
      <c r="AG71" s="36"/>
      <c r="AH71" s="36"/>
      <c r="AI71" s="36" t="s">
        <v>200</v>
      </c>
      <c r="AJ71" s="36" t="s">
        <v>201</v>
      </c>
      <c r="AK71" s="36" t="s">
        <v>215</v>
      </c>
      <c r="AL71" s="36" t="s">
        <v>203</v>
      </c>
      <c r="AM71" s="36" t="s">
        <v>204</v>
      </c>
      <c r="AN71" s="36" t="s">
        <v>222</v>
      </c>
      <c r="AO71" s="36" t="s">
        <v>206</v>
      </c>
      <c r="AP71" s="36">
        <v>2</v>
      </c>
      <c r="AQ71" s="36"/>
      <c r="AR71" s="36"/>
      <c r="AS71" s="36"/>
      <c r="AT71" s="36" t="s">
        <v>247</v>
      </c>
      <c r="AU71" s="36" t="s">
        <v>609</v>
      </c>
      <c r="AV71" s="36" t="s">
        <v>209</v>
      </c>
      <c r="AW71" s="36" t="s">
        <v>209</v>
      </c>
      <c r="AX71" s="36" t="s">
        <v>210</v>
      </c>
      <c r="AY71" s="36">
        <v>0</v>
      </c>
      <c r="AZ71" s="36" t="s">
        <v>211</v>
      </c>
      <c r="BA71" s="36">
        <v>9044988632667</v>
      </c>
      <c r="BB71" s="36"/>
      <c r="BC71" s="36"/>
      <c r="BD71" s="36">
        <v>1</v>
      </c>
      <c r="BE71" s="36"/>
      <c r="BF71" s="36" t="s">
        <v>212</v>
      </c>
      <c r="BG71" s="36">
        <v>1333314600</v>
      </c>
      <c r="BH71" s="36" t="s">
        <v>213</v>
      </c>
      <c r="BI71" s="36">
        <v>10</v>
      </c>
      <c r="BJ71" s="36">
        <v>10</v>
      </c>
      <c r="BK71" s="36">
        <v>1300</v>
      </c>
      <c r="BL71" s="36" t="s">
        <v>214</v>
      </c>
      <c r="BM71" s="36"/>
      <c r="BN71" s="36"/>
    </row>
    <row r="72" spans="1:66" x14ac:dyDescent="0.35">
      <c r="A72" s="36"/>
      <c r="B72" s="36"/>
      <c r="C72" s="37">
        <v>244626</v>
      </c>
      <c r="D72" s="37">
        <v>244626</v>
      </c>
      <c r="E72" s="36"/>
      <c r="F72" s="36" t="s">
        <v>192</v>
      </c>
      <c r="G72" s="36" t="s">
        <v>1</v>
      </c>
      <c r="H72" s="36">
        <v>0</v>
      </c>
      <c r="I72" s="36" t="s">
        <v>193</v>
      </c>
      <c r="J72" s="36" t="s">
        <v>194</v>
      </c>
      <c r="K72" s="36" t="s">
        <v>195</v>
      </c>
      <c r="L72" s="36">
        <v>923</v>
      </c>
      <c r="M72" s="36"/>
      <c r="N72" s="36" t="s">
        <v>235</v>
      </c>
      <c r="O72" s="36" t="s">
        <v>236</v>
      </c>
      <c r="P72" s="36">
        <v>2</v>
      </c>
      <c r="Q72" s="36" t="s">
        <v>237</v>
      </c>
      <c r="R72" s="37">
        <v>244412</v>
      </c>
      <c r="S72" s="37">
        <v>244626</v>
      </c>
      <c r="T72" s="36" t="s">
        <v>610</v>
      </c>
      <c r="U72" s="36">
        <v>23088112</v>
      </c>
      <c r="V72" s="36" t="s">
        <v>56</v>
      </c>
      <c r="W72" s="36">
        <v>30</v>
      </c>
      <c r="X72" s="36">
        <v>30</v>
      </c>
      <c r="Y72" s="36">
        <v>30</v>
      </c>
      <c r="Z72" s="36">
        <v>30</v>
      </c>
      <c r="AA72" s="36">
        <v>0</v>
      </c>
      <c r="AB72" s="36">
        <v>0</v>
      </c>
      <c r="AC72" s="36">
        <v>0</v>
      </c>
      <c r="AD72" s="36">
        <v>0</v>
      </c>
      <c r="AE72" s="36">
        <v>30</v>
      </c>
      <c r="AF72" s="36">
        <v>30</v>
      </c>
      <c r="AG72" s="36"/>
      <c r="AH72" s="36"/>
      <c r="AI72" s="36" t="s">
        <v>200</v>
      </c>
      <c r="AJ72" s="36" t="s">
        <v>201</v>
      </c>
      <c r="AK72" s="36" t="s">
        <v>215</v>
      </c>
      <c r="AL72" s="36" t="s">
        <v>203</v>
      </c>
      <c r="AM72" s="36" t="s">
        <v>204</v>
      </c>
      <c r="AN72" s="36" t="s">
        <v>222</v>
      </c>
      <c r="AO72" s="36" t="s">
        <v>206</v>
      </c>
      <c r="AP72" s="36">
        <v>2</v>
      </c>
      <c r="AQ72" s="36"/>
      <c r="AR72" s="36"/>
      <c r="AS72" s="36"/>
      <c r="AT72" s="36" t="s">
        <v>247</v>
      </c>
      <c r="AU72" s="36" t="s">
        <v>609</v>
      </c>
      <c r="AV72" s="36" t="s">
        <v>209</v>
      </c>
      <c r="AW72" s="36" t="s">
        <v>209</v>
      </c>
      <c r="AX72" s="36" t="s">
        <v>210</v>
      </c>
      <c r="AY72" s="36">
        <v>0</v>
      </c>
      <c r="AZ72" s="36" t="s">
        <v>211</v>
      </c>
      <c r="BA72" s="36">
        <v>9044988632667</v>
      </c>
      <c r="BB72" s="36"/>
      <c r="BC72" s="36"/>
      <c r="BD72" s="36">
        <v>1</v>
      </c>
      <c r="BE72" s="36"/>
      <c r="BF72" s="36" t="s">
        <v>212</v>
      </c>
      <c r="BG72" s="36">
        <v>1333314600</v>
      </c>
      <c r="BH72" s="36" t="s">
        <v>213</v>
      </c>
      <c r="BI72" s="36">
        <v>30</v>
      </c>
      <c r="BJ72" s="36">
        <v>30</v>
      </c>
      <c r="BK72" s="36">
        <v>1300</v>
      </c>
      <c r="BL72" s="36" t="s">
        <v>214</v>
      </c>
      <c r="BM72" s="36"/>
      <c r="BN72" s="36"/>
    </row>
    <row r="73" spans="1:66" x14ac:dyDescent="0.35">
      <c r="A73" s="36"/>
      <c r="B73" s="36"/>
      <c r="C73" s="37">
        <v>244626</v>
      </c>
      <c r="D73" s="37">
        <v>244626</v>
      </c>
      <c r="E73" s="36"/>
      <c r="F73" s="36" t="s">
        <v>192</v>
      </c>
      <c r="G73" s="36" t="s">
        <v>1</v>
      </c>
      <c r="H73" s="36">
        <v>0</v>
      </c>
      <c r="I73" s="36" t="s">
        <v>193</v>
      </c>
      <c r="J73" s="36" t="s">
        <v>194</v>
      </c>
      <c r="K73" s="36" t="s">
        <v>195</v>
      </c>
      <c r="L73" s="36">
        <v>923</v>
      </c>
      <c r="M73" s="36"/>
      <c r="N73" s="36" t="s">
        <v>235</v>
      </c>
      <c r="O73" s="36" t="s">
        <v>236</v>
      </c>
      <c r="P73" s="36">
        <v>2</v>
      </c>
      <c r="Q73" s="36" t="s">
        <v>237</v>
      </c>
      <c r="R73" s="37">
        <v>244412</v>
      </c>
      <c r="S73" s="37">
        <v>244626</v>
      </c>
      <c r="T73" s="36" t="s">
        <v>610</v>
      </c>
      <c r="U73" s="36">
        <v>23098995</v>
      </c>
      <c r="V73" s="36" t="s">
        <v>70</v>
      </c>
      <c r="W73" s="36">
        <v>200</v>
      </c>
      <c r="X73" s="36">
        <v>200</v>
      </c>
      <c r="Y73" s="36">
        <v>200</v>
      </c>
      <c r="Z73" s="36">
        <v>200</v>
      </c>
      <c r="AA73" s="36">
        <v>0</v>
      </c>
      <c r="AB73" s="36">
        <v>0</v>
      </c>
      <c r="AC73" s="36">
        <v>0</v>
      </c>
      <c r="AD73" s="36">
        <v>0</v>
      </c>
      <c r="AE73" s="36">
        <v>200</v>
      </c>
      <c r="AF73" s="36">
        <v>200</v>
      </c>
      <c r="AG73" s="36"/>
      <c r="AH73" s="36"/>
      <c r="AI73" s="36" t="s">
        <v>200</v>
      </c>
      <c r="AJ73" s="36" t="s">
        <v>201</v>
      </c>
      <c r="AK73" s="36" t="s">
        <v>215</v>
      </c>
      <c r="AL73" s="36" t="s">
        <v>203</v>
      </c>
      <c r="AM73" s="36" t="s">
        <v>204</v>
      </c>
      <c r="AN73" s="36" t="s">
        <v>222</v>
      </c>
      <c r="AO73" s="36" t="s">
        <v>206</v>
      </c>
      <c r="AP73" s="36">
        <v>2</v>
      </c>
      <c r="AQ73" s="36"/>
      <c r="AR73" s="36"/>
      <c r="AS73" s="36"/>
      <c r="AT73" s="36" t="s">
        <v>247</v>
      </c>
      <c r="AU73" s="36" t="s">
        <v>609</v>
      </c>
      <c r="AV73" s="36" t="s">
        <v>209</v>
      </c>
      <c r="AW73" s="36" t="s">
        <v>209</v>
      </c>
      <c r="AX73" s="36" t="s">
        <v>210</v>
      </c>
      <c r="AY73" s="36">
        <v>0</v>
      </c>
      <c r="AZ73" s="36" t="s">
        <v>211</v>
      </c>
      <c r="BA73" s="36">
        <v>9044988632667</v>
      </c>
      <c r="BB73" s="36"/>
      <c r="BC73" s="36"/>
      <c r="BD73" s="36">
        <v>1</v>
      </c>
      <c r="BE73" s="36"/>
      <c r="BF73" s="36" t="s">
        <v>212</v>
      </c>
      <c r="BG73" s="36">
        <v>1333314600</v>
      </c>
      <c r="BH73" s="36" t="s">
        <v>213</v>
      </c>
      <c r="BI73" s="36">
        <v>200</v>
      </c>
      <c r="BJ73" s="36">
        <v>200</v>
      </c>
      <c r="BK73" s="36">
        <v>1300</v>
      </c>
      <c r="BL73" s="36" t="s">
        <v>214</v>
      </c>
      <c r="BM73" s="36"/>
      <c r="BN73" s="36"/>
    </row>
    <row r="74" spans="1:66" x14ac:dyDescent="0.35">
      <c r="A74" s="36"/>
      <c r="B74" s="36"/>
      <c r="C74" s="37">
        <v>244626</v>
      </c>
      <c r="D74" s="37">
        <v>244626</v>
      </c>
      <c r="E74" s="36"/>
      <c r="F74" s="36" t="s">
        <v>192</v>
      </c>
      <c r="G74" s="36" t="s">
        <v>1</v>
      </c>
      <c r="H74" s="36">
        <v>0</v>
      </c>
      <c r="I74" s="36" t="s">
        <v>193</v>
      </c>
      <c r="J74" s="36" t="s">
        <v>194</v>
      </c>
      <c r="K74" s="36" t="s">
        <v>195</v>
      </c>
      <c r="L74" s="36">
        <v>923</v>
      </c>
      <c r="M74" s="36"/>
      <c r="N74" s="36" t="s">
        <v>235</v>
      </c>
      <c r="O74" s="36" t="s">
        <v>236</v>
      </c>
      <c r="P74" s="36">
        <v>2</v>
      </c>
      <c r="Q74" s="36" t="s">
        <v>237</v>
      </c>
      <c r="R74" s="37">
        <v>244412</v>
      </c>
      <c r="S74" s="37">
        <v>244626</v>
      </c>
      <c r="T74" s="36" t="s">
        <v>610</v>
      </c>
      <c r="U74" s="36">
        <v>23058555</v>
      </c>
      <c r="V74" s="36" t="s">
        <v>28</v>
      </c>
      <c r="W74" s="36">
        <v>300</v>
      </c>
      <c r="X74" s="36">
        <v>300</v>
      </c>
      <c r="Y74" s="36">
        <v>300</v>
      </c>
      <c r="Z74" s="36">
        <v>300</v>
      </c>
      <c r="AA74" s="36">
        <v>0</v>
      </c>
      <c r="AB74" s="36">
        <v>0</v>
      </c>
      <c r="AC74" s="36">
        <v>0</v>
      </c>
      <c r="AD74" s="36">
        <v>0</v>
      </c>
      <c r="AE74" s="36">
        <v>300</v>
      </c>
      <c r="AF74" s="36">
        <v>300</v>
      </c>
      <c r="AG74" s="36"/>
      <c r="AH74" s="36"/>
      <c r="AI74" s="36" t="s">
        <v>200</v>
      </c>
      <c r="AJ74" s="36" t="s">
        <v>201</v>
      </c>
      <c r="AK74" s="36" t="s">
        <v>215</v>
      </c>
      <c r="AL74" s="36" t="s">
        <v>203</v>
      </c>
      <c r="AM74" s="36" t="s">
        <v>204</v>
      </c>
      <c r="AN74" s="36" t="s">
        <v>222</v>
      </c>
      <c r="AO74" s="36" t="s">
        <v>206</v>
      </c>
      <c r="AP74" s="36">
        <v>2</v>
      </c>
      <c r="AQ74" s="36"/>
      <c r="AR74" s="36"/>
      <c r="AS74" s="36"/>
      <c r="AT74" s="36" t="s">
        <v>247</v>
      </c>
      <c r="AU74" s="36" t="s">
        <v>609</v>
      </c>
      <c r="AV74" s="36" t="s">
        <v>209</v>
      </c>
      <c r="AW74" s="36" t="s">
        <v>209</v>
      </c>
      <c r="AX74" s="36" t="s">
        <v>210</v>
      </c>
      <c r="AY74" s="36">
        <v>0</v>
      </c>
      <c r="AZ74" s="36" t="s">
        <v>211</v>
      </c>
      <c r="BA74" s="36">
        <v>9044988632667</v>
      </c>
      <c r="BB74" s="36"/>
      <c r="BC74" s="36"/>
      <c r="BD74" s="36">
        <v>1</v>
      </c>
      <c r="BE74" s="36"/>
      <c r="BF74" s="36" t="s">
        <v>212</v>
      </c>
      <c r="BG74" s="36">
        <v>1333314600</v>
      </c>
      <c r="BH74" s="36" t="s">
        <v>213</v>
      </c>
      <c r="BI74" s="36">
        <v>300</v>
      </c>
      <c r="BJ74" s="36">
        <v>300</v>
      </c>
      <c r="BK74" s="36">
        <v>1300</v>
      </c>
      <c r="BL74" s="36" t="s">
        <v>214</v>
      </c>
      <c r="BM74" s="36"/>
      <c r="BN74" s="36"/>
    </row>
    <row r="75" spans="1:66" x14ac:dyDescent="0.35">
      <c r="A75" s="36"/>
      <c r="B75" s="36"/>
      <c r="C75" s="37">
        <v>244626</v>
      </c>
      <c r="D75" s="37">
        <v>244626</v>
      </c>
      <c r="E75" s="36"/>
      <c r="F75" s="36" t="s">
        <v>192</v>
      </c>
      <c r="G75" s="36" t="s">
        <v>1</v>
      </c>
      <c r="H75" s="36">
        <v>0</v>
      </c>
      <c r="I75" s="36" t="s">
        <v>193</v>
      </c>
      <c r="J75" s="36" t="s">
        <v>194</v>
      </c>
      <c r="K75" s="36" t="s">
        <v>195</v>
      </c>
      <c r="L75" s="36">
        <v>923</v>
      </c>
      <c r="M75" s="36"/>
      <c r="N75" s="36" t="s">
        <v>235</v>
      </c>
      <c r="O75" s="36" t="s">
        <v>236</v>
      </c>
      <c r="P75" s="36">
        <v>2</v>
      </c>
      <c r="Q75" s="36" t="s">
        <v>237</v>
      </c>
      <c r="R75" s="37">
        <v>244412</v>
      </c>
      <c r="S75" s="37">
        <v>244626</v>
      </c>
      <c r="T75" s="36" t="s">
        <v>610</v>
      </c>
      <c r="U75" s="36">
        <v>23087034</v>
      </c>
      <c r="V75" s="36" t="s">
        <v>54</v>
      </c>
      <c r="W75" s="36">
        <v>30</v>
      </c>
      <c r="X75" s="36">
        <v>30</v>
      </c>
      <c r="Y75" s="36">
        <v>30</v>
      </c>
      <c r="Z75" s="36">
        <v>30</v>
      </c>
      <c r="AA75" s="36">
        <v>0</v>
      </c>
      <c r="AB75" s="36">
        <v>0</v>
      </c>
      <c r="AC75" s="36">
        <v>0</v>
      </c>
      <c r="AD75" s="36">
        <v>0</v>
      </c>
      <c r="AE75" s="36">
        <v>30</v>
      </c>
      <c r="AF75" s="36">
        <v>30</v>
      </c>
      <c r="AG75" s="36"/>
      <c r="AH75" s="36"/>
      <c r="AI75" s="36" t="s">
        <v>200</v>
      </c>
      <c r="AJ75" s="36" t="s">
        <v>201</v>
      </c>
      <c r="AK75" s="36" t="s">
        <v>202</v>
      </c>
      <c r="AL75" s="36" t="s">
        <v>203</v>
      </c>
      <c r="AM75" s="36" t="s">
        <v>204</v>
      </c>
      <c r="AN75" s="36" t="s">
        <v>222</v>
      </c>
      <c r="AO75" s="36" t="s">
        <v>206</v>
      </c>
      <c r="AP75" s="36">
        <v>2</v>
      </c>
      <c r="AQ75" s="36"/>
      <c r="AR75" s="36"/>
      <c r="AS75" s="36"/>
      <c r="AT75" s="36" t="s">
        <v>247</v>
      </c>
      <c r="AU75" s="36" t="s">
        <v>609</v>
      </c>
      <c r="AV75" s="36" t="s">
        <v>209</v>
      </c>
      <c r="AW75" s="36" t="s">
        <v>209</v>
      </c>
      <c r="AX75" s="36" t="s">
        <v>210</v>
      </c>
      <c r="AY75" s="36">
        <v>0</v>
      </c>
      <c r="AZ75" s="36" t="s">
        <v>211</v>
      </c>
      <c r="BA75" s="36">
        <v>9044988632667</v>
      </c>
      <c r="BB75" s="36"/>
      <c r="BC75" s="36"/>
      <c r="BD75" s="36">
        <v>1</v>
      </c>
      <c r="BE75" s="36"/>
      <c r="BF75" s="36" t="s">
        <v>212</v>
      </c>
      <c r="BG75" s="36">
        <v>1333314600</v>
      </c>
      <c r="BH75" s="36" t="s">
        <v>213</v>
      </c>
      <c r="BI75" s="36">
        <v>30</v>
      </c>
      <c r="BJ75" s="36">
        <v>30</v>
      </c>
      <c r="BK75" s="36">
        <v>1300</v>
      </c>
      <c r="BL75" s="36" t="s">
        <v>214</v>
      </c>
      <c r="BM75" s="36"/>
      <c r="BN75" s="36"/>
    </row>
    <row r="76" spans="1:66" x14ac:dyDescent="0.35">
      <c r="A76" s="36"/>
      <c r="B76" s="36"/>
      <c r="C76" s="37">
        <v>244626</v>
      </c>
      <c r="D76" s="37">
        <v>244626</v>
      </c>
      <c r="E76" s="36"/>
      <c r="F76" s="36" t="s">
        <v>192</v>
      </c>
      <c r="G76" s="36" t="s">
        <v>1</v>
      </c>
      <c r="H76" s="36">
        <v>0</v>
      </c>
      <c r="I76" s="36" t="s">
        <v>193</v>
      </c>
      <c r="J76" s="36" t="s">
        <v>194</v>
      </c>
      <c r="K76" s="36" t="s">
        <v>195</v>
      </c>
      <c r="L76" s="36">
        <v>923</v>
      </c>
      <c r="M76" s="36"/>
      <c r="N76" s="36" t="s">
        <v>235</v>
      </c>
      <c r="O76" s="36" t="s">
        <v>236</v>
      </c>
      <c r="P76" s="36">
        <v>2</v>
      </c>
      <c r="Q76" s="36" t="s">
        <v>237</v>
      </c>
      <c r="R76" s="37">
        <v>244412</v>
      </c>
      <c r="S76" s="37">
        <v>244626</v>
      </c>
      <c r="T76" s="36" t="s">
        <v>610</v>
      </c>
      <c r="U76" s="36">
        <v>23088348</v>
      </c>
      <c r="V76" s="36" t="s">
        <v>57</v>
      </c>
      <c r="W76" s="36">
        <v>150</v>
      </c>
      <c r="X76" s="36">
        <v>150</v>
      </c>
      <c r="Y76" s="36">
        <v>150</v>
      </c>
      <c r="Z76" s="36">
        <v>150</v>
      </c>
      <c r="AA76" s="36">
        <v>0</v>
      </c>
      <c r="AB76" s="36">
        <v>0</v>
      </c>
      <c r="AC76" s="36">
        <v>0</v>
      </c>
      <c r="AD76" s="36">
        <v>0</v>
      </c>
      <c r="AE76" s="36">
        <v>150</v>
      </c>
      <c r="AF76" s="36">
        <v>150</v>
      </c>
      <c r="AG76" s="36"/>
      <c r="AH76" s="36"/>
      <c r="AI76" s="36" t="s">
        <v>200</v>
      </c>
      <c r="AJ76" s="36" t="s">
        <v>201</v>
      </c>
      <c r="AK76" s="36" t="s">
        <v>215</v>
      </c>
      <c r="AL76" s="36" t="s">
        <v>203</v>
      </c>
      <c r="AM76" s="36" t="s">
        <v>204</v>
      </c>
      <c r="AN76" s="36" t="s">
        <v>222</v>
      </c>
      <c r="AO76" s="36" t="s">
        <v>206</v>
      </c>
      <c r="AP76" s="36">
        <v>2</v>
      </c>
      <c r="AQ76" s="36"/>
      <c r="AR76" s="36"/>
      <c r="AS76" s="36"/>
      <c r="AT76" s="36" t="s">
        <v>247</v>
      </c>
      <c r="AU76" s="36" t="s">
        <v>609</v>
      </c>
      <c r="AV76" s="36" t="s">
        <v>209</v>
      </c>
      <c r="AW76" s="36" t="s">
        <v>209</v>
      </c>
      <c r="AX76" s="36" t="s">
        <v>210</v>
      </c>
      <c r="AY76" s="36">
        <v>0</v>
      </c>
      <c r="AZ76" s="36" t="s">
        <v>211</v>
      </c>
      <c r="BA76" s="36">
        <v>9044988632667</v>
      </c>
      <c r="BB76" s="36"/>
      <c r="BC76" s="36"/>
      <c r="BD76" s="36">
        <v>1</v>
      </c>
      <c r="BE76" s="36"/>
      <c r="BF76" s="36" t="s">
        <v>212</v>
      </c>
      <c r="BG76" s="36">
        <v>1333314600</v>
      </c>
      <c r="BH76" s="36" t="s">
        <v>213</v>
      </c>
      <c r="BI76" s="36">
        <v>150</v>
      </c>
      <c r="BJ76" s="36">
        <v>150</v>
      </c>
      <c r="BK76" s="36">
        <v>1300</v>
      </c>
      <c r="BL76" s="36" t="s">
        <v>214</v>
      </c>
      <c r="BM76" s="36"/>
      <c r="BN76" s="36"/>
    </row>
    <row r="77" spans="1:66" x14ac:dyDescent="0.35">
      <c r="A77" s="36"/>
      <c r="B77" s="36"/>
      <c r="C77" s="37">
        <v>244626</v>
      </c>
      <c r="D77" s="37">
        <v>244626</v>
      </c>
      <c r="E77" s="36"/>
      <c r="F77" s="36" t="s">
        <v>192</v>
      </c>
      <c r="G77" s="36" t="s">
        <v>1</v>
      </c>
      <c r="H77" s="36">
        <v>0</v>
      </c>
      <c r="I77" s="36" t="s">
        <v>193</v>
      </c>
      <c r="J77" s="36" t="s">
        <v>194</v>
      </c>
      <c r="K77" s="36" t="s">
        <v>195</v>
      </c>
      <c r="L77" s="36">
        <v>923</v>
      </c>
      <c r="M77" s="36"/>
      <c r="N77" s="36" t="s">
        <v>235</v>
      </c>
      <c r="O77" s="36" t="s">
        <v>236</v>
      </c>
      <c r="P77" s="36">
        <v>2</v>
      </c>
      <c r="Q77" s="36" t="s">
        <v>237</v>
      </c>
      <c r="R77" s="37">
        <v>244412</v>
      </c>
      <c r="S77" s="37">
        <v>244626</v>
      </c>
      <c r="T77" s="36" t="s">
        <v>610</v>
      </c>
      <c r="U77" s="36">
        <v>23062101</v>
      </c>
      <c r="V77" s="36" t="s">
        <v>109</v>
      </c>
      <c r="W77" s="36">
        <v>10</v>
      </c>
      <c r="X77" s="36">
        <v>10</v>
      </c>
      <c r="Y77" s="36">
        <v>10</v>
      </c>
      <c r="Z77" s="36">
        <v>10</v>
      </c>
      <c r="AA77" s="36">
        <v>0</v>
      </c>
      <c r="AB77" s="36">
        <v>0</v>
      </c>
      <c r="AC77" s="36">
        <v>0</v>
      </c>
      <c r="AD77" s="36">
        <v>0</v>
      </c>
      <c r="AE77" s="36">
        <v>10</v>
      </c>
      <c r="AF77" s="36">
        <v>10</v>
      </c>
      <c r="AG77" s="36"/>
      <c r="AH77" s="36"/>
      <c r="AI77" s="36" t="s">
        <v>200</v>
      </c>
      <c r="AJ77" s="36" t="s">
        <v>201</v>
      </c>
      <c r="AK77" s="36" t="s">
        <v>215</v>
      </c>
      <c r="AL77" s="36" t="s">
        <v>203</v>
      </c>
      <c r="AM77" s="36" t="s">
        <v>204</v>
      </c>
      <c r="AN77" s="36" t="s">
        <v>222</v>
      </c>
      <c r="AO77" s="36" t="s">
        <v>206</v>
      </c>
      <c r="AP77" s="36">
        <v>2</v>
      </c>
      <c r="AQ77" s="36"/>
      <c r="AR77" s="36"/>
      <c r="AS77" s="36"/>
      <c r="AT77" s="36" t="s">
        <v>247</v>
      </c>
      <c r="AU77" s="36" t="s">
        <v>609</v>
      </c>
      <c r="AV77" s="36" t="s">
        <v>209</v>
      </c>
      <c r="AW77" s="36" t="s">
        <v>209</v>
      </c>
      <c r="AX77" s="36" t="s">
        <v>210</v>
      </c>
      <c r="AY77" s="36">
        <v>0</v>
      </c>
      <c r="AZ77" s="36" t="s">
        <v>211</v>
      </c>
      <c r="BA77" s="36">
        <v>9044988632667</v>
      </c>
      <c r="BB77" s="36"/>
      <c r="BC77" s="36"/>
      <c r="BD77" s="36">
        <v>1</v>
      </c>
      <c r="BE77" s="36"/>
      <c r="BF77" s="36" t="s">
        <v>212</v>
      </c>
      <c r="BG77" s="36">
        <v>1333314600</v>
      </c>
      <c r="BH77" s="36" t="s">
        <v>213</v>
      </c>
      <c r="BI77" s="36">
        <v>10</v>
      </c>
      <c r="BJ77" s="36">
        <v>10</v>
      </c>
      <c r="BK77" s="36">
        <v>1300</v>
      </c>
      <c r="BL77" s="36" t="s">
        <v>214</v>
      </c>
      <c r="BM77" s="36"/>
      <c r="BN77" s="36"/>
    </row>
    <row r="78" spans="1:66" x14ac:dyDescent="0.35">
      <c r="A78" s="36"/>
      <c r="B78" s="36"/>
      <c r="C78" s="37">
        <v>244626</v>
      </c>
      <c r="D78" s="37">
        <v>244626</v>
      </c>
      <c r="E78" s="36"/>
      <c r="F78" s="36" t="s">
        <v>192</v>
      </c>
      <c r="G78" s="36" t="s">
        <v>1</v>
      </c>
      <c r="H78" s="36">
        <v>0</v>
      </c>
      <c r="I78" s="36" t="s">
        <v>193</v>
      </c>
      <c r="J78" s="36" t="s">
        <v>194</v>
      </c>
      <c r="K78" s="36" t="s">
        <v>195</v>
      </c>
      <c r="L78" s="36">
        <v>923</v>
      </c>
      <c r="M78" s="36"/>
      <c r="N78" s="36" t="s">
        <v>235</v>
      </c>
      <c r="O78" s="36" t="s">
        <v>236</v>
      </c>
      <c r="P78" s="36">
        <v>2</v>
      </c>
      <c r="Q78" s="36" t="s">
        <v>237</v>
      </c>
      <c r="R78" s="37">
        <v>244412</v>
      </c>
      <c r="S78" s="37">
        <v>244626</v>
      </c>
      <c r="T78" s="36" t="s">
        <v>610</v>
      </c>
      <c r="U78" s="36">
        <v>23063759</v>
      </c>
      <c r="V78" s="36" t="s">
        <v>39</v>
      </c>
      <c r="W78" s="36">
        <v>0</v>
      </c>
      <c r="X78" s="36">
        <v>0</v>
      </c>
      <c r="Y78" s="36">
        <v>0</v>
      </c>
      <c r="Z78" s="36">
        <v>0</v>
      </c>
      <c r="AA78" s="36">
        <v>0</v>
      </c>
      <c r="AB78" s="36">
        <v>0</v>
      </c>
      <c r="AC78" s="36">
        <v>0</v>
      </c>
      <c r="AD78" s="36">
        <v>0</v>
      </c>
      <c r="AE78" s="36">
        <v>0</v>
      </c>
      <c r="AF78" s="36">
        <v>0</v>
      </c>
      <c r="AG78" s="36"/>
      <c r="AH78" s="36"/>
      <c r="AI78" s="36" t="s">
        <v>200</v>
      </c>
      <c r="AJ78" s="36" t="s">
        <v>201</v>
      </c>
      <c r="AK78" s="36" t="s">
        <v>215</v>
      </c>
      <c r="AL78" s="36" t="s">
        <v>203</v>
      </c>
      <c r="AM78" s="36" t="s">
        <v>204</v>
      </c>
      <c r="AN78" s="36" t="s">
        <v>222</v>
      </c>
      <c r="AO78" s="36" t="s">
        <v>206</v>
      </c>
      <c r="AP78" s="36">
        <v>2</v>
      </c>
      <c r="AQ78" s="36"/>
      <c r="AR78" s="36"/>
      <c r="AS78" s="36"/>
      <c r="AT78" s="36" t="s">
        <v>247</v>
      </c>
      <c r="AU78" s="36" t="s">
        <v>609</v>
      </c>
      <c r="AV78" s="36" t="s">
        <v>209</v>
      </c>
      <c r="AW78" s="36" t="s">
        <v>209</v>
      </c>
      <c r="AX78" s="36" t="s">
        <v>210</v>
      </c>
      <c r="AY78" s="36">
        <v>0</v>
      </c>
      <c r="AZ78" s="36" t="s">
        <v>211</v>
      </c>
      <c r="BA78" s="36">
        <v>9044988632667</v>
      </c>
      <c r="BB78" s="36"/>
      <c r="BC78" s="36"/>
      <c r="BD78" s="36">
        <v>1</v>
      </c>
      <c r="BE78" s="36"/>
      <c r="BF78" s="36" t="s">
        <v>212</v>
      </c>
      <c r="BG78" s="36">
        <v>1333314600</v>
      </c>
      <c r="BH78" s="36" t="s">
        <v>213</v>
      </c>
      <c r="BI78" s="36">
        <v>0</v>
      </c>
      <c r="BJ78" s="36">
        <v>0</v>
      </c>
      <c r="BK78" s="36">
        <v>1300</v>
      </c>
      <c r="BL78" s="36" t="s">
        <v>214</v>
      </c>
      <c r="BM78" s="36"/>
      <c r="BN78" s="36"/>
    </row>
    <row r="79" spans="1:66" x14ac:dyDescent="0.35">
      <c r="A79" s="36"/>
      <c r="B79" s="36"/>
      <c r="C79" s="37">
        <v>244626</v>
      </c>
      <c r="D79" s="37">
        <v>244626</v>
      </c>
      <c r="E79" s="36"/>
      <c r="F79" s="36" t="s">
        <v>192</v>
      </c>
      <c r="G79" s="36" t="s">
        <v>1</v>
      </c>
      <c r="H79" s="36">
        <v>0</v>
      </c>
      <c r="I79" s="36" t="s">
        <v>193</v>
      </c>
      <c r="J79" s="36" t="s">
        <v>194</v>
      </c>
      <c r="K79" s="36" t="s">
        <v>195</v>
      </c>
      <c r="L79" s="36">
        <v>923</v>
      </c>
      <c r="M79" s="36"/>
      <c r="N79" s="36" t="s">
        <v>235</v>
      </c>
      <c r="O79" s="36" t="s">
        <v>236</v>
      </c>
      <c r="P79" s="36">
        <v>2</v>
      </c>
      <c r="Q79" s="36" t="s">
        <v>237</v>
      </c>
      <c r="R79" s="37">
        <v>244412</v>
      </c>
      <c r="S79" s="37">
        <v>244626</v>
      </c>
      <c r="T79" s="36" t="s">
        <v>610</v>
      </c>
      <c r="U79" s="36">
        <v>23057809</v>
      </c>
      <c r="V79" s="36" t="s">
        <v>18</v>
      </c>
      <c r="W79" s="36">
        <v>150</v>
      </c>
      <c r="X79" s="36">
        <v>150</v>
      </c>
      <c r="Y79" s="36">
        <v>150</v>
      </c>
      <c r="Z79" s="36">
        <v>150</v>
      </c>
      <c r="AA79" s="36">
        <v>0</v>
      </c>
      <c r="AB79" s="36">
        <v>0</v>
      </c>
      <c r="AC79" s="36">
        <v>0</v>
      </c>
      <c r="AD79" s="36">
        <v>0</v>
      </c>
      <c r="AE79" s="36">
        <v>150</v>
      </c>
      <c r="AF79" s="36">
        <v>150</v>
      </c>
      <c r="AG79" s="36"/>
      <c r="AH79" s="36"/>
      <c r="AI79" s="36" t="s">
        <v>200</v>
      </c>
      <c r="AJ79" s="36" t="s">
        <v>201</v>
      </c>
      <c r="AK79" s="36" t="s">
        <v>202</v>
      </c>
      <c r="AL79" s="36" t="s">
        <v>203</v>
      </c>
      <c r="AM79" s="36" t="s">
        <v>204</v>
      </c>
      <c r="AN79" s="36" t="s">
        <v>222</v>
      </c>
      <c r="AO79" s="36" t="s">
        <v>206</v>
      </c>
      <c r="AP79" s="36">
        <v>2</v>
      </c>
      <c r="AQ79" s="36"/>
      <c r="AR79" s="36"/>
      <c r="AS79" s="36"/>
      <c r="AT79" s="36" t="s">
        <v>247</v>
      </c>
      <c r="AU79" s="36" t="s">
        <v>609</v>
      </c>
      <c r="AV79" s="36" t="s">
        <v>209</v>
      </c>
      <c r="AW79" s="36" t="s">
        <v>209</v>
      </c>
      <c r="AX79" s="36" t="s">
        <v>210</v>
      </c>
      <c r="AY79" s="36">
        <v>0</v>
      </c>
      <c r="AZ79" s="36" t="s">
        <v>211</v>
      </c>
      <c r="BA79" s="36">
        <v>9044988632667</v>
      </c>
      <c r="BB79" s="36"/>
      <c r="BC79" s="36"/>
      <c r="BD79" s="36">
        <v>1</v>
      </c>
      <c r="BE79" s="36"/>
      <c r="BF79" s="36" t="s">
        <v>212</v>
      </c>
      <c r="BG79" s="36">
        <v>1333314600</v>
      </c>
      <c r="BH79" s="36" t="s">
        <v>213</v>
      </c>
      <c r="BI79" s="36">
        <v>150</v>
      </c>
      <c r="BJ79" s="36">
        <v>150</v>
      </c>
      <c r="BK79" s="36">
        <v>1300</v>
      </c>
      <c r="BL79" s="36" t="s">
        <v>214</v>
      </c>
      <c r="BM79" s="36"/>
      <c r="BN79" s="36"/>
    </row>
    <row r="80" spans="1:66" x14ac:dyDescent="0.35">
      <c r="A80" s="36"/>
      <c r="B80" s="36"/>
      <c r="C80" s="37">
        <v>244626</v>
      </c>
      <c r="D80" s="37">
        <v>244626</v>
      </c>
      <c r="E80" s="36"/>
      <c r="F80" s="36" t="s">
        <v>192</v>
      </c>
      <c r="G80" s="36" t="s">
        <v>1</v>
      </c>
      <c r="H80" s="36">
        <v>0</v>
      </c>
      <c r="I80" s="36" t="s">
        <v>193</v>
      </c>
      <c r="J80" s="36" t="s">
        <v>194</v>
      </c>
      <c r="K80" s="36" t="s">
        <v>195</v>
      </c>
      <c r="L80" s="36">
        <v>923</v>
      </c>
      <c r="M80" s="36"/>
      <c r="N80" s="36" t="s">
        <v>235</v>
      </c>
      <c r="O80" s="36" t="s">
        <v>236</v>
      </c>
      <c r="P80" s="36">
        <v>2</v>
      </c>
      <c r="Q80" s="36" t="s">
        <v>237</v>
      </c>
      <c r="R80" s="37">
        <v>244412</v>
      </c>
      <c r="S80" s="37">
        <v>244626</v>
      </c>
      <c r="T80" s="36" t="s">
        <v>610</v>
      </c>
      <c r="U80" s="36">
        <v>23066875</v>
      </c>
      <c r="V80" s="36" t="s">
        <v>44</v>
      </c>
      <c r="W80" s="36">
        <v>60</v>
      </c>
      <c r="X80" s="36">
        <v>60</v>
      </c>
      <c r="Y80" s="36">
        <v>60</v>
      </c>
      <c r="Z80" s="36">
        <v>60</v>
      </c>
      <c r="AA80" s="36">
        <v>0</v>
      </c>
      <c r="AB80" s="36">
        <v>0</v>
      </c>
      <c r="AC80" s="36">
        <v>0</v>
      </c>
      <c r="AD80" s="36">
        <v>0</v>
      </c>
      <c r="AE80" s="36">
        <v>60</v>
      </c>
      <c r="AF80" s="36">
        <v>60</v>
      </c>
      <c r="AG80" s="36"/>
      <c r="AH80" s="36"/>
      <c r="AI80" s="36" t="s">
        <v>200</v>
      </c>
      <c r="AJ80" s="36" t="s">
        <v>201</v>
      </c>
      <c r="AK80" s="36" t="s">
        <v>215</v>
      </c>
      <c r="AL80" s="36" t="s">
        <v>203</v>
      </c>
      <c r="AM80" s="36" t="s">
        <v>204</v>
      </c>
      <c r="AN80" s="36" t="s">
        <v>222</v>
      </c>
      <c r="AO80" s="36" t="s">
        <v>206</v>
      </c>
      <c r="AP80" s="36">
        <v>2</v>
      </c>
      <c r="AQ80" s="36"/>
      <c r="AR80" s="36"/>
      <c r="AS80" s="36"/>
      <c r="AT80" s="36" t="s">
        <v>247</v>
      </c>
      <c r="AU80" s="36" t="s">
        <v>609</v>
      </c>
      <c r="AV80" s="36" t="s">
        <v>209</v>
      </c>
      <c r="AW80" s="36" t="s">
        <v>209</v>
      </c>
      <c r="AX80" s="36" t="s">
        <v>210</v>
      </c>
      <c r="AY80" s="36">
        <v>0</v>
      </c>
      <c r="AZ80" s="36" t="s">
        <v>211</v>
      </c>
      <c r="BA80" s="36">
        <v>9044988632667</v>
      </c>
      <c r="BB80" s="36"/>
      <c r="BC80" s="36"/>
      <c r="BD80" s="36">
        <v>1</v>
      </c>
      <c r="BE80" s="36"/>
      <c r="BF80" s="36" t="s">
        <v>212</v>
      </c>
      <c r="BG80" s="36">
        <v>1333314600</v>
      </c>
      <c r="BH80" s="36" t="s">
        <v>213</v>
      </c>
      <c r="BI80" s="36">
        <v>60</v>
      </c>
      <c r="BJ80" s="36">
        <v>60</v>
      </c>
      <c r="BK80" s="36">
        <v>1300</v>
      </c>
      <c r="BL80" s="36" t="s">
        <v>214</v>
      </c>
      <c r="BM80" s="36"/>
      <c r="BN80" s="36"/>
    </row>
    <row r="81" spans="1:66" x14ac:dyDescent="0.35">
      <c r="A81" s="36"/>
      <c r="B81" s="36"/>
      <c r="C81" s="37">
        <v>244626</v>
      </c>
      <c r="D81" s="37">
        <v>244626</v>
      </c>
      <c r="E81" s="36"/>
      <c r="F81" s="36" t="s">
        <v>192</v>
      </c>
      <c r="G81" s="36" t="s">
        <v>1</v>
      </c>
      <c r="H81" s="36">
        <v>0</v>
      </c>
      <c r="I81" s="36" t="s">
        <v>193</v>
      </c>
      <c r="J81" s="36" t="s">
        <v>194</v>
      </c>
      <c r="K81" s="36" t="s">
        <v>195</v>
      </c>
      <c r="L81" s="36">
        <v>923</v>
      </c>
      <c r="M81" s="36"/>
      <c r="N81" s="36" t="s">
        <v>235</v>
      </c>
      <c r="O81" s="36" t="s">
        <v>236</v>
      </c>
      <c r="P81" s="36">
        <v>2</v>
      </c>
      <c r="Q81" s="36" t="s">
        <v>237</v>
      </c>
      <c r="R81" s="37">
        <v>244412</v>
      </c>
      <c r="S81" s="37">
        <v>244626</v>
      </c>
      <c r="T81" s="36" t="s">
        <v>610</v>
      </c>
      <c r="U81" s="36">
        <v>23058584</v>
      </c>
      <c r="V81" s="36" t="s">
        <v>29</v>
      </c>
      <c r="W81" s="36">
        <v>120</v>
      </c>
      <c r="X81" s="36">
        <v>120</v>
      </c>
      <c r="Y81" s="36">
        <v>120</v>
      </c>
      <c r="Z81" s="36">
        <v>120</v>
      </c>
      <c r="AA81" s="36">
        <v>0</v>
      </c>
      <c r="AB81" s="36">
        <v>0</v>
      </c>
      <c r="AC81" s="36">
        <v>0</v>
      </c>
      <c r="AD81" s="36">
        <v>0</v>
      </c>
      <c r="AE81" s="36">
        <v>120</v>
      </c>
      <c r="AF81" s="36">
        <v>120</v>
      </c>
      <c r="AG81" s="36"/>
      <c r="AH81" s="36"/>
      <c r="AI81" s="36" t="s">
        <v>200</v>
      </c>
      <c r="AJ81" s="36" t="s">
        <v>201</v>
      </c>
      <c r="AK81" s="36" t="s">
        <v>215</v>
      </c>
      <c r="AL81" s="36" t="s">
        <v>203</v>
      </c>
      <c r="AM81" s="36" t="s">
        <v>204</v>
      </c>
      <c r="AN81" s="36" t="s">
        <v>222</v>
      </c>
      <c r="AO81" s="36" t="s">
        <v>206</v>
      </c>
      <c r="AP81" s="36">
        <v>2</v>
      </c>
      <c r="AQ81" s="36"/>
      <c r="AR81" s="36"/>
      <c r="AS81" s="36"/>
      <c r="AT81" s="36" t="s">
        <v>247</v>
      </c>
      <c r="AU81" s="36" t="s">
        <v>609</v>
      </c>
      <c r="AV81" s="36" t="s">
        <v>209</v>
      </c>
      <c r="AW81" s="36" t="s">
        <v>209</v>
      </c>
      <c r="AX81" s="36" t="s">
        <v>210</v>
      </c>
      <c r="AY81" s="36">
        <v>0</v>
      </c>
      <c r="AZ81" s="36" t="s">
        <v>211</v>
      </c>
      <c r="BA81" s="36">
        <v>9044988632667</v>
      </c>
      <c r="BB81" s="36"/>
      <c r="BC81" s="36"/>
      <c r="BD81" s="36">
        <v>1</v>
      </c>
      <c r="BE81" s="36"/>
      <c r="BF81" s="36" t="s">
        <v>212</v>
      </c>
      <c r="BG81" s="36">
        <v>1333314600</v>
      </c>
      <c r="BH81" s="36" t="s">
        <v>213</v>
      </c>
      <c r="BI81" s="36">
        <v>120</v>
      </c>
      <c r="BJ81" s="36">
        <v>120</v>
      </c>
      <c r="BK81" s="36">
        <v>1300</v>
      </c>
      <c r="BL81" s="36" t="s">
        <v>214</v>
      </c>
      <c r="BM81" s="36"/>
      <c r="BN81" s="36"/>
    </row>
    <row r="82" spans="1:66" x14ac:dyDescent="0.35">
      <c r="A82" s="36"/>
      <c r="B82" s="36"/>
      <c r="C82" s="37">
        <v>244626</v>
      </c>
      <c r="D82" s="37">
        <v>244626</v>
      </c>
      <c r="E82" s="36"/>
      <c r="F82" s="36" t="s">
        <v>192</v>
      </c>
      <c r="G82" s="36" t="s">
        <v>1</v>
      </c>
      <c r="H82" s="36">
        <v>0</v>
      </c>
      <c r="I82" s="36" t="s">
        <v>193</v>
      </c>
      <c r="J82" s="36" t="s">
        <v>194</v>
      </c>
      <c r="K82" s="36" t="s">
        <v>195</v>
      </c>
      <c r="L82" s="36">
        <v>923</v>
      </c>
      <c r="M82" s="36"/>
      <c r="N82" s="36" t="s">
        <v>235</v>
      </c>
      <c r="O82" s="36" t="s">
        <v>236</v>
      </c>
      <c r="P82" s="36">
        <v>2</v>
      </c>
      <c r="Q82" s="36" t="s">
        <v>237</v>
      </c>
      <c r="R82" s="37">
        <v>244412</v>
      </c>
      <c r="S82" s="37">
        <v>244626</v>
      </c>
      <c r="T82" s="36" t="s">
        <v>610</v>
      </c>
      <c r="U82" s="36">
        <v>23015265</v>
      </c>
      <c r="V82" s="36" t="s">
        <v>16</v>
      </c>
      <c r="W82" s="36">
        <v>180</v>
      </c>
      <c r="X82" s="36">
        <v>180</v>
      </c>
      <c r="Y82" s="36">
        <v>180</v>
      </c>
      <c r="Z82" s="36">
        <v>180</v>
      </c>
      <c r="AA82" s="36">
        <v>0</v>
      </c>
      <c r="AB82" s="36">
        <v>0</v>
      </c>
      <c r="AC82" s="36">
        <v>0</v>
      </c>
      <c r="AD82" s="36">
        <v>0</v>
      </c>
      <c r="AE82" s="36">
        <v>180</v>
      </c>
      <c r="AF82" s="36">
        <v>180</v>
      </c>
      <c r="AG82" s="36"/>
      <c r="AH82" s="36"/>
      <c r="AI82" s="36" t="s">
        <v>200</v>
      </c>
      <c r="AJ82" s="36" t="s">
        <v>201</v>
      </c>
      <c r="AK82" s="36" t="s">
        <v>202</v>
      </c>
      <c r="AL82" s="36" t="s">
        <v>203</v>
      </c>
      <c r="AM82" s="36" t="s">
        <v>204</v>
      </c>
      <c r="AN82" s="36" t="s">
        <v>222</v>
      </c>
      <c r="AO82" s="36" t="s">
        <v>206</v>
      </c>
      <c r="AP82" s="36">
        <v>2</v>
      </c>
      <c r="AQ82" s="36"/>
      <c r="AR82" s="36"/>
      <c r="AS82" s="36"/>
      <c r="AT82" s="36" t="s">
        <v>247</v>
      </c>
      <c r="AU82" s="36" t="s">
        <v>609</v>
      </c>
      <c r="AV82" s="36" t="s">
        <v>209</v>
      </c>
      <c r="AW82" s="36" t="s">
        <v>209</v>
      </c>
      <c r="AX82" s="36" t="s">
        <v>210</v>
      </c>
      <c r="AY82" s="36">
        <v>0</v>
      </c>
      <c r="AZ82" s="36" t="s">
        <v>211</v>
      </c>
      <c r="BA82" s="36">
        <v>9044988632667</v>
      </c>
      <c r="BB82" s="36"/>
      <c r="BC82" s="36"/>
      <c r="BD82" s="36">
        <v>1</v>
      </c>
      <c r="BE82" s="36"/>
      <c r="BF82" s="36" t="s">
        <v>212</v>
      </c>
      <c r="BG82" s="36">
        <v>1333314600</v>
      </c>
      <c r="BH82" s="36" t="s">
        <v>213</v>
      </c>
      <c r="BI82" s="36">
        <v>180</v>
      </c>
      <c r="BJ82" s="36">
        <v>180</v>
      </c>
      <c r="BK82" s="36">
        <v>1300</v>
      </c>
      <c r="BL82" s="36" t="s">
        <v>214</v>
      </c>
      <c r="BM82" s="36"/>
      <c r="BN82" s="36"/>
    </row>
    <row r="83" spans="1:66" x14ac:dyDescent="0.35">
      <c r="A83" s="36"/>
      <c r="B83" s="36"/>
      <c r="C83" s="37">
        <v>244626</v>
      </c>
      <c r="D83" s="37">
        <v>244626</v>
      </c>
      <c r="E83" s="36"/>
      <c r="F83" s="36" t="s">
        <v>192</v>
      </c>
      <c r="G83" s="36" t="s">
        <v>1</v>
      </c>
      <c r="H83" s="36">
        <v>0</v>
      </c>
      <c r="I83" s="36" t="s">
        <v>193</v>
      </c>
      <c r="J83" s="36" t="s">
        <v>194</v>
      </c>
      <c r="K83" s="36" t="s">
        <v>195</v>
      </c>
      <c r="L83" s="36">
        <v>923</v>
      </c>
      <c r="M83" s="36"/>
      <c r="N83" s="36" t="s">
        <v>235</v>
      </c>
      <c r="O83" s="36" t="s">
        <v>236</v>
      </c>
      <c r="P83" s="36">
        <v>2</v>
      </c>
      <c r="Q83" s="36" t="s">
        <v>237</v>
      </c>
      <c r="R83" s="37">
        <v>244412</v>
      </c>
      <c r="S83" s="37">
        <v>244626</v>
      </c>
      <c r="T83" s="36" t="s">
        <v>610</v>
      </c>
      <c r="U83" s="36">
        <v>23057812</v>
      </c>
      <c r="V83" s="36" t="s">
        <v>19</v>
      </c>
      <c r="W83" s="36">
        <v>400</v>
      </c>
      <c r="X83" s="36">
        <v>400</v>
      </c>
      <c r="Y83" s="36">
        <v>400</v>
      </c>
      <c r="Z83" s="36">
        <v>400</v>
      </c>
      <c r="AA83" s="36">
        <v>0</v>
      </c>
      <c r="AB83" s="36">
        <v>0</v>
      </c>
      <c r="AC83" s="36">
        <v>0</v>
      </c>
      <c r="AD83" s="36">
        <v>0</v>
      </c>
      <c r="AE83" s="36">
        <v>400</v>
      </c>
      <c r="AF83" s="36">
        <v>400</v>
      </c>
      <c r="AG83" s="36"/>
      <c r="AH83" s="36"/>
      <c r="AI83" s="36" t="s">
        <v>200</v>
      </c>
      <c r="AJ83" s="36" t="s">
        <v>201</v>
      </c>
      <c r="AK83" s="36" t="s">
        <v>202</v>
      </c>
      <c r="AL83" s="36" t="s">
        <v>203</v>
      </c>
      <c r="AM83" s="36" t="s">
        <v>204</v>
      </c>
      <c r="AN83" s="36" t="s">
        <v>222</v>
      </c>
      <c r="AO83" s="36" t="s">
        <v>206</v>
      </c>
      <c r="AP83" s="36">
        <v>2</v>
      </c>
      <c r="AQ83" s="36"/>
      <c r="AR83" s="36"/>
      <c r="AS83" s="36"/>
      <c r="AT83" s="36" t="s">
        <v>247</v>
      </c>
      <c r="AU83" s="36" t="s">
        <v>609</v>
      </c>
      <c r="AV83" s="36" t="s">
        <v>209</v>
      </c>
      <c r="AW83" s="36" t="s">
        <v>209</v>
      </c>
      <c r="AX83" s="36" t="s">
        <v>210</v>
      </c>
      <c r="AY83" s="36">
        <v>0</v>
      </c>
      <c r="AZ83" s="36" t="s">
        <v>211</v>
      </c>
      <c r="BA83" s="36">
        <v>9044988632667</v>
      </c>
      <c r="BB83" s="36"/>
      <c r="BC83" s="36"/>
      <c r="BD83" s="36">
        <v>1</v>
      </c>
      <c r="BE83" s="36"/>
      <c r="BF83" s="36" t="s">
        <v>212</v>
      </c>
      <c r="BG83" s="36">
        <v>1333314600</v>
      </c>
      <c r="BH83" s="36" t="s">
        <v>213</v>
      </c>
      <c r="BI83" s="36">
        <v>400</v>
      </c>
      <c r="BJ83" s="36">
        <v>400</v>
      </c>
      <c r="BK83" s="36">
        <v>1300</v>
      </c>
      <c r="BL83" s="36" t="s">
        <v>214</v>
      </c>
      <c r="BM83" s="36"/>
      <c r="BN83" s="36"/>
    </row>
    <row r="84" spans="1:66" x14ac:dyDescent="0.35">
      <c r="A84" s="36"/>
      <c r="B84" s="36"/>
      <c r="C84" s="37">
        <v>244626</v>
      </c>
      <c r="D84" s="37">
        <v>244626</v>
      </c>
      <c r="E84" s="36"/>
      <c r="F84" s="36" t="s">
        <v>192</v>
      </c>
      <c r="G84" s="36" t="s">
        <v>1</v>
      </c>
      <c r="H84" s="36">
        <v>0</v>
      </c>
      <c r="I84" s="36" t="s">
        <v>193</v>
      </c>
      <c r="J84" s="36" t="s">
        <v>194</v>
      </c>
      <c r="K84" s="36" t="s">
        <v>195</v>
      </c>
      <c r="L84" s="36">
        <v>923</v>
      </c>
      <c r="M84" s="36"/>
      <c r="N84" s="36" t="s">
        <v>235</v>
      </c>
      <c r="O84" s="36" t="s">
        <v>236</v>
      </c>
      <c r="P84" s="36">
        <v>2</v>
      </c>
      <c r="Q84" s="36" t="s">
        <v>237</v>
      </c>
      <c r="R84" s="37">
        <v>244412</v>
      </c>
      <c r="S84" s="37">
        <v>244626</v>
      </c>
      <c r="T84" s="36" t="s">
        <v>610</v>
      </c>
      <c r="U84" s="36">
        <v>23057827</v>
      </c>
      <c r="V84" s="36" t="s">
        <v>24</v>
      </c>
      <c r="W84" s="36">
        <v>80</v>
      </c>
      <c r="X84" s="36">
        <v>80</v>
      </c>
      <c r="Y84" s="36">
        <v>80</v>
      </c>
      <c r="Z84" s="36">
        <v>80</v>
      </c>
      <c r="AA84" s="36">
        <v>0</v>
      </c>
      <c r="AB84" s="36">
        <v>0</v>
      </c>
      <c r="AC84" s="36">
        <v>0</v>
      </c>
      <c r="AD84" s="36">
        <v>0</v>
      </c>
      <c r="AE84" s="36">
        <v>80</v>
      </c>
      <c r="AF84" s="36">
        <v>80</v>
      </c>
      <c r="AG84" s="36"/>
      <c r="AH84" s="36"/>
      <c r="AI84" s="36" t="s">
        <v>200</v>
      </c>
      <c r="AJ84" s="36" t="s">
        <v>201</v>
      </c>
      <c r="AK84" s="36" t="s">
        <v>202</v>
      </c>
      <c r="AL84" s="36" t="s">
        <v>203</v>
      </c>
      <c r="AM84" s="36" t="s">
        <v>204</v>
      </c>
      <c r="AN84" s="36" t="s">
        <v>222</v>
      </c>
      <c r="AO84" s="36" t="s">
        <v>206</v>
      </c>
      <c r="AP84" s="36">
        <v>2</v>
      </c>
      <c r="AQ84" s="36"/>
      <c r="AR84" s="36"/>
      <c r="AS84" s="36"/>
      <c r="AT84" s="36" t="s">
        <v>247</v>
      </c>
      <c r="AU84" s="36" t="s">
        <v>609</v>
      </c>
      <c r="AV84" s="36" t="s">
        <v>209</v>
      </c>
      <c r="AW84" s="36" t="s">
        <v>209</v>
      </c>
      <c r="AX84" s="36" t="s">
        <v>210</v>
      </c>
      <c r="AY84" s="36">
        <v>0</v>
      </c>
      <c r="AZ84" s="36" t="s">
        <v>211</v>
      </c>
      <c r="BA84" s="36">
        <v>9044988632667</v>
      </c>
      <c r="BB84" s="36"/>
      <c r="BC84" s="36"/>
      <c r="BD84" s="36">
        <v>1</v>
      </c>
      <c r="BE84" s="36"/>
      <c r="BF84" s="36" t="s">
        <v>212</v>
      </c>
      <c r="BG84" s="36">
        <v>1333314600</v>
      </c>
      <c r="BH84" s="36" t="s">
        <v>213</v>
      </c>
      <c r="BI84" s="36">
        <v>80</v>
      </c>
      <c r="BJ84" s="36">
        <v>80</v>
      </c>
      <c r="BK84" s="36">
        <v>1300</v>
      </c>
      <c r="BL84" s="36" t="s">
        <v>214</v>
      </c>
      <c r="BM84" s="36"/>
      <c r="BN84" s="36"/>
    </row>
    <row r="85" spans="1:66" x14ac:dyDescent="0.35">
      <c r="A85" s="36"/>
      <c r="B85" s="36"/>
      <c r="C85" s="37">
        <v>244626</v>
      </c>
      <c r="D85" s="37">
        <v>244626</v>
      </c>
      <c r="E85" s="36"/>
      <c r="F85" s="36" t="s">
        <v>192</v>
      </c>
      <c r="G85" s="36" t="s">
        <v>1</v>
      </c>
      <c r="H85" s="36">
        <v>0</v>
      </c>
      <c r="I85" s="36" t="s">
        <v>193</v>
      </c>
      <c r="J85" s="36" t="s">
        <v>194</v>
      </c>
      <c r="K85" s="36" t="s">
        <v>195</v>
      </c>
      <c r="L85" s="36">
        <v>923</v>
      </c>
      <c r="M85" s="36"/>
      <c r="N85" s="36" t="s">
        <v>235</v>
      </c>
      <c r="O85" s="36" t="s">
        <v>236</v>
      </c>
      <c r="P85" s="36">
        <v>2</v>
      </c>
      <c r="Q85" s="36" t="s">
        <v>237</v>
      </c>
      <c r="R85" s="37">
        <v>244412</v>
      </c>
      <c r="S85" s="37">
        <v>244626</v>
      </c>
      <c r="T85" s="36" t="s">
        <v>610</v>
      </c>
      <c r="U85" s="36">
        <v>23065140</v>
      </c>
      <c r="V85" s="36" t="s">
        <v>40</v>
      </c>
      <c r="W85" s="36">
        <v>600</v>
      </c>
      <c r="X85" s="36">
        <v>600</v>
      </c>
      <c r="Y85" s="36">
        <v>600</v>
      </c>
      <c r="Z85" s="36">
        <v>600</v>
      </c>
      <c r="AA85" s="36">
        <v>0</v>
      </c>
      <c r="AB85" s="36">
        <v>0</v>
      </c>
      <c r="AC85" s="36">
        <v>0</v>
      </c>
      <c r="AD85" s="36">
        <v>0</v>
      </c>
      <c r="AE85" s="36">
        <v>600</v>
      </c>
      <c r="AF85" s="36">
        <v>600</v>
      </c>
      <c r="AG85" s="36"/>
      <c r="AH85" s="36"/>
      <c r="AI85" s="36" t="s">
        <v>200</v>
      </c>
      <c r="AJ85" s="36" t="s">
        <v>201</v>
      </c>
      <c r="AK85" s="36" t="s">
        <v>202</v>
      </c>
      <c r="AL85" s="36" t="s">
        <v>203</v>
      </c>
      <c r="AM85" s="36" t="s">
        <v>204</v>
      </c>
      <c r="AN85" s="36" t="s">
        <v>222</v>
      </c>
      <c r="AO85" s="36" t="s">
        <v>206</v>
      </c>
      <c r="AP85" s="36">
        <v>2</v>
      </c>
      <c r="AQ85" s="36"/>
      <c r="AR85" s="36"/>
      <c r="AS85" s="36"/>
      <c r="AT85" s="36" t="s">
        <v>247</v>
      </c>
      <c r="AU85" s="36" t="s">
        <v>609</v>
      </c>
      <c r="AV85" s="36" t="s">
        <v>209</v>
      </c>
      <c r="AW85" s="36" t="s">
        <v>209</v>
      </c>
      <c r="AX85" s="36" t="s">
        <v>210</v>
      </c>
      <c r="AY85" s="36">
        <v>0</v>
      </c>
      <c r="AZ85" s="36" t="s">
        <v>211</v>
      </c>
      <c r="BA85" s="36">
        <v>9044988632667</v>
      </c>
      <c r="BB85" s="36"/>
      <c r="BC85" s="36"/>
      <c r="BD85" s="36">
        <v>1</v>
      </c>
      <c r="BE85" s="36"/>
      <c r="BF85" s="36" t="s">
        <v>212</v>
      </c>
      <c r="BG85" s="36">
        <v>1333314600</v>
      </c>
      <c r="BH85" s="36" t="s">
        <v>213</v>
      </c>
      <c r="BI85" s="36">
        <v>600</v>
      </c>
      <c r="BJ85" s="36">
        <v>600</v>
      </c>
      <c r="BK85" s="36">
        <v>1300</v>
      </c>
      <c r="BL85" s="36" t="s">
        <v>214</v>
      </c>
      <c r="BM85" s="36"/>
      <c r="BN85" s="36"/>
    </row>
    <row r="86" spans="1:66" x14ac:dyDescent="0.35">
      <c r="A86" s="36"/>
      <c r="B86" s="36"/>
      <c r="C86" s="37">
        <v>244626</v>
      </c>
      <c r="D86" s="37">
        <v>244626</v>
      </c>
      <c r="E86" s="36"/>
      <c r="F86" s="36" t="s">
        <v>192</v>
      </c>
      <c r="G86" s="36" t="s">
        <v>1</v>
      </c>
      <c r="H86" s="36">
        <v>0</v>
      </c>
      <c r="I86" s="36" t="s">
        <v>193</v>
      </c>
      <c r="J86" s="36" t="s">
        <v>194</v>
      </c>
      <c r="K86" s="36" t="s">
        <v>195</v>
      </c>
      <c r="L86" s="36">
        <v>923</v>
      </c>
      <c r="M86" s="36"/>
      <c r="N86" s="36" t="s">
        <v>235</v>
      </c>
      <c r="O86" s="36" t="s">
        <v>236</v>
      </c>
      <c r="P86" s="36">
        <v>2</v>
      </c>
      <c r="Q86" s="36" t="s">
        <v>237</v>
      </c>
      <c r="R86" s="37">
        <v>244412</v>
      </c>
      <c r="S86" s="37">
        <v>244626</v>
      </c>
      <c r="T86" s="36" t="s">
        <v>610</v>
      </c>
      <c r="U86" s="36">
        <v>23098989</v>
      </c>
      <c r="V86" s="36" t="s">
        <v>69</v>
      </c>
      <c r="W86" s="36">
        <v>40</v>
      </c>
      <c r="X86" s="36">
        <v>40</v>
      </c>
      <c r="Y86" s="36">
        <v>40</v>
      </c>
      <c r="Z86" s="36">
        <v>40</v>
      </c>
      <c r="AA86" s="36">
        <v>0</v>
      </c>
      <c r="AB86" s="36">
        <v>0</v>
      </c>
      <c r="AC86" s="36">
        <v>0</v>
      </c>
      <c r="AD86" s="36">
        <v>0</v>
      </c>
      <c r="AE86" s="36">
        <v>40</v>
      </c>
      <c r="AF86" s="36">
        <v>40</v>
      </c>
      <c r="AG86" s="36"/>
      <c r="AH86" s="36"/>
      <c r="AI86" s="36" t="s">
        <v>200</v>
      </c>
      <c r="AJ86" s="36" t="s">
        <v>201</v>
      </c>
      <c r="AK86" s="36" t="s">
        <v>215</v>
      </c>
      <c r="AL86" s="36" t="s">
        <v>203</v>
      </c>
      <c r="AM86" s="36" t="s">
        <v>204</v>
      </c>
      <c r="AN86" s="36" t="s">
        <v>222</v>
      </c>
      <c r="AO86" s="36" t="s">
        <v>206</v>
      </c>
      <c r="AP86" s="36">
        <v>2</v>
      </c>
      <c r="AQ86" s="36"/>
      <c r="AR86" s="36"/>
      <c r="AS86" s="36"/>
      <c r="AT86" s="36" t="s">
        <v>247</v>
      </c>
      <c r="AU86" s="36" t="s">
        <v>609</v>
      </c>
      <c r="AV86" s="36" t="s">
        <v>209</v>
      </c>
      <c r="AW86" s="36" t="s">
        <v>209</v>
      </c>
      <c r="AX86" s="36" t="s">
        <v>210</v>
      </c>
      <c r="AY86" s="36">
        <v>0</v>
      </c>
      <c r="AZ86" s="36" t="s">
        <v>211</v>
      </c>
      <c r="BA86" s="36">
        <v>9044988632667</v>
      </c>
      <c r="BB86" s="36"/>
      <c r="BC86" s="36"/>
      <c r="BD86" s="36">
        <v>1</v>
      </c>
      <c r="BE86" s="36"/>
      <c r="BF86" s="36" t="s">
        <v>212</v>
      </c>
      <c r="BG86" s="36">
        <v>1333314600</v>
      </c>
      <c r="BH86" s="36" t="s">
        <v>213</v>
      </c>
      <c r="BI86" s="36">
        <v>40</v>
      </c>
      <c r="BJ86" s="36">
        <v>40</v>
      </c>
      <c r="BK86" s="36">
        <v>1300</v>
      </c>
      <c r="BL86" s="36" t="s">
        <v>214</v>
      </c>
      <c r="BM86" s="36"/>
      <c r="BN86" s="36"/>
    </row>
    <row r="87" spans="1:66" x14ac:dyDescent="0.35">
      <c r="A87" s="36"/>
      <c r="B87" s="36"/>
      <c r="C87" s="37">
        <v>244626</v>
      </c>
      <c r="D87" s="37">
        <v>244626</v>
      </c>
      <c r="E87" s="36"/>
      <c r="F87" s="36" t="s">
        <v>192</v>
      </c>
      <c r="G87" s="36" t="s">
        <v>1</v>
      </c>
      <c r="H87" s="36">
        <v>0</v>
      </c>
      <c r="I87" s="36" t="s">
        <v>193</v>
      </c>
      <c r="J87" s="36" t="s">
        <v>194</v>
      </c>
      <c r="K87" s="36" t="s">
        <v>195</v>
      </c>
      <c r="L87" s="36">
        <v>923</v>
      </c>
      <c r="M87" s="36"/>
      <c r="N87" s="36" t="s">
        <v>235</v>
      </c>
      <c r="O87" s="36" t="s">
        <v>236</v>
      </c>
      <c r="P87" s="36">
        <v>2</v>
      </c>
      <c r="Q87" s="36" t="s">
        <v>237</v>
      </c>
      <c r="R87" s="37">
        <v>244412</v>
      </c>
      <c r="S87" s="37">
        <v>244626</v>
      </c>
      <c r="T87" s="36" t="s">
        <v>610</v>
      </c>
      <c r="U87" s="36">
        <v>23065143</v>
      </c>
      <c r="V87" s="36" t="s">
        <v>43</v>
      </c>
      <c r="W87" s="36">
        <v>900</v>
      </c>
      <c r="X87" s="36">
        <v>900</v>
      </c>
      <c r="Y87" s="36">
        <v>900</v>
      </c>
      <c r="Z87" s="36">
        <v>900</v>
      </c>
      <c r="AA87" s="36">
        <v>0</v>
      </c>
      <c r="AB87" s="36">
        <v>0</v>
      </c>
      <c r="AC87" s="36">
        <v>0</v>
      </c>
      <c r="AD87" s="36">
        <v>0</v>
      </c>
      <c r="AE87" s="36">
        <v>900</v>
      </c>
      <c r="AF87" s="36">
        <v>900</v>
      </c>
      <c r="AG87" s="36"/>
      <c r="AH87" s="36"/>
      <c r="AI87" s="36" t="s">
        <v>200</v>
      </c>
      <c r="AJ87" s="36" t="s">
        <v>201</v>
      </c>
      <c r="AK87" s="36" t="s">
        <v>202</v>
      </c>
      <c r="AL87" s="36" t="s">
        <v>203</v>
      </c>
      <c r="AM87" s="36" t="s">
        <v>204</v>
      </c>
      <c r="AN87" s="36" t="s">
        <v>222</v>
      </c>
      <c r="AO87" s="36" t="s">
        <v>206</v>
      </c>
      <c r="AP87" s="36">
        <v>2</v>
      </c>
      <c r="AQ87" s="36"/>
      <c r="AR87" s="36"/>
      <c r="AS87" s="36"/>
      <c r="AT87" s="36" t="s">
        <v>247</v>
      </c>
      <c r="AU87" s="36" t="s">
        <v>609</v>
      </c>
      <c r="AV87" s="36" t="s">
        <v>209</v>
      </c>
      <c r="AW87" s="36" t="s">
        <v>209</v>
      </c>
      <c r="AX87" s="36" t="s">
        <v>210</v>
      </c>
      <c r="AY87" s="36">
        <v>0</v>
      </c>
      <c r="AZ87" s="36" t="s">
        <v>211</v>
      </c>
      <c r="BA87" s="36">
        <v>9044988632667</v>
      </c>
      <c r="BB87" s="36"/>
      <c r="BC87" s="36"/>
      <c r="BD87" s="36">
        <v>1</v>
      </c>
      <c r="BE87" s="36"/>
      <c r="BF87" s="36" t="s">
        <v>212</v>
      </c>
      <c r="BG87" s="36">
        <v>1333314600</v>
      </c>
      <c r="BH87" s="36" t="s">
        <v>213</v>
      </c>
      <c r="BI87" s="36">
        <v>900</v>
      </c>
      <c r="BJ87" s="36">
        <v>900</v>
      </c>
      <c r="BK87" s="36">
        <v>1300</v>
      </c>
      <c r="BL87" s="36" t="s">
        <v>214</v>
      </c>
      <c r="BM87" s="36"/>
      <c r="BN87" s="36"/>
    </row>
    <row r="88" spans="1:66" x14ac:dyDescent="0.35">
      <c r="A88" s="36"/>
      <c r="B88" s="36"/>
      <c r="C88" s="37">
        <v>244626</v>
      </c>
      <c r="D88" s="37">
        <v>244626</v>
      </c>
      <c r="E88" s="36"/>
      <c r="F88" s="36" t="s">
        <v>192</v>
      </c>
      <c r="G88" s="36" t="s">
        <v>1</v>
      </c>
      <c r="H88" s="36">
        <v>0</v>
      </c>
      <c r="I88" s="36" t="s">
        <v>193</v>
      </c>
      <c r="J88" s="36" t="s">
        <v>194</v>
      </c>
      <c r="K88" s="36" t="s">
        <v>195</v>
      </c>
      <c r="L88" s="36">
        <v>923</v>
      </c>
      <c r="M88" s="36"/>
      <c r="N88" s="36" t="s">
        <v>235</v>
      </c>
      <c r="O88" s="36" t="s">
        <v>236</v>
      </c>
      <c r="P88" s="36">
        <v>2</v>
      </c>
      <c r="Q88" s="36" t="s">
        <v>237</v>
      </c>
      <c r="R88" s="37">
        <v>244412</v>
      </c>
      <c r="S88" s="37">
        <v>244626</v>
      </c>
      <c r="T88" s="36" t="s">
        <v>610</v>
      </c>
      <c r="U88" s="36">
        <v>23104868</v>
      </c>
      <c r="V88" s="36" t="s">
        <v>71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  <c r="AB88" s="36">
        <v>0</v>
      </c>
      <c r="AC88" s="36">
        <v>0</v>
      </c>
      <c r="AD88" s="36">
        <v>0</v>
      </c>
      <c r="AE88" s="36">
        <v>0</v>
      </c>
      <c r="AF88" s="36">
        <v>0</v>
      </c>
      <c r="AG88" s="36"/>
      <c r="AH88" s="36"/>
      <c r="AI88" s="36" t="s">
        <v>200</v>
      </c>
      <c r="AJ88" s="36" t="s">
        <v>201</v>
      </c>
      <c r="AK88" s="36" t="s">
        <v>202</v>
      </c>
      <c r="AL88" s="36" t="s">
        <v>203</v>
      </c>
      <c r="AM88" s="36" t="s">
        <v>204</v>
      </c>
      <c r="AN88" s="36" t="s">
        <v>222</v>
      </c>
      <c r="AO88" s="36" t="s">
        <v>206</v>
      </c>
      <c r="AP88" s="36">
        <v>2</v>
      </c>
      <c r="AQ88" s="36"/>
      <c r="AR88" s="36"/>
      <c r="AS88" s="36"/>
      <c r="AT88" s="36" t="s">
        <v>247</v>
      </c>
      <c r="AU88" s="36" t="s">
        <v>609</v>
      </c>
      <c r="AV88" s="36" t="s">
        <v>217</v>
      </c>
      <c r="AW88" s="36" t="s">
        <v>209</v>
      </c>
      <c r="AX88" s="36" t="s">
        <v>210</v>
      </c>
      <c r="AY88" s="36">
        <v>0</v>
      </c>
      <c r="AZ88" s="36" t="s">
        <v>211</v>
      </c>
      <c r="BA88" s="36">
        <v>9044988632667</v>
      </c>
      <c r="BB88" s="36"/>
      <c r="BC88" s="36"/>
      <c r="BD88" s="36">
        <v>1</v>
      </c>
      <c r="BE88" s="36"/>
      <c r="BF88" s="36" t="s">
        <v>212</v>
      </c>
      <c r="BG88" s="36">
        <v>1333314600</v>
      </c>
      <c r="BH88" s="36" t="s">
        <v>213</v>
      </c>
      <c r="BI88" s="36">
        <v>0</v>
      </c>
      <c r="BJ88" s="36">
        <v>0</v>
      </c>
      <c r="BK88" s="36">
        <v>1300</v>
      </c>
      <c r="BL88" s="36" t="s">
        <v>214</v>
      </c>
      <c r="BM88" s="36"/>
      <c r="BN88" s="36"/>
    </row>
    <row r="89" spans="1:66" x14ac:dyDescent="0.35">
      <c r="A89" s="36"/>
      <c r="B89" s="36"/>
      <c r="C89" s="37">
        <v>244626</v>
      </c>
      <c r="D89" s="37">
        <v>244626</v>
      </c>
      <c r="E89" s="36"/>
      <c r="F89" s="36" t="s">
        <v>192</v>
      </c>
      <c r="G89" s="36" t="s">
        <v>1</v>
      </c>
      <c r="H89" s="36">
        <v>0</v>
      </c>
      <c r="I89" s="36" t="s">
        <v>193</v>
      </c>
      <c r="J89" s="36" t="s">
        <v>194</v>
      </c>
      <c r="K89" s="36" t="s">
        <v>195</v>
      </c>
      <c r="L89" s="36">
        <v>923</v>
      </c>
      <c r="M89" s="36"/>
      <c r="N89" s="36" t="s">
        <v>235</v>
      </c>
      <c r="O89" s="36" t="s">
        <v>236</v>
      </c>
      <c r="P89" s="36">
        <v>2</v>
      </c>
      <c r="Q89" s="36" t="s">
        <v>237</v>
      </c>
      <c r="R89" s="37">
        <v>244412</v>
      </c>
      <c r="S89" s="37">
        <v>244626</v>
      </c>
      <c r="T89" s="36" t="s">
        <v>610</v>
      </c>
      <c r="U89" s="36">
        <v>23062095</v>
      </c>
      <c r="V89" s="36" t="s">
        <v>36</v>
      </c>
      <c r="W89" s="36">
        <v>20</v>
      </c>
      <c r="X89" s="36">
        <v>20</v>
      </c>
      <c r="Y89" s="36">
        <v>20</v>
      </c>
      <c r="Z89" s="36">
        <v>20</v>
      </c>
      <c r="AA89" s="36">
        <v>0</v>
      </c>
      <c r="AB89" s="36">
        <v>0</v>
      </c>
      <c r="AC89" s="36">
        <v>0</v>
      </c>
      <c r="AD89" s="36">
        <v>0</v>
      </c>
      <c r="AE89" s="36">
        <v>20</v>
      </c>
      <c r="AF89" s="36">
        <v>20</v>
      </c>
      <c r="AG89" s="36"/>
      <c r="AH89" s="36"/>
      <c r="AI89" s="36" t="s">
        <v>200</v>
      </c>
      <c r="AJ89" s="36" t="s">
        <v>201</v>
      </c>
      <c r="AK89" s="36" t="s">
        <v>215</v>
      </c>
      <c r="AL89" s="36" t="s">
        <v>203</v>
      </c>
      <c r="AM89" s="36" t="s">
        <v>204</v>
      </c>
      <c r="AN89" s="36" t="s">
        <v>222</v>
      </c>
      <c r="AO89" s="36" t="s">
        <v>206</v>
      </c>
      <c r="AP89" s="36">
        <v>2</v>
      </c>
      <c r="AQ89" s="36"/>
      <c r="AR89" s="36"/>
      <c r="AS89" s="36"/>
      <c r="AT89" s="36" t="s">
        <v>247</v>
      </c>
      <c r="AU89" s="36" t="s">
        <v>609</v>
      </c>
      <c r="AV89" s="36" t="s">
        <v>209</v>
      </c>
      <c r="AW89" s="36" t="s">
        <v>209</v>
      </c>
      <c r="AX89" s="36" t="s">
        <v>210</v>
      </c>
      <c r="AY89" s="36">
        <v>0</v>
      </c>
      <c r="AZ89" s="36" t="s">
        <v>211</v>
      </c>
      <c r="BA89" s="36">
        <v>9044988632667</v>
      </c>
      <c r="BB89" s="36"/>
      <c r="BC89" s="36"/>
      <c r="BD89" s="36">
        <v>1</v>
      </c>
      <c r="BE89" s="36"/>
      <c r="BF89" s="36" t="s">
        <v>212</v>
      </c>
      <c r="BG89" s="36">
        <v>1333314600</v>
      </c>
      <c r="BH89" s="36" t="s">
        <v>213</v>
      </c>
      <c r="BI89" s="36">
        <v>20</v>
      </c>
      <c r="BJ89" s="36">
        <v>20</v>
      </c>
      <c r="BK89" s="36">
        <v>1300</v>
      </c>
      <c r="BL89" s="36" t="s">
        <v>214</v>
      </c>
      <c r="BM89" s="36"/>
      <c r="BN89" s="36"/>
    </row>
    <row r="90" spans="1:66" x14ac:dyDescent="0.35">
      <c r="A90" s="36"/>
      <c r="B90" s="36"/>
      <c r="C90" s="37">
        <v>244626</v>
      </c>
      <c r="D90" s="37">
        <v>244626</v>
      </c>
      <c r="E90" s="36"/>
      <c r="F90" s="36" t="s">
        <v>192</v>
      </c>
      <c r="G90" s="36" t="s">
        <v>1</v>
      </c>
      <c r="H90" s="36">
        <v>0</v>
      </c>
      <c r="I90" s="36" t="s">
        <v>193</v>
      </c>
      <c r="J90" s="36" t="s">
        <v>194</v>
      </c>
      <c r="K90" s="36" t="s">
        <v>195</v>
      </c>
      <c r="L90" s="36">
        <v>923</v>
      </c>
      <c r="M90" s="36"/>
      <c r="N90" s="36" t="s">
        <v>235</v>
      </c>
      <c r="O90" s="36" t="s">
        <v>236</v>
      </c>
      <c r="P90" s="36">
        <v>2</v>
      </c>
      <c r="Q90" s="36" t="s">
        <v>237</v>
      </c>
      <c r="R90" s="37">
        <v>244412</v>
      </c>
      <c r="S90" s="37">
        <v>244626</v>
      </c>
      <c r="T90" s="36" t="s">
        <v>610</v>
      </c>
      <c r="U90" s="36">
        <v>23086658</v>
      </c>
      <c r="V90" s="36" t="s">
        <v>53</v>
      </c>
      <c r="W90" s="36">
        <v>40</v>
      </c>
      <c r="X90" s="36">
        <v>40</v>
      </c>
      <c r="Y90" s="36">
        <v>40</v>
      </c>
      <c r="Z90" s="36">
        <v>40</v>
      </c>
      <c r="AA90" s="36">
        <v>0</v>
      </c>
      <c r="AB90" s="36">
        <v>0</v>
      </c>
      <c r="AC90" s="36">
        <v>0</v>
      </c>
      <c r="AD90" s="36">
        <v>0</v>
      </c>
      <c r="AE90" s="36">
        <v>40</v>
      </c>
      <c r="AF90" s="36">
        <v>40</v>
      </c>
      <c r="AG90" s="36"/>
      <c r="AH90" s="36"/>
      <c r="AI90" s="36" t="s">
        <v>200</v>
      </c>
      <c r="AJ90" s="36" t="s">
        <v>201</v>
      </c>
      <c r="AK90" s="36" t="s">
        <v>202</v>
      </c>
      <c r="AL90" s="36" t="s">
        <v>203</v>
      </c>
      <c r="AM90" s="36" t="s">
        <v>204</v>
      </c>
      <c r="AN90" s="36" t="s">
        <v>222</v>
      </c>
      <c r="AO90" s="36" t="s">
        <v>206</v>
      </c>
      <c r="AP90" s="36">
        <v>2</v>
      </c>
      <c r="AQ90" s="36"/>
      <c r="AR90" s="36"/>
      <c r="AS90" s="36"/>
      <c r="AT90" s="36" t="s">
        <v>247</v>
      </c>
      <c r="AU90" s="36" t="s">
        <v>609</v>
      </c>
      <c r="AV90" s="36" t="s">
        <v>209</v>
      </c>
      <c r="AW90" s="36" t="s">
        <v>209</v>
      </c>
      <c r="AX90" s="36" t="s">
        <v>210</v>
      </c>
      <c r="AY90" s="36">
        <v>0</v>
      </c>
      <c r="AZ90" s="36" t="s">
        <v>211</v>
      </c>
      <c r="BA90" s="36">
        <v>9044988632667</v>
      </c>
      <c r="BB90" s="36"/>
      <c r="BC90" s="36"/>
      <c r="BD90" s="36">
        <v>1</v>
      </c>
      <c r="BE90" s="36"/>
      <c r="BF90" s="36" t="s">
        <v>212</v>
      </c>
      <c r="BG90" s="36">
        <v>1333314600</v>
      </c>
      <c r="BH90" s="36" t="s">
        <v>213</v>
      </c>
      <c r="BI90" s="36">
        <v>40</v>
      </c>
      <c r="BJ90" s="36">
        <v>40</v>
      </c>
      <c r="BK90" s="36">
        <v>1300</v>
      </c>
      <c r="BL90" s="36" t="s">
        <v>214</v>
      </c>
      <c r="BM90" s="36"/>
      <c r="BN90" s="36"/>
    </row>
    <row r="91" spans="1:66" x14ac:dyDescent="0.35">
      <c r="A91" s="36"/>
      <c r="B91" s="36"/>
      <c r="C91" s="37">
        <v>244626</v>
      </c>
      <c r="D91" s="37">
        <v>244626</v>
      </c>
      <c r="E91" s="36"/>
      <c r="F91" s="36" t="s">
        <v>192</v>
      </c>
      <c r="G91" s="36" t="s">
        <v>1</v>
      </c>
      <c r="H91" s="36">
        <v>0</v>
      </c>
      <c r="I91" s="36" t="s">
        <v>193</v>
      </c>
      <c r="J91" s="36" t="s">
        <v>194</v>
      </c>
      <c r="K91" s="36" t="s">
        <v>195</v>
      </c>
      <c r="L91" s="36">
        <v>923</v>
      </c>
      <c r="M91" s="36"/>
      <c r="N91" s="36" t="s">
        <v>235</v>
      </c>
      <c r="O91" s="36" t="s">
        <v>236</v>
      </c>
      <c r="P91" s="36">
        <v>2</v>
      </c>
      <c r="Q91" s="36" t="s">
        <v>237</v>
      </c>
      <c r="R91" s="37">
        <v>244412</v>
      </c>
      <c r="S91" s="37">
        <v>244626</v>
      </c>
      <c r="T91" s="36" t="s">
        <v>610</v>
      </c>
      <c r="U91" s="36">
        <v>23000206</v>
      </c>
      <c r="V91" s="36" t="s">
        <v>15</v>
      </c>
      <c r="W91" s="36">
        <v>30</v>
      </c>
      <c r="X91" s="36">
        <v>30</v>
      </c>
      <c r="Y91" s="36">
        <v>30</v>
      </c>
      <c r="Z91" s="36">
        <v>30</v>
      </c>
      <c r="AA91" s="36">
        <v>0</v>
      </c>
      <c r="AB91" s="36">
        <v>0</v>
      </c>
      <c r="AC91" s="36">
        <v>0</v>
      </c>
      <c r="AD91" s="36">
        <v>0</v>
      </c>
      <c r="AE91" s="36">
        <v>30</v>
      </c>
      <c r="AF91" s="36">
        <v>30</v>
      </c>
      <c r="AG91" s="36"/>
      <c r="AH91" s="36"/>
      <c r="AI91" s="36" t="s">
        <v>200</v>
      </c>
      <c r="AJ91" s="36" t="s">
        <v>201</v>
      </c>
      <c r="AK91" s="36" t="s">
        <v>215</v>
      </c>
      <c r="AL91" s="36" t="s">
        <v>203</v>
      </c>
      <c r="AM91" s="36" t="s">
        <v>204</v>
      </c>
      <c r="AN91" s="36" t="s">
        <v>222</v>
      </c>
      <c r="AO91" s="36" t="s">
        <v>206</v>
      </c>
      <c r="AP91" s="36">
        <v>2</v>
      </c>
      <c r="AQ91" s="36"/>
      <c r="AR91" s="36"/>
      <c r="AS91" s="36"/>
      <c r="AT91" s="36" t="s">
        <v>247</v>
      </c>
      <c r="AU91" s="36" t="s">
        <v>609</v>
      </c>
      <c r="AV91" s="36" t="s">
        <v>209</v>
      </c>
      <c r="AW91" s="36" t="s">
        <v>209</v>
      </c>
      <c r="AX91" s="36" t="s">
        <v>210</v>
      </c>
      <c r="AY91" s="36">
        <v>0</v>
      </c>
      <c r="AZ91" s="36" t="s">
        <v>211</v>
      </c>
      <c r="BA91" s="36">
        <v>9044988632667</v>
      </c>
      <c r="BB91" s="36"/>
      <c r="BC91" s="36"/>
      <c r="BD91" s="36">
        <v>1</v>
      </c>
      <c r="BE91" s="36"/>
      <c r="BF91" s="36" t="s">
        <v>212</v>
      </c>
      <c r="BG91" s="36">
        <v>1333314600</v>
      </c>
      <c r="BH91" s="36" t="s">
        <v>213</v>
      </c>
      <c r="BI91" s="36">
        <v>30</v>
      </c>
      <c r="BJ91" s="36">
        <v>30</v>
      </c>
      <c r="BK91" s="36">
        <v>1300</v>
      </c>
      <c r="BL91" s="36" t="s">
        <v>214</v>
      </c>
      <c r="BM91" s="36"/>
      <c r="BN91" s="36"/>
    </row>
    <row r="92" spans="1:66" x14ac:dyDescent="0.35">
      <c r="A92" s="36"/>
      <c r="B92" s="36"/>
      <c r="C92" s="37">
        <v>244626</v>
      </c>
      <c r="D92" s="37">
        <v>244626</v>
      </c>
      <c r="E92" s="36"/>
      <c r="F92" s="36" t="s">
        <v>192</v>
      </c>
      <c r="G92" s="36" t="s">
        <v>1</v>
      </c>
      <c r="H92" s="36">
        <v>0</v>
      </c>
      <c r="I92" s="36" t="s">
        <v>193</v>
      </c>
      <c r="J92" s="36" t="s">
        <v>194</v>
      </c>
      <c r="K92" s="36" t="s">
        <v>195</v>
      </c>
      <c r="L92" s="36">
        <v>923</v>
      </c>
      <c r="M92" s="36"/>
      <c r="N92" s="36" t="s">
        <v>235</v>
      </c>
      <c r="O92" s="36" t="s">
        <v>236</v>
      </c>
      <c r="P92" s="36">
        <v>2</v>
      </c>
      <c r="Q92" s="36" t="s">
        <v>237</v>
      </c>
      <c r="R92" s="37">
        <v>244412</v>
      </c>
      <c r="S92" s="37">
        <v>244626</v>
      </c>
      <c r="T92" s="36" t="s">
        <v>610</v>
      </c>
      <c r="U92" s="36">
        <v>23057824</v>
      </c>
      <c r="V92" s="36" t="s">
        <v>23</v>
      </c>
      <c r="W92" s="36">
        <v>100</v>
      </c>
      <c r="X92" s="36">
        <v>100</v>
      </c>
      <c r="Y92" s="36">
        <v>100</v>
      </c>
      <c r="Z92" s="36">
        <v>100</v>
      </c>
      <c r="AA92" s="36">
        <v>0</v>
      </c>
      <c r="AB92" s="36">
        <v>0</v>
      </c>
      <c r="AC92" s="36">
        <v>0</v>
      </c>
      <c r="AD92" s="36">
        <v>0</v>
      </c>
      <c r="AE92" s="36">
        <v>100</v>
      </c>
      <c r="AF92" s="36">
        <v>100</v>
      </c>
      <c r="AG92" s="36"/>
      <c r="AH92" s="36"/>
      <c r="AI92" s="36" t="s">
        <v>200</v>
      </c>
      <c r="AJ92" s="36" t="s">
        <v>201</v>
      </c>
      <c r="AK92" s="36" t="s">
        <v>202</v>
      </c>
      <c r="AL92" s="36" t="s">
        <v>203</v>
      </c>
      <c r="AM92" s="36" t="s">
        <v>204</v>
      </c>
      <c r="AN92" s="36" t="s">
        <v>222</v>
      </c>
      <c r="AO92" s="36" t="s">
        <v>206</v>
      </c>
      <c r="AP92" s="36">
        <v>2</v>
      </c>
      <c r="AQ92" s="36"/>
      <c r="AR92" s="36"/>
      <c r="AS92" s="36"/>
      <c r="AT92" s="36" t="s">
        <v>247</v>
      </c>
      <c r="AU92" s="36" t="s">
        <v>609</v>
      </c>
      <c r="AV92" s="36" t="s">
        <v>209</v>
      </c>
      <c r="AW92" s="36" t="s">
        <v>209</v>
      </c>
      <c r="AX92" s="36" t="s">
        <v>210</v>
      </c>
      <c r="AY92" s="36">
        <v>0</v>
      </c>
      <c r="AZ92" s="36" t="s">
        <v>211</v>
      </c>
      <c r="BA92" s="36">
        <v>9044988632667</v>
      </c>
      <c r="BB92" s="36"/>
      <c r="BC92" s="36"/>
      <c r="BD92" s="36">
        <v>1</v>
      </c>
      <c r="BE92" s="36"/>
      <c r="BF92" s="36" t="s">
        <v>212</v>
      </c>
      <c r="BG92" s="36">
        <v>1333314600</v>
      </c>
      <c r="BH92" s="36" t="s">
        <v>213</v>
      </c>
      <c r="BI92" s="36">
        <v>100</v>
      </c>
      <c r="BJ92" s="36">
        <v>100</v>
      </c>
      <c r="BK92" s="36">
        <v>1300</v>
      </c>
      <c r="BL92" s="36" t="s">
        <v>214</v>
      </c>
      <c r="BM92" s="36"/>
      <c r="BN92" s="36"/>
    </row>
    <row r="93" spans="1:66" x14ac:dyDescent="0.35">
      <c r="A93" s="36"/>
      <c r="B93" s="36"/>
      <c r="C93" s="37">
        <v>244626</v>
      </c>
      <c r="D93" s="37">
        <v>244626</v>
      </c>
      <c r="E93" s="36"/>
      <c r="F93" s="36" t="s">
        <v>192</v>
      </c>
      <c r="G93" s="36" t="s">
        <v>1</v>
      </c>
      <c r="H93" s="36">
        <v>0</v>
      </c>
      <c r="I93" s="36" t="s">
        <v>193</v>
      </c>
      <c r="J93" s="36" t="s">
        <v>194</v>
      </c>
      <c r="K93" s="36" t="s">
        <v>195</v>
      </c>
      <c r="L93" s="36">
        <v>923</v>
      </c>
      <c r="M93" s="36"/>
      <c r="N93" s="36" t="s">
        <v>235</v>
      </c>
      <c r="O93" s="36" t="s">
        <v>236</v>
      </c>
      <c r="P93" s="36">
        <v>2</v>
      </c>
      <c r="Q93" s="36" t="s">
        <v>237</v>
      </c>
      <c r="R93" s="37">
        <v>244412</v>
      </c>
      <c r="S93" s="37">
        <v>244626</v>
      </c>
      <c r="T93" s="36" t="s">
        <v>610</v>
      </c>
      <c r="U93" s="36">
        <v>23058589</v>
      </c>
      <c r="V93" s="36" t="s">
        <v>33</v>
      </c>
      <c r="W93" s="36">
        <v>60</v>
      </c>
      <c r="X93" s="36">
        <v>60</v>
      </c>
      <c r="Y93" s="36">
        <v>60</v>
      </c>
      <c r="Z93" s="36">
        <v>60</v>
      </c>
      <c r="AA93" s="36">
        <v>0</v>
      </c>
      <c r="AB93" s="36">
        <v>0</v>
      </c>
      <c r="AC93" s="36">
        <v>0</v>
      </c>
      <c r="AD93" s="36">
        <v>0</v>
      </c>
      <c r="AE93" s="36">
        <v>60</v>
      </c>
      <c r="AF93" s="36">
        <v>60</v>
      </c>
      <c r="AG93" s="36"/>
      <c r="AH93" s="36"/>
      <c r="AI93" s="36" t="s">
        <v>200</v>
      </c>
      <c r="AJ93" s="36" t="s">
        <v>201</v>
      </c>
      <c r="AK93" s="36" t="s">
        <v>215</v>
      </c>
      <c r="AL93" s="36" t="s">
        <v>203</v>
      </c>
      <c r="AM93" s="36" t="s">
        <v>204</v>
      </c>
      <c r="AN93" s="36" t="s">
        <v>222</v>
      </c>
      <c r="AO93" s="36" t="s">
        <v>206</v>
      </c>
      <c r="AP93" s="36">
        <v>2</v>
      </c>
      <c r="AQ93" s="36"/>
      <c r="AR93" s="36"/>
      <c r="AS93" s="36"/>
      <c r="AT93" s="36" t="s">
        <v>247</v>
      </c>
      <c r="AU93" s="36" t="s">
        <v>609</v>
      </c>
      <c r="AV93" s="36" t="s">
        <v>209</v>
      </c>
      <c r="AW93" s="36" t="s">
        <v>209</v>
      </c>
      <c r="AX93" s="36" t="s">
        <v>210</v>
      </c>
      <c r="AY93" s="36">
        <v>0</v>
      </c>
      <c r="AZ93" s="36" t="s">
        <v>211</v>
      </c>
      <c r="BA93" s="36">
        <v>9044988632667</v>
      </c>
      <c r="BB93" s="36"/>
      <c r="BC93" s="36"/>
      <c r="BD93" s="36">
        <v>1</v>
      </c>
      <c r="BE93" s="36"/>
      <c r="BF93" s="36" t="s">
        <v>212</v>
      </c>
      <c r="BG93" s="36">
        <v>1333314600</v>
      </c>
      <c r="BH93" s="36" t="s">
        <v>213</v>
      </c>
      <c r="BI93" s="36">
        <v>60</v>
      </c>
      <c r="BJ93" s="36">
        <v>60</v>
      </c>
      <c r="BK93" s="36">
        <v>1300</v>
      </c>
      <c r="BL93" s="36" t="s">
        <v>214</v>
      </c>
      <c r="BM93" s="36"/>
      <c r="BN93" s="36"/>
    </row>
    <row r="94" spans="1:66" x14ac:dyDescent="0.35">
      <c r="A94" s="36"/>
      <c r="B94" s="36"/>
      <c r="C94" s="37">
        <v>244626</v>
      </c>
      <c r="D94" s="37">
        <v>244626</v>
      </c>
      <c r="E94" s="36"/>
      <c r="F94" s="36" t="s">
        <v>192</v>
      </c>
      <c r="G94" s="36" t="s">
        <v>1</v>
      </c>
      <c r="H94" s="36">
        <v>0</v>
      </c>
      <c r="I94" s="36" t="s">
        <v>193</v>
      </c>
      <c r="J94" s="36" t="s">
        <v>194</v>
      </c>
      <c r="K94" s="36" t="s">
        <v>195</v>
      </c>
      <c r="L94" s="36">
        <v>923</v>
      </c>
      <c r="M94" s="36"/>
      <c r="N94" s="36" t="s">
        <v>235</v>
      </c>
      <c r="O94" s="36" t="s">
        <v>236</v>
      </c>
      <c r="P94" s="36">
        <v>2</v>
      </c>
      <c r="Q94" s="36" t="s">
        <v>237</v>
      </c>
      <c r="R94" s="37">
        <v>244412</v>
      </c>
      <c r="S94" s="37">
        <v>244626</v>
      </c>
      <c r="T94" s="36" t="s">
        <v>610</v>
      </c>
      <c r="U94" s="36">
        <v>23058591</v>
      </c>
      <c r="V94" s="36" t="s">
        <v>35</v>
      </c>
      <c r="W94" s="36">
        <v>50</v>
      </c>
      <c r="X94" s="36">
        <v>50</v>
      </c>
      <c r="Y94" s="36">
        <v>50</v>
      </c>
      <c r="Z94" s="36">
        <v>50</v>
      </c>
      <c r="AA94" s="36">
        <v>0</v>
      </c>
      <c r="AB94" s="36">
        <v>0</v>
      </c>
      <c r="AC94" s="36">
        <v>0</v>
      </c>
      <c r="AD94" s="36">
        <v>0</v>
      </c>
      <c r="AE94" s="36">
        <v>50</v>
      </c>
      <c r="AF94" s="36">
        <v>50</v>
      </c>
      <c r="AG94" s="36"/>
      <c r="AH94" s="36"/>
      <c r="AI94" s="36" t="s">
        <v>200</v>
      </c>
      <c r="AJ94" s="36" t="s">
        <v>201</v>
      </c>
      <c r="AK94" s="36" t="s">
        <v>215</v>
      </c>
      <c r="AL94" s="36" t="s">
        <v>203</v>
      </c>
      <c r="AM94" s="36" t="s">
        <v>204</v>
      </c>
      <c r="AN94" s="36" t="s">
        <v>222</v>
      </c>
      <c r="AO94" s="36" t="s">
        <v>206</v>
      </c>
      <c r="AP94" s="36">
        <v>2</v>
      </c>
      <c r="AQ94" s="36"/>
      <c r="AR94" s="36"/>
      <c r="AS94" s="36"/>
      <c r="AT94" s="36" t="s">
        <v>247</v>
      </c>
      <c r="AU94" s="36" t="s">
        <v>609</v>
      </c>
      <c r="AV94" s="36" t="s">
        <v>209</v>
      </c>
      <c r="AW94" s="36" t="s">
        <v>209</v>
      </c>
      <c r="AX94" s="36" t="s">
        <v>210</v>
      </c>
      <c r="AY94" s="36">
        <v>0</v>
      </c>
      <c r="AZ94" s="36" t="s">
        <v>211</v>
      </c>
      <c r="BA94" s="36">
        <v>9044988632667</v>
      </c>
      <c r="BB94" s="36"/>
      <c r="BC94" s="36"/>
      <c r="BD94" s="36">
        <v>1</v>
      </c>
      <c r="BE94" s="36"/>
      <c r="BF94" s="36" t="s">
        <v>212</v>
      </c>
      <c r="BG94" s="36">
        <v>1333314600</v>
      </c>
      <c r="BH94" s="36" t="s">
        <v>213</v>
      </c>
      <c r="BI94" s="36">
        <v>50</v>
      </c>
      <c r="BJ94" s="36">
        <v>50</v>
      </c>
      <c r="BK94" s="36">
        <v>1300</v>
      </c>
      <c r="BL94" s="36" t="s">
        <v>214</v>
      </c>
      <c r="BM94" s="36"/>
      <c r="BN94" s="36"/>
    </row>
    <row r="95" spans="1:66" x14ac:dyDescent="0.35">
      <c r="A95" s="36"/>
      <c r="B95" s="36"/>
      <c r="C95" s="37">
        <v>244626</v>
      </c>
      <c r="D95" s="37">
        <v>244626</v>
      </c>
      <c r="E95" s="36"/>
      <c r="F95" s="36" t="s">
        <v>192</v>
      </c>
      <c r="G95" s="36" t="s">
        <v>1</v>
      </c>
      <c r="H95" s="36">
        <v>0</v>
      </c>
      <c r="I95" s="36" t="s">
        <v>193</v>
      </c>
      <c r="J95" s="36" t="s">
        <v>194</v>
      </c>
      <c r="K95" s="36" t="s">
        <v>195</v>
      </c>
      <c r="L95" s="36">
        <v>923</v>
      </c>
      <c r="M95" s="36"/>
      <c r="N95" s="36" t="s">
        <v>235</v>
      </c>
      <c r="O95" s="36" t="s">
        <v>236</v>
      </c>
      <c r="P95" s="36">
        <v>2</v>
      </c>
      <c r="Q95" s="36" t="s">
        <v>237</v>
      </c>
      <c r="R95" s="37">
        <v>244412</v>
      </c>
      <c r="S95" s="37">
        <v>244626</v>
      </c>
      <c r="T95" s="36" t="s">
        <v>610</v>
      </c>
      <c r="U95" s="36">
        <v>23067590</v>
      </c>
      <c r="V95" s="36" t="s">
        <v>113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  <c r="AB95" s="36">
        <v>0</v>
      </c>
      <c r="AC95" s="36">
        <v>0</v>
      </c>
      <c r="AD95" s="36">
        <v>0</v>
      </c>
      <c r="AE95" s="36">
        <v>0</v>
      </c>
      <c r="AF95" s="36">
        <v>0</v>
      </c>
      <c r="AG95" s="36"/>
      <c r="AH95" s="36"/>
      <c r="AI95" s="36" t="s">
        <v>200</v>
      </c>
      <c r="AJ95" s="36" t="s">
        <v>201</v>
      </c>
      <c r="AK95" s="36" t="s">
        <v>215</v>
      </c>
      <c r="AL95" s="36" t="s">
        <v>203</v>
      </c>
      <c r="AM95" s="36" t="s">
        <v>204</v>
      </c>
      <c r="AN95" s="36" t="s">
        <v>222</v>
      </c>
      <c r="AO95" s="36" t="s">
        <v>206</v>
      </c>
      <c r="AP95" s="36">
        <v>2</v>
      </c>
      <c r="AQ95" s="36"/>
      <c r="AR95" s="36"/>
      <c r="AS95" s="36"/>
      <c r="AT95" s="36" t="s">
        <v>247</v>
      </c>
      <c r="AU95" s="36" t="s">
        <v>609</v>
      </c>
      <c r="AV95" s="36" t="s">
        <v>209</v>
      </c>
      <c r="AW95" s="36" t="s">
        <v>209</v>
      </c>
      <c r="AX95" s="36" t="s">
        <v>210</v>
      </c>
      <c r="AY95" s="36">
        <v>0</v>
      </c>
      <c r="AZ95" s="36" t="s">
        <v>211</v>
      </c>
      <c r="BA95" s="36">
        <v>9044988632667</v>
      </c>
      <c r="BB95" s="36"/>
      <c r="BC95" s="36"/>
      <c r="BD95" s="36">
        <v>1</v>
      </c>
      <c r="BE95" s="36"/>
      <c r="BF95" s="36" t="s">
        <v>212</v>
      </c>
      <c r="BG95" s="36">
        <v>1333314600</v>
      </c>
      <c r="BH95" s="36" t="s">
        <v>213</v>
      </c>
      <c r="BI95" s="36">
        <v>0</v>
      </c>
      <c r="BJ95" s="36">
        <v>0</v>
      </c>
      <c r="BK95" s="36">
        <v>1300</v>
      </c>
      <c r="BL95" s="36" t="s">
        <v>214</v>
      </c>
      <c r="BM95" s="36"/>
      <c r="BN95" s="36"/>
    </row>
    <row r="96" spans="1:66" x14ac:dyDescent="0.35">
      <c r="A96" s="36"/>
      <c r="B96" s="36"/>
      <c r="C96" s="37">
        <v>244626</v>
      </c>
      <c r="D96" s="37">
        <v>244626</v>
      </c>
      <c r="E96" s="36"/>
      <c r="F96" s="36" t="s">
        <v>192</v>
      </c>
      <c r="G96" s="36" t="s">
        <v>1</v>
      </c>
      <c r="H96" s="36">
        <v>0</v>
      </c>
      <c r="I96" s="36" t="s">
        <v>193</v>
      </c>
      <c r="J96" s="36" t="s">
        <v>194</v>
      </c>
      <c r="K96" s="36" t="s">
        <v>195</v>
      </c>
      <c r="L96" s="36">
        <v>923</v>
      </c>
      <c r="M96" s="36"/>
      <c r="N96" s="36" t="s">
        <v>239</v>
      </c>
      <c r="O96" s="36" t="s">
        <v>240</v>
      </c>
      <c r="P96" s="36">
        <v>2</v>
      </c>
      <c r="Q96" s="36" t="s">
        <v>241</v>
      </c>
      <c r="R96" s="37">
        <v>244412</v>
      </c>
      <c r="S96" s="37">
        <v>244626</v>
      </c>
      <c r="T96" s="36" t="s">
        <v>611</v>
      </c>
      <c r="U96" s="36">
        <v>23058584</v>
      </c>
      <c r="V96" s="36" t="s">
        <v>29</v>
      </c>
      <c r="W96" s="36">
        <v>180</v>
      </c>
      <c r="X96" s="36">
        <v>180</v>
      </c>
      <c r="Y96" s="36">
        <v>180</v>
      </c>
      <c r="Z96" s="36">
        <v>180</v>
      </c>
      <c r="AA96" s="36">
        <v>0</v>
      </c>
      <c r="AB96" s="36">
        <v>0</v>
      </c>
      <c r="AC96" s="36">
        <v>0</v>
      </c>
      <c r="AD96" s="36">
        <v>0</v>
      </c>
      <c r="AE96" s="36">
        <v>180</v>
      </c>
      <c r="AF96" s="36">
        <v>180</v>
      </c>
      <c r="AG96" s="36"/>
      <c r="AH96" s="36"/>
      <c r="AI96" s="36" t="s">
        <v>200</v>
      </c>
      <c r="AJ96" s="36" t="s">
        <v>201</v>
      </c>
      <c r="AK96" s="36" t="s">
        <v>215</v>
      </c>
      <c r="AL96" s="36" t="s">
        <v>203</v>
      </c>
      <c r="AM96" s="36" t="s">
        <v>204</v>
      </c>
      <c r="AN96" s="36" t="s">
        <v>222</v>
      </c>
      <c r="AO96" s="36" t="s">
        <v>206</v>
      </c>
      <c r="AP96" s="36">
        <v>2</v>
      </c>
      <c r="AQ96" s="36"/>
      <c r="AR96" s="36"/>
      <c r="AS96" s="36"/>
      <c r="AT96" s="36" t="s">
        <v>247</v>
      </c>
      <c r="AU96" s="36" t="s">
        <v>609</v>
      </c>
      <c r="AV96" s="36" t="s">
        <v>209</v>
      </c>
      <c r="AW96" s="36" t="s">
        <v>209</v>
      </c>
      <c r="AX96" s="36" t="s">
        <v>210</v>
      </c>
      <c r="AY96" s="36">
        <v>0</v>
      </c>
      <c r="AZ96" s="36" t="s">
        <v>211</v>
      </c>
      <c r="BA96" s="36">
        <v>9044988632688</v>
      </c>
      <c r="BB96" s="36"/>
      <c r="BC96" s="36"/>
      <c r="BD96" s="36">
        <v>1</v>
      </c>
      <c r="BE96" s="36"/>
      <c r="BF96" s="36" t="s">
        <v>212</v>
      </c>
      <c r="BG96" s="36">
        <v>1333314600</v>
      </c>
      <c r="BH96" s="36" t="s">
        <v>213</v>
      </c>
      <c r="BI96" s="36">
        <v>180</v>
      </c>
      <c r="BJ96" s="36">
        <v>180</v>
      </c>
      <c r="BK96" s="36">
        <v>1300</v>
      </c>
      <c r="BL96" s="36" t="s">
        <v>214</v>
      </c>
      <c r="BM96" s="36"/>
      <c r="BN96" s="36"/>
    </row>
    <row r="97" spans="1:66" x14ac:dyDescent="0.35">
      <c r="A97" s="36"/>
      <c r="B97" s="36"/>
      <c r="C97" s="37">
        <v>244626</v>
      </c>
      <c r="D97" s="37">
        <v>244626</v>
      </c>
      <c r="E97" s="36"/>
      <c r="F97" s="36" t="s">
        <v>192</v>
      </c>
      <c r="G97" s="36" t="s">
        <v>1</v>
      </c>
      <c r="H97" s="36">
        <v>0</v>
      </c>
      <c r="I97" s="36" t="s">
        <v>193</v>
      </c>
      <c r="J97" s="36" t="s">
        <v>194</v>
      </c>
      <c r="K97" s="36" t="s">
        <v>195</v>
      </c>
      <c r="L97" s="36">
        <v>923</v>
      </c>
      <c r="M97" s="36"/>
      <c r="N97" s="36" t="s">
        <v>239</v>
      </c>
      <c r="O97" s="36" t="s">
        <v>240</v>
      </c>
      <c r="P97" s="36">
        <v>2</v>
      </c>
      <c r="Q97" s="36" t="s">
        <v>241</v>
      </c>
      <c r="R97" s="37">
        <v>244412</v>
      </c>
      <c r="S97" s="37">
        <v>244626</v>
      </c>
      <c r="T97" s="36" t="s">
        <v>611</v>
      </c>
      <c r="U97" s="36">
        <v>23058589</v>
      </c>
      <c r="V97" s="36" t="s">
        <v>33</v>
      </c>
      <c r="W97" s="36">
        <v>50</v>
      </c>
      <c r="X97" s="36">
        <v>50</v>
      </c>
      <c r="Y97" s="36">
        <v>50</v>
      </c>
      <c r="Z97" s="36">
        <v>50</v>
      </c>
      <c r="AA97" s="36">
        <v>0</v>
      </c>
      <c r="AB97" s="36">
        <v>0</v>
      </c>
      <c r="AC97" s="36">
        <v>0</v>
      </c>
      <c r="AD97" s="36">
        <v>0</v>
      </c>
      <c r="AE97" s="36">
        <v>50</v>
      </c>
      <c r="AF97" s="36">
        <v>50</v>
      </c>
      <c r="AG97" s="36"/>
      <c r="AH97" s="36"/>
      <c r="AI97" s="36" t="s">
        <v>200</v>
      </c>
      <c r="AJ97" s="36" t="s">
        <v>201</v>
      </c>
      <c r="AK97" s="36" t="s">
        <v>215</v>
      </c>
      <c r="AL97" s="36" t="s">
        <v>203</v>
      </c>
      <c r="AM97" s="36" t="s">
        <v>204</v>
      </c>
      <c r="AN97" s="36" t="s">
        <v>222</v>
      </c>
      <c r="AO97" s="36" t="s">
        <v>206</v>
      </c>
      <c r="AP97" s="36">
        <v>2</v>
      </c>
      <c r="AQ97" s="36"/>
      <c r="AR97" s="36"/>
      <c r="AS97" s="36"/>
      <c r="AT97" s="36" t="s">
        <v>247</v>
      </c>
      <c r="AU97" s="36" t="s">
        <v>609</v>
      </c>
      <c r="AV97" s="36" t="s">
        <v>209</v>
      </c>
      <c r="AW97" s="36" t="s">
        <v>209</v>
      </c>
      <c r="AX97" s="36" t="s">
        <v>210</v>
      </c>
      <c r="AY97" s="36">
        <v>0</v>
      </c>
      <c r="AZ97" s="36" t="s">
        <v>211</v>
      </c>
      <c r="BA97" s="36">
        <v>9044988632688</v>
      </c>
      <c r="BB97" s="36"/>
      <c r="BC97" s="36"/>
      <c r="BD97" s="36">
        <v>1</v>
      </c>
      <c r="BE97" s="36"/>
      <c r="BF97" s="36" t="s">
        <v>212</v>
      </c>
      <c r="BG97" s="36">
        <v>1333314600</v>
      </c>
      <c r="BH97" s="36" t="s">
        <v>213</v>
      </c>
      <c r="BI97" s="36">
        <v>50</v>
      </c>
      <c r="BJ97" s="36">
        <v>50</v>
      </c>
      <c r="BK97" s="36">
        <v>1300</v>
      </c>
      <c r="BL97" s="36" t="s">
        <v>214</v>
      </c>
      <c r="BM97" s="36"/>
      <c r="BN97" s="36"/>
    </row>
    <row r="98" spans="1:66" x14ac:dyDescent="0.35">
      <c r="A98" s="36"/>
      <c r="B98" s="36"/>
      <c r="C98" s="37">
        <v>244626</v>
      </c>
      <c r="D98" s="37">
        <v>244626</v>
      </c>
      <c r="E98" s="36"/>
      <c r="F98" s="36" t="s">
        <v>192</v>
      </c>
      <c r="G98" s="36" t="s">
        <v>1</v>
      </c>
      <c r="H98" s="36">
        <v>0</v>
      </c>
      <c r="I98" s="36" t="s">
        <v>193</v>
      </c>
      <c r="J98" s="36" t="s">
        <v>194</v>
      </c>
      <c r="K98" s="36" t="s">
        <v>195</v>
      </c>
      <c r="L98" s="36">
        <v>923</v>
      </c>
      <c r="M98" s="36"/>
      <c r="N98" s="36" t="s">
        <v>239</v>
      </c>
      <c r="O98" s="36" t="s">
        <v>240</v>
      </c>
      <c r="P98" s="36">
        <v>2</v>
      </c>
      <c r="Q98" s="36" t="s">
        <v>241</v>
      </c>
      <c r="R98" s="37">
        <v>244412</v>
      </c>
      <c r="S98" s="37">
        <v>244626</v>
      </c>
      <c r="T98" s="36" t="s">
        <v>611</v>
      </c>
      <c r="U98" s="36">
        <v>23058555</v>
      </c>
      <c r="V98" s="36" t="s">
        <v>28</v>
      </c>
      <c r="W98" s="36">
        <v>400</v>
      </c>
      <c r="X98" s="36">
        <v>400</v>
      </c>
      <c r="Y98" s="36">
        <v>400</v>
      </c>
      <c r="Z98" s="36">
        <v>400</v>
      </c>
      <c r="AA98" s="36">
        <v>0</v>
      </c>
      <c r="AB98" s="36">
        <v>0</v>
      </c>
      <c r="AC98" s="36">
        <v>0</v>
      </c>
      <c r="AD98" s="36">
        <v>0</v>
      </c>
      <c r="AE98" s="36">
        <v>400</v>
      </c>
      <c r="AF98" s="36">
        <v>400</v>
      </c>
      <c r="AG98" s="36"/>
      <c r="AH98" s="36"/>
      <c r="AI98" s="36" t="s">
        <v>200</v>
      </c>
      <c r="AJ98" s="36" t="s">
        <v>201</v>
      </c>
      <c r="AK98" s="36" t="s">
        <v>215</v>
      </c>
      <c r="AL98" s="36" t="s">
        <v>203</v>
      </c>
      <c r="AM98" s="36" t="s">
        <v>204</v>
      </c>
      <c r="AN98" s="36" t="s">
        <v>222</v>
      </c>
      <c r="AO98" s="36" t="s">
        <v>206</v>
      </c>
      <c r="AP98" s="36">
        <v>2</v>
      </c>
      <c r="AQ98" s="36"/>
      <c r="AR98" s="36"/>
      <c r="AS98" s="36"/>
      <c r="AT98" s="36" t="s">
        <v>247</v>
      </c>
      <c r="AU98" s="36" t="s">
        <v>609</v>
      </c>
      <c r="AV98" s="36" t="s">
        <v>209</v>
      </c>
      <c r="AW98" s="36" t="s">
        <v>209</v>
      </c>
      <c r="AX98" s="36" t="s">
        <v>210</v>
      </c>
      <c r="AY98" s="36">
        <v>0</v>
      </c>
      <c r="AZ98" s="36" t="s">
        <v>211</v>
      </c>
      <c r="BA98" s="36">
        <v>9044988632688</v>
      </c>
      <c r="BB98" s="36"/>
      <c r="BC98" s="36"/>
      <c r="BD98" s="36">
        <v>1</v>
      </c>
      <c r="BE98" s="36"/>
      <c r="BF98" s="36" t="s">
        <v>212</v>
      </c>
      <c r="BG98" s="36">
        <v>1333314600</v>
      </c>
      <c r="BH98" s="36" t="s">
        <v>213</v>
      </c>
      <c r="BI98" s="36">
        <v>400</v>
      </c>
      <c r="BJ98" s="36">
        <v>400</v>
      </c>
      <c r="BK98" s="36">
        <v>1300</v>
      </c>
      <c r="BL98" s="36" t="s">
        <v>214</v>
      </c>
      <c r="BM98" s="36"/>
      <c r="BN98" s="36"/>
    </row>
    <row r="99" spans="1:66" x14ac:dyDescent="0.35">
      <c r="A99" s="36"/>
      <c r="B99" s="36"/>
      <c r="C99" s="37">
        <v>244626</v>
      </c>
      <c r="D99" s="37">
        <v>244626</v>
      </c>
      <c r="E99" s="36"/>
      <c r="F99" s="36" t="s">
        <v>192</v>
      </c>
      <c r="G99" s="36" t="s">
        <v>1</v>
      </c>
      <c r="H99" s="36">
        <v>0</v>
      </c>
      <c r="I99" s="36" t="s">
        <v>193</v>
      </c>
      <c r="J99" s="36" t="s">
        <v>194</v>
      </c>
      <c r="K99" s="36" t="s">
        <v>195</v>
      </c>
      <c r="L99" s="36">
        <v>923</v>
      </c>
      <c r="M99" s="36"/>
      <c r="N99" s="36" t="s">
        <v>239</v>
      </c>
      <c r="O99" s="36" t="s">
        <v>240</v>
      </c>
      <c r="P99" s="36">
        <v>2</v>
      </c>
      <c r="Q99" s="36" t="s">
        <v>241</v>
      </c>
      <c r="R99" s="37">
        <v>244412</v>
      </c>
      <c r="S99" s="37">
        <v>244626</v>
      </c>
      <c r="T99" s="36" t="s">
        <v>611</v>
      </c>
      <c r="U99" s="36">
        <v>23058552</v>
      </c>
      <c r="V99" s="36" t="s">
        <v>26</v>
      </c>
      <c r="W99" s="36">
        <v>50</v>
      </c>
      <c r="X99" s="36">
        <v>50</v>
      </c>
      <c r="Y99" s="36">
        <v>50</v>
      </c>
      <c r="Z99" s="36">
        <v>50</v>
      </c>
      <c r="AA99" s="36">
        <v>0</v>
      </c>
      <c r="AB99" s="36">
        <v>0</v>
      </c>
      <c r="AC99" s="36">
        <v>0</v>
      </c>
      <c r="AD99" s="36">
        <v>0</v>
      </c>
      <c r="AE99" s="36">
        <v>50</v>
      </c>
      <c r="AF99" s="36">
        <v>50</v>
      </c>
      <c r="AG99" s="36"/>
      <c r="AH99" s="36"/>
      <c r="AI99" s="36" t="s">
        <v>200</v>
      </c>
      <c r="AJ99" s="36" t="s">
        <v>201</v>
      </c>
      <c r="AK99" s="36" t="s">
        <v>215</v>
      </c>
      <c r="AL99" s="36" t="s">
        <v>203</v>
      </c>
      <c r="AM99" s="36" t="s">
        <v>204</v>
      </c>
      <c r="AN99" s="36" t="s">
        <v>222</v>
      </c>
      <c r="AO99" s="36" t="s">
        <v>206</v>
      </c>
      <c r="AP99" s="36">
        <v>2</v>
      </c>
      <c r="AQ99" s="36"/>
      <c r="AR99" s="36"/>
      <c r="AS99" s="36"/>
      <c r="AT99" s="36" t="s">
        <v>247</v>
      </c>
      <c r="AU99" s="36" t="s">
        <v>609</v>
      </c>
      <c r="AV99" s="36" t="s">
        <v>209</v>
      </c>
      <c r="AW99" s="36" t="s">
        <v>209</v>
      </c>
      <c r="AX99" s="36" t="s">
        <v>210</v>
      </c>
      <c r="AY99" s="36">
        <v>0</v>
      </c>
      <c r="AZ99" s="36" t="s">
        <v>211</v>
      </c>
      <c r="BA99" s="36">
        <v>9044988632688</v>
      </c>
      <c r="BB99" s="36"/>
      <c r="BC99" s="36"/>
      <c r="BD99" s="36">
        <v>1</v>
      </c>
      <c r="BE99" s="36"/>
      <c r="BF99" s="36" t="s">
        <v>212</v>
      </c>
      <c r="BG99" s="36">
        <v>1333314600</v>
      </c>
      <c r="BH99" s="36" t="s">
        <v>213</v>
      </c>
      <c r="BI99" s="36">
        <v>50</v>
      </c>
      <c r="BJ99" s="36">
        <v>50</v>
      </c>
      <c r="BK99" s="36">
        <v>1300</v>
      </c>
      <c r="BL99" s="36" t="s">
        <v>214</v>
      </c>
      <c r="BM99" s="36"/>
      <c r="BN99" s="36"/>
    </row>
    <row r="100" spans="1:66" x14ac:dyDescent="0.35">
      <c r="A100" s="36"/>
      <c r="B100" s="36"/>
      <c r="C100" s="37">
        <v>244626</v>
      </c>
      <c r="D100" s="37">
        <v>244626</v>
      </c>
      <c r="E100" s="36"/>
      <c r="F100" s="36" t="s">
        <v>192</v>
      </c>
      <c r="G100" s="36" t="s">
        <v>1</v>
      </c>
      <c r="H100" s="36">
        <v>0</v>
      </c>
      <c r="I100" s="36" t="s">
        <v>193</v>
      </c>
      <c r="J100" s="36" t="s">
        <v>194</v>
      </c>
      <c r="K100" s="36" t="s">
        <v>195</v>
      </c>
      <c r="L100" s="36">
        <v>923</v>
      </c>
      <c r="M100" s="36"/>
      <c r="N100" s="36" t="s">
        <v>239</v>
      </c>
      <c r="O100" s="36" t="s">
        <v>240</v>
      </c>
      <c r="P100" s="36">
        <v>2</v>
      </c>
      <c r="Q100" s="36" t="s">
        <v>241</v>
      </c>
      <c r="R100" s="37">
        <v>244412</v>
      </c>
      <c r="S100" s="37">
        <v>244626</v>
      </c>
      <c r="T100" s="36" t="s">
        <v>611</v>
      </c>
      <c r="U100" s="36">
        <v>23062111</v>
      </c>
      <c r="V100" s="36" t="s">
        <v>110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  <c r="AB100" s="36">
        <v>0</v>
      </c>
      <c r="AC100" s="36">
        <v>0</v>
      </c>
      <c r="AD100" s="36">
        <v>0</v>
      </c>
      <c r="AE100" s="36">
        <v>0</v>
      </c>
      <c r="AF100" s="36">
        <v>0</v>
      </c>
      <c r="AG100" s="36"/>
      <c r="AH100" s="36"/>
      <c r="AI100" s="36" t="s">
        <v>200</v>
      </c>
      <c r="AJ100" s="36" t="s">
        <v>201</v>
      </c>
      <c r="AK100" s="36" t="s">
        <v>215</v>
      </c>
      <c r="AL100" s="36" t="s">
        <v>203</v>
      </c>
      <c r="AM100" s="36" t="s">
        <v>204</v>
      </c>
      <c r="AN100" s="36" t="s">
        <v>222</v>
      </c>
      <c r="AO100" s="36" t="s">
        <v>206</v>
      </c>
      <c r="AP100" s="36">
        <v>2</v>
      </c>
      <c r="AQ100" s="36"/>
      <c r="AR100" s="36"/>
      <c r="AS100" s="36"/>
      <c r="AT100" s="36" t="s">
        <v>247</v>
      </c>
      <c r="AU100" s="36" t="s">
        <v>609</v>
      </c>
      <c r="AV100" s="36" t="s">
        <v>209</v>
      </c>
      <c r="AW100" s="36" t="s">
        <v>209</v>
      </c>
      <c r="AX100" s="36" t="s">
        <v>210</v>
      </c>
      <c r="AY100" s="36">
        <v>0</v>
      </c>
      <c r="AZ100" s="36" t="s">
        <v>211</v>
      </c>
      <c r="BA100" s="36">
        <v>9044988632688</v>
      </c>
      <c r="BB100" s="36"/>
      <c r="BC100" s="36"/>
      <c r="BD100" s="36">
        <v>1</v>
      </c>
      <c r="BE100" s="36"/>
      <c r="BF100" s="36" t="s">
        <v>212</v>
      </c>
      <c r="BG100" s="36">
        <v>1333314600</v>
      </c>
      <c r="BH100" s="36" t="s">
        <v>213</v>
      </c>
      <c r="BI100" s="36">
        <v>0</v>
      </c>
      <c r="BJ100" s="36">
        <v>0</v>
      </c>
      <c r="BK100" s="36">
        <v>1300</v>
      </c>
      <c r="BL100" s="36" t="s">
        <v>214</v>
      </c>
      <c r="BM100" s="36"/>
      <c r="BN100" s="36"/>
    </row>
    <row r="101" spans="1:66" x14ac:dyDescent="0.35">
      <c r="A101" s="36"/>
      <c r="B101" s="36"/>
      <c r="C101" s="37">
        <v>244626</v>
      </c>
      <c r="D101" s="37">
        <v>244626</v>
      </c>
      <c r="E101" s="36"/>
      <c r="F101" s="36" t="s">
        <v>192</v>
      </c>
      <c r="G101" s="36" t="s">
        <v>1</v>
      </c>
      <c r="H101" s="36">
        <v>0</v>
      </c>
      <c r="I101" s="36" t="s">
        <v>193</v>
      </c>
      <c r="J101" s="36" t="s">
        <v>194</v>
      </c>
      <c r="K101" s="36" t="s">
        <v>195</v>
      </c>
      <c r="L101" s="36">
        <v>923</v>
      </c>
      <c r="M101" s="36"/>
      <c r="N101" s="36" t="s">
        <v>239</v>
      </c>
      <c r="O101" s="36" t="s">
        <v>240</v>
      </c>
      <c r="P101" s="36">
        <v>2</v>
      </c>
      <c r="Q101" s="36" t="s">
        <v>241</v>
      </c>
      <c r="R101" s="37">
        <v>244412</v>
      </c>
      <c r="S101" s="37">
        <v>244626</v>
      </c>
      <c r="T101" s="36" t="s">
        <v>611</v>
      </c>
      <c r="U101" s="36">
        <v>23105702</v>
      </c>
      <c r="V101" s="36" t="s">
        <v>72</v>
      </c>
      <c r="W101" s="36">
        <v>60</v>
      </c>
      <c r="X101" s="36">
        <v>300</v>
      </c>
      <c r="Y101" s="36">
        <v>60</v>
      </c>
      <c r="Z101" s="36">
        <v>300</v>
      </c>
      <c r="AA101" s="36">
        <v>0</v>
      </c>
      <c r="AB101" s="36">
        <v>0</v>
      </c>
      <c r="AC101" s="36">
        <v>0</v>
      </c>
      <c r="AD101" s="36">
        <v>0</v>
      </c>
      <c r="AE101" s="36">
        <v>60</v>
      </c>
      <c r="AF101" s="36">
        <v>300</v>
      </c>
      <c r="AG101" s="36"/>
      <c r="AH101" s="36"/>
      <c r="AI101" s="36" t="s">
        <v>200</v>
      </c>
      <c r="AJ101" s="36" t="s">
        <v>201</v>
      </c>
      <c r="AK101" s="36" t="s">
        <v>202</v>
      </c>
      <c r="AL101" s="36" t="s">
        <v>203</v>
      </c>
      <c r="AM101" s="36" t="s">
        <v>204</v>
      </c>
      <c r="AN101" s="36" t="s">
        <v>222</v>
      </c>
      <c r="AO101" s="36" t="s">
        <v>206</v>
      </c>
      <c r="AP101" s="36">
        <v>2</v>
      </c>
      <c r="AQ101" s="36"/>
      <c r="AR101" s="36"/>
      <c r="AS101" s="36"/>
      <c r="AT101" s="36" t="s">
        <v>247</v>
      </c>
      <c r="AU101" s="36" t="s">
        <v>609</v>
      </c>
      <c r="AV101" s="36" t="s">
        <v>217</v>
      </c>
      <c r="AW101" s="36" t="s">
        <v>209</v>
      </c>
      <c r="AX101" s="36" t="s">
        <v>210</v>
      </c>
      <c r="AY101" s="36">
        <v>0</v>
      </c>
      <c r="AZ101" s="36" t="s">
        <v>211</v>
      </c>
      <c r="BA101" s="36">
        <v>9044988632688</v>
      </c>
      <c r="BB101" s="36"/>
      <c r="BC101" s="36"/>
      <c r="BD101" s="36">
        <v>1</v>
      </c>
      <c r="BE101" s="36"/>
      <c r="BF101" s="36" t="s">
        <v>212</v>
      </c>
      <c r="BG101" s="36">
        <v>1333314600</v>
      </c>
      <c r="BH101" s="36" t="s">
        <v>213</v>
      </c>
      <c r="BI101" s="36">
        <v>60</v>
      </c>
      <c r="BJ101" s="36">
        <v>300</v>
      </c>
      <c r="BK101" s="36">
        <v>1300</v>
      </c>
      <c r="BL101" s="36" t="s">
        <v>214</v>
      </c>
      <c r="BM101" s="36"/>
      <c r="BN101" s="36"/>
    </row>
    <row r="102" spans="1:66" x14ac:dyDescent="0.35">
      <c r="A102" s="36"/>
      <c r="B102" s="36"/>
      <c r="C102" s="37">
        <v>244626</v>
      </c>
      <c r="D102" s="37">
        <v>244626</v>
      </c>
      <c r="E102" s="36"/>
      <c r="F102" s="36" t="s">
        <v>192</v>
      </c>
      <c r="G102" s="36" t="s">
        <v>1</v>
      </c>
      <c r="H102" s="36">
        <v>0</v>
      </c>
      <c r="I102" s="36" t="s">
        <v>193</v>
      </c>
      <c r="J102" s="36" t="s">
        <v>194</v>
      </c>
      <c r="K102" s="36" t="s">
        <v>195</v>
      </c>
      <c r="L102" s="36">
        <v>923</v>
      </c>
      <c r="M102" s="36"/>
      <c r="N102" s="36" t="s">
        <v>239</v>
      </c>
      <c r="O102" s="36" t="s">
        <v>240</v>
      </c>
      <c r="P102" s="36">
        <v>2</v>
      </c>
      <c r="Q102" s="36" t="s">
        <v>241</v>
      </c>
      <c r="R102" s="37">
        <v>244412</v>
      </c>
      <c r="S102" s="37">
        <v>244626</v>
      </c>
      <c r="T102" s="36" t="s">
        <v>611</v>
      </c>
      <c r="U102" s="36">
        <v>23058556</v>
      </c>
      <c r="V102" s="36" t="s">
        <v>112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  <c r="AB102" s="36">
        <v>0</v>
      </c>
      <c r="AC102" s="36">
        <v>0</v>
      </c>
      <c r="AD102" s="36">
        <v>0</v>
      </c>
      <c r="AE102" s="36">
        <v>0</v>
      </c>
      <c r="AF102" s="36">
        <v>0</v>
      </c>
      <c r="AG102" s="36"/>
      <c r="AH102" s="36"/>
      <c r="AI102" s="36" t="s">
        <v>200</v>
      </c>
      <c r="AJ102" s="36" t="s">
        <v>201</v>
      </c>
      <c r="AK102" s="36" t="s">
        <v>215</v>
      </c>
      <c r="AL102" s="36" t="s">
        <v>203</v>
      </c>
      <c r="AM102" s="36" t="s">
        <v>204</v>
      </c>
      <c r="AN102" s="36" t="s">
        <v>222</v>
      </c>
      <c r="AO102" s="36" t="s">
        <v>206</v>
      </c>
      <c r="AP102" s="36">
        <v>2</v>
      </c>
      <c r="AQ102" s="36"/>
      <c r="AR102" s="36"/>
      <c r="AS102" s="36"/>
      <c r="AT102" s="36" t="s">
        <v>247</v>
      </c>
      <c r="AU102" s="36" t="s">
        <v>609</v>
      </c>
      <c r="AV102" s="36" t="s">
        <v>209</v>
      </c>
      <c r="AW102" s="36" t="s">
        <v>209</v>
      </c>
      <c r="AX102" s="36" t="s">
        <v>210</v>
      </c>
      <c r="AY102" s="36">
        <v>0</v>
      </c>
      <c r="AZ102" s="36" t="s">
        <v>211</v>
      </c>
      <c r="BA102" s="36">
        <v>9044988632688</v>
      </c>
      <c r="BB102" s="36"/>
      <c r="BC102" s="36"/>
      <c r="BD102" s="36">
        <v>1</v>
      </c>
      <c r="BE102" s="36"/>
      <c r="BF102" s="36" t="s">
        <v>212</v>
      </c>
      <c r="BG102" s="36">
        <v>1333314600</v>
      </c>
      <c r="BH102" s="36" t="s">
        <v>213</v>
      </c>
      <c r="BI102" s="36">
        <v>0</v>
      </c>
      <c r="BJ102" s="36">
        <v>0</v>
      </c>
      <c r="BK102" s="36">
        <v>1300</v>
      </c>
      <c r="BL102" s="36" t="s">
        <v>214</v>
      </c>
      <c r="BM102" s="36"/>
      <c r="BN102" s="36"/>
    </row>
    <row r="103" spans="1:66" x14ac:dyDescent="0.35">
      <c r="A103" s="36"/>
      <c r="B103" s="36"/>
      <c r="C103" s="37">
        <v>244626</v>
      </c>
      <c r="D103" s="37">
        <v>244626</v>
      </c>
      <c r="E103" s="36"/>
      <c r="F103" s="36" t="s">
        <v>192</v>
      </c>
      <c r="G103" s="36" t="s">
        <v>1</v>
      </c>
      <c r="H103" s="36">
        <v>0</v>
      </c>
      <c r="I103" s="36" t="s">
        <v>193</v>
      </c>
      <c r="J103" s="36" t="s">
        <v>194</v>
      </c>
      <c r="K103" s="36" t="s">
        <v>195</v>
      </c>
      <c r="L103" s="36">
        <v>923</v>
      </c>
      <c r="M103" s="36"/>
      <c r="N103" s="36" t="s">
        <v>239</v>
      </c>
      <c r="O103" s="36" t="s">
        <v>240</v>
      </c>
      <c r="P103" s="36">
        <v>2</v>
      </c>
      <c r="Q103" s="36" t="s">
        <v>241</v>
      </c>
      <c r="R103" s="37">
        <v>244412</v>
      </c>
      <c r="S103" s="37">
        <v>244626</v>
      </c>
      <c r="T103" s="36" t="s">
        <v>611</v>
      </c>
      <c r="U103" s="36">
        <v>23000130</v>
      </c>
      <c r="V103" s="36" t="s">
        <v>427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  <c r="AB103" s="36">
        <v>0</v>
      </c>
      <c r="AC103" s="36">
        <v>0</v>
      </c>
      <c r="AD103" s="36">
        <v>0</v>
      </c>
      <c r="AE103" s="36">
        <v>0</v>
      </c>
      <c r="AF103" s="36">
        <v>0</v>
      </c>
      <c r="AG103" s="36"/>
      <c r="AH103" s="36"/>
      <c r="AI103" s="36" t="s">
        <v>200</v>
      </c>
      <c r="AJ103" s="36" t="s">
        <v>201</v>
      </c>
      <c r="AK103" s="36" t="s">
        <v>202</v>
      </c>
      <c r="AL103" s="36" t="s">
        <v>203</v>
      </c>
      <c r="AM103" s="36" t="s">
        <v>204</v>
      </c>
      <c r="AN103" s="36" t="s">
        <v>222</v>
      </c>
      <c r="AO103" s="36" t="s">
        <v>206</v>
      </c>
      <c r="AP103" s="36">
        <v>2</v>
      </c>
      <c r="AQ103" s="36"/>
      <c r="AR103" s="36"/>
      <c r="AS103" s="36"/>
      <c r="AT103" s="36" t="s">
        <v>247</v>
      </c>
      <c r="AU103" s="36" t="s">
        <v>609</v>
      </c>
      <c r="AV103" s="36" t="s">
        <v>209</v>
      </c>
      <c r="AW103" s="36" t="s">
        <v>209</v>
      </c>
      <c r="AX103" s="36" t="s">
        <v>210</v>
      </c>
      <c r="AY103" s="36">
        <v>0</v>
      </c>
      <c r="AZ103" s="36" t="s">
        <v>211</v>
      </c>
      <c r="BA103" s="36">
        <v>9044988632688</v>
      </c>
      <c r="BB103" s="36"/>
      <c r="BC103" s="36"/>
      <c r="BD103" s="36">
        <v>1</v>
      </c>
      <c r="BE103" s="36"/>
      <c r="BF103" s="36" t="s">
        <v>212</v>
      </c>
      <c r="BG103" s="36">
        <v>1333314600</v>
      </c>
      <c r="BH103" s="36" t="s">
        <v>213</v>
      </c>
      <c r="BI103" s="36">
        <v>0</v>
      </c>
      <c r="BJ103" s="36">
        <v>0</v>
      </c>
      <c r="BK103" s="36">
        <v>1300</v>
      </c>
      <c r="BL103" s="36" t="s">
        <v>214</v>
      </c>
      <c r="BM103" s="36"/>
      <c r="BN103" s="36"/>
    </row>
    <row r="104" spans="1:66" x14ac:dyDescent="0.35">
      <c r="A104" s="36"/>
      <c r="B104" s="36"/>
      <c r="C104" s="37">
        <v>244626</v>
      </c>
      <c r="D104" s="37">
        <v>244626</v>
      </c>
      <c r="E104" s="36"/>
      <c r="F104" s="36" t="s">
        <v>192</v>
      </c>
      <c r="G104" s="36" t="s">
        <v>1</v>
      </c>
      <c r="H104" s="36">
        <v>0</v>
      </c>
      <c r="I104" s="36" t="s">
        <v>193</v>
      </c>
      <c r="J104" s="36" t="s">
        <v>194</v>
      </c>
      <c r="K104" s="36" t="s">
        <v>195</v>
      </c>
      <c r="L104" s="36">
        <v>923</v>
      </c>
      <c r="M104" s="36"/>
      <c r="N104" s="36" t="s">
        <v>239</v>
      </c>
      <c r="O104" s="36" t="s">
        <v>240</v>
      </c>
      <c r="P104" s="36">
        <v>2</v>
      </c>
      <c r="Q104" s="36" t="s">
        <v>241</v>
      </c>
      <c r="R104" s="37">
        <v>244412</v>
      </c>
      <c r="S104" s="37">
        <v>244626</v>
      </c>
      <c r="T104" s="36" t="s">
        <v>611</v>
      </c>
      <c r="U104" s="36">
        <v>23015265</v>
      </c>
      <c r="V104" s="36" t="s">
        <v>16</v>
      </c>
      <c r="W104" s="36">
        <v>150</v>
      </c>
      <c r="X104" s="36">
        <v>150</v>
      </c>
      <c r="Y104" s="36">
        <v>150</v>
      </c>
      <c r="Z104" s="36">
        <v>150</v>
      </c>
      <c r="AA104" s="36">
        <v>0</v>
      </c>
      <c r="AB104" s="36">
        <v>0</v>
      </c>
      <c r="AC104" s="36">
        <v>0</v>
      </c>
      <c r="AD104" s="36">
        <v>0</v>
      </c>
      <c r="AE104" s="36">
        <v>150</v>
      </c>
      <c r="AF104" s="36">
        <v>150</v>
      </c>
      <c r="AG104" s="36"/>
      <c r="AH104" s="36"/>
      <c r="AI104" s="36" t="s">
        <v>200</v>
      </c>
      <c r="AJ104" s="36" t="s">
        <v>201</v>
      </c>
      <c r="AK104" s="36" t="s">
        <v>202</v>
      </c>
      <c r="AL104" s="36" t="s">
        <v>203</v>
      </c>
      <c r="AM104" s="36" t="s">
        <v>204</v>
      </c>
      <c r="AN104" s="36" t="s">
        <v>222</v>
      </c>
      <c r="AO104" s="36" t="s">
        <v>206</v>
      </c>
      <c r="AP104" s="36">
        <v>2</v>
      </c>
      <c r="AQ104" s="36"/>
      <c r="AR104" s="36"/>
      <c r="AS104" s="36"/>
      <c r="AT104" s="36" t="s">
        <v>247</v>
      </c>
      <c r="AU104" s="36" t="s">
        <v>609</v>
      </c>
      <c r="AV104" s="36" t="s">
        <v>209</v>
      </c>
      <c r="AW104" s="36" t="s">
        <v>209</v>
      </c>
      <c r="AX104" s="36" t="s">
        <v>210</v>
      </c>
      <c r="AY104" s="36">
        <v>0</v>
      </c>
      <c r="AZ104" s="36" t="s">
        <v>211</v>
      </c>
      <c r="BA104" s="36">
        <v>9044988632688</v>
      </c>
      <c r="BB104" s="36"/>
      <c r="BC104" s="36"/>
      <c r="BD104" s="36">
        <v>1</v>
      </c>
      <c r="BE104" s="36"/>
      <c r="BF104" s="36" t="s">
        <v>212</v>
      </c>
      <c r="BG104" s="36">
        <v>1333314600</v>
      </c>
      <c r="BH104" s="36" t="s">
        <v>213</v>
      </c>
      <c r="BI104" s="36">
        <v>150</v>
      </c>
      <c r="BJ104" s="36">
        <v>150</v>
      </c>
      <c r="BK104" s="36">
        <v>1300</v>
      </c>
      <c r="BL104" s="36" t="s">
        <v>214</v>
      </c>
      <c r="BM104" s="36"/>
      <c r="BN104" s="36"/>
    </row>
    <row r="105" spans="1:66" x14ac:dyDescent="0.35">
      <c r="A105" s="36"/>
      <c r="B105" s="36"/>
      <c r="C105" s="37">
        <v>244626</v>
      </c>
      <c r="D105" s="37">
        <v>244626</v>
      </c>
      <c r="E105" s="36"/>
      <c r="F105" s="36" t="s">
        <v>192</v>
      </c>
      <c r="G105" s="36" t="s">
        <v>1</v>
      </c>
      <c r="H105" s="36">
        <v>0</v>
      </c>
      <c r="I105" s="36" t="s">
        <v>193</v>
      </c>
      <c r="J105" s="36" t="s">
        <v>194</v>
      </c>
      <c r="K105" s="36" t="s">
        <v>195</v>
      </c>
      <c r="L105" s="36">
        <v>923</v>
      </c>
      <c r="M105" s="36"/>
      <c r="N105" s="36" t="s">
        <v>239</v>
      </c>
      <c r="O105" s="36" t="s">
        <v>240</v>
      </c>
      <c r="P105" s="36">
        <v>2</v>
      </c>
      <c r="Q105" s="36" t="s">
        <v>241</v>
      </c>
      <c r="R105" s="37">
        <v>244412</v>
      </c>
      <c r="S105" s="37">
        <v>244626</v>
      </c>
      <c r="T105" s="36" t="s">
        <v>611</v>
      </c>
      <c r="U105" s="36">
        <v>23086658</v>
      </c>
      <c r="V105" s="36" t="s">
        <v>53</v>
      </c>
      <c r="W105" s="36">
        <v>150</v>
      </c>
      <c r="X105" s="36">
        <v>150</v>
      </c>
      <c r="Y105" s="36">
        <v>150</v>
      </c>
      <c r="Z105" s="36">
        <v>150</v>
      </c>
      <c r="AA105" s="36">
        <v>0</v>
      </c>
      <c r="AB105" s="36">
        <v>0</v>
      </c>
      <c r="AC105" s="36">
        <v>0</v>
      </c>
      <c r="AD105" s="36">
        <v>0</v>
      </c>
      <c r="AE105" s="36">
        <v>150</v>
      </c>
      <c r="AF105" s="36">
        <v>150</v>
      </c>
      <c r="AG105" s="36"/>
      <c r="AH105" s="36"/>
      <c r="AI105" s="36" t="s">
        <v>200</v>
      </c>
      <c r="AJ105" s="36" t="s">
        <v>201</v>
      </c>
      <c r="AK105" s="36" t="s">
        <v>202</v>
      </c>
      <c r="AL105" s="36" t="s">
        <v>203</v>
      </c>
      <c r="AM105" s="36" t="s">
        <v>204</v>
      </c>
      <c r="AN105" s="36" t="s">
        <v>222</v>
      </c>
      <c r="AO105" s="36" t="s">
        <v>206</v>
      </c>
      <c r="AP105" s="36">
        <v>2</v>
      </c>
      <c r="AQ105" s="36"/>
      <c r="AR105" s="36"/>
      <c r="AS105" s="36"/>
      <c r="AT105" s="36" t="s">
        <v>247</v>
      </c>
      <c r="AU105" s="36" t="s">
        <v>609</v>
      </c>
      <c r="AV105" s="36" t="s">
        <v>209</v>
      </c>
      <c r="AW105" s="36" t="s">
        <v>209</v>
      </c>
      <c r="AX105" s="36" t="s">
        <v>210</v>
      </c>
      <c r="AY105" s="36">
        <v>0</v>
      </c>
      <c r="AZ105" s="36" t="s">
        <v>211</v>
      </c>
      <c r="BA105" s="36">
        <v>9044988632688</v>
      </c>
      <c r="BB105" s="36"/>
      <c r="BC105" s="36"/>
      <c r="BD105" s="36">
        <v>1</v>
      </c>
      <c r="BE105" s="36"/>
      <c r="BF105" s="36" t="s">
        <v>212</v>
      </c>
      <c r="BG105" s="36">
        <v>1333314600</v>
      </c>
      <c r="BH105" s="36" t="s">
        <v>213</v>
      </c>
      <c r="BI105" s="36">
        <v>150</v>
      </c>
      <c r="BJ105" s="36">
        <v>150</v>
      </c>
      <c r="BK105" s="36">
        <v>1300</v>
      </c>
      <c r="BL105" s="36" t="s">
        <v>214</v>
      </c>
      <c r="BM105" s="36"/>
      <c r="BN105" s="36"/>
    </row>
    <row r="106" spans="1:66" x14ac:dyDescent="0.35">
      <c r="A106" s="36"/>
      <c r="B106" s="36"/>
      <c r="C106" s="37">
        <v>244626</v>
      </c>
      <c r="D106" s="37">
        <v>244626</v>
      </c>
      <c r="E106" s="36"/>
      <c r="F106" s="36" t="s">
        <v>192</v>
      </c>
      <c r="G106" s="36" t="s">
        <v>1</v>
      </c>
      <c r="H106" s="36">
        <v>0</v>
      </c>
      <c r="I106" s="36" t="s">
        <v>193</v>
      </c>
      <c r="J106" s="36" t="s">
        <v>194</v>
      </c>
      <c r="K106" s="36" t="s">
        <v>195</v>
      </c>
      <c r="L106" s="36">
        <v>923</v>
      </c>
      <c r="M106" s="36"/>
      <c r="N106" s="36" t="s">
        <v>239</v>
      </c>
      <c r="O106" s="36" t="s">
        <v>240</v>
      </c>
      <c r="P106" s="36">
        <v>2</v>
      </c>
      <c r="Q106" s="36" t="s">
        <v>241</v>
      </c>
      <c r="R106" s="37">
        <v>244412</v>
      </c>
      <c r="S106" s="37">
        <v>244626</v>
      </c>
      <c r="T106" s="36" t="s">
        <v>611</v>
      </c>
      <c r="U106" s="36">
        <v>23065143</v>
      </c>
      <c r="V106" s="36" t="s">
        <v>43</v>
      </c>
      <c r="W106" s="36">
        <v>100</v>
      </c>
      <c r="X106" s="36">
        <v>100</v>
      </c>
      <c r="Y106" s="36">
        <v>100</v>
      </c>
      <c r="Z106" s="36">
        <v>100</v>
      </c>
      <c r="AA106" s="36">
        <v>0</v>
      </c>
      <c r="AB106" s="36">
        <v>0</v>
      </c>
      <c r="AC106" s="36">
        <v>0</v>
      </c>
      <c r="AD106" s="36">
        <v>0</v>
      </c>
      <c r="AE106" s="36">
        <v>100</v>
      </c>
      <c r="AF106" s="36">
        <v>100</v>
      </c>
      <c r="AG106" s="36"/>
      <c r="AH106" s="36"/>
      <c r="AI106" s="36" t="s">
        <v>200</v>
      </c>
      <c r="AJ106" s="36" t="s">
        <v>201</v>
      </c>
      <c r="AK106" s="36" t="s">
        <v>202</v>
      </c>
      <c r="AL106" s="36" t="s">
        <v>203</v>
      </c>
      <c r="AM106" s="36" t="s">
        <v>204</v>
      </c>
      <c r="AN106" s="36" t="s">
        <v>222</v>
      </c>
      <c r="AO106" s="36" t="s">
        <v>206</v>
      </c>
      <c r="AP106" s="36">
        <v>2</v>
      </c>
      <c r="AQ106" s="36"/>
      <c r="AR106" s="36"/>
      <c r="AS106" s="36"/>
      <c r="AT106" s="36" t="s">
        <v>247</v>
      </c>
      <c r="AU106" s="36" t="s">
        <v>609</v>
      </c>
      <c r="AV106" s="36" t="s">
        <v>209</v>
      </c>
      <c r="AW106" s="36" t="s">
        <v>209</v>
      </c>
      <c r="AX106" s="36" t="s">
        <v>210</v>
      </c>
      <c r="AY106" s="36">
        <v>0</v>
      </c>
      <c r="AZ106" s="36" t="s">
        <v>211</v>
      </c>
      <c r="BA106" s="36">
        <v>9044988632688</v>
      </c>
      <c r="BB106" s="36"/>
      <c r="BC106" s="36"/>
      <c r="BD106" s="36">
        <v>1</v>
      </c>
      <c r="BE106" s="36"/>
      <c r="BF106" s="36" t="s">
        <v>212</v>
      </c>
      <c r="BG106" s="36">
        <v>1333314600</v>
      </c>
      <c r="BH106" s="36" t="s">
        <v>213</v>
      </c>
      <c r="BI106" s="36">
        <v>100</v>
      </c>
      <c r="BJ106" s="36">
        <v>100</v>
      </c>
      <c r="BK106" s="36">
        <v>1300</v>
      </c>
      <c r="BL106" s="36" t="s">
        <v>214</v>
      </c>
      <c r="BM106" s="36"/>
      <c r="BN106" s="36"/>
    </row>
    <row r="107" spans="1:66" x14ac:dyDescent="0.35">
      <c r="A107" s="36"/>
      <c r="B107" s="36"/>
      <c r="C107" s="37">
        <v>244626</v>
      </c>
      <c r="D107" s="37">
        <v>244626</v>
      </c>
      <c r="E107" s="36"/>
      <c r="F107" s="36" t="s">
        <v>192</v>
      </c>
      <c r="G107" s="36" t="s">
        <v>1</v>
      </c>
      <c r="H107" s="36">
        <v>0</v>
      </c>
      <c r="I107" s="36" t="s">
        <v>193</v>
      </c>
      <c r="J107" s="36" t="s">
        <v>194</v>
      </c>
      <c r="K107" s="36" t="s">
        <v>195</v>
      </c>
      <c r="L107" s="36">
        <v>923</v>
      </c>
      <c r="M107" s="36"/>
      <c r="N107" s="36" t="s">
        <v>239</v>
      </c>
      <c r="O107" s="36" t="s">
        <v>240</v>
      </c>
      <c r="P107" s="36">
        <v>2</v>
      </c>
      <c r="Q107" s="36" t="s">
        <v>241</v>
      </c>
      <c r="R107" s="37">
        <v>244412</v>
      </c>
      <c r="S107" s="37">
        <v>244626</v>
      </c>
      <c r="T107" s="36" t="s">
        <v>611</v>
      </c>
      <c r="U107" s="36">
        <v>23058586</v>
      </c>
      <c r="V107" s="36" t="s">
        <v>31</v>
      </c>
      <c r="W107" s="36">
        <v>10</v>
      </c>
      <c r="X107" s="36">
        <v>10</v>
      </c>
      <c r="Y107" s="36">
        <v>10</v>
      </c>
      <c r="Z107" s="36">
        <v>10</v>
      </c>
      <c r="AA107" s="36">
        <v>0</v>
      </c>
      <c r="AB107" s="36">
        <v>0</v>
      </c>
      <c r="AC107" s="36">
        <v>0</v>
      </c>
      <c r="AD107" s="36">
        <v>0</v>
      </c>
      <c r="AE107" s="36">
        <v>10</v>
      </c>
      <c r="AF107" s="36">
        <v>10</v>
      </c>
      <c r="AG107" s="36"/>
      <c r="AH107" s="36"/>
      <c r="AI107" s="36" t="s">
        <v>200</v>
      </c>
      <c r="AJ107" s="36" t="s">
        <v>201</v>
      </c>
      <c r="AK107" s="36" t="s">
        <v>215</v>
      </c>
      <c r="AL107" s="36" t="s">
        <v>203</v>
      </c>
      <c r="AM107" s="36" t="s">
        <v>204</v>
      </c>
      <c r="AN107" s="36" t="s">
        <v>222</v>
      </c>
      <c r="AO107" s="36" t="s">
        <v>206</v>
      </c>
      <c r="AP107" s="36">
        <v>2</v>
      </c>
      <c r="AQ107" s="36"/>
      <c r="AR107" s="36"/>
      <c r="AS107" s="36"/>
      <c r="AT107" s="36" t="s">
        <v>247</v>
      </c>
      <c r="AU107" s="36" t="s">
        <v>609</v>
      </c>
      <c r="AV107" s="36" t="s">
        <v>209</v>
      </c>
      <c r="AW107" s="36" t="s">
        <v>209</v>
      </c>
      <c r="AX107" s="36" t="s">
        <v>210</v>
      </c>
      <c r="AY107" s="36">
        <v>0</v>
      </c>
      <c r="AZ107" s="36" t="s">
        <v>211</v>
      </c>
      <c r="BA107" s="36">
        <v>9044988632688</v>
      </c>
      <c r="BB107" s="36"/>
      <c r="BC107" s="36"/>
      <c r="BD107" s="36">
        <v>1</v>
      </c>
      <c r="BE107" s="36"/>
      <c r="BF107" s="36" t="s">
        <v>212</v>
      </c>
      <c r="BG107" s="36">
        <v>1333314600</v>
      </c>
      <c r="BH107" s="36" t="s">
        <v>213</v>
      </c>
      <c r="BI107" s="36">
        <v>10</v>
      </c>
      <c r="BJ107" s="36">
        <v>10</v>
      </c>
      <c r="BK107" s="36">
        <v>1300</v>
      </c>
      <c r="BL107" s="36" t="s">
        <v>214</v>
      </c>
      <c r="BM107" s="36"/>
      <c r="BN107" s="36"/>
    </row>
    <row r="108" spans="1:66" x14ac:dyDescent="0.35">
      <c r="A108" s="36"/>
      <c r="B108" s="36"/>
      <c r="C108" s="37">
        <v>244626</v>
      </c>
      <c r="D108" s="37">
        <v>244626</v>
      </c>
      <c r="E108" s="36"/>
      <c r="F108" s="36" t="s">
        <v>192</v>
      </c>
      <c r="G108" s="36" t="s">
        <v>1</v>
      </c>
      <c r="H108" s="36">
        <v>0</v>
      </c>
      <c r="I108" s="36" t="s">
        <v>193</v>
      </c>
      <c r="J108" s="36" t="s">
        <v>194</v>
      </c>
      <c r="K108" s="36" t="s">
        <v>195</v>
      </c>
      <c r="L108" s="36">
        <v>923</v>
      </c>
      <c r="M108" s="36"/>
      <c r="N108" s="36" t="s">
        <v>239</v>
      </c>
      <c r="O108" s="36" t="s">
        <v>240</v>
      </c>
      <c r="P108" s="36">
        <v>2</v>
      </c>
      <c r="Q108" s="36" t="s">
        <v>241</v>
      </c>
      <c r="R108" s="37">
        <v>244412</v>
      </c>
      <c r="S108" s="37">
        <v>244626</v>
      </c>
      <c r="T108" s="36" t="s">
        <v>611</v>
      </c>
      <c r="U108" s="36">
        <v>23015268</v>
      </c>
      <c r="V108" s="36" t="s">
        <v>359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  <c r="AB108" s="36">
        <v>0</v>
      </c>
      <c r="AC108" s="36">
        <v>0</v>
      </c>
      <c r="AD108" s="36">
        <v>0</v>
      </c>
      <c r="AE108" s="36">
        <v>0</v>
      </c>
      <c r="AF108" s="36">
        <v>0</v>
      </c>
      <c r="AG108" s="36"/>
      <c r="AH108" s="36"/>
      <c r="AI108" s="36" t="s">
        <v>200</v>
      </c>
      <c r="AJ108" s="36" t="s">
        <v>201</v>
      </c>
      <c r="AK108" s="36" t="s">
        <v>202</v>
      </c>
      <c r="AL108" s="36" t="s">
        <v>203</v>
      </c>
      <c r="AM108" s="36" t="s">
        <v>204</v>
      </c>
      <c r="AN108" s="36" t="s">
        <v>222</v>
      </c>
      <c r="AO108" s="36" t="s">
        <v>206</v>
      </c>
      <c r="AP108" s="36">
        <v>2</v>
      </c>
      <c r="AQ108" s="36"/>
      <c r="AR108" s="36"/>
      <c r="AS108" s="36"/>
      <c r="AT108" s="36" t="s">
        <v>247</v>
      </c>
      <c r="AU108" s="36" t="s">
        <v>609</v>
      </c>
      <c r="AV108" s="36" t="s">
        <v>209</v>
      </c>
      <c r="AW108" s="36" t="s">
        <v>209</v>
      </c>
      <c r="AX108" s="36" t="s">
        <v>210</v>
      </c>
      <c r="AY108" s="36">
        <v>0</v>
      </c>
      <c r="AZ108" s="36" t="s">
        <v>211</v>
      </c>
      <c r="BA108" s="36">
        <v>9044988632688</v>
      </c>
      <c r="BB108" s="36"/>
      <c r="BC108" s="36"/>
      <c r="BD108" s="36">
        <v>1</v>
      </c>
      <c r="BE108" s="36"/>
      <c r="BF108" s="36" t="s">
        <v>212</v>
      </c>
      <c r="BG108" s="36">
        <v>1333314600</v>
      </c>
      <c r="BH108" s="36" t="s">
        <v>213</v>
      </c>
      <c r="BI108" s="36">
        <v>0</v>
      </c>
      <c r="BJ108" s="36">
        <v>0</v>
      </c>
      <c r="BK108" s="36">
        <v>1300</v>
      </c>
      <c r="BL108" s="36" t="s">
        <v>214</v>
      </c>
      <c r="BM108" s="36"/>
      <c r="BN108" s="36"/>
    </row>
    <row r="109" spans="1:66" x14ac:dyDescent="0.35">
      <c r="A109" s="36"/>
      <c r="B109" s="36"/>
      <c r="C109" s="37">
        <v>244626</v>
      </c>
      <c r="D109" s="37">
        <v>244626</v>
      </c>
      <c r="E109" s="36"/>
      <c r="F109" s="36" t="s">
        <v>192</v>
      </c>
      <c r="G109" s="36" t="s">
        <v>1</v>
      </c>
      <c r="H109" s="36">
        <v>0</v>
      </c>
      <c r="I109" s="36" t="s">
        <v>193</v>
      </c>
      <c r="J109" s="36" t="s">
        <v>194</v>
      </c>
      <c r="K109" s="36" t="s">
        <v>195</v>
      </c>
      <c r="L109" s="36">
        <v>923</v>
      </c>
      <c r="M109" s="36"/>
      <c r="N109" s="36" t="s">
        <v>239</v>
      </c>
      <c r="O109" s="36" t="s">
        <v>240</v>
      </c>
      <c r="P109" s="36">
        <v>2</v>
      </c>
      <c r="Q109" s="36" t="s">
        <v>241</v>
      </c>
      <c r="R109" s="37">
        <v>244412</v>
      </c>
      <c r="S109" s="37">
        <v>244626</v>
      </c>
      <c r="T109" s="36" t="s">
        <v>611</v>
      </c>
      <c r="U109" s="36">
        <v>23057824</v>
      </c>
      <c r="V109" s="36" t="s">
        <v>23</v>
      </c>
      <c r="W109" s="36">
        <v>50</v>
      </c>
      <c r="X109" s="36">
        <v>50</v>
      </c>
      <c r="Y109" s="36">
        <v>50</v>
      </c>
      <c r="Z109" s="36">
        <v>50</v>
      </c>
      <c r="AA109" s="36">
        <v>0</v>
      </c>
      <c r="AB109" s="36">
        <v>0</v>
      </c>
      <c r="AC109" s="36">
        <v>0</v>
      </c>
      <c r="AD109" s="36">
        <v>0</v>
      </c>
      <c r="AE109" s="36">
        <v>50</v>
      </c>
      <c r="AF109" s="36">
        <v>50</v>
      </c>
      <c r="AG109" s="36"/>
      <c r="AH109" s="36"/>
      <c r="AI109" s="36" t="s">
        <v>200</v>
      </c>
      <c r="AJ109" s="36" t="s">
        <v>201</v>
      </c>
      <c r="AK109" s="36" t="s">
        <v>202</v>
      </c>
      <c r="AL109" s="36" t="s">
        <v>203</v>
      </c>
      <c r="AM109" s="36" t="s">
        <v>204</v>
      </c>
      <c r="AN109" s="36" t="s">
        <v>222</v>
      </c>
      <c r="AO109" s="36" t="s">
        <v>206</v>
      </c>
      <c r="AP109" s="36">
        <v>2</v>
      </c>
      <c r="AQ109" s="36"/>
      <c r="AR109" s="36"/>
      <c r="AS109" s="36"/>
      <c r="AT109" s="36" t="s">
        <v>247</v>
      </c>
      <c r="AU109" s="36" t="s">
        <v>609</v>
      </c>
      <c r="AV109" s="36" t="s">
        <v>209</v>
      </c>
      <c r="AW109" s="36" t="s">
        <v>209</v>
      </c>
      <c r="AX109" s="36" t="s">
        <v>210</v>
      </c>
      <c r="AY109" s="36">
        <v>0</v>
      </c>
      <c r="AZ109" s="36" t="s">
        <v>211</v>
      </c>
      <c r="BA109" s="36">
        <v>9044988632688</v>
      </c>
      <c r="BB109" s="36"/>
      <c r="BC109" s="36"/>
      <c r="BD109" s="36">
        <v>1</v>
      </c>
      <c r="BE109" s="36"/>
      <c r="BF109" s="36" t="s">
        <v>212</v>
      </c>
      <c r="BG109" s="36">
        <v>1333314600</v>
      </c>
      <c r="BH109" s="36" t="s">
        <v>213</v>
      </c>
      <c r="BI109" s="36">
        <v>50</v>
      </c>
      <c r="BJ109" s="36">
        <v>50</v>
      </c>
      <c r="BK109" s="36">
        <v>1300</v>
      </c>
      <c r="BL109" s="36" t="s">
        <v>214</v>
      </c>
      <c r="BM109" s="36"/>
      <c r="BN109" s="36"/>
    </row>
    <row r="110" spans="1:66" x14ac:dyDescent="0.35">
      <c r="A110" s="36"/>
      <c r="B110" s="36"/>
      <c r="C110" s="37">
        <v>244626</v>
      </c>
      <c r="D110" s="37">
        <v>244626</v>
      </c>
      <c r="E110" s="36"/>
      <c r="F110" s="36" t="s">
        <v>192</v>
      </c>
      <c r="G110" s="36" t="s">
        <v>1</v>
      </c>
      <c r="H110" s="36">
        <v>0</v>
      </c>
      <c r="I110" s="36" t="s">
        <v>193</v>
      </c>
      <c r="J110" s="36" t="s">
        <v>194</v>
      </c>
      <c r="K110" s="36" t="s">
        <v>195</v>
      </c>
      <c r="L110" s="36">
        <v>923</v>
      </c>
      <c r="M110" s="36"/>
      <c r="N110" s="36" t="s">
        <v>239</v>
      </c>
      <c r="O110" s="36" t="s">
        <v>240</v>
      </c>
      <c r="P110" s="36">
        <v>2</v>
      </c>
      <c r="Q110" s="36" t="s">
        <v>241</v>
      </c>
      <c r="R110" s="37">
        <v>244412</v>
      </c>
      <c r="S110" s="37">
        <v>244626</v>
      </c>
      <c r="T110" s="36" t="s">
        <v>611</v>
      </c>
      <c r="U110" s="36">
        <v>23057812</v>
      </c>
      <c r="V110" s="36" t="s">
        <v>19</v>
      </c>
      <c r="W110" s="36">
        <v>200</v>
      </c>
      <c r="X110" s="36">
        <v>200</v>
      </c>
      <c r="Y110" s="36">
        <v>200</v>
      </c>
      <c r="Z110" s="36">
        <v>200</v>
      </c>
      <c r="AA110" s="36">
        <v>0</v>
      </c>
      <c r="AB110" s="36">
        <v>0</v>
      </c>
      <c r="AC110" s="36">
        <v>0</v>
      </c>
      <c r="AD110" s="36">
        <v>0</v>
      </c>
      <c r="AE110" s="36">
        <v>200</v>
      </c>
      <c r="AF110" s="36">
        <v>200</v>
      </c>
      <c r="AG110" s="36"/>
      <c r="AH110" s="36"/>
      <c r="AI110" s="36" t="s">
        <v>200</v>
      </c>
      <c r="AJ110" s="36" t="s">
        <v>201</v>
      </c>
      <c r="AK110" s="36" t="s">
        <v>202</v>
      </c>
      <c r="AL110" s="36" t="s">
        <v>203</v>
      </c>
      <c r="AM110" s="36" t="s">
        <v>204</v>
      </c>
      <c r="AN110" s="36" t="s">
        <v>222</v>
      </c>
      <c r="AO110" s="36" t="s">
        <v>206</v>
      </c>
      <c r="AP110" s="36">
        <v>2</v>
      </c>
      <c r="AQ110" s="36"/>
      <c r="AR110" s="36"/>
      <c r="AS110" s="36"/>
      <c r="AT110" s="36" t="s">
        <v>247</v>
      </c>
      <c r="AU110" s="36" t="s">
        <v>609</v>
      </c>
      <c r="AV110" s="36" t="s">
        <v>209</v>
      </c>
      <c r="AW110" s="36" t="s">
        <v>209</v>
      </c>
      <c r="AX110" s="36" t="s">
        <v>210</v>
      </c>
      <c r="AY110" s="36">
        <v>0</v>
      </c>
      <c r="AZ110" s="36" t="s">
        <v>211</v>
      </c>
      <c r="BA110" s="36">
        <v>9044988632688</v>
      </c>
      <c r="BB110" s="36"/>
      <c r="BC110" s="36"/>
      <c r="BD110" s="36">
        <v>1</v>
      </c>
      <c r="BE110" s="36"/>
      <c r="BF110" s="36" t="s">
        <v>212</v>
      </c>
      <c r="BG110" s="36">
        <v>1333314600</v>
      </c>
      <c r="BH110" s="36" t="s">
        <v>213</v>
      </c>
      <c r="BI110" s="36">
        <v>200</v>
      </c>
      <c r="BJ110" s="36">
        <v>200</v>
      </c>
      <c r="BK110" s="36">
        <v>1300</v>
      </c>
      <c r="BL110" s="36" t="s">
        <v>214</v>
      </c>
      <c r="BM110" s="36"/>
      <c r="BN110" s="36"/>
    </row>
    <row r="111" spans="1:66" x14ac:dyDescent="0.35">
      <c r="A111" s="36"/>
      <c r="B111" s="36"/>
      <c r="C111" s="37">
        <v>244626</v>
      </c>
      <c r="D111" s="37">
        <v>244626</v>
      </c>
      <c r="E111" s="36"/>
      <c r="F111" s="36" t="s">
        <v>192</v>
      </c>
      <c r="G111" s="36" t="s">
        <v>1</v>
      </c>
      <c r="H111" s="36">
        <v>0</v>
      </c>
      <c r="I111" s="36" t="s">
        <v>193</v>
      </c>
      <c r="J111" s="36" t="s">
        <v>194</v>
      </c>
      <c r="K111" s="36" t="s">
        <v>195</v>
      </c>
      <c r="L111" s="36">
        <v>923</v>
      </c>
      <c r="M111" s="36"/>
      <c r="N111" s="36" t="s">
        <v>239</v>
      </c>
      <c r="O111" s="36" t="s">
        <v>240</v>
      </c>
      <c r="P111" s="36">
        <v>2</v>
      </c>
      <c r="Q111" s="36" t="s">
        <v>241</v>
      </c>
      <c r="R111" s="37">
        <v>244412</v>
      </c>
      <c r="S111" s="37">
        <v>244626</v>
      </c>
      <c r="T111" s="36" t="s">
        <v>611</v>
      </c>
      <c r="U111" s="36">
        <v>23058587</v>
      </c>
      <c r="V111" s="36" t="s">
        <v>32</v>
      </c>
      <c r="W111" s="36">
        <v>5</v>
      </c>
      <c r="X111" s="36">
        <v>5</v>
      </c>
      <c r="Y111" s="36">
        <v>5</v>
      </c>
      <c r="Z111" s="36">
        <v>5</v>
      </c>
      <c r="AA111" s="36">
        <v>0</v>
      </c>
      <c r="AB111" s="36">
        <v>0</v>
      </c>
      <c r="AC111" s="36">
        <v>0</v>
      </c>
      <c r="AD111" s="36">
        <v>0</v>
      </c>
      <c r="AE111" s="36">
        <v>5</v>
      </c>
      <c r="AF111" s="36">
        <v>5</v>
      </c>
      <c r="AG111" s="36"/>
      <c r="AH111" s="36"/>
      <c r="AI111" s="36" t="s">
        <v>200</v>
      </c>
      <c r="AJ111" s="36" t="s">
        <v>201</v>
      </c>
      <c r="AK111" s="36" t="s">
        <v>215</v>
      </c>
      <c r="AL111" s="36" t="s">
        <v>203</v>
      </c>
      <c r="AM111" s="36" t="s">
        <v>204</v>
      </c>
      <c r="AN111" s="36" t="s">
        <v>222</v>
      </c>
      <c r="AO111" s="36" t="s">
        <v>206</v>
      </c>
      <c r="AP111" s="36">
        <v>2</v>
      </c>
      <c r="AQ111" s="36"/>
      <c r="AR111" s="36"/>
      <c r="AS111" s="36"/>
      <c r="AT111" s="36" t="s">
        <v>247</v>
      </c>
      <c r="AU111" s="36" t="s">
        <v>609</v>
      </c>
      <c r="AV111" s="36" t="s">
        <v>209</v>
      </c>
      <c r="AW111" s="36" t="s">
        <v>209</v>
      </c>
      <c r="AX111" s="36" t="s">
        <v>210</v>
      </c>
      <c r="AY111" s="36">
        <v>0</v>
      </c>
      <c r="AZ111" s="36" t="s">
        <v>211</v>
      </c>
      <c r="BA111" s="36">
        <v>9044988632688</v>
      </c>
      <c r="BB111" s="36"/>
      <c r="BC111" s="36"/>
      <c r="BD111" s="36">
        <v>1</v>
      </c>
      <c r="BE111" s="36"/>
      <c r="BF111" s="36" t="s">
        <v>212</v>
      </c>
      <c r="BG111" s="36">
        <v>1333314600</v>
      </c>
      <c r="BH111" s="36" t="s">
        <v>213</v>
      </c>
      <c r="BI111" s="36">
        <v>5</v>
      </c>
      <c r="BJ111" s="36">
        <v>5</v>
      </c>
      <c r="BK111" s="36">
        <v>1300</v>
      </c>
      <c r="BL111" s="36" t="s">
        <v>214</v>
      </c>
      <c r="BM111" s="36"/>
      <c r="BN111" s="36"/>
    </row>
    <row r="112" spans="1:66" x14ac:dyDescent="0.35">
      <c r="A112" s="36"/>
      <c r="B112" s="36"/>
      <c r="C112" s="37">
        <v>244626</v>
      </c>
      <c r="D112" s="37">
        <v>244626</v>
      </c>
      <c r="E112" s="36"/>
      <c r="F112" s="36" t="s">
        <v>192</v>
      </c>
      <c r="G112" s="36" t="s">
        <v>1</v>
      </c>
      <c r="H112" s="36">
        <v>0</v>
      </c>
      <c r="I112" s="36" t="s">
        <v>193</v>
      </c>
      <c r="J112" s="36" t="s">
        <v>194</v>
      </c>
      <c r="K112" s="36" t="s">
        <v>195</v>
      </c>
      <c r="L112" s="36">
        <v>923</v>
      </c>
      <c r="M112" s="36"/>
      <c r="N112" s="36" t="s">
        <v>239</v>
      </c>
      <c r="O112" s="36" t="s">
        <v>240</v>
      </c>
      <c r="P112" s="36">
        <v>2</v>
      </c>
      <c r="Q112" s="36" t="s">
        <v>241</v>
      </c>
      <c r="R112" s="37">
        <v>244412</v>
      </c>
      <c r="S112" s="37">
        <v>244626</v>
      </c>
      <c r="T112" s="36" t="s">
        <v>611</v>
      </c>
      <c r="U112" s="36">
        <v>23058590</v>
      </c>
      <c r="V112" s="36" t="s">
        <v>34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  <c r="AB112" s="36">
        <v>0</v>
      </c>
      <c r="AC112" s="36">
        <v>0</v>
      </c>
      <c r="AD112" s="36">
        <v>0</v>
      </c>
      <c r="AE112" s="36">
        <v>0</v>
      </c>
      <c r="AF112" s="36">
        <v>0</v>
      </c>
      <c r="AG112" s="36"/>
      <c r="AH112" s="36"/>
      <c r="AI112" s="36" t="s">
        <v>200</v>
      </c>
      <c r="AJ112" s="36" t="s">
        <v>201</v>
      </c>
      <c r="AK112" s="36" t="s">
        <v>215</v>
      </c>
      <c r="AL112" s="36" t="s">
        <v>203</v>
      </c>
      <c r="AM112" s="36" t="s">
        <v>204</v>
      </c>
      <c r="AN112" s="36" t="s">
        <v>222</v>
      </c>
      <c r="AO112" s="36" t="s">
        <v>206</v>
      </c>
      <c r="AP112" s="36">
        <v>2</v>
      </c>
      <c r="AQ112" s="36"/>
      <c r="AR112" s="36"/>
      <c r="AS112" s="36"/>
      <c r="AT112" s="36" t="s">
        <v>247</v>
      </c>
      <c r="AU112" s="36" t="s">
        <v>609</v>
      </c>
      <c r="AV112" s="36" t="s">
        <v>209</v>
      </c>
      <c r="AW112" s="36" t="s">
        <v>209</v>
      </c>
      <c r="AX112" s="36" t="s">
        <v>210</v>
      </c>
      <c r="AY112" s="36">
        <v>0</v>
      </c>
      <c r="AZ112" s="36" t="s">
        <v>211</v>
      </c>
      <c r="BA112" s="36">
        <v>9044988632688</v>
      </c>
      <c r="BB112" s="36"/>
      <c r="BC112" s="36"/>
      <c r="BD112" s="36">
        <v>1</v>
      </c>
      <c r="BE112" s="36"/>
      <c r="BF112" s="36" t="s">
        <v>212</v>
      </c>
      <c r="BG112" s="36">
        <v>1333314600</v>
      </c>
      <c r="BH112" s="36" t="s">
        <v>213</v>
      </c>
      <c r="BI112" s="36">
        <v>0</v>
      </c>
      <c r="BJ112" s="36">
        <v>0</v>
      </c>
      <c r="BK112" s="36">
        <v>1300</v>
      </c>
      <c r="BL112" s="36" t="s">
        <v>214</v>
      </c>
      <c r="BM112" s="36"/>
      <c r="BN112" s="36"/>
    </row>
    <row r="113" spans="1:66" x14ac:dyDescent="0.35">
      <c r="A113" s="36"/>
      <c r="B113" s="36"/>
      <c r="C113" s="37">
        <v>244626</v>
      </c>
      <c r="D113" s="37">
        <v>244626</v>
      </c>
      <c r="E113" s="36"/>
      <c r="F113" s="36" t="s">
        <v>192</v>
      </c>
      <c r="G113" s="36" t="s">
        <v>1</v>
      </c>
      <c r="H113" s="36">
        <v>0</v>
      </c>
      <c r="I113" s="36" t="s">
        <v>193</v>
      </c>
      <c r="J113" s="36" t="s">
        <v>194</v>
      </c>
      <c r="K113" s="36" t="s">
        <v>195</v>
      </c>
      <c r="L113" s="36">
        <v>923</v>
      </c>
      <c r="M113" s="36"/>
      <c r="N113" s="36" t="s">
        <v>239</v>
      </c>
      <c r="O113" s="36" t="s">
        <v>240</v>
      </c>
      <c r="P113" s="36">
        <v>2</v>
      </c>
      <c r="Q113" s="36" t="s">
        <v>241</v>
      </c>
      <c r="R113" s="37">
        <v>244412</v>
      </c>
      <c r="S113" s="37">
        <v>244626</v>
      </c>
      <c r="T113" s="36" t="s">
        <v>611</v>
      </c>
      <c r="U113" s="36">
        <v>23000206</v>
      </c>
      <c r="V113" s="36" t="s">
        <v>15</v>
      </c>
      <c r="W113" s="36">
        <v>10</v>
      </c>
      <c r="X113" s="36">
        <v>10</v>
      </c>
      <c r="Y113" s="36">
        <v>10</v>
      </c>
      <c r="Z113" s="36">
        <v>10</v>
      </c>
      <c r="AA113" s="36">
        <v>0</v>
      </c>
      <c r="AB113" s="36">
        <v>0</v>
      </c>
      <c r="AC113" s="36">
        <v>0</v>
      </c>
      <c r="AD113" s="36">
        <v>0</v>
      </c>
      <c r="AE113" s="36">
        <v>10</v>
      </c>
      <c r="AF113" s="36">
        <v>10</v>
      </c>
      <c r="AG113" s="36"/>
      <c r="AH113" s="36"/>
      <c r="AI113" s="36" t="s">
        <v>200</v>
      </c>
      <c r="AJ113" s="36" t="s">
        <v>201</v>
      </c>
      <c r="AK113" s="36" t="s">
        <v>215</v>
      </c>
      <c r="AL113" s="36" t="s">
        <v>203</v>
      </c>
      <c r="AM113" s="36" t="s">
        <v>204</v>
      </c>
      <c r="AN113" s="36" t="s">
        <v>222</v>
      </c>
      <c r="AO113" s="36" t="s">
        <v>206</v>
      </c>
      <c r="AP113" s="36">
        <v>2</v>
      </c>
      <c r="AQ113" s="36"/>
      <c r="AR113" s="36"/>
      <c r="AS113" s="36"/>
      <c r="AT113" s="36" t="s">
        <v>247</v>
      </c>
      <c r="AU113" s="36" t="s">
        <v>609</v>
      </c>
      <c r="AV113" s="36" t="s">
        <v>209</v>
      </c>
      <c r="AW113" s="36" t="s">
        <v>209</v>
      </c>
      <c r="AX113" s="36" t="s">
        <v>210</v>
      </c>
      <c r="AY113" s="36">
        <v>0</v>
      </c>
      <c r="AZ113" s="36" t="s">
        <v>211</v>
      </c>
      <c r="BA113" s="36">
        <v>9044988632688</v>
      </c>
      <c r="BB113" s="36"/>
      <c r="BC113" s="36"/>
      <c r="BD113" s="36">
        <v>1</v>
      </c>
      <c r="BE113" s="36"/>
      <c r="BF113" s="36" t="s">
        <v>212</v>
      </c>
      <c r="BG113" s="36">
        <v>1333314600</v>
      </c>
      <c r="BH113" s="36" t="s">
        <v>213</v>
      </c>
      <c r="BI113" s="36">
        <v>10</v>
      </c>
      <c r="BJ113" s="36">
        <v>10</v>
      </c>
      <c r="BK113" s="36">
        <v>1300</v>
      </c>
      <c r="BL113" s="36" t="s">
        <v>214</v>
      </c>
      <c r="BM113" s="36"/>
      <c r="BN113" s="36"/>
    </row>
    <row r="114" spans="1:66" x14ac:dyDescent="0.35">
      <c r="A114" s="36"/>
      <c r="B114" s="36"/>
      <c r="C114" s="37">
        <v>244626</v>
      </c>
      <c r="D114" s="37">
        <v>244626</v>
      </c>
      <c r="E114" s="36"/>
      <c r="F114" s="36" t="s">
        <v>192</v>
      </c>
      <c r="G114" s="36" t="s">
        <v>1</v>
      </c>
      <c r="H114" s="36">
        <v>0</v>
      </c>
      <c r="I114" s="36" t="s">
        <v>193</v>
      </c>
      <c r="J114" s="36" t="s">
        <v>194</v>
      </c>
      <c r="K114" s="36" t="s">
        <v>195</v>
      </c>
      <c r="L114" s="36">
        <v>923</v>
      </c>
      <c r="M114" s="36"/>
      <c r="N114" s="36" t="s">
        <v>239</v>
      </c>
      <c r="O114" s="36" t="s">
        <v>240</v>
      </c>
      <c r="P114" s="36">
        <v>2</v>
      </c>
      <c r="Q114" s="36" t="s">
        <v>241</v>
      </c>
      <c r="R114" s="37">
        <v>244412</v>
      </c>
      <c r="S114" s="37">
        <v>244626</v>
      </c>
      <c r="T114" s="36" t="s">
        <v>611</v>
      </c>
      <c r="U114" s="36">
        <v>23057818</v>
      </c>
      <c r="V114" s="36" t="s">
        <v>21</v>
      </c>
      <c r="W114" s="36">
        <v>80</v>
      </c>
      <c r="X114" s="36">
        <v>80</v>
      </c>
      <c r="Y114" s="36">
        <v>80</v>
      </c>
      <c r="Z114" s="36">
        <v>80</v>
      </c>
      <c r="AA114" s="36">
        <v>0</v>
      </c>
      <c r="AB114" s="36">
        <v>0</v>
      </c>
      <c r="AC114" s="36">
        <v>0</v>
      </c>
      <c r="AD114" s="36">
        <v>0</v>
      </c>
      <c r="AE114" s="36">
        <v>80</v>
      </c>
      <c r="AF114" s="36">
        <v>80</v>
      </c>
      <c r="AG114" s="36"/>
      <c r="AH114" s="36"/>
      <c r="AI114" s="36" t="s">
        <v>200</v>
      </c>
      <c r="AJ114" s="36" t="s">
        <v>201</v>
      </c>
      <c r="AK114" s="36" t="s">
        <v>202</v>
      </c>
      <c r="AL114" s="36" t="s">
        <v>203</v>
      </c>
      <c r="AM114" s="36" t="s">
        <v>204</v>
      </c>
      <c r="AN114" s="36" t="s">
        <v>222</v>
      </c>
      <c r="AO114" s="36" t="s">
        <v>206</v>
      </c>
      <c r="AP114" s="36">
        <v>2</v>
      </c>
      <c r="AQ114" s="36"/>
      <c r="AR114" s="36"/>
      <c r="AS114" s="36"/>
      <c r="AT114" s="36" t="s">
        <v>247</v>
      </c>
      <c r="AU114" s="36" t="s">
        <v>609</v>
      </c>
      <c r="AV114" s="36" t="s">
        <v>209</v>
      </c>
      <c r="AW114" s="36" t="s">
        <v>209</v>
      </c>
      <c r="AX114" s="36" t="s">
        <v>210</v>
      </c>
      <c r="AY114" s="36">
        <v>0</v>
      </c>
      <c r="AZ114" s="36" t="s">
        <v>211</v>
      </c>
      <c r="BA114" s="36">
        <v>9044988632688</v>
      </c>
      <c r="BB114" s="36"/>
      <c r="BC114" s="36"/>
      <c r="BD114" s="36">
        <v>1</v>
      </c>
      <c r="BE114" s="36"/>
      <c r="BF114" s="36" t="s">
        <v>212</v>
      </c>
      <c r="BG114" s="36">
        <v>1333314600</v>
      </c>
      <c r="BH114" s="36" t="s">
        <v>213</v>
      </c>
      <c r="BI114" s="36">
        <v>80</v>
      </c>
      <c r="BJ114" s="36">
        <v>80</v>
      </c>
      <c r="BK114" s="36">
        <v>1300</v>
      </c>
      <c r="BL114" s="36" t="s">
        <v>214</v>
      </c>
      <c r="BM114" s="36"/>
      <c r="BN114" s="36"/>
    </row>
    <row r="115" spans="1:66" x14ac:dyDescent="0.35">
      <c r="A115" s="36"/>
      <c r="B115" s="36"/>
      <c r="C115" s="37">
        <v>244626</v>
      </c>
      <c r="D115" s="37">
        <v>244626</v>
      </c>
      <c r="E115" s="36"/>
      <c r="F115" s="36" t="s">
        <v>192</v>
      </c>
      <c r="G115" s="36" t="s">
        <v>1</v>
      </c>
      <c r="H115" s="36">
        <v>0</v>
      </c>
      <c r="I115" s="36" t="s">
        <v>193</v>
      </c>
      <c r="J115" s="36" t="s">
        <v>194</v>
      </c>
      <c r="K115" s="36" t="s">
        <v>195</v>
      </c>
      <c r="L115" s="36">
        <v>923</v>
      </c>
      <c r="M115" s="36"/>
      <c r="N115" s="36" t="s">
        <v>239</v>
      </c>
      <c r="O115" s="36" t="s">
        <v>240</v>
      </c>
      <c r="P115" s="36">
        <v>2</v>
      </c>
      <c r="Q115" s="36" t="s">
        <v>241</v>
      </c>
      <c r="R115" s="37">
        <v>244412</v>
      </c>
      <c r="S115" s="37">
        <v>244626</v>
      </c>
      <c r="T115" s="36" t="s">
        <v>611</v>
      </c>
      <c r="U115" s="36">
        <v>23093507</v>
      </c>
      <c r="V115" s="36" t="s">
        <v>126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  <c r="AB115" s="36">
        <v>0</v>
      </c>
      <c r="AC115" s="36">
        <v>0</v>
      </c>
      <c r="AD115" s="36">
        <v>0</v>
      </c>
      <c r="AE115" s="36">
        <v>0</v>
      </c>
      <c r="AF115" s="36">
        <v>0</v>
      </c>
      <c r="AG115" s="36"/>
      <c r="AH115" s="36"/>
      <c r="AI115" s="36" t="s">
        <v>200</v>
      </c>
      <c r="AJ115" s="36" t="s">
        <v>201</v>
      </c>
      <c r="AK115" s="36" t="s">
        <v>215</v>
      </c>
      <c r="AL115" s="36" t="s">
        <v>203</v>
      </c>
      <c r="AM115" s="36" t="s">
        <v>204</v>
      </c>
      <c r="AN115" s="36" t="s">
        <v>222</v>
      </c>
      <c r="AO115" s="36" t="s">
        <v>206</v>
      </c>
      <c r="AP115" s="36">
        <v>2</v>
      </c>
      <c r="AQ115" s="36"/>
      <c r="AR115" s="36"/>
      <c r="AS115" s="36"/>
      <c r="AT115" s="36" t="s">
        <v>247</v>
      </c>
      <c r="AU115" s="36" t="s">
        <v>609</v>
      </c>
      <c r="AV115" s="36" t="s">
        <v>209</v>
      </c>
      <c r="AW115" s="36" t="s">
        <v>209</v>
      </c>
      <c r="AX115" s="36" t="s">
        <v>210</v>
      </c>
      <c r="AY115" s="36">
        <v>0</v>
      </c>
      <c r="AZ115" s="36" t="s">
        <v>211</v>
      </c>
      <c r="BA115" s="36">
        <v>9044988632688</v>
      </c>
      <c r="BB115" s="36"/>
      <c r="BC115" s="36"/>
      <c r="BD115" s="36">
        <v>1</v>
      </c>
      <c r="BE115" s="36"/>
      <c r="BF115" s="36" t="s">
        <v>212</v>
      </c>
      <c r="BG115" s="36">
        <v>1333314600</v>
      </c>
      <c r="BH115" s="36" t="s">
        <v>213</v>
      </c>
      <c r="BI115" s="36">
        <v>0</v>
      </c>
      <c r="BJ115" s="36">
        <v>0</v>
      </c>
      <c r="BK115" s="36">
        <v>1300</v>
      </c>
      <c r="BL115" s="36" t="s">
        <v>214</v>
      </c>
      <c r="BM115" s="36"/>
      <c r="BN115" s="36"/>
    </row>
    <row r="116" spans="1:66" x14ac:dyDescent="0.35">
      <c r="A116" s="36"/>
      <c r="B116" s="36"/>
      <c r="C116" s="37">
        <v>244626</v>
      </c>
      <c r="D116" s="37">
        <v>244626</v>
      </c>
      <c r="E116" s="36"/>
      <c r="F116" s="36" t="s">
        <v>192</v>
      </c>
      <c r="G116" s="36" t="s">
        <v>1</v>
      </c>
      <c r="H116" s="36">
        <v>0</v>
      </c>
      <c r="I116" s="36" t="s">
        <v>193</v>
      </c>
      <c r="J116" s="36" t="s">
        <v>194</v>
      </c>
      <c r="K116" s="36" t="s">
        <v>195</v>
      </c>
      <c r="L116" s="36">
        <v>923</v>
      </c>
      <c r="M116" s="36"/>
      <c r="N116" s="36" t="s">
        <v>239</v>
      </c>
      <c r="O116" s="36" t="s">
        <v>240</v>
      </c>
      <c r="P116" s="36">
        <v>2</v>
      </c>
      <c r="Q116" s="36" t="s">
        <v>241</v>
      </c>
      <c r="R116" s="37">
        <v>244412</v>
      </c>
      <c r="S116" s="37">
        <v>244626</v>
      </c>
      <c r="T116" s="36" t="s">
        <v>611</v>
      </c>
      <c r="U116" s="36">
        <v>23066879</v>
      </c>
      <c r="V116" s="36" t="s">
        <v>45</v>
      </c>
      <c r="W116" s="36">
        <v>20</v>
      </c>
      <c r="X116" s="36">
        <v>20</v>
      </c>
      <c r="Y116" s="36">
        <v>20</v>
      </c>
      <c r="Z116" s="36">
        <v>20</v>
      </c>
      <c r="AA116" s="36">
        <v>0</v>
      </c>
      <c r="AB116" s="36">
        <v>0</v>
      </c>
      <c r="AC116" s="36">
        <v>0</v>
      </c>
      <c r="AD116" s="36">
        <v>0</v>
      </c>
      <c r="AE116" s="36">
        <v>20</v>
      </c>
      <c r="AF116" s="36">
        <v>20</v>
      </c>
      <c r="AG116" s="36"/>
      <c r="AH116" s="36"/>
      <c r="AI116" s="36" t="s">
        <v>200</v>
      </c>
      <c r="AJ116" s="36" t="s">
        <v>201</v>
      </c>
      <c r="AK116" s="36" t="s">
        <v>215</v>
      </c>
      <c r="AL116" s="36" t="s">
        <v>203</v>
      </c>
      <c r="AM116" s="36" t="s">
        <v>204</v>
      </c>
      <c r="AN116" s="36" t="s">
        <v>222</v>
      </c>
      <c r="AO116" s="36" t="s">
        <v>206</v>
      </c>
      <c r="AP116" s="36">
        <v>2</v>
      </c>
      <c r="AQ116" s="36"/>
      <c r="AR116" s="36"/>
      <c r="AS116" s="36"/>
      <c r="AT116" s="36" t="s">
        <v>247</v>
      </c>
      <c r="AU116" s="36" t="s">
        <v>609</v>
      </c>
      <c r="AV116" s="36" t="s">
        <v>209</v>
      </c>
      <c r="AW116" s="36" t="s">
        <v>209</v>
      </c>
      <c r="AX116" s="36" t="s">
        <v>210</v>
      </c>
      <c r="AY116" s="36">
        <v>0</v>
      </c>
      <c r="AZ116" s="36" t="s">
        <v>211</v>
      </c>
      <c r="BA116" s="36">
        <v>9044988632688</v>
      </c>
      <c r="BB116" s="36"/>
      <c r="BC116" s="36"/>
      <c r="BD116" s="36">
        <v>1</v>
      </c>
      <c r="BE116" s="36"/>
      <c r="BF116" s="36" t="s">
        <v>212</v>
      </c>
      <c r="BG116" s="36">
        <v>1333314600</v>
      </c>
      <c r="BH116" s="36" t="s">
        <v>213</v>
      </c>
      <c r="BI116" s="36">
        <v>20</v>
      </c>
      <c r="BJ116" s="36">
        <v>20</v>
      </c>
      <c r="BK116" s="36">
        <v>1300</v>
      </c>
      <c r="BL116" s="36" t="s">
        <v>214</v>
      </c>
      <c r="BM116" s="36"/>
      <c r="BN116" s="36"/>
    </row>
    <row r="117" spans="1:66" x14ac:dyDescent="0.35">
      <c r="A117" s="36"/>
      <c r="B117" s="36"/>
      <c r="C117" s="37">
        <v>244626</v>
      </c>
      <c r="D117" s="37">
        <v>244626</v>
      </c>
      <c r="E117" s="36"/>
      <c r="F117" s="36" t="s">
        <v>192</v>
      </c>
      <c r="G117" s="36" t="s">
        <v>1</v>
      </c>
      <c r="H117" s="36">
        <v>0</v>
      </c>
      <c r="I117" s="36" t="s">
        <v>193</v>
      </c>
      <c r="J117" s="36" t="s">
        <v>194</v>
      </c>
      <c r="K117" s="36" t="s">
        <v>195</v>
      </c>
      <c r="L117" s="36">
        <v>923</v>
      </c>
      <c r="M117" s="36"/>
      <c r="N117" s="36" t="s">
        <v>239</v>
      </c>
      <c r="O117" s="36" t="s">
        <v>240</v>
      </c>
      <c r="P117" s="36">
        <v>2</v>
      </c>
      <c r="Q117" s="36" t="s">
        <v>241</v>
      </c>
      <c r="R117" s="37">
        <v>244412</v>
      </c>
      <c r="S117" s="37">
        <v>244626</v>
      </c>
      <c r="T117" s="36" t="s">
        <v>611</v>
      </c>
      <c r="U117" s="36">
        <v>23073188</v>
      </c>
      <c r="V117" s="36" t="s">
        <v>50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  <c r="AB117" s="36">
        <v>0</v>
      </c>
      <c r="AC117" s="36">
        <v>0</v>
      </c>
      <c r="AD117" s="36">
        <v>0</v>
      </c>
      <c r="AE117" s="36">
        <v>0</v>
      </c>
      <c r="AF117" s="36">
        <v>0</v>
      </c>
      <c r="AG117" s="36"/>
      <c r="AH117" s="36"/>
      <c r="AI117" s="36" t="s">
        <v>200</v>
      </c>
      <c r="AJ117" s="36" t="s">
        <v>201</v>
      </c>
      <c r="AK117" s="36" t="s">
        <v>215</v>
      </c>
      <c r="AL117" s="36" t="s">
        <v>203</v>
      </c>
      <c r="AM117" s="36" t="s">
        <v>204</v>
      </c>
      <c r="AN117" s="36" t="s">
        <v>222</v>
      </c>
      <c r="AO117" s="36" t="s">
        <v>206</v>
      </c>
      <c r="AP117" s="36">
        <v>2</v>
      </c>
      <c r="AQ117" s="36"/>
      <c r="AR117" s="36"/>
      <c r="AS117" s="36"/>
      <c r="AT117" s="36" t="s">
        <v>247</v>
      </c>
      <c r="AU117" s="36" t="s">
        <v>609</v>
      </c>
      <c r="AV117" s="36" t="s">
        <v>209</v>
      </c>
      <c r="AW117" s="36" t="s">
        <v>209</v>
      </c>
      <c r="AX117" s="36" t="s">
        <v>210</v>
      </c>
      <c r="AY117" s="36">
        <v>0</v>
      </c>
      <c r="AZ117" s="36" t="s">
        <v>211</v>
      </c>
      <c r="BA117" s="36">
        <v>9044988632688</v>
      </c>
      <c r="BB117" s="36"/>
      <c r="BC117" s="36"/>
      <c r="BD117" s="36">
        <v>1</v>
      </c>
      <c r="BE117" s="36"/>
      <c r="BF117" s="36" t="s">
        <v>212</v>
      </c>
      <c r="BG117" s="36">
        <v>1333314600</v>
      </c>
      <c r="BH117" s="36" t="s">
        <v>213</v>
      </c>
      <c r="BI117" s="36">
        <v>0</v>
      </c>
      <c r="BJ117" s="36">
        <v>0</v>
      </c>
      <c r="BK117" s="36">
        <v>1300</v>
      </c>
      <c r="BL117" s="36" t="s">
        <v>214</v>
      </c>
      <c r="BM117" s="36"/>
      <c r="BN117" s="36"/>
    </row>
    <row r="118" spans="1:66" x14ac:dyDescent="0.35">
      <c r="A118" s="36"/>
      <c r="B118" s="36"/>
      <c r="C118" s="37">
        <v>244626</v>
      </c>
      <c r="D118" s="37">
        <v>244626</v>
      </c>
      <c r="E118" s="36"/>
      <c r="F118" s="36" t="s">
        <v>192</v>
      </c>
      <c r="G118" s="36" t="s">
        <v>1</v>
      </c>
      <c r="H118" s="36">
        <v>0</v>
      </c>
      <c r="I118" s="36" t="s">
        <v>193</v>
      </c>
      <c r="J118" s="36" t="s">
        <v>194</v>
      </c>
      <c r="K118" s="36" t="s">
        <v>195</v>
      </c>
      <c r="L118" s="36">
        <v>923</v>
      </c>
      <c r="M118" s="36"/>
      <c r="N118" s="36" t="s">
        <v>239</v>
      </c>
      <c r="O118" s="36" t="s">
        <v>240</v>
      </c>
      <c r="P118" s="36">
        <v>2</v>
      </c>
      <c r="Q118" s="36" t="s">
        <v>241</v>
      </c>
      <c r="R118" s="37">
        <v>244412</v>
      </c>
      <c r="S118" s="37">
        <v>244626</v>
      </c>
      <c r="T118" s="36" t="s">
        <v>611</v>
      </c>
      <c r="U118" s="36">
        <v>23109326</v>
      </c>
      <c r="V118" s="36" t="s">
        <v>78</v>
      </c>
      <c r="W118" s="36">
        <v>40</v>
      </c>
      <c r="X118" s="36">
        <v>40</v>
      </c>
      <c r="Y118" s="36">
        <v>40</v>
      </c>
      <c r="Z118" s="36">
        <v>40</v>
      </c>
      <c r="AA118" s="36">
        <v>0</v>
      </c>
      <c r="AB118" s="36">
        <v>0</v>
      </c>
      <c r="AC118" s="36">
        <v>0</v>
      </c>
      <c r="AD118" s="36">
        <v>0</v>
      </c>
      <c r="AE118" s="36">
        <v>40</v>
      </c>
      <c r="AF118" s="36">
        <v>40</v>
      </c>
      <c r="AG118" s="36"/>
      <c r="AH118" s="36"/>
      <c r="AI118" s="36" t="s">
        <v>200</v>
      </c>
      <c r="AJ118" s="36" t="s">
        <v>201</v>
      </c>
      <c r="AK118" s="36" t="s">
        <v>215</v>
      </c>
      <c r="AL118" s="36" t="s">
        <v>203</v>
      </c>
      <c r="AM118" s="36" t="s">
        <v>204</v>
      </c>
      <c r="AN118" s="36" t="s">
        <v>222</v>
      </c>
      <c r="AO118" s="36" t="s">
        <v>206</v>
      </c>
      <c r="AP118" s="36">
        <v>2</v>
      </c>
      <c r="AQ118" s="36"/>
      <c r="AR118" s="36"/>
      <c r="AS118" s="36"/>
      <c r="AT118" s="36" t="s">
        <v>247</v>
      </c>
      <c r="AU118" s="36" t="s">
        <v>609</v>
      </c>
      <c r="AV118" s="36" t="s">
        <v>209</v>
      </c>
      <c r="AW118" s="36" t="s">
        <v>209</v>
      </c>
      <c r="AX118" s="36" t="s">
        <v>210</v>
      </c>
      <c r="AY118" s="36">
        <v>0</v>
      </c>
      <c r="AZ118" s="36" t="s">
        <v>211</v>
      </c>
      <c r="BA118" s="36">
        <v>9044988632688</v>
      </c>
      <c r="BB118" s="36"/>
      <c r="BC118" s="36"/>
      <c r="BD118" s="36">
        <v>1</v>
      </c>
      <c r="BE118" s="36"/>
      <c r="BF118" s="36" t="s">
        <v>212</v>
      </c>
      <c r="BG118" s="36">
        <v>1333314600</v>
      </c>
      <c r="BH118" s="36" t="s">
        <v>213</v>
      </c>
      <c r="BI118" s="36">
        <v>40</v>
      </c>
      <c r="BJ118" s="36">
        <v>40</v>
      </c>
      <c r="BK118" s="36">
        <v>1300</v>
      </c>
      <c r="BL118" s="36" t="s">
        <v>214</v>
      </c>
      <c r="BM118" s="36"/>
      <c r="BN118" s="36"/>
    </row>
    <row r="119" spans="1:66" x14ac:dyDescent="0.35">
      <c r="A119" s="36"/>
      <c r="B119" s="36"/>
      <c r="C119" s="37">
        <v>244626</v>
      </c>
      <c r="D119" s="37">
        <v>244626</v>
      </c>
      <c r="E119" s="36"/>
      <c r="F119" s="36" t="s">
        <v>192</v>
      </c>
      <c r="G119" s="36" t="s">
        <v>1</v>
      </c>
      <c r="H119" s="36">
        <v>0</v>
      </c>
      <c r="I119" s="36" t="s">
        <v>193</v>
      </c>
      <c r="J119" s="36" t="s">
        <v>194</v>
      </c>
      <c r="K119" s="36" t="s">
        <v>195</v>
      </c>
      <c r="L119" s="36">
        <v>923</v>
      </c>
      <c r="M119" s="36"/>
      <c r="N119" s="36" t="s">
        <v>239</v>
      </c>
      <c r="O119" s="36" t="s">
        <v>240</v>
      </c>
      <c r="P119" s="36">
        <v>2</v>
      </c>
      <c r="Q119" s="36" t="s">
        <v>241</v>
      </c>
      <c r="R119" s="37">
        <v>244412</v>
      </c>
      <c r="S119" s="37">
        <v>244626</v>
      </c>
      <c r="T119" s="36" t="s">
        <v>611</v>
      </c>
      <c r="U119" s="36">
        <v>23058551</v>
      </c>
      <c r="V119" s="36" t="s">
        <v>25</v>
      </c>
      <c r="W119" s="36">
        <v>150</v>
      </c>
      <c r="X119" s="36">
        <v>150</v>
      </c>
      <c r="Y119" s="36">
        <v>150</v>
      </c>
      <c r="Z119" s="36">
        <v>150</v>
      </c>
      <c r="AA119" s="36">
        <v>0</v>
      </c>
      <c r="AB119" s="36">
        <v>0</v>
      </c>
      <c r="AC119" s="36">
        <v>0</v>
      </c>
      <c r="AD119" s="36">
        <v>0</v>
      </c>
      <c r="AE119" s="36">
        <v>150</v>
      </c>
      <c r="AF119" s="36">
        <v>150</v>
      </c>
      <c r="AG119" s="36"/>
      <c r="AH119" s="36"/>
      <c r="AI119" s="36" t="s">
        <v>200</v>
      </c>
      <c r="AJ119" s="36" t="s">
        <v>201</v>
      </c>
      <c r="AK119" s="36" t="s">
        <v>202</v>
      </c>
      <c r="AL119" s="36" t="s">
        <v>203</v>
      </c>
      <c r="AM119" s="36" t="s">
        <v>204</v>
      </c>
      <c r="AN119" s="36" t="s">
        <v>222</v>
      </c>
      <c r="AO119" s="36" t="s">
        <v>206</v>
      </c>
      <c r="AP119" s="36">
        <v>2</v>
      </c>
      <c r="AQ119" s="36"/>
      <c r="AR119" s="36"/>
      <c r="AS119" s="36"/>
      <c r="AT119" s="36" t="s">
        <v>247</v>
      </c>
      <c r="AU119" s="36" t="s">
        <v>609</v>
      </c>
      <c r="AV119" s="36" t="s">
        <v>209</v>
      </c>
      <c r="AW119" s="36" t="s">
        <v>209</v>
      </c>
      <c r="AX119" s="36" t="s">
        <v>210</v>
      </c>
      <c r="AY119" s="36">
        <v>0</v>
      </c>
      <c r="AZ119" s="36" t="s">
        <v>211</v>
      </c>
      <c r="BA119" s="36">
        <v>9044988632688</v>
      </c>
      <c r="BB119" s="36"/>
      <c r="BC119" s="36"/>
      <c r="BD119" s="36">
        <v>1</v>
      </c>
      <c r="BE119" s="36"/>
      <c r="BF119" s="36" t="s">
        <v>212</v>
      </c>
      <c r="BG119" s="36">
        <v>1333314600</v>
      </c>
      <c r="BH119" s="36" t="s">
        <v>213</v>
      </c>
      <c r="BI119" s="36">
        <v>150</v>
      </c>
      <c r="BJ119" s="36">
        <v>150</v>
      </c>
      <c r="BK119" s="36">
        <v>1300</v>
      </c>
      <c r="BL119" s="36" t="s">
        <v>214</v>
      </c>
      <c r="BM119" s="36"/>
      <c r="BN119" s="36"/>
    </row>
    <row r="120" spans="1:66" x14ac:dyDescent="0.35">
      <c r="A120" s="36"/>
      <c r="B120" s="36"/>
      <c r="C120" s="37">
        <v>244626</v>
      </c>
      <c r="D120" s="37">
        <v>244626</v>
      </c>
      <c r="E120" s="36"/>
      <c r="F120" s="36" t="s">
        <v>192</v>
      </c>
      <c r="G120" s="36" t="s">
        <v>1</v>
      </c>
      <c r="H120" s="36">
        <v>0</v>
      </c>
      <c r="I120" s="36" t="s">
        <v>193</v>
      </c>
      <c r="J120" s="36" t="s">
        <v>194</v>
      </c>
      <c r="K120" s="36" t="s">
        <v>195</v>
      </c>
      <c r="L120" s="36">
        <v>923</v>
      </c>
      <c r="M120" s="36"/>
      <c r="N120" s="36" t="s">
        <v>239</v>
      </c>
      <c r="O120" s="36" t="s">
        <v>240</v>
      </c>
      <c r="P120" s="36">
        <v>2</v>
      </c>
      <c r="Q120" s="36" t="s">
        <v>241</v>
      </c>
      <c r="R120" s="37">
        <v>244412</v>
      </c>
      <c r="S120" s="37">
        <v>244626</v>
      </c>
      <c r="T120" s="36" t="s">
        <v>611</v>
      </c>
      <c r="U120" s="36">
        <v>23088348</v>
      </c>
      <c r="V120" s="36" t="s">
        <v>57</v>
      </c>
      <c r="W120" s="36">
        <v>180</v>
      </c>
      <c r="X120" s="36">
        <v>180</v>
      </c>
      <c r="Y120" s="36">
        <v>180</v>
      </c>
      <c r="Z120" s="36">
        <v>180</v>
      </c>
      <c r="AA120" s="36">
        <v>0</v>
      </c>
      <c r="AB120" s="36">
        <v>0</v>
      </c>
      <c r="AC120" s="36">
        <v>0</v>
      </c>
      <c r="AD120" s="36">
        <v>0</v>
      </c>
      <c r="AE120" s="36">
        <v>180</v>
      </c>
      <c r="AF120" s="36">
        <v>180</v>
      </c>
      <c r="AG120" s="36"/>
      <c r="AH120" s="36"/>
      <c r="AI120" s="36" t="s">
        <v>200</v>
      </c>
      <c r="AJ120" s="36" t="s">
        <v>201</v>
      </c>
      <c r="AK120" s="36" t="s">
        <v>215</v>
      </c>
      <c r="AL120" s="36" t="s">
        <v>203</v>
      </c>
      <c r="AM120" s="36" t="s">
        <v>204</v>
      </c>
      <c r="AN120" s="36" t="s">
        <v>222</v>
      </c>
      <c r="AO120" s="36" t="s">
        <v>206</v>
      </c>
      <c r="AP120" s="36">
        <v>2</v>
      </c>
      <c r="AQ120" s="36"/>
      <c r="AR120" s="36"/>
      <c r="AS120" s="36"/>
      <c r="AT120" s="36" t="s">
        <v>247</v>
      </c>
      <c r="AU120" s="36" t="s">
        <v>609</v>
      </c>
      <c r="AV120" s="36" t="s">
        <v>209</v>
      </c>
      <c r="AW120" s="36" t="s">
        <v>209</v>
      </c>
      <c r="AX120" s="36" t="s">
        <v>210</v>
      </c>
      <c r="AY120" s="36">
        <v>0</v>
      </c>
      <c r="AZ120" s="36" t="s">
        <v>211</v>
      </c>
      <c r="BA120" s="36">
        <v>9044988632688</v>
      </c>
      <c r="BB120" s="36"/>
      <c r="BC120" s="36"/>
      <c r="BD120" s="36">
        <v>1</v>
      </c>
      <c r="BE120" s="36"/>
      <c r="BF120" s="36" t="s">
        <v>212</v>
      </c>
      <c r="BG120" s="36">
        <v>1333314600</v>
      </c>
      <c r="BH120" s="36" t="s">
        <v>213</v>
      </c>
      <c r="BI120" s="36">
        <v>180</v>
      </c>
      <c r="BJ120" s="36">
        <v>180</v>
      </c>
      <c r="BK120" s="36">
        <v>1300</v>
      </c>
      <c r="BL120" s="36" t="s">
        <v>214</v>
      </c>
      <c r="BM120" s="36"/>
      <c r="BN120" s="36"/>
    </row>
    <row r="121" spans="1:66" x14ac:dyDescent="0.35">
      <c r="A121" s="36"/>
      <c r="B121" s="36"/>
      <c r="C121" s="37">
        <v>244626</v>
      </c>
      <c r="D121" s="37">
        <v>244626</v>
      </c>
      <c r="E121" s="36"/>
      <c r="F121" s="36" t="s">
        <v>192</v>
      </c>
      <c r="G121" s="36" t="s">
        <v>1</v>
      </c>
      <c r="H121" s="36">
        <v>0</v>
      </c>
      <c r="I121" s="36" t="s">
        <v>193</v>
      </c>
      <c r="J121" s="36" t="s">
        <v>194</v>
      </c>
      <c r="K121" s="36" t="s">
        <v>195</v>
      </c>
      <c r="L121" s="36">
        <v>923</v>
      </c>
      <c r="M121" s="36"/>
      <c r="N121" s="36" t="s">
        <v>239</v>
      </c>
      <c r="O121" s="36" t="s">
        <v>240</v>
      </c>
      <c r="P121" s="36">
        <v>2</v>
      </c>
      <c r="Q121" s="36" t="s">
        <v>241</v>
      </c>
      <c r="R121" s="37">
        <v>244412</v>
      </c>
      <c r="S121" s="37">
        <v>244626</v>
      </c>
      <c r="T121" s="36" t="s">
        <v>611</v>
      </c>
      <c r="U121" s="36">
        <v>23058588</v>
      </c>
      <c r="V121" s="36" t="s">
        <v>114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  <c r="AB121" s="36">
        <v>0</v>
      </c>
      <c r="AC121" s="36">
        <v>0</v>
      </c>
      <c r="AD121" s="36">
        <v>0</v>
      </c>
      <c r="AE121" s="36">
        <v>0</v>
      </c>
      <c r="AF121" s="36">
        <v>0</v>
      </c>
      <c r="AG121" s="36"/>
      <c r="AH121" s="36"/>
      <c r="AI121" s="36" t="s">
        <v>200</v>
      </c>
      <c r="AJ121" s="36" t="s">
        <v>201</v>
      </c>
      <c r="AK121" s="36" t="s">
        <v>215</v>
      </c>
      <c r="AL121" s="36" t="s">
        <v>203</v>
      </c>
      <c r="AM121" s="36" t="s">
        <v>204</v>
      </c>
      <c r="AN121" s="36" t="s">
        <v>222</v>
      </c>
      <c r="AO121" s="36" t="s">
        <v>206</v>
      </c>
      <c r="AP121" s="36">
        <v>2</v>
      </c>
      <c r="AQ121" s="36"/>
      <c r="AR121" s="36"/>
      <c r="AS121" s="36"/>
      <c r="AT121" s="36" t="s">
        <v>247</v>
      </c>
      <c r="AU121" s="36" t="s">
        <v>609</v>
      </c>
      <c r="AV121" s="36" t="s">
        <v>209</v>
      </c>
      <c r="AW121" s="36" t="s">
        <v>209</v>
      </c>
      <c r="AX121" s="36" t="s">
        <v>210</v>
      </c>
      <c r="AY121" s="36">
        <v>0</v>
      </c>
      <c r="AZ121" s="36" t="s">
        <v>211</v>
      </c>
      <c r="BA121" s="36">
        <v>9044988632688</v>
      </c>
      <c r="BB121" s="36"/>
      <c r="BC121" s="36"/>
      <c r="BD121" s="36">
        <v>1</v>
      </c>
      <c r="BE121" s="36"/>
      <c r="BF121" s="36" t="s">
        <v>212</v>
      </c>
      <c r="BG121" s="36">
        <v>1333314600</v>
      </c>
      <c r="BH121" s="36" t="s">
        <v>213</v>
      </c>
      <c r="BI121" s="36">
        <v>0</v>
      </c>
      <c r="BJ121" s="36">
        <v>0</v>
      </c>
      <c r="BK121" s="36">
        <v>1300</v>
      </c>
      <c r="BL121" s="36" t="s">
        <v>214</v>
      </c>
      <c r="BM121" s="36"/>
      <c r="BN121" s="36"/>
    </row>
    <row r="122" spans="1:66" x14ac:dyDescent="0.35">
      <c r="A122" s="36"/>
      <c r="B122" s="36"/>
      <c r="C122" s="37">
        <v>244626</v>
      </c>
      <c r="D122" s="37">
        <v>244626</v>
      </c>
      <c r="E122" s="36"/>
      <c r="F122" s="36" t="s">
        <v>192</v>
      </c>
      <c r="G122" s="36" t="s">
        <v>1</v>
      </c>
      <c r="H122" s="36">
        <v>0</v>
      </c>
      <c r="I122" s="36" t="s">
        <v>193</v>
      </c>
      <c r="J122" s="36" t="s">
        <v>194</v>
      </c>
      <c r="K122" s="36" t="s">
        <v>195</v>
      </c>
      <c r="L122" s="36">
        <v>923</v>
      </c>
      <c r="M122" s="36"/>
      <c r="N122" s="36" t="s">
        <v>239</v>
      </c>
      <c r="O122" s="36" t="s">
        <v>240</v>
      </c>
      <c r="P122" s="36">
        <v>2</v>
      </c>
      <c r="Q122" s="36" t="s">
        <v>241</v>
      </c>
      <c r="R122" s="37">
        <v>244412</v>
      </c>
      <c r="S122" s="37">
        <v>244626</v>
      </c>
      <c r="T122" s="36" t="s">
        <v>611</v>
      </c>
      <c r="U122" s="36">
        <v>23057815</v>
      </c>
      <c r="V122" s="36" t="s">
        <v>20</v>
      </c>
      <c r="W122" s="36">
        <v>150</v>
      </c>
      <c r="X122" s="36">
        <v>150</v>
      </c>
      <c r="Y122" s="36">
        <v>150</v>
      </c>
      <c r="Z122" s="36">
        <v>150</v>
      </c>
      <c r="AA122" s="36">
        <v>0</v>
      </c>
      <c r="AB122" s="36">
        <v>0</v>
      </c>
      <c r="AC122" s="36">
        <v>0</v>
      </c>
      <c r="AD122" s="36">
        <v>0</v>
      </c>
      <c r="AE122" s="36">
        <v>150</v>
      </c>
      <c r="AF122" s="36">
        <v>150</v>
      </c>
      <c r="AG122" s="36"/>
      <c r="AH122" s="36"/>
      <c r="AI122" s="36" t="s">
        <v>200</v>
      </c>
      <c r="AJ122" s="36" t="s">
        <v>201</v>
      </c>
      <c r="AK122" s="36" t="s">
        <v>202</v>
      </c>
      <c r="AL122" s="36" t="s">
        <v>203</v>
      </c>
      <c r="AM122" s="36" t="s">
        <v>204</v>
      </c>
      <c r="AN122" s="36" t="s">
        <v>222</v>
      </c>
      <c r="AO122" s="36" t="s">
        <v>206</v>
      </c>
      <c r="AP122" s="36">
        <v>2</v>
      </c>
      <c r="AQ122" s="36"/>
      <c r="AR122" s="36"/>
      <c r="AS122" s="36"/>
      <c r="AT122" s="36" t="s">
        <v>247</v>
      </c>
      <c r="AU122" s="36" t="s">
        <v>609</v>
      </c>
      <c r="AV122" s="36" t="s">
        <v>209</v>
      </c>
      <c r="AW122" s="36" t="s">
        <v>209</v>
      </c>
      <c r="AX122" s="36" t="s">
        <v>210</v>
      </c>
      <c r="AY122" s="36">
        <v>0</v>
      </c>
      <c r="AZ122" s="36" t="s">
        <v>211</v>
      </c>
      <c r="BA122" s="36">
        <v>9044988632688</v>
      </c>
      <c r="BB122" s="36"/>
      <c r="BC122" s="36"/>
      <c r="BD122" s="36">
        <v>1</v>
      </c>
      <c r="BE122" s="36"/>
      <c r="BF122" s="36" t="s">
        <v>212</v>
      </c>
      <c r="BG122" s="36">
        <v>1333314600</v>
      </c>
      <c r="BH122" s="36" t="s">
        <v>213</v>
      </c>
      <c r="BI122" s="36">
        <v>150</v>
      </c>
      <c r="BJ122" s="36">
        <v>150</v>
      </c>
      <c r="BK122" s="36">
        <v>1300</v>
      </c>
      <c r="BL122" s="36" t="s">
        <v>214</v>
      </c>
      <c r="BM122" s="36"/>
      <c r="BN122" s="36"/>
    </row>
    <row r="123" spans="1:66" x14ac:dyDescent="0.35">
      <c r="A123" s="36"/>
      <c r="B123" s="36"/>
      <c r="C123" s="37">
        <v>244626</v>
      </c>
      <c r="D123" s="37">
        <v>244626</v>
      </c>
      <c r="E123" s="36"/>
      <c r="F123" s="36" t="s">
        <v>192</v>
      </c>
      <c r="G123" s="36" t="s">
        <v>1</v>
      </c>
      <c r="H123" s="36">
        <v>0</v>
      </c>
      <c r="I123" s="36" t="s">
        <v>193</v>
      </c>
      <c r="J123" s="36" t="s">
        <v>194</v>
      </c>
      <c r="K123" s="36" t="s">
        <v>195</v>
      </c>
      <c r="L123" s="36">
        <v>923</v>
      </c>
      <c r="M123" s="36"/>
      <c r="N123" s="36" t="s">
        <v>239</v>
      </c>
      <c r="O123" s="36" t="s">
        <v>240</v>
      </c>
      <c r="P123" s="36">
        <v>2</v>
      </c>
      <c r="Q123" s="36" t="s">
        <v>241</v>
      </c>
      <c r="R123" s="37">
        <v>244412</v>
      </c>
      <c r="S123" s="37">
        <v>244626</v>
      </c>
      <c r="T123" s="36" t="s">
        <v>611</v>
      </c>
      <c r="U123" s="36">
        <v>23057809</v>
      </c>
      <c r="V123" s="36" t="s">
        <v>18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6"/>
      <c r="AH123" s="36"/>
      <c r="AI123" s="36" t="s">
        <v>200</v>
      </c>
      <c r="AJ123" s="36" t="s">
        <v>201</v>
      </c>
      <c r="AK123" s="36" t="s">
        <v>202</v>
      </c>
      <c r="AL123" s="36" t="s">
        <v>203</v>
      </c>
      <c r="AM123" s="36" t="s">
        <v>204</v>
      </c>
      <c r="AN123" s="36" t="s">
        <v>222</v>
      </c>
      <c r="AO123" s="36" t="s">
        <v>206</v>
      </c>
      <c r="AP123" s="36">
        <v>2</v>
      </c>
      <c r="AQ123" s="36"/>
      <c r="AR123" s="36"/>
      <c r="AS123" s="36"/>
      <c r="AT123" s="36" t="s">
        <v>247</v>
      </c>
      <c r="AU123" s="36" t="s">
        <v>609</v>
      </c>
      <c r="AV123" s="36" t="s">
        <v>209</v>
      </c>
      <c r="AW123" s="36" t="s">
        <v>209</v>
      </c>
      <c r="AX123" s="36" t="s">
        <v>210</v>
      </c>
      <c r="AY123" s="36">
        <v>0</v>
      </c>
      <c r="AZ123" s="36" t="s">
        <v>211</v>
      </c>
      <c r="BA123" s="36">
        <v>9044988632688</v>
      </c>
      <c r="BB123" s="36"/>
      <c r="BC123" s="36"/>
      <c r="BD123" s="36">
        <v>1</v>
      </c>
      <c r="BE123" s="36"/>
      <c r="BF123" s="36" t="s">
        <v>212</v>
      </c>
      <c r="BG123" s="36">
        <v>1333314600</v>
      </c>
      <c r="BH123" s="36" t="s">
        <v>213</v>
      </c>
      <c r="BI123" s="36">
        <v>0</v>
      </c>
      <c r="BJ123" s="36">
        <v>0</v>
      </c>
      <c r="BK123" s="36">
        <v>1300</v>
      </c>
      <c r="BL123" s="36" t="s">
        <v>214</v>
      </c>
      <c r="BM123" s="36"/>
      <c r="BN123" s="36"/>
    </row>
    <row r="124" spans="1:66" x14ac:dyDescent="0.35">
      <c r="A124" s="36"/>
      <c r="B124" s="36"/>
      <c r="C124" s="37">
        <v>244626</v>
      </c>
      <c r="D124" s="37">
        <v>244626</v>
      </c>
      <c r="E124" s="36"/>
      <c r="F124" s="36" t="s">
        <v>192</v>
      </c>
      <c r="G124" s="36" t="s">
        <v>1</v>
      </c>
      <c r="H124" s="36">
        <v>0</v>
      </c>
      <c r="I124" s="36" t="s">
        <v>193</v>
      </c>
      <c r="J124" s="36" t="s">
        <v>194</v>
      </c>
      <c r="K124" s="36" t="s">
        <v>195</v>
      </c>
      <c r="L124" s="36">
        <v>923</v>
      </c>
      <c r="M124" s="36"/>
      <c r="N124" s="36" t="s">
        <v>239</v>
      </c>
      <c r="O124" s="36" t="s">
        <v>240</v>
      </c>
      <c r="P124" s="36">
        <v>2</v>
      </c>
      <c r="Q124" s="36" t="s">
        <v>241</v>
      </c>
      <c r="R124" s="37">
        <v>244412</v>
      </c>
      <c r="S124" s="37">
        <v>244626</v>
      </c>
      <c r="T124" s="36" t="s">
        <v>611</v>
      </c>
      <c r="U124" s="36">
        <v>23058591</v>
      </c>
      <c r="V124" s="36" t="s">
        <v>35</v>
      </c>
      <c r="W124" s="36">
        <v>10</v>
      </c>
      <c r="X124" s="36">
        <v>10</v>
      </c>
      <c r="Y124" s="36">
        <v>10</v>
      </c>
      <c r="Z124" s="36">
        <v>10</v>
      </c>
      <c r="AA124" s="36">
        <v>0</v>
      </c>
      <c r="AB124" s="36">
        <v>0</v>
      </c>
      <c r="AC124" s="36">
        <v>0</v>
      </c>
      <c r="AD124" s="36">
        <v>0</v>
      </c>
      <c r="AE124" s="36">
        <v>10</v>
      </c>
      <c r="AF124" s="36">
        <v>10</v>
      </c>
      <c r="AG124" s="36"/>
      <c r="AH124" s="36"/>
      <c r="AI124" s="36" t="s">
        <v>200</v>
      </c>
      <c r="AJ124" s="36" t="s">
        <v>201</v>
      </c>
      <c r="AK124" s="36" t="s">
        <v>215</v>
      </c>
      <c r="AL124" s="36" t="s">
        <v>203</v>
      </c>
      <c r="AM124" s="36" t="s">
        <v>204</v>
      </c>
      <c r="AN124" s="36" t="s">
        <v>222</v>
      </c>
      <c r="AO124" s="36" t="s">
        <v>206</v>
      </c>
      <c r="AP124" s="36">
        <v>2</v>
      </c>
      <c r="AQ124" s="36"/>
      <c r="AR124" s="36"/>
      <c r="AS124" s="36"/>
      <c r="AT124" s="36" t="s">
        <v>247</v>
      </c>
      <c r="AU124" s="36" t="s">
        <v>609</v>
      </c>
      <c r="AV124" s="36" t="s">
        <v>209</v>
      </c>
      <c r="AW124" s="36" t="s">
        <v>209</v>
      </c>
      <c r="AX124" s="36" t="s">
        <v>210</v>
      </c>
      <c r="AY124" s="36">
        <v>0</v>
      </c>
      <c r="AZ124" s="36" t="s">
        <v>211</v>
      </c>
      <c r="BA124" s="36">
        <v>9044988632688</v>
      </c>
      <c r="BB124" s="36"/>
      <c r="BC124" s="36"/>
      <c r="BD124" s="36">
        <v>1</v>
      </c>
      <c r="BE124" s="36"/>
      <c r="BF124" s="36" t="s">
        <v>212</v>
      </c>
      <c r="BG124" s="36">
        <v>1333314600</v>
      </c>
      <c r="BH124" s="36" t="s">
        <v>213</v>
      </c>
      <c r="BI124" s="36">
        <v>10</v>
      </c>
      <c r="BJ124" s="36">
        <v>10</v>
      </c>
      <c r="BK124" s="36">
        <v>1300</v>
      </c>
      <c r="BL124" s="36" t="s">
        <v>214</v>
      </c>
      <c r="BM124" s="36"/>
      <c r="BN124" s="36"/>
    </row>
    <row r="125" spans="1:66" x14ac:dyDescent="0.35">
      <c r="A125" s="36"/>
      <c r="B125" s="36"/>
      <c r="C125" s="37">
        <v>244626</v>
      </c>
      <c r="D125" s="37">
        <v>244626</v>
      </c>
      <c r="E125" s="36"/>
      <c r="F125" s="36" t="s">
        <v>192</v>
      </c>
      <c r="G125" s="36" t="s">
        <v>1</v>
      </c>
      <c r="H125" s="36">
        <v>0</v>
      </c>
      <c r="I125" s="36" t="s">
        <v>193</v>
      </c>
      <c r="J125" s="36" t="s">
        <v>194</v>
      </c>
      <c r="K125" s="36" t="s">
        <v>195</v>
      </c>
      <c r="L125" s="36">
        <v>923</v>
      </c>
      <c r="M125" s="36"/>
      <c r="N125" s="36" t="s">
        <v>239</v>
      </c>
      <c r="O125" s="36" t="s">
        <v>240</v>
      </c>
      <c r="P125" s="36">
        <v>2</v>
      </c>
      <c r="Q125" s="36" t="s">
        <v>241</v>
      </c>
      <c r="R125" s="37">
        <v>244412</v>
      </c>
      <c r="S125" s="37">
        <v>244626</v>
      </c>
      <c r="T125" s="36" t="s">
        <v>611</v>
      </c>
      <c r="U125" s="36">
        <v>23057827</v>
      </c>
      <c r="V125" s="36" t="s">
        <v>24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  <c r="AB125" s="36">
        <v>0</v>
      </c>
      <c r="AC125" s="36">
        <v>0</v>
      </c>
      <c r="AD125" s="36">
        <v>0</v>
      </c>
      <c r="AE125" s="36">
        <v>0</v>
      </c>
      <c r="AF125" s="36">
        <v>0</v>
      </c>
      <c r="AG125" s="36"/>
      <c r="AH125" s="36"/>
      <c r="AI125" s="36" t="s">
        <v>200</v>
      </c>
      <c r="AJ125" s="36" t="s">
        <v>201</v>
      </c>
      <c r="AK125" s="36" t="s">
        <v>202</v>
      </c>
      <c r="AL125" s="36" t="s">
        <v>203</v>
      </c>
      <c r="AM125" s="36" t="s">
        <v>204</v>
      </c>
      <c r="AN125" s="36" t="s">
        <v>222</v>
      </c>
      <c r="AO125" s="36" t="s">
        <v>206</v>
      </c>
      <c r="AP125" s="36">
        <v>2</v>
      </c>
      <c r="AQ125" s="36"/>
      <c r="AR125" s="36"/>
      <c r="AS125" s="36"/>
      <c r="AT125" s="36" t="s">
        <v>247</v>
      </c>
      <c r="AU125" s="36" t="s">
        <v>609</v>
      </c>
      <c r="AV125" s="36" t="s">
        <v>209</v>
      </c>
      <c r="AW125" s="36" t="s">
        <v>209</v>
      </c>
      <c r="AX125" s="36" t="s">
        <v>210</v>
      </c>
      <c r="AY125" s="36">
        <v>0</v>
      </c>
      <c r="AZ125" s="36" t="s">
        <v>211</v>
      </c>
      <c r="BA125" s="36">
        <v>9044988632688</v>
      </c>
      <c r="BB125" s="36"/>
      <c r="BC125" s="36"/>
      <c r="BD125" s="36">
        <v>1</v>
      </c>
      <c r="BE125" s="36"/>
      <c r="BF125" s="36" t="s">
        <v>212</v>
      </c>
      <c r="BG125" s="36">
        <v>1333314600</v>
      </c>
      <c r="BH125" s="36" t="s">
        <v>213</v>
      </c>
      <c r="BI125" s="36">
        <v>0</v>
      </c>
      <c r="BJ125" s="36">
        <v>0</v>
      </c>
      <c r="BK125" s="36">
        <v>1300</v>
      </c>
      <c r="BL125" s="36" t="s">
        <v>214</v>
      </c>
      <c r="BM125" s="36"/>
      <c r="BN125" s="36"/>
    </row>
    <row r="126" spans="1:66" x14ac:dyDescent="0.35">
      <c r="A126" s="36"/>
      <c r="B126" s="36"/>
      <c r="C126" s="37">
        <v>244626</v>
      </c>
      <c r="D126" s="37">
        <v>244626</v>
      </c>
      <c r="E126" s="36"/>
      <c r="F126" s="36" t="s">
        <v>192</v>
      </c>
      <c r="G126" s="36" t="s">
        <v>1</v>
      </c>
      <c r="H126" s="36">
        <v>0</v>
      </c>
      <c r="I126" s="36" t="s">
        <v>193</v>
      </c>
      <c r="J126" s="36" t="s">
        <v>194</v>
      </c>
      <c r="K126" s="36" t="s">
        <v>195</v>
      </c>
      <c r="L126" s="36">
        <v>923</v>
      </c>
      <c r="M126" s="36"/>
      <c r="N126" s="36" t="s">
        <v>239</v>
      </c>
      <c r="O126" s="36" t="s">
        <v>240</v>
      </c>
      <c r="P126" s="36">
        <v>2</v>
      </c>
      <c r="Q126" s="36" t="s">
        <v>241</v>
      </c>
      <c r="R126" s="37">
        <v>244412</v>
      </c>
      <c r="S126" s="37">
        <v>244626</v>
      </c>
      <c r="T126" s="36" t="s">
        <v>611</v>
      </c>
      <c r="U126" s="36">
        <v>23062097</v>
      </c>
      <c r="V126" s="36" t="s">
        <v>115</v>
      </c>
      <c r="W126" s="36">
        <v>5</v>
      </c>
      <c r="X126" s="36">
        <v>5</v>
      </c>
      <c r="Y126" s="36">
        <v>5</v>
      </c>
      <c r="Z126" s="36">
        <v>5</v>
      </c>
      <c r="AA126" s="36">
        <v>0</v>
      </c>
      <c r="AB126" s="36">
        <v>0</v>
      </c>
      <c r="AC126" s="36">
        <v>0</v>
      </c>
      <c r="AD126" s="36">
        <v>0</v>
      </c>
      <c r="AE126" s="36">
        <v>5</v>
      </c>
      <c r="AF126" s="36">
        <v>5</v>
      </c>
      <c r="AG126" s="36"/>
      <c r="AH126" s="36"/>
      <c r="AI126" s="36" t="s">
        <v>200</v>
      </c>
      <c r="AJ126" s="36" t="s">
        <v>201</v>
      </c>
      <c r="AK126" s="36" t="s">
        <v>215</v>
      </c>
      <c r="AL126" s="36" t="s">
        <v>203</v>
      </c>
      <c r="AM126" s="36" t="s">
        <v>204</v>
      </c>
      <c r="AN126" s="36" t="s">
        <v>222</v>
      </c>
      <c r="AO126" s="36" t="s">
        <v>206</v>
      </c>
      <c r="AP126" s="36">
        <v>2</v>
      </c>
      <c r="AQ126" s="36"/>
      <c r="AR126" s="36"/>
      <c r="AS126" s="36"/>
      <c r="AT126" s="36" t="s">
        <v>247</v>
      </c>
      <c r="AU126" s="36" t="s">
        <v>609</v>
      </c>
      <c r="AV126" s="36" t="s">
        <v>209</v>
      </c>
      <c r="AW126" s="36" t="s">
        <v>209</v>
      </c>
      <c r="AX126" s="36" t="s">
        <v>210</v>
      </c>
      <c r="AY126" s="36">
        <v>0</v>
      </c>
      <c r="AZ126" s="36" t="s">
        <v>211</v>
      </c>
      <c r="BA126" s="36">
        <v>9044988632688</v>
      </c>
      <c r="BB126" s="36"/>
      <c r="BC126" s="36"/>
      <c r="BD126" s="36">
        <v>1</v>
      </c>
      <c r="BE126" s="36"/>
      <c r="BF126" s="36" t="s">
        <v>212</v>
      </c>
      <c r="BG126" s="36">
        <v>1333314600</v>
      </c>
      <c r="BH126" s="36" t="s">
        <v>213</v>
      </c>
      <c r="BI126" s="36">
        <v>5</v>
      </c>
      <c r="BJ126" s="36">
        <v>5</v>
      </c>
      <c r="BK126" s="36">
        <v>1300</v>
      </c>
      <c r="BL126" s="36" t="s">
        <v>214</v>
      </c>
      <c r="BM126" s="36"/>
      <c r="BN126" s="36"/>
    </row>
    <row r="127" spans="1:66" x14ac:dyDescent="0.35">
      <c r="A127" s="36"/>
      <c r="B127" s="36"/>
      <c r="C127" s="37">
        <v>244626</v>
      </c>
      <c r="D127" s="37">
        <v>244626</v>
      </c>
      <c r="E127" s="36"/>
      <c r="F127" s="36" t="s">
        <v>192</v>
      </c>
      <c r="G127" s="36" t="s">
        <v>1</v>
      </c>
      <c r="H127" s="36">
        <v>0</v>
      </c>
      <c r="I127" s="36" t="s">
        <v>193</v>
      </c>
      <c r="J127" s="36" t="s">
        <v>194</v>
      </c>
      <c r="K127" s="36" t="s">
        <v>195</v>
      </c>
      <c r="L127" s="36">
        <v>923</v>
      </c>
      <c r="M127" s="36"/>
      <c r="N127" s="36" t="s">
        <v>239</v>
      </c>
      <c r="O127" s="36" t="s">
        <v>240</v>
      </c>
      <c r="P127" s="36">
        <v>2</v>
      </c>
      <c r="Q127" s="36" t="s">
        <v>241</v>
      </c>
      <c r="R127" s="37">
        <v>244412</v>
      </c>
      <c r="S127" s="37">
        <v>244626</v>
      </c>
      <c r="T127" s="36" t="s">
        <v>611</v>
      </c>
      <c r="U127" s="36">
        <v>23087034</v>
      </c>
      <c r="V127" s="36" t="s">
        <v>54</v>
      </c>
      <c r="W127" s="36">
        <v>200</v>
      </c>
      <c r="X127" s="36">
        <v>200</v>
      </c>
      <c r="Y127" s="36">
        <v>200</v>
      </c>
      <c r="Z127" s="36">
        <v>200</v>
      </c>
      <c r="AA127" s="36">
        <v>0</v>
      </c>
      <c r="AB127" s="36">
        <v>0</v>
      </c>
      <c r="AC127" s="36">
        <v>0</v>
      </c>
      <c r="AD127" s="36">
        <v>0</v>
      </c>
      <c r="AE127" s="36">
        <v>200</v>
      </c>
      <c r="AF127" s="36">
        <v>200</v>
      </c>
      <c r="AG127" s="36"/>
      <c r="AH127" s="36"/>
      <c r="AI127" s="36" t="s">
        <v>200</v>
      </c>
      <c r="AJ127" s="36" t="s">
        <v>201</v>
      </c>
      <c r="AK127" s="36" t="s">
        <v>202</v>
      </c>
      <c r="AL127" s="36" t="s">
        <v>203</v>
      </c>
      <c r="AM127" s="36" t="s">
        <v>204</v>
      </c>
      <c r="AN127" s="36" t="s">
        <v>222</v>
      </c>
      <c r="AO127" s="36" t="s">
        <v>206</v>
      </c>
      <c r="AP127" s="36">
        <v>2</v>
      </c>
      <c r="AQ127" s="36"/>
      <c r="AR127" s="36"/>
      <c r="AS127" s="36"/>
      <c r="AT127" s="36" t="s">
        <v>247</v>
      </c>
      <c r="AU127" s="36" t="s">
        <v>609</v>
      </c>
      <c r="AV127" s="36" t="s">
        <v>209</v>
      </c>
      <c r="AW127" s="36" t="s">
        <v>209</v>
      </c>
      <c r="AX127" s="36" t="s">
        <v>210</v>
      </c>
      <c r="AY127" s="36">
        <v>0</v>
      </c>
      <c r="AZ127" s="36" t="s">
        <v>211</v>
      </c>
      <c r="BA127" s="36">
        <v>9044988632688</v>
      </c>
      <c r="BB127" s="36"/>
      <c r="BC127" s="36"/>
      <c r="BD127" s="36">
        <v>1</v>
      </c>
      <c r="BE127" s="36"/>
      <c r="BF127" s="36" t="s">
        <v>212</v>
      </c>
      <c r="BG127" s="36">
        <v>1333314600</v>
      </c>
      <c r="BH127" s="36" t="s">
        <v>213</v>
      </c>
      <c r="BI127" s="36">
        <v>200</v>
      </c>
      <c r="BJ127" s="36">
        <v>200</v>
      </c>
      <c r="BK127" s="36">
        <v>1300</v>
      </c>
      <c r="BL127" s="36" t="s">
        <v>214</v>
      </c>
      <c r="BM127" s="36"/>
      <c r="BN127" s="36"/>
    </row>
    <row r="128" spans="1:66" x14ac:dyDescent="0.35">
      <c r="A128" s="36"/>
      <c r="B128" s="36"/>
      <c r="C128" s="37">
        <v>244626</v>
      </c>
      <c r="D128" s="37">
        <v>244626</v>
      </c>
      <c r="E128" s="36"/>
      <c r="F128" s="36" t="s">
        <v>192</v>
      </c>
      <c r="G128" s="36" t="s">
        <v>1</v>
      </c>
      <c r="H128" s="36">
        <v>0</v>
      </c>
      <c r="I128" s="36" t="s">
        <v>193</v>
      </c>
      <c r="J128" s="36" t="s">
        <v>194</v>
      </c>
      <c r="K128" s="36" t="s">
        <v>195</v>
      </c>
      <c r="L128" s="36">
        <v>923</v>
      </c>
      <c r="M128" s="36"/>
      <c r="N128" s="36" t="s">
        <v>239</v>
      </c>
      <c r="O128" s="36" t="s">
        <v>240</v>
      </c>
      <c r="P128" s="36">
        <v>2</v>
      </c>
      <c r="Q128" s="36" t="s">
        <v>241</v>
      </c>
      <c r="R128" s="37">
        <v>244412</v>
      </c>
      <c r="S128" s="37">
        <v>244626</v>
      </c>
      <c r="T128" s="36" t="s">
        <v>611</v>
      </c>
      <c r="U128" s="36">
        <v>23098989</v>
      </c>
      <c r="V128" s="36" t="s">
        <v>69</v>
      </c>
      <c r="W128" s="36">
        <v>20</v>
      </c>
      <c r="X128" s="36">
        <v>20</v>
      </c>
      <c r="Y128" s="36">
        <v>20</v>
      </c>
      <c r="Z128" s="36">
        <v>20</v>
      </c>
      <c r="AA128" s="36">
        <v>0</v>
      </c>
      <c r="AB128" s="36">
        <v>0</v>
      </c>
      <c r="AC128" s="36">
        <v>0</v>
      </c>
      <c r="AD128" s="36">
        <v>0</v>
      </c>
      <c r="AE128" s="36">
        <v>20</v>
      </c>
      <c r="AF128" s="36">
        <v>20</v>
      </c>
      <c r="AG128" s="36"/>
      <c r="AH128" s="36"/>
      <c r="AI128" s="36" t="s">
        <v>200</v>
      </c>
      <c r="AJ128" s="36" t="s">
        <v>201</v>
      </c>
      <c r="AK128" s="36" t="s">
        <v>215</v>
      </c>
      <c r="AL128" s="36" t="s">
        <v>203</v>
      </c>
      <c r="AM128" s="36" t="s">
        <v>204</v>
      </c>
      <c r="AN128" s="36" t="s">
        <v>222</v>
      </c>
      <c r="AO128" s="36" t="s">
        <v>206</v>
      </c>
      <c r="AP128" s="36">
        <v>2</v>
      </c>
      <c r="AQ128" s="36"/>
      <c r="AR128" s="36"/>
      <c r="AS128" s="36"/>
      <c r="AT128" s="36" t="s">
        <v>247</v>
      </c>
      <c r="AU128" s="36" t="s">
        <v>609</v>
      </c>
      <c r="AV128" s="36" t="s">
        <v>209</v>
      </c>
      <c r="AW128" s="36" t="s">
        <v>209</v>
      </c>
      <c r="AX128" s="36" t="s">
        <v>210</v>
      </c>
      <c r="AY128" s="36">
        <v>0</v>
      </c>
      <c r="AZ128" s="36" t="s">
        <v>211</v>
      </c>
      <c r="BA128" s="36">
        <v>9044988632688</v>
      </c>
      <c r="BB128" s="36"/>
      <c r="BC128" s="36"/>
      <c r="BD128" s="36">
        <v>1</v>
      </c>
      <c r="BE128" s="36"/>
      <c r="BF128" s="36" t="s">
        <v>212</v>
      </c>
      <c r="BG128" s="36">
        <v>1333314600</v>
      </c>
      <c r="BH128" s="36" t="s">
        <v>213</v>
      </c>
      <c r="BI128" s="36">
        <v>20</v>
      </c>
      <c r="BJ128" s="36">
        <v>20</v>
      </c>
      <c r="BK128" s="36">
        <v>1300</v>
      </c>
      <c r="BL128" s="36" t="s">
        <v>214</v>
      </c>
      <c r="BM128" s="36"/>
      <c r="BN128" s="36"/>
    </row>
    <row r="129" spans="1:66" x14ac:dyDescent="0.35">
      <c r="A129" s="36"/>
      <c r="B129" s="36"/>
      <c r="C129" s="37">
        <v>244626</v>
      </c>
      <c r="D129" s="37">
        <v>244626</v>
      </c>
      <c r="E129" s="36"/>
      <c r="F129" s="36" t="s">
        <v>192</v>
      </c>
      <c r="G129" s="36" t="s">
        <v>1</v>
      </c>
      <c r="H129" s="36">
        <v>0</v>
      </c>
      <c r="I129" s="36" t="s">
        <v>193</v>
      </c>
      <c r="J129" s="36" t="s">
        <v>194</v>
      </c>
      <c r="K129" s="36" t="s">
        <v>195</v>
      </c>
      <c r="L129" s="36">
        <v>923</v>
      </c>
      <c r="M129" s="36"/>
      <c r="N129" s="36" t="s">
        <v>239</v>
      </c>
      <c r="O129" s="36" t="s">
        <v>240</v>
      </c>
      <c r="P129" s="36">
        <v>2</v>
      </c>
      <c r="Q129" s="36" t="s">
        <v>241</v>
      </c>
      <c r="R129" s="37">
        <v>244412</v>
      </c>
      <c r="S129" s="37">
        <v>244626</v>
      </c>
      <c r="T129" s="36" t="s">
        <v>611</v>
      </c>
      <c r="U129" s="36">
        <v>23062101</v>
      </c>
      <c r="V129" s="36" t="s">
        <v>109</v>
      </c>
      <c r="W129" s="36">
        <v>0</v>
      </c>
      <c r="X129" s="36">
        <v>0</v>
      </c>
      <c r="Y129" s="36">
        <v>0</v>
      </c>
      <c r="Z129" s="36">
        <v>0</v>
      </c>
      <c r="AA129" s="36">
        <v>0</v>
      </c>
      <c r="AB129" s="36">
        <v>0</v>
      </c>
      <c r="AC129" s="36">
        <v>0</v>
      </c>
      <c r="AD129" s="36">
        <v>0</v>
      </c>
      <c r="AE129" s="36">
        <v>0</v>
      </c>
      <c r="AF129" s="36">
        <v>0</v>
      </c>
      <c r="AG129" s="36"/>
      <c r="AH129" s="36"/>
      <c r="AI129" s="36" t="s">
        <v>200</v>
      </c>
      <c r="AJ129" s="36" t="s">
        <v>201</v>
      </c>
      <c r="AK129" s="36" t="s">
        <v>215</v>
      </c>
      <c r="AL129" s="36" t="s">
        <v>203</v>
      </c>
      <c r="AM129" s="36" t="s">
        <v>204</v>
      </c>
      <c r="AN129" s="36" t="s">
        <v>222</v>
      </c>
      <c r="AO129" s="36" t="s">
        <v>206</v>
      </c>
      <c r="AP129" s="36">
        <v>2</v>
      </c>
      <c r="AQ129" s="36"/>
      <c r="AR129" s="36"/>
      <c r="AS129" s="36"/>
      <c r="AT129" s="36" t="s">
        <v>247</v>
      </c>
      <c r="AU129" s="36" t="s">
        <v>609</v>
      </c>
      <c r="AV129" s="36" t="s">
        <v>209</v>
      </c>
      <c r="AW129" s="36" t="s">
        <v>209</v>
      </c>
      <c r="AX129" s="36" t="s">
        <v>210</v>
      </c>
      <c r="AY129" s="36">
        <v>0</v>
      </c>
      <c r="AZ129" s="36" t="s">
        <v>211</v>
      </c>
      <c r="BA129" s="36">
        <v>9044988632688</v>
      </c>
      <c r="BB129" s="36"/>
      <c r="BC129" s="36"/>
      <c r="BD129" s="36">
        <v>1</v>
      </c>
      <c r="BE129" s="36"/>
      <c r="BF129" s="36" t="s">
        <v>212</v>
      </c>
      <c r="BG129" s="36">
        <v>1333314600</v>
      </c>
      <c r="BH129" s="36" t="s">
        <v>213</v>
      </c>
      <c r="BI129" s="36">
        <v>0</v>
      </c>
      <c r="BJ129" s="36">
        <v>0</v>
      </c>
      <c r="BK129" s="36">
        <v>1300</v>
      </c>
      <c r="BL129" s="36" t="s">
        <v>214</v>
      </c>
      <c r="BM129" s="36"/>
      <c r="BN129" s="36"/>
    </row>
    <row r="130" spans="1:66" x14ac:dyDescent="0.35">
      <c r="A130" s="36"/>
      <c r="B130" s="36"/>
      <c r="C130" s="37">
        <v>244626</v>
      </c>
      <c r="D130" s="37">
        <v>244626</v>
      </c>
      <c r="E130" s="36"/>
      <c r="F130" s="36" t="s">
        <v>192</v>
      </c>
      <c r="G130" s="36" t="s">
        <v>1</v>
      </c>
      <c r="H130" s="36">
        <v>0</v>
      </c>
      <c r="I130" s="36" t="s">
        <v>193</v>
      </c>
      <c r="J130" s="36" t="s">
        <v>194</v>
      </c>
      <c r="K130" s="36" t="s">
        <v>195</v>
      </c>
      <c r="L130" s="36">
        <v>923</v>
      </c>
      <c r="M130" s="36"/>
      <c r="N130" s="36" t="s">
        <v>239</v>
      </c>
      <c r="O130" s="36" t="s">
        <v>240</v>
      </c>
      <c r="P130" s="36">
        <v>2</v>
      </c>
      <c r="Q130" s="36" t="s">
        <v>241</v>
      </c>
      <c r="R130" s="37">
        <v>244412</v>
      </c>
      <c r="S130" s="37">
        <v>244626</v>
      </c>
      <c r="T130" s="36" t="s">
        <v>611</v>
      </c>
      <c r="U130" s="36">
        <v>23062103</v>
      </c>
      <c r="V130" s="36" t="s">
        <v>111</v>
      </c>
      <c r="W130" s="36">
        <v>5</v>
      </c>
      <c r="X130" s="36">
        <v>5</v>
      </c>
      <c r="Y130" s="36">
        <v>5</v>
      </c>
      <c r="Z130" s="36">
        <v>5</v>
      </c>
      <c r="AA130" s="36">
        <v>0</v>
      </c>
      <c r="AB130" s="36">
        <v>0</v>
      </c>
      <c r="AC130" s="36">
        <v>0</v>
      </c>
      <c r="AD130" s="36">
        <v>0</v>
      </c>
      <c r="AE130" s="36">
        <v>5</v>
      </c>
      <c r="AF130" s="36">
        <v>5</v>
      </c>
      <c r="AG130" s="36"/>
      <c r="AH130" s="36"/>
      <c r="AI130" s="36" t="s">
        <v>200</v>
      </c>
      <c r="AJ130" s="36" t="s">
        <v>201</v>
      </c>
      <c r="AK130" s="36" t="s">
        <v>215</v>
      </c>
      <c r="AL130" s="36" t="s">
        <v>203</v>
      </c>
      <c r="AM130" s="36" t="s">
        <v>204</v>
      </c>
      <c r="AN130" s="36" t="s">
        <v>222</v>
      </c>
      <c r="AO130" s="36" t="s">
        <v>206</v>
      </c>
      <c r="AP130" s="36">
        <v>2</v>
      </c>
      <c r="AQ130" s="36"/>
      <c r="AR130" s="36"/>
      <c r="AS130" s="36"/>
      <c r="AT130" s="36" t="s">
        <v>247</v>
      </c>
      <c r="AU130" s="36" t="s">
        <v>609</v>
      </c>
      <c r="AV130" s="36" t="s">
        <v>209</v>
      </c>
      <c r="AW130" s="36" t="s">
        <v>209</v>
      </c>
      <c r="AX130" s="36" t="s">
        <v>210</v>
      </c>
      <c r="AY130" s="36">
        <v>0</v>
      </c>
      <c r="AZ130" s="36" t="s">
        <v>211</v>
      </c>
      <c r="BA130" s="36">
        <v>9044988632688</v>
      </c>
      <c r="BB130" s="36"/>
      <c r="BC130" s="36"/>
      <c r="BD130" s="36">
        <v>1</v>
      </c>
      <c r="BE130" s="36"/>
      <c r="BF130" s="36" t="s">
        <v>212</v>
      </c>
      <c r="BG130" s="36">
        <v>1333314600</v>
      </c>
      <c r="BH130" s="36" t="s">
        <v>213</v>
      </c>
      <c r="BI130" s="36">
        <v>5</v>
      </c>
      <c r="BJ130" s="36">
        <v>5</v>
      </c>
      <c r="BK130" s="36">
        <v>1300</v>
      </c>
      <c r="BL130" s="36" t="s">
        <v>214</v>
      </c>
      <c r="BM130" s="36"/>
      <c r="BN130" s="36"/>
    </row>
    <row r="131" spans="1:66" x14ac:dyDescent="0.35">
      <c r="A131" s="36"/>
      <c r="B131" s="36"/>
      <c r="C131" s="37">
        <v>244626</v>
      </c>
      <c r="D131" s="37">
        <v>244626</v>
      </c>
      <c r="E131" s="36"/>
      <c r="F131" s="36" t="s">
        <v>192</v>
      </c>
      <c r="G131" s="36" t="s">
        <v>1</v>
      </c>
      <c r="H131" s="36">
        <v>0</v>
      </c>
      <c r="I131" s="36" t="s">
        <v>193</v>
      </c>
      <c r="J131" s="36" t="s">
        <v>194</v>
      </c>
      <c r="K131" s="36" t="s">
        <v>195</v>
      </c>
      <c r="L131" s="36">
        <v>923</v>
      </c>
      <c r="M131" s="36"/>
      <c r="N131" s="36" t="s">
        <v>239</v>
      </c>
      <c r="O131" s="36" t="s">
        <v>240</v>
      </c>
      <c r="P131" s="36">
        <v>2</v>
      </c>
      <c r="Q131" s="36" t="s">
        <v>241</v>
      </c>
      <c r="R131" s="37">
        <v>244412</v>
      </c>
      <c r="S131" s="37">
        <v>244626</v>
      </c>
      <c r="T131" s="36" t="s">
        <v>611</v>
      </c>
      <c r="U131" s="36">
        <v>23065140</v>
      </c>
      <c r="V131" s="36" t="s">
        <v>40</v>
      </c>
      <c r="W131" s="36">
        <v>100</v>
      </c>
      <c r="X131" s="36">
        <v>100</v>
      </c>
      <c r="Y131" s="36">
        <v>100</v>
      </c>
      <c r="Z131" s="36">
        <v>100</v>
      </c>
      <c r="AA131" s="36">
        <v>0</v>
      </c>
      <c r="AB131" s="36">
        <v>0</v>
      </c>
      <c r="AC131" s="36">
        <v>0</v>
      </c>
      <c r="AD131" s="36">
        <v>0</v>
      </c>
      <c r="AE131" s="36">
        <v>100</v>
      </c>
      <c r="AF131" s="36">
        <v>100</v>
      </c>
      <c r="AG131" s="36"/>
      <c r="AH131" s="36"/>
      <c r="AI131" s="36" t="s">
        <v>200</v>
      </c>
      <c r="AJ131" s="36" t="s">
        <v>201</v>
      </c>
      <c r="AK131" s="36" t="s">
        <v>202</v>
      </c>
      <c r="AL131" s="36" t="s">
        <v>203</v>
      </c>
      <c r="AM131" s="36" t="s">
        <v>204</v>
      </c>
      <c r="AN131" s="36" t="s">
        <v>222</v>
      </c>
      <c r="AO131" s="36" t="s">
        <v>206</v>
      </c>
      <c r="AP131" s="36">
        <v>2</v>
      </c>
      <c r="AQ131" s="36"/>
      <c r="AR131" s="36"/>
      <c r="AS131" s="36"/>
      <c r="AT131" s="36" t="s">
        <v>247</v>
      </c>
      <c r="AU131" s="36" t="s">
        <v>609</v>
      </c>
      <c r="AV131" s="36" t="s">
        <v>209</v>
      </c>
      <c r="AW131" s="36" t="s">
        <v>209</v>
      </c>
      <c r="AX131" s="36" t="s">
        <v>210</v>
      </c>
      <c r="AY131" s="36">
        <v>0</v>
      </c>
      <c r="AZ131" s="36" t="s">
        <v>211</v>
      </c>
      <c r="BA131" s="36">
        <v>9044988632688</v>
      </c>
      <c r="BB131" s="36"/>
      <c r="BC131" s="36"/>
      <c r="BD131" s="36">
        <v>1</v>
      </c>
      <c r="BE131" s="36"/>
      <c r="BF131" s="36" t="s">
        <v>212</v>
      </c>
      <c r="BG131" s="36">
        <v>1333314600</v>
      </c>
      <c r="BH131" s="36" t="s">
        <v>213</v>
      </c>
      <c r="BI131" s="36">
        <v>100</v>
      </c>
      <c r="BJ131" s="36">
        <v>100</v>
      </c>
      <c r="BK131" s="36">
        <v>1300</v>
      </c>
      <c r="BL131" s="36" t="s">
        <v>214</v>
      </c>
      <c r="BM131" s="36"/>
      <c r="BN131" s="36"/>
    </row>
    <row r="132" spans="1:66" x14ac:dyDescent="0.35">
      <c r="A132" s="36"/>
      <c r="B132" s="36"/>
      <c r="C132" s="37">
        <v>244626</v>
      </c>
      <c r="D132" s="37">
        <v>244626</v>
      </c>
      <c r="E132" s="36"/>
      <c r="F132" s="36" t="s">
        <v>192</v>
      </c>
      <c r="G132" s="36" t="s">
        <v>1</v>
      </c>
      <c r="H132" s="36">
        <v>0</v>
      </c>
      <c r="I132" s="36" t="s">
        <v>193</v>
      </c>
      <c r="J132" s="36" t="s">
        <v>194</v>
      </c>
      <c r="K132" s="36" t="s">
        <v>195</v>
      </c>
      <c r="L132" s="36">
        <v>923</v>
      </c>
      <c r="M132" s="36"/>
      <c r="N132" s="36" t="s">
        <v>239</v>
      </c>
      <c r="O132" s="36" t="s">
        <v>240</v>
      </c>
      <c r="P132" s="36">
        <v>2</v>
      </c>
      <c r="Q132" s="36" t="s">
        <v>241</v>
      </c>
      <c r="R132" s="37">
        <v>244412</v>
      </c>
      <c r="S132" s="37">
        <v>244626</v>
      </c>
      <c r="T132" s="36" t="s">
        <v>611</v>
      </c>
      <c r="U132" s="36">
        <v>23088036</v>
      </c>
      <c r="V132" s="36" t="s">
        <v>55</v>
      </c>
      <c r="W132" s="36">
        <v>100</v>
      </c>
      <c r="X132" s="36">
        <v>100</v>
      </c>
      <c r="Y132" s="36">
        <v>100</v>
      </c>
      <c r="Z132" s="36">
        <v>100</v>
      </c>
      <c r="AA132" s="36">
        <v>0</v>
      </c>
      <c r="AB132" s="36">
        <v>0</v>
      </c>
      <c r="AC132" s="36">
        <v>0</v>
      </c>
      <c r="AD132" s="36">
        <v>0</v>
      </c>
      <c r="AE132" s="36">
        <v>100</v>
      </c>
      <c r="AF132" s="36">
        <v>100</v>
      </c>
      <c r="AG132" s="36"/>
      <c r="AH132" s="36"/>
      <c r="AI132" s="36" t="s">
        <v>200</v>
      </c>
      <c r="AJ132" s="36" t="s">
        <v>201</v>
      </c>
      <c r="AK132" s="36" t="s">
        <v>202</v>
      </c>
      <c r="AL132" s="36" t="s">
        <v>203</v>
      </c>
      <c r="AM132" s="36" t="s">
        <v>204</v>
      </c>
      <c r="AN132" s="36" t="s">
        <v>222</v>
      </c>
      <c r="AO132" s="36" t="s">
        <v>206</v>
      </c>
      <c r="AP132" s="36">
        <v>2</v>
      </c>
      <c r="AQ132" s="36"/>
      <c r="AR132" s="36"/>
      <c r="AS132" s="36"/>
      <c r="AT132" s="36" t="s">
        <v>247</v>
      </c>
      <c r="AU132" s="36" t="s">
        <v>609</v>
      </c>
      <c r="AV132" s="36" t="s">
        <v>209</v>
      </c>
      <c r="AW132" s="36" t="s">
        <v>209</v>
      </c>
      <c r="AX132" s="36" t="s">
        <v>210</v>
      </c>
      <c r="AY132" s="36">
        <v>0</v>
      </c>
      <c r="AZ132" s="36" t="s">
        <v>211</v>
      </c>
      <c r="BA132" s="36">
        <v>9044988632688</v>
      </c>
      <c r="BB132" s="36"/>
      <c r="BC132" s="36"/>
      <c r="BD132" s="36">
        <v>1</v>
      </c>
      <c r="BE132" s="36"/>
      <c r="BF132" s="36" t="s">
        <v>212</v>
      </c>
      <c r="BG132" s="36">
        <v>1333314600</v>
      </c>
      <c r="BH132" s="36" t="s">
        <v>213</v>
      </c>
      <c r="BI132" s="36">
        <v>100</v>
      </c>
      <c r="BJ132" s="36">
        <v>100</v>
      </c>
      <c r="BK132" s="36">
        <v>1300</v>
      </c>
      <c r="BL132" s="36" t="s">
        <v>214</v>
      </c>
      <c r="BM132" s="36"/>
      <c r="BN132" s="36"/>
    </row>
    <row r="133" spans="1:66" x14ac:dyDescent="0.35">
      <c r="A133" s="36"/>
      <c r="B133" s="36"/>
      <c r="C133" s="37">
        <v>244626</v>
      </c>
      <c r="D133" s="37">
        <v>244626</v>
      </c>
      <c r="E133" s="36"/>
      <c r="F133" s="36" t="s">
        <v>192</v>
      </c>
      <c r="G133" s="36" t="s">
        <v>1</v>
      </c>
      <c r="H133" s="36">
        <v>0</v>
      </c>
      <c r="I133" s="36" t="s">
        <v>193</v>
      </c>
      <c r="J133" s="36" t="s">
        <v>194</v>
      </c>
      <c r="K133" s="36" t="s">
        <v>195</v>
      </c>
      <c r="L133" s="36">
        <v>923</v>
      </c>
      <c r="M133" s="36"/>
      <c r="N133" s="36" t="s">
        <v>239</v>
      </c>
      <c r="O133" s="36" t="s">
        <v>240</v>
      </c>
      <c r="P133" s="36">
        <v>2</v>
      </c>
      <c r="Q133" s="36" t="s">
        <v>241</v>
      </c>
      <c r="R133" s="37">
        <v>244412</v>
      </c>
      <c r="S133" s="37">
        <v>244626</v>
      </c>
      <c r="T133" s="36" t="s">
        <v>611</v>
      </c>
      <c r="U133" s="36">
        <v>23088111</v>
      </c>
      <c r="V133" s="36" t="s">
        <v>597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6"/>
      <c r="AH133" s="36"/>
      <c r="AI133" s="36" t="s">
        <v>200</v>
      </c>
      <c r="AJ133" s="36" t="s">
        <v>201</v>
      </c>
      <c r="AK133" s="36"/>
      <c r="AL133" s="36"/>
      <c r="AM133" s="36"/>
      <c r="AN133" s="36" t="s">
        <v>222</v>
      </c>
      <c r="AO133" s="36" t="s">
        <v>206</v>
      </c>
      <c r="AP133" s="36">
        <v>2</v>
      </c>
      <c r="AQ133" s="36"/>
      <c r="AR133" s="36"/>
      <c r="AS133" s="36"/>
      <c r="AT133" s="36" t="s">
        <v>247</v>
      </c>
      <c r="AU133" s="36" t="s">
        <v>609</v>
      </c>
      <c r="AV133" s="36" t="s">
        <v>209</v>
      </c>
      <c r="AW133" s="36" t="s">
        <v>209</v>
      </c>
      <c r="AX133" s="36" t="s">
        <v>210</v>
      </c>
      <c r="AY133" s="36">
        <v>0</v>
      </c>
      <c r="AZ133" s="36" t="s">
        <v>211</v>
      </c>
      <c r="BA133" s="36">
        <v>9044988632688</v>
      </c>
      <c r="BB133" s="36"/>
      <c r="BC133" s="36"/>
      <c r="BD133" s="36">
        <v>1</v>
      </c>
      <c r="BE133" s="36"/>
      <c r="BF133" s="36" t="s">
        <v>212</v>
      </c>
      <c r="BG133" s="36">
        <v>1333314600</v>
      </c>
      <c r="BH133" s="36" t="s">
        <v>213</v>
      </c>
      <c r="BI133" s="36">
        <v>0</v>
      </c>
      <c r="BJ133" s="36">
        <v>0</v>
      </c>
      <c r="BK133" s="36">
        <v>1300</v>
      </c>
      <c r="BL133" s="36" t="s">
        <v>214</v>
      </c>
      <c r="BM133" s="36"/>
      <c r="BN133" s="36"/>
    </row>
    <row r="134" spans="1:66" x14ac:dyDescent="0.35">
      <c r="A134" s="36"/>
      <c r="B134" s="36"/>
      <c r="C134" s="37">
        <v>244626</v>
      </c>
      <c r="D134" s="37">
        <v>244626</v>
      </c>
      <c r="E134" s="36"/>
      <c r="F134" s="36" t="s">
        <v>192</v>
      </c>
      <c r="G134" s="36" t="s">
        <v>1</v>
      </c>
      <c r="H134" s="36">
        <v>0</v>
      </c>
      <c r="I134" s="36" t="s">
        <v>193</v>
      </c>
      <c r="J134" s="36" t="s">
        <v>194</v>
      </c>
      <c r="K134" s="36" t="s">
        <v>195</v>
      </c>
      <c r="L134" s="36">
        <v>923</v>
      </c>
      <c r="M134" s="36"/>
      <c r="N134" s="36" t="s">
        <v>239</v>
      </c>
      <c r="O134" s="36" t="s">
        <v>240</v>
      </c>
      <c r="P134" s="36">
        <v>2</v>
      </c>
      <c r="Q134" s="36" t="s">
        <v>241</v>
      </c>
      <c r="R134" s="37">
        <v>244412</v>
      </c>
      <c r="S134" s="37">
        <v>244626</v>
      </c>
      <c r="T134" s="36" t="s">
        <v>611</v>
      </c>
      <c r="U134" s="36">
        <v>23057821</v>
      </c>
      <c r="V134" s="36" t="s">
        <v>22</v>
      </c>
      <c r="W134" s="36">
        <v>200</v>
      </c>
      <c r="X134" s="36">
        <v>200</v>
      </c>
      <c r="Y134" s="36">
        <v>200</v>
      </c>
      <c r="Z134" s="36">
        <v>200</v>
      </c>
      <c r="AA134" s="36">
        <v>0</v>
      </c>
      <c r="AB134" s="36">
        <v>0</v>
      </c>
      <c r="AC134" s="36">
        <v>0</v>
      </c>
      <c r="AD134" s="36">
        <v>0</v>
      </c>
      <c r="AE134" s="36">
        <v>200</v>
      </c>
      <c r="AF134" s="36">
        <v>200</v>
      </c>
      <c r="AG134" s="36"/>
      <c r="AH134" s="36"/>
      <c r="AI134" s="36" t="s">
        <v>200</v>
      </c>
      <c r="AJ134" s="36" t="s">
        <v>201</v>
      </c>
      <c r="AK134" s="36" t="s">
        <v>202</v>
      </c>
      <c r="AL134" s="36" t="s">
        <v>203</v>
      </c>
      <c r="AM134" s="36" t="s">
        <v>204</v>
      </c>
      <c r="AN134" s="36" t="s">
        <v>222</v>
      </c>
      <c r="AO134" s="36" t="s">
        <v>206</v>
      </c>
      <c r="AP134" s="36">
        <v>2</v>
      </c>
      <c r="AQ134" s="36"/>
      <c r="AR134" s="36"/>
      <c r="AS134" s="36"/>
      <c r="AT134" s="36" t="s">
        <v>247</v>
      </c>
      <c r="AU134" s="36" t="s">
        <v>609</v>
      </c>
      <c r="AV134" s="36" t="s">
        <v>209</v>
      </c>
      <c r="AW134" s="36" t="s">
        <v>209</v>
      </c>
      <c r="AX134" s="36" t="s">
        <v>210</v>
      </c>
      <c r="AY134" s="36">
        <v>0</v>
      </c>
      <c r="AZ134" s="36" t="s">
        <v>211</v>
      </c>
      <c r="BA134" s="36">
        <v>9044988632688</v>
      </c>
      <c r="BB134" s="36"/>
      <c r="BC134" s="36"/>
      <c r="BD134" s="36">
        <v>1</v>
      </c>
      <c r="BE134" s="36"/>
      <c r="BF134" s="36" t="s">
        <v>212</v>
      </c>
      <c r="BG134" s="36">
        <v>1333314600</v>
      </c>
      <c r="BH134" s="36" t="s">
        <v>213</v>
      </c>
      <c r="BI134" s="36">
        <v>200</v>
      </c>
      <c r="BJ134" s="36">
        <v>200</v>
      </c>
      <c r="BK134" s="36">
        <v>1300</v>
      </c>
      <c r="BL134" s="36" t="s">
        <v>214</v>
      </c>
      <c r="BM134" s="36"/>
      <c r="BN134" s="36"/>
    </row>
    <row r="135" spans="1:66" x14ac:dyDescent="0.35">
      <c r="A135" s="36"/>
      <c r="B135" s="36"/>
      <c r="C135" s="37">
        <v>244626</v>
      </c>
      <c r="D135" s="37">
        <v>244626</v>
      </c>
      <c r="E135" s="36"/>
      <c r="F135" s="36" t="s">
        <v>192</v>
      </c>
      <c r="G135" s="36" t="s">
        <v>1</v>
      </c>
      <c r="H135" s="36">
        <v>0</v>
      </c>
      <c r="I135" s="36" t="s">
        <v>193</v>
      </c>
      <c r="J135" s="36" t="s">
        <v>194</v>
      </c>
      <c r="K135" s="36" t="s">
        <v>195</v>
      </c>
      <c r="L135" s="36">
        <v>923</v>
      </c>
      <c r="M135" s="36"/>
      <c r="N135" s="36" t="s">
        <v>239</v>
      </c>
      <c r="O135" s="36" t="s">
        <v>240</v>
      </c>
      <c r="P135" s="36">
        <v>2</v>
      </c>
      <c r="Q135" s="36" t="s">
        <v>241</v>
      </c>
      <c r="R135" s="37">
        <v>244412</v>
      </c>
      <c r="S135" s="37">
        <v>244626</v>
      </c>
      <c r="T135" s="36" t="s">
        <v>611</v>
      </c>
      <c r="U135" s="36">
        <v>23058553</v>
      </c>
      <c r="V135" s="36" t="s">
        <v>27</v>
      </c>
      <c r="W135" s="36">
        <v>10</v>
      </c>
      <c r="X135" s="36">
        <v>10</v>
      </c>
      <c r="Y135" s="36">
        <v>10</v>
      </c>
      <c r="Z135" s="36">
        <v>10</v>
      </c>
      <c r="AA135" s="36">
        <v>0</v>
      </c>
      <c r="AB135" s="36">
        <v>0</v>
      </c>
      <c r="AC135" s="36">
        <v>0</v>
      </c>
      <c r="AD135" s="36">
        <v>0</v>
      </c>
      <c r="AE135" s="36">
        <v>10</v>
      </c>
      <c r="AF135" s="36">
        <v>10</v>
      </c>
      <c r="AG135" s="36"/>
      <c r="AH135" s="36"/>
      <c r="AI135" s="36" t="s">
        <v>200</v>
      </c>
      <c r="AJ135" s="36" t="s">
        <v>201</v>
      </c>
      <c r="AK135" s="36" t="s">
        <v>215</v>
      </c>
      <c r="AL135" s="36" t="s">
        <v>203</v>
      </c>
      <c r="AM135" s="36" t="s">
        <v>204</v>
      </c>
      <c r="AN135" s="36" t="s">
        <v>222</v>
      </c>
      <c r="AO135" s="36" t="s">
        <v>206</v>
      </c>
      <c r="AP135" s="36">
        <v>2</v>
      </c>
      <c r="AQ135" s="36"/>
      <c r="AR135" s="36"/>
      <c r="AS135" s="36"/>
      <c r="AT135" s="36" t="s">
        <v>247</v>
      </c>
      <c r="AU135" s="36" t="s">
        <v>609</v>
      </c>
      <c r="AV135" s="36" t="s">
        <v>209</v>
      </c>
      <c r="AW135" s="36" t="s">
        <v>209</v>
      </c>
      <c r="AX135" s="36" t="s">
        <v>210</v>
      </c>
      <c r="AY135" s="36">
        <v>0</v>
      </c>
      <c r="AZ135" s="36" t="s">
        <v>211</v>
      </c>
      <c r="BA135" s="36">
        <v>9044988632688</v>
      </c>
      <c r="BB135" s="36"/>
      <c r="BC135" s="36"/>
      <c r="BD135" s="36">
        <v>1</v>
      </c>
      <c r="BE135" s="36"/>
      <c r="BF135" s="36" t="s">
        <v>212</v>
      </c>
      <c r="BG135" s="36">
        <v>1333314600</v>
      </c>
      <c r="BH135" s="36" t="s">
        <v>213</v>
      </c>
      <c r="BI135" s="36">
        <v>10</v>
      </c>
      <c r="BJ135" s="36">
        <v>10</v>
      </c>
      <c r="BK135" s="36">
        <v>1300</v>
      </c>
      <c r="BL135" s="36" t="s">
        <v>214</v>
      </c>
      <c r="BM135" s="36"/>
      <c r="BN135" s="36"/>
    </row>
    <row r="136" spans="1:66" x14ac:dyDescent="0.35">
      <c r="A136" s="36"/>
      <c r="B136" s="36"/>
      <c r="C136" s="37">
        <v>244626</v>
      </c>
      <c r="D136" s="37">
        <v>244626</v>
      </c>
      <c r="E136" s="36"/>
      <c r="F136" s="36" t="s">
        <v>192</v>
      </c>
      <c r="G136" s="36" t="s">
        <v>1</v>
      </c>
      <c r="H136" s="36">
        <v>0</v>
      </c>
      <c r="I136" s="36" t="s">
        <v>193</v>
      </c>
      <c r="J136" s="36" t="s">
        <v>194</v>
      </c>
      <c r="K136" s="36" t="s">
        <v>195</v>
      </c>
      <c r="L136" s="36">
        <v>923</v>
      </c>
      <c r="M136" s="36"/>
      <c r="N136" s="36" t="s">
        <v>239</v>
      </c>
      <c r="O136" s="36" t="s">
        <v>240</v>
      </c>
      <c r="P136" s="36">
        <v>2</v>
      </c>
      <c r="Q136" s="36" t="s">
        <v>241</v>
      </c>
      <c r="R136" s="37">
        <v>244412</v>
      </c>
      <c r="S136" s="37">
        <v>244626</v>
      </c>
      <c r="T136" s="36" t="s">
        <v>611</v>
      </c>
      <c r="U136" s="36">
        <v>23073308</v>
      </c>
      <c r="V136" s="36" t="s">
        <v>117</v>
      </c>
      <c r="W136" s="36">
        <v>150</v>
      </c>
      <c r="X136" s="36">
        <v>150</v>
      </c>
      <c r="Y136" s="36">
        <v>150</v>
      </c>
      <c r="Z136" s="36">
        <v>150</v>
      </c>
      <c r="AA136" s="36">
        <v>0</v>
      </c>
      <c r="AB136" s="36">
        <v>0</v>
      </c>
      <c r="AC136" s="36">
        <v>0</v>
      </c>
      <c r="AD136" s="36">
        <v>0</v>
      </c>
      <c r="AE136" s="36">
        <v>150</v>
      </c>
      <c r="AF136" s="36">
        <v>150</v>
      </c>
      <c r="AG136" s="36"/>
      <c r="AH136" s="36"/>
      <c r="AI136" s="36" t="s">
        <v>200</v>
      </c>
      <c r="AJ136" s="36" t="s">
        <v>201</v>
      </c>
      <c r="AK136" s="36" t="s">
        <v>202</v>
      </c>
      <c r="AL136" s="36" t="s">
        <v>203</v>
      </c>
      <c r="AM136" s="36" t="s">
        <v>204</v>
      </c>
      <c r="AN136" s="36" t="s">
        <v>222</v>
      </c>
      <c r="AO136" s="36" t="s">
        <v>206</v>
      </c>
      <c r="AP136" s="36">
        <v>2</v>
      </c>
      <c r="AQ136" s="36"/>
      <c r="AR136" s="36"/>
      <c r="AS136" s="36"/>
      <c r="AT136" s="36" t="s">
        <v>247</v>
      </c>
      <c r="AU136" s="36" t="s">
        <v>609</v>
      </c>
      <c r="AV136" s="36" t="s">
        <v>209</v>
      </c>
      <c r="AW136" s="36" t="s">
        <v>209</v>
      </c>
      <c r="AX136" s="36" t="s">
        <v>210</v>
      </c>
      <c r="AY136" s="36">
        <v>0</v>
      </c>
      <c r="AZ136" s="36" t="s">
        <v>211</v>
      </c>
      <c r="BA136" s="36">
        <v>9044988632688</v>
      </c>
      <c r="BB136" s="36"/>
      <c r="BC136" s="36"/>
      <c r="BD136" s="36">
        <v>1</v>
      </c>
      <c r="BE136" s="36"/>
      <c r="BF136" s="36" t="s">
        <v>212</v>
      </c>
      <c r="BG136" s="36">
        <v>1333314600</v>
      </c>
      <c r="BH136" s="36" t="s">
        <v>213</v>
      </c>
      <c r="BI136" s="36">
        <v>150</v>
      </c>
      <c r="BJ136" s="36">
        <v>150</v>
      </c>
      <c r="BK136" s="36">
        <v>1300</v>
      </c>
      <c r="BL136" s="36" t="s">
        <v>214</v>
      </c>
      <c r="BM136" s="36"/>
      <c r="BN136" s="36"/>
    </row>
    <row r="137" spans="1:66" x14ac:dyDescent="0.35">
      <c r="A137" s="36"/>
      <c r="B137" s="36"/>
      <c r="C137" s="37">
        <v>244626</v>
      </c>
      <c r="D137" s="37">
        <v>244626</v>
      </c>
      <c r="E137" s="36"/>
      <c r="F137" s="36" t="s">
        <v>192</v>
      </c>
      <c r="G137" s="36" t="s">
        <v>1</v>
      </c>
      <c r="H137" s="36">
        <v>0</v>
      </c>
      <c r="I137" s="36" t="s">
        <v>193</v>
      </c>
      <c r="J137" s="36" t="s">
        <v>194</v>
      </c>
      <c r="K137" s="36" t="s">
        <v>195</v>
      </c>
      <c r="L137" s="36">
        <v>923</v>
      </c>
      <c r="M137" s="36"/>
      <c r="N137" s="36" t="s">
        <v>239</v>
      </c>
      <c r="O137" s="36" t="s">
        <v>240</v>
      </c>
      <c r="P137" s="36">
        <v>2</v>
      </c>
      <c r="Q137" s="36" t="s">
        <v>241</v>
      </c>
      <c r="R137" s="37">
        <v>244412</v>
      </c>
      <c r="S137" s="37">
        <v>244626</v>
      </c>
      <c r="T137" s="36" t="s">
        <v>611</v>
      </c>
      <c r="U137" s="36">
        <v>23098995</v>
      </c>
      <c r="V137" s="36" t="s">
        <v>70</v>
      </c>
      <c r="W137" s="36">
        <v>40</v>
      </c>
      <c r="X137" s="36">
        <v>40</v>
      </c>
      <c r="Y137" s="36">
        <v>40</v>
      </c>
      <c r="Z137" s="36">
        <v>40</v>
      </c>
      <c r="AA137" s="36">
        <v>0</v>
      </c>
      <c r="AB137" s="36">
        <v>0</v>
      </c>
      <c r="AC137" s="36">
        <v>0</v>
      </c>
      <c r="AD137" s="36">
        <v>0</v>
      </c>
      <c r="AE137" s="36">
        <v>40</v>
      </c>
      <c r="AF137" s="36">
        <v>40</v>
      </c>
      <c r="AG137" s="36"/>
      <c r="AH137" s="36"/>
      <c r="AI137" s="36" t="s">
        <v>200</v>
      </c>
      <c r="AJ137" s="36" t="s">
        <v>201</v>
      </c>
      <c r="AK137" s="36" t="s">
        <v>215</v>
      </c>
      <c r="AL137" s="36" t="s">
        <v>203</v>
      </c>
      <c r="AM137" s="36" t="s">
        <v>204</v>
      </c>
      <c r="AN137" s="36" t="s">
        <v>222</v>
      </c>
      <c r="AO137" s="36" t="s">
        <v>206</v>
      </c>
      <c r="AP137" s="36">
        <v>2</v>
      </c>
      <c r="AQ137" s="36"/>
      <c r="AR137" s="36"/>
      <c r="AS137" s="36"/>
      <c r="AT137" s="36" t="s">
        <v>247</v>
      </c>
      <c r="AU137" s="36" t="s">
        <v>609</v>
      </c>
      <c r="AV137" s="36" t="s">
        <v>209</v>
      </c>
      <c r="AW137" s="36" t="s">
        <v>209</v>
      </c>
      <c r="AX137" s="36" t="s">
        <v>210</v>
      </c>
      <c r="AY137" s="36">
        <v>0</v>
      </c>
      <c r="AZ137" s="36" t="s">
        <v>211</v>
      </c>
      <c r="BA137" s="36">
        <v>9044988632688</v>
      </c>
      <c r="BB137" s="36"/>
      <c r="BC137" s="36"/>
      <c r="BD137" s="36">
        <v>1</v>
      </c>
      <c r="BE137" s="36"/>
      <c r="BF137" s="36" t="s">
        <v>212</v>
      </c>
      <c r="BG137" s="36">
        <v>1333314600</v>
      </c>
      <c r="BH137" s="36" t="s">
        <v>213</v>
      </c>
      <c r="BI137" s="36">
        <v>40</v>
      </c>
      <c r="BJ137" s="36">
        <v>40</v>
      </c>
      <c r="BK137" s="36">
        <v>1300</v>
      </c>
      <c r="BL137" s="36" t="s">
        <v>214</v>
      </c>
      <c r="BM137" s="36"/>
      <c r="BN137" s="36"/>
    </row>
    <row r="138" spans="1:66" x14ac:dyDescent="0.35">
      <c r="A138" s="36"/>
      <c r="B138" s="36"/>
      <c r="C138" s="37">
        <v>244626</v>
      </c>
      <c r="D138" s="37">
        <v>244626</v>
      </c>
      <c r="E138" s="36"/>
      <c r="F138" s="36" t="s">
        <v>192</v>
      </c>
      <c r="G138" s="36" t="s">
        <v>1</v>
      </c>
      <c r="H138" s="36">
        <v>0</v>
      </c>
      <c r="I138" s="36" t="s">
        <v>193</v>
      </c>
      <c r="J138" s="36" t="s">
        <v>194</v>
      </c>
      <c r="K138" s="36" t="s">
        <v>195</v>
      </c>
      <c r="L138" s="36">
        <v>923</v>
      </c>
      <c r="M138" s="36"/>
      <c r="N138" s="36" t="s">
        <v>612</v>
      </c>
      <c r="O138" s="36" t="s">
        <v>613</v>
      </c>
      <c r="P138" s="36">
        <v>2</v>
      </c>
      <c r="Q138" s="36" t="s">
        <v>551</v>
      </c>
      <c r="R138" s="37">
        <v>244412</v>
      </c>
      <c r="S138" s="37">
        <v>244626</v>
      </c>
      <c r="T138" s="36" t="s">
        <v>614</v>
      </c>
      <c r="U138" s="36">
        <v>23058585</v>
      </c>
      <c r="V138" s="36" t="s">
        <v>30</v>
      </c>
      <c r="W138" s="36">
        <v>10</v>
      </c>
      <c r="X138" s="36">
        <v>10</v>
      </c>
      <c r="Y138" s="36">
        <v>10</v>
      </c>
      <c r="Z138" s="36">
        <v>10</v>
      </c>
      <c r="AA138" s="36">
        <v>0</v>
      </c>
      <c r="AB138" s="36">
        <v>0</v>
      </c>
      <c r="AC138" s="36">
        <v>0</v>
      </c>
      <c r="AD138" s="36">
        <v>0</v>
      </c>
      <c r="AE138" s="36">
        <v>10</v>
      </c>
      <c r="AF138" s="36">
        <v>10</v>
      </c>
      <c r="AG138" s="36"/>
      <c r="AH138" s="36"/>
      <c r="AI138" s="36" t="s">
        <v>200</v>
      </c>
      <c r="AJ138" s="36" t="s">
        <v>201</v>
      </c>
      <c r="AK138" s="36" t="s">
        <v>215</v>
      </c>
      <c r="AL138" s="36" t="s">
        <v>203</v>
      </c>
      <c r="AM138" s="36" t="s">
        <v>204</v>
      </c>
      <c r="AN138" s="36" t="s">
        <v>222</v>
      </c>
      <c r="AO138" s="36" t="s">
        <v>206</v>
      </c>
      <c r="AP138" s="36">
        <v>2</v>
      </c>
      <c r="AQ138" s="36"/>
      <c r="AR138" s="36"/>
      <c r="AS138" s="36"/>
      <c r="AT138" s="36" t="s">
        <v>223</v>
      </c>
      <c r="AU138" s="36" t="s">
        <v>609</v>
      </c>
      <c r="AV138" s="36" t="s">
        <v>209</v>
      </c>
      <c r="AW138" s="36" t="s">
        <v>209</v>
      </c>
      <c r="AX138" s="36" t="s">
        <v>210</v>
      </c>
      <c r="AY138" s="36">
        <v>0</v>
      </c>
      <c r="AZ138" s="36" t="s">
        <v>211</v>
      </c>
      <c r="BA138" s="36">
        <v>9044988632868</v>
      </c>
      <c r="BB138" s="36"/>
      <c r="BC138" s="36"/>
      <c r="BD138" s="36">
        <v>1</v>
      </c>
      <c r="BE138" s="36"/>
      <c r="BF138" s="36" t="s">
        <v>212</v>
      </c>
      <c r="BG138" s="36">
        <v>1333314600</v>
      </c>
      <c r="BH138" s="36" t="s">
        <v>213</v>
      </c>
      <c r="BI138" s="36">
        <v>10</v>
      </c>
      <c r="BJ138" s="36">
        <v>10</v>
      </c>
      <c r="BK138" s="36">
        <v>1300</v>
      </c>
      <c r="BL138" s="36" t="s">
        <v>214</v>
      </c>
      <c r="BM138" s="36"/>
      <c r="BN138" s="36"/>
    </row>
    <row r="139" spans="1:66" x14ac:dyDescent="0.35">
      <c r="A139" s="36"/>
      <c r="B139" s="36"/>
      <c r="C139" s="37">
        <v>244626</v>
      </c>
      <c r="D139" s="37">
        <v>244626</v>
      </c>
      <c r="E139" s="36"/>
      <c r="F139" s="36" t="s">
        <v>192</v>
      </c>
      <c r="G139" s="36" t="s">
        <v>1</v>
      </c>
      <c r="H139" s="36">
        <v>0</v>
      </c>
      <c r="I139" s="36" t="s">
        <v>193</v>
      </c>
      <c r="J139" s="36" t="s">
        <v>194</v>
      </c>
      <c r="K139" s="36" t="s">
        <v>195</v>
      </c>
      <c r="L139" s="36">
        <v>923</v>
      </c>
      <c r="M139" s="36"/>
      <c r="N139" s="36" t="s">
        <v>612</v>
      </c>
      <c r="O139" s="36" t="s">
        <v>613</v>
      </c>
      <c r="P139" s="36">
        <v>2</v>
      </c>
      <c r="Q139" s="36" t="s">
        <v>551</v>
      </c>
      <c r="R139" s="37">
        <v>244412</v>
      </c>
      <c r="S139" s="37">
        <v>244626</v>
      </c>
      <c r="T139" s="36" t="s">
        <v>614</v>
      </c>
      <c r="U139" s="36">
        <v>23068390</v>
      </c>
      <c r="V139" s="36" t="s">
        <v>46</v>
      </c>
      <c r="W139" s="36">
        <v>30</v>
      </c>
      <c r="X139" s="36">
        <v>30</v>
      </c>
      <c r="Y139" s="36">
        <v>30</v>
      </c>
      <c r="Z139" s="36">
        <v>30</v>
      </c>
      <c r="AA139" s="36">
        <v>0</v>
      </c>
      <c r="AB139" s="36">
        <v>0</v>
      </c>
      <c r="AC139" s="36">
        <v>0</v>
      </c>
      <c r="AD139" s="36">
        <v>0</v>
      </c>
      <c r="AE139" s="36">
        <v>30</v>
      </c>
      <c r="AF139" s="36">
        <v>30</v>
      </c>
      <c r="AG139" s="36"/>
      <c r="AH139" s="36"/>
      <c r="AI139" s="36" t="s">
        <v>200</v>
      </c>
      <c r="AJ139" s="36" t="s">
        <v>201</v>
      </c>
      <c r="AK139" s="36" t="s">
        <v>215</v>
      </c>
      <c r="AL139" s="36" t="s">
        <v>203</v>
      </c>
      <c r="AM139" s="36" t="s">
        <v>204</v>
      </c>
      <c r="AN139" s="36" t="s">
        <v>222</v>
      </c>
      <c r="AO139" s="36" t="s">
        <v>206</v>
      </c>
      <c r="AP139" s="36">
        <v>2</v>
      </c>
      <c r="AQ139" s="36"/>
      <c r="AR139" s="36"/>
      <c r="AS139" s="36"/>
      <c r="AT139" s="36" t="s">
        <v>223</v>
      </c>
      <c r="AU139" s="36" t="s">
        <v>609</v>
      </c>
      <c r="AV139" s="36" t="s">
        <v>209</v>
      </c>
      <c r="AW139" s="36" t="s">
        <v>209</v>
      </c>
      <c r="AX139" s="36" t="s">
        <v>210</v>
      </c>
      <c r="AY139" s="36">
        <v>0</v>
      </c>
      <c r="AZ139" s="36" t="s">
        <v>211</v>
      </c>
      <c r="BA139" s="36">
        <v>9044988632868</v>
      </c>
      <c r="BB139" s="36"/>
      <c r="BC139" s="36"/>
      <c r="BD139" s="36">
        <v>1</v>
      </c>
      <c r="BE139" s="36"/>
      <c r="BF139" s="36" t="s">
        <v>212</v>
      </c>
      <c r="BG139" s="36">
        <v>1333314600</v>
      </c>
      <c r="BH139" s="36" t="s">
        <v>213</v>
      </c>
      <c r="BI139" s="36">
        <v>30</v>
      </c>
      <c r="BJ139" s="36">
        <v>30</v>
      </c>
      <c r="BK139" s="36">
        <v>1300</v>
      </c>
      <c r="BL139" s="36" t="s">
        <v>214</v>
      </c>
      <c r="BM139" s="36"/>
      <c r="BN139" s="36"/>
    </row>
    <row r="140" spans="1:66" x14ac:dyDescent="0.35">
      <c r="A140" s="36"/>
      <c r="B140" s="36"/>
      <c r="C140" s="37">
        <v>244626</v>
      </c>
      <c r="D140" s="37">
        <v>244626</v>
      </c>
      <c r="E140" s="36"/>
      <c r="F140" s="36" t="s">
        <v>192</v>
      </c>
      <c r="G140" s="36" t="s">
        <v>1</v>
      </c>
      <c r="H140" s="36">
        <v>0</v>
      </c>
      <c r="I140" s="36" t="s">
        <v>193</v>
      </c>
      <c r="J140" s="36" t="s">
        <v>194</v>
      </c>
      <c r="K140" s="36" t="s">
        <v>195</v>
      </c>
      <c r="L140" s="36">
        <v>923</v>
      </c>
      <c r="M140" s="36"/>
      <c r="N140" s="36" t="s">
        <v>612</v>
      </c>
      <c r="O140" s="36" t="s">
        <v>613</v>
      </c>
      <c r="P140" s="36">
        <v>2</v>
      </c>
      <c r="Q140" s="36" t="s">
        <v>551</v>
      </c>
      <c r="R140" s="37">
        <v>244412</v>
      </c>
      <c r="S140" s="37">
        <v>244626</v>
      </c>
      <c r="T140" s="36" t="s">
        <v>614</v>
      </c>
      <c r="U140" s="36">
        <v>23058586</v>
      </c>
      <c r="V140" s="36" t="s">
        <v>31</v>
      </c>
      <c r="W140" s="36">
        <v>5</v>
      </c>
      <c r="X140" s="36">
        <v>5</v>
      </c>
      <c r="Y140" s="36">
        <v>5</v>
      </c>
      <c r="Z140" s="36">
        <v>5</v>
      </c>
      <c r="AA140" s="36">
        <v>0</v>
      </c>
      <c r="AB140" s="36">
        <v>0</v>
      </c>
      <c r="AC140" s="36">
        <v>0</v>
      </c>
      <c r="AD140" s="36">
        <v>0</v>
      </c>
      <c r="AE140" s="36">
        <v>5</v>
      </c>
      <c r="AF140" s="36">
        <v>5</v>
      </c>
      <c r="AG140" s="36"/>
      <c r="AH140" s="36"/>
      <c r="AI140" s="36" t="s">
        <v>200</v>
      </c>
      <c r="AJ140" s="36" t="s">
        <v>201</v>
      </c>
      <c r="AK140" s="36" t="s">
        <v>215</v>
      </c>
      <c r="AL140" s="36" t="s">
        <v>203</v>
      </c>
      <c r="AM140" s="36" t="s">
        <v>204</v>
      </c>
      <c r="AN140" s="36" t="s">
        <v>222</v>
      </c>
      <c r="AO140" s="36" t="s">
        <v>206</v>
      </c>
      <c r="AP140" s="36">
        <v>2</v>
      </c>
      <c r="AQ140" s="36"/>
      <c r="AR140" s="36"/>
      <c r="AS140" s="36"/>
      <c r="AT140" s="36" t="s">
        <v>223</v>
      </c>
      <c r="AU140" s="36" t="s">
        <v>609</v>
      </c>
      <c r="AV140" s="36" t="s">
        <v>209</v>
      </c>
      <c r="AW140" s="36" t="s">
        <v>209</v>
      </c>
      <c r="AX140" s="36" t="s">
        <v>210</v>
      </c>
      <c r="AY140" s="36">
        <v>0</v>
      </c>
      <c r="AZ140" s="36" t="s">
        <v>211</v>
      </c>
      <c r="BA140" s="36">
        <v>9044988632868</v>
      </c>
      <c r="BB140" s="36"/>
      <c r="BC140" s="36"/>
      <c r="BD140" s="36">
        <v>1</v>
      </c>
      <c r="BE140" s="36"/>
      <c r="BF140" s="36" t="s">
        <v>212</v>
      </c>
      <c r="BG140" s="36">
        <v>1333314600</v>
      </c>
      <c r="BH140" s="36" t="s">
        <v>213</v>
      </c>
      <c r="BI140" s="36">
        <v>5</v>
      </c>
      <c r="BJ140" s="36">
        <v>5</v>
      </c>
      <c r="BK140" s="36">
        <v>1300</v>
      </c>
      <c r="BL140" s="36" t="s">
        <v>214</v>
      </c>
      <c r="BM140" s="36"/>
      <c r="BN140" s="36"/>
    </row>
    <row r="141" spans="1:66" x14ac:dyDescent="0.35">
      <c r="A141" s="36"/>
      <c r="B141" s="36"/>
      <c r="C141" s="37">
        <v>244626</v>
      </c>
      <c r="D141" s="37">
        <v>244626</v>
      </c>
      <c r="E141" s="36"/>
      <c r="F141" s="36" t="s">
        <v>192</v>
      </c>
      <c r="G141" s="36" t="s">
        <v>1</v>
      </c>
      <c r="H141" s="36">
        <v>0</v>
      </c>
      <c r="I141" s="36" t="s">
        <v>193</v>
      </c>
      <c r="J141" s="36" t="s">
        <v>194</v>
      </c>
      <c r="K141" s="36" t="s">
        <v>195</v>
      </c>
      <c r="L141" s="36">
        <v>923</v>
      </c>
      <c r="M141" s="36"/>
      <c r="N141" s="36" t="s">
        <v>612</v>
      </c>
      <c r="O141" s="36" t="s">
        <v>613</v>
      </c>
      <c r="P141" s="36">
        <v>2</v>
      </c>
      <c r="Q141" s="36" t="s">
        <v>551</v>
      </c>
      <c r="R141" s="37">
        <v>244412</v>
      </c>
      <c r="S141" s="37">
        <v>244626</v>
      </c>
      <c r="T141" s="36" t="s">
        <v>614</v>
      </c>
      <c r="U141" s="36">
        <v>23058588</v>
      </c>
      <c r="V141" s="36" t="s">
        <v>114</v>
      </c>
      <c r="W141" s="36">
        <v>5</v>
      </c>
      <c r="X141" s="36">
        <v>5</v>
      </c>
      <c r="Y141" s="36">
        <v>5</v>
      </c>
      <c r="Z141" s="36">
        <v>5</v>
      </c>
      <c r="AA141" s="36">
        <v>0</v>
      </c>
      <c r="AB141" s="36">
        <v>0</v>
      </c>
      <c r="AC141" s="36">
        <v>0</v>
      </c>
      <c r="AD141" s="36">
        <v>0</v>
      </c>
      <c r="AE141" s="36">
        <v>5</v>
      </c>
      <c r="AF141" s="36">
        <v>5</v>
      </c>
      <c r="AG141" s="36"/>
      <c r="AH141" s="36"/>
      <c r="AI141" s="36" t="s">
        <v>200</v>
      </c>
      <c r="AJ141" s="36" t="s">
        <v>201</v>
      </c>
      <c r="AK141" s="36" t="s">
        <v>215</v>
      </c>
      <c r="AL141" s="36" t="s">
        <v>203</v>
      </c>
      <c r="AM141" s="36" t="s">
        <v>204</v>
      </c>
      <c r="AN141" s="36" t="s">
        <v>222</v>
      </c>
      <c r="AO141" s="36" t="s">
        <v>206</v>
      </c>
      <c r="AP141" s="36">
        <v>2</v>
      </c>
      <c r="AQ141" s="36"/>
      <c r="AR141" s="36"/>
      <c r="AS141" s="36"/>
      <c r="AT141" s="36" t="s">
        <v>223</v>
      </c>
      <c r="AU141" s="36" t="s">
        <v>609</v>
      </c>
      <c r="AV141" s="36" t="s">
        <v>209</v>
      </c>
      <c r="AW141" s="36" t="s">
        <v>209</v>
      </c>
      <c r="AX141" s="36" t="s">
        <v>210</v>
      </c>
      <c r="AY141" s="36">
        <v>0</v>
      </c>
      <c r="AZ141" s="36" t="s">
        <v>211</v>
      </c>
      <c r="BA141" s="36">
        <v>9044988632868</v>
      </c>
      <c r="BB141" s="36"/>
      <c r="BC141" s="36"/>
      <c r="BD141" s="36">
        <v>1</v>
      </c>
      <c r="BE141" s="36"/>
      <c r="BF141" s="36" t="s">
        <v>212</v>
      </c>
      <c r="BG141" s="36">
        <v>1333314600</v>
      </c>
      <c r="BH141" s="36" t="s">
        <v>213</v>
      </c>
      <c r="BI141" s="36">
        <v>5</v>
      </c>
      <c r="BJ141" s="36">
        <v>5</v>
      </c>
      <c r="BK141" s="36">
        <v>1300</v>
      </c>
      <c r="BL141" s="36" t="s">
        <v>214</v>
      </c>
      <c r="BM141" s="36"/>
      <c r="BN141" s="36"/>
    </row>
    <row r="142" spans="1:66" x14ac:dyDescent="0.35">
      <c r="A142" s="36"/>
      <c r="B142" s="36"/>
      <c r="C142" s="37">
        <v>244626</v>
      </c>
      <c r="D142" s="37">
        <v>244626</v>
      </c>
      <c r="E142" s="36"/>
      <c r="F142" s="36" t="s">
        <v>192</v>
      </c>
      <c r="G142" s="36" t="s">
        <v>1</v>
      </c>
      <c r="H142" s="36">
        <v>0</v>
      </c>
      <c r="I142" s="36" t="s">
        <v>193</v>
      </c>
      <c r="J142" s="36" t="s">
        <v>194</v>
      </c>
      <c r="K142" s="36" t="s">
        <v>195</v>
      </c>
      <c r="L142" s="36">
        <v>923</v>
      </c>
      <c r="M142" s="36"/>
      <c r="N142" s="36" t="s">
        <v>612</v>
      </c>
      <c r="O142" s="36" t="s">
        <v>613</v>
      </c>
      <c r="P142" s="36">
        <v>2</v>
      </c>
      <c r="Q142" s="36" t="s">
        <v>551</v>
      </c>
      <c r="R142" s="37">
        <v>244412</v>
      </c>
      <c r="S142" s="37">
        <v>244626</v>
      </c>
      <c r="T142" s="36" t="s">
        <v>614</v>
      </c>
      <c r="U142" s="36">
        <v>23058591</v>
      </c>
      <c r="V142" s="36" t="s">
        <v>35</v>
      </c>
      <c r="W142" s="36">
        <v>20</v>
      </c>
      <c r="X142" s="36">
        <v>20</v>
      </c>
      <c r="Y142" s="36">
        <v>20</v>
      </c>
      <c r="Z142" s="36">
        <v>20</v>
      </c>
      <c r="AA142" s="36">
        <v>0</v>
      </c>
      <c r="AB142" s="36">
        <v>0</v>
      </c>
      <c r="AC142" s="36">
        <v>0</v>
      </c>
      <c r="AD142" s="36">
        <v>0</v>
      </c>
      <c r="AE142" s="36">
        <v>20</v>
      </c>
      <c r="AF142" s="36">
        <v>20</v>
      </c>
      <c r="AG142" s="36"/>
      <c r="AH142" s="36"/>
      <c r="AI142" s="36" t="s">
        <v>200</v>
      </c>
      <c r="AJ142" s="36" t="s">
        <v>201</v>
      </c>
      <c r="AK142" s="36" t="s">
        <v>215</v>
      </c>
      <c r="AL142" s="36" t="s">
        <v>203</v>
      </c>
      <c r="AM142" s="36" t="s">
        <v>204</v>
      </c>
      <c r="AN142" s="36" t="s">
        <v>222</v>
      </c>
      <c r="AO142" s="36" t="s">
        <v>206</v>
      </c>
      <c r="AP142" s="36">
        <v>2</v>
      </c>
      <c r="AQ142" s="36"/>
      <c r="AR142" s="36"/>
      <c r="AS142" s="36"/>
      <c r="AT142" s="36" t="s">
        <v>223</v>
      </c>
      <c r="AU142" s="36" t="s">
        <v>609</v>
      </c>
      <c r="AV142" s="36" t="s">
        <v>209</v>
      </c>
      <c r="AW142" s="36" t="s">
        <v>209</v>
      </c>
      <c r="AX142" s="36" t="s">
        <v>210</v>
      </c>
      <c r="AY142" s="36">
        <v>0</v>
      </c>
      <c r="AZ142" s="36" t="s">
        <v>211</v>
      </c>
      <c r="BA142" s="36">
        <v>9044988632868</v>
      </c>
      <c r="BB142" s="36"/>
      <c r="BC142" s="36"/>
      <c r="BD142" s="36">
        <v>1</v>
      </c>
      <c r="BE142" s="36"/>
      <c r="BF142" s="36" t="s">
        <v>212</v>
      </c>
      <c r="BG142" s="36">
        <v>1333314600</v>
      </c>
      <c r="BH142" s="36" t="s">
        <v>213</v>
      </c>
      <c r="BI142" s="36">
        <v>20</v>
      </c>
      <c r="BJ142" s="36">
        <v>20</v>
      </c>
      <c r="BK142" s="36">
        <v>1300</v>
      </c>
      <c r="BL142" s="36" t="s">
        <v>214</v>
      </c>
      <c r="BM142" s="36"/>
      <c r="BN142" s="36"/>
    </row>
    <row r="143" spans="1:66" x14ac:dyDescent="0.35">
      <c r="A143" s="36"/>
      <c r="B143" s="36"/>
      <c r="C143" s="37">
        <v>244626</v>
      </c>
      <c r="D143" s="37">
        <v>244626</v>
      </c>
      <c r="E143" s="36"/>
      <c r="F143" s="36" t="s">
        <v>192</v>
      </c>
      <c r="G143" s="36" t="s">
        <v>1</v>
      </c>
      <c r="H143" s="36">
        <v>0</v>
      </c>
      <c r="I143" s="36" t="s">
        <v>193</v>
      </c>
      <c r="J143" s="36" t="s">
        <v>194</v>
      </c>
      <c r="K143" s="36" t="s">
        <v>195</v>
      </c>
      <c r="L143" s="36">
        <v>923</v>
      </c>
      <c r="M143" s="36"/>
      <c r="N143" s="36" t="s">
        <v>612</v>
      </c>
      <c r="O143" s="36" t="s">
        <v>613</v>
      </c>
      <c r="P143" s="36">
        <v>2</v>
      </c>
      <c r="Q143" s="36" t="s">
        <v>551</v>
      </c>
      <c r="R143" s="37">
        <v>244412</v>
      </c>
      <c r="S143" s="37">
        <v>244626</v>
      </c>
      <c r="T143" s="36" t="s">
        <v>614</v>
      </c>
      <c r="U143" s="36">
        <v>23058587</v>
      </c>
      <c r="V143" s="36" t="s">
        <v>32</v>
      </c>
      <c r="W143" s="36">
        <v>5</v>
      </c>
      <c r="X143" s="36">
        <v>5</v>
      </c>
      <c r="Y143" s="36">
        <v>5</v>
      </c>
      <c r="Z143" s="36">
        <v>5</v>
      </c>
      <c r="AA143" s="36">
        <v>0</v>
      </c>
      <c r="AB143" s="36">
        <v>0</v>
      </c>
      <c r="AC143" s="36">
        <v>0</v>
      </c>
      <c r="AD143" s="36">
        <v>0</v>
      </c>
      <c r="AE143" s="36">
        <v>5</v>
      </c>
      <c r="AF143" s="36">
        <v>5</v>
      </c>
      <c r="AG143" s="36"/>
      <c r="AH143" s="36"/>
      <c r="AI143" s="36" t="s">
        <v>200</v>
      </c>
      <c r="AJ143" s="36" t="s">
        <v>201</v>
      </c>
      <c r="AK143" s="36" t="s">
        <v>215</v>
      </c>
      <c r="AL143" s="36" t="s">
        <v>203</v>
      </c>
      <c r="AM143" s="36" t="s">
        <v>204</v>
      </c>
      <c r="AN143" s="36" t="s">
        <v>222</v>
      </c>
      <c r="AO143" s="36" t="s">
        <v>206</v>
      </c>
      <c r="AP143" s="36">
        <v>2</v>
      </c>
      <c r="AQ143" s="36"/>
      <c r="AR143" s="36"/>
      <c r="AS143" s="36"/>
      <c r="AT143" s="36" t="s">
        <v>223</v>
      </c>
      <c r="AU143" s="36" t="s">
        <v>609</v>
      </c>
      <c r="AV143" s="36" t="s">
        <v>209</v>
      </c>
      <c r="AW143" s="36" t="s">
        <v>209</v>
      </c>
      <c r="AX143" s="36" t="s">
        <v>210</v>
      </c>
      <c r="AY143" s="36">
        <v>0</v>
      </c>
      <c r="AZ143" s="36" t="s">
        <v>211</v>
      </c>
      <c r="BA143" s="36">
        <v>9044988632868</v>
      </c>
      <c r="BB143" s="36"/>
      <c r="BC143" s="36"/>
      <c r="BD143" s="36">
        <v>1</v>
      </c>
      <c r="BE143" s="36"/>
      <c r="BF143" s="36" t="s">
        <v>212</v>
      </c>
      <c r="BG143" s="36">
        <v>1333314600</v>
      </c>
      <c r="BH143" s="36" t="s">
        <v>213</v>
      </c>
      <c r="BI143" s="36">
        <v>5</v>
      </c>
      <c r="BJ143" s="36">
        <v>5</v>
      </c>
      <c r="BK143" s="36">
        <v>1300</v>
      </c>
      <c r="BL143" s="36" t="s">
        <v>214</v>
      </c>
      <c r="BM143" s="36"/>
      <c r="BN143" s="36"/>
    </row>
    <row r="144" spans="1:66" x14ac:dyDescent="0.35">
      <c r="A144" s="36"/>
      <c r="B144" s="36"/>
      <c r="C144" s="37">
        <v>244626</v>
      </c>
      <c r="D144" s="37">
        <v>244626</v>
      </c>
      <c r="E144" s="36"/>
      <c r="F144" s="36" t="s">
        <v>192</v>
      </c>
      <c r="G144" s="36" t="s">
        <v>1</v>
      </c>
      <c r="H144" s="36">
        <v>0</v>
      </c>
      <c r="I144" s="36" t="s">
        <v>193</v>
      </c>
      <c r="J144" s="36" t="s">
        <v>194</v>
      </c>
      <c r="K144" s="36" t="s">
        <v>195</v>
      </c>
      <c r="L144" s="36">
        <v>923</v>
      </c>
      <c r="M144" s="36"/>
      <c r="N144" s="36" t="s">
        <v>612</v>
      </c>
      <c r="O144" s="36" t="s">
        <v>613</v>
      </c>
      <c r="P144" s="36">
        <v>2</v>
      </c>
      <c r="Q144" s="36" t="s">
        <v>551</v>
      </c>
      <c r="R144" s="37">
        <v>244412</v>
      </c>
      <c r="S144" s="37">
        <v>244626</v>
      </c>
      <c r="T144" s="36" t="s">
        <v>614</v>
      </c>
      <c r="U144" s="36">
        <v>23058584</v>
      </c>
      <c r="V144" s="36" t="s">
        <v>29</v>
      </c>
      <c r="W144" s="36">
        <v>20</v>
      </c>
      <c r="X144" s="36">
        <v>20</v>
      </c>
      <c r="Y144" s="36">
        <v>20</v>
      </c>
      <c r="Z144" s="36">
        <v>20</v>
      </c>
      <c r="AA144" s="36">
        <v>0</v>
      </c>
      <c r="AB144" s="36">
        <v>0</v>
      </c>
      <c r="AC144" s="36">
        <v>0</v>
      </c>
      <c r="AD144" s="36">
        <v>0</v>
      </c>
      <c r="AE144" s="36">
        <v>20</v>
      </c>
      <c r="AF144" s="36">
        <v>20</v>
      </c>
      <c r="AG144" s="36"/>
      <c r="AH144" s="36"/>
      <c r="AI144" s="36" t="s">
        <v>200</v>
      </c>
      <c r="AJ144" s="36" t="s">
        <v>201</v>
      </c>
      <c r="AK144" s="36" t="s">
        <v>215</v>
      </c>
      <c r="AL144" s="36" t="s">
        <v>203</v>
      </c>
      <c r="AM144" s="36" t="s">
        <v>204</v>
      </c>
      <c r="AN144" s="36" t="s">
        <v>222</v>
      </c>
      <c r="AO144" s="36" t="s">
        <v>206</v>
      </c>
      <c r="AP144" s="36">
        <v>2</v>
      </c>
      <c r="AQ144" s="36"/>
      <c r="AR144" s="36"/>
      <c r="AS144" s="36"/>
      <c r="AT144" s="36" t="s">
        <v>223</v>
      </c>
      <c r="AU144" s="36" t="s">
        <v>609</v>
      </c>
      <c r="AV144" s="36" t="s">
        <v>209</v>
      </c>
      <c r="AW144" s="36" t="s">
        <v>209</v>
      </c>
      <c r="AX144" s="36" t="s">
        <v>210</v>
      </c>
      <c r="AY144" s="36">
        <v>0</v>
      </c>
      <c r="AZ144" s="36" t="s">
        <v>211</v>
      </c>
      <c r="BA144" s="36">
        <v>9044988632868</v>
      </c>
      <c r="BB144" s="36"/>
      <c r="BC144" s="36"/>
      <c r="BD144" s="36">
        <v>1</v>
      </c>
      <c r="BE144" s="36"/>
      <c r="BF144" s="36" t="s">
        <v>212</v>
      </c>
      <c r="BG144" s="36">
        <v>1333314600</v>
      </c>
      <c r="BH144" s="36" t="s">
        <v>213</v>
      </c>
      <c r="BI144" s="36">
        <v>20</v>
      </c>
      <c r="BJ144" s="36">
        <v>20</v>
      </c>
      <c r="BK144" s="36">
        <v>1300</v>
      </c>
      <c r="BL144" s="36" t="s">
        <v>214</v>
      </c>
      <c r="BM144" s="36"/>
      <c r="BN144" s="36"/>
    </row>
    <row r="145" spans="1:66" x14ac:dyDescent="0.35">
      <c r="A145" s="36"/>
      <c r="B145" s="36"/>
      <c r="C145" s="37">
        <v>244626</v>
      </c>
      <c r="D145" s="37">
        <v>244626</v>
      </c>
      <c r="E145" s="36"/>
      <c r="F145" s="36" t="s">
        <v>192</v>
      </c>
      <c r="G145" s="36" t="s">
        <v>1</v>
      </c>
      <c r="H145" s="36">
        <v>0</v>
      </c>
      <c r="I145" s="36" t="s">
        <v>193</v>
      </c>
      <c r="J145" s="36" t="s">
        <v>194</v>
      </c>
      <c r="K145" s="36" t="s">
        <v>195</v>
      </c>
      <c r="L145" s="36">
        <v>923</v>
      </c>
      <c r="M145" s="36"/>
      <c r="N145" s="36" t="s">
        <v>612</v>
      </c>
      <c r="O145" s="36" t="s">
        <v>613</v>
      </c>
      <c r="P145" s="36">
        <v>2</v>
      </c>
      <c r="Q145" s="36" t="s">
        <v>551</v>
      </c>
      <c r="R145" s="37">
        <v>244412</v>
      </c>
      <c r="S145" s="37">
        <v>244626</v>
      </c>
      <c r="T145" s="36" t="s">
        <v>614</v>
      </c>
      <c r="U145" s="36">
        <v>23065141</v>
      </c>
      <c r="V145" s="36" t="s">
        <v>41</v>
      </c>
      <c r="W145" s="36">
        <v>50</v>
      </c>
      <c r="X145" s="36">
        <v>50</v>
      </c>
      <c r="Y145" s="36">
        <v>50</v>
      </c>
      <c r="Z145" s="36">
        <v>50</v>
      </c>
      <c r="AA145" s="36">
        <v>0</v>
      </c>
      <c r="AB145" s="36">
        <v>0</v>
      </c>
      <c r="AC145" s="36">
        <v>0</v>
      </c>
      <c r="AD145" s="36">
        <v>0</v>
      </c>
      <c r="AE145" s="36">
        <v>50</v>
      </c>
      <c r="AF145" s="36">
        <v>50</v>
      </c>
      <c r="AG145" s="36"/>
      <c r="AH145" s="36"/>
      <c r="AI145" s="36" t="s">
        <v>200</v>
      </c>
      <c r="AJ145" s="36" t="s">
        <v>201</v>
      </c>
      <c r="AK145" s="36" t="s">
        <v>202</v>
      </c>
      <c r="AL145" s="36" t="s">
        <v>203</v>
      </c>
      <c r="AM145" s="36" t="s">
        <v>204</v>
      </c>
      <c r="AN145" s="36" t="s">
        <v>222</v>
      </c>
      <c r="AO145" s="36" t="s">
        <v>206</v>
      </c>
      <c r="AP145" s="36">
        <v>2</v>
      </c>
      <c r="AQ145" s="36"/>
      <c r="AR145" s="36"/>
      <c r="AS145" s="36"/>
      <c r="AT145" s="36" t="s">
        <v>223</v>
      </c>
      <c r="AU145" s="36" t="s">
        <v>609</v>
      </c>
      <c r="AV145" s="36" t="s">
        <v>209</v>
      </c>
      <c r="AW145" s="36" t="s">
        <v>209</v>
      </c>
      <c r="AX145" s="36" t="s">
        <v>210</v>
      </c>
      <c r="AY145" s="36">
        <v>0</v>
      </c>
      <c r="AZ145" s="36" t="s">
        <v>211</v>
      </c>
      <c r="BA145" s="36">
        <v>9044988632868</v>
      </c>
      <c r="BB145" s="36"/>
      <c r="BC145" s="36"/>
      <c r="BD145" s="36">
        <v>1</v>
      </c>
      <c r="BE145" s="36"/>
      <c r="BF145" s="36" t="s">
        <v>212</v>
      </c>
      <c r="BG145" s="36">
        <v>1333314600</v>
      </c>
      <c r="BH145" s="36" t="s">
        <v>213</v>
      </c>
      <c r="BI145" s="36">
        <v>50</v>
      </c>
      <c r="BJ145" s="36">
        <v>50</v>
      </c>
      <c r="BK145" s="36">
        <v>1300</v>
      </c>
      <c r="BL145" s="36" t="s">
        <v>214</v>
      </c>
      <c r="BM145" s="36"/>
      <c r="BN145" s="36"/>
    </row>
    <row r="146" spans="1:66" x14ac:dyDescent="0.35">
      <c r="A146" s="36"/>
      <c r="B146" s="36"/>
      <c r="C146" s="37">
        <v>244626</v>
      </c>
      <c r="D146" s="37">
        <v>244626</v>
      </c>
      <c r="E146" s="36"/>
      <c r="F146" s="36" t="s">
        <v>192</v>
      </c>
      <c r="G146" s="36" t="s">
        <v>1</v>
      </c>
      <c r="H146" s="36">
        <v>0</v>
      </c>
      <c r="I146" s="36" t="s">
        <v>193</v>
      </c>
      <c r="J146" s="36" t="s">
        <v>194</v>
      </c>
      <c r="K146" s="36" t="s">
        <v>195</v>
      </c>
      <c r="L146" s="36">
        <v>923</v>
      </c>
      <c r="M146" s="36"/>
      <c r="N146" s="36" t="s">
        <v>612</v>
      </c>
      <c r="O146" s="36" t="s">
        <v>613</v>
      </c>
      <c r="P146" s="36">
        <v>2</v>
      </c>
      <c r="Q146" s="36" t="s">
        <v>551</v>
      </c>
      <c r="R146" s="37">
        <v>244412</v>
      </c>
      <c r="S146" s="37">
        <v>244626</v>
      </c>
      <c r="T146" s="36" t="s">
        <v>614</v>
      </c>
      <c r="U146" s="36">
        <v>23058552</v>
      </c>
      <c r="V146" s="36" t="s">
        <v>26</v>
      </c>
      <c r="W146" s="36">
        <v>80</v>
      </c>
      <c r="X146" s="36">
        <v>80</v>
      </c>
      <c r="Y146" s="36">
        <v>80</v>
      </c>
      <c r="Z146" s="36">
        <v>80</v>
      </c>
      <c r="AA146" s="36">
        <v>0</v>
      </c>
      <c r="AB146" s="36">
        <v>0</v>
      </c>
      <c r="AC146" s="36">
        <v>0</v>
      </c>
      <c r="AD146" s="36">
        <v>0</v>
      </c>
      <c r="AE146" s="36">
        <v>80</v>
      </c>
      <c r="AF146" s="36">
        <v>80</v>
      </c>
      <c r="AG146" s="36"/>
      <c r="AH146" s="36"/>
      <c r="AI146" s="36" t="s">
        <v>200</v>
      </c>
      <c r="AJ146" s="36" t="s">
        <v>201</v>
      </c>
      <c r="AK146" s="36" t="s">
        <v>215</v>
      </c>
      <c r="AL146" s="36" t="s">
        <v>203</v>
      </c>
      <c r="AM146" s="36" t="s">
        <v>204</v>
      </c>
      <c r="AN146" s="36" t="s">
        <v>222</v>
      </c>
      <c r="AO146" s="36" t="s">
        <v>206</v>
      </c>
      <c r="AP146" s="36">
        <v>2</v>
      </c>
      <c r="AQ146" s="36"/>
      <c r="AR146" s="36"/>
      <c r="AS146" s="36"/>
      <c r="AT146" s="36" t="s">
        <v>223</v>
      </c>
      <c r="AU146" s="36" t="s">
        <v>609</v>
      </c>
      <c r="AV146" s="36" t="s">
        <v>209</v>
      </c>
      <c r="AW146" s="36" t="s">
        <v>209</v>
      </c>
      <c r="AX146" s="36" t="s">
        <v>210</v>
      </c>
      <c r="AY146" s="36">
        <v>0</v>
      </c>
      <c r="AZ146" s="36" t="s">
        <v>211</v>
      </c>
      <c r="BA146" s="36">
        <v>9044988632868</v>
      </c>
      <c r="BB146" s="36"/>
      <c r="BC146" s="36"/>
      <c r="BD146" s="36">
        <v>1</v>
      </c>
      <c r="BE146" s="36"/>
      <c r="BF146" s="36" t="s">
        <v>212</v>
      </c>
      <c r="BG146" s="36">
        <v>1333314600</v>
      </c>
      <c r="BH146" s="36" t="s">
        <v>213</v>
      </c>
      <c r="BI146" s="36">
        <v>80</v>
      </c>
      <c r="BJ146" s="36">
        <v>80</v>
      </c>
      <c r="BK146" s="36">
        <v>1300</v>
      </c>
      <c r="BL146" s="36" t="s">
        <v>214</v>
      </c>
      <c r="BM146" s="36"/>
      <c r="BN146" s="36"/>
    </row>
    <row r="147" spans="1:66" x14ac:dyDescent="0.35">
      <c r="A147" s="36"/>
      <c r="B147" s="36"/>
      <c r="C147" s="37">
        <v>244626</v>
      </c>
      <c r="D147" s="37">
        <v>244626</v>
      </c>
      <c r="E147" s="36"/>
      <c r="F147" s="36" t="s">
        <v>192</v>
      </c>
      <c r="G147" s="36" t="s">
        <v>1</v>
      </c>
      <c r="H147" s="36">
        <v>0</v>
      </c>
      <c r="I147" s="36" t="s">
        <v>193</v>
      </c>
      <c r="J147" s="36" t="s">
        <v>194</v>
      </c>
      <c r="K147" s="36" t="s">
        <v>195</v>
      </c>
      <c r="L147" s="36">
        <v>923</v>
      </c>
      <c r="M147" s="36"/>
      <c r="N147" s="36" t="s">
        <v>612</v>
      </c>
      <c r="O147" s="36" t="s">
        <v>613</v>
      </c>
      <c r="P147" s="36">
        <v>2</v>
      </c>
      <c r="Q147" s="36" t="s">
        <v>551</v>
      </c>
      <c r="R147" s="37">
        <v>244412</v>
      </c>
      <c r="S147" s="37">
        <v>244626</v>
      </c>
      <c r="T147" s="36" t="s">
        <v>614</v>
      </c>
      <c r="U147" s="36">
        <v>23063759</v>
      </c>
      <c r="V147" s="36" t="s">
        <v>39</v>
      </c>
      <c r="W147" s="36">
        <v>200</v>
      </c>
      <c r="X147" s="36">
        <v>200</v>
      </c>
      <c r="Y147" s="36">
        <v>200</v>
      </c>
      <c r="Z147" s="36">
        <v>200</v>
      </c>
      <c r="AA147" s="36">
        <v>0</v>
      </c>
      <c r="AB147" s="36">
        <v>0</v>
      </c>
      <c r="AC147" s="36">
        <v>0</v>
      </c>
      <c r="AD147" s="36">
        <v>0</v>
      </c>
      <c r="AE147" s="36">
        <v>200</v>
      </c>
      <c r="AF147" s="36">
        <v>200</v>
      </c>
      <c r="AG147" s="36"/>
      <c r="AH147" s="36"/>
      <c r="AI147" s="36" t="s">
        <v>200</v>
      </c>
      <c r="AJ147" s="36" t="s">
        <v>201</v>
      </c>
      <c r="AK147" s="36" t="s">
        <v>215</v>
      </c>
      <c r="AL147" s="36" t="s">
        <v>203</v>
      </c>
      <c r="AM147" s="36" t="s">
        <v>204</v>
      </c>
      <c r="AN147" s="36" t="s">
        <v>222</v>
      </c>
      <c r="AO147" s="36" t="s">
        <v>206</v>
      </c>
      <c r="AP147" s="36">
        <v>2</v>
      </c>
      <c r="AQ147" s="36"/>
      <c r="AR147" s="36"/>
      <c r="AS147" s="36"/>
      <c r="AT147" s="36" t="s">
        <v>223</v>
      </c>
      <c r="AU147" s="36" t="s">
        <v>609</v>
      </c>
      <c r="AV147" s="36" t="s">
        <v>209</v>
      </c>
      <c r="AW147" s="36" t="s">
        <v>209</v>
      </c>
      <c r="AX147" s="36" t="s">
        <v>210</v>
      </c>
      <c r="AY147" s="36">
        <v>0</v>
      </c>
      <c r="AZ147" s="36" t="s">
        <v>211</v>
      </c>
      <c r="BA147" s="36">
        <v>9044988632868</v>
      </c>
      <c r="BB147" s="36"/>
      <c r="BC147" s="36"/>
      <c r="BD147" s="36">
        <v>1</v>
      </c>
      <c r="BE147" s="36"/>
      <c r="BF147" s="36" t="s">
        <v>212</v>
      </c>
      <c r="BG147" s="36">
        <v>1333314600</v>
      </c>
      <c r="BH147" s="36" t="s">
        <v>213</v>
      </c>
      <c r="BI147" s="36">
        <v>200</v>
      </c>
      <c r="BJ147" s="36">
        <v>200</v>
      </c>
      <c r="BK147" s="36">
        <v>1300</v>
      </c>
      <c r="BL147" s="36" t="s">
        <v>214</v>
      </c>
      <c r="BM147" s="36"/>
      <c r="BN147" s="36"/>
    </row>
    <row r="148" spans="1:66" x14ac:dyDescent="0.35">
      <c r="A148" s="36"/>
      <c r="B148" s="36"/>
      <c r="C148" s="37">
        <v>244626</v>
      </c>
      <c r="D148" s="37">
        <v>244626</v>
      </c>
      <c r="E148" s="36"/>
      <c r="F148" s="36" t="s">
        <v>192</v>
      </c>
      <c r="G148" s="36" t="s">
        <v>1</v>
      </c>
      <c r="H148" s="36">
        <v>0</v>
      </c>
      <c r="I148" s="36" t="s">
        <v>193</v>
      </c>
      <c r="J148" s="36" t="s">
        <v>194</v>
      </c>
      <c r="K148" s="36" t="s">
        <v>195</v>
      </c>
      <c r="L148" s="36">
        <v>923</v>
      </c>
      <c r="M148" s="36"/>
      <c r="N148" s="36" t="s">
        <v>612</v>
      </c>
      <c r="O148" s="36" t="s">
        <v>613</v>
      </c>
      <c r="P148" s="36">
        <v>2</v>
      </c>
      <c r="Q148" s="36" t="s">
        <v>551</v>
      </c>
      <c r="R148" s="37">
        <v>244412</v>
      </c>
      <c r="S148" s="37">
        <v>244626</v>
      </c>
      <c r="T148" s="36" t="s">
        <v>614</v>
      </c>
      <c r="U148" s="36">
        <v>23062105</v>
      </c>
      <c r="V148" s="36" t="s">
        <v>37</v>
      </c>
      <c r="W148" s="36">
        <v>10</v>
      </c>
      <c r="X148" s="36">
        <v>10</v>
      </c>
      <c r="Y148" s="36">
        <v>10</v>
      </c>
      <c r="Z148" s="36">
        <v>10</v>
      </c>
      <c r="AA148" s="36">
        <v>0</v>
      </c>
      <c r="AB148" s="36">
        <v>0</v>
      </c>
      <c r="AC148" s="36">
        <v>0</v>
      </c>
      <c r="AD148" s="36">
        <v>0</v>
      </c>
      <c r="AE148" s="36">
        <v>10</v>
      </c>
      <c r="AF148" s="36">
        <v>10</v>
      </c>
      <c r="AG148" s="36"/>
      <c r="AH148" s="36"/>
      <c r="AI148" s="36" t="s">
        <v>200</v>
      </c>
      <c r="AJ148" s="36" t="s">
        <v>201</v>
      </c>
      <c r="AK148" s="36" t="s">
        <v>215</v>
      </c>
      <c r="AL148" s="36" t="s">
        <v>203</v>
      </c>
      <c r="AM148" s="36" t="s">
        <v>204</v>
      </c>
      <c r="AN148" s="36" t="s">
        <v>222</v>
      </c>
      <c r="AO148" s="36" t="s">
        <v>206</v>
      </c>
      <c r="AP148" s="36">
        <v>2</v>
      </c>
      <c r="AQ148" s="36"/>
      <c r="AR148" s="36"/>
      <c r="AS148" s="36"/>
      <c r="AT148" s="36" t="s">
        <v>223</v>
      </c>
      <c r="AU148" s="36" t="s">
        <v>609</v>
      </c>
      <c r="AV148" s="36" t="s">
        <v>209</v>
      </c>
      <c r="AW148" s="36" t="s">
        <v>209</v>
      </c>
      <c r="AX148" s="36" t="s">
        <v>210</v>
      </c>
      <c r="AY148" s="36">
        <v>0</v>
      </c>
      <c r="AZ148" s="36" t="s">
        <v>211</v>
      </c>
      <c r="BA148" s="36">
        <v>9044988632868</v>
      </c>
      <c r="BB148" s="36"/>
      <c r="BC148" s="36"/>
      <c r="BD148" s="36">
        <v>1</v>
      </c>
      <c r="BE148" s="36"/>
      <c r="BF148" s="36" t="s">
        <v>212</v>
      </c>
      <c r="BG148" s="36">
        <v>1333314600</v>
      </c>
      <c r="BH148" s="36" t="s">
        <v>213</v>
      </c>
      <c r="BI148" s="36">
        <v>10</v>
      </c>
      <c r="BJ148" s="36">
        <v>10</v>
      </c>
      <c r="BK148" s="36">
        <v>1300</v>
      </c>
      <c r="BL148" s="36" t="s">
        <v>214</v>
      </c>
      <c r="BM148" s="36"/>
      <c r="BN148" s="36"/>
    </row>
    <row r="149" spans="1:66" x14ac:dyDescent="0.35">
      <c r="A149" s="36"/>
      <c r="B149" s="36"/>
      <c r="C149" s="37">
        <v>244626</v>
      </c>
      <c r="D149" s="37">
        <v>244626</v>
      </c>
      <c r="E149" s="36"/>
      <c r="F149" s="36" t="s">
        <v>192</v>
      </c>
      <c r="G149" s="36" t="s">
        <v>1</v>
      </c>
      <c r="H149" s="36">
        <v>0</v>
      </c>
      <c r="I149" s="36" t="s">
        <v>193</v>
      </c>
      <c r="J149" s="36" t="s">
        <v>194</v>
      </c>
      <c r="K149" s="36" t="s">
        <v>195</v>
      </c>
      <c r="L149" s="36">
        <v>923</v>
      </c>
      <c r="M149" s="36"/>
      <c r="N149" s="36" t="s">
        <v>612</v>
      </c>
      <c r="O149" s="36" t="s">
        <v>613</v>
      </c>
      <c r="P149" s="36">
        <v>2</v>
      </c>
      <c r="Q149" s="36" t="s">
        <v>551</v>
      </c>
      <c r="R149" s="37">
        <v>244412</v>
      </c>
      <c r="S149" s="37">
        <v>244626</v>
      </c>
      <c r="T149" s="36" t="s">
        <v>614</v>
      </c>
      <c r="U149" s="36">
        <v>23015265</v>
      </c>
      <c r="V149" s="36" t="s">
        <v>16</v>
      </c>
      <c r="W149" s="36">
        <v>50</v>
      </c>
      <c r="X149" s="36">
        <v>50</v>
      </c>
      <c r="Y149" s="36">
        <v>50</v>
      </c>
      <c r="Z149" s="36">
        <v>50</v>
      </c>
      <c r="AA149" s="36">
        <v>0</v>
      </c>
      <c r="AB149" s="36">
        <v>0</v>
      </c>
      <c r="AC149" s="36">
        <v>0</v>
      </c>
      <c r="AD149" s="36">
        <v>0</v>
      </c>
      <c r="AE149" s="36">
        <v>50</v>
      </c>
      <c r="AF149" s="36">
        <v>50</v>
      </c>
      <c r="AG149" s="36"/>
      <c r="AH149" s="36"/>
      <c r="AI149" s="36" t="s">
        <v>200</v>
      </c>
      <c r="AJ149" s="36" t="s">
        <v>201</v>
      </c>
      <c r="AK149" s="36" t="s">
        <v>202</v>
      </c>
      <c r="AL149" s="36" t="s">
        <v>203</v>
      </c>
      <c r="AM149" s="36" t="s">
        <v>204</v>
      </c>
      <c r="AN149" s="36" t="s">
        <v>222</v>
      </c>
      <c r="AO149" s="36" t="s">
        <v>206</v>
      </c>
      <c r="AP149" s="36">
        <v>2</v>
      </c>
      <c r="AQ149" s="36"/>
      <c r="AR149" s="36"/>
      <c r="AS149" s="36"/>
      <c r="AT149" s="36" t="s">
        <v>223</v>
      </c>
      <c r="AU149" s="36" t="s">
        <v>609</v>
      </c>
      <c r="AV149" s="36" t="s">
        <v>209</v>
      </c>
      <c r="AW149" s="36" t="s">
        <v>209</v>
      </c>
      <c r="AX149" s="36" t="s">
        <v>210</v>
      </c>
      <c r="AY149" s="36">
        <v>0</v>
      </c>
      <c r="AZ149" s="36" t="s">
        <v>211</v>
      </c>
      <c r="BA149" s="36">
        <v>9044988632868</v>
      </c>
      <c r="BB149" s="36"/>
      <c r="BC149" s="36"/>
      <c r="BD149" s="36">
        <v>1</v>
      </c>
      <c r="BE149" s="36"/>
      <c r="BF149" s="36" t="s">
        <v>212</v>
      </c>
      <c r="BG149" s="36">
        <v>1333314600</v>
      </c>
      <c r="BH149" s="36" t="s">
        <v>213</v>
      </c>
      <c r="BI149" s="36">
        <v>50</v>
      </c>
      <c r="BJ149" s="36">
        <v>50</v>
      </c>
      <c r="BK149" s="36">
        <v>1300</v>
      </c>
      <c r="BL149" s="36" t="s">
        <v>214</v>
      </c>
      <c r="BM149" s="36"/>
      <c r="BN149" s="36"/>
    </row>
    <row r="150" spans="1:66" x14ac:dyDescent="0.35">
      <c r="A150" s="36"/>
      <c r="B150" s="36"/>
      <c r="C150" s="37">
        <v>244626</v>
      </c>
      <c r="D150" s="37">
        <v>244626</v>
      </c>
      <c r="E150" s="36"/>
      <c r="F150" s="36" t="s">
        <v>192</v>
      </c>
      <c r="G150" s="36" t="s">
        <v>1</v>
      </c>
      <c r="H150" s="36">
        <v>0</v>
      </c>
      <c r="I150" s="36" t="s">
        <v>193</v>
      </c>
      <c r="J150" s="36" t="s">
        <v>194</v>
      </c>
      <c r="K150" s="36" t="s">
        <v>195</v>
      </c>
      <c r="L150" s="36">
        <v>923</v>
      </c>
      <c r="M150" s="36"/>
      <c r="N150" s="36" t="s">
        <v>612</v>
      </c>
      <c r="O150" s="36" t="s">
        <v>613</v>
      </c>
      <c r="P150" s="36">
        <v>2</v>
      </c>
      <c r="Q150" s="36" t="s">
        <v>551</v>
      </c>
      <c r="R150" s="37">
        <v>244412</v>
      </c>
      <c r="S150" s="37">
        <v>244626</v>
      </c>
      <c r="T150" s="36" t="s">
        <v>614</v>
      </c>
      <c r="U150" s="36">
        <v>23058590</v>
      </c>
      <c r="V150" s="36" t="s">
        <v>34</v>
      </c>
      <c r="W150" s="36">
        <v>20</v>
      </c>
      <c r="X150" s="36">
        <v>20</v>
      </c>
      <c r="Y150" s="36">
        <v>20</v>
      </c>
      <c r="Z150" s="36">
        <v>20</v>
      </c>
      <c r="AA150" s="36">
        <v>0</v>
      </c>
      <c r="AB150" s="36">
        <v>0</v>
      </c>
      <c r="AC150" s="36">
        <v>0</v>
      </c>
      <c r="AD150" s="36">
        <v>0</v>
      </c>
      <c r="AE150" s="36">
        <v>20</v>
      </c>
      <c r="AF150" s="36">
        <v>20</v>
      </c>
      <c r="AG150" s="36"/>
      <c r="AH150" s="36"/>
      <c r="AI150" s="36" t="s">
        <v>200</v>
      </c>
      <c r="AJ150" s="36" t="s">
        <v>201</v>
      </c>
      <c r="AK150" s="36" t="s">
        <v>215</v>
      </c>
      <c r="AL150" s="36" t="s">
        <v>203</v>
      </c>
      <c r="AM150" s="36" t="s">
        <v>204</v>
      </c>
      <c r="AN150" s="36" t="s">
        <v>222</v>
      </c>
      <c r="AO150" s="36" t="s">
        <v>206</v>
      </c>
      <c r="AP150" s="36">
        <v>2</v>
      </c>
      <c r="AQ150" s="36"/>
      <c r="AR150" s="36"/>
      <c r="AS150" s="36"/>
      <c r="AT150" s="36" t="s">
        <v>223</v>
      </c>
      <c r="AU150" s="36" t="s">
        <v>609</v>
      </c>
      <c r="AV150" s="36" t="s">
        <v>209</v>
      </c>
      <c r="AW150" s="36" t="s">
        <v>209</v>
      </c>
      <c r="AX150" s="36" t="s">
        <v>210</v>
      </c>
      <c r="AY150" s="36">
        <v>0</v>
      </c>
      <c r="AZ150" s="36" t="s">
        <v>211</v>
      </c>
      <c r="BA150" s="36">
        <v>9044988632868</v>
      </c>
      <c r="BB150" s="36"/>
      <c r="BC150" s="36"/>
      <c r="BD150" s="36">
        <v>1</v>
      </c>
      <c r="BE150" s="36"/>
      <c r="BF150" s="36" t="s">
        <v>212</v>
      </c>
      <c r="BG150" s="36">
        <v>1333314600</v>
      </c>
      <c r="BH150" s="36" t="s">
        <v>213</v>
      </c>
      <c r="BI150" s="36">
        <v>20</v>
      </c>
      <c r="BJ150" s="36">
        <v>20</v>
      </c>
      <c r="BK150" s="36">
        <v>1300</v>
      </c>
      <c r="BL150" s="36" t="s">
        <v>214</v>
      </c>
      <c r="BM150" s="36"/>
      <c r="BN150" s="36"/>
    </row>
    <row r="151" spans="1:66" x14ac:dyDescent="0.35">
      <c r="A151" s="36"/>
      <c r="B151" s="36"/>
      <c r="C151" s="37">
        <v>244626</v>
      </c>
      <c r="D151" s="37">
        <v>244626</v>
      </c>
      <c r="E151" s="36"/>
      <c r="F151" s="36" t="s">
        <v>192</v>
      </c>
      <c r="G151" s="36" t="s">
        <v>1</v>
      </c>
      <c r="H151" s="36">
        <v>0</v>
      </c>
      <c r="I151" s="36" t="s">
        <v>193</v>
      </c>
      <c r="J151" s="36" t="s">
        <v>194</v>
      </c>
      <c r="K151" s="36" t="s">
        <v>195</v>
      </c>
      <c r="L151" s="36">
        <v>923</v>
      </c>
      <c r="M151" s="36"/>
      <c r="N151" s="36" t="s">
        <v>612</v>
      </c>
      <c r="O151" s="36" t="s">
        <v>613</v>
      </c>
      <c r="P151" s="36">
        <v>2</v>
      </c>
      <c r="Q151" s="36" t="s">
        <v>551</v>
      </c>
      <c r="R151" s="37">
        <v>244412</v>
      </c>
      <c r="S151" s="37">
        <v>244626</v>
      </c>
      <c r="T151" s="36" t="s">
        <v>614</v>
      </c>
      <c r="U151" s="36">
        <v>23062103</v>
      </c>
      <c r="V151" s="36" t="s">
        <v>111</v>
      </c>
      <c r="W151" s="36">
        <v>5</v>
      </c>
      <c r="X151" s="36">
        <v>5</v>
      </c>
      <c r="Y151" s="36">
        <v>5</v>
      </c>
      <c r="Z151" s="36">
        <v>5</v>
      </c>
      <c r="AA151" s="36">
        <v>0</v>
      </c>
      <c r="AB151" s="36">
        <v>0</v>
      </c>
      <c r="AC151" s="36">
        <v>0</v>
      </c>
      <c r="AD151" s="36">
        <v>0</v>
      </c>
      <c r="AE151" s="36">
        <v>5</v>
      </c>
      <c r="AF151" s="36">
        <v>5</v>
      </c>
      <c r="AG151" s="36"/>
      <c r="AH151" s="36"/>
      <c r="AI151" s="36" t="s">
        <v>200</v>
      </c>
      <c r="AJ151" s="36" t="s">
        <v>201</v>
      </c>
      <c r="AK151" s="36" t="s">
        <v>215</v>
      </c>
      <c r="AL151" s="36" t="s">
        <v>203</v>
      </c>
      <c r="AM151" s="36" t="s">
        <v>204</v>
      </c>
      <c r="AN151" s="36" t="s">
        <v>222</v>
      </c>
      <c r="AO151" s="36" t="s">
        <v>206</v>
      </c>
      <c r="AP151" s="36">
        <v>2</v>
      </c>
      <c r="AQ151" s="36"/>
      <c r="AR151" s="36"/>
      <c r="AS151" s="36"/>
      <c r="AT151" s="36" t="s">
        <v>223</v>
      </c>
      <c r="AU151" s="36" t="s">
        <v>609</v>
      </c>
      <c r="AV151" s="36" t="s">
        <v>209</v>
      </c>
      <c r="AW151" s="36" t="s">
        <v>209</v>
      </c>
      <c r="AX151" s="36" t="s">
        <v>210</v>
      </c>
      <c r="AY151" s="36">
        <v>0</v>
      </c>
      <c r="AZ151" s="36" t="s">
        <v>211</v>
      </c>
      <c r="BA151" s="36">
        <v>9044988632868</v>
      </c>
      <c r="BB151" s="36"/>
      <c r="BC151" s="36"/>
      <c r="BD151" s="36">
        <v>1</v>
      </c>
      <c r="BE151" s="36"/>
      <c r="BF151" s="36" t="s">
        <v>212</v>
      </c>
      <c r="BG151" s="36">
        <v>1333314600</v>
      </c>
      <c r="BH151" s="36" t="s">
        <v>213</v>
      </c>
      <c r="BI151" s="36">
        <v>5</v>
      </c>
      <c r="BJ151" s="36">
        <v>5</v>
      </c>
      <c r="BK151" s="36">
        <v>1300</v>
      </c>
      <c r="BL151" s="36" t="s">
        <v>214</v>
      </c>
      <c r="BM151" s="36"/>
      <c r="BN151" s="36"/>
    </row>
    <row r="152" spans="1:66" x14ac:dyDescent="0.35">
      <c r="A152" s="36"/>
      <c r="B152" s="36"/>
      <c r="C152" s="37">
        <v>244626</v>
      </c>
      <c r="D152" s="37">
        <v>244626</v>
      </c>
      <c r="E152" s="36"/>
      <c r="F152" s="36" t="s">
        <v>192</v>
      </c>
      <c r="G152" s="36" t="s">
        <v>1</v>
      </c>
      <c r="H152" s="36">
        <v>0</v>
      </c>
      <c r="I152" s="36" t="s">
        <v>193</v>
      </c>
      <c r="J152" s="36" t="s">
        <v>194</v>
      </c>
      <c r="K152" s="36" t="s">
        <v>195</v>
      </c>
      <c r="L152" s="36">
        <v>923</v>
      </c>
      <c r="M152" s="36"/>
      <c r="N152" s="36" t="s">
        <v>612</v>
      </c>
      <c r="O152" s="36" t="s">
        <v>613</v>
      </c>
      <c r="P152" s="36">
        <v>2</v>
      </c>
      <c r="Q152" s="36" t="s">
        <v>551</v>
      </c>
      <c r="R152" s="37">
        <v>244412</v>
      </c>
      <c r="S152" s="37">
        <v>244626</v>
      </c>
      <c r="T152" s="36" t="s">
        <v>614</v>
      </c>
      <c r="U152" s="36">
        <v>23066879</v>
      </c>
      <c r="V152" s="36" t="s">
        <v>45</v>
      </c>
      <c r="W152" s="36">
        <v>20</v>
      </c>
      <c r="X152" s="36">
        <v>20</v>
      </c>
      <c r="Y152" s="36">
        <v>20</v>
      </c>
      <c r="Z152" s="36">
        <v>20</v>
      </c>
      <c r="AA152" s="36">
        <v>0</v>
      </c>
      <c r="AB152" s="36">
        <v>0</v>
      </c>
      <c r="AC152" s="36">
        <v>0</v>
      </c>
      <c r="AD152" s="36">
        <v>0</v>
      </c>
      <c r="AE152" s="36">
        <v>20</v>
      </c>
      <c r="AF152" s="36">
        <v>20</v>
      </c>
      <c r="AG152" s="36"/>
      <c r="AH152" s="36"/>
      <c r="AI152" s="36" t="s">
        <v>200</v>
      </c>
      <c r="AJ152" s="36" t="s">
        <v>201</v>
      </c>
      <c r="AK152" s="36" t="s">
        <v>215</v>
      </c>
      <c r="AL152" s="36" t="s">
        <v>203</v>
      </c>
      <c r="AM152" s="36" t="s">
        <v>204</v>
      </c>
      <c r="AN152" s="36" t="s">
        <v>222</v>
      </c>
      <c r="AO152" s="36" t="s">
        <v>206</v>
      </c>
      <c r="AP152" s="36">
        <v>2</v>
      </c>
      <c r="AQ152" s="36"/>
      <c r="AR152" s="36"/>
      <c r="AS152" s="36"/>
      <c r="AT152" s="36" t="s">
        <v>223</v>
      </c>
      <c r="AU152" s="36" t="s">
        <v>609</v>
      </c>
      <c r="AV152" s="36" t="s">
        <v>209</v>
      </c>
      <c r="AW152" s="36" t="s">
        <v>209</v>
      </c>
      <c r="AX152" s="36" t="s">
        <v>210</v>
      </c>
      <c r="AY152" s="36">
        <v>0</v>
      </c>
      <c r="AZ152" s="36" t="s">
        <v>211</v>
      </c>
      <c r="BA152" s="36">
        <v>9044988632868</v>
      </c>
      <c r="BB152" s="36"/>
      <c r="BC152" s="36"/>
      <c r="BD152" s="36">
        <v>1</v>
      </c>
      <c r="BE152" s="36"/>
      <c r="BF152" s="36" t="s">
        <v>212</v>
      </c>
      <c r="BG152" s="36">
        <v>1333314600</v>
      </c>
      <c r="BH152" s="36" t="s">
        <v>213</v>
      </c>
      <c r="BI152" s="36">
        <v>20</v>
      </c>
      <c r="BJ152" s="36">
        <v>20</v>
      </c>
      <c r="BK152" s="36">
        <v>1300</v>
      </c>
      <c r="BL152" s="36" t="s">
        <v>214</v>
      </c>
      <c r="BM152" s="36"/>
      <c r="BN152" s="36"/>
    </row>
    <row r="153" spans="1:66" x14ac:dyDescent="0.35">
      <c r="A153" s="36"/>
      <c r="B153" s="36"/>
      <c r="C153" s="37">
        <v>244626</v>
      </c>
      <c r="D153" s="37">
        <v>244626</v>
      </c>
      <c r="E153" s="36"/>
      <c r="F153" s="36" t="s">
        <v>192</v>
      </c>
      <c r="G153" s="36" t="s">
        <v>1</v>
      </c>
      <c r="H153" s="36">
        <v>0</v>
      </c>
      <c r="I153" s="36" t="s">
        <v>193</v>
      </c>
      <c r="J153" s="36" t="s">
        <v>194</v>
      </c>
      <c r="K153" s="36" t="s">
        <v>195</v>
      </c>
      <c r="L153" s="36">
        <v>923</v>
      </c>
      <c r="M153" s="36"/>
      <c r="N153" s="36" t="s">
        <v>612</v>
      </c>
      <c r="O153" s="36" t="s">
        <v>613</v>
      </c>
      <c r="P153" s="36">
        <v>2</v>
      </c>
      <c r="Q153" s="36" t="s">
        <v>551</v>
      </c>
      <c r="R153" s="37">
        <v>244412</v>
      </c>
      <c r="S153" s="37">
        <v>244626</v>
      </c>
      <c r="T153" s="36" t="s">
        <v>614</v>
      </c>
      <c r="U153" s="36">
        <v>23065142</v>
      </c>
      <c r="V153" s="36" t="s">
        <v>42</v>
      </c>
      <c r="W153" s="36">
        <v>50</v>
      </c>
      <c r="X153" s="36">
        <v>50</v>
      </c>
      <c r="Y153" s="36">
        <v>50</v>
      </c>
      <c r="Z153" s="36">
        <v>50</v>
      </c>
      <c r="AA153" s="36">
        <v>0</v>
      </c>
      <c r="AB153" s="36">
        <v>0</v>
      </c>
      <c r="AC153" s="36">
        <v>0</v>
      </c>
      <c r="AD153" s="36">
        <v>0</v>
      </c>
      <c r="AE153" s="36">
        <v>50</v>
      </c>
      <c r="AF153" s="36">
        <v>50</v>
      </c>
      <c r="AG153" s="36"/>
      <c r="AH153" s="36"/>
      <c r="AI153" s="36" t="s">
        <v>200</v>
      </c>
      <c r="AJ153" s="36" t="s">
        <v>201</v>
      </c>
      <c r="AK153" s="36" t="s">
        <v>202</v>
      </c>
      <c r="AL153" s="36" t="s">
        <v>203</v>
      </c>
      <c r="AM153" s="36" t="s">
        <v>204</v>
      </c>
      <c r="AN153" s="36" t="s">
        <v>222</v>
      </c>
      <c r="AO153" s="36" t="s">
        <v>206</v>
      </c>
      <c r="AP153" s="36">
        <v>2</v>
      </c>
      <c r="AQ153" s="36"/>
      <c r="AR153" s="36"/>
      <c r="AS153" s="36"/>
      <c r="AT153" s="36" t="s">
        <v>223</v>
      </c>
      <c r="AU153" s="36" t="s">
        <v>609</v>
      </c>
      <c r="AV153" s="36" t="s">
        <v>209</v>
      </c>
      <c r="AW153" s="36" t="s">
        <v>209</v>
      </c>
      <c r="AX153" s="36" t="s">
        <v>210</v>
      </c>
      <c r="AY153" s="36">
        <v>0</v>
      </c>
      <c r="AZ153" s="36" t="s">
        <v>211</v>
      </c>
      <c r="BA153" s="36">
        <v>9044988632868</v>
      </c>
      <c r="BB153" s="36"/>
      <c r="BC153" s="36"/>
      <c r="BD153" s="36">
        <v>1</v>
      </c>
      <c r="BE153" s="36"/>
      <c r="BF153" s="36" t="s">
        <v>212</v>
      </c>
      <c r="BG153" s="36">
        <v>1333314600</v>
      </c>
      <c r="BH153" s="36" t="s">
        <v>213</v>
      </c>
      <c r="BI153" s="36">
        <v>50</v>
      </c>
      <c r="BJ153" s="36">
        <v>50</v>
      </c>
      <c r="BK153" s="36">
        <v>1300</v>
      </c>
      <c r="BL153" s="36" t="s">
        <v>214</v>
      </c>
      <c r="BM153" s="36"/>
      <c r="BN153" s="36"/>
    </row>
    <row r="154" spans="1:66" x14ac:dyDescent="0.35">
      <c r="A154" s="36"/>
      <c r="B154" s="36"/>
      <c r="C154" s="37">
        <v>244626</v>
      </c>
      <c r="D154" s="37">
        <v>244626</v>
      </c>
      <c r="E154" s="36"/>
      <c r="F154" s="36" t="s">
        <v>192</v>
      </c>
      <c r="G154" s="36" t="s">
        <v>1</v>
      </c>
      <c r="H154" s="36">
        <v>0</v>
      </c>
      <c r="I154" s="36" t="s">
        <v>193</v>
      </c>
      <c r="J154" s="36" t="s">
        <v>194</v>
      </c>
      <c r="K154" s="36" t="s">
        <v>195</v>
      </c>
      <c r="L154" s="36">
        <v>923</v>
      </c>
      <c r="M154" s="36"/>
      <c r="N154" s="36" t="s">
        <v>612</v>
      </c>
      <c r="O154" s="36" t="s">
        <v>613</v>
      </c>
      <c r="P154" s="36">
        <v>2</v>
      </c>
      <c r="Q154" s="36" t="s">
        <v>551</v>
      </c>
      <c r="R154" s="37">
        <v>244412</v>
      </c>
      <c r="S154" s="37">
        <v>244626</v>
      </c>
      <c r="T154" s="36" t="s">
        <v>614</v>
      </c>
      <c r="U154" s="36">
        <v>23058551</v>
      </c>
      <c r="V154" s="36" t="s">
        <v>25</v>
      </c>
      <c r="W154" s="36">
        <v>100</v>
      </c>
      <c r="X154" s="36">
        <v>100</v>
      </c>
      <c r="Y154" s="36">
        <v>100</v>
      </c>
      <c r="Z154" s="36">
        <v>100</v>
      </c>
      <c r="AA154" s="36">
        <v>0</v>
      </c>
      <c r="AB154" s="36">
        <v>0</v>
      </c>
      <c r="AC154" s="36">
        <v>0</v>
      </c>
      <c r="AD154" s="36">
        <v>0</v>
      </c>
      <c r="AE154" s="36">
        <v>100</v>
      </c>
      <c r="AF154" s="36">
        <v>100</v>
      </c>
      <c r="AG154" s="36"/>
      <c r="AH154" s="36"/>
      <c r="AI154" s="36" t="s">
        <v>200</v>
      </c>
      <c r="AJ154" s="36" t="s">
        <v>201</v>
      </c>
      <c r="AK154" s="36" t="s">
        <v>202</v>
      </c>
      <c r="AL154" s="36" t="s">
        <v>203</v>
      </c>
      <c r="AM154" s="36" t="s">
        <v>204</v>
      </c>
      <c r="AN154" s="36" t="s">
        <v>222</v>
      </c>
      <c r="AO154" s="36" t="s">
        <v>206</v>
      </c>
      <c r="AP154" s="36">
        <v>2</v>
      </c>
      <c r="AQ154" s="36"/>
      <c r="AR154" s="36"/>
      <c r="AS154" s="36"/>
      <c r="AT154" s="36" t="s">
        <v>223</v>
      </c>
      <c r="AU154" s="36" t="s">
        <v>609</v>
      </c>
      <c r="AV154" s="36" t="s">
        <v>209</v>
      </c>
      <c r="AW154" s="36" t="s">
        <v>209</v>
      </c>
      <c r="AX154" s="36" t="s">
        <v>210</v>
      </c>
      <c r="AY154" s="36">
        <v>0</v>
      </c>
      <c r="AZ154" s="36" t="s">
        <v>211</v>
      </c>
      <c r="BA154" s="36">
        <v>9044988632868</v>
      </c>
      <c r="BB154" s="36"/>
      <c r="BC154" s="36"/>
      <c r="BD154" s="36">
        <v>1</v>
      </c>
      <c r="BE154" s="36"/>
      <c r="BF154" s="36" t="s">
        <v>212</v>
      </c>
      <c r="BG154" s="36">
        <v>1333314600</v>
      </c>
      <c r="BH154" s="36" t="s">
        <v>213</v>
      </c>
      <c r="BI154" s="36">
        <v>100</v>
      </c>
      <c r="BJ154" s="36">
        <v>100</v>
      </c>
      <c r="BK154" s="36">
        <v>1300</v>
      </c>
      <c r="BL154" s="36" t="s">
        <v>214</v>
      </c>
      <c r="BM154" s="36"/>
      <c r="BN154" s="36"/>
    </row>
    <row r="155" spans="1:66" x14ac:dyDescent="0.35">
      <c r="A155" s="36"/>
      <c r="B155" s="36"/>
      <c r="C155" s="37">
        <v>244626</v>
      </c>
      <c r="D155" s="37">
        <v>244626</v>
      </c>
      <c r="E155" s="36"/>
      <c r="F155" s="36" t="s">
        <v>192</v>
      </c>
      <c r="G155" s="36" t="s">
        <v>1</v>
      </c>
      <c r="H155" s="36">
        <v>0</v>
      </c>
      <c r="I155" s="36" t="s">
        <v>193</v>
      </c>
      <c r="J155" s="36" t="s">
        <v>194</v>
      </c>
      <c r="K155" s="36" t="s">
        <v>195</v>
      </c>
      <c r="L155" s="36">
        <v>923</v>
      </c>
      <c r="M155" s="36"/>
      <c r="N155" s="36" t="s">
        <v>612</v>
      </c>
      <c r="O155" s="36" t="s">
        <v>613</v>
      </c>
      <c r="P155" s="36">
        <v>2</v>
      </c>
      <c r="Q155" s="36" t="s">
        <v>551</v>
      </c>
      <c r="R155" s="37">
        <v>244412</v>
      </c>
      <c r="S155" s="37">
        <v>244626</v>
      </c>
      <c r="T155" s="36" t="s">
        <v>614</v>
      </c>
      <c r="U155" s="36">
        <v>23057827</v>
      </c>
      <c r="V155" s="36" t="s">
        <v>24</v>
      </c>
      <c r="W155" s="36">
        <v>20</v>
      </c>
      <c r="X155" s="36">
        <v>20</v>
      </c>
      <c r="Y155" s="36">
        <v>20</v>
      </c>
      <c r="Z155" s="36">
        <v>20</v>
      </c>
      <c r="AA155" s="36">
        <v>0</v>
      </c>
      <c r="AB155" s="36">
        <v>0</v>
      </c>
      <c r="AC155" s="36">
        <v>0</v>
      </c>
      <c r="AD155" s="36">
        <v>0</v>
      </c>
      <c r="AE155" s="36">
        <v>20</v>
      </c>
      <c r="AF155" s="36">
        <v>20</v>
      </c>
      <c r="AG155" s="36"/>
      <c r="AH155" s="36"/>
      <c r="AI155" s="36" t="s">
        <v>200</v>
      </c>
      <c r="AJ155" s="36" t="s">
        <v>201</v>
      </c>
      <c r="AK155" s="36" t="s">
        <v>202</v>
      </c>
      <c r="AL155" s="36" t="s">
        <v>203</v>
      </c>
      <c r="AM155" s="36" t="s">
        <v>204</v>
      </c>
      <c r="AN155" s="36" t="s">
        <v>222</v>
      </c>
      <c r="AO155" s="36" t="s">
        <v>206</v>
      </c>
      <c r="AP155" s="36">
        <v>2</v>
      </c>
      <c r="AQ155" s="36"/>
      <c r="AR155" s="36"/>
      <c r="AS155" s="36"/>
      <c r="AT155" s="36" t="s">
        <v>223</v>
      </c>
      <c r="AU155" s="36" t="s">
        <v>609</v>
      </c>
      <c r="AV155" s="36" t="s">
        <v>209</v>
      </c>
      <c r="AW155" s="36" t="s">
        <v>209</v>
      </c>
      <c r="AX155" s="36" t="s">
        <v>210</v>
      </c>
      <c r="AY155" s="36">
        <v>0</v>
      </c>
      <c r="AZ155" s="36" t="s">
        <v>211</v>
      </c>
      <c r="BA155" s="36">
        <v>9044988632868</v>
      </c>
      <c r="BB155" s="36"/>
      <c r="BC155" s="36"/>
      <c r="BD155" s="36">
        <v>1</v>
      </c>
      <c r="BE155" s="36"/>
      <c r="BF155" s="36" t="s">
        <v>212</v>
      </c>
      <c r="BG155" s="36">
        <v>1333314600</v>
      </c>
      <c r="BH155" s="36" t="s">
        <v>213</v>
      </c>
      <c r="BI155" s="36">
        <v>20</v>
      </c>
      <c r="BJ155" s="36">
        <v>20</v>
      </c>
      <c r="BK155" s="36">
        <v>1300</v>
      </c>
      <c r="BL155" s="36" t="s">
        <v>214</v>
      </c>
      <c r="BM155" s="36"/>
      <c r="BN155" s="36"/>
    </row>
    <row r="156" spans="1:66" x14ac:dyDescent="0.35">
      <c r="A156" s="36"/>
      <c r="B156" s="36"/>
      <c r="C156" s="37">
        <v>244626</v>
      </c>
      <c r="D156" s="37">
        <v>244626</v>
      </c>
      <c r="E156" s="36"/>
      <c r="F156" s="36" t="s">
        <v>192</v>
      </c>
      <c r="G156" s="36" t="s">
        <v>1</v>
      </c>
      <c r="H156" s="36">
        <v>0</v>
      </c>
      <c r="I156" s="36" t="s">
        <v>193</v>
      </c>
      <c r="J156" s="36" t="s">
        <v>194</v>
      </c>
      <c r="K156" s="36" t="s">
        <v>195</v>
      </c>
      <c r="L156" s="36">
        <v>923</v>
      </c>
      <c r="M156" s="36"/>
      <c r="N156" s="36" t="s">
        <v>612</v>
      </c>
      <c r="O156" s="36" t="s">
        <v>613</v>
      </c>
      <c r="P156" s="36">
        <v>2</v>
      </c>
      <c r="Q156" s="36" t="s">
        <v>551</v>
      </c>
      <c r="R156" s="37">
        <v>244412</v>
      </c>
      <c r="S156" s="37">
        <v>244626</v>
      </c>
      <c r="T156" s="36" t="s">
        <v>614</v>
      </c>
      <c r="U156" s="36">
        <v>23058555</v>
      </c>
      <c r="V156" s="36" t="s">
        <v>28</v>
      </c>
      <c r="W156" s="36">
        <v>100</v>
      </c>
      <c r="X156" s="36">
        <v>100</v>
      </c>
      <c r="Y156" s="36">
        <v>100</v>
      </c>
      <c r="Z156" s="36">
        <v>100</v>
      </c>
      <c r="AA156" s="36">
        <v>0</v>
      </c>
      <c r="AB156" s="36">
        <v>0</v>
      </c>
      <c r="AC156" s="36">
        <v>0</v>
      </c>
      <c r="AD156" s="36">
        <v>0</v>
      </c>
      <c r="AE156" s="36">
        <v>100</v>
      </c>
      <c r="AF156" s="36">
        <v>100</v>
      </c>
      <c r="AG156" s="36"/>
      <c r="AH156" s="36"/>
      <c r="AI156" s="36" t="s">
        <v>200</v>
      </c>
      <c r="AJ156" s="36" t="s">
        <v>201</v>
      </c>
      <c r="AK156" s="36" t="s">
        <v>215</v>
      </c>
      <c r="AL156" s="36" t="s">
        <v>203</v>
      </c>
      <c r="AM156" s="36" t="s">
        <v>204</v>
      </c>
      <c r="AN156" s="36" t="s">
        <v>222</v>
      </c>
      <c r="AO156" s="36" t="s">
        <v>206</v>
      </c>
      <c r="AP156" s="36">
        <v>2</v>
      </c>
      <c r="AQ156" s="36"/>
      <c r="AR156" s="36"/>
      <c r="AS156" s="36"/>
      <c r="AT156" s="36" t="s">
        <v>223</v>
      </c>
      <c r="AU156" s="36" t="s">
        <v>609</v>
      </c>
      <c r="AV156" s="36" t="s">
        <v>209</v>
      </c>
      <c r="AW156" s="36" t="s">
        <v>209</v>
      </c>
      <c r="AX156" s="36" t="s">
        <v>210</v>
      </c>
      <c r="AY156" s="36">
        <v>0</v>
      </c>
      <c r="AZ156" s="36" t="s">
        <v>211</v>
      </c>
      <c r="BA156" s="36">
        <v>9044988632868</v>
      </c>
      <c r="BB156" s="36"/>
      <c r="BC156" s="36"/>
      <c r="BD156" s="36">
        <v>1</v>
      </c>
      <c r="BE156" s="36"/>
      <c r="BF156" s="36" t="s">
        <v>212</v>
      </c>
      <c r="BG156" s="36">
        <v>1333314600</v>
      </c>
      <c r="BH156" s="36" t="s">
        <v>213</v>
      </c>
      <c r="BI156" s="36">
        <v>100</v>
      </c>
      <c r="BJ156" s="36">
        <v>100</v>
      </c>
      <c r="BK156" s="36">
        <v>1300</v>
      </c>
      <c r="BL156" s="36" t="s">
        <v>214</v>
      </c>
      <c r="BM156" s="36"/>
      <c r="BN156" s="36"/>
    </row>
    <row r="157" spans="1:66" x14ac:dyDescent="0.35">
      <c r="A157" s="36"/>
      <c r="B157" s="36"/>
      <c r="C157" s="37">
        <v>244626</v>
      </c>
      <c r="D157" s="37">
        <v>244626</v>
      </c>
      <c r="E157" s="36"/>
      <c r="F157" s="36" t="s">
        <v>192</v>
      </c>
      <c r="G157" s="36" t="s">
        <v>1</v>
      </c>
      <c r="H157" s="36">
        <v>0</v>
      </c>
      <c r="I157" s="36" t="s">
        <v>193</v>
      </c>
      <c r="J157" s="36" t="s">
        <v>194</v>
      </c>
      <c r="K157" s="36" t="s">
        <v>195</v>
      </c>
      <c r="L157" s="36">
        <v>923</v>
      </c>
      <c r="M157" s="36"/>
      <c r="N157" s="36" t="s">
        <v>612</v>
      </c>
      <c r="O157" s="36" t="s">
        <v>613</v>
      </c>
      <c r="P157" s="36">
        <v>2</v>
      </c>
      <c r="Q157" s="36" t="s">
        <v>551</v>
      </c>
      <c r="R157" s="37">
        <v>244412</v>
      </c>
      <c r="S157" s="37">
        <v>244626</v>
      </c>
      <c r="T157" s="36" t="s">
        <v>614</v>
      </c>
      <c r="U157" s="36">
        <v>23067590</v>
      </c>
      <c r="V157" s="36" t="s">
        <v>113</v>
      </c>
      <c r="W157" s="36">
        <v>100</v>
      </c>
      <c r="X157" s="36">
        <v>100</v>
      </c>
      <c r="Y157" s="36">
        <v>100</v>
      </c>
      <c r="Z157" s="36">
        <v>100</v>
      </c>
      <c r="AA157" s="36">
        <v>0</v>
      </c>
      <c r="AB157" s="36">
        <v>0</v>
      </c>
      <c r="AC157" s="36">
        <v>0</v>
      </c>
      <c r="AD157" s="36">
        <v>0</v>
      </c>
      <c r="AE157" s="36">
        <v>100</v>
      </c>
      <c r="AF157" s="36">
        <v>100</v>
      </c>
      <c r="AG157" s="36"/>
      <c r="AH157" s="36"/>
      <c r="AI157" s="36" t="s">
        <v>200</v>
      </c>
      <c r="AJ157" s="36" t="s">
        <v>201</v>
      </c>
      <c r="AK157" s="36" t="s">
        <v>215</v>
      </c>
      <c r="AL157" s="36" t="s">
        <v>203</v>
      </c>
      <c r="AM157" s="36" t="s">
        <v>204</v>
      </c>
      <c r="AN157" s="36" t="s">
        <v>222</v>
      </c>
      <c r="AO157" s="36" t="s">
        <v>206</v>
      </c>
      <c r="AP157" s="36">
        <v>2</v>
      </c>
      <c r="AQ157" s="36"/>
      <c r="AR157" s="36"/>
      <c r="AS157" s="36"/>
      <c r="AT157" s="36" t="s">
        <v>223</v>
      </c>
      <c r="AU157" s="36" t="s">
        <v>609</v>
      </c>
      <c r="AV157" s="36" t="s">
        <v>209</v>
      </c>
      <c r="AW157" s="36" t="s">
        <v>209</v>
      </c>
      <c r="AX157" s="36" t="s">
        <v>210</v>
      </c>
      <c r="AY157" s="36">
        <v>0</v>
      </c>
      <c r="AZ157" s="36" t="s">
        <v>211</v>
      </c>
      <c r="BA157" s="36">
        <v>9044988632868</v>
      </c>
      <c r="BB157" s="36"/>
      <c r="BC157" s="36"/>
      <c r="BD157" s="36">
        <v>1</v>
      </c>
      <c r="BE157" s="36"/>
      <c r="BF157" s="36" t="s">
        <v>212</v>
      </c>
      <c r="BG157" s="36">
        <v>1333314600</v>
      </c>
      <c r="BH157" s="36" t="s">
        <v>213</v>
      </c>
      <c r="BI157" s="36">
        <v>100</v>
      </c>
      <c r="BJ157" s="36">
        <v>100</v>
      </c>
      <c r="BK157" s="36">
        <v>1300</v>
      </c>
      <c r="BL157" s="36" t="s">
        <v>214</v>
      </c>
      <c r="BM157" s="36"/>
      <c r="BN157" s="36"/>
    </row>
    <row r="158" spans="1:66" x14ac:dyDescent="0.35">
      <c r="A158" s="36"/>
      <c r="B158" s="36"/>
      <c r="C158" s="37">
        <v>244626</v>
      </c>
      <c r="D158" s="37">
        <v>244626</v>
      </c>
      <c r="E158" s="36"/>
      <c r="F158" s="36" t="s">
        <v>192</v>
      </c>
      <c r="G158" s="36" t="s">
        <v>1</v>
      </c>
      <c r="H158" s="36">
        <v>0</v>
      </c>
      <c r="I158" s="36" t="s">
        <v>193</v>
      </c>
      <c r="J158" s="36" t="s">
        <v>194</v>
      </c>
      <c r="K158" s="36" t="s">
        <v>195</v>
      </c>
      <c r="L158" s="36">
        <v>923</v>
      </c>
      <c r="M158" s="36"/>
      <c r="N158" s="36" t="s">
        <v>612</v>
      </c>
      <c r="O158" s="36" t="s">
        <v>613</v>
      </c>
      <c r="P158" s="36">
        <v>2</v>
      </c>
      <c r="Q158" s="36" t="s">
        <v>551</v>
      </c>
      <c r="R158" s="37">
        <v>244412</v>
      </c>
      <c r="S158" s="37">
        <v>244626</v>
      </c>
      <c r="T158" s="36" t="s">
        <v>614</v>
      </c>
      <c r="U158" s="36">
        <v>23071884</v>
      </c>
      <c r="V158" s="36" t="s">
        <v>116</v>
      </c>
      <c r="W158" s="36">
        <v>1.9231</v>
      </c>
      <c r="X158" s="36">
        <v>10.000120000000001</v>
      </c>
      <c r="Y158" s="36">
        <v>1.9231</v>
      </c>
      <c r="Z158" s="36">
        <v>10.0001</v>
      </c>
      <c r="AA158" s="36">
        <v>0</v>
      </c>
      <c r="AB158" s="36">
        <v>2.0000000000000002E-5</v>
      </c>
      <c r="AC158" s="36">
        <v>0</v>
      </c>
      <c r="AD158" s="36">
        <v>0</v>
      </c>
      <c r="AE158" s="36">
        <v>1.9231</v>
      </c>
      <c r="AF158" s="36">
        <v>10.0001</v>
      </c>
      <c r="AG158" s="36"/>
      <c r="AH158" s="36"/>
      <c r="AI158" s="36" t="s">
        <v>200</v>
      </c>
      <c r="AJ158" s="36" t="s">
        <v>201</v>
      </c>
      <c r="AK158" s="36" t="s">
        <v>215</v>
      </c>
      <c r="AL158" s="36" t="s">
        <v>203</v>
      </c>
      <c r="AM158" s="36" t="s">
        <v>204</v>
      </c>
      <c r="AN158" s="36" t="s">
        <v>222</v>
      </c>
      <c r="AO158" s="36" t="s">
        <v>206</v>
      </c>
      <c r="AP158" s="36">
        <v>2</v>
      </c>
      <c r="AQ158" s="36"/>
      <c r="AR158" s="36"/>
      <c r="AS158" s="36"/>
      <c r="AT158" s="36" t="s">
        <v>223</v>
      </c>
      <c r="AU158" s="36" t="s">
        <v>609</v>
      </c>
      <c r="AV158" s="36" t="s">
        <v>217</v>
      </c>
      <c r="AW158" s="36" t="s">
        <v>209</v>
      </c>
      <c r="AX158" s="36" t="s">
        <v>210</v>
      </c>
      <c r="AY158" s="36">
        <v>0</v>
      </c>
      <c r="AZ158" s="36" t="s">
        <v>211</v>
      </c>
      <c r="BA158" s="36">
        <v>9044988632868</v>
      </c>
      <c r="BB158" s="36"/>
      <c r="BC158" s="36"/>
      <c r="BD158" s="36">
        <v>1</v>
      </c>
      <c r="BE158" s="36"/>
      <c r="BF158" s="36" t="s">
        <v>212</v>
      </c>
      <c r="BG158" s="36">
        <v>1333314600</v>
      </c>
      <c r="BH158" s="36" t="s">
        <v>213</v>
      </c>
      <c r="BI158" s="36">
        <v>1.9231</v>
      </c>
      <c r="BJ158" s="36">
        <v>10.000120000000001</v>
      </c>
      <c r="BK158" s="36">
        <v>1300</v>
      </c>
      <c r="BL158" s="36" t="s">
        <v>214</v>
      </c>
      <c r="BM158" s="36"/>
      <c r="BN158" s="36"/>
    </row>
    <row r="159" spans="1:66" x14ac:dyDescent="0.35">
      <c r="A159" s="36"/>
      <c r="B159" s="36"/>
      <c r="C159" s="37">
        <v>244626</v>
      </c>
      <c r="D159" s="37">
        <v>244626</v>
      </c>
      <c r="E159" s="36"/>
      <c r="F159" s="36" t="s">
        <v>192</v>
      </c>
      <c r="G159" s="36" t="s">
        <v>1</v>
      </c>
      <c r="H159" s="36">
        <v>0</v>
      </c>
      <c r="I159" s="36" t="s">
        <v>193</v>
      </c>
      <c r="J159" s="36" t="s">
        <v>194</v>
      </c>
      <c r="K159" s="36" t="s">
        <v>195</v>
      </c>
      <c r="L159" s="36">
        <v>923</v>
      </c>
      <c r="M159" s="36"/>
      <c r="N159" s="36" t="s">
        <v>612</v>
      </c>
      <c r="O159" s="36" t="s">
        <v>613</v>
      </c>
      <c r="P159" s="36">
        <v>2</v>
      </c>
      <c r="Q159" s="36" t="s">
        <v>551</v>
      </c>
      <c r="R159" s="37">
        <v>244412</v>
      </c>
      <c r="S159" s="37">
        <v>244626</v>
      </c>
      <c r="T159" s="36" t="s">
        <v>614</v>
      </c>
      <c r="U159" s="36">
        <v>23058589</v>
      </c>
      <c r="V159" s="36" t="s">
        <v>33</v>
      </c>
      <c r="W159" s="36">
        <v>10</v>
      </c>
      <c r="X159" s="36">
        <v>10</v>
      </c>
      <c r="Y159" s="36">
        <v>10</v>
      </c>
      <c r="Z159" s="36">
        <v>10</v>
      </c>
      <c r="AA159" s="36">
        <v>0</v>
      </c>
      <c r="AB159" s="36">
        <v>0</v>
      </c>
      <c r="AC159" s="36">
        <v>0</v>
      </c>
      <c r="AD159" s="36">
        <v>0</v>
      </c>
      <c r="AE159" s="36">
        <v>10</v>
      </c>
      <c r="AF159" s="36">
        <v>10</v>
      </c>
      <c r="AG159" s="36"/>
      <c r="AH159" s="36"/>
      <c r="AI159" s="36" t="s">
        <v>200</v>
      </c>
      <c r="AJ159" s="36" t="s">
        <v>201</v>
      </c>
      <c r="AK159" s="36" t="s">
        <v>215</v>
      </c>
      <c r="AL159" s="36" t="s">
        <v>203</v>
      </c>
      <c r="AM159" s="36" t="s">
        <v>204</v>
      </c>
      <c r="AN159" s="36" t="s">
        <v>222</v>
      </c>
      <c r="AO159" s="36" t="s">
        <v>206</v>
      </c>
      <c r="AP159" s="36">
        <v>2</v>
      </c>
      <c r="AQ159" s="36"/>
      <c r="AR159" s="36"/>
      <c r="AS159" s="36"/>
      <c r="AT159" s="36" t="s">
        <v>223</v>
      </c>
      <c r="AU159" s="36" t="s">
        <v>609</v>
      </c>
      <c r="AV159" s="36" t="s">
        <v>209</v>
      </c>
      <c r="AW159" s="36" t="s">
        <v>209</v>
      </c>
      <c r="AX159" s="36" t="s">
        <v>210</v>
      </c>
      <c r="AY159" s="36">
        <v>0</v>
      </c>
      <c r="AZ159" s="36" t="s">
        <v>211</v>
      </c>
      <c r="BA159" s="36">
        <v>9044988632868</v>
      </c>
      <c r="BB159" s="36"/>
      <c r="BC159" s="36"/>
      <c r="BD159" s="36">
        <v>1</v>
      </c>
      <c r="BE159" s="36"/>
      <c r="BF159" s="36" t="s">
        <v>212</v>
      </c>
      <c r="BG159" s="36">
        <v>1333314600</v>
      </c>
      <c r="BH159" s="36" t="s">
        <v>213</v>
      </c>
      <c r="BI159" s="36">
        <v>10</v>
      </c>
      <c r="BJ159" s="36">
        <v>10</v>
      </c>
      <c r="BK159" s="36">
        <v>1300</v>
      </c>
      <c r="BL159" s="36" t="s">
        <v>214</v>
      </c>
      <c r="BM159" s="36"/>
      <c r="BN159" s="36"/>
    </row>
    <row r="160" spans="1:66" x14ac:dyDescent="0.35">
      <c r="A160" s="36"/>
      <c r="B160" s="36"/>
      <c r="C160" s="37">
        <v>244626</v>
      </c>
      <c r="D160" s="37">
        <v>244626</v>
      </c>
      <c r="E160" s="36"/>
      <c r="F160" s="36" t="s">
        <v>192</v>
      </c>
      <c r="G160" s="36" t="s">
        <v>1</v>
      </c>
      <c r="H160" s="36">
        <v>0</v>
      </c>
      <c r="I160" s="36" t="s">
        <v>193</v>
      </c>
      <c r="J160" s="36" t="s">
        <v>194</v>
      </c>
      <c r="K160" s="36" t="s">
        <v>195</v>
      </c>
      <c r="L160" s="36">
        <v>923</v>
      </c>
      <c r="M160" s="36"/>
      <c r="N160" s="36" t="s">
        <v>218</v>
      </c>
      <c r="O160" s="36" t="s">
        <v>219</v>
      </c>
      <c r="P160" s="36">
        <v>2</v>
      </c>
      <c r="Q160" s="36" t="s">
        <v>220</v>
      </c>
      <c r="R160" s="37">
        <v>244412</v>
      </c>
      <c r="S160" s="37">
        <v>244626</v>
      </c>
      <c r="T160" s="36" t="s">
        <v>615</v>
      </c>
      <c r="U160" s="36">
        <v>23087034</v>
      </c>
      <c r="V160" s="36" t="s">
        <v>54</v>
      </c>
      <c r="W160" s="36">
        <v>6</v>
      </c>
      <c r="X160" s="36">
        <v>6</v>
      </c>
      <c r="Y160" s="36">
        <v>6</v>
      </c>
      <c r="Z160" s="36">
        <v>6</v>
      </c>
      <c r="AA160" s="36">
        <v>0</v>
      </c>
      <c r="AB160" s="36">
        <v>0</v>
      </c>
      <c r="AC160" s="36">
        <v>0</v>
      </c>
      <c r="AD160" s="36">
        <v>0</v>
      </c>
      <c r="AE160" s="36">
        <v>6</v>
      </c>
      <c r="AF160" s="36">
        <v>6</v>
      </c>
      <c r="AG160" s="36"/>
      <c r="AH160" s="36"/>
      <c r="AI160" s="36" t="s">
        <v>200</v>
      </c>
      <c r="AJ160" s="36" t="s">
        <v>201</v>
      </c>
      <c r="AK160" s="36" t="s">
        <v>202</v>
      </c>
      <c r="AL160" s="36" t="s">
        <v>203</v>
      </c>
      <c r="AM160" s="36" t="s">
        <v>204</v>
      </c>
      <c r="AN160" s="36" t="s">
        <v>222</v>
      </c>
      <c r="AO160" s="36" t="s">
        <v>206</v>
      </c>
      <c r="AP160" s="36">
        <v>2</v>
      </c>
      <c r="AQ160" s="36"/>
      <c r="AR160" s="36"/>
      <c r="AS160" s="36"/>
      <c r="AT160" s="36" t="s">
        <v>223</v>
      </c>
      <c r="AU160" s="36" t="s">
        <v>609</v>
      </c>
      <c r="AV160" s="36" t="s">
        <v>209</v>
      </c>
      <c r="AW160" s="36" t="s">
        <v>209</v>
      </c>
      <c r="AX160" s="36" t="s">
        <v>210</v>
      </c>
      <c r="AY160" s="36">
        <v>0</v>
      </c>
      <c r="AZ160" s="36" t="s">
        <v>211</v>
      </c>
      <c r="BA160" s="36">
        <v>9044988632872</v>
      </c>
      <c r="BB160" s="36"/>
      <c r="BC160" s="36"/>
      <c r="BD160" s="36">
        <v>1</v>
      </c>
      <c r="BE160" s="36"/>
      <c r="BF160" s="36" t="s">
        <v>212</v>
      </c>
      <c r="BG160" s="36">
        <v>1333314600</v>
      </c>
      <c r="BH160" s="36" t="s">
        <v>213</v>
      </c>
      <c r="BI160" s="36">
        <v>6</v>
      </c>
      <c r="BJ160" s="36">
        <v>6</v>
      </c>
      <c r="BK160" s="36">
        <v>1300</v>
      </c>
      <c r="BL160" s="36" t="s">
        <v>214</v>
      </c>
      <c r="BM160" s="36"/>
      <c r="BN160" s="36"/>
    </row>
    <row r="161" spans="1:66" x14ac:dyDescent="0.35">
      <c r="A161" s="36"/>
      <c r="B161" s="36"/>
      <c r="C161" s="37">
        <v>244626</v>
      </c>
      <c r="D161" s="37">
        <v>244626</v>
      </c>
      <c r="E161" s="36"/>
      <c r="F161" s="36" t="s">
        <v>192</v>
      </c>
      <c r="G161" s="36" t="s">
        <v>1</v>
      </c>
      <c r="H161" s="36">
        <v>0</v>
      </c>
      <c r="I161" s="36" t="s">
        <v>193</v>
      </c>
      <c r="J161" s="36" t="s">
        <v>194</v>
      </c>
      <c r="K161" s="36" t="s">
        <v>195</v>
      </c>
      <c r="L161" s="36">
        <v>923</v>
      </c>
      <c r="M161" s="36"/>
      <c r="N161" s="36" t="s">
        <v>218</v>
      </c>
      <c r="O161" s="36" t="s">
        <v>219</v>
      </c>
      <c r="P161" s="36">
        <v>2</v>
      </c>
      <c r="Q161" s="36" t="s">
        <v>220</v>
      </c>
      <c r="R161" s="37">
        <v>244412</v>
      </c>
      <c r="S161" s="37">
        <v>244626</v>
      </c>
      <c r="T161" s="36" t="s">
        <v>615</v>
      </c>
      <c r="U161" s="36">
        <v>23058591</v>
      </c>
      <c r="V161" s="36" t="s">
        <v>35</v>
      </c>
      <c r="W161" s="36">
        <v>20</v>
      </c>
      <c r="X161" s="36">
        <v>20</v>
      </c>
      <c r="Y161" s="36">
        <v>20</v>
      </c>
      <c r="Z161" s="36">
        <v>20</v>
      </c>
      <c r="AA161" s="36">
        <v>0</v>
      </c>
      <c r="AB161" s="36">
        <v>0</v>
      </c>
      <c r="AC161" s="36">
        <v>0</v>
      </c>
      <c r="AD161" s="36">
        <v>0</v>
      </c>
      <c r="AE161" s="36">
        <v>20</v>
      </c>
      <c r="AF161" s="36">
        <v>20</v>
      </c>
      <c r="AG161" s="36"/>
      <c r="AH161" s="36"/>
      <c r="AI161" s="36" t="s">
        <v>200</v>
      </c>
      <c r="AJ161" s="36" t="s">
        <v>201</v>
      </c>
      <c r="AK161" s="36" t="s">
        <v>215</v>
      </c>
      <c r="AL161" s="36" t="s">
        <v>203</v>
      </c>
      <c r="AM161" s="36" t="s">
        <v>204</v>
      </c>
      <c r="AN161" s="36" t="s">
        <v>222</v>
      </c>
      <c r="AO161" s="36" t="s">
        <v>206</v>
      </c>
      <c r="AP161" s="36">
        <v>2</v>
      </c>
      <c r="AQ161" s="36"/>
      <c r="AR161" s="36"/>
      <c r="AS161" s="36"/>
      <c r="AT161" s="36" t="s">
        <v>223</v>
      </c>
      <c r="AU161" s="36" t="s">
        <v>609</v>
      </c>
      <c r="AV161" s="36" t="s">
        <v>209</v>
      </c>
      <c r="AW161" s="36" t="s">
        <v>209</v>
      </c>
      <c r="AX161" s="36" t="s">
        <v>210</v>
      </c>
      <c r="AY161" s="36">
        <v>0</v>
      </c>
      <c r="AZ161" s="36" t="s">
        <v>211</v>
      </c>
      <c r="BA161" s="36">
        <v>9044988632872</v>
      </c>
      <c r="BB161" s="36"/>
      <c r="BC161" s="36"/>
      <c r="BD161" s="36">
        <v>1</v>
      </c>
      <c r="BE161" s="36"/>
      <c r="BF161" s="36" t="s">
        <v>212</v>
      </c>
      <c r="BG161" s="36">
        <v>1333314600</v>
      </c>
      <c r="BH161" s="36" t="s">
        <v>213</v>
      </c>
      <c r="BI161" s="36">
        <v>20</v>
      </c>
      <c r="BJ161" s="36">
        <v>20</v>
      </c>
      <c r="BK161" s="36">
        <v>1300</v>
      </c>
      <c r="BL161" s="36" t="s">
        <v>214</v>
      </c>
      <c r="BM161" s="36"/>
      <c r="BN161" s="36"/>
    </row>
    <row r="162" spans="1:66" x14ac:dyDescent="0.35">
      <c r="A162" s="36"/>
      <c r="B162" s="36"/>
      <c r="C162" s="37">
        <v>244626</v>
      </c>
      <c r="D162" s="37">
        <v>244626</v>
      </c>
      <c r="E162" s="36"/>
      <c r="F162" s="36" t="s">
        <v>192</v>
      </c>
      <c r="G162" s="36" t="s">
        <v>1</v>
      </c>
      <c r="H162" s="36">
        <v>0</v>
      </c>
      <c r="I162" s="36" t="s">
        <v>193</v>
      </c>
      <c r="J162" s="36" t="s">
        <v>194</v>
      </c>
      <c r="K162" s="36" t="s">
        <v>195</v>
      </c>
      <c r="L162" s="36">
        <v>923</v>
      </c>
      <c r="M162" s="36"/>
      <c r="N162" s="36" t="s">
        <v>218</v>
      </c>
      <c r="O162" s="36" t="s">
        <v>219</v>
      </c>
      <c r="P162" s="36">
        <v>2</v>
      </c>
      <c r="Q162" s="36" t="s">
        <v>220</v>
      </c>
      <c r="R162" s="37">
        <v>244412</v>
      </c>
      <c r="S162" s="37">
        <v>244626</v>
      </c>
      <c r="T162" s="36" t="s">
        <v>615</v>
      </c>
      <c r="U162" s="36">
        <v>23015198</v>
      </c>
      <c r="V162" s="36" t="s">
        <v>119</v>
      </c>
      <c r="W162" s="36">
        <v>6</v>
      </c>
      <c r="X162" s="36">
        <v>6</v>
      </c>
      <c r="Y162" s="36">
        <v>6</v>
      </c>
      <c r="Z162" s="36">
        <v>6</v>
      </c>
      <c r="AA162" s="36">
        <v>0</v>
      </c>
      <c r="AB162" s="36">
        <v>0</v>
      </c>
      <c r="AC162" s="36">
        <v>0</v>
      </c>
      <c r="AD162" s="36">
        <v>0</v>
      </c>
      <c r="AE162" s="36">
        <v>6</v>
      </c>
      <c r="AF162" s="36">
        <v>6</v>
      </c>
      <c r="AG162" s="36"/>
      <c r="AH162" s="36"/>
      <c r="AI162" s="36" t="s">
        <v>200</v>
      </c>
      <c r="AJ162" s="36" t="s">
        <v>201</v>
      </c>
      <c r="AK162" s="36" t="s">
        <v>202</v>
      </c>
      <c r="AL162" s="36" t="s">
        <v>203</v>
      </c>
      <c r="AM162" s="36" t="s">
        <v>204</v>
      </c>
      <c r="AN162" s="36" t="s">
        <v>222</v>
      </c>
      <c r="AO162" s="36" t="s">
        <v>206</v>
      </c>
      <c r="AP162" s="36">
        <v>2</v>
      </c>
      <c r="AQ162" s="36"/>
      <c r="AR162" s="36"/>
      <c r="AS162" s="36"/>
      <c r="AT162" s="36" t="s">
        <v>223</v>
      </c>
      <c r="AU162" s="36" t="s">
        <v>609</v>
      </c>
      <c r="AV162" s="36" t="s">
        <v>209</v>
      </c>
      <c r="AW162" s="36" t="s">
        <v>209</v>
      </c>
      <c r="AX162" s="36" t="s">
        <v>210</v>
      </c>
      <c r="AY162" s="36">
        <v>0</v>
      </c>
      <c r="AZ162" s="36" t="s">
        <v>211</v>
      </c>
      <c r="BA162" s="36">
        <v>9044988632872</v>
      </c>
      <c r="BB162" s="36"/>
      <c r="BC162" s="36"/>
      <c r="BD162" s="36">
        <v>1</v>
      </c>
      <c r="BE162" s="36"/>
      <c r="BF162" s="36" t="s">
        <v>212</v>
      </c>
      <c r="BG162" s="36">
        <v>1333314600</v>
      </c>
      <c r="BH162" s="36" t="s">
        <v>213</v>
      </c>
      <c r="BI162" s="36">
        <v>6</v>
      </c>
      <c r="BJ162" s="36">
        <v>6</v>
      </c>
      <c r="BK162" s="36">
        <v>1300</v>
      </c>
      <c r="BL162" s="36" t="s">
        <v>214</v>
      </c>
      <c r="BM162" s="36"/>
      <c r="BN162" s="36"/>
    </row>
    <row r="163" spans="1:66" x14ac:dyDescent="0.35">
      <c r="A163" s="36"/>
      <c r="B163" s="36"/>
      <c r="C163" s="37">
        <v>244626</v>
      </c>
      <c r="D163" s="37">
        <v>244626</v>
      </c>
      <c r="E163" s="36"/>
      <c r="F163" s="36" t="s">
        <v>192</v>
      </c>
      <c r="G163" s="36" t="s">
        <v>1</v>
      </c>
      <c r="H163" s="36">
        <v>0</v>
      </c>
      <c r="I163" s="36" t="s">
        <v>193</v>
      </c>
      <c r="J163" s="36" t="s">
        <v>194</v>
      </c>
      <c r="K163" s="36" t="s">
        <v>195</v>
      </c>
      <c r="L163" s="36">
        <v>923</v>
      </c>
      <c r="M163" s="36"/>
      <c r="N163" s="36" t="s">
        <v>218</v>
      </c>
      <c r="O163" s="36" t="s">
        <v>219</v>
      </c>
      <c r="P163" s="36">
        <v>2</v>
      </c>
      <c r="Q163" s="36" t="s">
        <v>220</v>
      </c>
      <c r="R163" s="37">
        <v>244412</v>
      </c>
      <c r="S163" s="37">
        <v>244626</v>
      </c>
      <c r="T163" s="36" t="s">
        <v>615</v>
      </c>
      <c r="U163" s="36">
        <v>23058551</v>
      </c>
      <c r="V163" s="36" t="s">
        <v>25</v>
      </c>
      <c r="W163" s="36">
        <v>19</v>
      </c>
      <c r="X163" s="36">
        <v>19</v>
      </c>
      <c r="Y163" s="36">
        <v>19</v>
      </c>
      <c r="Z163" s="36">
        <v>19</v>
      </c>
      <c r="AA163" s="36">
        <v>0</v>
      </c>
      <c r="AB163" s="36">
        <v>0</v>
      </c>
      <c r="AC163" s="36">
        <v>0</v>
      </c>
      <c r="AD163" s="36">
        <v>0</v>
      </c>
      <c r="AE163" s="36">
        <v>19</v>
      </c>
      <c r="AF163" s="36">
        <v>19</v>
      </c>
      <c r="AG163" s="36"/>
      <c r="AH163" s="36"/>
      <c r="AI163" s="36" t="s">
        <v>200</v>
      </c>
      <c r="AJ163" s="36" t="s">
        <v>201</v>
      </c>
      <c r="AK163" s="36" t="s">
        <v>202</v>
      </c>
      <c r="AL163" s="36" t="s">
        <v>203</v>
      </c>
      <c r="AM163" s="36" t="s">
        <v>204</v>
      </c>
      <c r="AN163" s="36" t="s">
        <v>222</v>
      </c>
      <c r="AO163" s="36" t="s">
        <v>206</v>
      </c>
      <c r="AP163" s="36">
        <v>2</v>
      </c>
      <c r="AQ163" s="36"/>
      <c r="AR163" s="36"/>
      <c r="AS163" s="36"/>
      <c r="AT163" s="36" t="s">
        <v>223</v>
      </c>
      <c r="AU163" s="36" t="s">
        <v>609</v>
      </c>
      <c r="AV163" s="36" t="s">
        <v>209</v>
      </c>
      <c r="AW163" s="36" t="s">
        <v>209</v>
      </c>
      <c r="AX163" s="36" t="s">
        <v>210</v>
      </c>
      <c r="AY163" s="36">
        <v>0</v>
      </c>
      <c r="AZ163" s="36" t="s">
        <v>211</v>
      </c>
      <c r="BA163" s="36">
        <v>9044988632872</v>
      </c>
      <c r="BB163" s="36"/>
      <c r="BC163" s="36"/>
      <c r="BD163" s="36">
        <v>1</v>
      </c>
      <c r="BE163" s="36"/>
      <c r="BF163" s="36" t="s">
        <v>212</v>
      </c>
      <c r="BG163" s="36">
        <v>1333314600</v>
      </c>
      <c r="BH163" s="36" t="s">
        <v>213</v>
      </c>
      <c r="BI163" s="36">
        <v>19</v>
      </c>
      <c r="BJ163" s="36">
        <v>19</v>
      </c>
      <c r="BK163" s="36">
        <v>1300</v>
      </c>
      <c r="BL163" s="36" t="s">
        <v>214</v>
      </c>
      <c r="BM163" s="36"/>
      <c r="BN163" s="36"/>
    </row>
    <row r="164" spans="1:66" x14ac:dyDescent="0.35">
      <c r="A164" s="36"/>
      <c r="B164" s="36"/>
      <c r="C164" s="37">
        <v>244626</v>
      </c>
      <c r="D164" s="37">
        <v>244626</v>
      </c>
      <c r="E164" s="36"/>
      <c r="F164" s="36" t="s">
        <v>192</v>
      </c>
      <c r="G164" s="36" t="s">
        <v>1</v>
      </c>
      <c r="H164" s="36">
        <v>0</v>
      </c>
      <c r="I164" s="36" t="s">
        <v>193</v>
      </c>
      <c r="J164" s="36" t="s">
        <v>194</v>
      </c>
      <c r="K164" s="36" t="s">
        <v>195</v>
      </c>
      <c r="L164" s="36">
        <v>923</v>
      </c>
      <c r="M164" s="36"/>
      <c r="N164" s="36" t="s">
        <v>218</v>
      </c>
      <c r="O164" s="36" t="s">
        <v>219</v>
      </c>
      <c r="P164" s="36">
        <v>2</v>
      </c>
      <c r="Q164" s="36" t="s">
        <v>220</v>
      </c>
      <c r="R164" s="37">
        <v>244412</v>
      </c>
      <c r="S164" s="37">
        <v>244626</v>
      </c>
      <c r="T164" s="36" t="s">
        <v>615</v>
      </c>
      <c r="U164" s="36">
        <v>23057827</v>
      </c>
      <c r="V164" s="36" t="s">
        <v>24</v>
      </c>
      <c r="W164" s="36">
        <v>6</v>
      </c>
      <c r="X164" s="36">
        <v>6</v>
      </c>
      <c r="Y164" s="36">
        <v>6</v>
      </c>
      <c r="Z164" s="36">
        <v>6</v>
      </c>
      <c r="AA164" s="36">
        <v>0</v>
      </c>
      <c r="AB164" s="36">
        <v>0</v>
      </c>
      <c r="AC164" s="36">
        <v>0</v>
      </c>
      <c r="AD164" s="36">
        <v>0</v>
      </c>
      <c r="AE164" s="36">
        <v>6</v>
      </c>
      <c r="AF164" s="36">
        <v>6</v>
      </c>
      <c r="AG164" s="36"/>
      <c r="AH164" s="36"/>
      <c r="AI164" s="36" t="s">
        <v>200</v>
      </c>
      <c r="AJ164" s="36" t="s">
        <v>201</v>
      </c>
      <c r="AK164" s="36" t="s">
        <v>202</v>
      </c>
      <c r="AL164" s="36" t="s">
        <v>203</v>
      </c>
      <c r="AM164" s="36" t="s">
        <v>204</v>
      </c>
      <c r="AN164" s="36" t="s">
        <v>222</v>
      </c>
      <c r="AO164" s="36" t="s">
        <v>206</v>
      </c>
      <c r="AP164" s="36">
        <v>2</v>
      </c>
      <c r="AQ164" s="36"/>
      <c r="AR164" s="36"/>
      <c r="AS164" s="36"/>
      <c r="AT164" s="36" t="s">
        <v>223</v>
      </c>
      <c r="AU164" s="36" t="s">
        <v>609</v>
      </c>
      <c r="AV164" s="36" t="s">
        <v>209</v>
      </c>
      <c r="AW164" s="36" t="s">
        <v>209</v>
      </c>
      <c r="AX164" s="36" t="s">
        <v>210</v>
      </c>
      <c r="AY164" s="36">
        <v>0</v>
      </c>
      <c r="AZ164" s="36" t="s">
        <v>211</v>
      </c>
      <c r="BA164" s="36">
        <v>9044988632872</v>
      </c>
      <c r="BB164" s="36"/>
      <c r="BC164" s="36"/>
      <c r="BD164" s="36">
        <v>1</v>
      </c>
      <c r="BE164" s="36"/>
      <c r="BF164" s="36" t="s">
        <v>212</v>
      </c>
      <c r="BG164" s="36">
        <v>1333314600</v>
      </c>
      <c r="BH164" s="36" t="s">
        <v>213</v>
      </c>
      <c r="BI164" s="36">
        <v>6</v>
      </c>
      <c r="BJ164" s="36">
        <v>6</v>
      </c>
      <c r="BK164" s="36">
        <v>1300</v>
      </c>
      <c r="BL164" s="36" t="s">
        <v>214</v>
      </c>
      <c r="BM164" s="36"/>
      <c r="BN164" s="36"/>
    </row>
    <row r="165" spans="1:66" x14ac:dyDescent="0.35">
      <c r="A165" s="36"/>
      <c r="B165" s="36"/>
      <c r="C165" s="37">
        <v>244626</v>
      </c>
      <c r="D165" s="37">
        <v>244626</v>
      </c>
      <c r="E165" s="36"/>
      <c r="F165" s="36" t="s">
        <v>192</v>
      </c>
      <c r="G165" s="36" t="s">
        <v>1</v>
      </c>
      <c r="H165" s="36">
        <v>0</v>
      </c>
      <c r="I165" s="36" t="s">
        <v>193</v>
      </c>
      <c r="J165" s="36" t="s">
        <v>194</v>
      </c>
      <c r="K165" s="36" t="s">
        <v>195</v>
      </c>
      <c r="L165" s="36">
        <v>923</v>
      </c>
      <c r="M165" s="36"/>
      <c r="N165" s="36" t="s">
        <v>230</v>
      </c>
      <c r="O165" s="36" t="s">
        <v>231</v>
      </c>
      <c r="P165" s="36">
        <v>2</v>
      </c>
      <c r="Q165" s="36" t="s">
        <v>232</v>
      </c>
      <c r="R165" s="37">
        <v>244412</v>
      </c>
      <c r="S165" s="37">
        <v>244626</v>
      </c>
      <c r="T165" s="36" t="s">
        <v>616</v>
      </c>
      <c r="U165" s="36">
        <v>23105754</v>
      </c>
      <c r="V165" s="36" t="s">
        <v>76</v>
      </c>
      <c r="W165" s="36">
        <v>20</v>
      </c>
      <c r="X165" s="36">
        <v>20</v>
      </c>
      <c r="Y165" s="36">
        <v>20</v>
      </c>
      <c r="Z165" s="36">
        <v>20</v>
      </c>
      <c r="AA165" s="36">
        <v>0</v>
      </c>
      <c r="AB165" s="36">
        <v>0</v>
      </c>
      <c r="AC165" s="36">
        <v>0</v>
      </c>
      <c r="AD165" s="36">
        <v>0</v>
      </c>
      <c r="AE165" s="36">
        <v>20</v>
      </c>
      <c r="AF165" s="36">
        <v>20</v>
      </c>
      <c r="AG165" s="36"/>
      <c r="AH165" s="36"/>
      <c r="AI165" s="36" t="s">
        <v>200</v>
      </c>
      <c r="AJ165" s="36" t="s">
        <v>201</v>
      </c>
      <c r="AK165" s="36" t="s">
        <v>202</v>
      </c>
      <c r="AL165" s="36" t="s">
        <v>203</v>
      </c>
      <c r="AM165" s="36" t="s">
        <v>204</v>
      </c>
      <c r="AN165" s="36" t="s">
        <v>222</v>
      </c>
      <c r="AO165" s="36" t="s">
        <v>206</v>
      </c>
      <c r="AP165" s="36">
        <v>2</v>
      </c>
      <c r="AQ165" s="36"/>
      <c r="AR165" s="36"/>
      <c r="AS165" s="36"/>
      <c r="AT165" s="36" t="s">
        <v>617</v>
      </c>
      <c r="AU165" s="36" t="s">
        <v>618</v>
      </c>
      <c r="AV165" s="36" t="s">
        <v>209</v>
      </c>
      <c r="AW165" s="36" t="s">
        <v>209</v>
      </c>
      <c r="AX165" s="36" t="s">
        <v>210</v>
      </c>
      <c r="AY165" s="36">
        <v>0</v>
      </c>
      <c r="AZ165" s="36" t="s">
        <v>211</v>
      </c>
      <c r="BA165" s="36">
        <v>9044988640789</v>
      </c>
      <c r="BB165" s="36"/>
      <c r="BC165" s="36"/>
      <c r="BD165" s="36">
        <v>1</v>
      </c>
      <c r="BE165" s="36"/>
      <c r="BF165" s="36" t="s">
        <v>212</v>
      </c>
      <c r="BG165" s="36">
        <v>1333314600</v>
      </c>
      <c r="BH165" s="36" t="s">
        <v>213</v>
      </c>
      <c r="BI165" s="36">
        <v>20</v>
      </c>
      <c r="BJ165" s="36">
        <v>20</v>
      </c>
      <c r="BK165" s="36">
        <v>1300</v>
      </c>
      <c r="BL165" s="36" t="s">
        <v>214</v>
      </c>
      <c r="BM165" s="36"/>
      <c r="BN165" s="36"/>
    </row>
    <row r="166" spans="1:66" x14ac:dyDescent="0.35">
      <c r="A166" s="36"/>
      <c r="B166" s="36"/>
      <c r="C166" s="37">
        <v>244626</v>
      </c>
      <c r="D166" s="37">
        <v>244626</v>
      </c>
      <c r="E166" s="36"/>
      <c r="F166" s="36" t="s">
        <v>192</v>
      </c>
      <c r="G166" s="36" t="s">
        <v>1</v>
      </c>
      <c r="H166" s="36">
        <v>0</v>
      </c>
      <c r="I166" s="36" t="s">
        <v>193</v>
      </c>
      <c r="J166" s="36" t="s">
        <v>194</v>
      </c>
      <c r="K166" s="36" t="s">
        <v>195</v>
      </c>
      <c r="L166" s="36">
        <v>923</v>
      </c>
      <c r="M166" s="36"/>
      <c r="N166" s="36" t="s">
        <v>230</v>
      </c>
      <c r="O166" s="36" t="s">
        <v>231</v>
      </c>
      <c r="P166" s="36">
        <v>2</v>
      </c>
      <c r="Q166" s="36" t="s">
        <v>232</v>
      </c>
      <c r="R166" s="37">
        <v>244412</v>
      </c>
      <c r="S166" s="37">
        <v>244626</v>
      </c>
      <c r="T166" s="36" t="s">
        <v>616</v>
      </c>
      <c r="U166" s="36">
        <v>23105751</v>
      </c>
      <c r="V166" s="36" t="s">
        <v>73</v>
      </c>
      <c r="W166" s="36">
        <v>20</v>
      </c>
      <c r="X166" s="36">
        <v>20</v>
      </c>
      <c r="Y166" s="36">
        <v>20</v>
      </c>
      <c r="Z166" s="36">
        <v>20</v>
      </c>
      <c r="AA166" s="36">
        <v>0</v>
      </c>
      <c r="AB166" s="36">
        <v>0</v>
      </c>
      <c r="AC166" s="36">
        <v>0</v>
      </c>
      <c r="AD166" s="36">
        <v>0</v>
      </c>
      <c r="AE166" s="36">
        <v>20</v>
      </c>
      <c r="AF166" s="36">
        <v>20</v>
      </c>
      <c r="AG166" s="36"/>
      <c r="AH166" s="36"/>
      <c r="AI166" s="36" t="s">
        <v>200</v>
      </c>
      <c r="AJ166" s="36" t="s">
        <v>201</v>
      </c>
      <c r="AK166" s="36" t="s">
        <v>202</v>
      </c>
      <c r="AL166" s="36" t="s">
        <v>203</v>
      </c>
      <c r="AM166" s="36" t="s">
        <v>204</v>
      </c>
      <c r="AN166" s="36" t="s">
        <v>222</v>
      </c>
      <c r="AO166" s="36" t="s">
        <v>206</v>
      </c>
      <c r="AP166" s="36">
        <v>2</v>
      </c>
      <c r="AQ166" s="36"/>
      <c r="AR166" s="36"/>
      <c r="AS166" s="36"/>
      <c r="AT166" s="36" t="s">
        <v>617</v>
      </c>
      <c r="AU166" s="36" t="s">
        <v>618</v>
      </c>
      <c r="AV166" s="36" t="s">
        <v>209</v>
      </c>
      <c r="AW166" s="36" t="s">
        <v>209</v>
      </c>
      <c r="AX166" s="36" t="s">
        <v>210</v>
      </c>
      <c r="AY166" s="36">
        <v>0</v>
      </c>
      <c r="AZ166" s="36" t="s">
        <v>211</v>
      </c>
      <c r="BA166" s="36">
        <v>9044988640789</v>
      </c>
      <c r="BB166" s="36"/>
      <c r="BC166" s="36"/>
      <c r="BD166" s="36">
        <v>1</v>
      </c>
      <c r="BE166" s="36"/>
      <c r="BF166" s="36" t="s">
        <v>212</v>
      </c>
      <c r="BG166" s="36">
        <v>1333314600</v>
      </c>
      <c r="BH166" s="36" t="s">
        <v>213</v>
      </c>
      <c r="BI166" s="36">
        <v>20</v>
      </c>
      <c r="BJ166" s="36">
        <v>20</v>
      </c>
      <c r="BK166" s="36">
        <v>1300</v>
      </c>
      <c r="BL166" s="36" t="s">
        <v>214</v>
      </c>
      <c r="BM166" s="36"/>
      <c r="BN166" s="36"/>
    </row>
    <row r="167" spans="1:66" x14ac:dyDescent="0.35">
      <c r="A167" s="36"/>
      <c r="B167" s="36"/>
      <c r="C167" s="37">
        <v>244626</v>
      </c>
      <c r="D167" s="37">
        <v>244626</v>
      </c>
      <c r="E167" s="36"/>
      <c r="F167" s="36" t="s">
        <v>192</v>
      </c>
      <c r="G167" s="36" t="s">
        <v>1</v>
      </c>
      <c r="H167" s="36">
        <v>0</v>
      </c>
      <c r="I167" s="36" t="s">
        <v>193</v>
      </c>
      <c r="J167" s="36" t="s">
        <v>194</v>
      </c>
      <c r="K167" s="36" t="s">
        <v>195</v>
      </c>
      <c r="L167" s="36">
        <v>923</v>
      </c>
      <c r="M167" s="36"/>
      <c r="N167" s="36" t="s">
        <v>230</v>
      </c>
      <c r="O167" s="36" t="s">
        <v>231</v>
      </c>
      <c r="P167" s="36">
        <v>2</v>
      </c>
      <c r="Q167" s="36" t="s">
        <v>232</v>
      </c>
      <c r="R167" s="37">
        <v>244412</v>
      </c>
      <c r="S167" s="37">
        <v>244626</v>
      </c>
      <c r="T167" s="36" t="s">
        <v>616</v>
      </c>
      <c r="U167" s="36">
        <v>23105753</v>
      </c>
      <c r="V167" s="36" t="s">
        <v>75</v>
      </c>
      <c r="W167" s="36">
        <v>30</v>
      </c>
      <c r="X167" s="36">
        <v>30</v>
      </c>
      <c r="Y167" s="36">
        <v>30</v>
      </c>
      <c r="Z167" s="36">
        <v>30</v>
      </c>
      <c r="AA167" s="36">
        <v>0</v>
      </c>
      <c r="AB167" s="36">
        <v>0</v>
      </c>
      <c r="AC167" s="36">
        <v>0</v>
      </c>
      <c r="AD167" s="36">
        <v>0</v>
      </c>
      <c r="AE167" s="36">
        <v>30</v>
      </c>
      <c r="AF167" s="36">
        <v>30</v>
      </c>
      <c r="AG167" s="36"/>
      <c r="AH167" s="36"/>
      <c r="AI167" s="36" t="s">
        <v>200</v>
      </c>
      <c r="AJ167" s="36" t="s">
        <v>201</v>
      </c>
      <c r="AK167" s="36" t="s">
        <v>202</v>
      </c>
      <c r="AL167" s="36" t="s">
        <v>203</v>
      </c>
      <c r="AM167" s="36" t="s">
        <v>204</v>
      </c>
      <c r="AN167" s="36" t="s">
        <v>222</v>
      </c>
      <c r="AO167" s="36" t="s">
        <v>206</v>
      </c>
      <c r="AP167" s="36">
        <v>2</v>
      </c>
      <c r="AQ167" s="36"/>
      <c r="AR167" s="36"/>
      <c r="AS167" s="36"/>
      <c r="AT167" s="36" t="s">
        <v>617</v>
      </c>
      <c r="AU167" s="36" t="s">
        <v>618</v>
      </c>
      <c r="AV167" s="36" t="s">
        <v>209</v>
      </c>
      <c r="AW167" s="36" t="s">
        <v>209</v>
      </c>
      <c r="AX167" s="36" t="s">
        <v>210</v>
      </c>
      <c r="AY167" s="36">
        <v>0</v>
      </c>
      <c r="AZ167" s="36" t="s">
        <v>211</v>
      </c>
      <c r="BA167" s="36">
        <v>9044988640789</v>
      </c>
      <c r="BB167" s="36"/>
      <c r="BC167" s="36"/>
      <c r="BD167" s="36">
        <v>1</v>
      </c>
      <c r="BE167" s="36"/>
      <c r="BF167" s="36" t="s">
        <v>212</v>
      </c>
      <c r="BG167" s="36">
        <v>1333314600</v>
      </c>
      <c r="BH167" s="36" t="s">
        <v>213</v>
      </c>
      <c r="BI167" s="36">
        <v>30</v>
      </c>
      <c r="BJ167" s="36">
        <v>30</v>
      </c>
      <c r="BK167" s="36">
        <v>1300</v>
      </c>
      <c r="BL167" s="36" t="s">
        <v>214</v>
      </c>
      <c r="BM167" s="36"/>
      <c r="BN167" s="36"/>
    </row>
    <row r="168" spans="1:66" x14ac:dyDescent="0.35">
      <c r="A168" s="36"/>
      <c r="B168" s="36"/>
      <c r="C168" s="37">
        <v>244626</v>
      </c>
      <c r="D168" s="37">
        <v>244626</v>
      </c>
      <c r="E168" s="36"/>
      <c r="F168" s="36" t="s">
        <v>192</v>
      </c>
      <c r="G168" s="36" t="s">
        <v>1</v>
      </c>
      <c r="H168" s="36">
        <v>0</v>
      </c>
      <c r="I168" s="36" t="s">
        <v>193</v>
      </c>
      <c r="J168" s="36" t="s">
        <v>194</v>
      </c>
      <c r="K168" s="36" t="s">
        <v>195</v>
      </c>
      <c r="L168" s="36">
        <v>923</v>
      </c>
      <c r="M168" s="36"/>
      <c r="N168" s="36" t="s">
        <v>230</v>
      </c>
      <c r="O168" s="36" t="s">
        <v>231</v>
      </c>
      <c r="P168" s="36">
        <v>2</v>
      </c>
      <c r="Q168" s="36" t="s">
        <v>232</v>
      </c>
      <c r="R168" s="37">
        <v>244412</v>
      </c>
      <c r="S168" s="37">
        <v>244626</v>
      </c>
      <c r="T168" s="36" t="s">
        <v>616</v>
      </c>
      <c r="U168" s="36">
        <v>23105755</v>
      </c>
      <c r="V168" s="36" t="s">
        <v>282</v>
      </c>
      <c r="W168" s="36">
        <v>30</v>
      </c>
      <c r="X168" s="36">
        <v>30</v>
      </c>
      <c r="Y168" s="36">
        <v>30</v>
      </c>
      <c r="Z168" s="36">
        <v>30</v>
      </c>
      <c r="AA168" s="36">
        <v>0</v>
      </c>
      <c r="AB168" s="36">
        <v>0</v>
      </c>
      <c r="AC168" s="36">
        <v>0</v>
      </c>
      <c r="AD168" s="36">
        <v>0</v>
      </c>
      <c r="AE168" s="36">
        <v>30</v>
      </c>
      <c r="AF168" s="36">
        <v>30</v>
      </c>
      <c r="AG168" s="36"/>
      <c r="AH168" s="36"/>
      <c r="AI168" s="36" t="s">
        <v>200</v>
      </c>
      <c r="AJ168" s="36" t="s">
        <v>201</v>
      </c>
      <c r="AK168" s="36" t="s">
        <v>202</v>
      </c>
      <c r="AL168" s="36" t="s">
        <v>203</v>
      </c>
      <c r="AM168" s="36" t="s">
        <v>204</v>
      </c>
      <c r="AN168" s="36" t="s">
        <v>222</v>
      </c>
      <c r="AO168" s="36" t="s">
        <v>206</v>
      </c>
      <c r="AP168" s="36">
        <v>2</v>
      </c>
      <c r="AQ168" s="36"/>
      <c r="AR168" s="36"/>
      <c r="AS168" s="36"/>
      <c r="AT168" s="36" t="s">
        <v>617</v>
      </c>
      <c r="AU168" s="36" t="s">
        <v>618</v>
      </c>
      <c r="AV168" s="36" t="s">
        <v>209</v>
      </c>
      <c r="AW168" s="36" t="s">
        <v>209</v>
      </c>
      <c r="AX168" s="36" t="s">
        <v>210</v>
      </c>
      <c r="AY168" s="36">
        <v>0</v>
      </c>
      <c r="AZ168" s="36" t="s">
        <v>211</v>
      </c>
      <c r="BA168" s="36">
        <v>9044988640789</v>
      </c>
      <c r="BB168" s="36"/>
      <c r="BC168" s="36"/>
      <c r="BD168" s="36">
        <v>1</v>
      </c>
      <c r="BE168" s="36"/>
      <c r="BF168" s="36" t="s">
        <v>212</v>
      </c>
      <c r="BG168" s="36">
        <v>1333314600</v>
      </c>
      <c r="BH168" s="36" t="s">
        <v>213</v>
      </c>
      <c r="BI168" s="36">
        <v>30</v>
      </c>
      <c r="BJ168" s="36">
        <v>30</v>
      </c>
      <c r="BK168" s="36">
        <v>1300</v>
      </c>
      <c r="BL168" s="36" t="s">
        <v>214</v>
      </c>
      <c r="BM168" s="36"/>
      <c r="BN168" s="36"/>
    </row>
    <row r="169" spans="1:66" x14ac:dyDescent="0.35">
      <c r="A169" s="36"/>
      <c r="B169" s="36"/>
      <c r="C169" s="37">
        <v>244626</v>
      </c>
      <c r="D169" s="37">
        <v>244626</v>
      </c>
      <c r="E169" s="36"/>
      <c r="F169" s="36" t="s">
        <v>192</v>
      </c>
      <c r="G169" s="36" t="s">
        <v>1</v>
      </c>
      <c r="H169" s="36">
        <v>0</v>
      </c>
      <c r="I169" s="36" t="s">
        <v>193</v>
      </c>
      <c r="J169" s="36" t="s">
        <v>194</v>
      </c>
      <c r="K169" s="36" t="s">
        <v>195</v>
      </c>
      <c r="L169" s="36">
        <v>923</v>
      </c>
      <c r="M169" s="36"/>
      <c r="N169" s="36" t="s">
        <v>230</v>
      </c>
      <c r="O169" s="36" t="s">
        <v>231</v>
      </c>
      <c r="P169" s="36">
        <v>2</v>
      </c>
      <c r="Q169" s="36" t="s">
        <v>232</v>
      </c>
      <c r="R169" s="37">
        <v>244412</v>
      </c>
      <c r="S169" s="37">
        <v>244626</v>
      </c>
      <c r="T169" s="36" t="s">
        <v>616</v>
      </c>
      <c r="U169" s="36">
        <v>23105752</v>
      </c>
      <c r="V169" s="36" t="s">
        <v>74</v>
      </c>
      <c r="W169" s="36">
        <v>20</v>
      </c>
      <c r="X169" s="36">
        <v>20</v>
      </c>
      <c r="Y169" s="36">
        <v>20</v>
      </c>
      <c r="Z169" s="36">
        <v>20</v>
      </c>
      <c r="AA169" s="36">
        <v>0</v>
      </c>
      <c r="AB169" s="36">
        <v>0</v>
      </c>
      <c r="AC169" s="36">
        <v>0</v>
      </c>
      <c r="AD169" s="36">
        <v>0</v>
      </c>
      <c r="AE169" s="36">
        <v>20</v>
      </c>
      <c r="AF169" s="36">
        <v>20</v>
      </c>
      <c r="AG169" s="36"/>
      <c r="AH169" s="36"/>
      <c r="AI169" s="36" t="s">
        <v>200</v>
      </c>
      <c r="AJ169" s="36" t="s">
        <v>201</v>
      </c>
      <c r="AK169" s="36" t="s">
        <v>202</v>
      </c>
      <c r="AL169" s="36" t="s">
        <v>203</v>
      </c>
      <c r="AM169" s="36" t="s">
        <v>204</v>
      </c>
      <c r="AN169" s="36" t="s">
        <v>222</v>
      </c>
      <c r="AO169" s="36" t="s">
        <v>206</v>
      </c>
      <c r="AP169" s="36">
        <v>2</v>
      </c>
      <c r="AQ169" s="36"/>
      <c r="AR169" s="36"/>
      <c r="AS169" s="36"/>
      <c r="AT169" s="36" t="s">
        <v>617</v>
      </c>
      <c r="AU169" s="36" t="s">
        <v>618</v>
      </c>
      <c r="AV169" s="36" t="s">
        <v>209</v>
      </c>
      <c r="AW169" s="36" t="s">
        <v>209</v>
      </c>
      <c r="AX169" s="36" t="s">
        <v>210</v>
      </c>
      <c r="AY169" s="36">
        <v>0</v>
      </c>
      <c r="AZ169" s="36" t="s">
        <v>211</v>
      </c>
      <c r="BA169" s="36">
        <v>9044988640789</v>
      </c>
      <c r="BB169" s="36"/>
      <c r="BC169" s="36"/>
      <c r="BD169" s="36">
        <v>1</v>
      </c>
      <c r="BE169" s="36"/>
      <c r="BF169" s="36" t="s">
        <v>212</v>
      </c>
      <c r="BG169" s="36">
        <v>1333314600</v>
      </c>
      <c r="BH169" s="36" t="s">
        <v>213</v>
      </c>
      <c r="BI169" s="36">
        <v>20</v>
      </c>
      <c r="BJ169" s="36">
        <v>20</v>
      </c>
      <c r="BK169" s="36">
        <v>1300</v>
      </c>
      <c r="BL169" s="36" t="s">
        <v>214</v>
      </c>
      <c r="BM169" s="36"/>
      <c r="BN169" s="36"/>
    </row>
    <row r="170" spans="1:66" x14ac:dyDescent="0.35">
      <c r="A170" s="36"/>
      <c r="B170" s="36"/>
      <c r="C170" s="37">
        <v>244626</v>
      </c>
      <c r="D170" s="37">
        <v>244626</v>
      </c>
      <c r="E170" s="36"/>
      <c r="F170" s="36" t="s">
        <v>192</v>
      </c>
      <c r="G170" s="36" t="s">
        <v>1</v>
      </c>
      <c r="H170" s="36">
        <v>0</v>
      </c>
      <c r="I170" s="36" t="s">
        <v>193</v>
      </c>
      <c r="J170" s="36" t="s">
        <v>194</v>
      </c>
      <c r="K170" s="36" t="s">
        <v>195</v>
      </c>
      <c r="L170" s="36">
        <v>923</v>
      </c>
      <c r="M170" s="36"/>
      <c r="N170" s="36" t="s">
        <v>235</v>
      </c>
      <c r="O170" s="36" t="s">
        <v>236</v>
      </c>
      <c r="P170" s="36">
        <v>2</v>
      </c>
      <c r="Q170" s="36" t="s">
        <v>237</v>
      </c>
      <c r="R170" s="37">
        <v>244412</v>
      </c>
      <c r="S170" s="37">
        <v>244626</v>
      </c>
      <c r="T170" s="36" t="s">
        <v>619</v>
      </c>
      <c r="U170" s="36">
        <v>23105754</v>
      </c>
      <c r="V170" s="36" t="s">
        <v>76</v>
      </c>
      <c r="W170" s="36">
        <v>230</v>
      </c>
      <c r="X170" s="36">
        <v>230</v>
      </c>
      <c r="Y170" s="36">
        <v>230</v>
      </c>
      <c r="Z170" s="36">
        <v>230</v>
      </c>
      <c r="AA170" s="36">
        <v>0</v>
      </c>
      <c r="AB170" s="36">
        <v>0</v>
      </c>
      <c r="AC170" s="36">
        <v>0</v>
      </c>
      <c r="AD170" s="36">
        <v>0</v>
      </c>
      <c r="AE170" s="36">
        <v>230</v>
      </c>
      <c r="AF170" s="36">
        <v>230</v>
      </c>
      <c r="AG170" s="36"/>
      <c r="AH170" s="36"/>
      <c r="AI170" s="36" t="s">
        <v>200</v>
      </c>
      <c r="AJ170" s="36" t="s">
        <v>201</v>
      </c>
      <c r="AK170" s="36" t="s">
        <v>202</v>
      </c>
      <c r="AL170" s="36" t="s">
        <v>203</v>
      </c>
      <c r="AM170" s="36" t="s">
        <v>204</v>
      </c>
      <c r="AN170" s="36" t="s">
        <v>222</v>
      </c>
      <c r="AO170" s="36" t="s">
        <v>206</v>
      </c>
      <c r="AP170" s="36">
        <v>2</v>
      </c>
      <c r="AQ170" s="36"/>
      <c r="AR170" s="36"/>
      <c r="AS170" s="36"/>
      <c r="AT170" s="36" t="s">
        <v>617</v>
      </c>
      <c r="AU170" s="36" t="s">
        <v>618</v>
      </c>
      <c r="AV170" s="36" t="s">
        <v>209</v>
      </c>
      <c r="AW170" s="36" t="s">
        <v>209</v>
      </c>
      <c r="AX170" s="36" t="s">
        <v>210</v>
      </c>
      <c r="AY170" s="36">
        <v>0</v>
      </c>
      <c r="AZ170" s="36" t="s">
        <v>211</v>
      </c>
      <c r="BA170" s="36">
        <v>9044988640821</v>
      </c>
      <c r="BB170" s="36"/>
      <c r="BC170" s="36"/>
      <c r="BD170" s="36">
        <v>1</v>
      </c>
      <c r="BE170" s="36"/>
      <c r="BF170" s="36" t="s">
        <v>212</v>
      </c>
      <c r="BG170" s="36">
        <v>1333314600</v>
      </c>
      <c r="BH170" s="36" t="s">
        <v>213</v>
      </c>
      <c r="BI170" s="36">
        <v>230</v>
      </c>
      <c r="BJ170" s="36">
        <v>230</v>
      </c>
      <c r="BK170" s="36">
        <v>1300</v>
      </c>
      <c r="BL170" s="36" t="s">
        <v>214</v>
      </c>
      <c r="BM170" s="36"/>
      <c r="BN170" s="36"/>
    </row>
    <row r="171" spans="1:66" x14ac:dyDescent="0.35">
      <c r="A171" s="36"/>
      <c r="B171" s="36"/>
      <c r="C171" s="37">
        <v>244626</v>
      </c>
      <c r="D171" s="37">
        <v>244626</v>
      </c>
      <c r="E171" s="36"/>
      <c r="F171" s="36" t="s">
        <v>192</v>
      </c>
      <c r="G171" s="36" t="s">
        <v>1</v>
      </c>
      <c r="H171" s="36">
        <v>0</v>
      </c>
      <c r="I171" s="36" t="s">
        <v>193</v>
      </c>
      <c r="J171" s="36" t="s">
        <v>194</v>
      </c>
      <c r="K171" s="36" t="s">
        <v>195</v>
      </c>
      <c r="L171" s="36">
        <v>923</v>
      </c>
      <c r="M171" s="36"/>
      <c r="N171" s="36" t="s">
        <v>235</v>
      </c>
      <c r="O171" s="36" t="s">
        <v>236</v>
      </c>
      <c r="P171" s="36">
        <v>2</v>
      </c>
      <c r="Q171" s="36" t="s">
        <v>237</v>
      </c>
      <c r="R171" s="37">
        <v>244412</v>
      </c>
      <c r="S171" s="37">
        <v>244626</v>
      </c>
      <c r="T171" s="36" t="s">
        <v>619</v>
      </c>
      <c r="U171" s="36">
        <v>23105752</v>
      </c>
      <c r="V171" s="36" t="s">
        <v>74</v>
      </c>
      <c r="W171" s="36">
        <v>80</v>
      </c>
      <c r="X171" s="36">
        <v>80</v>
      </c>
      <c r="Y171" s="36">
        <v>80</v>
      </c>
      <c r="Z171" s="36">
        <v>80</v>
      </c>
      <c r="AA171" s="36">
        <v>0</v>
      </c>
      <c r="AB171" s="36">
        <v>0</v>
      </c>
      <c r="AC171" s="36">
        <v>0</v>
      </c>
      <c r="AD171" s="36">
        <v>0</v>
      </c>
      <c r="AE171" s="36">
        <v>80</v>
      </c>
      <c r="AF171" s="36">
        <v>80</v>
      </c>
      <c r="AG171" s="36"/>
      <c r="AH171" s="36"/>
      <c r="AI171" s="36" t="s">
        <v>200</v>
      </c>
      <c r="AJ171" s="36" t="s">
        <v>201</v>
      </c>
      <c r="AK171" s="36" t="s">
        <v>202</v>
      </c>
      <c r="AL171" s="36" t="s">
        <v>203</v>
      </c>
      <c r="AM171" s="36" t="s">
        <v>204</v>
      </c>
      <c r="AN171" s="36" t="s">
        <v>222</v>
      </c>
      <c r="AO171" s="36" t="s">
        <v>206</v>
      </c>
      <c r="AP171" s="36">
        <v>2</v>
      </c>
      <c r="AQ171" s="36"/>
      <c r="AR171" s="36"/>
      <c r="AS171" s="36"/>
      <c r="AT171" s="36" t="s">
        <v>617</v>
      </c>
      <c r="AU171" s="36" t="s">
        <v>618</v>
      </c>
      <c r="AV171" s="36" t="s">
        <v>209</v>
      </c>
      <c r="AW171" s="36" t="s">
        <v>209</v>
      </c>
      <c r="AX171" s="36" t="s">
        <v>210</v>
      </c>
      <c r="AY171" s="36">
        <v>0</v>
      </c>
      <c r="AZ171" s="36" t="s">
        <v>211</v>
      </c>
      <c r="BA171" s="36">
        <v>9044988640821</v>
      </c>
      <c r="BB171" s="36"/>
      <c r="BC171" s="36"/>
      <c r="BD171" s="36">
        <v>1</v>
      </c>
      <c r="BE171" s="36"/>
      <c r="BF171" s="36" t="s">
        <v>212</v>
      </c>
      <c r="BG171" s="36">
        <v>1333314600</v>
      </c>
      <c r="BH171" s="36" t="s">
        <v>213</v>
      </c>
      <c r="BI171" s="36">
        <v>80</v>
      </c>
      <c r="BJ171" s="36">
        <v>80</v>
      </c>
      <c r="BK171" s="36">
        <v>1300</v>
      </c>
      <c r="BL171" s="36" t="s">
        <v>214</v>
      </c>
      <c r="BM171" s="36"/>
      <c r="BN171" s="36"/>
    </row>
    <row r="172" spans="1:66" x14ac:dyDescent="0.35">
      <c r="A172" s="36"/>
      <c r="B172" s="36"/>
      <c r="C172" s="37">
        <v>244626</v>
      </c>
      <c r="D172" s="37">
        <v>244626</v>
      </c>
      <c r="E172" s="36"/>
      <c r="F172" s="36" t="s">
        <v>192</v>
      </c>
      <c r="G172" s="36" t="s">
        <v>1</v>
      </c>
      <c r="H172" s="36">
        <v>0</v>
      </c>
      <c r="I172" s="36" t="s">
        <v>193</v>
      </c>
      <c r="J172" s="36" t="s">
        <v>194</v>
      </c>
      <c r="K172" s="36" t="s">
        <v>195</v>
      </c>
      <c r="L172" s="36">
        <v>923</v>
      </c>
      <c r="M172" s="36"/>
      <c r="N172" s="36" t="s">
        <v>239</v>
      </c>
      <c r="O172" s="36" t="s">
        <v>240</v>
      </c>
      <c r="P172" s="36">
        <v>2</v>
      </c>
      <c r="Q172" s="36" t="s">
        <v>241</v>
      </c>
      <c r="R172" s="37">
        <v>244412</v>
      </c>
      <c r="S172" s="37">
        <v>244626</v>
      </c>
      <c r="T172" s="36" t="s">
        <v>620</v>
      </c>
      <c r="U172" s="36">
        <v>23105752</v>
      </c>
      <c r="V172" s="36" t="s">
        <v>74</v>
      </c>
      <c r="W172" s="36">
        <v>40</v>
      </c>
      <c r="X172" s="36">
        <v>40</v>
      </c>
      <c r="Y172" s="36">
        <v>40</v>
      </c>
      <c r="Z172" s="36">
        <v>40</v>
      </c>
      <c r="AA172" s="36">
        <v>0</v>
      </c>
      <c r="AB172" s="36">
        <v>0</v>
      </c>
      <c r="AC172" s="36">
        <v>0</v>
      </c>
      <c r="AD172" s="36">
        <v>0</v>
      </c>
      <c r="AE172" s="36">
        <v>40</v>
      </c>
      <c r="AF172" s="36">
        <v>40</v>
      </c>
      <c r="AG172" s="36"/>
      <c r="AH172" s="36"/>
      <c r="AI172" s="36" t="s">
        <v>200</v>
      </c>
      <c r="AJ172" s="36" t="s">
        <v>201</v>
      </c>
      <c r="AK172" s="36" t="s">
        <v>202</v>
      </c>
      <c r="AL172" s="36" t="s">
        <v>203</v>
      </c>
      <c r="AM172" s="36" t="s">
        <v>204</v>
      </c>
      <c r="AN172" s="36" t="s">
        <v>222</v>
      </c>
      <c r="AO172" s="36" t="s">
        <v>206</v>
      </c>
      <c r="AP172" s="36">
        <v>2</v>
      </c>
      <c r="AQ172" s="36"/>
      <c r="AR172" s="36"/>
      <c r="AS172" s="36"/>
      <c r="AT172" s="36" t="s">
        <v>247</v>
      </c>
      <c r="AU172" s="36" t="s">
        <v>618</v>
      </c>
      <c r="AV172" s="36" t="s">
        <v>209</v>
      </c>
      <c r="AW172" s="36" t="s">
        <v>209</v>
      </c>
      <c r="AX172" s="36" t="s">
        <v>210</v>
      </c>
      <c r="AY172" s="36">
        <v>0</v>
      </c>
      <c r="AZ172" s="36" t="s">
        <v>211</v>
      </c>
      <c r="BA172" s="36">
        <v>9044988640833</v>
      </c>
      <c r="BB172" s="36"/>
      <c r="BC172" s="36"/>
      <c r="BD172" s="36">
        <v>1</v>
      </c>
      <c r="BE172" s="36"/>
      <c r="BF172" s="36" t="s">
        <v>212</v>
      </c>
      <c r="BG172" s="36">
        <v>1333314600</v>
      </c>
      <c r="BH172" s="36" t="s">
        <v>213</v>
      </c>
      <c r="BI172" s="36">
        <v>40</v>
      </c>
      <c r="BJ172" s="36">
        <v>40</v>
      </c>
      <c r="BK172" s="36">
        <v>1300</v>
      </c>
      <c r="BL172" s="36" t="s">
        <v>214</v>
      </c>
      <c r="BM172" s="36"/>
      <c r="BN172" s="36"/>
    </row>
    <row r="173" spans="1:66" x14ac:dyDescent="0.35">
      <c r="A173" s="36"/>
      <c r="B173" s="36"/>
      <c r="C173" s="37">
        <v>244626</v>
      </c>
      <c r="D173" s="37">
        <v>244626</v>
      </c>
      <c r="E173" s="36"/>
      <c r="F173" s="36" t="s">
        <v>192</v>
      </c>
      <c r="G173" s="36" t="s">
        <v>1</v>
      </c>
      <c r="H173" s="36">
        <v>0</v>
      </c>
      <c r="I173" s="36" t="s">
        <v>193</v>
      </c>
      <c r="J173" s="36" t="s">
        <v>194</v>
      </c>
      <c r="K173" s="36" t="s">
        <v>195</v>
      </c>
      <c r="L173" s="36">
        <v>923</v>
      </c>
      <c r="M173" s="36"/>
      <c r="N173" s="36" t="s">
        <v>239</v>
      </c>
      <c r="O173" s="36" t="s">
        <v>240</v>
      </c>
      <c r="P173" s="36">
        <v>2</v>
      </c>
      <c r="Q173" s="36" t="s">
        <v>241</v>
      </c>
      <c r="R173" s="37">
        <v>244412</v>
      </c>
      <c r="S173" s="37">
        <v>244626</v>
      </c>
      <c r="T173" s="36" t="s">
        <v>620</v>
      </c>
      <c r="U173" s="36">
        <v>23105751</v>
      </c>
      <c r="V173" s="36" t="s">
        <v>73</v>
      </c>
      <c r="W173" s="36">
        <v>40</v>
      </c>
      <c r="X173" s="36">
        <v>40</v>
      </c>
      <c r="Y173" s="36">
        <v>40</v>
      </c>
      <c r="Z173" s="36">
        <v>40</v>
      </c>
      <c r="AA173" s="36">
        <v>0</v>
      </c>
      <c r="AB173" s="36">
        <v>0</v>
      </c>
      <c r="AC173" s="36">
        <v>0</v>
      </c>
      <c r="AD173" s="36">
        <v>0</v>
      </c>
      <c r="AE173" s="36">
        <v>40</v>
      </c>
      <c r="AF173" s="36">
        <v>40</v>
      </c>
      <c r="AG173" s="36"/>
      <c r="AH173" s="36"/>
      <c r="AI173" s="36" t="s">
        <v>200</v>
      </c>
      <c r="AJ173" s="36" t="s">
        <v>201</v>
      </c>
      <c r="AK173" s="36" t="s">
        <v>202</v>
      </c>
      <c r="AL173" s="36" t="s">
        <v>203</v>
      </c>
      <c r="AM173" s="36" t="s">
        <v>204</v>
      </c>
      <c r="AN173" s="36" t="s">
        <v>222</v>
      </c>
      <c r="AO173" s="36" t="s">
        <v>206</v>
      </c>
      <c r="AP173" s="36">
        <v>2</v>
      </c>
      <c r="AQ173" s="36"/>
      <c r="AR173" s="36"/>
      <c r="AS173" s="36"/>
      <c r="AT173" s="36" t="s">
        <v>247</v>
      </c>
      <c r="AU173" s="36" t="s">
        <v>618</v>
      </c>
      <c r="AV173" s="36" t="s">
        <v>209</v>
      </c>
      <c r="AW173" s="36" t="s">
        <v>209</v>
      </c>
      <c r="AX173" s="36" t="s">
        <v>210</v>
      </c>
      <c r="AY173" s="36">
        <v>0</v>
      </c>
      <c r="AZ173" s="36" t="s">
        <v>211</v>
      </c>
      <c r="BA173" s="36">
        <v>9044988640833</v>
      </c>
      <c r="BB173" s="36"/>
      <c r="BC173" s="36"/>
      <c r="BD173" s="36">
        <v>1</v>
      </c>
      <c r="BE173" s="36"/>
      <c r="BF173" s="36" t="s">
        <v>212</v>
      </c>
      <c r="BG173" s="36">
        <v>1333314600</v>
      </c>
      <c r="BH173" s="36" t="s">
        <v>213</v>
      </c>
      <c r="BI173" s="36">
        <v>40</v>
      </c>
      <c r="BJ173" s="36">
        <v>40</v>
      </c>
      <c r="BK173" s="36">
        <v>1300</v>
      </c>
      <c r="BL173" s="36" t="s">
        <v>214</v>
      </c>
      <c r="BM173" s="36"/>
      <c r="BN173" s="36"/>
    </row>
    <row r="174" spans="1:66" x14ac:dyDescent="0.35">
      <c r="A174" s="36"/>
      <c r="B174" s="36"/>
      <c r="C174" s="37">
        <v>244626</v>
      </c>
      <c r="D174" s="37">
        <v>244626</v>
      </c>
      <c r="E174" s="36"/>
      <c r="F174" s="36" t="s">
        <v>192</v>
      </c>
      <c r="G174" s="36" t="s">
        <v>1</v>
      </c>
      <c r="H174" s="36">
        <v>0</v>
      </c>
      <c r="I174" s="36" t="s">
        <v>193</v>
      </c>
      <c r="J174" s="36" t="s">
        <v>194</v>
      </c>
      <c r="K174" s="36" t="s">
        <v>195</v>
      </c>
      <c r="L174" s="36">
        <v>923</v>
      </c>
      <c r="M174" s="36"/>
      <c r="N174" s="36" t="s">
        <v>239</v>
      </c>
      <c r="O174" s="36" t="s">
        <v>240</v>
      </c>
      <c r="P174" s="36">
        <v>2</v>
      </c>
      <c r="Q174" s="36" t="s">
        <v>241</v>
      </c>
      <c r="R174" s="37">
        <v>244412</v>
      </c>
      <c r="S174" s="37">
        <v>244626</v>
      </c>
      <c r="T174" s="36" t="s">
        <v>620</v>
      </c>
      <c r="U174" s="36">
        <v>23105753</v>
      </c>
      <c r="V174" s="36" t="s">
        <v>75</v>
      </c>
      <c r="W174" s="36">
        <v>40</v>
      </c>
      <c r="X174" s="36">
        <v>40</v>
      </c>
      <c r="Y174" s="36">
        <v>40</v>
      </c>
      <c r="Z174" s="36">
        <v>40</v>
      </c>
      <c r="AA174" s="36">
        <v>0</v>
      </c>
      <c r="AB174" s="36">
        <v>0</v>
      </c>
      <c r="AC174" s="36">
        <v>0</v>
      </c>
      <c r="AD174" s="36">
        <v>0</v>
      </c>
      <c r="AE174" s="36">
        <v>40</v>
      </c>
      <c r="AF174" s="36">
        <v>40</v>
      </c>
      <c r="AG174" s="36"/>
      <c r="AH174" s="36"/>
      <c r="AI174" s="36" t="s">
        <v>200</v>
      </c>
      <c r="AJ174" s="36" t="s">
        <v>201</v>
      </c>
      <c r="AK174" s="36" t="s">
        <v>202</v>
      </c>
      <c r="AL174" s="36" t="s">
        <v>203</v>
      </c>
      <c r="AM174" s="36" t="s">
        <v>204</v>
      </c>
      <c r="AN174" s="36" t="s">
        <v>222</v>
      </c>
      <c r="AO174" s="36" t="s">
        <v>206</v>
      </c>
      <c r="AP174" s="36">
        <v>2</v>
      </c>
      <c r="AQ174" s="36"/>
      <c r="AR174" s="36"/>
      <c r="AS174" s="36"/>
      <c r="AT174" s="36" t="s">
        <v>247</v>
      </c>
      <c r="AU174" s="36" t="s">
        <v>618</v>
      </c>
      <c r="AV174" s="36" t="s">
        <v>209</v>
      </c>
      <c r="AW174" s="36" t="s">
        <v>209</v>
      </c>
      <c r="AX174" s="36" t="s">
        <v>210</v>
      </c>
      <c r="AY174" s="36">
        <v>0</v>
      </c>
      <c r="AZ174" s="36" t="s">
        <v>211</v>
      </c>
      <c r="BA174" s="36">
        <v>9044988640833</v>
      </c>
      <c r="BB174" s="36"/>
      <c r="BC174" s="36"/>
      <c r="BD174" s="36">
        <v>1</v>
      </c>
      <c r="BE174" s="36"/>
      <c r="BF174" s="36" t="s">
        <v>212</v>
      </c>
      <c r="BG174" s="36">
        <v>1333314600</v>
      </c>
      <c r="BH174" s="36" t="s">
        <v>213</v>
      </c>
      <c r="BI174" s="36">
        <v>40</v>
      </c>
      <c r="BJ174" s="36">
        <v>40</v>
      </c>
      <c r="BK174" s="36">
        <v>1300</v>
      </c>
      <c r="BL174" s="36" t="s">
        <v>214</v>
      </c>
      <c r="BM174" s="36"/>
      <c r="BN174" s="36"/>
    </row>
    <row r="175" spans="1:66" x14ac:dyDescent="0.35">
      <c r="A175" s="36"/>
      <c r="B175" s="36"/>
      <c r="C175" s="37">
        <v>244626</v>
      </c>
      <c r="D175" s="37">
        <v>244626</v>
      </c>
      <c r="E175" s="36"/>
      <c r="F175" s="36" t="s">
        <v>192</v>
      </c>
      <c r="G175" s="36" t="s">
        <v>1</v>
      </c>
      <c r="H175" s="36">
        <v>0</v>
      </c>
      <c r="I175" s="36" t="s">
        <v>193</v>
      </c>
      <c r="J175" s="36" t="s">
        <v>194</v>
      </c>
      <c r="K175" s="36" t="s">
        <v>195</v>
      </c>
      <c r="L175" s="36">
        <v>923</v>
      </c>
      <c r="M175" s="36"/>
      <c r="N175" s="36" t="s">
        <v>239</v>
      </c>
      <c r="O175" s="36" t="s">
        <v>240</v>
      </c>
      <c r="P175" s="36">
        <v>2</v>
      </c>
      <c r="Q175" s="36" t="s">
        <v>241</v>
      </c>
      <c r="R175" s="37">
        <v>244412</v>
      </c>
      <c r="S175" s="37">
        <v>244626</v>
      </c>
      <c r="T175" s="36" t="s">
        <v>620</v>
      </c>
      <c r="U175" s="36">
        <v>23105754</v>
      </c>
      <c r="V175" s="36" t="s">
        <v>76</v>
      </c>
      <c r="W175" s="36">
        <v>80</v>
      </c>
      <c r="X175" s="36">
        <v>80</v>
      </c>
      <c r="Y175" s="36">
        <v>80</v>
      </c>
      <c r="Z175" s="36">
        <v>80</v>
      </c>
      <c r="AA175" s="36">
        <v>0</v>
      </c>
      <c r="AB175" s="36">
        <v>0</v>
      </c>
      <c r="AC175" s="36">
        <v>0</v>
      </c>
      <c r="AD175" s="36">
        <v>0</v>
      </c>
      <c r="AE175" s="36">
        <v>80</v>
      </c>
      <c r="AF175" s="36">
        <v>80</v>
      </c>
      <c r="AG175" s="36"/>
      <c r="AH175" s="36"/>
      <c r="AI175" s="36" t="s">
        <v>200</v>
      </c>
      <c r="AJ175" s="36" t="s">
        <v>201</v>
      </c>
      <c r="AK175" s="36" t="s">
        <v>202</v>
      </c>
      <c r="AL175" s="36" t="s">
        <v>203</v>
      </c>
      <c r="AM175" s="36" t="s">
        <v>204</v>
      </c>
      <c r="AN175" s="36" t="s">
        <v>222</v>
      </c>
      <c r="AO175" s="36" t="s">
        <v>206</v>
      </c>
      <c r="AP175" s="36">
        <v>2</v>
      </c>
      <c r="AQ175" s="36"/>
      <c r="AR175" s="36"/>
      <c r="AS175" s="36"/>
      <c r="AT175" s="36" t="s">
        <v>247</v>
      </c>
      <c r="AU175" s="36" t="s">
        <v>618</v>
      </c>
      <c r="AV175" s="36" t="s">
        <v>209</v>
      </c>
      <c r="AW175" s="36" t="s">
        <v>209</v>
      </c>
      <c r="AX175" s="36" t="s">
        <v>210</v>
      </c>
      <c r="AY175" s="36">
        <v>0</v>
      </c>
      <c r="AZ175" s="36" t="s">
        <v>211</v>
      </c>
      <c r="BA175" s="36">
        <v>9044988640833</v>
      </c>
      <c r="BB175" s="36"/>
      <c r="BC175" s="36"/>
      <c r="BD175" s="36">
        <v>1</v>
      </c>
      <c r="BE175" s="36"/>
      <c r="BF175" s="36" t="s">
        <v>212</v>
      </c>
      <c r="BG175" s="36">
        <v>1333314600</v>
      </c>
      <c r="BH175" s="36" t="s">
        <v>213</v>
      </c>
      <c r="BI175" s="36">
        <v>80</v>
      </c>
      <c r="BJ175" s="36">
        <v>80</v>
      </c>
      <c r="BK175" s="36">
        <v>1300</v>
      </c>
      <c r="BL175" s="36" t="s">
        <v>214</v>
      </c>
      <c r="BM175" s="36"/>
      <c r="BN175" s="36"/>
    </row>
    <row r="176" spans="1:66" x14ac:dyDescent="0.35">
      <c r="A176" s="36"/>
      <c r="B176" s="36"/>
      <c r="C176" s="37">
        <v>244626</v>
      </c>
      <c r="D176" s="37">
        <v>244626</v>
      </c>
      <c r="E176" s="36"/>
      <c r="F176" s="36" t="s">
        <v>192</v>
      </c>
      <c r="G176" s="36" t="s">
        <v>1</v>
      </c>
      <c r="H176" s="36">
        <v>0</v>
      </c>
      <c r="I176" s="36" t="s">
        <v>193</v>
      </c>
      <c r="J176" s="36" t="s">
        <v>194</v>
      </c>
      <c r="K176" s="36" t="s">
        <v>195</v>
      </c>
      <c r="L176" s="36">
        <v>923</v>
      </c>
      <c r="M176" s="36"/>
      <c r="N176" s="36" t="s">
        <v>239</v>
      </c>
      <c r="O176" s="36" t="s">
        <v>240</v>
      </c>
      <c r="P176" s="36">
        <v>2</v>
      </c>
      <c r="Q176" s="36" t="s">
        <v>241</v>
      </c>
      <c r="R176" s="37">
        <v>244412</v>
      </c>
      <c r="S176" s="37">
        <v>244626</v>
      </c>
      <c r="T176" s="36" t="s">
        <v>620</v>
      </c>
      <c r="U176" s="36">
        <v>23105755</v>
      </c>
      <c r="V176" s="36" t="s">
        <v>282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  <c r="AB176" s="36">
        <v>0</v>
      </c>
      <c r="AC176" s="36">
        <v>0</v>
      </c>
      <c r="AD176" s="36">
        <v>0</v>
      </c>
      <c r="AE176" s="36">
        <v>0</v>
      </c>
      <c r="AF176" s="36">
        <v>0</v>
      </c>
      <c r="AG176" s="36"/>
      <c r="AH176" s="36"/>
      <c r="AI176" s="36" t="s">
        <v>200</v>
      </c>
      <c r="AJ176" s="36" t="s">
        <v>201</v>
      </c>
      <c r="AK176" s="36" t="s">
        <v>202</v>
      </c>
      <c r="AL176" s="36" t="s">
        <v>203</v>
      </c>
      <c r="AM176" s="36" t="s">
        <v>204</v>
      </c>
      <c r="AN176" s="36" t="s">
        <v>222</v>
      </c>
      <c r="AO176" s="36" t="s">
        <v>206</v>
      </c>
      <c r="AP176" s="36">
        <v>2</v>
      </c>
      <c r="AQ176" s="36"/>
      <c r="AR176" s="36"/>
      <c r="AS176" s="36"/>
      <c r="AT176" s="36" t="s">
        <v>247</v>
      </c>
      <c r="AU176" s="36" t="s">
        <v>618</v>
      </c>
      <c r="AV176" s="36" t="s">
        <v>209</v>
      </c>
      <c r="AW176" s="36" t="s">
        <v>209</v>
      </c>
      <c r="AX176" s="36" t="s">
        <v>210</v>
      </c>
      <c r="AY176" s="36">
        <v>0</v>
      </c>
      <c r="AZ176" s="36" t="s">
        <v>211</v>
      </c>
      <c r="BA176" s="36">
        <v>9044988640833</v>
      </c>
      <c r="BB176" s="36"/>
      <c r="BC176" s="36"/>
      <c r="BD176" s="36">
        <v>1</v>
      </c>
      <c r="BE176" s="36"/>
      <c r="BF176" s="36" t="s">
        <v>212</v>
      </c>
      <c r="BG176" s="36">
        <v>1333314600</v>
      </c>
      <c r="BH176" s="36" t="s">
        <v>213</v>
      </c>
      <c r="BI176" s="36">
        <v>0</v>
      </c>
      <c r="BJ176" s="36">
        <v>0</v>
      </c>
      <c r="BK176" s="36">
        <v>1300</v>
      </c>
      <c r="BL176" s="36" t="s">
        <v>214</v>
      </c>
      <c r="BM176" s="36"/>
      <c r="BN176" s="36"/>
    </row>
    <row r="177" spans="1:66" x14ac:dyDescent="0.35">
      <c r="A177" s="36"/>
      <c r="B177" s="36"/>
      <c r="C177" s="37">
        <v>244626</v>
      </c>
      <c r="D177" s="37">
        <v>244626</v>
      </c>
      <c r="E177" s="36"/>
      <c r="F177" s="36" t="s">
        <v>192</v>
      </c>
      <c r="G177" s="36" t="s">
        <v>1</v>
      </c>
      <c r="H177" s="36">
        <v>0</v>
      </c>
      <c r="I177" s="36" t="s">
        <v>193</v>
      </c>
      <c r="J177" s="36" t="s">
        <v>194</v>
      </c>
      <c r="K177" s="36" t="s">
        <v>195</v>
      </c>
      <c r="L177" s="36">
        <v>923</v>
      </c>
      <c r="M177" s="36"/>
      <c r="N177" s="36" t="s">
        <v>218</v>
      </c>
      <c r="O177" s="36" t="s">
        <v>219</v>
      </c>
      <c r="P177" s="36">
        <v>2</v>
      </c>
      <c r="Q177" s="36" t="s">
        <v>220</v>
      </c>
      <c r="R177" s="37">
        <v>244412</v>
      </c>
      <c r="S177" s="37">
        <v>244626</v>
      </c>
      <c r="T177" s="36" t="s">
        <v>621</v>
      </c>
      <c r="U177" s="36">
        <v>23105754</v>
      </c>
      <c r="V177" s="36" t="s">
        <v>76</v>
      </c>
      <c r="W177" s="36">
        <v>40</v>
      </c>
      <c r="X177" s="36">
        <v>40</v>
      </c>
      <c r="Y177" s="36">
        <v>40</v>
      </c>
      <c r="Z177" s="36">
        <v>40</v>
      </c>
      <c r="AA177" s="36">
        <v>0</v>
      </c>
      <c r="AB177" s="36">
        <v>0</v>
      </c>
      <c r="AC177" s="36">
        <v>0</v>
      </c>
      <c r="AD177" s="36">
        <v>0</v>
      </c>
      <c r="AE177" s="36">
        <v>40</v>
      </c>
      <c r="AF177" s="36">
        <v>40</v>
      </c>
      <c r="AG177" s="36"/>
      <c r="AH177" s="36"/>
      <c r="AI177" s="36" t="s">
        <v>200</v>
      </c>
      <c r="AJ177" s="36" t="s">
        <v>201</v>
      </c>
      <c r="AK177" s="36" t="s">
        <v>202</v>
      </c>
      <c r="AL177" s="36" t="s">
        <v>203</v>
      </c>
      <c r="AM177" s="36" t="s">
        <v>204</v>
      </c>
      <c r="AN177" s="36" t="s">
        <v>222</v>
      </c>
      <c r="AO177" s="36" t="s">
        <v>206</v>
      </c>
      <c r="AP177" s="36">
        <v>2</v>
      </c>
      <c r="AQ177" s="36"/>
      <c r="AR177" s="36"/>
      <c r="AS177" s="36"/>
      <c r="AT177" s="36" t="s">
        <v>617</v>
      </c>
      <c r="AU177" s="36" t="s">
        <v>618</v>
      </c>
      <c r="AV177" s="36" t="s">
        <v>209</v>
      </c>
      <c r="AW177" s="36" t="s">
        <v>209</v>
      </c>
      <c r="AX177" s="36" t="s">
        <v>210</v>
      </c>
      <c r="AY177" s="36">
        <v>0</v>
      </c>
      <c r="AZ177" s="36" t="s">
        <v>211</v>
      </c>
      <c r="BA177" s="36">
        <v>9044988640957</v>
      </c>
      <c r="BB177" s="36"/>
      <c r="BC177" s="36"/>
      <c r="BD177" s="36">
        <v>1</v>
      </c>
      <c r="BE177" s="36"/>
      <c r="BF177" s="36" t="s">
        <v>212</v>
      </c>
      <c r="BG177" s="36">
        <v>1333314600</v>
      </c>
      <c r="BH177" s="36" t="s">
        <v>213</v>
      </c>
      <c r="BI177" s="36">
        <v>40</v>
      </c>
      <c r="BJ177" s="36">
        <v>40</v>
      </c>
      <c r="BK177" s="36">
        <v>1300</v>
      </c>
      <c r="BL177" s="36" t="s">
        <v>214</v>
      </c>
      <c r="BM177" s="36"/>
      <c r="BN177" s="36"/>
    </row>
    <row r="178" spans="1:66" x14ac:dyDescent="0.35">
      <c r="A178" s="36"/>
      <c r="B178" s="36"/>
      <c r="C178" s="37">
        <v>244626</v>
      </c>
      <c r="D178" s="37">
        <v>244626</v>
      </c>
      <c r="E178" s="36"/>
      <c r="F178" s="36" t="s">
        <v>192</v>
      </c>
      <c r="G178" s="36" t="s">
        <v>1</v>
      </c>
      <c r="H178" s="36">
        <v>0</v>
      </c>
      <c r="I178" s="36" t="s">
        <v>193</v>
      </c>
      <c r="J178" s="36" t="s">
        <v>194</v>
      </c>
      <c r="K178" s="36" t="s">
        <v>195</v>
      </c>
      <c r="L178" s="36">
        <v>923</v>
      </c>
      <c r="M178" s="36"/>
      <c r="N178" s="36" t="s">
        <v>218</v>
      </c>
      <c r="O178" s="36" t="s">
        <v>219</v>
      </c>
      <c r="P178" s="36">
        <v>2</v>
      </c>
      <c r="Q178" s="36" t="s">
        <v>220</v>
      </c>
      <c r="R178" s="37">
        <v>244412</v>
      </c>
      <c r="S178" s="37">
        <v>244626</v>
      </c>
      <c r="T178" s="36" t="s">
        <v>621</v>
      </c>
      <c r="U178" s="36">
        <v>23105751</v>
      </c>
      <c r="V178" s="36" t="s">
        <v>73</v>
      </c>
      <c r="W178" s="36">
        <v>10</v>
      </c>
      <c r="X178" s="36">
        <v>10</v>
      </c>
      <c r="Y178" s="36">
        <v>10</v>
      </c>
      <c r="Z178" s="36">
        <v>10</v>
      </c>
      <c r="AA178" s="36">
        <v>0</v>
      </c>
      <c r="AB178" s="36">
        <v>0</v>
      </c>
      <c r="AC178" s="36">
        <v>0</v>
      </c>
      <c r="AD178" s="36">
        <v>0</v>
      </c>
      <c r="AE178" s="36">
        <v>10</v>
      </c>
      <c r="AF178" s="36">
        <v>10</v>
      </c>
      <c r="AG178" s="36"/>
      <c r="AH178" s="36"/>
      <c r="AI178" s="36" t="s">
        <v>200</v>
      </c>
      <c r="AJ178" s="36" t="s">
        <v>201</v>
      </c>
      <c r="AK178" s="36" t="s">
        <v>202</v>
      </c>
      <c r="AL178" s="36" t="s">
        <v>203</v>
      </c>
      <c r="AM178" s="36" t="s">
        <v>204</v>
      </c>
      <c r="AN178" s="36" t="s">
        <v>222</v>
      </c>
      <c r="AO178" s="36" t="s">
        <v>206</v>
      </c>
      <c r="AP178" s="36">
        <v>2</v>
      </c>
      <c r="AQ178" s="36"/>
      <c r="AR178" s="36"/>
      <c r="AS178" s="36"/>
      <c r="AT178" s="36" t="s">
        <v>617</v>
      </c>
      <c r="AU178" s="36" t="s">
        <v>618</v>
      </c>
      <c r="AV178" s="36" t="s">
        <v>209</v>
      </c>
      <c r="AW178" s="36" t="s">
        <v>209</v>
      </c>
      <c r="AX178" s="36" t="s">
        <v>210</v>
      </c>
      <c r="AY178" s="36">
        <v>0</v>
      </c>
      <c r="AZ178" s="36" t="s">
        <v>211</v>
      </c>
      <c r="BA178" s="36">
        <v>9044988640957</v>
      </c>
      <c r="BB178" s="36"/>
      <c r="BC178" s="36"/>
      <c r="BD178" s="36">
        <v>1</v>
      </c>
      <c r="BE178" s="36"/>
      <c r="BF178" s="36" t="s">
        <v>212</v>
      </c>
      <c r="BG178" s="36">
        <v>1333314600</v>
      </c>
      <c r="BH178" s="36" t="s">
        <v>213</v>
      </c>
      <c r="BI178" s="36">
        <v>10</v>
      </c>
      <c r="BJ178" s="36">
        <v>10</v>
      </c>
      <c r="BK178" s="36">
        <v>1300</v>
      </c>
      <c r="BL178" s="36" t="s">
        <v>214</v>
      </c>
      <c r="BM178" s="36"/>
      <c r="BN178" s="36"/>
    </row>
    <row r="179" spans="1:66" x14ac:dyDescent="0.35">
      <c r="A179" s="36"/>
      <c r="B179" s="36"/>
      <c r="C179" s="37">
        <v>244626</v>
      </c>
      <c r="D179" s="37">
        <v>244626</v>
      </c>
      <c r="E179" s="36"/>
      <c r="F179" s="36" t="s">
        <v>192</v>
      </c>
      <c r="G179" s="36" t="s">
        <v>1</v>
      </c>
      <c r="H179" s="36">
        <v>0</v>
      </c>
      <c r="I179" s="36" t="s">
        <v>193</v>
      </c>
      <c r="J179" s="36" t="s">
        <v>194</v>
      </c>
      <c r="K179" s="36" t="s">
        <v>195</v>
      </c>
      <c r="L179" s="36">
        <v>923</v>
      </c>
      <c r="M179" s="36"/>
      <c r="N179" s="36" t="s">
        <v>218</v>
      </c>
      <c r="O179" s="36" t="s">
        <v>219</v>
      </c>
      <c r="P179" s="36">
        <v>2</v>
      </c>
      <c r="Q179" s="36" t="s">
        <v>220</v>
      </c>
      <c r="R179" s="37">
        <v>244412</v>
      </c>
      <c r="S179" s="37">
        <v>244626</v>
      </c>
      <c r="T179" s="36" t="s">
        <v>621</v>
      </c>
      <c r="U179" s="36">
        <v>23105753</v>
      </c>
      <c r="V179" s="36" t="s">
        <v>75</v>
      </c>
      <c r="W179" s="36">
        <v>30</v>
      </c>
      <c r="X179" s="36">
        <v>30</v>
      </c>
      <c r="Y179" s="36">
        <v>30</v>
      </c>
      <c r="Z179" s="36">
        <v>30</v>
      </c>
      <c r="AA179" s="36">
        <v>0</v>
      </c>
      <c r="AB179" s="36">
        <v>0</v>
      </c>
      <c r="AC179" s="36">
        <v>0</v>
      </c>
      <c r="AD179" s="36">
        <v>0</v>
      </c>
      <c r="AE179" s="36">
        <v>30</v>
      </c>
      <c r="AF179" s="36">
        <v>30</v>
      </c>
      <c r="AG179" s="36"/>
      <c r="AH179" s="36"/>
      <c r="AI179" s="36" t="s">
        <v>200</v>
      </c>
      <c r="AJ179" s="36" t="s">
        <v>201</v>
      </c>
      <c r="AK179" s="36" t="s">
        <v>202</v>
      </c>
      <c r="AL179" s="36" t="s">
        <v>203</v>
      </c>
      <c r="AM179" s="36" t="s">
        <v>204</v>
      </c>
      <c r="AN179" s="36" t="s">
        <v>222</v>
      </c>
      <c r="AO179" s="36" t="s">
        <v>206</v>
      </c>
      <c r="AP179" s="36">
        <v>2</v>
      </c>
      <c r="AQ179" s="36"/>
      <c r="AR179" s="36"/>
      <c r="AS179" s="36"/>
      <c r="AT179" s="36" t="s">
        <v>617</v>
      </c>
      <c r="AU179" s="36" t="s">
        <v>618</v>
      </c>
      <c r="AV179" s="36" t="s">
        <v>209</v>
      </c>
      <c r="AW179" s="36" t="s">
        <v>209</v>
      </c>
      <c r="AX179" s="36" t="s">
        <v>210</v>
      </c>
      <c r="AY179" s="36">
        <v>0</v>
      </c>
      <c r="AZ179" s="36" t="s">
        <v>211</v>
      </c>
      <c r="BA179" s="36">
        <v>9044988640957</v>
      </c>
      <c r="BB179" s="36"/>
      <c r="BC179" s="36"/>
      <c r="BD179" s="36">
        <v>1</v>
      </c>
      <c r="BE179" s="36"/>
      <c r="BF179" s="36" t="s">
        <v>212</v>
      </c>
      <c r="BG179" s="36">
        <v>1333314600</v>
      </c>
      <c r="BH179" s="36" t="s">
        <v>213</v>
      </c>
      <c r="BI179" s="36">
        <v>30</v>
      </c>
      <c r="BJ179" s="36">
        <v>30</v>
      </c>
      <c r="BK179" s="36">
        <v>1300</v>
      </c>
      <c r="BL179" s="36" t="s">
        <v>214</v>
      </c>
      <c r="BM179" s="36"/>
      <c r="BN179" s="36"/>
    </row>
    <row r="180" spans="1:66" x14ac:dyDescent="0.35">
      <c r="A180" s="36"/>
      <c r="B180" s="36"/>
      <c r="C180" s="37">
        <v>244626</v>
      </c>
      <c r="D180" s="37">
        <v>244626</v>
      </c>
      <c r="E180" s="36"/>
      <c r="F180" s="36" t="s">
        <v>192</v>
      </c>
      <c r="G180" s="36" t="s">
        <v>1</v>
      </c>
      <c r="H180" s="36">
        <v>0</v>
      </c>
      <c r="I180" s="36" t="s">
        <v>193</v>
      </c>
      <c r="J180" s="36" t="s">
        <v>194</v>
      </c>
      <c r="K180" s="36" t="s">
        <v>195</v>
      </c>
      <c r="L180" s="36">
        <v>923</v>
      </c>
      <c r="M180" s="36"/>
      <c r="N180" s="36" t="s">
        <v>226</v>
      </c>
      <c r="O180" s="36" t="s">
        <v>227</v>
      </c>
      <c r="P180" s="36">
        <v>2</v>
      </c>
      <c r="Q180" s="36" t="s">
        <v>228</v>
      </c>
      <c r="R180" s="37">
        <v>244412</v>
      </c>
      <c r="S180" s="37">
        <v>244626</v>
      </c>
      <c r="T180" s="36" t="s">
        <v>622</v>
      </c>
      <c r="U180" s="36">
        <v>23105751</v>
      </c>
      <c r="V180" s="36" t="s">
        <v>73</v>
      </c>
      <c r="W180" s="36">
        <v>45</v>
      </c>
      <c r="X180" s="36">
        <v>45</v>
      </c>
      <c r="Y180" s="36">
        <v>45</v>
      </c>
      <c r="Z180" s="36">
        <v>45</v>
      </c>
      <c r="AA180" s="36">
        <v>0</v>
      </c>
      <c r="AB180" s="36">
        <v>0</v>
      </c>
      <c r="AC180" s="36">
        <v>0</v>
      </c>
      <c r="AD180" s="36">
        <v>0</v>
      </c>
      <c r="AE180" s="36">
        <v>45</v>
      </c>
      <c r="AF180" s="36">
        <v>45</v>
      </c>
      <c r="AG180" s="36"/>
      <c r="AH180" s="36"/>
      <c r="AI180" s="36" t="s">
        <v>200</v>
      </c>
      <c r="AJ180" s="36" t="s">
        <v>201</v>
      </c>
      <c r="AK180" s="36" t="s">
        <v>202</v>
      </c>
      <c r="AL180" s="36" t="s">
        <v>203</v>
      </c>
      <c r="AM180" s="36" t="s">
        <v>204</v>
      </c>
      <c r="AN180" s="36" t="s">
        <v>222</v>
      </c>
      <c r="AO180" s="36" t="s">
        <v>206</v>
      </c>
      <c r="AP180" s="36">
        <v>2</v>
      </c>
      <c r="AQ180" s="36"/>
      <c r="AR180" s="36"/>
      <c r="AS180" s="36"/>
      <c r="AT180" s="36" t="s">
        <v>617</v>
      </c>
      <c r="AU180" s="36" t="s">
        <v>618</v>
      </c>
      <c r="AV180" s="36" t="s">
        <v>209</v>
      </c>
      <c r="AW180" s="36" t="s">
        <v>209</v>
      </c>
      <c r="AX180" s="36" t="s">
        <v>210</v>
      </c>
      <c r="AY180" s="36">
        <v>0</v>
      </c>
      <c r="AZ180" s="36" t="s">
        <v>211</v>
      </c>
      <c r="BA180" s="36">
        <v>9044988641018</v>
      </c>
      <c r="BB180" s="36"/>
      <c r="BC180" s="36"/>
      <c r="BD180" s="36">
        <v>1</v>
      </c>
      <c r="BE180" s="36"/>
      <c r="BF180" s="36" t="s">
        <v>212</v>
      </c>
      <c r="BG180" s="36">
        <v>1333314600</v>
      </c>
      <c r="BH180" s="36" t="s">
        <v>213</v>
      </c>
      <c r="BI180" s="36">
        <v>45</v>
      </c>
      <c r="BJ180" s="36">
        <v>45</v>
      </c>
      <c r="BK180" s="36">
        <v>1300</v>
      </c>
      <c r="BL180" s="36" t="s">
        <v>214</v>
      </c>
      <c r="BM180" s="36"/>
      <c r="BN180" s="36"/>
    </row>
    <row r="181" spans="1:66" x14ac:dyDescent="0.35">
      <c r="A181" s="36"/>
      <c r="B181" s="36"/>
      <c r="C181" s="37">
        <v>244626</v>
      </c>
      <c r="D181" s="37">
        <v>244626</v>
      </c>
      <c r="E181" s="36"/>
      <c r="F181" s="36" t="s">
        <v>192</v>
      </c>
      <c r="G181" s="36" t="s">
        <v>1</v>
      </c>
      <c r="H181" s="36">
        <v>0</v>
      </c>
      <c r="I181" s="36" t="s">
        <v>193</v>
      </c>
      <c r="J181" s="36" t="s">
        <v>194</v>
      </c>
      <c r="K181" s="36" t="s">
        <v>195</v>
      </c>
      <c r="L181" s="36">
        <v>923</v>
      </c>
      <c r="M181" s="36"/>
      <c r="N181" s="36" t="s">
        <v>226</v>
      </c>
      <c r="O181" s="36" t="s">
        <v>227</v>
      </c>
      <c r="P181" s="36">
        <v>2</v>
      </c>
      <c r="Q181" s="36" t="s">
        <v>228</v>
      </c>
      <c r="R181" s="37">
        <v>244412</v>
      </c>
      <c r="S181" s="37">
        <v>244626</v>
      </c>
      <c r="T181" s="36" t="s">
        <v>622</v>
      </c>
      <c r="U181" s="36">
        <v>23105754</v>
      </c>
      <c r="V181" s="36" t="s">
        <v>76</v>
      </c>
      <c r="W181" s="36">
        <v>40</v>
      </c>
      <c r="X181" s="36">
        <v>40</v>
      </c>
      <c r="Y181" s="36">
        <v>40</v>
      </c>
      <c r="Z181" s="36">
        <v>40</v>
      </c>
      <c r="AA181" s="36">
        <v>0</v>
      </c>
      <c r="AB181" s="36">
        <v>0</v>
      </c>
      <c r="AC181" s="36">
        <v>0</v>
      </c>
      <c r="AD181" s="36">
        <v>0</v>
      </c>
      <c r="AE181" s="36">
        <v>40</v>
      </c>
      <c r="AF181" s="36">
        <v>40</v>
      </c>
      <c r="AG181" s="36"/>
      <c r="AH181" s="36"/>
      <c r="AI181" s="36" t="s">
        <v>200</v>
      </c>
      <c r="AJ181" s="36" t="s">
        <v>201</v>
      </c>
      <c r="AK181" s="36" t="s">
        <v>202</v>
      </c>
      <c r="AL181" s="36" t="s">
        <v>203</v>
      </c>
      <c r="AM181" s="36" t="s">
        <v>204</v>
      </c>
      <c r="AN181" s="36" t="s">
        <v>222</v>
      </c>
      <c r="AO181" s="36" t="s">
        <v>206</v>
      </c>
      <c r="AP181" s="36">
        <v>2</v>
      </c>
      <c r="AQ181" s="36"/>
      <c r="AR181" s="36"/>
      <c r="AS181" s="36"/>
      <c r="AT181" s="36" t="s">
        <v>617</v>
      </c>
      <c r="AU181" s="36" t="s">
        <v>618</v>
      </c>
      <c r="AV181" s="36" t="s">
        <v>209</v>
      </c>
      <c r="AW181" s="36" t="s">
        <v>209</v>
      </c>
      <c r="AX181" s="36" t="s">
        <v>210</v>
      </c>
      <c r="AY181" s="36">
        <v>0</v>
      </c>
      <c r="AZ181" s="36" t="s">
        <v>211</v>
      </c>
      <c r="BA181" s="36">
        <v>9044988641018</v>
      </c>
      <c r="BB181" s="36"/>
      <c r="BC181" s="36"/>
      <c r="BD181" s="36">
        <v>1</v>
      </c>
      <c r="BE181" s="36"/>
      <c r="BF181" s="36" t="s">
        <v>212</v>
      </c>
      <c r="BG181" s="36">
        <v>1333314600</v>
      </c>
      <c r="BH181" s="36" t="s">
        <v>213</v>
      </c>
      <c r="BI181" s="36">
        <v>40</v>
      </c>
      <c r="BJ181" s="36">
        <v>40</v>
      </c>
      <c r="BK181" s="36">
        <v>1300</v>
      </c>
      <c r="BL181" s="36" t="s">
        <v>214</v>
      </c>
      <c r="BM181" s="36"/>
      <c r="BN181" s="36"/>
    </row>
    <row r="182" spans="1:66" x14ac:dyDescent="0.35">
      <c r="A182" s="36"/>
      <c r="B182" s="36"/>
      <c r="C182" s="37">
        <v>244626</v>
      </c>
      <c r="D182" s="37">
        <v>244626</v>
      </c>
      <c r="E182" s="36"/>
      <c r="F182" s="36" t="s">
        <v>192</v>
      </c>
      <c r="G182" s="36" t="s">
        <v>1</v>
      </c>
      <c r="H182" s="36">
        <v>0</v>
      </c>
      <c r="I182" s="36" t="s">
        <v>193</v>
      </c>
      <c r="J182" s="36" t="s">
        <v>194</v>
      </c>
      <c r="K182" s="36" t="s">
        <v>195</v>
      </c>
      <c r="L182" s="36">
        <v>923</v>
      </c>
      <c r="M182" s="36"/>
      <c r="N182" s="36" t="s">
        <v>226</v>
      </c>
      <c r="O182" s="36" t="s">
        <v>227</v>
      </c>
      <c r="P182" s="36">
        <v>2</v>
      </c>
      <c r="Q182" s="36" t="s">
        <v>228</v>
      </c>
      <c r="R182" s="37">
        <v>244412</v>
      </c>
      <c r="S182" s="37">
        <v>244626</v>
      </c>
      <c r="T182" s="36" t="s">
        <v>622</v>
      </c>
      <c r="U182" s="36">
        <v>23105753</v>
      </c>
      <c r="V182" s="36" t="s">
        <v>75</v>
      </c>
      <c r="W182" s="36">
        <v>70</v>
      </c>
      <c r="X182" s="36">
        <v>70</v>
      </c>
      <c r="Y182" s="36">
        <v>70</v>
      </c>
      <c r="Z182" s="36">
        <v>70</v>
      </c>
      <c r="AA182" s="36">
        <v>0</v>
      </c>
      <c r="AB182" s="36">
        <v>0</v>
      </c>
      <c r="AC182" s="36">
        <v>0</v>
      </c>
      <c r="AD182" s="36">
        <v>0</v>
      </c>
      <c r="AE182" s="36">
        <v>70</v>
      </c>
      <c r="AF182" s="36">
        <v>70</v>
      </c>
      <c r="AG182" s="36"/>
      <c r="AH182" s="36"/>
      <c r="AI182" s="36" t="s">
        <v>200</v>
      </c>
      <c r="AJ182" s="36" t="s">
        <v>201</v>
      </c>
      <c r="AK182" s="36" t="s">
        <v>202</v>
      </c>
      <c r="AL182" s="36" t="s">
        <v>203</v>
      </c>
      <c r="AM182" s="36" t="s">
        <v>204</v>
      </c>
      <c r="AN182" s="36" t="s">
        <v>222</v>
      </c>
      <c r="AO182" s="36" t="s">
        <v>206</v>
      </c>
      <c r="AP182" s="36">
        <v>2</v>
      </c>
      <c r="AQ182" s="36"/>
      <c r="AR182" s="36"/>
      <c r="AS182" s="36"/>
      <c r="AT182" s="36" t="s">
        <v>617</v>
      </c>
      <c r="AU182" s="36" t="s">
        <v>618</v>
      </c>
      <c r="AV182" s="36" t="s">
        <v>209</v>
      </c>
      <c r="AW182" s="36" t="s">
        <v>209</v>
      </c>
      <c r="AX182" s="36" t="s">
        <v>210</v>
      </c>
      <c r="AY182" s="36">
        <v>0</v>
      </c>
      <c r="AZ182" s="36" t="s">
        <v>211</v>
      </c>
      <c r="BA182" s="36">
        <v>9044988641018</v>
      </c>
      <c r="BB182" s="36"/>
      <c r="BC182" s="36"/>
      <c r="BD182" s="36">
        <v>1</v>
      </c>
      <c r="BE182" s="36"/>
      <c r="BF182" s="36" t="s">
        <v>212</v>
      </c>
      <c r="BG182" s="36">
        <v>1333314600</v>
      </c>
      <c r="BH182" s="36" t="s">
        <v>213</v>
      </c>
      <c r="BI182" s="36">
        <v>70</v>
      </c>
      <c r="BJ182" s="36">
        <v>70</v>
      </c>
      <c r="BK182" s="36">
        <v>1300</v>
      </c>
      <c r="BL182" s="36" t="s">
        <v>214</v>
      </c>
      <c r="BM182" s="36"/>
      <c r="BN182" s="36"/>
    </row>
    <row r="183" spans="1:66" x14ac:dyDescent="0.35">
      <c r="A183" s="36"/>
      <c r="B183" s="36"/>
      <c r="C183" s="37">
        <v>244626</v>
      </c>
      <c r="D183" s="37">
        <v>244626</v>
      </c>
      <c r="E183" s="36"/>
      <c r="F183" s="36" t="s">
        <v>192</v>
      </c>
      <c r="G183" s="36" t="s">
        <v>1</v>
      </c>
      <c r="H183" s="36">
        <v>0</v>
      </c>
      <c r="I183" s="36" t="s">
        <v>193</v>
      </c>
      <c r="J183" s="36" t="s">
        <v>194</v>
      </c>
      <c r="K183" s="36" t="s">
        <v>195</v>
      </c>
      <c r="L183" s="36">
        <v>923</v>
      </c>
      <c r="M183" s="36"/>
      <c r="N183" s="36" t="s">
        <v>196</v>
      </c>
      <c r="O183" s="36" t="s">
        <v>197</v>
      </c>
      <c r="P183" s="36">
        <v>2</v>
      </c>
      <c r="Q183" s="36" t="s">
        <v>198</v>
      </c>
      <c r="R183" s="37">
        <v>244412</v>
      </c>
      <c r="S183" s="37">
        <v>244626</v>
      </c>
      <c r="T183" s="36" t="s">
        <v>623</v>
      </c>
      <c r="U183" s="36">
        <v>23105755</v>
      </c>
      <c r="V183" s="36" t="s">
        <v>282</v>
      </c>
      <c r="W183" s="36">
        <v>30</v>
      </c>
      <c r="X183" s="36">
        <v>30</v>
      </c>
      <c r="Y183" s="36">
        <v>30</v>
      </c>
      <c r="Z183" s="36">
        <v>30</v>
      </c>
      <c r="AA183" s="36">
        <v>0</v>
      </c>
      <c r="AB183" s="36">
        <v>0</v>
      </c>
      <c r="AC183" s="36">
        <v>0</v>
      </c>
      <c r="AD183" s="36">
        <v>0</v>
      </c>
      <c r="AE183" s="36">
        <v>30</v>
      </c>
      <c r="AF183" s="36">
        <v>30</v>
      </c>
      <c r="AG183" s="36"/>
      <c r="AH183" s="36"/>
      <c r="AI183" s="36" t="s">
        <v>200</v>
      </c>
      <c r="AJ183" s="36" t="s">
        <v>201</v>
      </c>
      <c r="AK183" s="36" t="s">
        <v>202</v>
      </c>
      <c r="AL183" s="36" t="s">
        <v>203</v>
      </c>
      <c r="AM183" s="36" t="s">
        <v>204</v>
      </c>
      <c r="AN183" s="36" t="s">
        <v>205</v>
      </c>
      <c r="AO183" s="36" t="s">
        <v>206</v>
      </c>
      <c r="AP183" s="36">
        <v>20</v>
      </c>
      <c r="AQ183" s="36">
        <v>1</v>
      </c>
      <c r="AR183" s="36"/>
      <c r="AS183" s="36"/>
      <c r="AT183" s="36" t="s">
        <v>617</v>
      </c>
      <c r="AU183" s="36" t="s">
        <v>618</v>
      </c>
      <c r="AV183" s="36" t="s">
        <v>209</v>
      </c>
      <c r="AW183" s="36" t="s">
        <v>209</v>
      </c>
      <c r="AX183" s="36" t="s">
        <v>210</v>
      </c>
      <c r="AY183" s="36">
        <v>0</v>
      </c>
      <c r="AZ183" s="36" t="s">
        <v>211</v>
      </c>
      <c r="BA183" s="36">
        <v>9044988641225</v>
      </c>
      <c r="BB183" s="36"/>
      <c r="BC183" s="36"/>
      <c r="BD183" s="36">
        <v>1</v>
      </c>
      <c r="BE183" s="36"/>
      <c r="BF183" s="36" t="s">
        <v>212</v>
      </c>
      <c r="BG183" s="36">
        <v>1333314600</v>
      </c>
      <c r="BH183" s="36" t="s">
        <v>213</v>
      </c>
      <c r="BI183" s="36">
        <v>30</v>
      </c>
      <c r="BJ183" s="36">
        <v>30</v>
      </c>
      <c r="BK183" s="36"/>
      <c r="BL183" s="36" t="s">
        <v>214</v>
      </c>
      <c r="BM183" s="36"/>
      <c r="BN183" s="36"/>
    </row>
    <row r="184" spans="1:66" x14ac:dyDescent="0.35">
      <c r="A184" s="36"/>
      <c r="B184" s="36"/>
      <c r="C184" s="37">
        <v>244626</v>
      </c>
      <c r="D184" s="37">
        <v>244626</v>
      </c>
      <c r="E184" s="36"/>
      <c r="F184" s="36" t="s">
        <v>192</v>
      </c>
      <c r="G184" s="36" t="s">
        <v>1</v>
      </c>
      <c r="H184" s="36">
        <v>0</v>
      </c>
      <c r="I184" s="36" t="s">
        <v>193</v>
      </c>
      <c r="J184" s="36" t="s">
        <v>194</v>
      </c>
      <c r="K184" s="36" t="s">
        <v>195</v>
      </c>
      <c r="L184" s="36">
        <v>923</v>
      </c>
      <c r="M184" s="36"/>
      <c r="N184" s="36" t="s">
        <v>196</v>
      </c>
      <c r="O184" s="36" t="s">
        <v>197</v>
      </c>
      <c r="P184" s="36">
        <v>2</v>
      </c>
      <c r="Q184" s="36" t="s">
        <v>198</v>
      </c>
      <c r="R184" s="37">
        <v>244412</v>
      </c>
      <c r="S184" s="37">
        <v>244626</v>
      </c>
      <c r="T184" s="36" t="s">
        <v>623</v>
      </c>
      <c r="U184" s="36">
        <v>23105753</v>
      </c>
      <c r="V184" s="36" t="s">
        <v>75</v>
      </c>
      <c r="W184" s="36">
        <v>120</v>
      </c>
      <c r="X184" s="36">
        <v>120</v>
      </c>
      <c r="Y184" s="36">
        <v>120</v>
      </c>
      <c r="Z184" s="36">
        <v>120</v>
      </c>
      <c r="AA184" s="36">
        <v>0</v>
      </c>
      <c r="AB184" s="36">
        <v>0</v>
      </c>
      <c r="AC184" s="36">
        <v>0</v>
      </c>
      <c r="AD184" s="36">
        <v>0</v>
      </c>
      <c r="AE184" s="36">
        <v>120</v>
      </c>
      <c r="AF184" s="36">
        <v>120</v>
      </c>
      <c r="AG184" s="36"/>
      <c r="AH184" s="36"/>
      <c r="AI184" s="36" t="s">
        <v>200</v>
      </c>
      <c r="AJ184" s="36" t="s">
        <v>201</v>
      </c>
      <c r="AK184" s="36" t="s">
        <v>202</v>
      </c>
      <c r="AL184" s="36" t="s">
        <v>203</v>
      </c>
      <c r="AM184" s="36" t="s">
        <v>204</v>
      </c>
      <c r="AN184" s="36" t="s">
        <v>205</v>
      </c>
      <c r="AO184" s="36" t="s">
        <v>206</v>
      </c>
      <c r="AP184" s="36">
        <v>20</v>
      </c>
      <c r="AQ184" s="36">
        <v>1</v>
      </c>
      <c r="AR184" s="36"/>
      <c r="AS184" s="36"/>
      <c r="AT184" s="36" t="s">
        <v>617</v>
      </c>
      <c r="AU184" s="36" t="s">
        <v>618</v>
      </c>
      <c r="AV184" s="36" t="s">
        <v>209</v>
      </c>
      <c r="AW184" s="36" t="s">
        <v>209</v>
      </c>
      <c r="AX184" s="36" t="s">
        <v>210</v>
      </c>
      <c r="AY184" s="36">
        <v>0</v>
      </c>
      <c r="AZ184" s="36" t="s">
        <v>211</v>
      </c>
      <c r="BA184" s="36">
        <v>9044988641225</v>
      </c>
      <c r="BB184" s="36"/>
      <c r="BC184" s="36"/>
      <c r="BD184" s="36">
        <v>1</v>
      </c>
      <c r="BE184" s="36"/>
      <c r="BF184" s="36" t="s">
        <v>212</v>
      </c>
      <c r="BG184" s="36">
        <v>1333314600</v>
      </c>
      <c r="BH184" s="36" t="s">
        <v>213</v>
      </c>
      <c r="BI184" s="36">
        <v>120</v>
      </c>
      <c r="BJ184" s="36">
        <v>120</v>
      </c>
      <c r="BK184" s="36"/>
      <c r="BL184" s="36" t="s">
        <v>214</v>
      </c>
      <c r="BM184" s="36"/>
      <c r="BN184" s="36"/>
    </row>
    <row r="185" spans="1:66" x14ac:dyDescent="0.35">
      <c r="A185" s="36"/>
      <c r="B185" s="36"/>
      <c r="C185" s="37">
        <v>244626</v>
      </c>
      <c r="D185" s="37">
        <v>244626</v>
      </c>
      <c r="E185" s="36"/>
      <c r="F185" s="36" t="s">
        <v>192</v>
      </c>
      <c r="G185" s="36" t="s">
        <v>1</v>
      </c>
      <c r="H185" s="36">
        <v>0</v>
      </c>
      <c r="I185" s="36" t="s">
        <v>193</v>
      </c>
      <c r="J185" s="36" t="s">
        <v>194</v>
      </c>
      <c r="K185" s="36" t="s">
        <v>195</v>
      </c>
      <c r="L185" s="36">
        <v>923</v>
      </c>
      <c r="M185" s="36"/>
      <c r="N185" s="36" t="s">
        <v>196</v>
      </c>
      <c r="O185" s="36" t="s">
        <v>197</v>
      </c>
      <c r="P185" s="36">
        <v>2</v>
      </c>
      <c r="Q185" s="36" t="s">
        <v>198</v>
      </c>
      <c r="R185" s="37">
        <v>244412</v>
      </c>
      <c r="S185" s="37">
        <v>244626</v>
      </c>
      <c r="T185" s="36" t="s">
        <v>623</v>
      </c>
      <c r="U185" s="36">
        <v>23105754</v>
      </c>
      <c r="V185" s="36" t="s">
        <v>76</v>
      </c>
      <c r="W185" s="36">
        <v>50</v>
      </c>
      <c r="X185" s="36">
        <v>50</v>
      </c>
      <c r="Y185" s="36">
        <v>50</v>
      </c>
      <c r="Z185" s="36">
        <v>50</v>
      </c>
      <c r="AA185" s="36">
        <v>0</v>
      </c>
      <c r="AB185" s="36">
        <v>0</v>
      </c>
      <c r="AC185" s="36">
        <v>0</v>
      </c>
      <c r="AD185" s="36">
        <v>0</v>
      </c>
      <c r="AE185" s="36">
        <v>50</v>
      </c>
      <c r="AF185" s="36">
        <v>50</v>
      </c>
      <c r="AG185" s="36"/>
      <c r="AH185" s="36"/>
      <c r="AI185" s="36" t="s">
        <v>200</v>
      </c>
      <c r="AJ185" s="36" t="s">
        <v>201</v>
      </c>
      <c r="AK185" s="36" t="s">
        <v>202</v>
      </c>
      <c r="AL185" s="36" t="s">
        <v>203</v>
      </c>
      <c r="AM185" s="36" t="s">
        <v>204</v>
      </c>
      <c r="AN185" s="36" t="s">
        <v>205</v>
      </c>
      <c r="AO185" s="36" t="s">
        <v>206</v>
      </c>
      <c r="AP185" s="36">
        <v>20</v>
      </c>
      <c r="AQ185" s="36">
        <v>1</v>
      </c>
      <c r="AR185" s="36"/>
      <c r="AS185" s="36"/>
      <c r="AT185" s="36" t="s">
        <v>617</v>
      </c>
      <c r="AU185" s="36" t="s">
        <v>618</v>
      </c>
      <c r="AV185" s="36" t="s">
        <v>209</v>
      </c>
      <c r="AW185" s="36" t="s">
        <v>209</v>
      </c>
      <c r="AX185" s="36" t="s">
        <v>210</v>
      </c>
      <c r="AY185" s="36">
        <v>0</v>
      </c>
      <c r="AZ185" s="36" t="s">
        <v>211</v>
      </c>
      <c r="BA185" s="36">
        <v>9044988641225</v>
      </c>
      <c r="BB185" s="36"/>
      <c r="BC185" s="36"/>
      <c r="BD185" s="36">
        <v>1</v>
      </c>
      <c r="BE185" s="36"/>
      <c r="BF185" s="36" t="s">
        <v>212</v>
      </c>
      <c r="BG185" s="36">
        <v>1333314600</v>
      </c>
      <c r="BH185" s="36" t="s">
        <v>213</v>
      </c>
      <c r="BI185" s="36">
        <v>50</v>
      </c>
      <c r="BJ185" s="36">
        <v>50</v>
      </c>
      <c r="BK185" s="36"/>
      <c r="BL185" s="36" t="s">
        <v>214</v>
      </c>
      <c r="BM185" s="36"/>
      <c r="BN185" s="36"/>
    </row>
    <row r="186" spans="1:66" x14ac:dyDescent="0.35">
      <c r="A186" s="36"/>
      <c r="B186" s="36"/>
      <c r="C186" s="37">
        <v>244626</v>
      </c>
      <c r="D186" s="37">
        <v>244626</v>
      </c>
      <c r="E186" s="36"/>
      <c r="F186" s="36" t="s">
        <v>192</v>
      </c>
      <c r="G186" s="36" t="s">
        <v>1</v>
      </c>
      <c r="H186" s="36">
        <v>0</v>
      </c>
      <c r="I186" s="36" t="s">
        <v>193</v>
      </c>
      <c r="J186" s="36" t="s">
        <v>194</v>
      </c>
      <c r="K186" s="36" t="s">
        <v>195</v>
      </c>
      <c r="L186" s="36">
        <v>923</v>
      </c>
      <c r="M186" s="36"/>
      <c r="N186" s="36" t="s">
        <v>235</v>
      </c>
      <c r="O186" s="36" t="s">
        <v>236</v>
      </c>
      <c r="P186" s="36">
        <v>2</v>
      </c>
      <c r="Q186" s="36" t="s">
        <v>237</v>
      </c>
      <c r="R186" s="37">
        <v>244412</v>
      </c>
      <c r="S186" s="37">
        <v>244626</v>
      </c>
      <c r="T186" s="36" t="s">
        <v>624</v>
      </c>
      <c r="U186" s="36">
        <v>23083450</v>
      </c>
      <c r="V186" s="36" t="s">
        <v>103</v>
      </c>
      <c r="W186" s="36">
        <v>16</v>
      </c>
      <c r="X186" s="36">
        <v>16</v>
      </c>
      <c r="Y186" s="36">
        <v>16</v>
      </c>
      <c r="Z186" s="36">
        <v>16</v>
      </c>
      <c r="AA186" s="36">
        <v>0</v>
      </c>
      <c r="AB186" s="36">
        <v>0</v>
      </c>
      <c r="AC186" s="36">
        <v>0</v>
      </c>
      <c r="AD186" s="36">
        <v>0</v>
      </c>
      <c r="AE186" s="36">
        <v>16</v>
      </c>
      <c r="AF186" s="36">
        <v>16</v>
      </c>
      <c r="AG186" s="36"/>
      <c r="AH186" s="36"/>
      <c r="AI186" s="36" t="s">
        <v>200</v>
      </c>
      <c r="AJ186" s="36" t="s">
        <v>201</v>
      </c>
      <c r="AK186" s="36" t="s">
        <v>215</v>
      </c>
      <c r="AL186" s="36" t="s">
        <v>254</v>
      </c>
      <c r="AM186" s="36" t="s">
        <v>204</v>
      </c>
      <c r="AN186" s="36" t="s">
        <v>222</v>
      </c>
      <c r="AO186" s="36" t="s">
        <v>206</v>
      </c>
      <c r="AP186" s="36">
        <v>2</v>
      </c>
      <c r="AQ186" s="36"/>
      <c r="AR186" s="36"/>
      <c r="AS186" s="36"/>
      <c r="AT186" s="36" t="s">
        <v>617</v>
      </c>
      <c r="AU186" s="36" t="s">
        <v>625</v>
      </c>
      <c r="AV186" s="36" t="s">
        <v>216</v>
      </c>
      <c r="AW186" s="36" t="s">
        <v>209</v>
      </c>
      <c r="AX186" s="36" t="s">
        <v>210</v>
      </c>
      <c r="AY186" s="36">
        <v>0</v>
      </c>
      <c r="AZ186" s="36" t="s">
        <v>211</v>
      </c>
      <c r="BA186" s="36">
        <v>9045088641293</v>
      </c>
      <c r="BB186" s="36"/>
      <c r="BC186" s="36"/>
      <c r="BD186" s="36">
        <v>1</v>
      </c>
      <c r="BE186" s="36"/>
      <c r="BF186" s="36"/>
      <c r="BG186" s="36">
        <v>1333314600</v>
      </c>
      <c r="BH186" s="36" t="s">
        <v>213</v>
      </c>
      <c r="BI186" s="36">
        <v>16</v>
      </c>
      <c r="BJ186" s="36">
        <v>16</v>
      </c>
      <c r="BK186" s="36">
        <v>1300</v>
      </c>
      <c r="BL186" s="36" t="s">
        <v>214</v>
      </c>
      <c r="BM186" s="36"/>
      <c r="BN186" s="36"/>
    </row>
    <row r="187" spans="1:66" x14ac:dyDescent="0.35">
      <c r="A187" s="36"/>
      <c r="B187" s="36"/>
      <c r="C187" s="37">
        <v>244626</v>
      </c>
      <c r="D187" s="37">
        <v>244626</v>
      </c>
      <c r="E187" s="36"/>
      <c r="F187" s="36" t="s">
        <v>192</v>
      </c>
      <c r="G187" s="36" t="s">
        <v>1</v>
      </c>
      <c r="H187" s="36">
        <v>0</v>
      </c>
      <c r="I187" s="36" t="s">
        <v>193</v>
      </c>
      <c r="J187" s="36" t="s">
        <v>194</v>
      </c>
      <c r="K187" s="36" t="s">
        <v>195</v>
      </c>
      <c r="L187" s="36">
        <v>923</v>
      </c>
      <c r="M187" s="36"/>
      <c r="N187" s="36" t="s">
        <v>235</v>
      </c>
      <c r="O187" s="36" t="s">
        <v>236</v>
      </c>
      <c r="P187" s="36">
        <v>2</v>
      </c>
      <c r="Q187" s="36" t="s">
        <v>237</v>
      </c>
      <c r="R187" s="37">
        <v>244412</v>
      </c>
      <c r="S187" s="37">
        <v>244626</v>
      </c>
      <c r="T187" s="36" t="s">
        <v>624</v>
      </c>
      <c r="U187" s="36">
        <v>23084674</v>
      </c>
      <c r="V187" s="36" t="s">
        <v>52</v>
      </c>
      <c r="W187" s="36">
        <v>14</v>
      </c>
      <c r="X187" s="36">
        <v>5.6</v>
      </c>
      <c r="Y187" s="36">
        <v>14</v>
      </c>
      <c r="Z187" s="36">
        <v>5.6</v>
      </c>
      <c r="AA187" s="36">
        <v>0</v>
      </c>
      <c r="AB187" s="36">
        <v>0</v>
      </c>
      <c r="AC187" s="36">
        <v>0</v>
      </c>
      <c r="AD187" s="36">
        <v>0</v>
      </c>
      <c r="AE187" s="36">
        <v>14</v>
      </c>
      <c r="AF187" s="36">
        <v>5.6</v>
      </c>
      <c r="AG187" s="36"/>
      <c r="AH187" s="36"/>
      <c r="AI187" s="36" t="s">
        <v>200</v>
      </c>
      <c r="AJ187" s="36" t="s">
        <v>201</v>
      </c>
      <c r="AK187" s="36" t="s">
        <v>215</v>
      </c>
      <c r="AL187" s="36" t="s">
        <v>246</v>
      </c>
      <c r="AM187" s="36" t="s">
        <v>204</v>
      </c>
      <c r="AN187" s="36" t="s">
        <v>222</v>
      </c>
      <c r="AO187" s="36" t="s">
        <v>206</v>
      </c>
      <c r="AP187" s="36">
        <v>2</v>
      </c>
      <c r="AQ187" s="36"/>
      <c r="AR187" s="36"/>
      <c r="AS187" s="36"/>
      <c r="AT187" s="36" t="s">
        <v>617</v>
      </c>
      <c r="AU187" s="36" t="s">
        <v>625</v>
      </c>
      <c r="AV187" s="36" t="s">
        <v>249</v>
      </c>
      <c r="AW187" s="36" t="s">
        <v>209</v>
      </c>
      <c r="AX187" s="36" t="s">
        <v>210</v>
      </c>
      <c r="AY187" s="36">
        <v>0</v>
      </c>
      <c r="AZ187" s="36" t="s">
        <v>211</v>
      </c>
      <c r="BA187" s="36">
        <v>9045088641293</v>
      </c>
      <c r="BB187" s="36"/>
      <c r="BC187" s="36"/>
      <c r="BD187" s="36">
        <v>1</v>
      </c>
      <c r="BE187" s="36"/>
      <c r="BF187" s="36"/>
      <c r="BG187" s="36">
        <v>1333314600</v>
      </c>
      <c r="BH187" s="36" t="s">
        <v>213</v>
      </c>
      <c r="BI187" s="36">
        <v>14</v>
      </c>
      <c r="BJ187" s="36">
        <v>5.6</v>
      </c>
      <c r="BK187" s="36">
        <v>1300</v>
      </c>
      <c r="BL187" s="36" t="s">
        <v>214</v>
      </c>
      <c r="BM187" s="36"/>
      <c r="BN187" s="36"/>
    </row>
    <row r="188" spans="1:66" x14ac:dyDescent="0.35">
      <c r="A188" s="36"/>
      <c r="B188" s="36"/>
      <c r="C188" s="37">
        <v>244626</v>
      </c>
      <c r="D188" s="37">
        <v>244626</v>
      </c>
      <c r="E188" s="36"/>
      <c r="F188" s="36" t="s">
        <v>192</v>
      </c>
      <c r="G188" s="36" t="s">
        <v>1</v>
      </c>
      <c r="H188" s="36">
        <v>0</v>
      </c>
      <c r="I188" s="36" t="s">
        <v>193</v>
      </c>
      <c r="J188" s="36" t="s">
        <v>194</v>
      </c>
      <c r="K188" s="36" t="s">
        <v>195</v>
      </c>
      <c r="L188" s="36">
        <v>923</v>
      </c>
      <c r="M188" s="36"/>
      <c r="N188" s="36" t="s">
        <v>196</v>
      </c>
      <c r="O188" s="36" t="s">
        <v>197</v>
      </c>
      <c r="P188" s="36">
        <v>2</v>
      </c>
      <c r="Q188" s="36" t="s">
        <v>198</v>
      </c>
      <c r="R188" s="37">
        <v>244412</v>
      </c>
      <c r="S188" s="37">
        <v>244626</v>
      </c>
      <c r="T188" s="36" t="s">
        <v>626</v>
      </c>
      <c r="U188" s="36">
        <v>23062105</v>
      </c>
      <c r="V188" s="36" t="s">
        <v>37</v>
      </c>
      <c r="W188" s="36">
        <v>20</v>
      </c>
      <c r="X188" s="36">
        <v>20</v>
      </c>
      <c r="Y188" s="36">
        <v>20</v>
      </c>
      <c r="Z188" s="36">
        <v>20</v>
      </c>
      <c r="AA188" s="36">
        <v>0</v>
      </c>
      <c r="AB188" s="36">
        <v>0</v>
      </c>
      <c r="AC188" s="36">
        <v>0</v>
      </c>
      <c r="AD188" s="36">
        <v>0</v>
      </c>
      <c r="AE188" s="36">
        <v>20</v>
      </c>
      <c r="AF188" s="36">
        <v>20</v>
      </c>
      <c r="AG188" s="36"/>
      <c r="AH188" s="36"/>
      <c r="AI188" s="36" t="s">
        <v>200</v>
      </c>
      <c r="AJ188" s="36" t="s">
        <v>201</v>
      </c>
      <c r="AK188" s="36" t="s">
        <v>215</v>
      </c>
      <c r="AL188" s="36" t="s">
        <v>203</v>
      </c>
      <c r="AM188" s="36" t="s">
        <v>204</v>
      </c>
      <c r="AN188" s="36" t="s">
        <v>205</v>
      </c>
      <c r="AO188" s="36" t="s">
        <v>206</v>
      </c>
      <c r="AP188" s="36">
        <v>20</v>
      </c>
      <c r="AQ188" s="36">
        <v>1</v>
      </c>
      <c r="AR188" s="36"/>
      <c r="AS188" s="36"/>
      <c r="AT188" s="36" t="s">
        <v>627</v>
      </c>
      <c r="AU188" s="36" t="s">
        <v>628</v>
      </c>
      <c r="AV188" s="36" t="s">
        <v>209</v>
      </c>
      <c r="AW188" s="36" t="s">
        <v>209</v>
      </c>
      <c r="AX188" s="36" t="s">
        <v>210</v>
      </c>
      <c r="AY188" s="36">
        <v>0</v>
      </c>
      <c r="AZ188" s="36" t="s">
        <v>211</v>
      </c>
      <c r="BA188" s="36">
        <v>9044988633261</v>
      </c>
      <c r="BB188" s="36"/>
      <c r="BC188" s="36"/>
      <c r="BD188" s="36">
        <v>1</v>
      </c>
      <c r="BE188" s="36"/>
      <c r="BF188" s="36" t="s">
        <v>212</v>
      </c>
      <c r="BG188" s="36">
        <v>1333314600</v>
      </c>
      <c r="BH188" s="36" t="s">
        <v>213</v>
      </c>
      <c r="BI188" s="36">
        <v>20</v>
      </c>
      <c r="BJ188" s="36">
        <v>20</v>
      </c>
      <c r="BK188" s="36"/>
      <c r="BL188" s="36" t="s">
        <v>214</v>
      </c>
      <c r="BM188" s="36"/>
      <c r="BN188" s="36"/>
    </row>
    <row r="189" spans="1:66" x14ac:dyDescent="0.35">
      <c r="A189" s="36"/>
      <c r="B189" s="36"/>
      <c r="C189" s="37">
        <v>244626</v>
      </c>
      <c r="D189" s="37">
        <v>244626</v>
      </c>
      <c r="E189" s="36"/>
      <c r="F189" s="36" t="s">
        <v>192</v>
      </c>
      <c r="G189" s="36" t="s">
        <v>1</v>
      </c>
      <c r="H189" s="36">
        <v>0</v>
      </c>
      <c r="I189" s="36" t="s">
        <v>193</v>
      </c>
      <c r="J189" s="36" t="s">
        <v>194</v>
      </c>
      <c r="K189" s="36" t="s">
        <v>195</v>
      </c>
      <c r="L189" s="36">
        <v>923</v>
      </c>
      <c r="M189" s="36"/>
      <c r="N189" s="36" t="s">
        <v>196</v>
      </c>
      <c r="O189" s="36" t="s">
        <v>197</v>
      </c>
      <c r="P189" s="36">
        <v>2</v>
      </c>
      <c r="Q189" s="36" t="s">
        <v>198</v>
      </c>
      <c r="R189" s="37">
        <v>244412</v>
      </c>
      <c r="S189" s="37">
        <v>244626</v>
      </c>
      <c r="T189" s="36" t="s">
        <v>626</v>
      </c>
      <c r="U189" s="36">
        <v>23062097</v>
      </c>
      <c r="V189" s="36" t="s">
        <v>115</v>
      </c>
      <c r="W189" s="36">
        <v>20</v>
      </c>
      <c r="X189" s="36">
        <v>20</v>
      </c>
      <c r="Y189" s="36">
        <v>20</v>
      </c>
      <c r="Z189" s="36">
        <v>20</v>
      </c>
      <c r="AA189" s="36">
        <v>0</v>
      </c>
      <c r="AB189" s="36">
        <v>0</v>
      </c>
      <c r="AC189" s="36">
        <v>0</v>
      </c>
      <c r="AD189" s="36">
        <v>0</v>
      </c>
      <c r="AE189" s="36">
        <v>20</v>
      </c>
      <c r="AF189" s="36">
        <v>20</v>
      </c>
      <c r="AG189" s="36"/>
      <c r="AH189" s="36"/>
      <c r="AI189" s="36" t="s">
        <v>200</v>
      </c>
      <c r="AJ189" s="36" t="s">
        <v>201</v>
      </c>
      <c r="AK189" s="36" t="s">
        <v>215</v>
      </c>
      <c r="AL189" s="36" t="s">
        <v>203</v>
      </c>
      <c r="AM189" s="36" t="s">
        <v>204</v>
      </c>
      <c r="AN189" s="36" t="s">
        <v>205</v>
      </c>
      <c r="AO189" s="36" t="s">
        <v>206</v>
      </c>
      <c r="AP189" s="36">
        <v>20</v>
      </c>
      <c r="AQ189" s="36">
        <v>1</v>
      </c>
      <c r="AR189" s="36"/>
      <c r="AS189" s="36"/>
      <c r="AT189" s="36" t="s">
        <v>627</v>
      </c>
      <c r="AU189" s="36" t="s">
        <v>628</v>
      </c>
      <c r="AV189" s="36" t="s">
        <v>209</v>
      </c>
      <c r="AW189" s="36" t="s">
        <v>209</v>
      </c>
      <c r="AX189" s="36" t="s">
        <v>210</v>
      </c>
      <c r="AY189" s="36">
        <v>0</v>
      </c>
      <c r="AZ189" s="36" t="s">
        <v>211</v>
      </c>
      <c r="BA189" s="36">
        <v>9044988633261</v>
      </c>
      <c r="BB189" s="36"/>
      <c r="BC189" s="36"/>
      <c r="BD189" s="36">
        <v>1</v>
      </c>
      <c r="BE189" s="36"/>
      <c r="BF189" s="36" t="s">
        <v>212</v>
      </c>
      <c r="BG189" s="36">
        <v>1333314600</v>
      </c>
      <c r="BH189" s="36" t="s">
        <v>213</v>
      </c>
      <c r="BI189" s="36">
        <v>20</v>
      </c>
      <c r="BJ189" s="36">
        <v>20</v>
      </c>
      <c r="BK189" s="36"/>
      <c r="BL189" s="36" t="s">
        <v>214</v>
      </c>
      <c r="BM189" s="36"/>
      <c r="BN189" s="36"/>
    </row>
    <row r="190" spans="1:66" x14ac:dyDescent="0.35">
      <c r="A190" s="36"/>
      <c r="B190" s="36"/>
      <c r="C190" s="37">
        <v>244626</v>
      </c>
      <c r="D190" s="37">
        <v>244626</v>
      </c>
      <c r="E190" s="36"/>
      <c r="F190" s="36" t="s">
        <v>192</v>
      </c>
      <c r="G190" s="36" t="s">
        <v>1</v>
      </c>
      <c r="H190" s="36">
        <v>0</v>
      </c>
      <c r="I190" s="36" t="s">
        <v>193</v>
      </c>
      <c r="J190" s="36" t="s">
        <v>194</v>
      </c>
      <c r="K190" s="36" t="s">
        <v>195</v>
      </c>
      <c r="L190" s="36">
        <v>923</v>
      </c>
      <c r="M190" s="36"/>
      <c r="N190" s="36" t="s">
        <v>196</v>
      </c>
      <c r="O190" s="36" t="s">
        <v>197</v>
      </c>
      <c r="P190" s="36">
        <v>2</v>
      </c>
      <c r="Q190" s="36" t="s">
        <v>198</v>
      </c>
      <c r="R190" s="37">
        <v>244412</v>
      </c>
      <c r="S190" s="37">
        <v>244626</v>
      </c>
      <c r="T190" s="36" t="s">
        <v>626</v>
      </c>
      <c r="U190" s="36">
        <v>23057824</v>
      </c>
      <c r="V190" s="36" t="s">
        <v>23</v>
      </c>
      <c r="W190" s="36">
        <v>200</v>
      </c>
      <c r="X190" s="36">
        <v>200</v>
      </c>
      <c r="Y190" s="36">
        <v>200</v>
      </c>
      <c r="Z190" s="36">
        <v>200</v>
      </c>
      <c r="AA190" s="36">
        <v>0</v>
      </c>
      <c r="AB190" s="36">
        <v>0</v>
      </c>
      <c r="AC190" s="36">
        <v>0</v>
      </c>
      <c r="AD190" s="36">
        <v>0</v>
      </c>
      <c r="AE190" s="36">
        <v>200</v>
      </c>
      <c r="AF190" s="36">
        <v>200</v>
      </c>
      <c r="AG190" s="36"/>
      <c r="AH190" s="36"/>
      <c r="AI190" s="36" t="s">
        <v>200</v>
      </c>
      <c r="AJ190" s="36" t="s">
        <v>201</v>
      </c>
      <c r="AK190" s="36" t="s">
        <v>202</v>
      </c>
      <c r="AL190" s="36" t="s">
        <v>203</v>
      </c>
      <c r="AM190" s="36" t="s">
        <v>204</v>
      </c>
      <c r="AN190" s="36" t="s">
        <v>205</v>
      </c>
      <c r="AO190" s="36" t="s">
        <v>206</v>
      </c>
      <c r="AP190" s="36">
        <v>20</v>
      </c>
      <c r="AQ190" s="36">
        <v>1</v>
      </c>
      <c r="AR190" s="36"/>
      <c r="AS190" s="36"/>
      <c r="AT190" s="36" t="s">
        <v>627</v>
      </c>
      <c r="AU190" s="36" t="s">
        <v>628</v>
      </c>
      <c r="AV190" s="36" t="s">
        <v>209</v>
      </c>
      <c r="AW190" s="36" t="s">
        <v>209</v>
      </c>
      <c r="AX190" s="36" t="s">
        <v>210</v>
      </c>
      <c r="AY190" s="36">
        <v>0</v>
      </c>
      <c r="AZ190" s="36" t="s">
        <v>211</v>
      </c>
      <c r="BA190" s="36">
        <v>9044988633261</v>
      </c>
      <c r="BB190" s="36"/>
      <c r="BC190" s="36"/>
      <c r="BD190" s="36">
        <v>1</v>
      </c>
      <c r="BE190" s="36"/>
      <c r="BF190" s="36" t="s">
        <v>212</v>
      </c>
      <c r="BG190" s="36">
        <v>1333314600</v>
      </c>
      <c r="BH190" s="36" t="s">
        <v>213</v>
      </c>
      <c r="BI190" s="36">
        <v>200</v>
      </c>
      <c r="BJ190" s="36">
        <v>200</v>
      </c>
      <c r="BK190" s="36"/>
      <c r="BL190" s="36" t="s">
        <v>214</v>
      </c>
      <c r="BM190" s="36"/>
      <c r="BN190" s="36"/>
    </row>
    <row r="191" spans="1:66" x14ac:dyDescent="0.35">
      <c r="A191" s="36"/>
      <c r="B191" s="36"/>
      <c r="C191" s="37">
        <v>244626</v>
      </c>
      <c r="D191" s="37">
        <v>244626</v>
      </c>
      <c r="E191" s="36"/>
      <c r="F191" s="36" t="s">
        <v>192</v>
      </c>
      <c r="G191" s="36" t="s">
        <v>1</v>
      </c>
      <c r="H191" s="36">
        <v>0</v>
      </c>
      <c r="I191" s="36" t="s">
        <v>193</v>
      </c>
      <c r="J191" s="36" t="s">
        <v>194</v>
      </c>
      <c r="K191" s="36" t="s">
        <v>195</v>
      </c>
      <c r="L191" s="36">
        <v>923</v>
      </c>
      <c r="M191" s="36"/>
      <c r="N191" s="36" t="s">
        <v>196</v>
      </c>
      <c r="O191" s="36" t="s">
        <v>197</v>
      </c>
      <c r="P191" s="36">
        <v>2</v>
      </c>
      <c r="Q191" s="36" t="s">
        <v>198</v>
      </c>
      <c r="R191" s="37">
        <v>244412</v>
      </c>
      <c r="S191" s="37">
        <v>244626</v>
      </c>
      <c r="T191" s="36" t="s">
        <v>626</v>
      </c>
      <c r="U191" s="36">
        <v>23058553</v>
      </c>
      <c r="V191" s="36" t="s">
        <v>27</v>
      </c>
      <c r="W191" s="36">
        <v>120</v>
      </c>
      <c r="X191" s="36">
        <v>120</v>
      </c>
      <c r="Y191" s="36">
        <v>120</v>
      </c>
      <c r="Z191" s="36">
        <v>120</v>
      </c>
      <c r="AA191" s="36">
        <v>0</v>
      </c>
      <c r="AB191" s="36">
        <v>0</v>
      </c>
      <c r="AC191" s="36">
        <v>0</v>
      </c>
      <c r="AD191" s="36">
        <v>0</v>
      </c>
      <c r="AE191" s="36">
        <v>120</v>
      </c>
      <c r="AF191" s="36">
        <v>120</v>
      </c>
      <c r="AG191" s="36"/>
      <c r="AH191" s="36"/>
      <c r="AI191" s="36" t="s">
        <v>200</v>
      </c>
      <c r="AJ191" s="36" t="s">
        <v>201</v>
      </c>
      <c r="AK191" s="36" t="s">
        <v>215</v>
      </c>
      <c r="AL191" s="36" t="s">
        <v>203</v>
      </c>
      <c r="AM191" s="36" t="s">
        <v>204</v>
      </c>
      <c r="AN191" s="36" t="s">
        <v>205</v>
      </c>
      <c r="AO191" s="36" t="s">
        <v>206</v>
      </c>
      <c r="AP191" s="36">
        <v>20</v>
      </c>
      <c r="AQ191" s="36">
        <v>1</v>
      </c>
      <c r="AR191" s="36"/>
      <c r="AS191" s="36"/>
      <c r="AT191" s="36" t="s">
        <v>627</v>
      </c>
      <c r="AU191" s="36" t="s">
        <v>628</v>
      </c>
      <c r="AV191" s="36" t="s">
        <v>209</v>
      </c>
      <c r="AW191" s="36" t="s">
        <v>209</v>
      </c>
      <c r="AX191" s="36" t="s">
        <v>210</v>
      </c>
      <c r="AY191" s="36">
        <v>0</v>
      </c>
      <c r="AZ191" s="36" t="s">
        <v>211</v>
      </c>
      <c r="BA191" s="36">
        <v>9044988633261</v>
      </c>
      <c r="BB191" s="36"/>
      <c r="BC191" s="36"/>
      <c r="BD191" s="36">
        <v>1</v>
      </c>
      <c r="BE191" s="36"/>
      <c r="BF191" s="36" t="s">
        <v>212</v>
      </c>
      <c r="BG191" s="36">
        <v>1333314600</v>
      </c>
      <c r="BH191" s="36" t="s">
        <v>213</v>
      </c>
      <c r="BI191" s="36">
        <v>120</v>
      </c>
      <c r="BJ191" s="36">
        <v>120</v>
      </c>
      <c r="BK191" s="36"/>
      <c r="BL191" s="36" t="s">
        <v>214</v>
      </c>
      <c r="BM191" s="36"/>
      <c r="BN191" s="36"/>
    </row>
    <row r="192" spans="1:66" x14ac:dyDescent="0.35">
      <c r="A192" s="36"/>
      <c r="B192" s="36"/>
      <c r="C192" s="37">
        <v>244626</v>
      </c>
      <c r="D192" s="37">
        <v>244626</v>
      </c>
      <c r="E192" s="36"/>
      <c r="F192" s="36" t="s">
        <v>192</v>
      </c>
      <c r="G192" s="36" t="s">
        <v>1</v>
      </c>
      <c r="H192" s="36">
        <v>0</v>
      </c>
      <c r="I192" s="36" t="s">
        <v>193</v>
      </c>
      <c r="J192" s="36" t="s">
        <v>194</v>
      </c>
      <c r="K192" s="36" t="s">
        <v>195</v>
      </c>
      <c r="L192" s="36">
        <v>923</v>
      </c>
      <c r="M192" s="36"/>
      <c r="N192" s="36" t="s">
        <v>196</v>
      </c>
      <c r="O192" s="36" t="s">
        <v>197</v>
      </c>
      <c r="P192" s="36">
        <v>2</v>
      </c>
      <c r="Q192" s="36" t="s">
        <v>198</v>
      </c>
      <c r="R192" s="37">
        <v>244412</v>
      </c>
      <c r="S192" s="37">
        <v>244626</v>
      </c>
      <c r="T192" s="36" t="s">
        <v>626</v>
      </c>
      <c r="U192" s="36">
        <v>23086658</v>
      </c>
      <c r="V192" s="36" t="s">
        <v>53</v>
      </c>
      <c r="W192" s="36">
        <v>80</v>
      </c>
      <c r="X192" s="36">
        <v>80</v>
      </c>
      <c r="Y192" s="36">
        <v>80</v>
      </c>
      <c r="Z192" s="36">
        <v>80</v>
      </c>
      <c r="AA192" s="36">
        <v>0</v>
      </c>
      <c r="AB192" s="36">
        <v>0</v>
      </c>
      <c r="AC192" s="36">
        <v>0</v>
      </c>
      <c r="AD192" s="36">
        <v>0</v>
      </c>
      <c r="AE192" s="36">
        <v>80</v>
      </c>
      <c r="AF192" s="36">
        <v>80</v>
      </c>
      <c r="AG192" s="36"/>
      <c r="AH192" s="36"/>
      <c r="AI192" s="36" t="s">
        <v>200</v>
      </c>
      <c r="AJ192" s="36" t="s">
        <v>201</v>
      </c>
      <c r="AK192" s="36" t="s">
        <v>202</v>
      </c>
      <c r="AL192" s="36" t="s">
        <v>203</v>
      </c>
      <c r="AM192" s="36" t="s">
        <v>204</v>
      </c>
      <c r="AN192" s="36" t="s">
        <v>205</v>
      </c>
      <c r="AO192" s="36" t="s">
        <v>206</v>
      </c>
      <c r="AP192" s="36">
        <v>20</v>
      </c>
      <c r="AQ192" s="36">
        <v>1</v>
      </c>
      <c r="AR192" s="36"/>
      <c r="AS192" s="36"/>
      <c r="AT192" s="36" t="s">
        <v>627</v>
      </c>
      <c r="AU192" s="36" t="s">
        <v>628</v>
      </c>
      <c r="AV192" s="36" t="s">
        <v>209</v>
      </c>
      <c r="AW192" s="36" t="s">
        <v>209</v>
      </c>
      <c r="AX192" s="36" t="s">
        <v>210</v>
      </c>
      <c r="AY192" s="36">
        <v>0</v>
      </c>
      <c r="AZ192" s="36" t="s">
        <v>211</v>
      </c>
      <c r="BA192" s="36">
        <v>9044988633261</v>
      </c>
      <c r="BB192" s="36"/>
      <c r="BC192" s="36"/>
      <c r="BD192" s="36">
        <v>1</v>
      </c>
      <c r="BE192" s="36"/>
      <c r="BF192" s="36" t="s">
        <v>212</v>
      </c>
      <c r="BG192" s="36">
        <v>1333314600</v>
      </c>
      <c r="BH192" s="36" t="s">
        <v>213</v>
      </c>
      <c r="BI192" s="36">
        <v>80</v>
      </c>
      <c r="BJ192" s="36">
        <v>80</v>
      </c>
      <c r="BK192" s="36"/>
      <c r="BL192" s="36" t="s">
        <v>214</v>
      </c>
      <c r="BM192" s="36"/>
      <c r="BN192" s="36"/>
    </row>
    <row r="193" spans="1:66" x14ac:dyDescent="0.35">
      <c r="A193" s="36"/>
      <c r="B193" s="36"/>
      <c r="C193" s="37">
        <v>244626</v>
      </c>
      <c r="D193" s="37">
        <v>244626</v>
      </c>
      <c r="E193" s="36"/>
      <c r="F193" s="36" t="s">
        <v>192</v>
      </c>
      <c r="G193" s="36" t="s">
        <v>1</v>
      </c>
      <c r="H193" s="36">
        <v>0</v>
      </c>
      <c r="I193" s="36" t="s">
        <v>193</v>
      </c>
      <c r="J193" s="36" t="s">
        <v>194</v>
      </c>
      <c r="K193" s="36" t="s">
        <v>195</v>
      </c>
      <c r="L193" s="36">
        <v>923</v>
      </c>
      <c r="M193" s="36"/>
      <c r="N193" s="36" t="s">
        <v>196</v>
      </c>
      <c r="O193" s="36" t="s">
        <v>197</v>
      </c>
      <c r="P193" s="36">
        <v>2</v>
      </c>
      <c r="Q193" s="36" t="s">
        <v>198</v>
      </c>
      <c r="R193" s="37">
        <v>244412</v>
      </c>
      <c r="S193" s="37">
        <v>244626</v>
      </c>
      <c r="T193" s="36" t="s">
        <v>626</v>
      </c>
      <c r="U193" s="36">
        <v>23071881</v>
      </c>
      <c r="V193" s="36" t="s">
        <v>48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  <c r="AB193" s="36">
        <v>0</v>
      </c>
      <c r="AC193" s="36">
        <v>0</v>
      </c>
      <c r="AD193" s="36">
        <v>0</v>
      </c>
      <c r="AE193" s="36">
        <v>0</v>
      </c>
      <c r="AF193" s="36">
        <v>0</v>
      </c>
      <c r="AG193" s="36"/>
      <c r="AH193" s="36"/>
      <c r="AI193" s="36" t="s">
        <v>200</v>
      </c>
      <c r="AJ193" s="36" t="s">
        <v>201</v>
      </c>
      <c r="AK193" s="36" t="s">
        <v>202</v>
      </c>
      <c r="AL193" s="36" t="s">
        <v>203</v>
      </c>
      <c r="AM193" s="36" t="s">
        <v>204</v>
      </c>
      <c r="AN193" s="36" t="s">
        <v>205</v>
      </c>
      <c r="AO193" s="36" t="s">
        <v>206</v>
      </c>
      <c r="AP193" s="36">
        <v>20</v>
      </c>
      <c r="AQ193" s="36">
        <v>1</v>
      </c>
      <c r="AR193" s="36"/>
      <c r="AS193" s="36"/>
      <c r="AT193" s="36" t="s">
        <v>627</v>
      </c>
      <c r="AU193" s="36" t="s">
        <v>628</v>
      </c>
      <c r="AV193" s="36" t="s">
        <v>217</v>
      </c>
      <c r="AW193" s="36" t="s">
        <v>209</v>
      </c>
      <c r="AX193" s="36" t="s">
        <v>210</v>
      </c>
      <c r="AY193" s="36">
        <v>0</v>
      </c>
      <c r="AZ193" s="36" t="s">
        <v>211</v>
      </c>
      <c r="BA193" s="36">
        <v>9044988633261</v>
      </c>
      <c r="BB193" s="36"/>
      <c r="BC193" s="36"/>
      <c r="BD193" s="36">
        <v>1</v>
      </c>
      <c r="BE193" s="36"/>
      <c r="BF193" s="36" t="s">
        <v>212</v>
      </c>
      <c r="BG193" s="36">
        <v>1333314600</v>
      </c>
      <c r="BH193" s="36" t="s">
        <v>213</v>
      </c>
      <c r="BI193" s="36">
        <v>0</v>
      </c>
      <c r="BJ193" s="36">
        <v>0</v>
      </c>
      <c r="BK193" s="36"/>
      <c r="BL193" s="36" t="s">
        <v>214</v>
      </c>
      <c r="BM193" s="36"/>
      <c r="BN193" s="36"/>
    </row>
    <row r="194" spans="1:66" x14ac:dyDescent="0.35">
      <c r="A194" s="36"/>
      <c r="B194" s="36"/>
      <c r="C194" s="37">
        <v>244626</v>
      </c>
      <c r="D194" s="37">
        <v>244626</v>
      </c>
      <c r="E194" s="36"/>
      <c r="F194" s="36" t="s">
        <v>192</v>
      </c>
      <c r="G194" s="36" t="s">
        <v>1</v>
      </c>
      <c r="H194" s="36">
        <v>0</v>
      </c>
      <c r="I194" s="36" t="s">
        <v>193</v>
      </c>
      <c r="J194" s="36" t="s">
        <v>194</v>
      </c>
      <c r="K194" s="36" t="s">
        <v>195</v>
      </c>
      <c r="L194" s="36">
        <v>923</v>
      </c>
      <c r="M194" s="36"/>
      <c r="N194" s="36" t="s">
        <v>196</v>
      </c>
      <c r="O194" s="36" t="s">
        <v>197</v>
      </c>
      <c r="P194" s="36">
        <v>2</v>
      </c>
      <c r="Q194" s="36" t="s">
        <v>198</v>
      </c>
      <c r="R194" s="37">
        <v>244412</v>
      </c>
      <c r="S194" s="37">
        <v>244626</v>
      </c>
      <c r="T194" s="36" t="s">
        <v>626</v>
      </c>
      <c r="U194" s="36">
        <v>23065143</v>
      </c>
      <c r="V194" s="36" t="s">
        <v>43</v>
      </c>
      <c r="W194" s="36">
        <v>200</v>
      </c>
      <c r="X194" s="36">
        <v>200</v>
      </c>
      <c r="Y194" s="36">
        <v>200</v>
      </c>
      <c r="Z194" s="36">
        <v>200</v>
      </c>
      <c r="AA194" s="36">
        <v>0</v>
      </c>
      <c r="AB194" s="36">
        <v>0</v>
      </c>
      <c r="AC194" s="36">
        <v>0</v>
      </c>
      <c r="AD194" s="36">
        <v>0</v>
      </c>
      <c r="AE194" s="36">
        <v>200</v>
      </c>
      <c r="AF194" s="36">
        <v>200</v>
      </c>
      <c r="AG194" s="36"/>
      <c r="AH194" s="36"/>
      <c r="AI194" s="36" t="s">
        <v>200</v>
      </c>
      <c r="AJ194" s="36" t="s">
        <v>201</v>
      </c>
      <c r="AK194" s="36" t="s">
        <v>202</v>
      </c>
      <c r="AL194" s="36" t="s">
        <v>203</v>
      </c>
      <c r="AM194" s="36" t="s">
        <v>204</v>
      </c>
      <c r="AN194" s="36" t="s">
        <v>205</v>
      </c>
      <c r="AO194" s="36" t="s">
        <v>206</v>
      </c>
      <c r="AP194" s="36">
        <v>20</v>
      </c>
      <c r="AQ194" s="36">
        <v>1</v>
      </c>
      <c r="AR194" s="36"/>
      <c r="AS194" s="36"/>
      <c r="AT194" s="36" t="s">
        <v>627</v>
      </c>
      <c r="AU194" s="36" t="s">
        <v>628</v>
      </c>
      <c r="AV194" s="36" t="s">
        <v>209</v>
      </c>
      <c r="AW194" s="36" t="s">
        <v>209</v>
      </c>
      <c r="AX194" s="36" t="s">
        <v>210</v>
      </c>
      <c r="AY194" s="36">
        <v>0</v>
      </c>
      <c r="AZ194" s="36" t="s">
        <v>211</v>
      </c>
      <c r="BA194" s="36">
        <v>9044988633261</v>
      </c>
      <c r="BB194" s="36"/>
      <c r="BC194" s="36"/>
      <c r="BD194" s="36">
        <v>1</v>
      </c>
      <c r="BE194" s="36"/>
      <c r="BF194" s="36" t="s">
        <v>212</v>
      </c>
      <c r="BG194" s="36">
        <v>1333314600</v>
      </c>
      <c r="BH194" s="36" t="s">
        <v>213</v>
      </c>
      <c r="BI194" s="36">
        <v>200</v>
      </c>
      <c r="BJ194" s="36">
        <v>200</v>
      </c>
      <c r="BK194" s="36"/>
      <c r="BL194" s="36" t="s">
        <v>214</v>
      </c>
      <c r="BM194" s="36"/>
      <c r="BN194" s="36"/>
    </row>
    <row r="195" spans="1:66" x14ac:dyDescent="0.35">
      <c r="A195" s="36"/>
      <c r="B195" s="36"/>
      <c r="C195" s="37">
        <v>244626</v>
      </c>
      <c r="D195" s="37">
        <v>244626</v>
      </c>
      <c r="E195" s="36"/>
      <c r="F195" s="36" t="s">
        <v>192</v>
      </c>
      <c r="G195" s="36" t="s">
        <v>1</v>
      </c>
      <c r="H195" s="36">
        <v>0</v>
      </c>
      <c r="I195" s="36" t="s">
        <v>193</v>
      </c>
      <c r="J195" s="36" t="s">
        <v>194</v>
      </c>
      <c r="K195" s="36" t="s">
        <v>195</v>
      </c>
      <c r="L195" s="36">
        <v>923</v>
      </c>
      <c r="M195" s="36"/>
      <c r="N195" s="36" t="s">
        <v>196</v>
      </c>
      <c r="O195" s="36" t="s">
        <v>197</v>
      </c>
      <c r="P195" s="36">
        <v>2</v>
      </c>
      <c r="Q195" s="36" t="s">
        <v>198</v>
      </c>
      <c r="R195" s="37">
        <v>244412</v>
      </c>
      <c r="S195" s="37">
        <v>244626</v>
      </c>
      <c r="T195" s="36" t="s">
        <v>626</v>
      </c>
      <c r="U195" s="36">
        <v>23058586</v>
      </c>
      <c r="V195" s="36" t="s">
        <v>31</v>
      </c>
      <c r="W195" s="36">
        <v>5</v>
      </c>
      <c r="X195" s="36">
        <v>5</v>
      </c>
      <c r="Y195" s="36">
        <v>5</v>
      </c>
      <c r="Z195" s="36">
        <v>5</v>
      </c>
      <c r="AA195" s="36">
        <v>0</v>
      </c>
      <c r="AB195" s="36">
        <v>0</v>
      </c>
      <c r="AC195" s="36">
        <v>0</v>
      </c>
      <c r="AD195" s="36">
        <v>0</v>
      </c>
      <c r="AE195" s="36">
        <v>5</v>
      </c>
      <c r="AF195" s="36">
        <v>5</v>
      </c>
      <c r="AG195" s="36"/>
      <c r="AH195" s="36"/>
      <c r="AI195" s="36" t="s">
        <v>200</v>
      </c>
      <c r="AJ195" s="36" t="s">
        <v>201</v>
      </c>
      <c r="AK195" s="36" t="s">
        <v>215</v>
      </c>
      <c r="AL195" s="36" t="s">
        <v>203</v>
      </c>
      <c r="AM195" s="36" t="s">
        <v>204</v>
      </c>
      <c r="AN195" s="36" t="s">
        <v>205</v>
      </c>
      <c r="AO195" s="36" t="s">
        <v>206</v>
      </c>
      <c r="AP195" s="36">
        <v>20</v>
      </c>
      <c r="AQ195" s="36">
        <v>1</v>
      </c>
      <c r="AR195" s="36"/>
      <c r="AS195" s="36"/>
      <c r="AT195" s="36" t="s">
        <v>627</v>
      </c>
      <c r="AU195" s="36" t="s">
        <v>628</v>
      </c>
      <c r="AV195" s="36" t="s">
        <v>209</v>
      </c>
      <c r="AW195" s="36" t="s">
        <v>209</v>
      </c>
      <c r="AX195" s="36" t="s">
        <v>210</v>
      </c>
      <c r="AY195" s="36">
        <v>0</v>
      </c>
      <c r="AZ195" s="36" t="s">
        <v>211</v>
      </c>
      <c r="BA195" s="36">
        <v>9044988633261</v>
      </c>
      <c r="BB195" s="36"/>
      <c r="BC195" s="36"/>
      <c r="BD195" s="36">
        <v>1</v>
      </c>
      <c r="BE195" s="36"/>
      <c r="BF195" s="36" t="s">
        <v>212</v>
      </c>
      <c r="BG195" s="36">
        <v>1333314600</v>
      </c>
      <c r="BH195" s="36" t="s">
        <v>213</v>
      </c>
      <c r="BI195" s="36">
        <v>5</v>
      </c>
      <c r="BJ195" s="36">
        <v>5</v>
      </c>
      <c r="BK195" s="36"/>
      <c r="BL195" s="36" t="s">
        <v>214</v>
      </c>
      <c r="BM195" s="36"/>
      <c r="BN195" s="36"/>
    </row>
    <row r="196" spans="1:66" x14ac:dyDescent="0.35">
      <c r="A196" s="36"/>
      <c r="B196" s="36"/>
      <c r="C196" s="37">
        <v>244626</v>
      </c>
      <c r="D196" s="37">
        <v>244626</v>
      </c>
      <c r="E196" s="36"/>
      <c r="F196" s="36" t="s">
        <v>192</v>
      </c>
      <c r="G196" s="36" t="s">
        <v>1</v>
      </c>
      <c r="H196" s="36">
        <v>0</v>
      </c>
      <c r="I196" s="36" t="s">
        <v>193</v>
      </c>
      <c r="J196" s="36" t="s">
        <v>194</v>
      </c>
      <c r="K196" s="36" t="s">
        <v>195</v>
      </c>
      <c r="L196" s="36">
        <v>923</v>
      </c>
      <c r="M196" s="36"/>
      <c r="N196" s="36" t="s">
        <v>196</v>
      </c>
      <c r="O196" s="36" t="s">
        <v>197</v>
      </c>
      <c r="P196" s="36">
        <v>2</v>
      </c>
      <c r="Q196" s="36" t="s">
        <v>198</v>
      </c>
      <c r="R196" s="37">
        <v>244412</v>
      </c>
      <c r="S196" s="37">
        <v>244626</v>
      </c>
      <c r="T196" s="36" t="s">
        <v>626</v>
      </c>
      <c r="U196" s="36">
        <v>23058589</v>
      </c>
      <c r="V196" s="36" t="s">
        <v>33</v>
      </c>
      <c r="W196" s="36">
        <v>120</v>
      </c>
      <c r="X196" s="36">
        <v>120</v>
      </c>
      <c r="Y196" s="36">
        <v>120</v>
      </c>
      <c r="Z196" s="36">
        <v>120</v>
      </c>
      <c r="AA196" s="36">
        <v>0</v>
      </c>
      <c r="AB196" s="36">
        <v>0</v>
      </c>
      <c r="AC196" s="36">
        <v>0</v>
      </c>
      <c r="AD196" s="36">
        <v>0</v>
      </c>
      <c r="AE196" s="36">
        <v>120</v>
      </c>
      <c r="AF196" s="36">
        <v>120</v>
      </c>
      <c r="AG196" s="36"/>
      <c r="AH196" s="36"/>
      <c r="AI196" s="36" t="s">
        <v>200</v>
      </c>
      <c r="AJ196" s="36" t="s">
        <v>201</v>
      </c>
      <c r="AK196" s="36" t="s">
        <v>215</v>
      </c>
      <c r="AL196" s="36" t="s">
        <v>203</v>
      </c>
      <c r="AM196" s="36" t="s">
        <v>204</v>
      </c>
      <c r="AN196" s="36" t="s">
        <v>205</v>
      </c>
      <c r="AO196" s="36" t="s">
        <v>206</v>
      </c>
      <c r="AP196" s="36">
        <v>20</v>
      </c>
      <c r="AQ196" s="36">
        <v>1</v>
      </c>
      <c r="AR196" s="36"/>
      <c r="AS196" s="36"/>
      <c r="AT196" s="36" t="s">
        <v>627</v>
      </c>
      <c r="AU196" s="36" t="s">
        <v>628</v>
      </c>
      <c r="AV196" s="36" t="s">
        <v>209</v>
      </c>
      <c r="AW196" s="36" t="s">
        <v>209</v>
      </c>
      <c r="AX196" s="36" t="s">
        <v>210</v>
      </c>
      <c r="AY196" s="36">
        <v>0</v>
      </c>
      <c r="AZ196" s="36" t="s">
        <v>211</v>
      </c>
      <c r="BA196" s="36">
        <v>9044988633261</v>
      </c>
      <c r="BB196" s="36"/>
      <c r="BC196" s="36"/>
      <c r="BD196" s="36">
        <v>1</v>
      </c>
      <c r="BE196" s="36"/>
      <c r="BF196" s="36" t="s">
        <v>212</v>
      </c>
      <c r="BG196" s="36">
        <v>1333314600</v>
      </c>
      <c r="BH196" s="36" t="s">
        <v>213</v>
      </c>
      <c r="BI196" s="36">
        <v>120</v>
      </c>
      <c r="BJ196" s="36">
        <v>120</v>
      </c>
      <c r="BK196" s="36"/>
      <c r="BL196" s="36" t="s">
        <v>214</v>
      </c>
      <c r="BM196" s="36"/>
      <c r="BN196" s="36"/>
    </row>
    <row r="197" spans="1:66" x14ac:dyDescent="0.35">
      <c r="A197" s="36"/>
      <c r="B197" s="36"/>
      <c r="C197" s="37">
        <v>244626</v>
      </c>
      <c r="D197" s="37">
        <v>244626</v>
      </c>
      <c r="E197" s="36"/>
      <c r="F197" s="36" t="s">
        <v>192</v>
      </c>
      <c r="G197" s="36" t="s">
        <v>1</v>
      </c>
      <c r="H197" s="36">
        <v>0</v>
      </c>
      <c r="I197" s="36" t="s">
        <v>193</v>
      </c>
      <c r="J197" s="36" t="s">
        <v>194</v>
      </c>
      <c r="K197" s="36" t="s">
        <v>195</v>
      </c>
      <c r="L197" s="36">
        <v>923</v>
      </c>
      <c r="M197" s="36"/>
      <c r="N197" s="36" t="s">
        <v>196</v>
      </c>
      <c r="O197" s="36" t="s">
        <v>197</v>
      </c>
      <c r="P197" s="36">
        <v>2</v>
      </c>
      <c r="Q197" s="36" t="s">
        <v>198</v>
      </c>
      <c r="R197" s="37">
        <v>244412</v>
      </c>
      <c r="S197" s="37">
        <v>244626</v>
      </c>
      <c r="T197" s="36" t="s">
        <v>626</v>
      </c>
      <c r="U197" s="36">
        <v>23063759</v>
      </c>
      <c r="V197" s="36" t="s">
        <v>39</v>
      </c>
      <c r="W197" s="36">
        <v>30</v>
      </c>
      <c r="X197" s="36">
        <v>30</v>
      </c>
      <c r="Y197" s="36">
        <v>30</v>
      </c>
      <c r="Z197" s="36">
        <v>30</v>
      </c>
      <c r="AA197" s="36">
        <v>0</v>
      </c>
      <c r="AB197" s="36">
        <v>0</v>
      </c>
      <c r="AC197" s="36">
        <v>0</v>
      </c>
      <c r="AD197" s="36">
        <v>0</v>
      </c>
      <c r="AE197" s="36">
        <v>30</v>
      </c>
      <c r="AF197" s="36">
        <v>30</v>
      </c>
      <c r="AG197" s="36"/>
      <c r="AH197" s="36"/>
      <c r="AI197" s="36" t="s">
        <v>200</v>
      </c>
      <c r="AJ197" s="36" t="s">
        <v>201</v>
      </c>
      <c r="AK197" s="36" t="s">
        <v>215</v>
      </c>
      <c r="AL197" s="36" t="s">
        <v>203</v>
      </c>
      <c r="AM197" s="36" t="s">
        <v>204</v>
      </c>
      <c r="AN197" s="36" t="s">
        <v>205</v>
      </c>
      <c r="AO197" s="36" t="s">
        <v>206</v>
      </c>
      <c r="AP197" s="36">
        <v>20</v>
      </c>
      <c r="AQ197" s="36">
        <v>1</v>
      </c>
      <c r="AR197" s="36"/>
      <c r="AS197" s="36"/>
      <c r="AT197" s="36" t="s">
        <v>627</v>
      </c>
      <c r="AU197" s="36" t="s">
        <v>628</v>
      </c>
      <c r="AV197" s="36" t="s">
        <v>209</v>
      </c>
      <c r="AW197" s="36" t="s">
        <v>209</v>
      </c>
      <c r="AX197" s="36" t="s">
        <v>210</v>
      </c>
      <c r="AY197" s="36">
        <v>0</v>
      </c>
      <c r="AZ197" s="36" t="s">
        <v>211</v>
      </c>
      <c r="BA197" s="36">
        <v>9044988633261</v>
      </c>
      <c r="BB197" s="36"/>
      <c r="BC197" s="36"/>
      <c r="BD197" s="36">
        <v>1</v>
      </c>
      <c r="BE197" s="36"/>
      <c r="BF197" s="36" t="s">
        <v>212</v>
      </c>
      <c r="BG197" s="36">
        <v>1333314600</v>
      </c>
      <c r="BH197" s="36" t="s">
        <v>213</v>
      </c>
      <c r="BI197" s="36">
        <v>30</v>
      </c>
      <c r="BJ197" s="36">
        <v>30</v>
      </c>
      <c r="BK197" s="36"/>
      <c r="BL197" s="36" t="s">
        <v>214</v>
      </c>
      <c r="BM197" s="36"/>
      <c r="BN197" s="36"/>
    </row>
    <row r="198" spans="1:66" x14ac:dyDescent="0.35">
      <c r="A198" s="36"/>
      <c r="B198" s="36"/>
      <c r="C198" s="37">
        <v>244626</v>
      </c>
      <c r="D198" s="37">
        <v>244626</v>
      </c>
      <c r="E198" s="36"/>
      <c r="F198" s="36" t="s">
        <v>192</v>
      </c>
      <c r="G198" s="36" t="s">
        <v>1</v>
      </c>
      <c r="H198" s="36">
        <v>0</v>
      </c>
      <c r="I198" s="36" t="s">
        <v>193</v>
      </c>
      <c r="J198" s="36" t="s">
        <v>194</v>
      </c>
      <c r="K198" s="36" t="s">
        <v>195</v>
      </c>
      <c r="L198" s="36">
        <v>923</v>
      </c>
      <c r="M198" s="36"/>
      <c r="N198" s="36" t="s">
        <v>196</v>
      </c>
      <c r="O198" s="36" t="s">
        <v>197</v>
      </c>
      <c r="P198" s="36">
        <v>2</v>
      </c>
      <c r="Q198" s="36" t="s">
        <v>198</v>
      </c>
      <c r="R198" s="37">
        <v>244412</v>
      </c>
      <c r="S198" s="37">
        <v>244626</v>
      </c>
      <c r="T198" s="36" t="s">
        <v>626</v>
      </c>
      <c r="U198" s="36">
        <v>23000206</v>
      </c>
      <c r="V198" s="36" t="s">
        <v>15</v>
      </c>
      <c r="W198" s="36">
        <v>30</v>
      </c>
      <c r="X198" s="36">
        <v>30</v>
      </c>
      <c r="Y198" s="36">
        <v>30</v>
      </c>
      <c r="Z198" s="36">
        <v>30</v>
      </c>
      <c r="AA198" s="36">
        <v>0</v>
      </c>
      <c r="AB198" s="36">
        <v>0</v>
      </c>
      <c r="AC198" s="36">
        <v>0</v>
      </c>
      <c r="AD198" s="36">
        <v>0</v>
      </c>
      <c r="AE198" s="36">
        <v>30</v>
      </c>
      <c r="AF198" s="36">
        <v>30</v>
      </c>
      <c r="AG198" s="36"/>
      <c r="AH198" s="36"/>
      <c r="AI198" s="36" t="s">
        <v>200</v>
      </c>
      <c r="AJ198" s="36" t="s">
        <v>201</v>
      </c>
      <c r="AK198" s="36" t="s">
        <v>215</v>
      </c>
      <c r="AL198" s="36" t="s">
        <v>203</v>
      </c>
      <c r="AM198" s="36" t="s">
        <v>204</v>
      </c>
      <c r="AN198" s="36" t="s">
        <v>205</v>
      </c>
      <c r="AO198" s="36" t="s">
        <v>206</v>
      </c>
      <c r="AP198" s="36">
        <v>20</v>
      </c>
      <c r="AQ198" s="36">
        <v>1</v>
      </c>
      <c r="AR198" s="36"/>
      <c r="AS198" s="36"/>
      <c r="AT198" s="36" t="s">
        <v>627</v>
      </c>
      <c r="AU198" s="36" t="s">
        <v>628</v>
      </c>
      <c r="AV198" s="36" t="s">
        <v>209</v>
      </c>
      <c r="AW198" s="36" t="s">
        <v>209</v>
      </c>
      <c r="AX198" s="36" t="s">
        <v>210</v>
      </c>
      <c r="AY198" s="36">
        <v>0</v>
      </c>
      <c r="AZ198" s="36" t="s">
        <v>211</v>
      </c>
      <c r="BA198" s="36">
        <v>9044988633261</v>
      </c>
      <c r="BB198" s="36"/>
      <c r="BC198" s="36"/>
      <c r="BD198" s="36">
        <v>1</v>
      </c>
      <c r="BE198" s="36"/>
      <c r="BF198" s="36" t="s">
        <v>212</v>
      </c>
      <c r="BG198" s="36">
        <v>1333314600</v>
      </c>
      <c r="BH198" s="36" t="s">
        <v>213</v>
      </c>
      <c r="BI198" s="36">
        <v>30</v>
      </c>
      <c r="BJ198" s="36">
        <v>30</v>
      </c>
      <c r="BK198" s="36"/>
      <c r="BL198" s="36" t="s">
        <v>214</v>
      </c>
      <c r="BM198" s="36"/>
      <c r="BN198" s="36"/>
    </row>
    <row r="199" spans="1:66" x14ac:dyDescent="0.35">
      <c r="A199" s="36"/>
      <c r="B199" s="36"/>
      <c r="C199" s="37">
        <v>244626</v>
      </c>
      <c r="D199" s="37">
        <v>244626</v>
      </c>
      <c r="E199" s="36"/>
      <c r="F199" s="36" t="s">
        <v>192</v>
      </c>
      <c r="G199" s="36" t="s">
        <v>1</v>
      </c>
      <c r="H199" s="36">
        <v>0</v>
      </c>
      <c r="I199" s="36" t="s">
        <v>193</v>
      </c>
      <c r="J199" s="36" t="s">
        <v>194</v>
      </c>
      <c r="K199" s="36" t="s">
        <v>195</v>
      </c>
      <c r="L199" s="36">
        <v>923</v>
      </c>
      <c r="M199" s="36"/>
      <c r="N199" s="36" t="s">
        <v>196</v>
      </c>
      <c r="O199" s="36" t="s">
        <v>197</v>
      </c>
      <c r="P199" s="36">
        <v>2</v>
      </c>
      <c r="Q199" s="36" t="s">
        <v>198</v>
      </c>
      <c r="R199" s="37">
        <v>244412</v>
      </c>
      <c r="S199" s="37">
        <v>244626</v>
      </c>
      <c r="T199" s="36" t="s">
        <v>626</v>
      </c>
      <c r="U199" s="36">
        <v>23057809</v>
      </c>
      <c r="V199" s="36" t="s">
        <v>18</v>
      </c>
      <c r="W199" s="36">
        <v>120</v>
      </c>
      <c r="X199" s="36">
        <v>120</v>
      </c>
      <c r="Y199" s="36">
        <v>120</v>
      </c>
      <c r="Z199" s="36">
        <v>120</v>
      </c>
      <c r="AA199" s="36">
        <v>0</v>
      </c>
      <c r="AB199" s="36">
        <v>0</v>
      </c>
      <c r="AC199" s="36">
        <v>0</v>
      </c>
      <c r="AD199" s="36">
        <v>0</v>
      </c>
      <c r="AE199" s="36">
        <v>120</v>
      </c>
      <c r="AF199" s="36">
        <v>120</v>
      </c>
      <c r="AG199" s="36"/>
      <c r="AH199" s="36"/>
      <c r="AI199" s="36" t="s">
        <v>200</v>
      </c>
      <c r="AJ199" s="36" t="s">
        <v>201</v>
      </c>
      <c r="AK199" s="36" t="s">
        <v>202</v>
      </c>
      <c r="AL199" s="36" t="s">
        <v>203</v>
      </c>
      <c r="AM199" s="36" t="s">
        <v>204</v>
      </c>
      <c r="AN199" s="36" t="s">
        <v>205</v>
      </c>
      <c r="AO199" s="36" t="s">
        <v>206</v>
      </c>
      <c r="AP199" s="36">
        <v>20</v>
      </c>
      <c r="AQ199" s="36">
        <v>1</v>
      </c>
      <c r="AR199" s="36"/>
      <c r="AS199" s="36"/>
      <c r="AT199" s="36" t="s">
        <v>627</v>
      </c>
      <c r="AU199" s="36" t="s">
        <v>628</v>
      </c>
      <c r="AV199" s="36" t="s">
        <v>209</v>
      </c>
      <c r="AW199" s="36" t="s">
        <v>209</v>
      </c>
      <c r="AX199" s="36" t="s">
        <v>210</v>
      </c>
      <c r="AY199" s="36">
        <v>0</v>
      </c>
      <c r="AZ199" s="36" t="s">
        <v>211</v>
      </c>
      <c r="BA199" s="36">
        <v>9044988633261</v>
      </c>
      <c r="BB199" s="36"/>
      <c r="BC199" s="36"/>
      <c r="BD199" s="36">
        <v>1</v>
      </c>
      <c r="BE199" s="36"/>
      <c r="BF199" s="36" t="s">
        <v>212</v>
      </c>
      <c r="BG199" s="36">
        <v>1333314600</v>
      </c>
      <c r="BH199" s="36" t="s">
        <v>213</v>
      </c>
      <c r="BI199" s="36">
        <v>120</v>
      </c>
      <c r="BJ199" s="36">
        <v>120</v>
      </c>
      <c r="BK199" s="36"/>
      <c r="BL199" s="36" t="s">
        <v>214</v>
      </c>
      <c r="BM199" s="36"/>
      <c r="BN199" s="36"/>
    </row>
    <row r="200" spans="1:66" x14ac:dyDescent="0.35">
      <c r="A200" s="36"/>
      <c r="B200" s="36"/>
      <c r="C200" s="37">
        <v>244626</v>
      </c>
      <c r="D200" s="37">
        <v>244626</v>
      </c>
      <c r="E200" s="36"/>
      <c r="F200" s="36" t="s">
        <v>192</v>
      </c>
      <c r="G200" s="36" t="s">
        <v>1</v>
      </c>
      <c r="H200" s="36">
        <v>0</v>
      </c>
      <c r="I200" s="36" t="s">
        <v>193</v>
      </c>
      <c r="J200" s="36" t="s">
        <v>194</v>
      </c>
      <c r="K200" s="36" t="s">
        <v>195</v>
      </c>
      <c r="L200" s="36">
        <v>923</v>
      </c>
      <c r="M200" s="36"/>
      <c r="N200" s="36" t="s">
        <v>196</v>
      </c>
      <c r="O200" s="36" t="s">
        <v>197</v>
      </c>
      <c r="P200" s="36">
        <v>2</v>
      </c>
      <c r="Q200" s="36" t="s">
        <v>198</v>
      </c>
      <c r="R200" s="37">
        <v>244412</v>
      </c>
      <c r="S200" s="37">
        <v>244626</v>
      </c>
      <c r="T200" s="36" t="s">
        <v>626</v>
      </c>
      <c r="U200" s="36">
        <v>23062095</v>
      </c>
      <c r="V200" s="36" t="s">
        <v>36</v>
      </c>
      <c r="W200" s="36">
        <v>30</v>
      </c>
      <c r="X200" s="36">
        <v>30</v>
      </c>
      <c r="Y200" s="36">
        <v>30</v>
      </c>
      <c r="Z200" s="36">
        <v>30</v>
      </c>
      <c r="AA200" s="36">
        <v>0</v>
      </c>
      <c r="AB200" s="36">
        <v>0</v>
      </c>
      <c r="AC200" s="36">
        <v>0</v>
      </c>
      <c r="AD200" s="36">
        <v>0</v>
      </c>
      <c r="AE200" s="36">
        <v>30</v>
      </c>
      <c r="AF200" s="36">
        <v>30</v>
      </c>
      <c r="AG200" s="36"/>
      <c r="AH200" s="36"/>
      <c r="AI200" s="36" t="s">
        <v>200</v>
      </c>
      <c r="AJ200" s="36" t="s">
        <v>201</v>
      </c>
      <c r="AK200" s="36" t="s">
        <v>215</v>
      </c>
      <c r="AL200" s="36" t="s">
        <v>203</v>
      </c>
      <c r="AM200" s="36" t="s">
        <v>204</v>
      </c>
      <c r="AN200" s="36" t="s">
        <v>205</v>
      </c>
      <c r="AO200" s="36" t="s">
        <v>206</v>
      </c>
      <c r="AP200" s="36">
        <v>20</v>
      </c>
      <c r="AQ200" s="36">
        <v>1</v>
      </c>
      <c r="AR200" s="36"/>
      <c r="AS200" s="36"/>
      <c r="AT200" s="36" t="s">
        <v>627</v>
      </c>
      <c r="AU200" s="36" t="s">
        <v>628</v>
      </c>
      <c r="AV200" s="36" t="s">
        <v>209</v>
      </c>
      <c r="AW200" s="36" t="s">
        <v>209</v>
      </c>
      <c r="AX200" s="36" t="s">
        <v>210</v>
      </c>
      <c r="AY200" s="36">
        <v>0</v>
      </c>
      <c r="AZ200" s="36" t="s">
        <v>211</v>
      </c>
      <c r="BA200" s="36">
        <v>9044988633261</v>
      </c>
      <c r="BB200" s="36"/>
      <c r="BC200" s="36"/>
      <c r="BD200" s="36">
        <v>1</v>
      </c>
      <c r="BE200" s="36"/>
      <c r="BF200" s="36" t="s">
        <v>212</v>
      </c>
      <c r="BG200" s="36">
        <v>1333314600</v>
      </c>
      <c r="BH200" s="36" t="s">
        <v>213</v>
      </c>
      <c r="BI200" s="36">
        <v>30</v>
      </c>
      <c r="BJ200" s="36">
        <v>30</v>
      </c>
      <c r="BK200" s="36"/>
      <c r="BL200" s="36" t="s">
        <v>214</v>
      </c>
      <c r="BM200" s="36"/>
      <c r="BN200" s="36"/>
    </row>
    <row r="201" spans="1:66" x14ac:dyDescent="0.35">
      <c r="A201" s="36"/>
      <c r="B201" s="36"/>
      <c r="C201" s="37">
        <v>244626</v>
      </c>
      <c r="D201" s="37">
        <v>244626</v>
      </c>
      <c r="E201" s="36"/>
      <c r="F201" s="36" t="s">
        <v>192</v>
      </c>
      <c r="G201" s="36" t="s">
        <v>1</v>
      </c>
      <c r="H201" s="36">
        <v>0</v>
      </c>
      <c r="I201" s="36" t="s">
        <v>193</v>
      </c>
      <c r="J201" s="36" t="s">
        <v>194</v>
      </c>
      <c r="K201" s="36" t="s">
        <v>195</v>
      </c>
      <c r="L201" s="36">
        <v>923</v>
      </c>
      <c r="M201" s="36"/>
      <c r="N201" s="36" t="s">
        <v>196</v>
      </c>
      <c r="O201" s="36" t="s">
        <v>197</v>
      </c>
      <c r="P201" s="36">
        <v>2</v>
      </c>
      <c r="Q201" s="36" t="s">
        <v>198</v>
      </c>
      <c r="R201" s="37">
        <v>244412</v>
      </c>
      <c r="S201" s="37">
        <v>244626</v>
      </c>
      <c r="T201" s="36" t="s">
        <v>626</v>
      </c>
      <c r="U201" s="36">
        <v>23058555</v>
      </c>
      <c r="V201" s="36" t="s">
        <v>28</v>
      </c>
      <c r="W201" s="36">
        <v>150</v>
      </c>
      <c r="X201" s="36">
        <v>150</v>
      </c>
      <c r="Y201" s="36">
        <v>150</v>
      </c>
      <c r="Z201" s="36">
        <v>150</v>
      </c>
      <c r="AA201" s="36">
        <v>0</v>
      </c>
      <c r="AB201" s="36">
        <v>0</v>
      </c>
      <c r="AC201" s="36">
        <v>0</v>
      </c>
      <c r="AD201" s="36">
        <v>0</v>
      </c>
      <c r="AE201" s="36">
        <v>150</v>
      </c>
      <c r="AF201" s="36">
        <v>150</v>
      </c>
      <c r="AG201" s="36"/>
      <c r="AH201" s="36"/>
      <c r="AI201" s="36" t="s">
        <v>200</v>
      </c>
      <c r="AJ201" s="36" t="s">
        <v>201</v>
      </c>
      <c r="AK201" s="36" t="s">
        <v>215</v>
      </c>
      <c r="AL201" s="36" t="s">
        <v>203</v>
      </c>
      <c r="AM201" s="36" t="s">
        <v>204</v>
      </c>
      <c r="AN201" s="36" t="s">
        <v>205</v>
      </c>
      <c r="AO201" s="36" t="s">
        <v>206</v>
      </c>
      <c r="AP201" s="36">
        <v>20</v>
      </c>
      <c r="AQ201" s="36">
        <v>1</v>
      </c>
      <c r="AR201" s="36"/>
      <c r="AS201" s="36"/>
      <c r="AT201" s="36" t="s">
        <v>627</v>
      </c>
      <c r="AU201" s="36" t="s">
        <v>628</v>
      </c>
      <c r="AV201" s="36" t="s">
        <v>209</v>
      </c>
      <c r="AW201" s="36" t="s">
        <v>209</v>
      </c>
      <c r="AX201" s="36" t="s">
        <v>210</v>
      </c>
      <c r="AY201" s="36">
        <v>0</v>
      </c>
      <c r="AZ201" s="36" t="s">
        <v>211</v>
      </c>
      <c r="BA201" s="36">
        <v>9044988633261</v>
      </c>
      <c r="BB201" s="36"/>
      <c r="BC201" s="36"/>
      <c r="BD201" s="36">
        <v>1</v>
      </c>
      <c r="BE201" s="36"/>
      <c r="BF201" s="36" t="s">
        <v>212</v>
      </c>
      <c r="BG201" s="36">
        <v>1333314600</v>
      </c>
      <c r="BH201" s="36" t="s">
        <v>213</v>
      </c>
      <c r="BI201" s="36">
        <v>150</v>
      </c>
      <c r="BJ201" s="36">
        <v>150</v>
      </c>
      <c r="BK201" s="36"/>
      <c r="BL201" s="36" t="s">
        <v>214</v>
      </c>
      <c r="BM201" s="36"/>
      <c r="BN201" s="36"/>
    </row>
    <row r="202" spans="1:66" x14ac:dyDescent="0.35">
      <c r="A202" s="36"/>
      <c r="B202" s="36"/>
      <c r="C202" s="37">
        <v>244626</v>
      </c>
      <c r="D202" s="37">
        <v>244626</v>
      </c>
      <c r="E202" s="36"/>
      <c r="F202" s="36" t="s">
        <v>192</v>
      </c>
      <c r="G202" s="36" t="s">
        <v>1</v>
      </c>
      <c r="H202" s="36">
        <v>0</v>
      </c>
      <c r="I202" s="36" t="s">
        <v>193</v>
      </c>
      <c r="J202" s="36" t="s">
        <v>194</v>
      </c>
      <c r="K202" s="36" t="s">
        <v>195</v>
      </c>
      <c r="L202" s="36">
        <v>923</v>
      </c>
      <c r="M202" s="36"/>
      <c r="N202" s="36" t="s">
        <v>196</v>
      </c>
      <c r="O202" s="36" t="s">
        <v>197</v>
      </c>
      <c r="P202" s="36">
        <v>2</v>
      </c>
      <c r="Q202" s="36" t="s">
        <v>198</v>
      </c>
      <c r="R202" s="37">
        <v>244412</v>
      </c>
      <c r="S202" s="37">
        <v>244626</v>
      </c>
      <c r="T202" s="36" t="s">
        <v>626</v>
      </c>
      <c r="U202" s="36">
        <v>23062103</v>
      </c>
      <c r="V202" s="36" t="s">
        <v>111</v>
      </c>
      <c r="W202" s="36">
        <v>5</v>
      </c>
      <c r="X202" s="36">
        <v>5</v>
      </c>
      <c r="Y202" s="36">
        <v>5</v>
      </c>
      <c r="Z202" s="36">
        <v>5</v>
      </c>
      <c r="AA202" s="36">
        <v>0</v>
      </c>
      <c r="AB202" s="36">
        <v>0</v>
      </c>
      <c r="AC202" s="36">
        <v>0</v>
      </c>
      <c r="AD202" s="36">
        <v>0</v>
      </c>
      <c r="AE202" s="36">
        <v>5</v>
      </c>
      <c r="AF202" s="36">
        <v>5</v>
      </c>
      <c r="AG202" s="36"/>
      <c r="AH202" s="36"/>
      <c r="AI202" s="36" t="s">
        <v>200</v>
      </c>
      <c r="AJ202" s="36" t="s">
        <v>201</v>
      </c>
      <c r="AK202" s="36" t="s">
        <v>215</v>
      </c>
      <c r="AL202" s="36" t="s">
        <v>203</v>
      </c>
      <c r="AM202" s="36" t="s">
        <v>204</v>
      </c>
      <c r="AN202" s="36" t="s">
        <v>205</v>
      </c>
      <c r="AO202" s="36" t="s">
        <v>206</v>
      </c>
      <c r="AP202" s="36">
        <v>20</v>
      </c>
      <c r="AQ202" s="36">
        <v>1</v>
      </c>
      <c r="AR202" s="36"/>
      <c r="AS202" s="36"/>
      <c r="AT202" s="36" t="s">
        <v>627</v>
      </c>
      <c r="AU202" s="36" t="s">
        <v>628</v>
      </c>
      <c r="AV202" s="36" t="s">
        <v>209</v>
      </c>
      <c r="AW202" s="36" t="s">
        <v>209</v>
      </c>
      <c r="AX202" s="36" t="s">
        <v>210</v>
      </c>
      <c r="AY202" s="36">
        <v>0</v>
      </c>
      <c r="AZ202" s="36" t="s">
        <v>211</v>
      </c>
      <c r="BA202" s="36">
        <v>9044988633261</v>
      </c>
      <c r="BB202" s="36"/>
      <c r="BC202" s="36"/>
      <c r="BD202" s="36">
        <v>1</v>
      </c>
      <c r="BE202" s="36"/>
      <c r="BF202" s="36" t="s">
        <v>212</v>
      </c>
      <c r="BG202" s="36">
        <v>1333314600</v>
      </c>
      <c r="BH202" s="36" t="s">
        <v>213</v>
      </c>
      <c r="BI202" s="36">
        <v>5</v>
      </c>
      <c r="BJ202" s="36">
        <v>5</v>
      </c>
      <c r="BK202" s="36"/>
      <c r="BL202" s="36" t="s">
        <v>214</v>
      </c>
      <c r="BM202" s="36"/>
      <c r="BN202" s="36"/>
    </row>
    <row r="203" spans="1:66" x14ac:dyDescent="0.35">
      <c r="A203" s="36"/>
      <c r="B203" s="36"/>
      <c r="C203" s="37">
        <v>244626</v>
      </c>
      <c r="D203" s="37">
        <v>244626</v>
      </c>
      <c r="E203" s="36"/>
      <c r="F203" s="36" t="s">
        <v>192</v>
      </c>
      <c r="G203" s="36" t="s">
        <v>1</v>
      </c>
      <c r="H203" s="36">
        <v>0</v>
      </c>
      <c r="I203" s="36" t="s">
        <v>193</v>
      </c>
      <c r="J203" s="36" t="s">
        <v>194</v>
      </c>
      <c r="K203" s="36" t="s">
        <v>195</v>
      </c>
      <c r="L203" s="36">
        <v>923</v>
      </c>
      <c r="M203" s="36"/>
      <c r="N203" s="36" t="s">
        <v>196</v>
      </c>
      <c r="O203" s="36" t="s">
        <v>197</v>
      </c>
      <c r="P203" s="36">
        <v>2</v>
      </c>
      <c r="Q203" s="36" t="s">
        <v>198</v>
      </c>
      <c r="R203" s="37">
        <v>244412</v>
      </c>
      <c r="S203" s="37">
        <v>244626</v>
      </c>
      <c r="T203" s="36" t="s">
        <v>626</v>
      </c>
      <c r="U203" s="36">
        <v>23065140</v>
      </c>
      <c r="V203" s="36" t="s">
        <v>40</v>
      </c>
      <c r="W203" s="36">
        <v>200</v>
      </c>
      <c r="X203" s="36">
        <v>200</v>
      </c>
      <c r="Y203" s="36">
        <v>200</v>
      </c>
      <c r="Z203" s="36">
        <v>200</v>
      </c>
      <c r="AA203" s="36">
        <v>0</v>
      </c>
      <c r="AB203" s="36">
        <v>0</v>
      </c>
      <c r="AC203" s="36">
        <v>0</v>
      </c>
      <c r="AD203" s="36">
        <v>0</v>
      </c>
      <c r="AE203" s="36">
        <v>200</v>
      </c>
      <c r="AF203" s="36">
        <v>200</v>
      </c>
      <c r="AG203" s="36"/>
      <c r="AH203" s="36"/>
      <c r="AI203" s="36" t="s">
        <v>200</v>
      </c>
      <c r="AJ203" s="36" t="s">
        <v>201</v>
      </c>
      <c r="AK203" s="36" t="s">
        <v>202</v>
      </c>
      <c r="AL203" s="36" t="s">
        <v>203</v>
      </c>
      <c r="AM203" s="36" t="s">
        <v>204</v>
      </c>
      <c r="AN203" s="36" t="s">
        <v>205</v>
      </c>
      <c r="AO203" s="36" t="s">
        <v>206</v>
      </c>
      <c r="AP203" s="36">
        <v>20</v>
      </c>
      <c r="AQ203" s="36">
        <v>1</v>
      </c>
      <c r="AR203" s="36"/>
      <c r="AS203" s="36"/>
      <c r="AT203" s="36" t="s">
        <v>627</v>
      </c>
      <c r="AU203" s="36" t="s">
        <v>628</v>
      </c>
      <c r="AV203" s="36" t="s">
        <v>209</v>
      </c>
      <c r="AW203" s="36" t="s">
        <v>209</v>
      </c>
      <c r="AX203" s="36" t="s">
        <v>210</v>
      </c>
      <c r="AY203" s="36">
        <v>0</v>
      </c>
      <c r="AZ203" s="36" t="s">
        <v>211</v>
      </c>
      <c r="BA203" s="36">
        <v>9044988633261</v>
      </c>
      <c r="BB203" s="36"/>
      <c r="BC203" s="36"/>
      <c r="BD203" s="36">
        <v>1</v>
      </c>
      <c r="BE203" s="36"/>
      <c r="BF203" s="36" t="s">
        <v>212</v>
      </c>
      <c r="BG203" s="36">
        <v>1333314600</v>
      </c>
      <c r="BH203" s="36" t="s">
        <v>213</v>
      </c>
      <c r="BI203" s="36">
        <v>200</v>
      </c>
      <c r="BJ203" s="36">
        <v>200</v>
      </c>
      <c r="BK203" s="36"/>
      <c r="BL203" s="36" t="s">
        <v>214</v>
      </c>
      <c r="BM203" s="36"/>
      <c r="BN203" s="36"/>
    </row>
    <row r="204" spans="1:66" x14ac:dyDescent="0.35">
      <c r="A204" s="36"/>
      <c r="B204" s="36"/>
      <c r="C204" s="37">
        <v>244626</v>
      </c>
      <c r="D204" s="37">
        <v>244626</v>
      </c>
      <c r="E204" s="36"/>
      <c r="F204" s="36" t="s">
        <v>192</v>
      </c>
      <c r="G204" s="36" t="s">
        <v>1</v>
      </c>
      <c r="H204" s="36">
        <v>0</v>
      </c>
      <c r="I204" s="36" t="s">
        <v>193</v>
      </c>
      <c r="J204" s="36" t="s">
        <v>194</v>
      </c>
      <c r="K204" s="36" t="s">
        <v>195</v>
      </c>
      <c r="L204" s="36">
        <v>923</v>
      </c>
      <c r="M204" s="36"/>
      <c r="N204" s="36" t="s">
        <v>196</v>
      </c>
      <c r="O204" s="36" t="s">
        <v>197</v>
      </c>
      <c r="P204" s="36">
        <v>2</v>
      </c>
      <c r="Q204" s="36" t="s">
        <v>198</v>
      </c>
      <c r="R204" s="37">
        <v>244412</v>
      </c>
      <c r="S204" s="37">
        <v>244626</v>
      </c>
      <c r="T204" s="36" t="s">
        <v>626</v>
      </c>
      <c r="U204" s="36">
        <v>23088348</v>
      </c>
      <c r="V204" s="36" t="s">
        <v>57</v>
      </c>
      <c r="W204" s="36">
        <v>120</v>
      </c>
      <c r="X204" s="36">
        <v>120</v>
      </c>
      <c r="Y204" s="36">
        <v>120</v>
      </c>
      <c r="Z204" s="36">
        <v>120</v>
      </c>
      <c r="AA204" s="36">
        <v>0</v>
      </c>
      <c r="AB204" s="36">
        <v>0</v>
      </c>
      <c r="AC204" s="36">
        <v>0</v>
      </c>
      <c r="AD204" s="36">
        <v>0</v>
      </c>
      <c r="AE204" s="36">
        <v>120</v>
      </c>
      <c r="AF204" s="36">
        <v>120</v>
      </c>
      <c r="AG204" s="36"/>
      <c r="AH204" s="36"/>
      <c r="AI204" s="36" t="s">
        <v>200</v>
      </c>
      <c r="AJ204" s="36" t="s">
        <v>201</v>
      </c>
      <c r="AK204" s="36" t="s">
        <v>215</v>
      </c>
      <c r="AL204" s="36" t="s">
        <v>203</v>
      </c>
      <c r="AM204" s="36" t="s">
        <v>204</v>
      </c>
      <c r="AN204" s="36" t="s">
        <v>205</v>
      </c>
      <c r="AO204" s="36" t="s">
        <v>206</v>
      </c>
      <c r="AP204" s="36">
        <v>20</v>
      </c>
      <c r="AQ204" s="36">
        <v>1</v>
      </c>
      <c r="AR204" s="36"/>
      <c r="AS204" s="36"/>
      <c r="AT204" s="36" t="s">
        <v>627</v>
      </c>
      <c r="AU204" s="36" t="s">
        <v>628</v>
      </c>
      <c r="AV204" s="36" t="s">
        <v>209</v>
      </c>
      <c r="AW204" s="36" t="s">
        <v>209</v>
      </c>
      <c r="AX204" s="36" t="s">
        <v>210</v>
      </c>
      <c r="AY204" s="36">
        <v>0</v>
      </c>
      <c r="AZ204" s="36" t="s">
        <v>211</v>
      </c>
      <c r="BA204" s="36">
        <v>9044988633261</v>
      </c>
      <c r="BB204" s="36"/>
      <c r="BC204" s="36"/>
      <c r="BD204" s="36">
        <v>1</v>
      </c>
      <c r="BE204" s="36"/>
      <c r="BF204" s="36" t="s">
        <v>212</v>
      </c>
      <c r="BG204" s="36">
        <v>1333314600</v>
      </c>
      <c r="BH204" s="36" t="s">
        <v>213</v>
      </c>
      <c r="BI204" s="36">
        <v>120</v>
      </c>
      <c r="BJ204" s="36">
        <v>120</v>
      </c>
      <c r="BK204" s="36"/>
      <c r="BL204" s="36" t="s">
        <v>214</v>
      </c>
      <c r="BM204" s="36"/>
      <c r="BN204" s="36"/>
    </row>
    <row r="205" spans="1:66" x14ac:dyDescent="0.35">
      <c r="A205" s="36"/>
      <c r="B205" s="36"/>
      <c r="C205" s="37">
        <v>244626</v>
      </c>
      <c r="D205" s="37">
        <v>244626</v>
      </c>
      <c r="E205" s="36"/>
      <c r="F205" s="36" t="s">
        <v>192</v>
      </c>
      <c r="G205" s="36" t="s">
        <v>1</v>
      </c>
      <c r="H205" s="36">
        <v>0</v>
      </c>
      <c r="I205" s="36" t="s">
        <v>193</v>
      </c>
      <c r="J205" s="36" t="s">
        <v>194</v>
      </c>
      <c r="K205" s="36" t="s">
        <v>195</v>
      </c>
      <c r="L205" s="36">
        <v>923</v>
      </c>
      <c r="M205" s="36"/>
      <c r="N205" s="36" t="s">
        <v>196</v>
      </c>
      <c r="O205" s="36" t="s">
        <v>197</v>
      </c>
      <c r="P205" s="36">
        <v>2</v>
      </c>
      <c r="Q205" s="36" t="s">
        <v>198</v>
      </c>
      <c r="R205" s="37">
        <v>244412</v>
      </c>
      <c r="S205" s="37">
        <v>244626</v>
      </c>
      <c r="T205" s="36" t="s">
        <v>626</v>
      </c>
      <c r="U205" s="36">
        <v>23098995</v>
      </c>
      <c r="V205" s="36" t="s">
        <v>70</v>
      </c>
      <c r="W205" s="36">
        <v>40</v>
      </c>
      <c r="X205" s="36">
        <v>40</v>
      </c>
      <c r="Y205" s="36">
        <v>40</v>
      </c>
      <c r="Z205" s="36">
        <v>40</v>
      </c>
      <c r="AA205" s="36">
        <v>0</v>
      </c>
      <c r="AB205" s="36">
        <v>0</v>
      </c>
      <c r="AC205" s="36">
        <v>0</v>
      </c>
      <c r="AD205" s="36">
        <v>0</v>
      </c>
      <c r="AE205" s="36">
        <v>40</v>
      </c>
      <c r="AF205" s="36">
        <v>40</v>
      </c>
      <c r="AG205" s="36"/>
      <c r="AH205" s="36"/>
      <c r="AI205" s="36" t="s">
        <v>200</v>
      </c>
      <c r="AJ205" s="36" t="s">
        <v>201</v>
      </c>
      <c r="AK205" s="36" t="s">
        <v>215</v>
      </c>
      <c r="AL205" s="36" t="s">
        <v>203</v>
      </c>
      <c r="AM205" s="36" t="s">
        <v>204</v>
      </c>
      <c r="AN205" s="36" t="s">
        <v>205</v>
      </c>
      <c r="AO205" s="36" t="s">
        <v>206</v>
      </c>
      <c r="AP205" s="36">
        <v>20</v>
      </c>
      <c r="AQ205" s="36">
        <v>1</v>
      </c>
      <c r="AR205" s="36"/>
      <c r="AS205" s="36"/>
      <c r="AT205" s="36" t="s">
        <v>627</v>
      </c>
      <c r="AU205" s="36" t="s">
        <v>628</v>
      </c>
      <c r="AV205" s="36" t="s">
        <v>209</v>
      </c>
      <c r="AW205" s="36" t="s">
        <v>209</v>
      </c>
      <c r="AX205" s="36" t="s">
        <v>210</v>
      </c>
      <c r="AY205" s="36">
        <v>0</v>
      </c>
      <c r="AZ205" s="36" t="s">
        <v>211</v>
      </c>
      <c r="BA205" s="36">
        <v>9044988633261</v>
      </c>
      <c r="BB205" s="36"/>
      <c r="BC205" s="36"/>
      <c r="BD205" s="36">
        <v>1</v>
      </c>
      <c r="BE205" s="36"/>
      <c r="BF205" s="36" t="s">
        <v>212</v>
      </c>
      <c r="BG205" s="36">
        <v>1333314600</v>
      </c>
      <c r="BH205" s="36" t="s">
        <v>213</v>
      </c>
      <c r="BI205" s="36">
        <v>40</v>
      </c>
      <c r="BJ205" s="36">
        <v>40</v>
      </c>
      <c r="BK205" s="36"/>
      <c r="BL205" s="36" t="s">
        <v>214</v>
      </c>
      <c r="BM205" s="36"/>
      <c r="BN205" s="36"/>
    </row>
    <row r="206" spans="1:66" x14ac:dyDescent="0.35">
      <c r="A206" s="36"/>
      <c r="B206" s="36"/>
      <c r="C206" s="37">
        <v>244626</v>
      </c>
      <c r="D206" s="37">
        <v>244626</v>
      </c>
      <c r="E206" s="36"/>
      <c r="F206" s="36" t="s">
        <v>192</v>
      </c>
      <c r="G206" s="36" t="s">
        <v>1</v>
      </c>
      <c r="H206" s="36">
        <v>0</v>
      </c>
      <c r="I206" s="36" t="s">
        <v>193</v>
      </c>
      <c r="J206" s="36" t="s">
        <v>194</v>
      </c>
      <c r="K206" s="36" t="s">
        <v>195</v>
      </c>
      <c r="L206" s="36">
        <v>923</v>
      </c>
      <c r="M206" s="36"/>
      <c r="N206" s="36" t="s">
        <v>196</v>
      </c>
      <c r="O206" s="36" t="s">
        <v>197</v>
      </c>
      <c r="P206" s="36">
        <v>2</v>
      </c>
      <c r="Q206" s="36" t="s">
        <v>198</v>
      </c>
      <c r="R206" s="37">
        <v>244412</v>
      </c>
      <c r="S206" s="37">
        <v>244626</v>
      </c>
      <c r="T206" s="36" t="s">
        <v>626</v>
      </c>
      <c r="U206" s="36">
        <v>23058587</v>
      </c>
      <c r="V206" s="36" t="s">
        <v>32</v>
      </c>
      <c r="W206" s="36">
        <v>10</v>
      </c>
      <c r="X206" s="36">
        <v>10</v>
      </c>
      <c r="Y206" s="36">
        <v>10</v>
      </c>
      <c r="Z206" s="36">
        <v>10</v>
      </c>
      <c r="AA206" s="36">
        <v>0</v>
      </c>
      <c r="AB206" s="36">
        <v>0</v>
      </c>
      <c r="AC206" s="36">
        <v>0</v>
      </c>
      <c r="AD206" s="36">
        <v>0</v>
      </c>
      <c r="AE206" s="36">
        <v>10</v>
      </c>
      <c r="AF206" s="36">
        <v>10</v>
      </c>
      <c r="AG206" s="36"/>
      <c r="AH206" s="36"/>
      <c r="AI206" s="36" t="s">
        <v>200</v>
      </c>
      <c r="AJ206" s="36" t="s">
        <v>201</v>
      </c>
      <c r="AK206" s="36" t="s">
        <v>215</v>
      </c>
      <c r="AL206" s="36" t="s">
        <v>203</v>
      </c>
      <c r="AM206" s="36" t="s">
        <v>204</v>
      </c>
      <c r="AN206" s="36" t="s">
        <v>205</v>
      </c>
      <c r="AO206" s="36" t="s">
        <v>206</v>
      </c>
      <c r="AP206" s="36">
        <v>20</v>
      </c>
      <c r="AQ206" s="36">
        <v>1</v>
      </c>
      <c r="AR206" s="36"/>
      <c r="AS206" s="36"/>
      <c r="AT206" s="36" t="s">
        <v>627</v>
      </c>
      <c r="AU206" s="36" t="s">
        <v>628</v>
      </c>
      <c r="AV206" s="36" t="s">
        <v>209</v>
      </c>
      <c r="AW206" s="36" t="s">
        <v>209</v>
      </c>
      <c r="AX206" s="36" t="s">
        <v>210</v>
      </c>
      <c r="AY206" s="36">
        <v>0</v>
      </c>
      <c r="AZ206" s="36" t="s">
        <v>211</v>
      </c>
      <c r="BA206" s="36">
        <v>9044988633261</v>
      </c>
      <c r="BB206" s="36"/>
      <c r="BC206" s="36"/>
      <c r="BD206" s="36">
        <v>1</v>
      </c>
      <c r="BE206" s="36"/>
      <c r="BF206" s="36" t="s">
        <v>212</v>
      </c>
      <c r="BG206" s="36">
        <v>1333314600</v>
      </c>
      <c r="BH206" s="36" t="s">
        <v>213</v>
      </c>
      <c r="BI206" s="36">
        <v>10</v>
      </c>
      <c r="BJ206" s="36">
        <v>10</v>
      </c>
      <c r="BK206" s="36"/>
      <c r="BL206" s="36" t="s">
        <v>214</v>
      </c>
      <c r="BM206" s="36"/>
      <c r="BN206" s="36"/>
    </row>
    <row r="207" spans="1:66" x14ac:dyDescent="0.35">
      <c r="A207" s="36"/>
      <c r="B207" s="36"/>
      <c r="C207" s="37">
        <v>244626</v>
      </c>
      <c r="D207" s="37">
        <v>244626</v>
      </c>
      <c r="E207" s="36"/>
      <c r="F207" s="36" t="s">
        <v>192</v>
      </c>
      <c r="G207" s="36" t="s">
        <v>1</v>
      </c>
      <c r="H207" s="36">
        <v>0</v>
      </c>
      <c r="I207" s="36" t="s">
        <v>193</v>
      </c>
      <c r="J207" s="36" t="s">
        <v>194</v>
      </c>
      <c r="K207" s="36" t="s">
        <v>195</v>
      </c>
      <c r="L207" s="36">
        <v>923</v>
      </c>
      <c r="M207" s="36"/>
      <c r="N207" s="36" t="s">
        <v>196</v>
      </c>
      <c r="O207" s="36" t="s">
        <v>197</v>
      </c>
      <c r="P207" s="36">
        <v>2</v>
      </c>
      <c r="Q207" s="36" t="s">
        <v>198</v>
      </c>
      <c r="R207" s="37">
        <v>244412</v>
      </c>
      <c r="S207" s="37">
        <v>244626</v>
      </c>
      <c r="T207" s="36" t="s">
        <v>626</v>
      </c>
      <c r="U207" s="36">
        <v>23058556</v>
      </c>
      <c r="V207" s="36" t="s">
        <v>112</v>
      </c>
      <c r="W207" s="36">
        <v>10</v>
      </c>
      <c r="X207" s="36">
        <v>10</v>
      </c>
      <c r="Y207" s="36">
        <v>10</v>
      </c>
      <c r="Z207" s="36">
        <v>10</v>
      </c>
      <c r="AA207" s="36">
        <v>0</v>
      </c>
      <c r="AB207" s="36">
        <v>0</v>
      </c>
      <c r="AC207" s="36">
        <v>0</v>
      </c>
      <c r="AD207" s="36">
        <v>0</v>
      </c>
      <c r="AE207" s="36">
        <v>10</v>
      </c>
      <c r="AF207" s="36">
        <v>10</v>
      </c>
      <c r="AG207" s="36"/>
      <c r="AH207" s="36"/>
      <c r="AI207" s="36" t="s">
        <v>200</v>
      </c>
      <c r="AJ207" s="36" t="s">
        <v>201</v>
      </c>
      <c r="AK207" s="36" t="s">
        <v>215</v>
      </c>
      <c r="AL207" s="36" t="s">
        <v>203</v>
      </c>
      <c r="AM207" s="36" t="s">
        <v>204</v>
      </c>
      <c r="AN207" s="36" t="s">
        <v>205</v>
      </c>
      <c r="AO207" s="36" t="s">
        <v>206</v>
      </c>
      <c r="AP207" s="36">
        <v>20</v>
      </c>
      <c r="AQ207" s="36">
        <v>1</v>
      </c>
      <c r="AR207" s="36"/>
      <c r="AS207" s="36"/>
      <c r="AT207" s="36" t="s">
        <v>627</v>
      </c>
      <c r="AU207" s="36" t="s">
        <v>628</v>
      </c>
      <c r="AV207" s="36" t="s">
        <v>209</v>
      </c>
      <c r="AW207" s="36" t="s">
        <v>209</v>
      </c>
      <c r="AX207" s="36" t="s">
        <v>210</v>
      </c>
      <c r="AY207" s="36">
        <v>0</v>
      </c>
      <c r="AZ207" s="36" t="s">
        <v>211</v>
      </c>
      <c r="BA207" s="36">
        <v>9044988633261</v>
      </c>
      <c r="BB207" s="36"/>
      <c r="BC207" s="36"/>
      <c r="BD207" s="36">
        <v>1</v>
      </c>
      <c r="BE207" s="36"/>
      <c r="BF207" s="36" t="s">
        <v>212</v>
      </c>
      <c r="BG207" s="36">
        <v>1333314600</v>
      </c>
      <c r="BH207" s="36" t="s">
        <v>213</v>
      </c>
      <c r="BI207" s="36">
        <v>10</v>
      </c>
      <c r="BJ207" s="36">
        <v>10</v>
      </c>
      <c r="BK207" s="36"/>
      <c r="BL207" s="36" t="s">
        <v>214</v>
      </c>
      <c r="BM207" s="36"/>
      <c r="BN207" s="36"/>
    </row>
    <row r="208" spans="1:66" x14ac:dyDescent="0.35">
      <c r="A208" s="36"/>
      <c r="B208" s="36"/>
      <c r="C208" s="37">
        <v>244626</v>
      </c>
      <c r="D208" s="37">
        <v>244626</v>
      </c>
      <c r="E208" s="36"/>
      <c r="F208" s="36" t="s">
        <v>192</v>
      </c>
      <c r="G208" s="36" t="s">
        <v>1</v>
      </c>
      <c r="H208" s="36">
        <v>0</v>
      </c>
      <c r="I208" s="36" t="s">
        <v>193</v>
      </c>
      <c r="J208" s="36" t="s">
        <v>194</v>
      </c>
      <c r="K208" s="36" t="s">
        <v>195</v>
      </c>
      <c r="L208" s="36">
        <v>923</v>
      </c>
      <c r="M208" s="36"/>
      <c r="N208" s="36" t="s">
        <v>196</v>
      </c>
      <c r="O208" s="36" t="s">
        <v>197</v>
      </c>
      <c r="P208" s="36">
        <v>2</v>
      </c>
      <c r="Q208" s="36" t="s">
        <v>198</v>
      </c>
      <c r="R208" s="37">
        <v>244412</v>
      </c>
      <c r="S208" s="37">
        <v>244626</v>
      </c>
      <c r="T208" s="36" t="s">
        <v>626</v>
      </c>
      <c r="U208" s="36">
        <v>23057818</v>
      </c>
      <c r="V208" s="36" t="s">
        <v>21</v>
      </c>
      <c r="W208" s="36">
        <v>20</v>
      </c>
      <c r="X208" s="36">
        <v>20</v>
      </c>
      <c r="Y208" s="36">
        <v>20</v>
      </c>
      <c r="Z208" s="36">
        <v>20</v>
      </c>
      <c r="AA208" s="36">
        <v>0</v>
      </c>
      <c r="AB208" s="36">
        <v>0</v>
      </c>
      <c r="AC208" s="36">
        <v>0</v>
      </c>
      <c r="AD208" s="36">
        <v>0</v>
      </c>
      <c r="AE208" s="36">
        <v>20</v>
      </c>
      <c r="AF208" s="36">
        <v>20</v>
      </c>
      <c r="AG208" s="36"/>
      <c r="AH208" s="36"/>
      <c r="AI208" s="36" t="s">
        <v>200</v>
      </c>
      <c r="AJ208" s="36" t="s">
        <v>201</v>
      </c>
      <c r="AK208" s="36" t="s">
        <v>202</v>
      </c>
      <c r="AL208" s="36" t="s">
        <v>203</v>
      </c>
      <c r="AM208" s="36" t="s">
        <v>204</v>
      </c>
      <c r="AN208" s="36" t="s">
        <v>205</v>
      </c>
      <c r="AO208" s="36" t="s">
        <v>206</v>
      </c>
      <c r="AP208" s="36">
        <v>20</v>
      </c>
      <c r="AQ208" s="36">
        <v>1</v>
      </c>
      <c r="AR208" s="36"/>
      <c r="AS208" s="36"/>
      <c r="AT208" s="36" t="s">
        <v>627</v>
      </c>
      <c r="AU208" s="36" t="s">
        <v>628</v>
      </c>
      <c r="AV208" s="36" t="s">
        <v>209</v>
      </c>
      <c r="AW208" s="36" t="s">
        <v>209</v>
      </c>
      <c r="AX208" s="36" t="s">
        <v>210</v>
      </c>
      <c r="AY208" s="36">
        <v>0</v>
      </c>
      <c r="AZ208" s="36" t="s">
        <v>211</v>
      </c>
      <c r="BA208" s="36">
        <v>9044988633261</v>
      </c>
      <c r="BB208" s="36"/>
      <c r="BC208" s="36"/>
      <c r="BD208" s="36">
        <v>1</v>
      </c>
      <c r="BE208" s="36"/>
      <c r="BF208" s="36" t="s">
        <v>212</v>
      </c>
      <c r="BG208" s="36">
        <v>1333314600</v>
      </c>
      <c r="BH208" s="36" t="s">
        <v>213</v>
      </c>
      <c r="BI208" s="36">
        <v>20</v>
      </c>
      <c r="BJ208" s="36">
        <v>20</v>
      </c>
      <c r="BK208" s="36"/>
      <c r="BL208" s="36" t="s">
        <v>214</v>
      </c>
      <c r="BM208" s="36"/>
      <c r="BN208" s="36"/>
    </row>
    <row r="209" spans="1:66" x14ac:dyDescent="0.35">
      <c r="A209" s="36"/>
      <c r="B209" s="36"/>
      <c r="C209" s="37">
        <v>244626</v>
      </c>
      <c r="D209" s="37">
        <v>244626</v>
      </c>
      <c r="E209" s="36"/>
      <c r="F209" s="36" t="s">
        <v>192</v>
      </c>
      <c r="G209" s="36" t="s">
        <v>1</v>
      </c>
      <c r="H209" s="36">
        <v>0</v>
      </c>
      <c r="I209" s="36" t="s">
        <v>193</v>
      </c>
      <c r="J209" s="36" t="s">
        <v>194</v>
      </c>
      <c r="K209" s="36" t="s">
        <v>195</v>
      </c>
      <c r="L209" s="36">
        <v>923</v>
      </c>
      <c r="M209" s="36"/>
      <c r="N209" s="36" t="s">
        <v>196</v>
      </c>
      <c r="O209" s="36" t="s">
        <v>197</v>
      </c>
      <c r="P209" s="36">
        <v>2</v>
      </c>
      <c r="Q209" s="36" t="s">
        <v>198</v>
      </c>
      <c r="R209" s="37">
        <v>244412</v>
      </c>
      <c r="S209" s="37">
        <v>244626</v>
      </c>
      <c r="T209" s="36" t="s">
        <v>626</v>
      </c>
      <c r="U209" s="36">
        <v>23058591</v>
      </c>
      <c r="V209" s="36" t="s">
        <v>35</v>
      </c>
      <c r="W209" s="36">
        <v>60</v>
      </c>
      <c r="X209" s="36">
        <v>60</v>
      </c>
      <c r="Y209" s="36">
        <v>60</v>
      </c>
      <c r="Z209" s="36">
        <v>60</v>
      </c>
      <c r="AA209" s="36">
        <v>0</v>
      </c>
      <c r="AB209" s="36">
        <v>0</v>
      </c>
      <c r="AC209" s="36">
        <v>0</v>
      </c>
      <c r="AD209" s="36">
        <v>0</v>
      </c>
      <c r="AE209" s="36">
        <v>60</v>
      </c>
      <c r="AF209" s="36">
        <v>60</v>
      </c>
      <c r="AG209" s="36"/>
      <c r="AH209" s="36"/>
      <c r="AI209" s="36" t="s">
        <v>200</v>
      </c>
      <c r="AJ209" s="36" t="s">
        <v>201</v>
      </c>
      <c r="AK209" s="36" t="s">
        <v>215</v>
      </c>
      <c r="AL209" s="36" t="s">
        <v>203</v>
      </c>
      <c r="AM209" s="36" t="s">
        <v>204</v>
      </c>
      <c r="AN209" s="36" t="s">
        <v>205</v>
      </c>
      <c r="AO209" s="36" t="s">
        <v>206</v>
      </c>
      <c r="AP209" s="36">
        <v>20</v>
      </c>
      <c r="AQ209" s="36">
        <v>1</v>
      </c>
      <c r="AR209" s="36"/>
      <c r="AS209" s="36"/>
      <c r="AT209" s="36" t="s">
        <v>627</v>
      </c>
      <c r="AU209" s="36" t="s">
        <v>628</v>
      </c>
      <c r="AV209" s="36" t="s">
        <v>209</v>
      </c>
      <c r="AW209" s="36" t="s">
        <v>209</v>
      </c>
      <c r="AX209" s="36" t="s">
        <v>210</v>
      </c>
      <c r="AY209" s="36">
        <v>0</v>
      </c>
      <c r="AZ209" s="36" t="s">
        <v>211</v>
      </c>
      <c r="BA209" s="36">
        <v>9044988633261</v>
      </c>
      <c r="BB209" s="36"/>
      <c r="BC209" s="36"/>
      <c r="BD209" s="36">
        <v>1</v>
      </c>
      <c r="BE209" s="36"/>
      <c r="BF209" s="36" t="s">
        <v>212</v>
      </c>
      <c r="BG209" s="36">
        <v>1333314600</v>
      </c>
      <c r="BH209" s="36" t="s">
        <v>213</v>
      </c>
      <c r="BI209" s="36">
        <v>60</v>
      </c>
      <c r="BJ209" s="36">
        <v>60</v>
      </c>
      <c r="BK209" s="36"/>
      <c r="BL209" s="36" t="s">
        <v>214</v>
      </c>
      <c r="BM209" s="36"/>
      <c r="BN209" s="36"/>
    </row>
    <row r="210" spans="1:66" x14ac:dyDescent="0.35">
      <c r="A210" s="36"/>
      <c r="B210" s="36"/>
      <c r="C210" s="37">
        <v>244626</v>
      </c>
      <c r="D210" s="37">
        <v>244626</v>
      </c>
      <c r="E210" s="36"/>
      <c r="F210" s="36" t="s">
        <v>192</v>
      </c>
      <c r="G210" s="36" t="s">
        <v>1</v>
      </c>
      <c r="H210" s="36">
        <v>0</v>
      </c>
      <c r="I210" s="36" t="s">
        <v>193</v>
      </c>
      <c r="J210" s="36" t="s">
        <v>194</v>
      </c>
      <c r="K210" s="36" t="s">
        <v>195</v>
      </c>
      <c r="L210" s="36">
        <v>923</v>
      </c>
      <c r="M210" s="36"/>
      <c r="N210" s="36" t="s">
        <v>196</v>
      </c>
      <c r="O210" s="36" t="s">
        <v>197</v>
      </c>
      <c r="P210" s="36">
        <v>2</v>
      </c>
      <c r="Q210" s="36" t="s">
        <v>198</v>
      </c>
      <c r="R210" s="37">
        <v>244412</v>
      </c>
      <c r="S210" s="37">
        <v>244626</v>
      </c>
      <c r="T210" s="36" t="s">
        <v>626</v>
      </c>
      <c r="U210" s="36">
        <v>23088036</v>
      </c>
      <c r="V210" s="36" t="s">
        <v>55</v>
      </c>
      <c r="W210" s="36">
        <v>60</v>
      </c>
      <c r="X210" s="36">
        <v>60</v>
      </c>
      <c r="Y210" s="36">
        <v>60</v>
      </c>
      <c r="Z210" s="36">
        <v>60</v>
      </c>
      <c r="AA210" s="36">
        <v>0</v>
      </c>
      <c r="AB210" s="36">
        <v>0</v>
      </c>
      <c r="AC210" s="36">
        <v>0</v>
      </c>
      <c r="AD210" s="36">
        <v>0</v>
      </c>
      <c r="AE210" s="36">
        <v>60</v>
      </c>
      <c r="AF210" s="36">
        <v>60</v>
      </c>
      <c r="AG210" s="36"/>
      <c r="AH210" s="36"/>
      <c r="AI210" s="36" t="s">
        <v>200</v>
      </c>
      <c r="AJ210" s="36" t="s">
        <v>201</v>
      </c>
      <c r="AK210" s="36" t="s">
        <v>202</v>
      </c>
      <c r="AL210" s="36" t="s">
        <v>203</v>
      </c>
      <c r="AM210" s="36" t="s">
        <v>204</v>
      </c>
      <c r="AN210" s="36" t="s">
        <v>205</v>
      </c>
      <c r="AO210" s="36" t="s">
        <v>206</v>
      </c>
      <c r="AP210" s="36">
        <v>20</v>
      </c>
      <c r="AQ210" s="36">
        <v>1</v>
      </c>
      <c r="AR210" s="36"/>
      <c r="AS210" s="36"/>
      <c r="AT210" s="36" t="s">
        <v>627</v>
      </c>
      <c r="AU210" s="36" t="s">
        <v>628</v>
      </c>
      <c r="AV210" s="36" t="s">
        <v>209</v>
      </c>
      <c r="AW210" s="36" t="s">
        <v>209</v>
      </c>
      <c r="AX210" s="36" t="s">
        <v>210</v>
      </c>
      <c r="AY210" s="36">
        <v>0</v>
      </c>
      <c r="AZ210" s="36" t="s">
        <v>211</v>
      </c>
      <c r="BA210" s="36">
        <v>9044988633261</v>
      </c>
      <c r="BB210" s="36"/>
      <c r="BC210" s="36"/>
      <c r="BD210" s="36">
        <v>1</v>
      </c>
      <c r="BE210" s="36"/>
      <c r="BF210" s="36" t="s">
        <v>212</v>
      </c>
      <c r="BG210" s="36">
        <v>1333314600</v>
      </c>
      <c r="BH210" s="36" t="s">
        <v>213</v>
      </c>
      <c r="BI210" s="36">
        <v>60</v>
      </c>
      <c r="BJ210" s="36">
        <v>60</v>
      </c>
      <c r="BK210" s="36"/>
      <c r="BL210" s="36" t="s">
        <v>214</v>
      </c>
      <c r="BM210" s="36"/>
      <c r="BN210" s="36"/>
    </row>
    <row r="211" spans="1:66" x14ac:dyDescent="0.35">
      <c r="A211" s="36"/>
      <c r="B211" s="36"/>
      <c r="C211" s="37">
        <v>244626</v>
      </c>
      <c r="D211" s="37">
        <v>244626</v>
      </c>
      <c r="E211" s="36"/>
      <c r="F211" s="36" t="s">
        <v>192</v>
      </c>
      <c r="G211" s="36" t="s">
        <v>1</v>
      </c>
      <c r="H211" s="36">
        <v>0</v>
      </c>
      <c r="I211" s="36" t="s">
        <v>193</v>
      </c>
      <c r="J211" s="36" t="s">
        <v>194</v>
      </c>
      <c r="K211" s="36" t="s">
        <v>195</v>
      </c>
      <c r="L211" s="36">
        <v>923</v>
      </c>
      <c r="M211" s="36"/>
      <c r="N211" s="36" t="s">
        <v>196</v>
      </c>
      <c r="O211" s="36" t="s">
        <v>197</v>
      </c>
      <c r="P211" s="36">
        <v>2</v>
      </c>
      <c r="Q211" s="36" t="s">
        <v>198</v>
      </c>
      <c r="R211" s="37">
        <v>244412</v>
      </c>
      <c r="S211" s="37">
        <v>244626</v>
      </c>
      <c r="T211" s="36" t="s">
        <v>626</v>
      </c>
      <c r="U211" s="36">
        <v>23062101</v>
      </c>
      <c r="V211" s="36" t="s">
        <v>109</v>
      </c>
      <c r="W211" s="36">
        <v>15</v>
      </c>
      <c r="X211" s="36">
        <v>15</v>
      </c>
      <c r="Y211" s="36">
        <v>15</v>
      </c>
      <c r="Z211" s="36">
        <v>15</v>
      </c>
      <c r="AA211" s="36">
        <v>0</v>
      </c>
      <c r="AB211" s="36">
        <v>0</v>
      </c>
      <c r="AC211" s="36">
        <v>0</v>
      </c>
      <c r="AD211" s="36">
        <v>0</v>
      </c>
      <c r="AE211" s="36">
        <v>15</v>
      </c>
      <c r="AF211" s="36">
        <v>15</v>
      </c>
      <c r="AG211" s="36"/>
      <c r="AH211" s="36"/>
      <c r="AI211" s="36" t="s">
        <v>200</v>
      </c>
      <c r="AJ211" s="36" t="s">
        <v>201</v>
      </c>
      <c r="AK211" s="36" t="s">
        <v>215</v>
      </c>
      <c r="AL211" s="36" t="s">
        <v>203</v>
      </c>
      <c r="AM211" s="36" t="s">
        <v>204</v>
      </c>
      <c r="AN211" s="36" t="s">
        <v>205</v>
      </c>
      <c r="AO211" s="36" t="s">
        <v>206</v>
      </c>
      <c r="AP211" s="36">
        <v>20</v>
      </c>
      <c r="AQ211" s="36">
        <v>1</v>
      </c>
      <c r="AR211" s="36"/>
      <c r="AS211" s="36"/>
      <c r="AT211" s="36" t="s">
        <v>627</v>
      </c>
      <c r="AU211" s="36" t="s">
        <v>628</v>
      </c>
      <c r="AV211" s="36" t="s">
        <v>209</v>
      </c>
      <c r="AW211" s="36" t="s">
        <v>209</v>
      </c>
      <c r="AX211" s="36" t="s">
        <v>210</v>
      </c>
      <c r="AY211" s="36">
        <v>0</v>
      </c>
      <c r="AZ211" s="36" t="s">
        <v>211</v>
      </c>
      <c r="BA211" s="36">
        <v>9044988633261</v>
      </c>
      <c r="BB211" s="36"/>
      <c r="BC211" s="36"/>
      <c r="BD211" s="36">
        <v>1</v>
      </c>
      <c r="BE211" s="36"/>
      <c r="BF211" s="36" t="s">
        <v>212</v>
      </c>
      <c r="BG211" s="36">
        <v>1333314600</v>
      </c>
      <c r="BH211" s="36" t="s">
        <v>213</v>
      </c>
      <c r="BI211" s="36">
        <v>15</v>
      </c>
      <c r="BJ211" s="36">
        <v>15</v>
      </c>
      <c r="BK211" s="36"/>
      <c r="BL211" s="36" t="s">
        <v>214</v>
      </c>
      <c r="BM211" s="36"/>
      <c r="BN211" s="36"/>
    </row>
    <row r="212" spans="1:66" x14ac:dyDescent="0.35">
      <c r="A212" s="36"/>
      <c r="B212" s="36"/>
      <c r="C212" s="37">
        <v>244626</v>
      </c>
      <c r="D212" s="37">
        <v>244626</v>
      </c>
      <c r="E212" s="36"/>
      <c r="F212" s="36" t="s">
        <v>192</v>
      </c>
      <c r="G212" s="36" t="s">
        <v>1</v>
      </c>
      <c r="H212" s="36">
        <v>0</v>
      </c>
      <c r="I212" s="36" t="s">
        <v>193</v>
      </c>
      <c r="J212" s="36" t="s">
        <v>194</v>
      </c>
      <c r="K212" s="36" t="s">
        <v>195</v>
      </c>
      <c r="L212" s="36">
        <v>923</v>
      </c>
      <c r="M212" s="36"/>
      <c r="N212" s="36" t="s">
        <v>196</v>
      </c>
      <c r="O212" s="36" t="s">
        <v>197</v>
      </c>
      <c r="P212" s="36">
        <v>2</v>
      </c>
      <c r="Q212" s="36" t="s">
        <v>198</v>
      </c>
      <c r="R212" s="37">
        <v>244412</v>
      </c>
      <c r="S212" s="37">
        <v>244626</v>
      </c>
      <c r="T212" s="36" t="s">
        <v>626</v>
      </c>
      <c r="U212" s="36">
        <v>23057827</v>
      </c>
      <c r="V212" s="36" t="s">
        <v>24</v>
      </c>
      <c r="W212" s="36">
        <v>120</v>
      </c>
      <c r="X212" s="36">
        <v>120</v>
      </c>
      <c r="Y212" s="36">
        <v>120</v>
      </c>
      <c r="Z212" s="36">
        <v>120</v>
      </c>
      <c r="AA212" s="36">
        <v>0</v>
      </c>
      <c r="AB212" s="36">
        <v>0</v>
      </c>
      <c r="AC212" s="36">
        <v>0</v>
      </c>
      <c r="AD212" s="36">
        <v>0</v>
      </c>
      <c r="AE212" s="36">
        <v>120</v>
      </c>
      <c r="AF212" s="36">
        <v>120</v>
      </c>
      <c r="AG212" s="36"/>
      <c r="AH212" s="36"/>
      <c r="AI212" s="36" t="s">
        <v>200</v>
      </c>
      <c r="AJ212" s="36" t="s">
        <v>201</v>
      </c>
      <c r="AK212" s="36" t="s">
        <v>202</v>
      </c>
      <c r="AL212" s="36" t="s">
        <v>203</v>
      </c>
      <c r="AM212" s="36" t="s">
        <v>204</v>
      </c>
      <c r="AN212" s="36" t="s">
        <v>205</v>
      </c>
      <c r="AO212" s="36" t="s">
        <v>206</v>
      </c>
      <c r="AP212" s="36">
        <v>20</v>
      </c>
      <c r="AQ212" s="36">
        <v>1</v>
      </c>
      <c r="AR212" s="36"/>
      <c r="AS212" s="36"/>
      <c r="AT212" s="36" t="s">
        <v>627</v>
      </c>
      <c r="AU212" s="36" t="s">
        <v>628</v>
      </c>
      <c r="AV212" s="36" t="s">
        <v>209</v>
      </c>
      <c r="AW212" s="36" t="s">
        <v>209</v>
      </c>
      <c r="AX212" s="36" t="s">
        <v>210</v>
      </c>
      <c r="AY212" s="36">
        <v>0</v>
      </c>
      <c r="AZ212" s="36" t="s">
        <v>211</v>
      </c>
      <c r="BA212" s="36">
        <v>9044988633261</v>
      </c>
      <c r="BB212" s="36"/>
      <c r="BC212" s="36"/>
      <c r="BD212" s="36">
        <v>1</v>
      </c>
      <c r="BE212" s="36"/>
      <c r="BF212" s="36" t="s">
        <v>212</v>
      </c>
      <c r="BG212" s="36">
        <v>1333314600</v>
      </c>
      <c r="BH212" s="36" t="s">
        <v>213</v>
      </c>
      <c r="BI212" s="36">
        <v>120</v>
      </c>
      <c r="BJ212" s="36">
        <v>120</v>
      </c>
      <c r="BK212" s="36"/>
      <c r="BL212" s="36" t="s">
        <v>214</v>
      </c>
      <c r="BM212" s="36"/>
      <c r="BN212" s="36"/>
    </row>
    <row r="213" spans="1:66" x14ac:dyDescent="0.35">
      <c r="A213" s="36"/>
      <c r="B213" s="36"/>
      <c r="C213" s="37">
        <v>244626</v>
      </c>
      <c r="D213" s="37">
        <v>244626</v>
      </c>
      <c r="E213" s="36"/>
      <c r="F213" s="36" t="s">
        <v>192</v>
      </c>
      <c r="G213" s="36" t="s">
        <v>1</v>
      </c>
      <c r="H213" s="36">
        <v>0</v>
      </c>
      <c r="I213" s="36" t="s">
        <v>193</v>
      </c>
      <c r="J213" s="36" t="s">
        <v>194</v>
      </c>
      <c r="K213" s="36" t="s">
        <v>195</v>
      </c>
      <c r="L213" s="36">
        <v>923</v>
      </c>
      <c r="M213" s="36"/>
      <c r="N213" s="36" t="s">
        <v>196</v>
      </c>
      <c r="O213" s="36" t="s">
        <v>197</v>
      </c>
      <c r="P213" s="36">
        <v>2</v>
      </c>
      <c r="Q213" s="36" t="s">
        <v>198</v>
      </c>
      <c r="R213" s="37">
        <v>244412</v>
      </c>
      <c r="S213" s="37">
        <v>244626</v>
      </c>
      <c r="T213" s="36" t="s">
        <v>626</v>
      </c>
      <c r="U213" s="36">
        <v>23058552</v>
      </c>
      <c r="V213" s="36" t="s">
        <v>26</v>
      </c>
      <c r="W213" s="36">
        <v>10</v>
      </c>
      <c r="X213" s="36">
        <v>10</v>
      </c>
      <c r="Y213" s="36">
        <v>10</v>
      </c>
      <c r="Z213" s="36">
        <v>10</v>
      </c>
      <c r="AA213" s="36">
        <v>0</v>
      </c>
      <c r="AB213" s="36">
        <v>0</v>
      </c>
      <c r="AC213" s="36">
        <v>0</v>
      </c>
      <c r="AD213" s="36">
        <v>0</v>
      </c>
      <c r="AE213" s="36">
        <v>10</v>
      </c>
      <c r="AF213" s="36">
        <v>10</v>
      </c>
      <c r="AG213" s="36"/>
      <c r="AH213" s="36"/>
      <c r="AI213" s="36" t="s">
        <v>200</v>
      </c>
      <c r="AJ213" s="36" t="s">
        <v>201</v>
      </c>
      <c r="AK213" s="36" t="s">
        <v>215</v>
      </c>
      <c r="AL213" s="36" t="s">
        <v>203</v>
      </c>
      <c r="AM213" s="36" t="s">
        <v>204</v>
      </c>
      <c r="AN213" s="36" t="s">
        <v>205</v>
      </c>
      <c r="AO213" s="36" t="s">
        <v>206</v>
      </c>
      <c r="AP213" s="36">
        <v>20</v>
      </c>
      <c r="AQ213" s="36">
        <v>1</v>
      </c>
      <c r="AR213" s="36"/>
      <c r="AS213" s="36"/>
      <c r="AT213" s="36" t="s">
        <v>627</v>
      </c>
      <c r="AU213" s="36" t="s">
        <v>628</v>
      </c>
      <c r="AV213" s="36" t="s">
        <v>209</v>
      </c>
      <c r="AW213" s="36" t="s">
        <v>209</v>
      </c>
      <c r="AX213" s="36" t="s">
        <v>210</v>
      </c>
      <c r="AY213" s="36">
        <v>0</v>
      </c>
      <c r="AZ213" s="36" t="s">
        <v>211</v>
      </c>
      <c r="BA213" s="36">
        <v>9044988633261</v>
      </c>
      <c r="BB213" s="36"/>
      <c r="BC213" s="36"/>
      <c r="BD213" s="36">
        <v>1</v>
      </c>
      <c r="BE213" s="36"/>
      <c r="BF213" s="36" t="s">
        <v>212</v>
      </c>
      <c r="BG213" s="36">
        <v>1333314600</v>
      </c>
      <c r="BH213" s="36" t="s">
        <v>213</v>
      </c>
      <c r="BI213" s="36">
        <v>10</v>
      </c>
      <c r="BJ213" s="36">
        <v>10</v>
      </c>
      <c r="BK213" s="36"/>
      <c r="BL213" s="36" t="s">
        <v>214</v>
      </c>
      <c r="BM213" s="36"/>
      <c r="BN213" s="36"/>
    </row>
    <row r="214" spans="1:66" x14ac:dyDescent="0.35">
      <c r="A214" s="36"/>
      <c r="B214" s="36"/>
      <c r="C214" s="37">
        <v>244626</v>
      </c>
      <c r="D214" s="37">
        <v>244626</v>
      </c>
      <c r="E214" s="36"/>
      <c r="F214" s="36" t="s">
        <v>192</v>
      </c>
      <c r="G214" s="36" t="s">
        <v>1</v>
      </c>
      <c r="H214" s="36">
        <v>0</v>
      </c>
      <c r="I214" s="36" t="s">
        <v>193</v>
      </c>
      <c r="J214" s="36" t="s">
        <v>194</v>
      </c>
      <c r="K214" s="36" t="s">
        <v>195</v>
      </c>
      <c r="L214" s="36">
        <v>923</v>
      </c>
      <c r="M214" s="36"/>
      <c r="N214" s="36" t="s">
        <v>196</v>
      </c>
      <c r="O214" s="36" t="s">
        <v>197</v>
      </c>
      <c r="P214" s="36">
        <v>2</v>
      </c>
      <c r="Q214" s="36" t="s">
        <v>198</v>
      </c>
      <c r="R214" s="37">
        <v>244412</v>
      </c>
      <c r="S214" s="37">
        <v>244626</v>
      </c>
      <c r="T214" s="36" t="s">
        <v>626</v>
      </c>
      <c r="U214" s="36">
        <v>23067590</v>
      </c>
      <c r="V214" s="36" t="s">
        <v>113</v>
      </c>
      <c r="W214" s="36">
        <v>20</v>
      </c>
      <c r="X214" s="36">
        <v>20</v>
      </c>
      <c r="Y214" s="36">
        <v>20</v>
      </c>
      <c r="Z214" s="36">
        <v>20</v>
      </c>
      <c r="AA214" s="36">
        <v>0</v>
      </c>
      <c r="AB214" s="36">
        <v>0</v>
      </c>
      <c r="AC214" s="36">
        <v>0</v>
      </c>
      <c r="AD214" s="36">
        <v>0</v>
      </c>
      <c r="AE214" s="36">
        <v>20</v>
      </c>
      <c r="AF214" s="36">
        <v>20</v>
      </c>
      <c r="AG214" s="36"/>
      <c r="AH214" s="36"/>
      <c r="AI214" s="36" t="s">
        <v>200</v>
      </c>
      <c r="AJ214" s="36" t="s">
        <v>201</v>
      </c>
      <c r="AK214" s="36" t="s">
        <v>215</v>
      </c>
      <c r="AL214" s="36" t="s">
        <v>203</v>
      </c>
      <c r="AM214" s="36" t="s">
        <v>204</v>
      </c>
      <c r="AN214" s="36" t="s">
        <v>205</v>
      </c>
      <c r="AO214" s="36" t="s">
        <v>206</v>
      </c>
      <c r="AP214" s="36">
        <v>20</v>
      </c>
      <c r="AQ214" s="36">
        <v>1</v>
      </c>
      <c r="AR214" s="36"/>
      <c r="AS214" s="36"/>
      <c r="AT214" s="36" t="s">
        <v>627</v>
      </c>
      <c r="AU214" s="36" t="s">
        <v>628</v>
      </c>
      <c r="AV214" s="36" t="s">
        <v>209</v>
      </c>
      <c r="AW214" s="36" t="s">
        <v>209</v>
      </c>
      <c r="AX214" s="36" t="s">
        <v>210</v>
      </c>
      <c r="AY214" s="36">
        <v>0</v>
      </c>
      <c r="AZ214" s="36" t="s">
        <v>211</v>
      </c>
      <c r="BA214" s="36">
        <v>9044988633261</v>
      </c>
      <c r="BB214" s="36"/>
      <c r="BC214" s="36"/>
      <c r="BD214" s="36">
        <v>1</v>
      </c>
      <c r="BE214" s="36"/>
      <c r="BF214" s="36" t="s">
        <v>212</v>
      </c>
      <c r="BG214" s="36">
        <v>1333314600</v>
      </c>
      <c r="BH214" s="36" t="s">
        <v>213</v>
      </c>
      <c r="BI214" s="36">
        <v>20</v>
      </c>
      <c r="BJ214" s="36">
        <v>20</v>
      </c>
      <c r="BK214" s="36"/>
      <c r="BL214" s="36" t="s">
        <v>214</v>
      </c>
      <c r="BM214" s="36"/>
      <c r="BN214" s="36"/>
    </row>
    <row r="215" spans="1:66" x14ac:dyDescent="0.35">
      <c r="A215" s="36"/>
      <c r="B215" s="36"/>
      <c r="C215" s="37">
        <v>244626</v>
      </c>
      <c r="D215" s="37">
        <v>244626</v>
      </c>
      <c r="E215" s="36"/>
      <c r="F215" s="36" t="s">
        <v>192</v>
      </c>
      <c r="G215" s="36" t="s">
        <v>1</v>
      </c>
      <c r="H215" s="36">
        <v>0</v>
      </c>
      <c r="I215" s="36" t="s">
        <v>193</v>
      </c>
      <c r="J215" s="36" t="s">
        <v>194</v>
      </c>
      <c r="K215" s="36" t="s">
        <v>195</v>
      </c>
      <c r="L215" s="36">
        <v>923</v>
      </c>
      <c r="M215" s="36"/>
      <c r="N215" s="36" t="s">
        <v>196</v>
      </c>
      <c r="O215" s="36" t="s">
        <v>197</v>
      </c>
      <c r="P215" s="36">
        <v>2</v>
      </c>
      <c r="Q215" s="36" t="s">
        <v>198</v>
      </c>
      <c r="R215" s="37">
        <v>244412</v>
      </c>
      <c r="S215" s="37">
        <v>244626</v>
      </c>
      <c r="T215" s="36" t="s">
        <v>626</v>
      </c>
      <c r="U215" s="36">
        <v>23104868</v>
      </c>
      <c r="V215" s="36" t="s">
        <v>71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  <c r="AB215" s="36">
        <v>0</v>
      </c>
      <c r="AC215" s="36">
        <v>0</v>
      </c>
      <c r="AD215" s="36">
        <v>0</v>
      </c>
      <c r="AE215" s="36">
        <v>0</v>
      </c>
      <c r="AF215" s="36">
        <v>0</v>
      </c>
      <c r="AG215" s="36"/>
      <c r="AH215" s="36"/>
      <c r="AI215" s="36" t="s">
        <v>200</v>
      </c>
      <c r="AJ215" s="36" t="s">
        <v>201</v>
      </c>
      <c r="AK215" s="36" t="s">
        <v>202</v>
      </c>
      <c r="AL215" s="36" t="s">
        <v>203</v>
      </c>
      <c r="AM215" s="36" t="s">
        <v>204</v>
      </c>
      <c r="AN215" s="36" t="s">
        <v>205</v>
      </c>
      <c r="AO215" s="36" t="s">
        <v>206</v>
      </c>
      <c r="AP215" s="36">
        <v>20</v>
      </c>
      <c r="AQ215" s="36">
        <v>1</v>
      </c>
      <c r="AR215" s="36"/>
      <c r="AS215" s="36"/>
      <c r="AT215" s="36" t="s">
        <v>627</v>
      </c>
      <c r="AU215" s="36" t="s">
        <v>628</v>
      </c>
      <c r="AV215" s="36" t="s">
        <v>217</v>
      </c>
      <c r="AW215" s="36" t="s">
        <v>209</v>
      </c>
      <c r="AX215" s="36" t="s">
        <v>210</v>
      </c>
      <c r="AY215" s="36">
        <v>0</v>
      </c>
      <c r="AZ215" s="36" t="s">
        <v>211</v>
      </c>
      <c r="BA215" s="36">
        <v>9044988633261</v>
      </c>
      <c r="BB215" s="36"/>
      <c r="BC215" s="36"/>
      <c r="BD215" s="36">
        <v>1</v>
      </c>
      <c r="BE215" s="36"/>
      <c r="BF215" s="36" t="s">
        <v>212</v>
      </c>
      <c r="BG215" s="36">
        <v>1333314600</v>
      </c>
      <c r="BH215" s="36" t="s">
        <v>213</v>
      </c>
      <c r="BI215" s="36">
        <v>0</v>
      </c>
      <c r="BJ215" s="36">
        <v>0</v>
      </c>
      <c r="BK215" s="36"/>
      <c r="BL215" s="36" t="s">
        <v>214</v>
      </c>
      <c r="BM215" s="36"/>
      <c r="BN215" s="36"/>
    </row>
    <row r="216" spans="1:66" x14ac:dyDescent="0.35">
      <c r="A216" s="36"/>
      <c r="B216" s="36"/>
      <c r="C216" s="37">
        <v>244626</v>
      </c>
      <c r="D216" s="37">
        <v>244626</v>
      </c>
      <c r="E216" s="36"/>
      <c r="F216" s="36" t="s">
        <v>192</v>
      </c>
      <c r="G216" s="36" t="s">
        <v>1</v>
      </c>
      <c r="H216" s="36">
        <v>0</v>
      </c>
      <c r="I216" s="36" t="s">
        <v>193</v>
      </c>
      <c r="J216" s="36" t="s">
        <v>194</v>
      </c>
      <c r="K216" s="36" t="s">
        <v>195</v>
      </c>
      <c r="L216" s="36">
        <v>923</v>
      </c>
      <c r="M216" s="36"/>
      <c r="N216" s="36" t="s">
        <v>196</v>
      </c>
      <c r="O216" s="36" t="s">
        <v>197</v>
      </c>
      <c r="P216" s="36">
        <v>2</v>
      </c>
      <c r="Q216" s="36" t="s">
        <v>198</v>
      </c>
      <c r="R216" s="37">
        <v>244412</v>
      </c>
      <c r="S216" s="37">
        <v>244626</v>
      </c>
      <c r="T216" s="36" t="s">
        <v>626</v>
      </c>
      <c r="U216" s="36">
        <v>23057821</v>
      </c>
      <c r="V216" s="36" t="s">
        <v>22</v>
      </c>
      <c r="W216" s="36">
        <v>160</v>
      </c>
      <c r="X216" s="36">
        <v>160</v>
      </c>
      <c r="Y216" s="36">
        <v>160</v>
      </c>
      <c r="Z216" s="36">
        <v>160</v>
      </c>
      <c r="AA216" s="36">
        <v>0</v>
      </c>
      <c r="AB216" s="36">
        <v>0</v>
      </c>
      <c r="AC216" s="36">
        <v>0</v>
      </c>
      <c r="AD216" s="36">
        <v>0</v>
      </c>
      <c r="AE216" s="36">
        <v>160</v>
      </c>
      <c r="AF216" s="36">
        <v>160</v>
      </c>
      <c r="AG216" s="36"/>
      <c r="AH216" s="36"/>
      <c r="AI216" s="36" t="s">
        <v>200</v>
      </c>
      <c r="AJ216" s="36" t="s">
        <v>201</v>
      </c>
      <c r="AK216" s="36" t="s">
        <v>202</v>
      </c>
      <c r="AL216" s="36" t="s">
        <v>203</v>
      </c>
      <c r="AM216" s="36" t="s">
        <v>204</v>
      </c>
      <c r="AN216" s="36" t="s">
        <v>205</v>
      </c>
      <c r="AO216" s="36" t="s">
        <v>206</v>
      </c>
      <c r="AP216" s="36">
        <v>20</v>
      </c>
      <c r="AQ216" s="36">
        <v>1</v>
      </c>
      <c r="AR216" s="36"/>
      <c r="AS216" s="36"/>
      <c r="AT216" s="36" t="s">
        <v>627</v>
      </c>
      <c r="AU216" s="36" t="s">
        <v>628</v>
      </c>
      <c r="AV216" s="36" t="s">
        <v>209</v>
      </c>
      <c r="AW216" s="36" t="s">
        <v>209</v>
      </c>
      <c r="AX216" s="36" t="s">
        <v>210</v>
      </c>
      <c r="AY216" s="36">
        <v>0</v>
      </c>
      <c r="AZ216" s="36" t="s">
        <v>211</v>
      </c>
      <c r="BA216" s="36">
        <v>9044988633261</v>
      </c>
      <c r="BB216" s="36"/>
      <c r="BC216" s="36"/>
      <c r="BD216" s="36">
        <v>1</v>
      </c>
      <c r="BE216" s="36"/>
      <c r="BF216" s="36" t="s">
        <v>212</v>
      </c>
      <c r="BG216" s="36">
        <v>1333314600</v>
      </c>
      <c r="BH216" s="36" t="s">
        <v>213</v>
      </c>
      <c r="BI216" s="36">
        <v>160</v>
      </c>
      <c r="BJ216" s="36">
        <v>160</v>
      </c>
      <c r="BK216" s="36"/>
      <c r="BL216" s="36" t="s">
        <v>214</v>
      </c>
      <c r="BM216" s="36"/>
      <c r="BN216" s="36"/>
    </row>
    <row r="217" spans="1:66" x14ac:dyDescent="0.35">
      <c r="A217" s="36"/>
      <c r="B217" s="36"/>
      <c r="C217" s="37">
        <v>244626</v>
      </c>
      <c r="D217" s="37">
        <v>244626</v>
      </c>
      <c r="E217" s="36"/>
      <c r="F217" s="36" t="s">
        <v>192</v>
      </c>
      <c r="G217" s="36" t="s">
        <v>1</v>
      </c>
      <c r="H217" s="36">
        <v>0</v>
      </c>
      <c r="I217" s="36" t="s">
        <v>193</v>
      </c>
      <c r="J217" s="36" t="s">
        <v>194</v>
      </c>
      <c r="K217" s="36" t="s">
        <v>195</v>
      </c>
      <c r="L217" s="36">
        <v>923</v>
      </c>
      <c r="M217" s="36"/>
      <c r="N217" s="36" t="s">
        <v>196</v>
      </c>
      <c r="O217" s="36" t="s">
        <v>197</v>
      </c>
      <c r="P217" s="36">
        <v>2</v>
      </c>
      <c r="Q217" s="36" t="s">
        <v>198</v>
      </c>
      <c r="R217" s="37">
        <v>244412</v>
      </c>
      <c r="S217" s="37">
        <v>244626</v>
      </c>
      <c r="T217" s="36" t="s">
        <v>626</v>
      </c>
      <c r="U217" s="36">
        <v>23073188</v>
      </c>
      <c r="V217" s="36" t="s">
        <v>50</v>
      </c>
      <c r="W217" s="36">
        <v>30</v>
      </c>
      <c r="X217" s="36">
        <v>30</v>
      </c>
      <c r="Y217" s="36">
        <v>30</v>
      </c>
      <c r="Z217" s="36">
        <v>30</v>
      </c>
      <c r="AA217" s="36">
        <v>0</v>
      </c>
      <c r="AB217" s="36">
        <v>0</v>
      </c>
      <c r="AC217" s="36">
        <v>0</v>
      </c>
      <c r="AD217" s="36">
        <v>0</v>
      </c>
      <c r="AE217" s="36">
        <v>30</v>
      </c>
      <c r="AF217" s="36">
        <v>30</v>
      </c>
      <c r="AG217" s="36"/>
      <c r="AH217" s="36"/>
      <c r="AI217" s="36" t="s">
        <v>200</v>
      </c>
      <c r="AJ217" s="36" t="s">
        <v>201</v>
      </c>
      <c r="AK217" s="36" t="s">
        <v>215</v>
      </c>
      <c r="AL217" s="36" t="s">
        <v>203</v>
      </c>
      <c r="AM217" s="36" t="s">
        <v>204</v>
      </c>
      <c r="AN217" s="36" t="s">
        <v>205</v>
      </c>
      <c r="AO217" s="36" t="s">
        <v>206</v>
      </c>
      <c r="AP217" s="36">
        <v>20</v>
      </c>
      <c r="AQ217" s="36">
        <v>1</v>
      </c>
      <c r="AR217" s="36"/>
      <c r="AS217" s="36"/>
      <c r="AT217" s="36" t="s">
        <v>627</v>
      </c>
      <c r="AU217" s="36" t="s">
        <v>628</v>
      </c>
      <c r="AV217" s="36" t="s">
        <v>209</v>
      </c>
      <c r="AW217" s="36" t="s">
        <v>209</v>
      </c>
      <c r="AX217" s="36" t="s">
        <v>210</v>
      </c>
      <c r="AY217" s="36">
        <v>0</v>
      </c>
      <c r="AZ217" s="36" t="s">
        <v>211</v>
      </c>
      <c r="BA217" s="36">
        <v>9044988633261</v>
      </c>
      <c r="BB217" s="36"/>
      <c r="BC217" s="36"/>
      <c r="BD217" s="36">
        <v>1</v>
      </c>
      <c r="BE217" s="36"/>
      <c r="BF217" s="36" t="s">
        <v>212</v>
      </c>
      <c r="BG217" s="36">
        <v>1333314600</v>
      </c>
      <c r="BH217" s="36" t="s">
        <v>213</v>
      </c>
      <c r="BI217" s="36">
        <v>30</v>
      </c>
      <c r="BJ217" s="36">
        <v>30</v>
      </c>
      <c r="BK217" s="36"/>
      <c r="BL217" s="36" t="s">
        <v>214</v>
      </c>
      <c r="BM217" s="36"/>
      <c r="BN217" s="36"/>
    </row>
    <row r="218" spans="1:66" x14ac:dyDescent="0.35">
      <c r="A218" s="36"/>
      <c r="B218" s="36"/>
      <c r="C218" s="37">
        <v>244626</v>
      </c>
      <c r="D218" s="37">
        <v>244626</v>
      </c>
      <c r="E218" s="36"/>
      <c r="F218" s="36" t="s">
        <v>192</v>
      </c>
      <c r="G218" s="36" t="s">
        <v>1</v>
      </c>
      <c r="H218" s="36">
        <v>0</v>
      </c>
      <c r="I218" s="36" t="s">
        <v>193</v>
      </c>
      <c r="J218" s="36" t="s">
        <v>194</v>
      </c>
      <c r="K218" s="36" t="s">
        <v>195</v>
      </c>
      <c r="L218" s="36">
        <v>923</v>
      </c>
      <c r="M218" s="36"/>
      <c r="N218" s="36" t="s">
        <v>196</v>
      </c>
      <c r="O218" s="36" t="s">
        <v>197</v>
      </c>
      <c r="P218" s="36">
        <v>2</v>
      </c>
      <c r="Q218" s="36" t="s">
        <v>198</v>
      </c>
      <c r="R218" s="37">
        <v>244412</v>
      </c>
      <c r="S218" s="37">
        <v>244626</v>
      </c>
      <c r="T218" s="36" t="s">
        <v>626</v>
      </c>
      <c r="U218" s="36">
        <v>23109326</v>
      </c>
      <c r="V218" s="36" t="s">
        <v>78</v>
      </c>
      <c r="W218" s="36">
        <v>120</v>
      </c>
      <c r="X218" s="36">
        <v>120</v>
      </c>
      <c r="Y218" s="36">
        <v>120</v>
      </c>
      <c r="Z218" s="36">
        <v>120</v>
      </c>
      <c r="AA218" s="36">
        <v>0</v>
      </c>
      <c r="AB218" s="36">
        <v>0</v>
      </c>
      <c r="AC218" s="36">
        <v>0</v>
      </c>
      <c r="AD218" s="36">
        <v>0</v>
      </c>
      <c r="AE218" s="36">
        <v>120</v>
      </c>
      <c r="AF218" s="36">
        <v>120</v>
      </c>
      <c r="AG218" s="36"/>
      <c r="AH218" s="36"/>
      <c r="AI218" s="36" t="s">
        <v>200</v>
      </c>
      <c r="AJ218" s="36" t="s">
        <v>201</v>
      </c>
      <c r="AK218" s="36" t="s">
        <v>215</v>
      </c>
      <c r="AL218" s="36" t="s">
        <v>203</v>
      </c>
      <c r="AM218" s="36" t="s">
        <v>204</v>
      </c>
      <c r="AN218" s="36" t="s">
        <v>205</v>
      </c>
      <c r="AO218" s="36" t="s">
        <v>206</v>
      </c>
      <c r="AP218" s="36">
        <v>20</v>
      </c>
      <c r="AQ218" s="36">
        <v>1</v>
      </c>
      <c r="AR218" s="36"/>
      <c r="AS218" s="36"/>
      <c r="AT218" s="36" t="s">
        <v>627</v>
      </c>
      <c r="AU218" s="36" t="s">
        <v>628</v>
      </c>
      <c r="AV218" s="36" t="s">
        <v>209</v>
      </c>
      <c r="AW218" s="36" t="s">
        <v>209</v>
      </c>
      <c r="AX218" s="36" t="s">
        <v>210</v>
      </c>
      <c r="AY218" s="36">
        <v>0</v>
      </c>
      <c r="AZ218" s="36" t="s">
        <v>211</v>
      </c>
      <c r="BA218" s="36">
        <v>9044988633261</v>
      </c>
      <c r="BB218" s="36"/>
      <c r="BC218" s="36"/>
      <c r="BD218" s="36">
        <v>1</v>
      </c>
      <c r="BE218" s="36"/>
      <c r="BF218" s="36" t="s">
        <v>212</v>
      </c>
      <c r="BG218" s="36">
        <v>1333314600</v>
      </c>
      <c r="BH218" s="36" t="s">
        <v>213</v>
      </c>
      <c r="BI218" s="36">
        <v>120</v>
      </c>
      <c r="BJ218" s="36">
        <v>120</v>
      </c>
      <c r="BK218" s="36"/>
      <c r="BL218" s="36" t="s">
        <v>214</v>
      </c>
      <c r="BM218" s="36"/>
      <c r="BN218" s="36"/>
    </row>
    <row r="219" spans="1:66" x14ac:dyDescent="0.35">
      <c r="A219" s="36"/>
      <c r="B219" s="36"/>
      <c r="C219" s="37">
        <v>244626</v>
      </c>
      <c r="D219" s="37">
        <v>244626</v>
      </c>
      <c r="E219" s="36"/>
      <c r="F219" s="36" t="s">
        <v>192</v>
      </c>
      <c r="G219" s="36" t="s">
        <v>1</v>
      </c>
      <c r="H219" s="36">
        <v>0</v>
      </c>
      <c r="I219" s="36" t="s">
        <v>193</v>
      </c>
      <c r="J219" s="36" t="s">
        <v>194</v>
      </c>
      <c r="K219" s="36" t="s">
        <v>195</v>
      </c>
      <c r="L219" s="36">
        <v>923</v>
      </c>
      <c r="M219" s="36"/>
      <c r="N219" s="36" t="s">
        <v>196</v>
      </c>
      <c r="O219" s="36" t="s">
        <v>197</v>
      </c>
      <c r="P219" s="36">
        <v>2</v>
      </c>
      <c r="Q219" s="36" t="s">
        <v>198</v>
      </c>
      <c r="R219" s="37">
        <v>244412</v>
      </c>
      <c r="S219" s="37">
        <v>244626</v>
      </c>
      <c r="T219" s="36" t="s">
        <v>626</v>
      </c>
      <c r="U219" s="36">
        <v>23057815</v>
      </c>
      <c r="V219" s="36" t="s">
        <v>20</v>
      </c>
      <c r="W219" s="36">
        <v>200</v>
      </c>
      <c r="X219" s="36">
        <v>200</v>
      </c>
      <c r="Y219" s="36">
        <v>200</v>
      </c>
      <c r="Z219" s="36">
        <v>200</v>
      </c>
      <c r="AA219" s="36">
        <v>0</v>
      </c>
      <c r="AB219" s="36">
        <v>0</v>
      </c>
      <c r="AC219" s="36">
        <v>0</v>
      </c>
      <c r="AD219" s="36">
        <v>0</v>
      </c>
      <c r="AE219" s="36">
        <v>200</v>
      </c>
      <c r="AF219" s="36">
        <v>200</v>
      </c>
      <c r="AG219" s="36"/>
      <c r="AH219" s="36"/>
      <c r="AI219" s="36" t="s">
        <v>200</v>
      </c>
      <c r="AJ219" s="36" t="s">
        <v>201</v>
      </c>
      <c r="AK219" s="36" t="s">
        <v>202</v>
      </c>
      <c r="AL219" s="36" t="s">
        <v>203</v>
      </c>
      <c r="AM219" s="36" t="s">
        <v>204</v>
      </c>
      <c r="AN219" s="36" t="s">
        <v>205</v>
      </c>
      <c r="AO219" s="36" t="s">
        <v>206</v>
      </c>
      <c r="AP219" s="36">
        <v>20</v>
      </c>
      <c r="AQ219" s="36">
        <v>1</v>
      </c>
      <c r="AR219" s="36"/>
      <c r="AS219" s="36"/>
      <c r="AT219" s="36" t="s">
        <v>627</v>
      </c>
      <c r="AU219" s="36" t="s">
        <v>628</v>
      </c>
      <c r="AV219" s="36" t="s">
        <v>209</v>
      </c>
      <c r="AW219" s="36" t="s">
        <v>209</v>
      </c>
      <c r="AX219" s="36" t="s">
        <v>210</v>
      </c>
      <c r="AY219" s="36">
        <v>0</v>
      </c>
      <c r="AZ219" s="36" t="s">
        <v>211</v>
      </c>
      <c r="BA219" s="36">
        <v>9044988633261</v>
      </c>
      <c r="BB219" s="36"/>
      <c r="BC219" s="36"/>
      <c r="BD219" s="36">
        <v>1</v>
      </c>
      <c r="BE219" s="36"/>
      <c r="BF219" s="36" t="s">
        <v>212</v>
      </c>
      <c r="BG219" s="36">
        <v>1333314600</v>
      </c>
      <c r="BH219" s="36" t="s">
        <v>213</v>
      </c>
      <c r="BI219" s="36">
        <v>200</v>
      </c>
      <c r="BJ219" s="36">
        <v>200</v>
      </c>
      <c r="BK219" s="36"/>
      <c r="BL219" s="36" t="s">
        <v>214</v>
      </c>
      <c r="BM219" s="36"/>
      <c r="BN219" s="36"/>
    </row>
    <row r="220" spans="1:66" x14ac:dyDescent="0.35">
      <c r="A220" s="36"/>
      <c r="B220" s="36"/>
      <c r="C220" s="37">
        <v>244626</v>
      </c>
      <c r="D220" s="37">
        <v>244626</v>
      </c>
      <c r="E220" s="36"/>
      <c r="F220" s="36" t="s">
        <v>192</v>
      </c>
      <c r="G220" s="36" t="s">
        <v>1</v>
      </c>
      <c r="H220" s="36">
        <v>0</v>
      </c>
      <c r="I220" s="36" t="s">
        <v>193</v>
      </c>
      <c r="J220" s="36" t="s">
        <v>194</v>
      </c>
      <c r="K220" s="36" t="s">
        <v>195</v>
      </c>
      <c r="L220" s="36">
        <v>923</v>
      </c>
      <c r="M220" s="36"/>
      <c r="N220" s="36" t="s">
        <v>196</v>
      </c>
      <c r="O220" s="36" t="s">
        <v>197</v>
      </c>
      <c r="P220" s="36">
        <v>2</v>
      </c>
      <c r="Q220" s="36" t="s">
        <v>198</v>
      </c>
      <c r="R220" s="37">
        <v>244412</v>
      </c>
      <c r="S220" s="37">
        <v>244626</v>
      </c>
      <c r="T220" s="36" t="s">
        <v>626</v>
      </c>
      <c r="U220" s="36">
        <v>23057812</v>
      </c>
      <c r="V220" s="36" t="s">
        <v>19</v>
      </c>
      <c r="W220" s="36">
        <v>500</v>
      </c>
      <c r="X220" s="36">
        <v>500</v>
      </c>
      <c r="Y220" s="36">
        <v>500</v>
      </c>
      <c r="Z220" s="36">
        <v>500</v>
      </c>
      <c r="AA220" s="36">
        <v>0</v>
      </c>
      <c r="AB220" s="36">
        <v>0</v>
      </c>
      <c r="AC220" s="36">
        <v>0</v>
      </c>
      <c r="AD220" s="36">
        <v>0</v>
      </c>
      <c r="AE220" s="36">
        <v>500</v>
      </c>
      <c r="AF220" s="36">
        <v>500</v>
      </c>
      <c r="AG220" s="36"/>
      <c r="AH220" s="36"/>
      <c r="AI220" s="36" t="s">
        <v>200</v>
      </c>
      <c r="AJ220" s="36" t="s">
        <v>201</v>
      </c>
      <c r="AK220" s="36" t="s">
        <v>202</v>
      </c>
      <c r="AL220" s="36" t="s">
        <v>203</v>
      </c>
      <c r="AM220" s="36" t="s">
        <v>204</v>
      </c>
      <c r="AN220" s="36" t="s">
        <v>205</v>
      </c>
      <c r="AO220" s="36" t="s">
        <v>206</v>
      </c>
      <c r="AP220" s="36">
        <v>20</v>
      </c>
      <c r="AQ220" s="36">
        <v>1</v>
      </c>
      <c r="AR220" s="36"/>
      <c r="AS220" s="36"/>
      <c r="AT220" s="36" t="s">
        <v>627</v>
      </c>
      <c r="AU220" s="36" t="s">
        <v>628</v>
      </c>
      <c r="AV220" s="36" t="s">
        <v>209</v>
      </c>
      <c r="AW220" s="36" t="s">
        <v>209</v>
      </c>
      <c r="AX220" s="36" t="s">
        <v>210</v>
      </c>
      <c r="AY220" s="36">
        <v>0</v>
      </c>
      <c r="AZ220" s="36" t="s">
        <v>211</v>
      </c>
      <c r="BA220" s="36">
        <v>9044988633261</v>
      </c>
      <c r="BB220" s="36"/>
      <c r="BC220" s="36"/>
      <c r="BD220" s="36">
        <v>1</v>
      </c>
      <c r="BE220" s="36"/>
      <c r="BF220" s="36" t="s">
        <v>212</v>
      </c>
      <c r="BG220" s="36">
        <v>1333314600</v>
      </c>
      <c r="BH220" s="36" t="s">
        <v>213</v>
      </c>
      <c r="BI220" s="36">
        <v>500</v>
      </c>
      <c r="BJ220" s="36">
        <v>500</v>
      </c>
      <c r="BK220" s="36"/>
      <c r="BL220" s="36" t="s">
        <v>214</v>
      </c>
      <c r="BM220" s="36"/>
      <c r="BN220" s="36"/>
    </row>
    <row r="221" spans="1:66" x14ac:dyDescent="0.35">
      <c r="A221" s="36"/>
      <c r="B221" s="36"/>
      <c r="C221" s="37">
        <v>244626</v>
      </c>
      <c r="D221" s="37">
        <v>244626</v>
      </c>
      <c r="E221" s="36"/>
      <c r="F221" s="36" t="s">
        <v>192</v>
      </c>
      <c r="G221" s="36" t="s">
        <v>1</v>
      </c>
      <c r="H221" s="36">
        <v>0</v>
      </c>
      <c r="I221" s="36" t="s">
        <v>193</v>
      </c>
      <c r="J221" s="36" t="s">
        <v>194</v>
      </c>
      <c r="K221" s="36" t="s">
        <v>195</v>
      </c>
      <c r="L221" s="36">
        <v>923</v>
      </c>
      <c r="M221" s="36"/>
      <c r="N221" s="36" t="s">
        <v>196</v>
      </c>
      <c r="O221" s="36" t="s">
        <v>197</v>
      </c>
      <c r="P221" s="36">
        <v>2</v>
      </c>
      <c r="Q221" s="36" t="s">
        <v>198</v>
      </c>
      <c r="R221" s="37">
        <v>244412</v>
      </c>
      <c r="S221" s="37">
        <v>244626</v>
      </c>
      <c r="T221" s="36" t="s">
        <v>626</v>
      </c>
      <c r="U221" s="36">
        <v>23062111</v>
      </c>
      <c r="V221" s="36" t="s">
        <v>110</v>
      </c>
      <c r="W221" s="36">
        <v>10</v>
      </c>
      <c r="X221" s="36">
        <v>10</v>
      </c>
      <c r="Y221" s="36">
        <v>10</v>
      </c>
      <c r="Z221" s="36">
        <v>10</v>
      </c>
      <c r="AA221" s="36">
        <v>0</v>
      </c>
      <c r="AB221" s="36">
        <v>0</v>
      </c>
      <c r="AC221" s="36">
        <v>0</v>
      </c>
      <c r="AD221" s="36">
        <v>0</v>
      </c>
      <c r="AE221" s="36">
        <v>10</v>
      </c>
      <c r="AF221" s="36">
        <v>10</v>
      </c>
      <c r="AG221" s="36"/>
      <c r="AH221" s="36"/>
      <c r="AI221" s="36" t="s">
        <v>200</v>
      </c>
      <c r="AJ221" s="36" t="s">
        <v>201</v>
      </c>
      <c r="AK221" s="36" t="s">
        <v>215</v>
      </c>
      <c r="AL221" s="36" t="s">
        <v>203</v>
      </c>
      <c r="AM221" s="36" t="s">
        <v>204</v>
      </c>
      <c r="AN221" s="36" t="s">
        <v>205</v>
      </c>
      <c r="AO221" s="36" t="s">
        <v>206</v>
      </c>
      <c r="AP221" s="36">
        <v>20</v>
      </c>
      <c r="AQ221" s="36">
        <v>1</v>
      </c>
      <c r="AR221" s="36"/>
      <c r="AS221" s="36"/>
      <c r="AT221" s="36" t="s">
        <v>627</v>
      </c>
      <c r="AU221" s="36" t="s">
        <v>628</v>
      </c>
      <c r="AV221" s="36" t="s">
        <v>209</v>
      </c>
      <c r="AW221" s="36" t="s">
        <v>209</v>
      </c>
      <c r="AX221" s="36" t="s">
        <v>210</v>
      </c>
      <c r="AY221" s="36">
        <v>0</v>
      </c>
      <c r="AZ221" s="36" t="s">
        <v>211</v>
      </c>
      <c r="BA221" s="36">
        <v>9044988633261</v>
      </c>
      <c r="BB221" s="36"/>
      <c r="BC221" s="36"/>
      <c r="BD221" s="36">
        <v>1</v>
      </c>
      <c r="BE221" s="36"/>
      <c r="BF221" s="36" t="s">
        <v>212</v>
      </c>
      <c r="BG221" s="36">
        <v>1333314600</v>
      </c>
      <c r="BH221" s="36" t="s">
        <v>213</v>
      </c>
      <c r="BI221" s="36">
        <v>10</v>
      </c>
      <c r="BJ221" s="36">
        <v>10</v>
      </c>
      <c r="BK221" s="36"/>
      <c r="BL221" s="36" t="s">
        <v>214</v>
      </c>
      <c r="BM221" s="36"/>
      <c r="BN221" s="36"/>
    </row>
    <row r="222" spans="1:66" x14ac:dyDescent="0.35">
      <c r="A222" s="36"/>
      <c r="B222" s="36"/>
      <c r="C222" s="37">
        <v>244626</v>
      </c>
      <c r="D222" s="37">
        <v>244626</v>
      </c>
      <c r="E222" s="36"/>
      <c r="F222" s="36" t="s">
        <v>192</v>
      </c>
      <c r="G222" s="36" t="s">
        <v>1</v>
      </c>
      <c r="H222" s="36">
        <v>0</v>
      </c>
      <c r="I222" s="36" t="s">
        <v>193</v>
      </c>
      <c r="J222" s="36" t="s">
        <v>194</v>
      </c>
      <c r="K222" s="36" t="s">
        <v>195</v>
      </c>
      <c r="L222" s="36">
        <v>923</v>
      </c>
      <c r="M222" s="36"/>
      <c r="N222" s="36" t="s">
        <v>196</v>
      </c>
      <c r="O222" s="36" t="s">
        <v>197</v>
      </c>
      <c r="P222" s="36">
        <v>2</v>
      </c>
      <c r="Q222" s="36" t="s">
        <v>198</v>
      </c>
      <c r="R222" s="37">
        <v>244412</v>
      </c>
      <c r="S222" s="37">
        <v>244626</v>
      </c>
      <c r="T222" s="36" t="s">
        <v>626</v>
      </c>
      <c r="U222" s="36">
        <v>23075089</v>
      </c>
      <c r="V222" s="36" t="s">
        <v>51</v>
      </c>
      <c r="W222" s="36">
        <v>20</v>
      </c>
      <c r="X222" s="36">
        <v>20</v>
      </c>
      <c r="Y222" s="36">
        <v>20</v>
      </c>
      <c r="Z222" s="36">
        <v>20</v>
      </c>
      <c r="AA222" s="36">
        <v>0</v>
      </c>
      <c r="AB222" s="36">
        <v>0</v>
      </c>
      <c r="AC222" s="36">
        <v>0</v>
      </c>
      <c r="AD222" s="36">
        <v>0</v>
      </c>
      <c r="AE222" s="36">
        <v>20</v>
      </c>
      <c r="AF222" s="36">
        <v>20</v>
      </c>
      <c r="AG222" s="36"/>
      <c r="AH222" s="36"/>
      <c r="AI222" s="36" t="s">
        <v>200</v>
      </c>
      <c r="AJ222" s="36" t="s">
        <v>201</v>
      </c>
      <c r="AK222" s="36" t="s">
        <v>215</v>
      </c>
      <c r="AL222" s="36" t="s">
        <v>203</v>
      </c>
      <c r="AM222" s="36" t="s">
        <v>204</v>
      </c>
      <c r="AN222" s="36" t="s">
        <v>205</v>
      </c>
      <c r="AO222" s="36" t="s">
        <v>206</v>
      </c>
      <c r="AP222" s="36">
        <v>20</v>
      </c>
      <c r="AQ222" s="36">
        <v>1</v>
      </c>
      <c r="AR222" s="36"/>
      <c r="AS222" s="36"/>
      <c r="AT222" s="36" t="s">
        <v>627</v>
      </c>
      <c r="AU222" s="36" t="s">
        <v>628</v>
      </c>
      <c r="AV222" s="36" t="s">
        <v>209</v>
      </c>
      <c r="AW222" s="36" t="s">
        <v>209</v>
      </c>
      <c r="AX222" s="36" t="s">
        <v>210</v>
      </c>
      <c r="AY222" s="36">
        <v>0</v>
      </c>
      <c r="AZ222" s="36" t="s">
        <v>211</v>
      </c>
      <c r="BA222" s="36">
        <v>9044988633261</v>
      </c>
      <c r="BB222" s="36"/>
      <c r="BC222" s="36"/>
      <c r="BD222" s="36">
        <v>1</v>
      </c>
      <c r="BE222" s="36"/>
      <c r="BF222" s="36" t="s">
        <v>212</v>
      </c>
      <c r="BG222" s="36">
        <v>1333314600</v>
      </c>
      <c r="BH222" s="36" t="s">
        <v>213</v>
      </c>
      <c r="BI222" s="36">
        <v>20</v>
      </c>
      <c r="BJ222" s="36">
        <v>20</v>
      </c>
      <c r="BK222" s="36"/>
      <c r="BL222" s="36" t="s">
        <v>214</v>
      </c>
      <c r="BM222" s="36"/>
      <c r="BN222" s="36"/>
    </row>
    <row r="223" spans="1:66" x14ac:dyDescent="0.35">
      <c r="A223" s="36"/>
      <c r="B223" s="36"/>
      <c r="C223" s="37">
        <v>244626</v>
      </c>
      <c r="D223" s="37">
        <v>244626</v>
      </c>
      <c r="E223" s="36"/>
      <c r="F223" s="36" t="s">
        <v>192</v>
      </c>
      <c r="G223" s="36" t="s">
        <v>1</v>
      </c>
      <c r="H223" s="36">
        <v>0</v>
      </c>
      <c r="I223" s="36" t="s">
        <v>193</v>
      </c>
      <c r="J223" s="36" t="s">
        <v>194</v>
      </c>
      <c r="K223" s="36" t="s">
        <v>195</v>
      </c>
      <c r="L223" s="36">
        <v>923</v>
      </c>
      <c r="M223" s="36"/>
      <c r="N223" s="36" t="s">
        <v>196</v>
      </c>
      <c r="O223" s="36" t="s">
        <v>197</v>
      </c>
      <c r="P223" s="36">
        <v>2</v>
      </c>
      <c r="Q223" s="36" t="s">
        <v>198</v>
      </c>
      <c r="R223" s="37">
        <v>244412</v>
      </c>
      <c r="S223" s="37">
        <v>244626</v>
      </c>
      <c r="T223" s="36" t="s">
        <v>626</v>
      </c>
      <c r="U223" s="36">
        <v>23065142</v>
      </c>
      <c r="V223" s="36" t="s">
        <v>42</v>
      </c>
      <c r="W223" s="36">
        <v>80</v>
      </c>
      <c r="X223" s="36">
        <v>80</v>
      </c>
      <c r="Y223" s="36">
        <v>80</v>
      </c>
      <c r="Z223" s="36">
        <v>80</v>
      </c>
      <c r="AA223" s="36">
        <v>0</v>
      </c>
      <c r="AB223" s="36">
        <v>0</v>
      </c>
      <c r="AC223" s="36">
        <v>0</v>
      </c>
      <c r="AD223" s="36">
        <v>0</v>
      </c>
      <c r="AE223" s="36">
        <v>80</v>
      </c>
      <c r="AF223" s="36">
        <v>80</v>
      </c>
      <c r="AG223" s="36"/>
      <c r="AH223" s="36"/>
      <c r="AI223" s="36" t="s">
        <v>200</v>
      </c>
      <c r="AJ223" s="36" t="s">
        <v>201</v>
      </c>
      <c r="AK223" s="36" t="s">
        <v>202</v>
      </c>
      <c r="AL223" s="36" t="s">
        <v>203</v>
      </c>
      <c r="AM223" s="36" t="s">
        <v>204</v>
      </c>
      <c r="AN223" s="36" t="s">
        <v>205</v>
      </c>
      <c r="AO223" s="36" t="s">
        <v>206</v>
      </c>
      <c r="AP223" s="36">
        <v>20</v>
      </c>
      <c r="AQ223" s="36">
        <v>1</v>
      </c>
      <c r="AR223" s="36"/>
      <c r="AS223" s="36"/>
      <c r="AT223" s="36" t="s">
        <v>627</v>
      </c>
      <c r="AU223" s="36" t="s">
        <v>628</v>
      </c>
      <c r="AV223" s="36" t="s">
        <v>209</v>
      </c>
      <c r="AW223" s="36" t="s">
        <v>209</v>
      </c>
      <c r="AX223" s="36" t="s">
        <v>210</v>
      </c>
      <c r="AY223" s="36">
        <v>0</v>
      </c>
      <c r="AZ223" s="36" t="s">
        <v>211</v>
      </c>
      <c r="BA223" s="36">
        <v>9044988633261</v>
      </c>
      <c r="BB223" s="36"/>
      <c r="BC223" s="36"/>
      <c r="BD223" s="36">
        <v>1</v>
      </c>
      <c r="BE223" s="36"/>
      <c r="BF223" s="36" t="s">
        <v>212</v>
      </c>
      <c r="BG223" s="36">
        <v>1333314600</v>
      </c>
      <c r="BH223" s="36" t="s">
        <v>213</v>
      </c>
      <c r="BI223" s="36">
        <v>80</v>
      </c>
      <c r="BJ223" s="36">
        <v>80</v>
      </c>
      <c r="BK223" s="36"/>
      <c r="BL223" s="36" t="s">
        <v>214</v>
      </c>
      <c r="BM223" s="36"/>
      <c r="BN223" s="36"/>
    </row>
    <row r="224" spans="1:66" x14ac:dyDescent="0.35">
      <c r="A224" s="36"/>
      <c r="B224" s="36"/>
      <c r="C224" s="37">
        <v>244626</v>
      </c>
      <c r="D224" s="37">
        <v>244626</v>
      </c>
      <c r="E224" s="36"/>
      <c r="F224" s="36" t="s">
        <v>192</v>
      </c>
      <c r="G224" s="36" t="s">
        <v>1</v>
      </c>
      <c r="H224" s="36">
        <v>0</v>
      </c>
      <c r="I224" s="36" t="s">
        <v>193</v>
      </c>
      <c r="J224" s="36" t="s">
        <v>194</v>
      </c>
      <c r="K224" s="36" t="s">
        <v>195</v>
      </c>
      <c r="L224" s="36">
        <v>923</v>
      </c>
      <c r="M224" s="36"/>
      <c r="N224" s="36" t="s">
        <v>196</v>
      </c>
      <c r="O224" s="36" t="s">
        <v>197</v>
      </c>
      <c r="P224" s="36">
        <v>2</v>
      </c>
      <c r="Q224" s="36" t="s">
        <v>198</v>
      </c>
      <c r="R224" s="37">
        <v>244412</v>
      </c>
      <c r="S224" s="37">
        <v>244626</v>
      </c>
      <c r="T224" s="36" t="s">
        <v>626</v>
      </c>
      <c r="U224" s="36">
        <v>23058585</v>
      </c>
      <c r="V224" s="36" t="s">
        <v>30</v>
      </c>
      <c r="W224" s="36">
        <v>20</v>
      </c>
      <c r="X224" s="36">
        <v>20</v>
      </c>
      <c r="Y224" s="36">
        <v>20</v>
      </c>
      <c r="Z224" s="36">
        <v>20</v>
      </c>
      <c r="AA224" s="36">
        <v>0</v>
      </c>
      <c r="AB224" s="36">
        <v>0</v>
      </c>
      <c r="AC224" s="36">
        <v>0</v>
      </c>
      <c r="AD224" s="36">
        <v>0</v>
      </c>
      <c r="AE224" s="36">
        <v>20</v>
      </c>
      <c r="AF224" s="36">
        <v>20</v>
      </c>
      <c r="AG224" s="36"/>
      <c r="AH224" s="36"/>
      <c r="AI224" s="36" t="s">
        <v>200</v>
      </c>
      <c r="AJ224" s="36" t="s">
        <v>201</v>
      </c>
      <c r="AK224" s="36" t="s">
        <v>215</v>
      </c>
      <c r="AL224" s="36" t="s">
        <v>203</v>
      </c>
      <c r="AM224" s="36" t="s">
        <v>204</v>
      </c>
      <c r="AN224" s="36" t="s">
        <v>205</v>
      </c>
      <c r="AO224" s="36" t="s">
        <v>206</v>
      </c>
      <c r="AP224" s="36">
        <v>20</v>
      </c>
      <c r="AQ224" s="36">
        <v>1</v>
      </c>
      <c r="AR224" s="36"/>
      <c r="AS224" s="36"/>
      <c r="AT224" s="36" t="s">
        <v>627</v>
      </c>
      <c r="AU224" s="36" t="s">
        <v>628</v>
      </c>
      <c r="AV224" s="36" t="s">
        <v>209</v>
      </c>
      <c r="AW224" s="36" t="s">
        <v>209</v>
      </c>
      <c r="AX224" s="36" t="s">
        <v>210</v>
      </c>
      <c r="AY224" s="36">
        <v>0</v>
      </c>
      <c r="AZ224" s="36" t="s">
        <v>211</v>
      </c>
      <c r="BA224" s="36">
        <v>9044988633261</v>
      </c>
      <c r="BB224" s="36"/>
      <c r="BC224" s="36"/>
      <c r="BD224" s="36">
        <v>1</v>
      </c>
      <c r="BE224" s="36"/>
      <c r="BF224" s="36" t="s">
        <v>212</v>
      </c>
      <c r="BG224" s="36">
        <v>1333314600</v>
      </c>
      <c r="BH224" s="36" t="s">
        <v>213</v>
      </c>
      <c r="BI224" s="36">
        <v>20</v>
      </c>
      <c r="BJ224" s="36">
        <v>20</v>
      </c>
      <c r="BK224" s="36"/>
      <c r="BL224" s="36" t="s">
        <v>214</v>
      </c>
      <c r="BM224" s="36"/>
      <c r="BN224" s="36"/>
    </row>
    <row r="225" spans="1:66" x14ac:dyDescent="0.35">
      <c r="A225" s="36"/>
      <c r="B225" s="36"/>
      <c r="C225" s="37">
        <v>244626</v>
      </c>
      <c r="D225" s="37">
        <v>244626</v>
      </c>
      <c r="E225" s="36"/>
      <c r="F225" s="36" t="s">
        <v>192</v>
      </c>
      <c r="G225" s="36" t="s">
        <v>1</v>
      </c>
      <c r="H225" s="36">
        <v>0</v>
      </c>
      <c r="I225" s="36" t="s">
        <v>193</v>
      </c>
      <c r="J225" s="36" t="s">
        <v>194</v>
      </c>
      <c r="K225" s="36" t="s">
        <v>195</v>
      </c>
      <c r="L225" s="36">
        <v>923</v>
      </c>
      <c r="M225" s="36"/>
      <c r="N225" s="36" t="s">
        <v>196</v>
      </c>
      <c r="O225" s="36" t="s">
        <v>197</v>
      </c>
      <c r="P225" s="36">
        <v>2</v>
      </c>
      <c r="Q225" s="36" t="s">
        <v>198</v>
      </c>
      <c r="R225" s="37">
        <v>244412</v>
      </c>
      <c r="S225" s="37">
        <v>244626</v>
      </c>
      <c r="T225" s="36" t="s">
        <v>626</v>
      </c>
      <c r="U225" s="36">
        <v>23058588</v>
      </c>
      <c r="V225" s="36" t="s">
        <v>114</v>
      </c>
      <c r="W225" s="36">
        <v>5</v>
      </c>
      <c r="X225" s="36">
        <v>5</v>
      </c>
      <c r="Y225" s="36">
        <v>5</v>
      </c>
      <c r="Z225" s="36">
        <v>5</v>
      </c>
      <c r="AA225" s="36">
        <v>0</v>
      </c>
      <c r="AB225" s="36">
        <v>0</v>
      </c>
      <c r="AC225" s="36">
        <v>0</v>
      </c>
      <c r="AD225" s="36">
        <v>0</v>
      </c>
      <c r="AE225" s="36">
        <v>5</v>
      </c>
      <c r="AF225" s="36">
        <v>5</v>
      </c>
      <c r="AG225" s="36"/>
      <c r="AH225" s="36"/>
      <c r="AI225" s="36" t="s">
        <v>200</v>
      </c>
      <c r="AJ225" s="36" t="s">
        <v>201</v>
      </c>
      <c r="AK225" s="36" t="s">
        <v>215</v>
      </c>
      <c r="AL225" s="36" t="s">
        <v>203</v>
      </c>
      <c r="AM225" s="36" t="s">
        <v>204</v>
      </c>
      <c r="AN225" s="36" t="s">
        <v>205</v>
      </c>
      <c r="AO225" s="36" t="s">
        <v>206</v>
      </c>
      <c r="AP225" s="36">
        <v>20</v>
      </c>
      <c r="AQ225" s="36">
        <v>1</v>
      </c>
      <c r="AR225" s="36"/>
      <c r="AS225" s="36"/>
      <c r="AT225" s="36" t="s">
        <v>627</v>
      </c>
      <c r="AU225" s="36" t="s">
        <v>628</v>
      </c>
      <c r="AV225" s="36" t="s">
        <v>209</v>
      </c>
      <c r="AW225" s="36" t="s">
        <v>209</v>
      </c>
      <c r="AX225" s="36" t="s">
        <v>210</v>
      </c>
      <c r="AY225" s="36">
        <v>0</v>
      </c>
      <c r="AZ225" s="36" t="s">
        <v>211</v>
      </c>
      <c r="BA225" s="36">
        <v>9044988633261</v>
      </c>
      <c r="BB225" s="36"/>
      <c r="BC225" s="36"/>
      <c r="BD225" s="36">
        <v>1</v>
      </c>
      <c r="BE225" s="36"/>
      <c r="BF225" s="36" t="s">
        <v>212</v>
      </c>
      <c r="BG225" s="36">
        <v>1333314600</v>
      </c>
      <c r="BH225" s="36" t="s">
        <v>213</v>
      </c>
      <c r="BI225" s="36">
        <v>5</v>
      </c>
      <c r="BJ225" s="36">
        <v>5</v>
      </c>
      <c r="BK225" s="36"/>
      <c r="BL225" s="36" t="s">
        <v>214</v>
      </c>
      <c r="BM225" s="36"/>
      <c r="BN225" s="36"/>
    </row>
    <row r="226" spans="1:66" x14ac:dyDescent="0.35">
      <c r="A226" s="36"/>
      <c r="B226" s="36"/>
      <c r="C226" s="37">
        <v>244626</v>
      </c>
      <c r="D226" s="37">
        <v>244626</v>
      </c>
      <c r="E226" s="36"/>
      <c r="F226" s="36" t="s">
        <v>192</v>
      </c>
      <c r="G226" s="36" t="s">
        <v>1</v>
      </c>
      <c r="H226" s="36">
        <v>0</v>
      </c>
      <c r="I226" s="36" t="s">
        <v>193</v>
      </c>
      <c r="J226" s="36" t="s">
        <v>194</v>
      </c>
      <c r="K226" s="36" t="s">
        <v>195</v>
      </c>
      <c r="L226" s="36">
        <v>923</v>
      </c>
      <c r="M226" s="36"/>
      <c r="N226" s="36" t="s">
        <v>196</v>
      </c>
      <c r="O226" s="36" t="s">
        <v>197</v>
      </c>
      <c r="P226" s="36">
        <v>2</v>
      </c>
      <c r="Q226" s="36" t="s">
        <v>198</v>
      </c>
      <c r="R226" s="37">
        <v>244412</v>
      </c>
      <c r="S226" s="37">
        <v>244626</v>
      </c>
      <c r="T226" s="36" t="s">
        <v>626</v>
      </c>
      <c r="U226" s="36">
        <v>23087034</v>
      </c>
      <c r="V226" s="36" t="s">
        <v>54</v>
      </c>
      <c r="W226" s="36">
        <v>50</v>
      </c>
      <c r="X226" s="36">
        <v>50</v>
      </c>
      <c r="Y226" s="36">
        <v>50</v>
      </c>
      <c r="Z226" s="36">
        <v>50</v>
      </c>
      <c r="AA226" s="36">
        <v>0</v>
      </c>
      <c r="AB226" s="36">
        <v>0</v>
      </c>
      <c r="AC226" s="36">
        <v>0</v>
      </c>
      <c r="AD226" s="36">
        <v>0</v>
      </c>
      <c r="AE226" s="36">
        <v>50</v>
      </c>
      <c r="AF226" s="36">
        <v>50</v>
      </c>
      <c r="AG226" s="36"/>
      <c r="AH226" s="36"/>
      <c r="AI226" s="36" t="s">
        <v>200</v>
      </c>
      <c r="AJ226" s="36" t="s">
        <v>201</v>
      </c>
      <c r="AK226" s="36" t="s">
        <v>202</v>
      </c>
      <c r="AL226" s="36" t="s">
        <v>203</v>
      </c>
      <c r="AM226" s="36" t="s">
        <v>204</v>
      </c>
      <c r="AN226" s="36" t="s">
        <v>205</v>
      </c>
      <c r="AO226" s="36" t="s">
        <v>206</v>
      </c>
      <c r="AP226" s="36">
        <v>20</v>
      </c>
      <c r="AQ226" s="36">
        <v>1</v>
      </c>
      <c r="AR226" s="36"/>
      <c r="AS226" s="36"/>
      <c r="AT226" s="36" t="s">
        <v>627</v>
      </c>
      <c r="AU226" s="36" t="s">
        <v>628</v>
      </c>
      <c r="AV226" s="36" t="s">
        <v>209</v>
      </c>
      <c r="AW226" s="36" t="s">
        <v>209</v>
      </c>
      <c r="AX226" s="36" t="s">
        <v>210</v>
      </c>
      <c r="AY226" s="36">
        <v>0</v>
      </c>
      <c r="AZ226" s="36" t="s">
        <v>211</v>
      </c>
      <c r="BA226" s="36">
        <v>9044988633261</v>
      </c>
      <c r="BB226" s="36"/>
      <c r="BC226" s="36"/>
      <c r="BD226" s="36">
        <v>1</v>
      </c>
      <c r="BE226" s="36"/>
      <c r="BF226" s="36" t="s">
        <v>212</v>
      </c>
      <c r="BG226" s="36">
        <v>1333314600</v>
      </c>
      <c r="BH226" s="36" t="s">
        <v>213</v>
      </c>
      <c r="BI226" s="36">
        <v>50</v>
      </c>
      <c r="BJ226" s="36">
        <v>50</v>
      </c>
      <c r="BK226" s="36"/>
      <c r="BL226" s="36" t="s">
        <v>214</v>
      </c>
      <c r="BM226" s="36"/>
      <c r="BN226" s="36"/>
    </row>
    <row r="227" spans="1:66" x14ac:dyDescent="0.35">
      <c r="A227" s="36"/>
      <c r="B227" s="36"/>
      <c r="C227" s="37">
        <v>244626</v>
      </c>
      <c r="D227" s="37">
        <v>244626</v>
      </c>
      <c r="E227" s="36"/>
      <c r="F227" s="36" t="s">
        <v>192</v>
      </c>
      <c r="G227" s="36" t="s">
        <v>1</v>
      </c>
      <c r="H227" s="36">
        <v>0</v>
      </c>
      <c r="I227" s="36" t="s">
        <v>193</v>
      </c>
      <c r="J227" s="36" t="s">
        <v>194</v>
      </c>
      <c r="K227" s="36" t="s">
        <v>195</v>
      </c>
      <c r="L227" s="36">
        <v>923</v>
      </c>
      <c r="M227" s="36"/>
      <c r="N227" s="36" t="s">
        <v>196</v>
      </c>
      <c r="O227" s="36" t="s">
        <v>197</v>
      </c>
      <c r="P227" s="36">
        <v>2</v>
      </c>
      <c r="Q227" s="36" t="s">
        <v>198</v>
      </c>
      <c r="R227" s="37">
        <v>244412</v>
      </c>
      <c r="S227" s="37">
        <v>244626</v>
      </c>
      <c r="T227" s="36" t="s">
        <v>626</v>
      </c>
      <c r="U227" s="36">
        <v>23066879</v>
      </c>
      <c r="V227" s="36" t="s">
        <v>45</v>
      </c>
      <c r="W227" s="36">
        <v>20</v>
      </c>
      <c r="X227" s="36">
        <v>20</v>
      </c>
      <c r="Y227" s="36">
        <v>20</v>
      </c>
      <c r="Z227" s="36">
        <v>20</v>
      </c>
      <c r="AA227" s="36">
        <v>0</v>
      </c>
      <c r="AB227" s="36">
        <v>0</v>
      </c>
      <c r="AC227" s="36">
        <v>0</v>
      </c>
      <c r="AD227" s="36">
        <v>0</v>
      </c>
      <c r="AE227" s="36">
        <v>20</v>
      </c>
      <c r="AF227" s="36">
        <v>20</v>
      </c>
      <c r="AG227" s="36"/>
      <c r="AH227" s="36"/>
      <c r="AI227" s="36" t="s">
        <v>200</v>
      </c>
      <c r="AJ227" s="36" t="s">
        <v>201</v>
      </c>
      <c r="AK227" s="36" t="s">
        <v>215</v>
      </c>
      <c r="AL227" s="36" t="s">
        <v>203</v>
      </c>
      <c r="AM227" s="36" t="s">
        <v>204</v>
      </c>
      <c r="AN227" s="36" t="s">
        <v>205</v>
      </c>
      <c r="AO227" s="36" t="s">
        <v>206</v>
      </c>
      <c r="AP227" s="36">
        <v>20</v>
      </c>
      <c r="AQ227" s="36">
        <v>1</v>
      </c>
      <c r="AR227" s="36"/>
      <c r="AS227" s="36"/>
      <c r="AT227" s="36" t="s">
        <v>627</v>
      </c>
      <c r="AU227" s="36" t="s">
        <v>628</v>
      </c>
      <c r="AV227" s="36" t="s">
        <v>209</v>
      </c>
      <c r="AW227" s="36" t="s">
        <v>209</v>
      </c>
      <c r="AX227" s="36" t="s">
        <v>210</v>
      </c>
      <c r="AY227" s="36">
        <v>0</v>
      </c>
      <c r="AZ227" s="36" t="s">
        <v>211</v>
      </c>
      <c r="BA227" s="36">
        <v>9044988633261</v>
      </c>
      <c r="BB227" s="36"/>
      <c r="BC227" s="36"/>
      <c r="BD227" s="36">
        <v>1</v>
      </c>
      <c r="BE227" s="36"/>
      <c r="BF227" s="36" t="s">
        <v>212</v>
      </c>
      <c r="BG227" s="36">
        <v>1333314600</v>
      </c>
      <c r="BH227" s="36" t="s">
        <v>213</v>
      </c>
      <c r="BI227" s="36">
        <v>20</v>
      </c>
      <c r="BJ227" s="36">
        <v>20</v>
      </c>
      <c r="BK227" s="36"/>
      <c r="BL227" s="36" t="s">
        <v>214</v>
      </c>
      <c r="BM227" s="36"/>
      <c r="BN227" s="36"/>
    </row>
    <row r="228" spans="1:66" x14ac:dyDescent="0.35">
      <c r="A228" s="36"/>
      <c r="B228" s="36"/>
      <c r="C228" s="37">
        <v>244626</v>
      </c>
      <c r="D228" s="37">
        <v>244626</v>
      </c>
      <c r="E228" s="36"/>
      <c r="F228" s="36" t="s">
        <v>192</v>
      </c>
      <c r="G228" s="36" t="s">
        <v>1</v>
      </c>
      <c r="H228" s="36">
        <v>0</v>
      </c>
      <c r="I228" s="36" t="s">
        <v>193</v>
      </c>
      <c r="J228" s="36" t="s">
        <v>194</v>
      </c>
      <c r="K228" s="36" t="s">
        <v>195</v>
      </c>
      <c r="L228" s="36">
        <v>923</v>
      </c>
      <c r="M228" s="36"/>
      <c r="N228" s="36" t="s">
        <v>196</v>
      </c>
      <c r="O228" s="36" t="s">
        <v>197</v>
      </c>
      <c r="P228" s="36">
        <v>2</v>
      </c>
      <c r="Q228" s="36" t="s">
        <v>198</v>
      </c>
      <c r="R228" s="37">
        <v>244412</v>
      </c>
      <c r="S228" s="37">
        <v>244626</v>
      </c>
      <c r="T228" s="36" t="s">
        <v>626</v>
      </c>
      <c r="U228" s="36">
        <v>23088112</v>
      </c>
      <c r="V228" s="36" t="s">
        <v>56</v>
      </c>
      <c r="W228" s="36">
        <v>60</v>
      </c>
      <c r="X228" s="36">
        <v>60</v>
      </c>
      <c r="Y228" s="36">
        <v>60</v>
      </c>
      <c r="Z228" s="36">
        <v>60</v>
      </c>
      <c r="AA228" s="36">
        <v>0</v>
      </c>
      <c r="AB228" s="36">
        <v>0</v>
      </c>
      <c r="AC228" s="36">
        <v>0</v>
      </c>
      <c r="AD228" s="36">
        <v>0</v>
      </c>
      <c r="AE228" s="36">
        <v>60</v>
      </c>
      <c r="AF228" s="36">
        <v>60</v>
      </c>
      <c r="AG228" s="36"/>
      <c r="AH228" s="36"/>
      <c r="AI228" s="36" t="s">
        <v>200</v>
      </c>
      <c r="AJ228" s="36" t="s">
        <v>201</v>
      </c>
      <c r="AK228" s="36" t="s">
        <v>215</v>
      </c>
      <c r="AL228" s="36" t="s">
        <v>203</v>
      </c>
      <c r="AM228" s="36" t="s">
        <v>204</v>
      </c>
      <c r="AN228" s="36" t="s">
        <v>205</v>
      </c>
      <c r="AO228" s="36" t="s">
        <v>206</v>
      </c>
      <c r="AP228" s="36">
        <v>20</v>
      </c>
      <c r="AQ228" s="36">
        <v>1</v>
      </c>
      <c r="AR228" s="36"/>
      <c r="AS228" s="36"/>
      <c r="AT228" s="36" t="s">
        <v>627</v>
      </c>
      <c r="AU228" s="36" t="s">
        <v>628</v>
      </c>
      <c r="AV228" s="36" t="s">
        <v>209</v>
      </c>
      <c r="AW228" s="36" t="s">
        <v>209</v>
      </c>
      <c r="AX228" s="36" t="s">
        <v>210</v>
      </c>
      <c r="AY228" s="36">
        <v>0</v>
      </c>
      <c r="AZ228" s="36" t="s">
        <v>211</v>
      </c>
      <c r="BA228" s="36">
        <v>9044988633261</v>
      </c>
      <c r="BB228" s="36"/>
      <c r="BC228" s="36"/>
      <c r="BD228" s="36">
        <v>1</v>
      </c>
      <c r="BE228" s="36"/>
      <c r="BF228" s="36" t="s">
        <v>212</v>
      </c>
      <c r="BG228" s="36">
        <v>1333314600</v>
      </c>
      <c r="BH228" s="36" t="s">
        <v>213</v>
      </c>
      <c r="BI228" s="36">
        <v>60</v>
      </c>
      <c r="BJ228" s="36">
        <v>60</v>
      </c>
      <c r="BK228" s="36"/>
      <c r="BL228" s="36" t="s">
        <v>214</v>
      </c>
      <c r="BM228" s="36"/>
      <c r="BN228" s="36"/>
    </row>
    <row r="229" spans="1:66" x14ac:dyDescent="0.35">
      <c r="A229" s="36"/>
      <c r="B229" s="36"/>
      <c r="C229" s="37">
        <v>244626</v>
      </c>
      <c r="D229" s="37">
        <v>244626</v>
      </c>
      <c r="E229" s="36"/>
      <c r="F229" s="36" t="s">
        <v>192</v>
      </c>
      <c r="G229" s="36" t="s">
        <v>1</v>
      </c>
      <c r="H229" s="36">
        <v>0</v>
      </c>
      <c r="I229" s="36" t="s">
        <v>193</v>
      </c>
      <c r="J229" s="36" t="s">
        <v>194</v>
      </c>
      <c r="K229" s="36" t="s">
        <v>195</v>
      </c>
      <c r="L229" s="36">
        <v>923</v>
      </c>
      <c r="M229" s="36"/>
      <c r="N229" s="36" t="s">
        <v>196</v>
      </c>
      <c r="O229" s="36" t="s">
        <v>197</v>
      </c>
      <c r="P229" s="36">
        <v>2</v>
      </c>
      <c r="Q229" s="36" t="s">
        <v>198</v>
      </c>
      <c r="R229" s="37">
        <v>244412</v>
      </c>
      <c r="S229" s="37">
        <v>244626</v>
      </c>
      <c r="T229" s="36" t="s">
        <v>626</v>
      </c>
      <c r="U229" s="36">
        <v>23065141</v>
      </c>
      <c r="V229" s="36" t="s">
        <v>41</v>
      </c>
      <c r="W229" s="36">
        <v>80</v>
      </c>
      <c r="X229" s="36">
        <v>80</v>
      </c>
      <c r="Y229" s="36">
        <v>80</v>
      </c>
      <c r="Z229" s="36">
        <v>80</v>
      </c>
      <c r="AA229" s="36">
        <v>0</v>
      </c>
      <c r="AB229" s="36">
        <v>0</v>
      </c>
      <c r="AC229" s="36">
        <v>0</v>
      </c>
      <c r="AD229" s="36">
        <v>0</v>
      </c>
      <c r="AE229" s="36">
        <v>80</v>
      </c>
      <c r="AF229" s="36">
        <v>80</v>
      </c>
      <c r="AG229" s="36"/>
      <c r="AH229" s="36"/>
      <c r="AI229" s="36" t="s">
        <v>200</v>
      </c>
      <c r="AJ229" s="36" t="s">
        <v>201</v>
      </c>
      <c r="AK229" s="36" t="s">
        <v>202</v>
      </c>
      <c r="AL229" s="36" t="s">
        <v>203</v>
      </c>
      <c r="AM229" s="36" t="s">
        <v>204</v>
      </c>
      <c r="AN229" s="36" t="s">
        <v>205</v>
      </c>
      <c r="AO229" s="36" t="s">
        <v>206</v>
      </c>
      <c r="AP229" s="36">
        <v>20</v>
      </c>
      <c r="AQ229" s="36">
        <v>1</v>
      </c>
      <c r="AR229" s="36"/>
      <c r="AS229" s="36"/>
      <c r="AT229" s="36" t="s">
        <v>627</v>
      </c>
      <c r="AU229" s="36" t="s">
        <v>628</v>
      </c>
      <c r="AV229" s="36" t="s">
        <v>209</v>
      </c>
      <c r="AW229" s="36" t="s">
        <v>209</v>
      </c>
      <c r="AX229" s="36" t="s">
        <v>210</v>
      </c>
      <c r="AY229" s="36">
        <v>0</v>
      </c>
      <c r="AZ229" s="36" t="s">
        <v>211</v>
      </c>
      <c r="BA229" s="36">
        <v>9044988633261</v>
      </c>
      <c r="BB229" s="36"/>
      <c r="BC229" s="36"/>
      <c r="BD229" s="36">
        <v>1</v>
      </c>
      <c r="BE229" s="36"/>
      <c r="BF229" s="36" t="s">
        <v>212</v>
      </c>
      <c r="BG229" s="36">
        <v>1333314600</v>
      </c>
      <c r="BH229" s="36" t="s">
        <v>213</v>
      </c>
      <c r="BI229" s="36">
        <v>80</v>
      </c>
      <c r="BJ229" s="36">
        <v>80</v>
      </c>
      <c r="BK229" s="36"/>
      <c r="BL229" s="36" t="s">
        <v>214</v>
      </c>
      <c r="BM229" s="36"/>
      <c r="BN229" s="36"/>
    </row>
    <row r="230" spans="1:66" x14ac:dyDescent="0.35">
      <c r="A230" s="36"/>
      <c r="B230" s="36"/>
      <c r="C230" s="37">
        <v>244626</v>
      </c>
      <c r="D230" s="37">
        <v>244626</v>
      </c>
      <c r="E230" s="36"/>
      <c r="F230" s="36" t="s">
        <v>192</v>
      </c>
      <c r="G230" s="36" t="s">
        <v>1</v>
      </c>
      <c r="H230" s="36">
        <v>0</v>
      </c>
      <c r="I230" s="36" t="s">
        <v>193</v>
      </c>
      <c r="J230" s="36" t="s">
        <v>194</v>
      </c>
      <c r="K230" s="36" t="s">
        <v>195</v>
      </c>
      <c r="L230" s="36">
        <v>923</v>
      </c>
      <c r="M230" s="36"/>
      <c r="N230" s="36" t="s">
        <v>196</v>
      </c>
      <c r="O230" s="36" t="s">
        <v>197</v>
      </c>
      <c r="P230" s="36">
        <v>2</v>
      </c>
      <c r="Q230" s="36" t="s">
        <v>198</v>
      </c>
      <c r="R230" s="37">
        <v>244412</v>
      </c>
      <c r="S230" s="37">
        <v>244626</v>
      </c>
      <c r="T230" s="36" t="s">
        <v>626</v>
      </c>
      <c r="U230" s="36">
        <v>23058584</v>
      </c>
      <c r="V230" s="36" t="s">
        <v>29</v>
      </c>
      <c r="W230" s="36">
        <v>60</v>
      </c>
      <c r="X230" s="36">
        <v>60</v>
      </c>
      <c r="Y230" s="36">
        <v>60</v>
      </c>
      <c r="Z230" s="36">
        <v>60</v>
      </c>
      <c r="AA230" s="36">
        <v>0</v>
      </c>
      <c r="AB230" s="36">
        <v>0</v>
      </c>
      <c r="AC230" s="36">
        <v>0</v>
      </c>
      <c r="AD230" s="36">
        <v>0</v>
      </c>
      <c r="AE230" s="36">
        <v>60</v>
      </c>
      <c r="AF230" s="36">
        <v>60</v>
      </c>
      <c r="AG230" s="36"/>
      <c r="AH230" s="36"/>
      <c r="AI230" s="36" t="s">
        <v>200</v>
      </c>
      <c r="AJ230" s="36" t="s">
        <v>201</v>
      </c>
      <c r="AK230" s="36" t="s">
        <v>215</v>
      </c>
      <c r="AL230" s="36" t="s">
        <v>203</v>
      </c>
      <c r="AM230" s="36" t="s">
        <v>204</v>
      </c>
      <c r="AN230" s="36" t="s">
        <v>205</v>
      </c>
      <c r="AO230" s="36" t="s">
        <v>206</v>
      </c>
      <c r="AP230" s="36">
        <v>20</v>
      </c>
      <c r="AQ230" s="36">
        <v>1</v>
      </c>
      <c r="AR230" s="36"/>
      <c r="AS230" s="36"/>
      <c r="AT230" s="36" t="s">
        <v>627</v>
      </c>
      <c r="AU230" s="36" t="s">
        <v>628</v>
      </c>
      <c r="AV230" s="36" t="s">
        <v>209</v>
      </c>
      <c r="AW230" s="36" t="s">
        <v>209</v>
      </c>
      <c r="AX230" s="36" t="s">
        <v>210</v>
      </c>
      <c r="AY230" s="36">
        <v>0</v>
      </c>
      <c r="AZ230" s="36" t="s">
        <v>211</v>
      </c>
      <c r="BA230" s="36">
        <v>9044988633261</v>
      </c>
      <c r="BB230" s="36"/>
      <c r="BC230" s="36"/>
      <c r="BD230" s="36">
        <v>1</v>
      </c>
      <c r="BE230" s="36"/>
      <c r="BF230" s="36" t="s">
        <v>212</v>
      </c>
      <c r="BG230" s="36">
        <v>1333314600</v>
      </c>
      <c r="BH230" s="36" t="s">
        <v>213</v>
      </c>
      <c r="BI230" s="36">
        <v>60</v>
      </c>
      <c r="BJ230" s="36">
        <v>60</v>
      </c>
      <c r="BK230" s="36"/>
      <c r="BL230" s="36" t="s">
        <v>214</v>
      </c>
      <c r="BM230" s="36"/>
      <c r="BN230" s="36"/>
    </row>
    <row r="231" spans="1:66" x14ac:dyDescent="0.35">
      <c r="A231" s="36"/>
      <c r="B231" s="36"/>
      <c r="C231" s="37">
        <v>244626</v>
      </c>
      <c r="D231" s="37">
        <v>244626</v>
      </c>
      <c r="E231" s="36"/>
      <c r="F231" s="36" t="s">
        <v>192</v>
      </c>
      <c r="G231" s="36" t="s">
        <v>1</v>
      </c>
      <c r="H231" s="36">
        <v>0</v>
      </c>
      <c r="I231" s="36" t="s">
        <v>193</v>
      </c>
      <c r="J231" s="36" t="s">
        <v>194</v>
      </c>
      <c r="K231" s="36" t="s">
        <v>195</v>
      </c>
      <c r="L231" s="36">
        <v>923</v>
      </c>
      <c r="M231" s="36"/>
      <c r="N231" s="36" t="s">
        <v>196</v>
      </c>
      <c r="O231" s="36" t="s">
        <v>197</v>
      </c>
      <c r="P231" s="36">
        <v>2</v>
      </c>
      <c r="Q231" s="36" t="s">
        <v>198</v>
      </c>
      <c r="R231" s="37">
        <v>244412</v>
      </c>
      <c r="S231" s="37">
        <v>244626</v>
      </c>
      <c r="T231" s="36" t="s">
        <v>626</v>
      </c>
      <c r="U231" s="36">
        <v>23058590</v>
      </c>
      <c r="V231" s="36" t="s">
        <v>34</v>
      </c>
      <c r="W231" s="36">
        <v>50</v>
      </c>
      <c r="X231" s="36">
        <v>50</v>
      </c>
      <c r="Y231" s="36">
        <v>50</v>
      </c>
      <c r="Z231" s="36">
        <v>50</v>
      </c>
      <c r="AA231" s="36">
        <v>0</v>
      </c>
      <c r="AB231" s="36">
        <v>0</v>
      </c>
      <c r="AC231" s="36">
        <v>0</v>
      </c>
      <c r="AD231" s="36">
        <v>0</v>
      </c>
      <c r="AE231" s="36">
        <v>50</v>
      </c>
      <c r="AF231" s="36">
        <v>50</v>
      </c>
      <c r="AG231" s="36"/>
      <c r="AH231" s="36"/>
      <c r="AI231" s="36" t="s">
        <v>200</v>
      </c>
      <c r="AJ231" s="36" t="s">
        <v>201</v>
      </c>
      <c r="AK231" s="36" t="s">
        <v>215</v>
      </c>
      <c r="AL231" s="36" t="s">
        <v>203</v>
      </c>
      <c r="AM231" s="36" t="s">
        <v>204</v>
      </c>
      <c r="AN231" s="36" t="s">
        <v>205</v>
      </c>
      <c r="AO231" s="36" t="s">
        <v>206</v>
      </c>
      <c r="AP231" s="36">
        <v>20</v>
      </c>
      <c r="AQ231" s="36">
        <v>1</v>
      </c>
      <c r="AR231" s="36"/>
      <c r="AS231" s="36"/>
      <c r="AT231" s="36" t="s">
        <v>627</v>
      </c>
      <c r="AU231" s="36" t="s">
        <v>628</v>
      </c>
      <c r="AV231" s="36" t="s">
        <v>209</v>
      </c>
      <c r="AW231" s="36" t="s">
        <v>209</v>
      </c>
      <c r="AX231" s="36" t="s">
        <v>210</v>
      </c>
      <c r="AY231" s="36">
        <v>0</v>
      </c>
      <c r="AZ231" s="36" t="s">
        <v>211</v>
      </c>
      <c r="BA231" s="36">
        <v>9044988633261</v>
      </c>
      <c r="BB231" s="36"/>
      <c r="BC231" s="36"/>
      <c r="BD231" s="36">
        <v>1</v>
      </c>
      <c r="BE231" s="36"/>
      <c r="BF231" s="36" t="s">
        <v>212</v>
      </c>
      <c r="BG231" s="36">
        <v>1333314600</v>
      </c>
      <c r="BH231" s="36" t="s">
        <v>213</v>
      </c>
      <c r="BI231" s="36">
        <v>50</v>
      </c>
      <c r="BJ231" s="36">
        <v>50</v>
      </c>
      <c r="BK231" s="36"/>
      <c r="BL231" s="36" t="s">
        <v>214</v>
      </c>
      <c r="BM231" s="36"/>
      <c r="BN231" s="36"/>
    </row>
    <row r="232" spans="1:66" x14ac:dyDescent="0.35">
      <c r="A232" s="36"/>
      <c r="B232" s="36"/>
      <c r="C232" s="37">
        <v>244626</v>
      </c>
      <c r="D232" s="37">
        <v>244626</v>
      </c>
      <c r="E232" s="36"/>
      <c r="F232" s="36" t="s">
        <v>192</v>
      </c>
      <c r="G232" s="36" t="s">
        <v>1</v>
      </c>
      <c r="H232" s="36">
        <v>0</v>
      </c>
      <c r="I232" s="36" t="s">
        <v>193</v>
      </c>
      <c r="J232" s="36" t="s">
        <v>194</v>
      </c>
      <c r="K232" s="36" t="s">
        <v>195</v>
      </c>
      <c r="L232" s="36">
        <v>923</v>
      </c>
      <c r="M232" s="36"/>
      <c r="N232" s="36" t="s">
        <v>196</v>
      </c>
      <c r="O232" s="36" t="s">
        <v>197</v>
      </c>
      <c r="P232" s="36">
        <v>2</v>
      </c>
      <c r="Q232" s="36" t="s">
        <v>198</v>
      </c>
      <c r="R232" s="37">
        <v>244412</v>
      </c>
      <c r="S232" s="37">
        <v>244626</v>
      </c>
      <c r="T232" s="36" t="s">
        <v>626</v>
      </c>
      <c r="U232" s="36">
        <v>23058551</v>
      </c>
      <c r="V232" s="36" t="s">
        <v>25</v>
      </c>
      <c r="W232" s="36">
        <v>60</v>
      </c>
      <c r="X232" s="36">
        <v>60</v>
      </c>
      <c r="Y232" s="36">
        <v>60</v>
      </c>
      <c r="Z232" s="36">
        <v>60</v>
      </c>
      <c r="AA232" s="36">
        <v>0</v>
      </c>
      <c r="AB232" s="36">
        <v>0</v>
      </c>
      <c r="AC232" s="36">
        <v>0</v>
      </c>
      <c r="AD232" s="36">
        <v>0</v>
      </c>
      <c r="AE232" s="36">
        <v>60</v>
      </c>
      <c r="AF232" s="36">
        <v>60</v>
      </c>
      <c r="AG232" s="36"/>
      <c r="AH232" s="36"/>
      <c r="AI232" s="36" t="s">
        <v>200</v>
      </c>
      <c r="AJ232" s="36" t="s">
        <v>201</v>
      </c>
      <c r="AK232" s="36" t="s">
        <v>202</v>
      </c>
      <c r="AL232" s="36" t="s">
        <v>203</v>
      </c>
      <c r="AM232" s="36" t="s">
        <v>204</v>
      </c>
      <c r="AN232" s="36" t="s">
        <v>205</v>
      </c>
      <c r="AO232" s="36" t="s">
        <v>206</v>
      </c>
      <c r="AP232" s="36">
        <v>20</v>
      </c>
      <c r="AQ232" s="36">
        <v>1</v>
      </c>
      <c r="AR232" s="36"/>
      <c r="AS232" s="36"/>
      <c r="AT232" s="36" t="s">
        <v>627</v>
      </c>
      <c r="AU232" s="36" t="s">
        <v>628</v>
      </c>
      <c r="AV232" s="36" t="s">
        <v>209</v>
      </c>
      <c r="AW232" s="36" t="s">
        <v>209</v>
      </c>
      <c r="AX232" s="36" t="s">
        <v>210</v>
      </c>
      <c r="AY232" s="36">
        <v>0</v>
      </c>
      <c r="AZ232" s="36" t="s">
        <v>211</v>
      </c>
      <c r="BA232" s="36">
        <v>9044988633261</v>
      </c>
      <c r="BB232" s="36"/>
      <c r="BC232" s="36"/>
      <c r="BD232" s="36">
        <v>1</v>
      </c>
      <c r="BE232" s="36"/>
      <c r="BF232" s="36" t="s">
        <v>212</v>
      </c>
      <c r="BG232" s="36">
        <v>1333314600</v>
      </c>
      <c r="BH232" s="36" t="s">
        <v>213</v>
      </c>
      <c r="BI232" s="36">
        <v>60</v>
      </c>
      <c r="BJ232" s="36">
        <v>60</v>
      </c>
      <c r="BK232" s="36"/>
      <c r="BL232" s="36" t="s">
        <v>214</v>
      </c>
      <c r="BM232" s="36"/>
      <c r="BN232" s="36"/>
    </row>
    <row r="233" spans="1:66" x14ac:dyDescent="0.35">
      <c r="A233" s="36"/>
      <c r="B233" s="36"/>
      <c r="C233" s="37">
        <v>244626</v>
      </c>
      <c r="D233" s="37">
        <v>244626</v>
      </c>
      <c r="E233" s="36"/>
      <c r="F233" s="36" t="s">
        <v>192</v>
      </c>
      <c r="G233" s="36" t="s">
        <v>1</v>
      </c>
      <c r="H233" s="36">
        <v>0</v>
      </c>
      <c r="I233" s="36" t="s">
        <v>193</v>
      </c>
      <c r="J233" s="36" t="s">
        <v>194</v>
      </c>
      <c r="K233" s="36" t="s">
        <v>195</v>
      </c>
      <c r="L233" s="36">
        <v>923</v>
      </c>
      <c r="M233" s="36"/>
      <c r="N233" s="36" t="s">
        <v>226</v>
      </c>
      <c r="O233" s="36" t="s">
        <v>227</v>
      </c>
      <c r="P233" s="36">
        <v>2</v>
      </c>
      <c r="Q233" s="36" t="s">
        <v>228</v>
      </c>
      <c r="R233" s="37">
        <v>244412</v>
      </c>
      <c r="S233" s="37">
        <v>244626</v>
      </c>
      <c r="T233" s="36" t="s">
        <v>629</v>
      </c>
      <c r="U233" s="36">
        <v>23070475</v>
      </c>
      <c r="V233" s="36" t="s">
        <v>47</v>
      </c>
      <c r="W233" s="36">
        <v>100</v>
      </c>
      <c r="X233" s="36">
        <v>100</v>
      </c>
      <c r="Y233" s="36">
        <v>100</v>
      </c>
      <c r="Z233" s="36">
        <v>100</v>
      </c>
      <c r="AA233" s="36">
        <v>0</v>
      </c>
      <c r="AB233" s="36">
        <v>0</v>
      </c>
      <c r="AC233" s="36">
        <v>0</v>
      </c>
      <c r="AD233" s="36">
        <v>0</v>
      </c>
      <c r="AE233" s="36">
        <v>100</v>
      </c>
      <c r="AF233" s="36">
        <v>100</v>
      </c>
      <c r="AG233" s="36"/>
      <c r="AH233" s="36"/>
      <c r="AI233" s="36" t="s">
        <v>200</v>
      </c>
      <c r="AJ233" s="36" t="s">
        <v>201</v>
      </c>
      <c r="AK233" s="36" t="s">
        <v>202</v>
      </c>
      <c r="AL233" s="36" t="s">
        <v>203</v>
      </c>
      <c r="AM233" s="36" t="s">
        <v>204</v>
      </c>
      <c r="AN233" s="36" t="s">
        <v>222</v>
      </c>
      <c r="AO233" s="36" t="s">
        <v>206</v>
      </c>
      <c r="AP233" s="36">
        <v>2</v>
      </c>
      <c r="AQ233" s="36"/>
      <c r="AR233" s="36"/>
      <c r="AS233" s="36"/>
      <c r="AT233" s="36" t="s">
        <v>630</v>
      </c>
      <c r="AU233" s="36" t="s">
        <v>631</v>
      </c>
      <c r="AV233" s="36" t="s">
        <v>209</v>
      </c>
      <c r="AW233" s="36" t="s">
        <v>209</v>
      </c>
      <c r="AX233" s="36" t="s">
        <v>210</v>
      </c>
      <c r="AY233" s="36">
        <v>0</v>
      </c>
      <c r="AZ233" s="36" t="s">
        <v>211</v>
      </c>
      <c r="BA233" s="36">
        <v>9044988632979</v>
      </c>
      <c r="BB233" s="36"/>
      <c r="BC233" s="36"/>
      <c r="BD233" s="36">
        <v>1</v>
      </c>
      <c r="BE233" s="36"/>
      <c r="BF233" s="36" t="s">
        <v>212</v>
      </c>
      <c r="BG233" s="36">
        <v>1333314600</v>
      </c>
      <c r="BH233" s="36" t="s">
        <v>213</v>
      </c>
      <c r="BI233" s="36">
        <v>100</v>
      </c>
      <c r="BJ233" s="36">
        <v>100</v>
      </c>
      <c r="BK233" s="36">
        <v>1300</v>
      </c>
      <c r="BL233" s="36" t="s">
        <v>214</v>
      </c>
      <c r="BM233" s="36"/>
      <c r="BN233" s="36"/>
    </row>
    <row r="234" spans="1:66" x14ac:dyDescent="0.35">
      <c r="A234" s="36"/>
      <c r="B234" s="36"/>
      <c r="C234" s="37">
        <v>244626</v>
      </c>
      <c r="D234" s="37">
        <v>244626</v>
      </c>
      <c r="E234" s="36"/>
      <c r="F234" s="36" t="s">
        <v>192</v>
      </c>
      <c r="G234" s="36" t="s">
        <v>1</v>
      </c>
      <c r="H234" s="36">
        <v>0</v>
      </c>
      <c r="I234" s="36" t="s">
        <v>193</v>
      </c>
      <c r="J234" s="36" t="s">
        <v>194</v>
      </c>
      <c r="K234" s="36" t="s">
        <v>195</v>
      </c>
      <c r="L234" s="36">
        <v>923</v>
      </c>
      <c r="M234" s="36"/>
      <c r="N234" s="36" t="s">
        <v>226</v>
      </c>
      <c r="O234" s="36" t="s">
        <v>227</v>
      </c>
      <c r="P234" s="36">
        <v>2</v>
      </c>
      <c r="Q234" s="36" t="s">
        <v>228</v>
      </c>
      <c r="R234" s="37">
        <v>244412</v>
      </c>
      <c r="S234" s="37">
        <v>244626</v>
      </c>
      <c r="T234" s="36" t="s">
        <v>629</v>
      </c>
      <c r="U234" s="36">
        <v>23062103</v>
      </c>
      <c r="V234" s="36" t="s">
        <v>111</v>
      </c>
      <c r="W234" s="36">
        <v>20</v>
      </c>
      <c r="X234" s="36">
        <v>20</v>
      </c>
      <c r="Y234" s="36">
        <v>20</v>
      </c>
      <c r="Z234" s="36">
        <v>20</v>
      </c>
      <c r="AA234" s="36">
        <v>0</v>
      </c>
      <c r="AB234" s="36">
        <v>0</v>
      </c>
      <c r="AC234" s="36">
        <v>0</v>
      </c>
      <c r="AD234" s="36">
        <v>0</v>
      </c>
      <c r="AE234" s="36">
        <v>20</v>
      </c>
      <c r="AF234" s="36">
        <v>20</v>
      </c>
      <c r="AG234" s="36"/>
      <c r="AH234" s="36"/>
      <c r="AI234" s="36" t="s">
        <v>200</v>
      </c>
      <c r="AJ234" s="36" t="s">
        <v>201</v>
      </c>
      <c r="AK234" s="36" t="s">
        <v>215</v>
      </c>
      <c r="AL234" s="36" t="s">
        <v>203</v>
      </c>
      <c r="AM234" s="36" t="s">
        <v>204</v>
      </c>
      <c r="AN234" s="36" t="s">
        <v>222</v>
      </c>
      <c r="AO234" s="36" t="s">
        <v>206</v>
      </c>
      <c r="AP234" s="36">
        <v>2</v>
      </c>
      <c r="AQ234" s="36"/>
      <c r="AR234" s="36"/>
      <c r="AS234" s="36"/>
      <c r="AT234" s="36" t="s">
        <v>630</v>
      </c>
      <c r="AU234" s="36" t="s">
        <v>631</v>
      </c>
      <c r="AV234" s="36" t="s">
        <v>209</v>
      </c>
      <c r="AW234" s="36" t="s">
        <v>209</v>
      </c>
      <c r="AX234" s="36" t="s">
        <v>210</v>
      </c>
      <c r="AY234" s="36">
        <v>0</v>
      </c>
      <c r="AZ234" s="36" t="s">
        <v>211</v>
      </c>
      <c r="BA234" s="36">
        <v>9044988632979</v>
      </c>
      <c r="BB234" s="36"/>
      <c r="BC234" s="36"/>
      <c r="BD234" s="36">
        <v>1</v>
      </c>
      <c r="BE234" s="36"/>
      <c r="BF234" s="36" t="s">
        <v>212</v>
      </c>
      <c r="BG234" s="36">
        <v>1333314600</v>
      </c>
      <c r="BH234" s="36" t="s">
        <v>213</v>
      </c>
      <c r="BI234" s="36">
        <v>20</v>
      </c>
      <c r="BJ234" s="36">
        <v>20</v>
      </c>
      <c r="BK234" s="36">
        <v>1300</v>
      </c>
      <c r="BL234" s="36" t="s">
        <v>214</v>
      </c>
      <c r="BM234" s="36"/>
      <c r="BN234" s="36"/>
    </row>
    <row r="235" spans="1:66" x14ac:dyDescent="0.35">
      <c r="A235" s="36"/>
      <c r="B235" s="36"/>
      <c r="C235" s="37">
        <v>244626</v>
      </c>
      <c r="D235" s="37">
        <v>244626</v>
      </c>
      <c r="E235" s="36"/>
      <c r="F235" s="36" t="s">
        <v>192</v>
      </c>
      <c r="G235" s="36" t="s">
        <v>1</v>
      </c>
      <c r="H235" s="36">
        <v>0</v>
      </c>
      <c r="I235" s="36" t="s">
        <v>193</v>
      </c>
      <c r="J235" s="36" t="s">
        <v>194</v>
      </c>
      <c r="K235" s="36" t="s">
        <v>195</v>
      </c>
      <c r="L235" s="36">
        <v>923</v>
      </c>
      <c r="M235" s="36"/>
      <c r="N235" s="36" t="s">
        <v>226</v>
      </c>
      <c r="O235" s="36" t="s">
        <v>227</v>
      </c>
      <c r="P235" s="36">
        <v>2</v>
      </c>
      <c r="Q235" s="36" t="s">
        <v>228</v>
      </c>
      <c r="R235" s="37">
        <v>244412</v>
      </c>
      <c r="S235" s="37">
        <v>244626</v>
      </c>
      <c r="T235" s="36" t="s">
        <v>629</v>
      </c>
      <c r="U235" s="36">
        <v>23058584</v>
      </c>
      <c r="V235" s="36" t="s">
        <v>29</v>
      </c>
      <c r="W235" s="36">
        <v>50</v>
      </c>
      <c r="X235" s="36">
        <v>50</v>
      </c>
      <c r="Y235" s="36">
        <v>50</v>
      </c>
      <c r="Z235" s="36">
        <v>50</v>
      </c>
      <c r="AA235" s="36">
        <v>0</v>
      </c>
      <c r="AB235" s="36">
        <v>0</v>
      </c>
      <c r="AC235" s="36">
        <v>0</v>
      </c>
      <c r="AD235" s="36">
        <v>0</v>
      </c>
      <c r="AE235" s="36">
        <v>50</v>
      </c>
      <c r="AF235" s="36">
        <v>50</v>
      </c>
      <c r="AG235" s="36"/>
      <c r="AH235" s="36"/>
      <c r="AI235" s="36" t="s">
        <v>200</v>
      </c>
      <c r="AJ235" s="36" t="s">
        <v>201</v>
      </c>
      <c r="AK235" s="36" t="s">
        <v>215</v>
      </c>
      <c r="AL235" s="36" t="s">
        <v>203</v>
      </c>
      <c r="AM235" s="36" t="s">
        <v>204</v>
      </c>
      <c r="AN235" s="36" t="s">
        <v>222</v>
      </c>
      <c r="AO235" s="36" t="s">
        <v>206</v>
      </c>
      <c r="AP235" s="36">
        <v>2</v>
      </c>
      <c r="AQ235" s="36"/>
      <c r="AR235" s="36"/>
      <c r="AS235" s="36"/>
      <c r="AT235" s="36" t="s">
        <v>630</v>
      </c>
      <c r="AU235" s="36" t="s">
        <v>631</v>
      </c>
      <c r="AV235" s="36" t="s">
        <v>209</v>
      </c>
      <c r="AW235" s="36" t="s">
        <v>209</v>
      </c>
      <c r="AX235" s="36" t="s">
        <v>210</v>
      </c>
      <c r="AY235" s="36">
        <v>0</v>
      </c>
      <c r="AZ235" s="36" t="s">
        <v>211</v>
      </c>
      <c r="BA235" s="36">
        <v>9044988632979</v>
      </c>
      <c r="BB235" s="36"/>
      <c r="BC235" s="36"/>
      <c r="BD235" s="36">
        <v>1</v>
      </c>
      <c r="BE235" s="36"/>
      <c r="BF235" s="36" t="s">
        <v>212</v>
      </c>
      <c r="BG235" s="36">
        <v>1333314600</v>
      </c>
      <c r="BH235" s="36" t="s">
        <v>213</v>
      </c>
      <c r="BI235" s="36">
        <v>50</v>
      </c>
      <c r="BJ235" s="36">
        <v>50</v>
      </c>
      <c r="BK235" s="36">
        <v>1300</v>
      </c>
      <c r="BL235" s="36" t="s">
        <v>214</v>
      </c>
      <c r="BM235" s="36"/>
      <c r="BN235" s="36"/>
    </row>
    <row r="236" spans="1:66" x14ac:dyDescent="0.35">
      <c r="A236" s="36"/>
      <c r="B236" s="36"/>
      <c r="C236" s="37">
        <v>244626</v>
      </c>
      <c r="D236" s="37">
        <v>244626</v>
      </c>
      <c r="E236" s="36"/>
      <c r="F236" s="36" t="s">
        <v>192</v>
      </c>
      <c r="G236" s="36" t="s">
        <v>1</v>
      </c>
      <c r="H236" s="36">
        <v>0</v>
      </c>
      <c r="I236" s="36" t="s">
        <v>193</v>
      </c>
      <c r="J236" s="36" t="s">
        <v>194</v>
      </c>
      <c r="K236" s="36" t="s">
        <v>195</v>
      </c>
      <c r="L236" s="36">
        <v>923</v>
      </c>
      <c r="M236" s="36"/>
      <c r="N236" s="36" t="s">
        <v>226</v>
      </c>
      <c r="O236" s="36" t="s">
        <v>227</v>
      </c>
      <c r="P236" s="36">
        <v>2</v>
      </c>
      <c r="Q236" s="36" t="s">
        <v>228</v>
      </c>
      <c r="R236" s="37">
        <v>244412</v>
      </c>
      <c r="S236" s="37">
        <v>244626</v>
      </c>
      <c r="T236" s="36" t="s">
        <v>629</v>
      </c>
      <c r="U236" s="36">
        <v>23062105</v>
      </c>
      <c r="V236" s="36" t="s">
        <v>37</v>
      </c>
      <c r="W236" s="36">
        <v>5</v>
      </c>
      <c r="X236" s="36">
        <v>5</v>
      </c>
      <c r="Y236" s="36">
        <v>5</v>
      </c>
      <c r="Z236" s="36">
        <v>5</v>
      </c>
      <c r="AA236" s="36">
        <v>0</v>
      </c>
      <c r="AB236" s="36">
        <v>0</v>
      </c>
      <c r="AC236" s="36">
        <v>0</v>
      </c>
      <c r="AD236" s="36">
        <v>0</v>
      </c>
      <c r="AE236" s="36">
        <v>5</v>
      </c>
      <c r="AF236" s="36">
        <v>5</v>
      </c>
      <c r="AG236" s="36"/>
      <c r="AH236" s="36"/>
      <c r="AI236" s="36" t="s">
        <v>200</v>
      </c>
      <c r="AJ236" s="36" t="s">
        <v>201</v>
      </c>
      <c r="AK236" s="36" t="s">
        <v>215</v>
      </c>
      <c r="AL236" s="36" t="s">
        <v>203</v>
      </c>
      <c r="AM236" s="36" t="s">
        <v>204</v>
      </c>
      <c r="AN236" s="36" t="s">
        <v>222</v>
      </c>
      <c r="AO236" s="36" t="s">
        <v>206</v>
      </c>
      <c r="AP236" s="36">
        <v>2</v>
      </c>
      <c r="AQ236" s="36"/>
      <c r="AR236" s="36"/>
      <c r="AS236" s="36"/>
      <c r="AT236" s="36" t="s">
        <v>630</v>
      </c>
      <c r="AU236" s="36" t="s">
        <v>631</v>
      </c>
      <c r="AV236" s="36" t="s">
        <v>209</v>
      </c>
      <c r="AW236" s="36" t="s">
        <v>209</v>
      </c>
      <c r="AX236" s="36" t="s">
        <v>210</v>
      </c>
      <c r="AY236" s="36">
        <v>0</v>
      </c>
      <c r="AZ236" s="36" t="s">
        <v>211</v>
      </c>
      <c r="BA236" s="36">
        <v>9044988632979</v>
      </c>
      <c r="BB236" s="36"/>
      <c r="BC236" s="36"/>
      <c r="BD236" s="36">
        <v>1</v>
      </c>
      <c r="BE236" s="36"/>
      <c r="BF236" s="36" t="s">
        <v>212</v>
      </c>
      <c r="BG236" s="36">
        <v>1333314600</v>
      </c>
      <c r="BH236" s="36" t="s">
        <v>213</v>
      </c>
      <c r="BI236" s="36">
        <v>5</v>
      </c>
      <c r="BJ236" s="36">
        <v>5</v>
      </c>
      <c r="BK236" s="36">
        <v>1300</v>
      </c>
      <c r="BL236" s="36" t="s">
        <v>214</v>
      </c>
      <c r="BM236" s="36"/>
      <c r="BN236" s="36"/>
    </row>
    <row r="237" spans="1:66" x14ac:dyDescent="0.35">
      <c r="A237" s="36"/>
      <c r="B237" s="36"/>
      <c r="C237" s="37">
        <v>244626</v>
      </c>
      <c r="D237" s="37">
        <v>244626</v>
      </c>
      <c r="E237" s="36"/>
      <c r="F237" s="36" t="s">
        <v>192</v>
      </c>
      <c r="G237" s="36" t="s">
        <v>1</v>
      </c>
      <c r="H237" s="36">
        <v>0</v>
      </c>
      <c r="I237" s="36" t="s">
        <v>193</v>
      </c>
      <c r="J237" s="36" t="s">
        <v>194</v>
      </c>
      <c r="K237" s="36" t="s">
        <v>195</v>
      </c>
      <c r="L237" s="36">
        <v>923</v>
      </c>
      <c r="M237" s="36"/>
      <c r="N237" s="36" t="s">
        <v>226</v>
      </c>
      <c r="O237" s="36" t="s">
        <v>227</v>
      </c>
      <c r="P237" s="36">
        <v>2</v>
      </c>
      <c r="Q237" s="36" t="s">
        <v>228</v>
      </c>
      <c r="R237" s="37">
        <v>244412</v>
      </c>
      <c r="S237" s="37">
        <v>244626</v>
      </c>
      <c r="T237" s="36" t="s">
        <v>629</v>
      </c>
      <c r="U237" s="36">
        <v>23015265</v>
      </c>
      <c r="V237" s="36" t="s">
        <v>16</v>
      </c>
      <c r="W237" s="36">
        <v>80</v>
      </c>
      <c r="X237" s="36">
        <v>80</v>
      </c>
      <c r="Y237" s="36">
        <v>80</v>
      </c>
      <c r="Z237" s="36">
        <v>80</v>
      </c>
      <c r="AA237" s="36">
        <v>0</v>
      </c>
      <c r="AB237" s="36">
        <v>0</v>
      </c>
      <c r="AC237" s="36">
        <v>0</v>
      </c>
      <c r="AD237" s="36">
        <v>0</v>
      </c>
      <c r="AE237" s="36">
        <v>80</v>
      </c>
      <c r="AF237" s="36">
        <v>80</v>
      </c>
      <c r="AG237" s="36"/>
      <c r="AH237" s="36"/>
      <c r="AI237" s="36" t="s">
        <v>200</v>
      </c>
      <c r="AJ237" s="36" t="s">
        <v>201</v>
      </c>
      <c r="AK237" s="36" t="s">
        <v>202</v>
      </c>
      <c r="AL237" s="36" t="s">
        <v>203</v>
      </c>
      <c r="AM237" s="36" t="s">
        <v>204</v>
      </c>
      <c r="AN237" s="36" t="s">
        <v>222</v>
      </c>
      <c r="AO237" s="36" t="s">
        <v>206</v>
      </c>
      <c r="AP237" s="36">
        <v>2</v>
      </c>
      <c r="AQ237" s="36"/>
      <c r="AR237" s="36"/>
      <c r="AS237" s="36"/>
      <c r="AT237" s="36" t="s">
        <v>630</v>
      </c>
      <c r="AU237" s="36" t="s">
        <v>631</v>
      </c>
      <c r="AV237" s="36" t="s">
        <v>209</v>
      </c>
      <c r="AW237" s="36" t="s">
        <v>209</v>
      </c>
      <c r="AX237" s="36" t="s">
        <v>210</v>
      </c>
      <c r="AY237" s="36">
        <v>0</v>
      </c>
      <c r="AZ237" s="36" t="s">
        <v>211</v>
      </c>
      <c r="BA237" s="36">
        <v>9044988632979</v>
      </c>
      <c r="BB237" s="36"/>
      <c r="BC237" s="36"/>
      <c r="BD237" s="36">
        <v>1</v>
      </c>
      <c r="BE237" s="36"/>
      <c r="BF237" s="36" t="s">
        <v>212</v>
      </c>
      <c r="BG237" s="36">
        <v>1333314600</v>
      </c>
      <c r="BH237" s="36" t="s">
        <v>213</v>
      </c>
      <c r="BI237" s="36">
        <v>80</v>
      </c>
      <c r="BJ237" s="36">
        <v>80</v>
      </c>
      <c r="BK237" s="36">
        <v>1300</v>
      </c>
      <c r="BL237" s="36" t="s">
        <v>214</v>
      </c>
      <c r="BM237" s="36"/>
      <c r="BN237" s="36"/>
    </row>
    <row r="238" spans="1:66" x14ac:dyDescent="0.35">
      <c r="A238" s="36"/>
      <c r="B238" s="36"/>
      <c r="C238" s="37">
        <v>244626</v>
      </c>
      <c r="D238" s="37">
        <v>244626</v>
      </c>
      <c r="E238" s="36"/>
      <c r="F238" s="36" t="s">
        <v>192</v>
      </c>
      <c r="G238" s="36" t="s">
        <v>1</v>
      </c>
      <c r="H238" s="36">
        <v>0</v>
      </c>
      <c r="I238" s="36" t="s">
        <v>193</v>
      </c>
      <c r="J238" s="36" t="s">
        <v>194</v>
      </c>
      <c r="K238" s="36" t="s">
        <v>195</v>
      </c>
      <c r="L238" s="36">
        <v>923</v>
      </c>
      <c r="M238" s="36"/>
      <c r="N238" s="36" t="s">
        <v>226</v>
      </c>
      <c r="O238" s="36" t="s">
        <v>227</v>
      </c>
      <c r="P238" s="36">
        <v>2</v>
      </c>
      <c r="Q238" s="36" t="s">
        <v>228</v>
      </c>
      <c r="R238" s="37">
        <v>244412</v>
      </c>
      <c r="S238" s="37">
        <v>244626</v>
      </c>
      <c r="T238" s="36" t="s">
        <v>629</v>
      </c>
      <c r="U238" s="36">
        <v>23058551</v>
      </c>
      <c r="V238" s="36" t="s">
        <v>25</v>
      </c>
      <c r="W238" s="36">
        <v>150</v>
      </c>
      <c r="X238" s="36">
        <v>150</v>
      </c>
      <c r="Y238" s="36">
        <v>150</v>
      </c>
      <c r="Z238" s="36">
        <v>150</v>
      </c>
      <c r="AA238" s="36">
        <v>0</v>
      </c>
      <c r="AB238" s="36">
        <v>0</v>
      </c>
      <c r="AC238" s="36">
        <v>0</v>
      </c>
      <c r="AD238" s="36">
        <v>0</v>
      </c>
      <c r="AE238" s="36">
        <v>150</v>
      </c>
      <c r="AF238" s="36">
        <v>150</v>
      </c>
      <c r="AG238" s="36"/>
      <c r="AH238" s="36"/>
      <c r="AI238" s="36" t="s">
        <v>200</v>
      </c>
      <c r="AJ238" s="36" t="s">
        <v>201</v>
      </c>
      <c r="AK238" s="36" t="s">
        <v>202</v>
      </c>
      <c r="AL238" s="36" t="s">
        <v>203</v>
      </c>
      <c r="AM238" s="36" t="s">
        <v>204</v>
      </c>
      <c r="AN238" s="36" t="s">
        <v>222</v>
      </c>
      <c r="AO238" s="36" t="s">
        <v>206</v>
      </c>
      <c r="AP238" s="36">
        <v>2</v>
      </c>
      <c r="AQ238" s="36"/>
      <c r="AR238" s="36"/>
      <c r="AS238" s="36"/>
      <c r="AT238" s="36" t="s">
        <v>630</v>
      </c>
      <c r="AU238" s="36" t="s">
        <v>631</v>
      </c>
      <c r="AV238" s="36" t="s">
        <v>209</v>
      </c>
      <c r="AW238" s="36" t="s">
        <v>209</v>
      </c>
      <c r="AX238" s="36" t="s">
        <v>210</v>
      </c>
      <c r="AY238" s="36">
        <v>0</v>
      </c>
      <c r="AZ238" s="36" t="s">
        <v>211</v>
      </c>
      <c r="BA238" s="36">
        <v>9044988632979</v>
      </c>
      <c r="BB238" s="36"/>
      <c r="BC238" s="36"/>
      <c r="BD238" s="36">
        <v>1</v>
      </c>
      <c r="BE238" s="36"/>
      <c r="BF238" s="36" t="s">
        <v>212</v>
      </c>
      <c r="BG238" s="36">
        <v>1333314600</v>
      </c>
      <c r="BH238" s="36" t="s">
        <v>213</v>
      </c>
      <c r="BI238" s="36">
        <v>150</v>
      </c>
      <c r="BJ238" s="36">
        <v>150</v>
      </c>
      <c r="BK238" s="36">
        <v>1300</v>
      </c>
      <c r="BL238" s="36" t="s">
        <v>214</v>
      </c>
      <c r="BM238" s="36"/>
      <c r="BN238" s="36"/>
    </row>
    <row r="239" spans="1:66" x14ac:dyDescent="0.35">
      <c r="A239" s="36"/>
      <c r="B239" s="36"/>
      <c r="C239" s="37">
        <v>244626</v>
      </c>
      <c r="D239" s="37">
        <v>244626</v>
      </c>
      <c r="E239" s="36"/>
      <c r="F239" s="36" t="s">
        <v>192</v>
      </c>
      <c r="G239" s="36" t="s">
        <v>1</v>
      </c>
      <c r="H239" s="36">
        <v>0</v>
      </c>
      <c r="I239" s="36" t="s">
        <v>193</v>
      </c>
      <c r="J239" s="36" t="s">
        <v>194</v>
      </c>
      <c r="K239" s="36" t="s">
        <v>195</v>
      </c>
      <c r="L239" s="36">
        <v>923</v>
      </c>
      <c r="M239" s="36"/>
      <c r="N239" s="36" t="s">
        <v>226</v>
      </c>
      <c r="O239" s="36" t="s">
        <v>227</v>
      </c>
      <c r="P239" s="36">
        <v>2</v>
      </c>
      <c r="Q239" s="36" t="s">
        <v>228</v>
      </c>
      <c r="R239" s="37">
        <v>244412</v>
      </c>
      <c r="S239" s="37">
        <v>244626</v>
      </c>
      <c r="T239" s="36" t="s">
        <v>629</v>
      </c>
      <c r="U239" s="36">
        <v>23057815</v>
      </c>
      <c r="V239" s="36" t="s">
        <v>20</v>
      </c>
      <c r="W239" s="36">
        <v>0</v>
      </c>
      <c r="X239" s="36">
        <v>0</v>
      </c>
      <c r="Y239" s="36">
        <v>0</v>
      </c>
      <c r="Z239" s="36">
        <v>0</v>
      </c>
      <c r="AA239" s="36">
        <v>0</v>
      </c>
      <c r="AB239" s="36">
        <v>0</v>
      </c>
      <c r="AC239" s="36">
        <v>0</v>
      </c>
      <c r="AD239" s="36">
        <v>0</v>
      </c>
      <c r="AE239" s="36">
        <v>0</v>
      </c>
      <c r="AF239" s="36">
        <v>0</v>
      </c>
      <c r="AG239" s="36"/>
      <c r="AH239" s="36"/>
      <c r="AI239" s="36" t="s">
        <v>200</v>
      </c>
      <c r="AJ239" s="36" t="s">
        <v>201</v>
      </c>
      <c r="AK239" s="36" t="s">
        <v>202</v>
      </c>
      <c r="AL239" s="36" t="s">
        <v>203</v>
      </c>
      <c r="AM239" s="36" t="s">
        <v>204</v>
      </c>
      <c r="AN239" s="36" t="s">
        <v>222</v>
      </c>
      <c r="AO239" s="36" t="s">
        <v>206</v>
      </c>
      <c r="AP239" s="36">
        <v>2</v>
      </c>
      <c r="AQ239" s="36"/>
      <c r="AR239" s="36"/>
      <c r="AS239" s="36"/>
      <c r="AT239" s="36" t="s">
        <v>630</v>
      </c>
      <c r="AU239" s="36" t="s">
        <v>631</v>
      </c>
      <c r="AV239" s="36" t="s">
        <v>209</v>
      </c>
      <c r="AW239" s="36" t="s">
        <v>209</v>
      </c>
      <c r="AX239" s="36" t="s">
        <v>210</v>
      </c>
      <c r="AY239" s="36">
        <v>0</v>
      </c>
      <c r="AZ239" s="36" t="s">
        <v>211</v>
      </c>
      <c r="BA239" s="36">
        <v>9044988632979</v>
      </c>
      <c r="BB239" s="36"/>
      <c r="BC239" s="36"/>
      <c r="BD239" s="36">
        <v>1</v>
      </c>
      <c r="BE239" s="36"/>
      <c r="BF239" s="36" t="s">
        <v>212</v>
      </c>
      <c r="BG239" s="36">
        <v>1333314600</v>
      </c>
      <c r="BH239" s="36" t="s">
        <v>213</v>
      </c>
      <c r="BI239" s="36">
        <v>0</v>
      </c>
      <c r="BJ239" s="36">
        <v>0</v>
      </c>
      <c r="BK239" s="36">
        <v>1300</v>
      </c>
      <c r="BL239" s="36" t="s">
        <v>214</v>
      </c>
      <c r="BM239" s="36"/>
      <c r="BN239" s="36"/>
    </row>
    <row r="240" spans="1:66" x14ac:dyDescent="0.35">
      <c r="A240" s="36"/>
      <c r="B240" s="36"/>
      <c r="C240" s="37">
        <v>244626</v>
      </c>
      <c r="D240" s="37">
        <v>244626</v>
      </c>
      <c r="E240" s="36"/>
      <c r="F240" s="36" t="s">
        <v>192</v>
      </c>
      <c r="G240" s="36" t="s">
        <v>1</v>
      </c>
      <c r="H240" s="36">
        <v>0</v>
      </c>
      <c r="I240" s="36" t="s">
        <v>193</v>
      </c>
      <c r="J240" s="36" t="s">
        <v>194</v>
      </c>
      <c r="K240" s="36" t="s">
        <v>195</v>
      </c>
      <c r="L240" s="36">
        <v>923</v>
      </c>
      <c r="M240" s="36"/>
      <c r="N240" s="36" t="s">
        <v>226</v>
      </c>
      <c r="O240" s="36" t="s">
        <v>227</v>
      </c>
      <c r="P240" s="36">
        <v>2</v>
      </c>
      <c r="Q240" s="36" t="s">
        <v>228</v>
      </c>
      <c r="R240" s="37">
        <v>244412</v>
      </c>
      <c r="S240" s="37">
        <v>244626</v>
      </c>
      <c r="T240" s="36" t="s">
        <v>629</v>
      </c>
      <c r="U240" s="36">
        <v>23057809</v>
      </c>
      <c r="V240" s="36" t="s">
        <v>18</v>
      </c>
      <c r="W240" s="36">
        <v>100</v>
      </c>
      <c r="X240" s="36">
        <v>100</v>
      </c>
      <c r="Y240" s="36">
        <v>100</v>
      </c>
      <c r="Z240" s="36">
        <v>100</v>
      </c>
      <c r="AA240" s="36">
        <v>0</v>
      </c>
      <c r="AB240" s="36">
        <v>0</v>
      </c>
      <c r="AC240" s="36">
        <v>0</v>
      </c>
      <c r="AD240" s="36">
        <v>0</v>
      </c>
      <c r="AE240" s="36">
        <v>100</v>
      </c>
      <c r="AF240" s="36">
        <v>100</v>
      </c>
      <c r="AG240" s="36"/>
      <c r="AH240" s="36"/>
      <c r="AI240" s="36" t="s">
        <v>200</v>
      </c>
      <c r="AJ240" s="36" t="s">
        <v>201</v>
      </c>
      <c r="AK240" s="36" t="s">
        <v>202</v>
      </c>
      <c r="AL240" s="36" t="s">
        <v>203</v>
      </c>
      <c r="AM240" s="36" t="s">
        <v>204</v>
      </c>
      <c r="AN240" s="36" t="s">
        <v>222</v>
      </c>
      <c r="AO240" s="36" t="s">
        <v>206</v>
      </c>
      <c r="AP240" s="36">
        <v>2</v>
      </c>
      <c r="AQ240" s="36"/>
      <c r="AR240" s="36"/>
      <c r="AS240" s="36"/>
      <c r="AT240" s="36" t="s">
        <v>630</v>
      </c>
      <c r="AU240" s="36" t="s">
        <v>631</v>
      </c>
      <c r="AV240" s="36" t="s">
        <v>209</v>
      </c>
      <c r="AW240" s="36" t="s">
        <v>209</v>
      </c>
      <c r="AX240" s="36" t="s">
        <v>210</v>
      </c>
      <c r="AY240" s="36">
        <v>0</v>
      </c>
      <c r="AZ240" s="36" t="s">
        <v>211</v>
      </c>
      <c r="BA240" s="36">
        <v>9044988632979</v>
      </c>
      <c r="BB240" s="36"/>
      <c r="BC240" s="36"/>
      <c r="BD240" s="36">
        <v>1</v>
      </c>
      <c r="BE240" s="36"/>
      <c r="BF240" s="36" t="s">
        <v>212</v>
      </c>
      <c r="BG240" s="36">
        <v>1333314600</v>
      </c>
      <c r="BH240" s="36" t="s">
        <v>213</v>
      </c>
      <c r="BI240" s="36">
        <v>100</v>
      </c>
      <c r="BJ240" s="36">
        <v>100</v>
      </c>
      <c r="BK240" s="36">
        <v>1300</v>
      </c>
      <c r="BL240" s="36" t="s">
        <v>214</v>
      </c>
      <c r="BM240" s="36"/>
      <c r="BN240" s="36"/>
    </row>
    <row r="241" spans="1:66" x14ac:dyDescent="0.35">
      <c r="A241" s="36"/>
      <c r="B241" s="36"/>
      <c r="C241" s="37">
        <v>244626</v>
      </c>
      <c r="D241" s="37">
        <v>244626</v>
      </c>
      <c r="E241" s="36"/>
      <c r="F241" s="36" t="s">
        <v>192</v>
      </c>
      <c r="G241" s="36" t="s">
        <v>1</v>
      </c>
      <c r="H241" s="36">
        <v>0</v>
      </c>
      <c r="I241" s="36" t="s">
        <v>193</v>
      </c>
      <c r="J241" s="36" t="s">
        <v>194</v>
      </c>
      <c r="K241" s="36" t="s">
        <v>195</v>
      </c>
      <c r="L241" s="36">
        <v>923</v>
      </c>
      <c r="M241" s="36"/>
      <c r="N241" s="36" t="s">
        <v>226</v>
      </c>
      <c r="O241" s="36" t="s">
        <v>227</v>
      </c>
      <c r="P241" s="36">
        <v>2</v>
      </c>
      <c r="Q241" s="36" t="s">
        <v>228</v>
      </c>
      <c r="R241" s="37">
        <v>244412</v>
      </c>
      <c r="S241" s="37">
        <v>244626</v>
      </c>
      <c r="T241" s="36" t="s">
        <v>629</v>
      </c>
      <c r="U241" s="36">
        <v>23062095</v>
      </c>
      <c r="V241" s="36" t="s">
        <v>36</v>
      </c>
      <c r="W241" s="36">
        <v>10</v>
      </c>
      <c r="X241" s="36">
        <v>10</v>
      </c>
      <c r="Y241" s="36">
        <v>10</v>
      </c>
      <c r="Z241" s="36">
        <v>10</v>
      </c>
      <c r="AA241" s="36">
        <v>0</v>
      </c>
      <c r="AB241" s="36">
        <v>0</v>
      </c>
      <c r="AC241" s="36">
        <v>0</v>
      </c>
      <c r="AD241" s="36">
        <v>0</v>
      </c>
      <c r="AE241" s="36">
        <v>10</v>
      </c>
      <c r="AF241" s="36">
        <v>10</v>
      </c>
      <c r="AG241" s="36"/>
      <c r="AH241" s="36"/>
      <c r="AI241" s="36" t="s">
        <v>200</v>
      </c>
      <c r="AJ241" s="36" t="s">
        <v>201</v>
      </c>
      <c r="AK241" s="36" t="s">
        <v>215</v>
      </c>
      <c r="AL241" s="36" t="s">
        <v>203</v>
      </c>
      <c r="AM241" s="36" t="s">
        <v>204</v>
      </c>
      <c r="AN241" s="36" t="s">
        <v>222</v>
      </c>
      <c r="AO241" s="36" t="s">
        <v>206</v>
      </c>
      <c r="AP241" s="36">
        <v>2</v>
      </c>
      <c r="AQ241" s="36"/>
      <c r="AR241" s="36"/>
      <c r="AS241" s="36"/>
      <c r="AT241" s="36" t="s">
        <v>630</v>
      </c>
      <c r="AU241" s="36" t="s">
        <v>631</v>
      </c>
      <c r="AV241" s="36" t="s">
        <v>209</v>
      </c>
      <c r="AW241" s="36" t="s">
        <v>209</v>
      </c>
      <c r="AX241" s="36" t="s">
        <v>210</v>
      </c>
      <c r="AY241" s="36">
        <v>0</v>
      </c>
      <c r="AZ241" s="36" t="s">
        <v>211</v>
      </c>
      <c r="BA241" s="36">
        <v>9044988632979</v>
      </c>
      <c r="BB241" s="36"/>
      <c r="BC241" s="36"/>
      <c r="BD241" s="36">
        <v>1</v>
      </c>
      <c r="BE241" s="36"/>
      <c r="BF241" s="36" t="s">
        <v>212</v>
      </c>
      <c r="BG241" s="36">
        <v>1333314600</v>
      </c>
      <c r="BH241" s="36" t="s">
        <v>213</v>
      </c>
      <c r="BI241" s="36">
        <v>10</v>
      </c>
      <c r="BJ241" s="36">
        <v>10</v>
      </c>
      <c r="BK241" s="36">
        <v>1300</v>
      </c>
      <c r="BL241" s="36" t="s">
        <v>214</v>
      </c>
      <c r="BM241" s="36"/>
      <c r="BN241" s="36"/>
    </row>
    <row r="242" spans="1:66" x14ac:dyDescent="0.35">
      <c r="A242" s="36"/>
      <c r="B242" s="36"/>
      <c r="C242" s="37">
        <v>244626</v>
      </c>
      <c r="D242" s="37">
        <v>244626</v>
      </c>
      <c r="E242" s="36"/>
      <c r="F242" s="36" t="s">
        <v>192</v>
      </c>
      <c r="G242" s="36" t="s">
        <v>1</v>
      </c>
      <c r="H242" s="36">
        <v>0</v>
      </c>
      <c r="I242" s="36" t="s">
        <v>193</v>
      </c>
      <c r="J242" s="36" t="s">
        <v>194</v>
      </c>
      <c r="K242" s="36" t="s">
        <v>195</v>
      </c>
      <c r="L242" s="36">
        <v>923</v>
      </c>
      <c r="M242" s="36"/>
      <c r="N242" s="36" t="s">
        <v>226</v>
      </c>
      <c r="O242" s="36" t="s">
        <v>227</v>
      </c>
      <c r="P242" s="36">
        <v>2</v>
      </c>
      <c r="Q242" s="36" t="s">
        <v>228</v>
      </c>
      <c r="R242" s="37">
        <v>244412</v>
      </c>
      <c r="S242" s="37">
        <v>244626</v>
      </c>
      <c r="T242" s="36" t="s">
        <v>629</v>
      </c>
      <c r="U242" s="36">
        <v>23098990</v>
      </c>
      <c r="V242" s="36" t="s">
        <v>121</v>
      </c>
      <c r="W242" s="36">
        <v>10</v>
      </c>
      <c r="X242" s="36">
        <v>10</v>
      </c>
      <c r="Y242" s="36">
        <v>10</v>
      </c>
      <c r="Z242" s="36">
        <v>10</v>
      </c>
      <c r="AA242" s="36">
        <v>0</v>
      </c>
      <c r="AB242" s="36">
        <v>0</v>
      </c>
      <c r="AC242" s="36">
        <v>0</v>
      </c>
      <c r="AD242" s="36">
        <v>0</v>
      </c>
      <c r="AE242" s="36">
        <v>10</v>
      </c>
      <c r="AF242" s="36">
        <v>10</v>
      </c>
      <c r="AG242" s="36"/>
      <c r="AH242" s="36"/>
      <c r="AI242" s="36" t="s">
        <v>200</v>
      </c>
      <c r="AJ242" s="36" t="s">
        <v>201</v>
      </c>
      <c r="AK242" s="36" t="s">
        <v>202</v>
      </c>
      <c r="AL242" s="36" t="s">
        <v>203</v>
      </c>
      <c r="AM242" s="36" t="s">
        <v>204</v>
      </c>
      <c r="AN242" s="36" t="s">
        <v>222</v>
      </c>
      <c r="AO242" s="36" t="s">
        <v>206</v>
      </c>
      <c r="AP242" s="36">
        <v>2</v>
      </c>
      <c r="AQ242" s="36"/>
      <c r="AR242" s="36"/>
      <c r="AS242" s="36"/>
      <c r="AT242" s="36" t="s">
        <v>630</v>
      </c>
      <c r="AU242" s="36" t="s">
        <v>631</v>
      </c>
      <c r="AV242" s="36" t="s">
        <v>209</v>
      </c>
      <c r="AW242" s="36" t="s">
        <v>209</v>
      </c>
      <c r="AX242" s="36" t="s">
        <v>210</v>
      </c>
      <c r="AY242" s="36">
        <v>0</v>
      </c>
      <c r="AZ242" s="36" t="s">
        <v>211</v>
      </c>
      <c r="BA242" s="36">
        <v>9044988632979</v>
      </c>
      <c r="BB242" s="36"/>
      <c r="BC242" s="36"/>
      <c r="BD242" s="36">
        <v>1</v>
      </c>
      <c r="BE242" s="36"/>
      <c r="BF242" s="36" t="s">
        <v>212</v>
      </c>
      <c r="BG242" s="36">
        <v>1333314600</v>
      </c>
      <c r="BH242" s="36" t="s">
        <v>213</v>
      </c>
      <c r="BI242" s="36">
        <v>10</v>
      </c>
      <c r="BJ242" s="36">
        <v>10</v>
      </c>
      <c r="BK242" s="36">
        <v>1300</v>
      </c>
      <c r="BL242" s="36" t="s">
        <v>214</v>
      </c>
      <c r="BM242" s="36"/>
      <c r="BN242" s="36"/>
    </row>
    <row r="243" spans="1:66" x14ac:dyDescent="0.35">
      <c r="A243" s="36"/>
      <c r="B243" s="36"/>
      <c r="C243" s="37">
        <v>244626</v>
      </c>
      <c r="D243" s="37">
        <v>244626</v>
      </c>
      <c r="E243" s="36"/>
      <c r="F243" s="36" t="s">
        <v>192</v>
      </c>
      <c r="G243" s="36" t="s">
        <v>1</v>
      </c>
      <c r="H243" s="36">
        <v>0</v>
      </c>
      <c r="I243" s="36" t="s">
        <v>193</v>
      </c>
      <c r="J243" s="36" t="s">
        <v>194</v>
      </c>
      <c r="K243" s="36" t="s">
        <v>195</v>
      </c>
      <c r="L243" s="36">
        <v>923</v>
      </c>
      <c r="M243" s="36"/>
      <c r="N243" s="36" t="s">
        <v>226</v>
      </c>
      <c r="O243" s="36" t="s">
        <v>227</v>
      </c>
      <c r="P243" s="36">
        <v>2</v>
      </c>
      <c r="Q243" s="36" t="s">
        <v>228</v>
      </c>
      <c r="R243" s="37">
        <v>244412</v>
      </c>
      <c r="S243" s="37">
        <v>244626</v>
      </c>
      <c r="T243" s="36" t="s">
        <v>629</v>
      </c>
      <c r="U243" s="36">
        <v>23071881</v>
      </c>
      <c r="V243" s="36" t="s">
        <v>48</v>
      </c>
      <c r="W243" s="36">
        <v>0</v>
      </c>
      <c r="X243" s="36">
        <v>0</v>
      </c>
      <c r="Y243" s="36">
        <v>0</v>
      </c>
      <c r="Z243" s="36">
        <v>0</v>
      </c>
      <c r="AA243" s="36">
        <v>0</v>
      </c>
      <c r="AB243" s="36">
        <v>0</v>
      </c>
      <c r="AC243" s="36">
        <v>0</v>
      </c>
      <c r="AD243" s="36">
        <v>0</v>
      </c>
      <c r="AE243" s="36">
        <v>0</v>
      </c>
      <c r="AF243" s="36">
        <v>0</v>
      </c>
      <c r="AG243" s="36"/>
      <c r="AH243" s="36"/>
      <c r="AI243" s="36" t="s">
        <v>200</v>
      </c>
      <c r="AJ243" s="36" t="s">
        <v>201</v>
      </c>
      <c r="AK243" s="36" t="s">
        <v>202</v>
      </c>
      <c r="AL243" s="36" t="s">
        <v>203</v>
      </c>
      <c r="AM243" s="36" t="s">
        <v>204</v>
      </c>
      <c r="AN243" s="36" t="s">
        <v>222</v>
      </c>
      <c r="AO243" s="36" t="s">
        <v>206</v>
      </c>
      <c r="AP243" s="36">
        <v>2</v>
      </c>
      <c r="AQ243" s="36"/>
      <c r="AR243" s="36"/>
      <c r="AS243" s="36"/>
      <c r="AT243" s="36" t="s">
        <v>630</v>
      </c>
      <c r="AU243" s="36" t="s">
        <v>631</v>
      </c>
      <c r="AV243" s="36" t="s">
        <v>217</v>
      </c>
      <c r="AW243" s="36" t="s">
        <v>209</v>
      </c>
      <c r="AX243" s="36" t="s">
        <v>210</v>
      </c>
      <c r="AY243" s="36">
        <v>0</v>
      </c>
      <c r="AZ243" s="36" t="s">
        <v>211</v>
      </c>
      <c r="BA243" s="36">
        <v>9044988632979</v>
      </c>
      <c r="BB243" s="36"/>
      <c r="BC243" s="36"/>
      <c r="BD243" s="36">
        <v>1</v>
      </c>
      <c r="BE243" s="36"/>
      <c r="BF243" s="36" t="s">
        <v>212</v>
      </c>
      <c r="BG243" s="36">
        <v>1333314600</v>
      </c>
      <c r="BH243" s="36" t="s">
        <v>213</v>
      </c>
      <c r="BI243" s="36">
        <v>0</v>
      </c>
      <c r="BJ243" s="36">
        <v>0</v>
      </c>
      <c r="BK243" s="36">
        <v>1300</v>
      </c>
      <c r="BL243" s="36" t="s">
        <v>214</v>
      </c>
      <c r="BM243" s="36"/>
      <c r="BN243" s="36"/>
    </row>
    <row r="244" spans="1:66" x14ac:dyDescent="0.35">
      <c r="A244" s="36"/>
      <c r="B244" s="36"/>
      <c r="C244" s="37">
        <v>244626</v>
      </c>
      <c r="D244" s="37">
        <v>244626</v>
      </c>
      <c r="E244" s="36"/>
      <c r="F244" s="36" t="s">
        <v>192</v>
      </c>
      <c r="G244" s="36" t="s">
        <v>1</v>
      </c>
      <c r="H244" s="36">
        <v>0</v>
      </c>
      <c r="I244" s="36" t="s">
        <v>193</v>
      </c>
      <c r="J244" s="36" t="s">
        <v>194</v>
      </c>
      <c r="K244" s="36" t="s">
        <v>195</v>
      </c>
      <c r="L244" s="36">
        <v>923</v>
      </c>
      <c r="M244" s="36"/>
      <c r="N244" s="36" t="s">
        <v>226</v>
      </c>
      <c r="O244" s="36" t="s">
        <v>227</v>
      </c>
      <c r="P244" s="36">
        <v>2</v>
      </c>
      <c r="Q244" s="36" t="s">
        <v>228</v>
      </c>
      <c r="R244" s="37">
        <v>244412</v>
      </c>
      <c r="S244" s="37">
        <v>244626</v>
      </c>
      <c r="T244" s="36" t="s">
        <v>629</v>
      </c>
      <c r="U244" s="36">
        <v>23066879</v>
      </c>
      <c r="V244" s="36" t="s">
        <v>45</v>
      </c>
      <c r="W244" s="36">
        <v>50</v>
      </c>
      <c r="X244" s="36">
        <v>50</v>
      </c>
      <c r="Y244" s="36">
        <v>50</v>
      </c>
      <c r="Z244" s="36">
        <v>50</v>
      </c>
      <c r="AA244" s="36">
        <v>0</v>
      </c>
      <c r="AB244" s="36">
        <v>0</v>
      </c>
      <c r="AC244" s="36">
        <v>0</v>
      </c>
      <c r="AD244" s="36">
        <v>0</v>
      </c>
      <c r="AE244" s="36">
        <v>50</v>
      </c>
      <c r="AF244" s="36">
        <v>50</v>
      </c>
      <c r="AG244" s="36"/>
      <c r="AH244" s="36"/>
      <c r="AI244" s="36" t="s">
        <v>200</v>
      </c>
      <c r="AJ244" s="36" t="s">
        <v>201</v>
      </c>
      <c r="AK244" s="36" t="s">
        <v>215</v>
      </c>
      <c r="AL244" s="36" t="s">
        <v>203</v>
      </c>
      <c r="AM244" s="36" t="s">
        <v>204</v>
      </c>
      <c r="AN244" s="36" t="s">
        <v>222</v>
      </c>
      <c r="AO244" s="36" t="s">
        <v>206</v>
      </c>
      <c r="AP244" s="36">
        <v>2</v>
      </c>
      <c r="AQ244" s="36"/>
      <c r="AR244" s="36"/>
      <c r="AS244" s="36"/>
      <c r="AT244" s="36" t="s">
        <v>630</v>
      </c>
      <c r="AU244" s="36" t="s">
        <v>631</v>
      </c>
      <c r="AV244" s="36" t="s">
        <v>209</v>
      </c>
      <c r="AW244" s="36" t="s">
        <v>209</v>
      </c>
      <c r="AX244" s="36" t="s">
        <v>210</v>
      </c>
      <c r="AY244" s="36">
        <v>0</v>
      </c>
      <c r="AZ244" s="36" t="s">
        <v>211</v>
      </c>
      <c r="BA244" s="36">
        <v>9044988632979</v>
      </c>
      <c r="BB244" s="36"/>
      <c r="BC244" s="36"/>
      <c r="BD244" s="36">
        <v>1</v>
      </c>
      <c r="BE244" s="36"/>
      <c r="BF244" s="36" t="s">
        <v>212</v>
      </c>
      <c r="BG244" s="36">
        <v>1333314600</v>
      </c>
      <c r="BH244" s="36" t="s">
        <v>213</v>
      </c>
      <c r="BI244" s="36">
        <v>50</v>
      </c>
      <c r="BJ244" s="36">
        <v>50</v>
      </c>
      <c r="BK244" s="36">
        <v>1300</v>
      </c>
      <c r="BL244" s="36" t="s">
        <v>214</v>
      </c>
      <c r="BM244" s="36"/>
      <c r="BN244" s="36"/>
    </row>
    <row r="245" spans="1:66" x14ac:dyDescent="0.35">
      <c r="A245" s="36"/>
      <c r="B245" s="36"/>
      <c r="C245" s="37">
        <v>244626</v>
      </c>
      <c r="D245" s="37">
        <v>244626</v>
      </c>
      <c r="E245" s="36"/>
      <c r="F245" s="36" t="s">
        <v>192</v>
      </c>
      <c r="G245" s="36" t="s">
        <v>1</v>
      </c>
      <c r="H245" s="36">
        <v>0</v>
      </c>
      <c r="I245" s="36" t="s">
        <v>193</v>
      </c>
      <c r="J245" s="36" t="s">
        <v>194</v>
      </c>
      <c r="K245" s="36" t="s">
        <v>195</v>
      </c>
      <c r="L245" s="36">
        <v>923</v>
      </c>
      <c r="M245" s="36"/>
      <c r="N245" s="36" t="s">
        <v>226</v>
      </c>
      <c r="O245" s="36" t="s">
        <v>227</v>
      </c>
      <c r="P245" s="36">
        <v>2</v>
      </c>
      <c r="Q245" s="36" t="s">
        <v>228</v>
      </c>
      <c r="R245" s="37">
        <v>244412</v>
      </c>
      <c r="S245" s="37">
        <v>244626</v>
      </c>
      <c r="T245" s="36" t="s">
        <v>629</v>
      </c>
      <c r="U245" s="36">
        <v>23105820</v>
      </c>
      <c r="V245" s="36" t="s">
        <v>123</v>
      </c>
      <c r="W245" s="36">
        <v>0</v>
      </c>
      <c r="X245" s="36">
        <v>0</v>
      </c>
      <c r="Y245" s="36">
        <v>0</v>
      </c>
      <c r="Z245" s="36">
        <v>0</v>
      </c>
      <c r="AA245" s="36">
        <v>0</v>
      </c>
      <c r="AB245" s="36">
        <v>0</v>
      </c>
      <c r="AC245" s="36">
        <v>0</v>
      </c>
      <c r="AD245" s="36">
        <v>0</v>
      </c>
      <c r="AE245" s="36">
        <v>0</v>
      </c>
      <c r="AF245" s="36">
        <v>0</v>
      </c>
      <c r="AG245" s="36"/>
      <c r="AH245" s="36"/>
      <c r="AI245" s="36" t="s">
        <v>200</v>
      </c>
      <c r="AJ245" s="36" t="s">
        <v>201</v>
      </c>
      <c r="AK245" s="36" t="s">
        <v>202</v>
      </c>
      <c r="AL245" s="36" t="s">
        <v>203</v>
      </c>
      <c r="AM245" s="36" t="s">
        <v>204</v>
      </c>
      <c r="AN245" s="36" t="s">
        <v>222</v>
      </c>
      <c r="AO245" s="36" t="s">
        <v>206</v>
      </c>
      <c r="AP245" s="36">
        <v>2</v>
      </c>
      <c r="AQ245" s="36"/>
      <c r="AR245" s="36"/>
      <c r="AS245" s="36"/>
      <c r="AT245" s="36" t="s">
        <v>630</v>
      </c>
      <c r="AU245" s="36" t="s">
        <v>631</v>
      </c>
      <c r="AV245" s="36" t="s">
        <v>217</v>
      </c>
      <c r="AW245" s="36" t="s">
        <v>209</v>
      </c>
      <c r="AX245" s="36" t="s">
        <v>210</v>
      </c>
      <c r="AY245" s="36">
        <v>0</v>
      </c>
      <c r="AZ245" s="36" t="s">
        <v>211</v>
      </c>
      <c r="BA245" s="36">
        <v>9044988632979</v>
      </c>
      <c r="BB245" s="36"/>
      <c r="BC245" s="36"/>
      <c r="BD245" s="36">
        <v>1</v>
      </c>
      <c r="BE245" s="36"/>
      <c r="BF245" s="36" t="s">
        <v>212</v>
      </c>
      <c r="BG245" s="36">
        <v>1333314600</v>
      </c>
      <c r="BH245" s="36" t="s">
        <v>213</v>
      </c>
      <c r="BI245" s="36">
        <v>0</v>
      </c>
      <c r="BJ245" s="36">
        <v>0</v>
      </c>
      <c r="BK245" s="36">
        <v>1300</v>
      </c>
      <c r="BL245" s="36" t="s">
        <v>214</v>
      </c>
      <c r="BM245" s="36"/>
      <c r="BN245" s="36"/>
    </row>
    <row r="246" spans="1:66" x14ac:dyDescent="0.35">
      <c r="A246" s="36"/>
      <c r="B246" s="36"/>
      <c r="C246" s="37">
        <v>244626</v>
      </c>
      <c r="D246" s="37">
        <v>244626</v>
      </c>
      <c r="E246" s="36"/>
      <c r="F246" s="36" t="s">
        <v>192</v>
      </c>
      <c r="G246" s="36" t="s">
        <v>1</v>
      </c>
      <c r="H246" s="36">
        <v>0</v>
      </c>
      <c r="I246" s="36" t="s">
        <v>193</v>
      </c>
      <c r="J246" s="36" t="s">
        <v>194</v>
      </c>
      <c r="K246" s="36" t="s">
        <v>195</v>
      </c>
      <c r="L246" s="36">
        <v>923</v>
      </c>
      <c r="M246" s="36"/>
      <c r="N246" s="36" t="s">
        <v>226</v>
      </c>
      <c r="O246" s="36" t="s">
        <v>227</v>
      </c>
      <c r="P246" s="36">
        <v>2</v>
      </c>
      <c r="Q246" s="36" t="s">
        <v>228</v>
      </c>
      <c r="R246" s="37">
        <v>244412</v>
      </c>
      <c r="S246" s="37">
        <v>244626</v>
      </c>
      <c r="T246" s="36" t="s">
        <v>629</v>
      </c>
      <c r="U246" s="36">
        <v>23088112</v>
      </c>
      <c r="V246" s="36" t="s">
        <v>56</v>
      </c>
      <c r="W246" s="36">
        <v>20</v>
      </c>
      <c r="X246" s="36">
        <v>20</v>
      </c>
      <c r="Y246" s="36">
        <v>20</v>
      </c>
      <c r="Z246" s="36">
        <v>20</v>
      </c>
      <c r="AA246" s="36">
        <v>0</v>
      </c>
      <c r="AB246" s="36">
        <v>0</v>
      </c>
      <c r="AC246" s="36">
        <v>0</v>
      </c>
      <c r="AD246" s="36">
        <v>0</v>
      </c>
      <c r="AE246" s="36">
        <v>20</v>
      </c>
      <c r="AF246" s="36">
        <v>20</v>
      </c>
      <c r="AG246" s="36"/>
      <c r="AH246" s="36"/>
      <c r="AI246" s="36" t="s">
        <v>200</v>
      </c>
      <c r="AJ246" s="36" t="s">
        <v>201</v>
      </c>
      <c r="AK246" s="36" t="s">
        <v>215</v>
      </c>
      <c r="AL246" s="36" t="s">
        <v>203</v>
      </c>
      <c r="AM246" s="36" t="s">
        <v>204</v>
      </c>
      <c r="AN246" s="36" t="s">
        <v>222</v>
      </c>
      <c r="AO246" s="36" t="s">
        <v>206</v>
      </c>
      <c r="AP246" s="36">
        <v>2</v>
      </c>
      <c r="AQ246" s="36"/>
      <c r="AR246" s="36"/>
      <c r="AS246" s="36"/>
      <c r="AT246" s="36" t="s">
        <v>630</v>
      </c>
      <c r="AU246" s="36" t="s">
        <v>631</v>
      </c>
      <c r="AV246" s="36" t="s">
        <v>209</v>
      </c>
      <c r="AW246" s="36" t="s">
        <v>209</v>
      </c>
      <c r="AX246" s="36" t="s">
        <v>210</v>
      </c>
      <c r="AY246" s="36">
        <v>0</v>
      </c>
      <c r="AZ246" s="36" t="s">
        <v>211</v>
      </c>
      <c r="BA246" s="36">
        <v>9044988632979</v>
      </c>
      <c r="BB246" s="36"/>
      <c r="BC246" s="36"/>
      <c r="BD246" s="36">
        <v>1</v>
      </c>
      <c r="BE246" s="36"/>
      <c r="BF246" s="36" t="s">
        <v>212</v>
      </c>
      <c r="BG246" s="36">
        <v>1333314600</v>
      </c>
      <c r="BH246" s="36" t="s">
        <v>213</v>
      </c>
      <c r="BI246" s="36">
        <v>20</v>
      </c>
      <c r="BJ246" s="36">
        <v>20</v>
      </c>
      <c r="BK246" s="36">
        <v>1300</v>
      </c>
      <c r="BL246" s="36" t="s">
        <v>214</v>
      </c>
      <c r="BM246" s="36"/>
      <c r="BN246" s="36"/>
    </row>
    <row r="247" spans="1:66" x14ac:dyDescent="0.35">
      <c r="A247" s="36"/>
      <c r="B247" s="36"/>
      <c r="C247" s="37">
        <v>244626</v>
      </c>
      <c r="D247" s="37">
        <v>244626</v>
      </c>
      <c r="E247" s="36"/>
      <c r="F247" s="36" t="s">
        <v>192</v>
      </c>
      <c r="G247" s="36" t="s">
        <v>1</v>
      </c>
      <c r="H247" s="36">
        <v>0</v>
      </c>
      <c r="I247" s="36" t="s">
        <v>193</v>
      </c>
      <c r="J247" s="36" t="s">
        <v>194</v>
      </c>
      <c r="K247" s="36" t="s">
        <v>195</v>
      </c>
      <c r="L247" s="36">
        <v>923</v>
      </c>
      <c r="M247" s="36"/>
      <c r="N247" s="36" t="s">
        <v>226</v>
      </c>
      <c r="O247" s="36" t="s">
        <v>227</v>
      </c>
      <c r="P247" s="36">
        <v>2</v>
      </c>
      <c r="Q247" s="36" t="s">
        <v>228</v>
      </c>
      <c r="R247" s="37">
        <v>244412</v>
      </c>
      <c r="S247" s="37">
        <v>244626</v>
      </c>
      <c r="T247" s="36" t="s">
        <v>629</v>
      </c>
      <c r="U247" s="36">
        <v>23088036</v>
      </c>
      <c r="V247" s="36" t="s">
        <v>55</v>
      </c>
      <c r="W247" s="36">
        <v>5</v>
      </c>
      <c r="X247" s="36">
        <v>5</v>
      </c>
      <c r="Y247" s="36">
        <v>5</v>
      </c>
      <c r="Z247" s="36">
        <v>5</v>
      </c>
      <c r="AA247" s="36">
        <v>0</v>
      </c>
      <c r="AB247" s="36">
        <v>0</v>
      </c>
      <c r="AC247" s="36">
        <v>0</v>
      </c>
      <c r="AD247" s="36">
        <v>0</v>
      </c>
      <c r="AE247" s="36">
        <v>5</v>
      </c>
      <c r="AF247" s="36">
        <v>5</v>
      </c>
      <c r="AG247" s="36"/>
      <c r="AH247" s="36"/>
      <c r="AI247" s="36" t="s">
        <v>200</v>
      </c>
      <c r="AJ247" s="36" t="s">
        <v>201</v>
      </c>
      <c r="AK247" s="36" t="s">
        <v>202</v>
      </c>
      <c r="AL247" s="36" t="s">
        <v>203</v>
      </c>
      <c r="AM247" s="36" t="s">
        <v>204</v>
      </c>
      <c r="AN247" s="36" t="s">
        <v>222</v>
      </c>
      <c r="AO247" s="36" t="s">
        <v>206</v>
      </c>
      <c r="AP247" s="36">
        <v>2</v>
      </c>
      <c r="AQ247" s="36"/>
      <c r="AR247" s="36"/>
      <c r="AS247" s="36"/>
      <c r="AT247" s="36" t="s">
        <v>630</v>
      </c>
      <c r="AU247" s="36" t="s">
        <v>631</v>
      </c>
      <c r="AV247" s="36" t="s">
        <v>209</v>
      </c>
      <c r="AW247" s="36" t="s">
        <v>209</v>
      </c>
      <c r="AX247" s="36" t="s">
        <v>210</v>
      </c>
      <c r="AY247" s="36">
        <v>0</v>
      </c>
      <c r="AZ247" s="36" t="s">
        <v>211</v>
      </c>
      <c r="BA247" s="36">
        <v>9044988632979</v>
      </c>
      <c r="BB247" s="36"/>
      <c r="BC247" s="36"/>
      <c r="BD247" s="36">
        <v>1</v>
      </c>
      <c r="BE247" s="36"/>
      <c r="BF247" s="36" t="s">
        <v>212</v>
      </c>
      <c r="BG247" s="36">
        <v>1333314600</v>
      </c>
      <c r="BH247" s="36" t="s">
        <v>213</v>
      </c>
      <c r="BI247" s="36">
        <v>5</v>
      </c>
      <c r="BJ247" s="36">
        <v>5</v>
      </c>
      <c r="BK247" s="36">
        <v>1300</v>
      </c>
      <c r="BL247" s="36" t="s">
        <v>214</v>
      </c>
      <c r="BM247" s="36"/>
      <c r="BN247" s="36"/>
    </row>
    <row r="248" spans="1:66" x14ac:dyDescent="0.35">
      <c r="A248" s="36"/>
      <c r="B248" s="36"/>
      <c r="C248" s="37">
        <v>244626</v>
      </c>
      <c r="D248" s="37">
        <v>244626</v>
      </c>
      <c r="E248" s="36"/>
      <c r="F248" s="36" t="s">
        <v>192</v>
      </c>
      <c r="G248" s="36" t="s">
        <v>1</v>
      </c>
      <c r="H248" s="36">
        <v>0</v>
      </c>
      <c r="I248" s="36" t="s">
        <v>193</v>
      </c>
      <c r="J248" s="36" t="s">
        <v>194</v>
      </c>
      <c r="K248" s="36" t="s">
        <v>195</v>
      </c>
      <c r="L248" s="36">
        <v>923</v>
      </c>
      <c r="M248" s="36"/>
      <c r="N248" s="36" t="s">
        <v>226</v>
      </c>
      <c r="O248" s="36" t="s">
        <v>227</v>
      </c>
      <c r="P248" s="36">
        <v>2</v>
      </c>
      <c r="Q248" s="36" t="s">
        <v>228</v>
      </c>
      <c r="R248" s="37">
        <v>244412</v>
      </c>
      <c r="S248" s="37">
        <v>244626</v>
      </c>
      <c r="T248" s="36" t="s">
        <v>629</v>
      </c>
      <c r="U248" s="36">
        <v>23098995</v>
      </c>
      <c r="V248" s="36" t="s">
        <v>70</v>
      </c>
      <c r="W248" s="36">
        <v>50</v>
      </c>
      <c r="X248" s="36">
        <v>50</v>
      </c>
      <c r="Y248" s="36">
        <v>50</v>
      </c>
      <c r="Z248" s="36">
        <v>50</v>
      </c>
      <c r="AA248" s="36">
        <v>0</v>
      </c>
      <c r="AB248" s="36">
        <v>0</v>
      </c>
      <c r="AC248" s="36">
        <v>0</v>
      </c>
      <c r="AD248" s="36">
        <v>0</v>
      </c>
      <c r="AE248" s="36">
        <v>50</v>
      </c>
      <c r="AF248" s="36">
        <v>50</v>
      </c>
      <c r="AG248" s="36"/>
      <c r="AH248" s="36"/>
      <c r="AI248" s="36" t="s">
        <v>200</v>
      </c>
      <c r="AJ248" s="36" t="s">
        <v>201</v>
      </c>
      <c r="AK248" s="36" t="s">
        <v>215</v>
      </c>
      <c r="AL248" s="36" t="s">
        <v>203</v>
      </c>
      <c r="AM248" s="36" t="s">
        <v>204</v>
      </c>
      <c r="AN248" s="36" t="s">
        <v>222</v>
      </c>
      <c r="AO248" s="36" t="s">
        <v>206</v>
      </c>
      <c r="AP248" s="36">
        <v>2</v>
      </c>
      <c r="AQ248" s="36"/>
      <c r="AR248" s="36"/>
      <c r="AS248" s="36"/>
      <c r="AT248" s="36" t="s">
        <v>630</v>
      </c>
      <c r="AU248" s="36" t="s">
        <v>631</v>
      </c>
      <c r="AV248" s="36" t="s">
        <v>209</v>
      </c>
      <c r="AW248" s="36" t="s">
        <v>209</v>
      </c>
      <c r="AX248" s="36" t="s">
        <v>210</v>
      </c>
      <c r="AY248" s="36">
        <v>0</v>
      </c>
      <c r="AZ248" s="36" t="s">
        <v>211</v>
      </c>
      <c r="BA248" s="36">
        <v>9044988632979</v>
      </c>
      <c r="BB248" s="36"/>
      <c r="BC248" s="36"/>
      <c r="BD248" s="36">
        <v>1</v>
      </c>
      <c r="BE248" s="36"/>
      <c r="BF248" s="36" t="s">
        <v>212</v>
      </c>
      <c r="BG248" s="36">
        <v>1333314600</v>
      </c>
      <c r="BH248" s="36" t="s">
        <v>213</v>
      </c>
      <c r="BI248" s="36">
        <v>50</v>
      </c>
      <c r="BJ248" s="36">
        <v>50</v>
      </c>
      <c r="BK248" s="36">
        <v>1300</v>
      </c>
      <c r="BL248" s="36" t="s">
        <v>214</v>
      </c>
      <c r="BM248" s="36"/>
      <c r="BN248" s="36"/>
    </row>
    <row r="249" spans="1:66" x14ac:dyDescent="0.35">
      <c r="A249" s="36"/>
      <c r="B249" s="36"/>
      <c r="C249" s="37">
        <v>244626</v>
      </c>
      <c r="D249" s="37">
        <v>244626</v>
      </c>
      <c r="E249" s="36"/>
      <c r="F249" s="36" t="s">
        <v>192</v>
      </c>
      <c r="G249" s="36" t="s">
        <v>1</v>
      </c>
      <c r="H249" s="36">
        <v>0</v>
      </c>
      <c r="I249" s="36" t="s">
        <v>193</v>
      </c>
      <c r="J249" s="36" t="s">
        <v>194</v>
      </c>
      <c r="K249" s="36" t="s">
        <v>195</v>
      </c>
      <c r="L249" s="36">
        <v>923</v>
      </c>
      <c r="M249" s="36"/>
      <c r="N249" s="36" t="s">
        <v>226</v>
      </c>
      <c r="O249" s="36" t="s">
        <v>227</v>
      </c>
      <c r="P249" s="36">
        <v>2</v>
      </c>
      <c r="Q249" s="36" t="s">
        <v>228</v>
      </c>
      <c r="R249" s="37">
        <v>244412</v>
      </c>
      <c r="S249" s="37">
        <v>244626</v>
      </c>
      <c r="T249" s="36" t="s">
        <v>629</v>
      </c>
      <c r="U249" s="36">
        <v>23062097</v>
      </c>
      <c r="V249" s="36" t="s">
        <v>115</v>
      </c>
      <c r="W249" s="36">
        <v>5</v>
      </c>
      <c r="X249" s="36">
        <v>5</v>
      </c>
      <c r="Y249" s="36">
        <v>5</v>
      </c>
      <c r="Z249" s="36">
        <v>5</v>
      </c>
      <c r="AA249" s="36">
        <v>0</v>
      </c>
      <c r="AB249" s="36">
        <v>0</v>
      </c>
      <c r="AC249" s="36">
        <v>0</v>
      </c>
      <c r="AD249" s="36">
        <v>0</v>
      </c>
      <c r="AE249" s="36">
        <v>5</v>
      </c>
      <c r="AF249" s="36">
        <v>5</v>
      </c>
      <c r="AG249" s="36"/>
      <c r="AH249" s="36"/>
      <c r="AI249" s="36" t="s">
        <v>200</v>
      </c>
      <c r="AJ249" s="36" t="s">
        <v>201</v>
      </c>
      <c r="AK249" s="36" t="s">
        <v>215</v>
      </c>
      <c r="AL249" s="36" t="s">
        <v>203</v>
      </c>
      <c r="AM249" s="36" t="s">
        <v>204</v>
      </c>
      <c r="AN249" s="36" t="s">
        <v>222</v>
      </c>
      <c r="AO249" s="36" t="s">
        <v>206</v>
      </c>
      <c r="AP249" s="36">
        <v>2</v>
      </c>
      <c r="AQ249" s="36"/>
      <c r="AR249" s="36"/>
      <c r="AS249" s="36"/>
      <c r="AT249" s="36" t="s">
        <v>630</v>
      </c>
      <c r="AU249" s="36" t="s">
        <v>631</v>
      </c>
      <c r="AV249" s="36" t="s">
        <v>209</v>
      </c>
      <c r="AW249" s="36" t="s">
        <v>209</v>
      </c>
      <c r="AX249" s="36" t="s">
        <v>210</v>
      </c>
      <c r="AY249" s="36">
        <v>0</v>
      </c>
      <c r="AZ249" s="36" t="s">
        <v>211</v>
      </c>
      <c r="BA249" s="36">
        <v>9044988632979</v>
      </c>
      <c r="BB249" s="36"/>
      <c r="BC249" s="36"/>
      <c r="BD249" s="36">
        <v>1</v>
      </c>
      <c r="BE249" s="36"/>
      <c r="BF249" s="36" t="s">
        <v>212</v>
      </c>
      <c r="BG249" s="36">
        <v>1333314600</v>
      </c>
      <c r="BH249" s="36" t="s">
        <v>213</v>
      </c>
      <c r="BI249" s="36">
        <v>5</v>
      </c>
      <c r="BJ249" s="36">
        <v>5</v>
      </c>
      <c r="BK249" s="36">
        <v>1300</v>
      </c>
      <c r="BL249" s="36" t="s">
        <v>214</v>
      </c>
      <c r="BM249" s="36"/>
      <c r="BN249" s="36"/>
    </row>
    <row r="250" spans="1:66" x14ac:dyDescent="0.35">
      <c r="A250" s="36"/>
      <c r="B250" s="36"/>
      <c r="C250" s="37">
        <v>244626</v>
      </c>
      <c r="D250" s="37">
        <v>244626</v>
      </c>
      <c r="E250" s="36"/>
      <c r="F250" s="36" t="s">
        <v>192</v>
      </c>
      <c r="G250" s="36" t="s">
        <v>1</v>
      </c>
      <c r="H250" s="36">
        <v>0</v>
      </c>
      <c r="I250" s="36" t="s">
        <v>193</v>
      </c>
      <c r="J250" s="36" t="s">
        <v>194</v>
      </c>
      <c r="K250" s="36" t="s">
        <v>195</v>
      </c>
      <c r="L250" s="36">
        <v>923</v>
      </c>
      <c r="M250" s="36"/>
      <c r="N250" s="36" t="s">
        <v>226</v>
      </c>
      <c r="O250" s="36" t="s">
        <v>227</v>
      </c>
      <c r="P250" s="36">
        <v>2</v>
      </c>
      <c r="Q250" s="36" t="s">
        <v>228</v>
      </c>
      <c r="R250" s="37">
        <v>244412</v>
      </c>
      <c r="S250" s="37">
        <v>244626</v>
      </c>
      <c r="T250" s="36" t="s">
        <v>629</v>
      </c>
      <c r="U250" s="36">
        <v>23058555</v>
      </c>
      <c r="V250" s="36" t="s">
        <v>28</v>
      </c>
      <c r="W250" s="36">
        <v>0</v>
      </c>
      <c r="X250" s="36">
        <v>0</v>
      </c>
      <c r="Y250" s="36">
        <v>0</v>
      </c>
      <c r="Z250" s="36">
        <v>0</v>
      </c>
      <c r="AA250" s="36">
        <v>0</v>
      </c>
      <c r="AB250" s="36">
        <v>0</v>
      </c>
      <c r="AC250" s="36">
        <v>0</v>
      </c>
      <c r="AD250" s="36">
        <v>0</v>
      </c>
      <c r="AE250" s="36">
        <v>0</v>
      </c>
      <c r="AF250" s="36">
        <v>0</v>
      </c>
      <c r="AG250" s="36"/>
      <c r="AH250" s="36"/>
      <c r="AI250" s="36" t="s">
        <v>200</v>
      </c>
      <c r="AJ250" s="36" t="s">
        <v>201</v>
      </c>
      <c r="AK250" s="36" t="s">
        <v>215</v>
      </c>
      <c r="AL250" s="36" t="s">
        <v>203</v>
      </c>
      <c r="AM250" s="36" t="s">
        <v>204</v>
      </c>
      <c r="AN250" s="36" t="s">
        <v>222</v>
      </c>
      <c r="AO250" s="36" t="s">
        <v>206</v>
      </c>
      <c r="AP250" s="36">
        <v>2</v>
      </c>
      <c r="AQ250" s="36"/>
      <c r="AR250" s="36"/>
      <c r="AS250" s="36"/>
      <c r="AT250" s="36" t="s">
        <v>630</v>
      </c>
      <c r="AU250" s="36" t="s">
        <v>631</v>
      </c>
      <c r="AV250" s="36" t="s">
        <v>209</v>
      </c>
      <c r="AW250" s="36" t="s">
        <v>209</v>
      </c>
      <c r="AX250" s="36" t="s">
        <v>210</v>
      </c>
      <c r="AY250" s="36">
        <v>0</v>
      </c>
      <c r="AZ250" s="36" t="s">
        <v>211</v>
      </c>
      <c r="BA250" s="36">
        <v>9044988632979</v>
      </c>
      <c r="BB250" s="36"/>
      <c r="BC250" s="36"/>
      <c r="BD250" s="36">
        <v>1</v>
      </c>
      <c r="BE250" s="36"/>
      <c r="BF250" s="36" t="s">
        <v>212</v>
      </c>
      <c r="BG250" s="36">
        <v>1333314600</v>
      </c>
      <c r="BH250" s="36" t="s">
        <v>213</v>
      </c>
      <c r="BI250" s="36">
        <v>0</v>
      </c>
      <c r="BJ250" s="36">
        <v>0</v>
      </c>
      <c r="BK250" s="36">
        <v>1300</v>
      </c>
      <c r="BL250" s="36" t="s">
        <v>214</v>
      </c>
      <c r="BM250" s="36"/>
      <c r="BN250" s="36"/>
    </row>
    <row r="251" spans="1:66" x14ac:dyDescent="0.35">
      <c r="A251" s="36"/>
      <c r="B251" s="36"/>
      <c r="C251" s="37">
        <v>244626</v>
      </c>
      <c r="D251" s="37">
        <v>244626</v>
      </c>
      <c r="E251" s="36"/>
      <c r="F251" s="36" t="s">
        <v>192</v>
      </c>
      <c r="G251" s="36" t="s">
        <v>1</v>
      </c>
      <c r="H251" s="36">
        <v>0</v>
      </c>
      <c r="I251" s="36" t="s">
        <v>193</v>
      </c>
      <c r="J251" s="36" t="s">
        <v>194</v>
      </c>
      <c r="K251" s="36" t="s">
        <v>195</v>
      </c>
      <c r="L251" s="36">
        <v>923</v>
      </c>
      <c r="M251" s="36"/>
      <c r="N251" s="36" t="s">
        <v>226</v>
      </c>
      <c r="O251" s="36" t="s">
        <v>227</v>
      </c>
      <c r="P251" s="36">
        <v>2</v>
      </c>
      <c r="Q251" s="36" t="s">
        <v>228</v>
      </c>
      <c r="R251" s="37">
        <v>244412</v>
      </c>
      <c r="S251" s="37">
        <v>244626</v>
      </c>
      <c r="T251" s="36" t="s">
        <v>629</v>
      </c>
      <c r="U251" s="36">
        <v>23065142</v>
      </c>
      <c r="V251" s="36" t="s">
        <v>42</v>
      </c>
      <c r="W251" s="36">
        <v>100</v>
      </c>
      <c r="X251" s="36">
        <v>100</v>
      </c>
      <c r="Y251" s="36">
        <v>100</v>
      </c>
      <c r="Z251" s="36">
        <v>100</v>
      </c>
      <c r="AA251" s="36">
        <v>0</v>
      </c>
      <c r="AB251" s="36">
        <v>0</v>
      </c>
      <c r="AC251" s="36">
        <v>0</v>
      </c>
      <c r="AD251" s="36">
        <v>0</v>
      </c>
      <c r="AE251" s="36">
        <v>100</v>
      </c>
      <c r="AF251" s="36">
        <v>100</v>
      </c>
      <c r="AG251" s="36"/>
      <c r="AH251" s="36"/>
      <c r="AI251" s="36" t="s">
        <v>200</v>
      </c>
      <c r="AJ251" s="36" t="s">
        <v>201</v>
      </c>
      <c r="AK251" s="36" t="s">
        <v>202</v>
      </c>
      <c r="AL251" s="36" t="s">
        <v>203</v>
      </c>
      <c r="AM251" s="36" t="s">
        <v>204</v>
      </c>
      <c r="AN251" s="36" t="s">
        <v>222</v>
      </c>
      <c r="AO251" s="36" t="s">
        <v>206</v>
      </c>
      <c r="AP251" s="36">
        <v>2</v>
      </c>
      <c r="AQ251" s="36"/>
      <c r="AR251" s="36"/>
      <c r="AS251" s="36"/>
      <c r="AT251" s="36" t="s">
        <v>630</v>
      </c>
      <c r="AU251" s="36" t="s">
        <v>631</v>
      </c>
      <c r="AV251" s="36" t="s">
        <v>209</v>
      </c>
      <c r="AW251" s="36" t="s">
        <v>209</v>
      </c>
      <c r="AX251" s="36" t="s">
        <v>210</v>
      </c>
      <c r="AY251" s="36">
        <v>0</v>
      </c>
      <c r="AZ251" s="36" t="s">
        <v>211</v>
      </c>
      <c r="BA251" s="36">
        <v>9044988632979</v>
      </c>
      <c r="BB251" s="36"/>
      <c r="BC251" s="36"/>
      <c r="BD251" s="36">
        <v>1</v>
      </c>
      <c r="BE251" s="36"/>
      <c r="BF251" s="36" t="s">
        <v>212</v>
      </c>
      <c r="BG251" s="36">
        <v>1333314600</v>
      </c>
      <c r="BH251" s="36" t="s">
        <v>213</v>
      </c>
      <c r="BI251" s="36">
        <v>100</v>
      </c>
      <c r="BJ251" s="36">
        <v>100</v>
      </c>
      <c r="BK251" s="36">
        <v>1300</v>
      </c>
      <c r="BL251" s="36" t="s">
        <v>214</v>
      </c>
      <c r="BM251" s="36"/>
      <c r="BN251" s="36"/>
    </row>
    <row r="252" spans="1:66" x14ac:dyDescent="0.35">
      <c r="A252" s="36"/>
      <c r="B252" s="36"/>
      <c r="C252" s="37">
        <v>244626</v>
      </c>
      <c r="D252" s="37">
        <v>244626</v>
      </c>
      <c r="E252" s="36"/>
      <c r="F252" s="36" t="s">
        <v>192</v>
      </c>
      <c r="G252" s="36" t="s">
        <v>1</v>
      </c>
      <c r="H252" s="36">
        <v>0</v>
      </c>
      <c r="I252" s="36" t="s">
        <v>193</v>
      </c>
      <c r="J252" s="36" t="s">
        <v>194</v>
      </c>
      <c r="K252" s="36" t="s">
        <v>195</v>
      </c>
      <c r="L252" s="36">
        <v>923</v>
      </c>
      <c r="M252" s="36"/>
      <c r="N252" s="36" t="s">
        <v>226</v>
      </c>
      <c r="O252" s="36" t="s">
        <v>227</v>
      </c>
      <c r="P252" s="36">
        <v>2</v>
      </c>
      <c r="Q252" s="36" t="s">
        <v>228</v>
      </c>
      <c r="R252" s="37">
        <v>244412</v>
      </c>
      <c r="S252" s="37">
        <v>244626</v>
      </c>
      <c r="T252" s="36" t="s">
        <v>629</v>
      </c>
      <c r="U252" s="36">
        <v>23058588</v>
      </c>
      <c r="V252" s="36" t="s">
        <v>114</v>
      </c>
      <c r="W252" s="36">
        <v>10</v>
      </c>
      <c r="X252" s="36">
        <v>10</v>
      </c>
      <c r="Y252" s="36">
        <v>10</v>
      </c>
      <c r="Z252" s="36">
        <v>10</v>
      </c>
      <c r="AA252" s="36">
        <v>0</v>
      </c>
      <c r="AB252" s="36">
        <v>0</v>
      </c>
      <c r="AC252" s="36">
        <v>0</v>
      </c>
      <c r="AD252" s="36">
        <v>0</v>
      </c>
      <c r="AE252" s="36">
        <v>10</v>
      </c>
      <c r="AF252" s="36">
        <v>10</v>
      </c>
      <c r="AG252" s="36"/>
      <c r="AH252" s="36"/>
      <c r="AI252" s="36" t="s">
        <v>200</v>
      </c>
      <c r="AJ252" s="36" t="s">
        <v>201</v>
      </c>
      <c r="AK252" s="36" t="s">
        <v>215</v>
      </c>
      <c r="AL252" s="36" t="s">
        <v>203</v>
      </c>
      <c r="AM252" s="36" t="s">
        <v>204</v>
      </c>
      <c r="AN252" s="36" t="s">
        <v>222</v>
      </c>
      <c r="AO252" s="36" t="s">
        <v>206</v>
      </c>
      <c r="AP252" s="36">
        <v>2</v>
      </c>
      <c r="AQ252" s="36"/>
      <c r="AR252" s="36"/>
      <c r="AS252" s="36"/>
      <c r="AT252" s="36" t="s">
        <v>630</v>
      </c>
      <c r="AU252" s="36" t="s">
        <v>631</v>
      </c>
      <c r="AV252" s="36" t="s">
        <v>209</v>
      </c>
      <c r="AW252" s="36" t="s">
        <v>209</v>
      </c>
      <c r="AX252" s="36" t="s">
        <v>210</v>
      </c>
      <c r="AY252" s="36">
        <v>0</v>
      </c>
      <c r="AZ252" s="36" t="s">
        <v>211</v>
      </c>
      <c r="BA252" s="36">
        <v>9044988632979</v>
      </c>
      <c r="BB252" s="36"/>
      <c r="BC252" s="36"/>
      <c r="BD252" s="36">
        <v>1</v>
      </c>
      <c r="BE252" s="36"/>
      <c r="BF252" s="36" t="s">
        <v>212</v>
      </c>
      <c r="BG252" s="36">
        <v>1333314600</v>
      </c>
      <c r="BH252" s="36" t="s">
        <v>213</v>
      </c>
      <c r="BI252" s="36">
        <v>10</v>
      </c>
      <c r="BJ252" s="36">
        <v>10</v>
      </c>
      <c r="BK252" s="36">
        <v>1300</v>
      </c>
      <c r="BL252" s="36" t="s">
        <v>214</v>
      </c>
      <c r="BM252" s="36"/>
      <c r="BN252" s="36"/>
    </row>
    <row r="253" spans="1:66" x14ac:dyDescent="0.35">
      <c r="A253" s="36"/>
      <c r="B253" s="36"/>
      <c r="C253" s="37">
        <v>244626</v>
      </c>
      <c r="D253" s="37">
        <v>244626</v>
      </c>
      <c r="E253" s="36"/>
      <c r="F253" s="36" t="s">
        <v>192</v>
      </c>
      <c r="G253" s="36" t="s">
        <v>1</v>
      </c>
      <c r="H253" s="36">
        <v>0</v>
      </c>
      <c r="I253" s="36" t="s">
        <v>193</v>
      </c>
      <c r="J253" s="36" t="s">
        <v>194</v>
      </c>
      <c r="K253" s="36" t="s">
        <v>195</v>
      </c>
      <c r="L253" s="36">
        <v>923</v>
      </c>
      <c r="M253" s="36"/>
      <c r="N253" s="36" t="s">
        <v>226</v>
      </c>
      <c r="O253" s="36" t="s">
        <v>227</v>
      </c>
      <c r="P253" s="36">
        <v>2</v>
      </c>
      <c r="Q253" s="36" t="s">
        <v>228</v>
      </c>
      <c r="R253" s="37">
        <v>244412</v>
      </c>
      <c r="S253" s="37">
        <v>244626</v>
      </c>
      <c r="T253" s="36" t="s">
        <v>629</v>
      </c>
      <c r="U253" s="36">
        <v>23058590</v>
      </c>
      <c r="V253" s="36" t="s">
        <v>34</v>
      </c>
      <c r="W253" s="36">
        <v>20</v>
      </c>
      <c r="X253" s="36">
        <v>20</v>
      </c>
      <c r="Y253" s="36">
        <v>20</v>
      </c>
      <c r="Z253" s="36">
        <v>20</v>
      </c>
      <c r="AA253" s="36">
        <v>0</v>
      </c>
      <c r="AB253" s="36">
        <v>0</v>
      </c>
      <c r="AC253" s="36">
        <v>0</v>
      </c>
      <c r="AD253" s="36">
        <v>0</v>
      </c>
      <c r="AE253" s="36">
        <v>20</v>
      </c>
      <c r="AF253" s="36">
        <v>20</v>
      </c>
      <c r="AG253" s="36"/>
      <c r="AH253" s="36"/>
      <c r="AI253" s="36" t="s">
        <v>200</v>
      </c>
      <c r="AJ253" s="36" t="s">
        <v>201</v>
      </c>
      <c r="AK253" s="36" t="s">
        <v>215</v>
      </c>
      <c r="AL253" s="36" t="s">
        <v>203</v>
      </c>
      <c r="AM253" s="36" t="s">
        <v>204</v>
      </c>
      <c r="AN253" s="36" t="s">
        <v>222</v>
      </c>
      <c r="AO253" s="36" t="s">
        <v>206</v>
      </c>
      <c r="AP253" s="36">
        <v>2</v>
      </c>
      <c r="AQ253" s="36"/>
      <c r="AR253" s="36"/>
      <c r="AS253" s="36"/>
      <c r="AT253" s="36" t="s">
        <v>630</v>
      </c>
      <c r="AU253" s="36" t="s">
        <v>631</v>
      </c>
      <c r="AV253" s="36" t="s">
        <v>209</v>
      </c>
      <c r="AW253" s="36" t="s">
        <v>209</v>
      </c>
      <c r="AX253" s="36" t="s">
        <v>210</v>
      </c>
      <c r="AY253" s="36">
        <v>0</v>
      </c>
      <c r="AZ253" s="36" t="s">
        <v>211</v>
      </c>
      <c r="BA253" s="36">
        <v>9044988632979</v>
      </c>
      <c r="BB253" s="36"/>
      <c r="BC253" s="36"/>
      <c r="BD253" s="36">
        <v>1</v>
      </c>
      <c r="BE253" s="36"/>
      <c r="BF253" s="36" t="s">
        <v>212</v>
      </c>
      <c r="BG253" s="36">
        <v>1333314600</v>
      </c>
      <c r="BH253" s="36" t="s">
        <v>213</v>
      </c>
      <c r="BI253" s="36">
        <v>20</v>
      </c>
      <c r="BJ253" s="36">
        <v>20</v>
      </c>
      <c r="BK253" s="36">
        <v>1300</v>
      </c>
      <c r="BL253" s="36" t="s">
        <v>214</v>
      </c>
      <c r="BM253" s="36"/>
      <c r="BN253" s="36"/>
    </row>
    <row r="254" spans="1:66" x14ac:dyDescent="0.35">
      <c r="A254" s="36"/>
      <c r="B254" s="36"/>
      <c r="C254" s="37">
        <v>244626</v>
      </c>
      <c r="D254" s="37">
        <v>244626</v>
      </c>
      <c r="E254" s="36"/>
      <c r="F254" s="36" t="s">
        <v>192</v>
      </c>
      <c r="G254" s="36" t="s">
        <v>1</v>
      </c>
      <c r="H254" s="36">
        <v>0</v>
      </c>
      <c r="I254" s="36" t="s">
        <v>193</v>
      </c>
      <c r="J254" s="36" t="s">
        <v>194</v>
      </c>
      <c r="K254" s="36" t="s">
        <v>195</v>
      </c>
      <c r="L254" s="36">
        <v>923</v>
      </c>
      <c r="M254" s="36"/>
      <c r="N254" s="36" t="s">
        <v>226</v>
      </c>
      <c r="O254" s="36" t="s">
        <v>227</v>
      </c>
      <c r="P254" s="36">
        <v>2</v>
      </c>
      <c r="Q254" s="36" t="s">
        <v>228</v>
      </c>
      <c r="R254" s="37">
        <v>244412</v>
      </c>
      <c r="S254" s="37">
        <v>244626</v>
      </c>
      <c r="T254" s="36" t="s">
        <v>629</v>
      </c>
      <c r="U254" s="36">
        <v>23062111</v>
      </c>
      <c r="V254" s="36" t="s">
        <v>110</v>
      </c>
      <c r="W254" s="36">
        <v>10</v>
      </c>
      <c r="X254" s="36">
        <v>10</v>
      </c>
      <c r="Y254" s="36">
        <v>10</v>
      </c>
      <c r="Z254" s="36">
        <v>10</v>
      </c>
      <c r="AA254" s="36">
        <v>0</v>
      </c>
      <c r="AB254" s="36">
        <v>0</v>
      </c>
      <c r="AC254" s="36">
        <v>0</v>
      </c>
      <c r="AD254" s="36">
        <v>0</v>
      </c>
      <c r="AE254" s="36">
        <v>10</v>
      </c>
      <c r="AF254" s="36">
        <v>10</v>
      </c>
      <c r="AG254" s="36"/>
      <c r="AH254" s="36"/>
      <c r="AI254" s="36" t="s">
        <v>200</v>
      </c>
      <c r="AJ254" s="36" t="s">
        <v>201</v>
      </c>
      <c r="AK254" s="36" t="s">
        <v>215</v>
      </c>
      <c r="AL254" s="36" t="s">
        <v>203</v>
      </c>
      <c r="AM254" s="36" t="s">
        <v>204</v>
      </c>
      <c r="AN254" s="36" t="s">
        <v>222</v>
      </c>
      <c r="AO254" s="36" t="s">
        <v>206</v>
      </c>
      <c r="AP254" s="36">
        <v>2</v>
      </c>
      <c r="AQ254" s="36"/>
      <c r="AR254" s="36"/>
      <c r="AS254" s="36"/>
      <c r="AT254" s="36" t="s">
        <v>630</v>
      </c>
      <c r="AU254" s="36" t="s">
        <v>631</v>
      </c>
      <c r="AV254" s="36" t="s">
        <v>209</v>
      </c>
      <c r="AW254" s="36" t="s">
        <v>209</v>
      </c>
      <c r="AX254" s="36" t="s">
        <v>210</v>
      </c>
      <c r="AY254" s="36">
        <v>0</v>
      </c>
      <c r="AZ254" s="36" t="s">
        <v>211</v>
      </c>
      <c r="BA254" s="36">
        <v>9044988632979</v>
      </c>
      <c r="BB254" s="36"/>
      <c r="BC254" s="36"/>
      <c r="BD254" s="36">
        <v>1</v>
      </c>
      <c r="BE254" s="36"/>
      <c r="BF254" s="36" t="s">
        <v>212</v>
      </c>
      <c r="BG254" s="36">
        <v>1333314600</v>
      </c>
      <c r="BH254" s="36" t="s">
        <v>213</v>
      </c>
      <c r="BI254" s="36">
        <v>10</v>
      </c>
      <c r="BJ254" s="36">
        <v>10</v>
      </c>
      <c r="BK254" s="36">
        <v>1300</v>
      </c>
      <c r="BL254" s="36" t="s">
        <v>214</v>
      </c>
      <c r="BM254" s="36"/>
      <c r="BN254" s="36"/>
    </row>
    <row r="255" spans="1:66" x14ac:dyDescent="0.35">
      <c r="A255" s="36"/>
      <c r="B255" s="36"/>
      <c r="C255" s="37">
        <v>244626</v>
      </c>
      <c r="D255" s="37">
        <v>244626</v>
      </c>
      <c r="E255" s="36"/>
      <c r="F255" s="36" t="s">
        <v>192</v>
      </c>
      <c r="G255" s="36" t="s">
        <v>1</v>
      </c>
      <c r="H255" s="36">
        <v>0</v>
      </c>
      <c r="I255" s="36" t="s">
        <v>193</v>
      </c>
      <c r="J255" s="36" t="s">
        <v>194</v>
      </c>
      <c r="K255" s="36" t="s">
        <v>195</v>
      </c>
      <c r="L255" s="36">
        <v>923</v>
      </c>
      <c r="M255" s="36"/>
      <c r="N255" s="36" t="s">
        <v>226</v>
      </c>
      <c r="O255" s="36" t="s">
        <v>227</v>
      </c>
      <c r="P255" s="36">
        <v>2</v>
      </c>
      <c r="Q255" s="36" t="s">
        <v>228</v>
      </c>
      <c r="R255" s="37">
        <v>244412</v>
      </c>
      <c r="S255" s="37">
        <v>244626</v>
      </c>
      <c r="T255" s="36" t="s">
        <v>629</v>
      </c>
      <c r="U255" s="36">
        <v>23087034</v>
      </c>
      <c r="V255" s="36" t="s">
        <v>54</v>
      </c>
      <c r="W255" s="36">
        <v>10</v>
      </c>
      <c r="X255" s="36">
        <v>10</v>
      </c>
      <c r="Y255" s="36">
        <v>10</v>
      </c>
      <c r="Z255" s="36">
        <v>10</v>
      </c>
      <c r="AA255" s="36">
        <v>0</v>
      </c>
      <c r="AB255" s="36">
        <v>0</v>
      </c>
      <c r="AC255" s="36">
        <v>0</v>
      </c>
      <c r="AD255" s="36">
        <v>0</v>
      </c>
      <c r="AE255" s="36">
        <v>10</v>
      </c>
      <c r="AF255" s="36">
        <v>10</v>
      </c>
      <c r="AG255" s="36"/>
      <c r="AH255" s="36"/>
      <c r="AI255" s="36" t="s">
        <v>200</v>
      </c>
      <c r="AJ255" s="36" t="s">
        <v>201</v>
      </c>
      <c r="AK255" s="36" t="s">
        <v>202</v>
      </c>
      <c r="AL255" s="36" t="s">
        <v>203</v>
      </c>
      <c r="AM255" s="36" t="s">
        <v>204</v>
      </c>
      <c r="AN255" s="36" t="s">
        <v>222</v>
      </c>
      <c r="AO255" s="36" t="s">
        <v>206</v>
      </c>
      <c r="AP255" s="36">
        <v>2</v>
      </c>
      <c r="AQ255" s="36"/>
      <c r="AR255" s="36"/>
      <c r="AS255" s="36"/>
      <c r="AT255" s="36" t="s">
        <v>630</v>
      </c>
      <c r="AU255" s="36" t="s">
        <v>631</v>
      </c>
      <c r="AV255" s="36" t="s">
        <v>209</v>
      </c>
      <c r="AW255" s="36" t="s">
        <v>209</v>
      </c>
      <c r="AX255" s="36" t="s">
        <v>210</v>
      </c>
      <c r="AY255" s="36">
        <v>0</v>
      </c>
      <c r="AZ255" s="36" t="s">
        <v>211</v>
      </c>
      <c r="BA255" s="36">
        <v>9044988632979</v>
      </c>
      <c r="BB255" s="36"/>
      <c r="BC255" s="36"/>
      <c r="BD255" s="36">
        <v>1</v>
      </c>
      <c r="BE255" s="36"/>
      <c r="BF255" s="36" t="s">
        <v>212</v>
      </c>
      <c r="BG255" s="36">
        <v>1333314600</v>
      </c>
      <c r="BH255" s="36" t="s">
        <v>213</v>
      </c>
      <c r="BI255" s="36">
        <v>10</v>
      </c>
      <c r="BJ255" s="36">
        <v>10</v>
      </c>
      <c r="BK255" s="36">
        <v>1300</v>
      </c>
      <c r="BL255" s="36" t="s">
        <v>214</v>
      </c>
      <c r="BM255" s="36"/>
      <c r="BN255" s="36"/>
    </row>
    <row r="256" spans="1:66" x14ac:dyDescent="0.35">
      <c r="A256" s="36"/>
      <c r="B256" s="36"/>
      <c r="C256" s="37">
        <v>244626</v>
      </c>
      <c r="D256" s="37">
        <v>244626</v>
      </c>
      <c r="E256" s="36"/>
      <c r="F256" s="36" t="s">
        <v>192</v>
      </c>
      <c r="G256" s="36" t="s">
        <v>1</v>
      </c>
      <c r="H256" s="36">
        <v>0</v>
      </c>
      <c r="I256" s="36" t="s">
        <v>193</v>
      </c>
      <c r="J256" s="36" t="s">
        <v>194</v>
      </c>
      <c r="K256" s="36" t="s">
        <v>195</v>
      </c>
      <c r="L256" s="36">
        <v>923</v>
      </c>
      <c r="M256" s="36"/>
      <c r="N256" s="36" t="s">
        <v>226</v>
      </c>
      <c r="O256" s="36" t="s">
        <v>227</v>
      </c>
      <c r="P256" s="36">
        <v>2</v>
      </c>
      <c r="Q256" s="36" t="s">
        <v>228</v>
      </c>
      <c r="R256" s="37">
        <v>244412</v>
      </c>
      <c r="S256" s="37">
        <v>244626</v>
      </c>
      <c r="T256" s="36" t="s">
        <v>629</v>
      </c>
      <c r="U256" s="36">
        <v>23058585</v>
      </c>
      <c r="V256" s="36" t="s">
        <v>30</v>
      </c>
      <c r="W256" s="36">
        <v>15</v>
      </c>
      <c r="X256" s="36">
        <v>15</v>
      </c>
      <c r="Y256" s="36">
        <v>15</v>
      </c>
      <c r="Z256" s="36">
        <v>15</v>
      </c>
      <c r="AA256" s="36">
        <v>0</v>
      </c>
      <c r="AB256" s="36">
        <v>0</v>
      </c>
      <c r="AC256" s="36">
        <v>0</v>
      </c>
      <c r="AD256" s="36">
        <v>0</v>
      </c>
      <c r="AE256" s="36">
        <v>15</v>
      </c>
      <c r="AF256" s="36">
        <v>15</v>
      </c>
      <c r="AG256" s="36"/>
      <c r="AH256" s="36"/>
      <c r="AI256" s="36" t="s">
        <v>200</v>
      </c>
      <c r="AJ256" s="36" t="s">
        <v>201</v>
      </c>
      <c r="AK256" s="36" t="s">
        <v>215</v>
      </c>
      <c r="AL256" s="36" t="s">
        <v>203</v>
      </c>
      <c r="AM256" s="36" t="s">
        <v>204</v>
      </c>
      <c r="AN256" s="36" t="s">
        <v>222</v>
      </c>
      <c r="AO256" s="36" t="s">
        <v>206</v>
      </c>
      <c r="AP256" s="36">
        <v>2</v>
      </c>
      <c r="AQ256" s="36"/>
      <c r="AR256" s="36"/>
      <c r="AS256" s="36"/>
      <c r="AT256" s="36" t="s">
        <v>630</v>
      </c>
      <c r="AU256" s="36" t="s">
        <v>631</v>
      </c>
      <c r="AV256" s="36" t="s">
        <v>209</v>
      </c>
      <c r="AW256" s="36" t="s">
        <v>209</v>
      </c>
      <c r="AX256" s="36" t="s">
        <v>210</v>
      </c>
      <c r="AY256" s="36">
        <v>0</v>
      </c>
      <c r="AZ256" s="36" t="s">
        <v>211</v>
      </c>
      <c r="BA256" s="36">
        <v>9044988632979</v>
      </c>
      <c r="BB256" s="36"/>
      <c r="BC256" s="36"/>
      <c r="BD256" s="36">
        <v>1</v>
      </c>
      <c r="BE256" s="36"/>
      <c r="BF256" s="36" t="s">
        <v>212</v>
      </c>
      <c r="BG256" s="36">
        <v>1333314600</v>
      </c>
      <c r="BH256" s="36" t="s">
        <v>213</v>
      </c>
      <c r="BI256" s="36">
        <v>15</v>
      </c>
      <c r="BJ256" s="36">
        <v>15</v>
      </c>
      <c r="BK256" s="36">
        <v>1300</v>
      </c>
      <c r="BL256" s="36" t="s">
        <v>214</v>
      </c>
      <c r="BM256" s="36"/>
      <c r="BN256" s="36"/>
    </row>
    <row r="257" spans="1:66" x14ac:dyDescent="0.35">
      <c r="A257" s="36"/>
      <c r="B257" s="36"/>
      <c r="C257" s="37">
        <v>244626</v>
      </c>
      <c r="D257" s="37">
        <v>244626</v>
      </c>
      <c r="E257" s="36"/>
      <c r="F257" s="36" t="s">
        <v>192</v>
      </c>
      <c r="G257" s="36" t="s">
        <v>1</v>
      </c>
      <c r="H257" s="36">
        <v>0</v>
      </c>
      <c r="I257" s="36" t="s">
        <v>193</v>
      </c>
      <c r="J257" s="36" t="s">
        <v>194</v>
      </c>
      <c r="K257" s="36" t="s">
        <v>195</v>
      </c>
      <c r="L257" s="36">
        <v>923</v>
      </c>
      <c r="M257" s="36"/>
      <c r="N257" s="36" t="s">
        <v>226</v>
      </c>
      <c r="O257" s="36" t="s">
        <v>227</v>
      </c>
      <c r="P257" s="36">
        <v>2</v>
      </c>
      <c r="Q257" s="36" t="s">
        <v>228</v>
      </c>
      <c r="R257" s="37">
        <v>244412</v>
      </c>
      <c r="S257" s="37">
        <v>244626</v>
      </c>
      <c r="T257" s="36" t="s">
        <v>629</v>
      </c>
      <c r="U257" s="36">
        <v>23058589</v>
      </c>
      <c r="V257" s="36" t="s">
        <v>33</v>
      </c>
      <c r="W257" s="36">
        <v>100</v>
      </c>
      <c r="X257" s="36">
        <v>100</v>
      </c>
      <c r="Y257" s="36">
        <v>100</v>
      </c>
      <c r="Z257" s="36">
        <v>100</v>
      </c>
      <c r="AA257" s="36">
        <v>0</v>
      </c>
      <c r="AB257" s="36">
        <v>0</v>
      </c>
      <c r="AC257" s="36">
        <v>0</v>
      </c>
      <c r="AD257" s="36">
        <v>0</v>
      </c>
      <c r="AE257" s="36">
        <v>100</v>
      </c>
      <c r="AF257" s="36">
        <v>100</v>
      </c>
      <c r="AG257" s="36"/>
      <c r="AH257" s="36"/>
      <c r="AI257" s="36" t="s">
        <v>200</v>
      </c>
      <c r="AJ257" s="36" t="s">
        <v>201</v>
      </c>
      <c r="AK257" s="36" t="s">
        <v>215</v>
      </c>
      <c r="AL257" s="36" t="s">
        <v>203</v>
      </c>
      <c r="AM257" s="36" t="s">
        <v>204</v>
      </c>
      <c r="AN257" s="36" t="s">
        <v>222</v>
      </c>
      <c r="AO257" s="36" t="s">
        <v>206</v>
      </c>
      <c r="AP257" s="36">
        <v>2</v>
      </c>
      <c r="AQ257" s="36"/>
      <c r="AR257" s="36"/>
      <c r="AS257" s="36"/>
      <c r="AT257" s="36" t="s">
        <v>630</v>
      </c>
      <c r="AU257" s="36" t="s">
        <v>631</v>
      </c>
      <c r="AV257" s="36" t="s">
        <v>209</v>
      </c>
      <c r="AW257" s="36" t="s">
        <v>209</v>
      </c>
      <c r="AX257" s="36" t="s">
        <v>210</v>
      </c>
      <c r="AY257" s="36">
        <v>0</v>
      </c>
      <c r="AZ257" s="36" t="s">
        <v>211</v>
      </c>
      <c r="BA257" s="36">
        <v>9044988632979</v>
      </c>
      <c r="BB257" s="36"/>
      <c r="BC257" s="36"/>
      <c r="BD257" s="36">
        <v>1</v>
      </c>
      <c r="BE257" s="36"/>
      <c r="BF257" s="36" t="s">
        <v>212</v>
      </c>
      <c r="BG257" s="36">
        <v>1333314600</v>
      </c>
      <c r="BH257" s="36" t="s">
        <v>213</v>
      </c>
      <c r="BI257" s="36">
        <v>100</v>
      </c>
      <c r="BJ257" s="36">
        <v>100</v>
      </c>
      <c r="BK257" s="36">
        <v>1300</v>
      </c>
      <c r="BL257" s="36" t="s">
        <v>214</v>
      </c>
      <c r="BM257" s="36"/>
      <c r="BN257" s="36"/>
    </row>
    <row r="258" spans="1:66" x14ac:dyDescent="0.35">
      <c r="A258" s="36"/>
      <c r="B258" s="36"/>
      <c r="C258" s="37">
        <v>244626</v>
      </c>
      <c r="D258" s="37">
        <v>244626</v>
      </c>
      <c r="E258" s="36"/>
      <c r="F258" s="36" t="s">
        <v>192</v>
      </c>
      <c r="G258" s="36" t="s">
        <v>1</v>
      </c>
      <c r="H258" s="36">
        <v>0</v>
      </c>
      <c r="I258" s="36" t="s">
        <v>193</v>
      </c>
      <c r="J258" s="36" t="s">
        <v>194</v>
      </c>
      <c r="K258" s="36" t="s">
        <v>195</v>
      </c>
      <c r="L258" s="36">
        <v>923</v>
      </c>
      <c r="M258" s="36"/>
      <c r="N258" s="36" t="s">
        <v>226</v>
      </c>
      <c r="O258" s="36" t="s">
        <v>227</v>
      </c>
      <c r="P258" s="36">
        <v>2</v>
      </c>
      <c r="Q258" s="36" t="s">
        <v>228</v>
      </c>
      <c r="R258" s="37">
        <v>244412</v>
      </c>
      <c r="S258" s="37">
        <v>244626</v>
      </c>
      <c r="T258" s="36" t="s">
        <v>629</v>
      </c>
      <c r="U258" s="36">
        <v>23015198</v>
      </c>
      <c r="V258" s="36" t="s">
        <v>119</v>
      </c>
      <c r="W258" s="36">
        <v>20</v>
      </c>
      <c r="X258" s="36">
        <v>20</v>
      </c>
      <c r="Y258" s="36">
        <v>20</v>
      </c>
      <c r="Z258" s="36">
        <v>20</v>
      </c>
      <c r="AA258" s="36">
        <v>0</v>
      </c>
      <c r="AB258" s="36">
        <v>0</v>
      </c>
      <c r="AC258" s="36">
        <v>0</v>
      </c>
      <c r="AD258" s="36">
        <v>0</v>
      </c>
      <c r="AE258" s="36">
        <v>20</v>
      </c>
      <c r="AF258" s="36">
        <v>20</v>
      </c>
      <c r="AG258" s="36"/>
      <c r="AH258" s="36"/>
      <c r="AI258" s="36" t="s">
        <v>200</v>
      </c>
      <c r="AJ258" s="36" t="s">
        <v>201</v>
      </c>
      <c r="AK258" s="36" t="s">
        <v>202</v>
      </c>
      <c r="AL258" s="36" t="s">
        <v>203</v>
      </c>
      <c r="AM258" s="36" t="s">
        <v>204</v>
      </c>
      <c r="AN258" s="36" t="s">
        <v>222</v>
      </c>
      <c r="AO258" s="36" t="s">
        <v>206</v>
      </c>
      <c r="AP258" s="36">
        <v>2</v>
      </c>
      <c r="AQ258" s="36"/>
      <c r="AR258" s="36"/>
      <c r="AS258" s="36"/>
      <c r="AT258" s="36" t="s">
        <v>630</v>
      </c>
      <c r="AU258" s="36" t="s">
        <v>631</v>
      </c>
      <c r="AV258" s="36" t="s">
        <v>209</v>
      </c>
      <c r="AW258" s="36" t="s">
        <v>209</v>
      </c>
      <c r="AX258" s="36" t="s">
        <v>210</v>
      </c>
      <c r="AY258" s="36">
        <v>0</v>
      </c>
      <c r="AZ258" s="36" t="s">
        <v>211</v>
      </c>
      <c r="BA258" s="36">
        <v>9044988632979</v>
      </c>
      <c r="BB258" s="36"/>
      <c r="BC258" s="36"/>
      <c r="BD258" s="36">
        <v>1</v>
      </c>
      <c r="BE258" s="36"/>
      <c r="BF258" s="36" t="s">
        <v>212</v>
      </c>
      <c r="BG258" s="36">
        <v>1333314600</v>
      </c>
      <c r="BH258" s="36" t="s">
        <v>213</v>
      </c>
      <c r="BI258" s="36">
        <v>20</v>
      </c>
      <c r="BJ258" s="36">
        <v>20</v>
      </c>
      <c r="BK258" s="36">
        <v>1300</v>
      </c>
      <c r="BL258" s="36" t="s">
        <v>214</v>
      </c>
      <c r="BM258" s="36"/>
      <c r="BN258" s="36"/>
    </row>
    <row r="259" spans="1:66" x14ac:dyDescent="0.35">
      <c r="A259" s="36"/>
      <c r="B259" s="36"/>
      <c r="C259" s="37">
        <v>244626</v>
      </c>
      <c r="D259" s="37">
        <v>244626</v>
      </c>
      <c r="E259" s="36"/>
      <c r="F259" s="36" t="s">
        <v>192</v>
      </c>
      <c r="G259" s="36" t="s">
        <v>1</v>
      </c>
      <c r="H259" s="36">
        <v>0</v>
      </c>
      <c r="I259" s="36" t="s">
        <v>193</v>
      </c>
      <c r="J259" s="36" t="s">
        <v>194</v>
      </c>
      <c r="K259" s="36" t="s">
        <v>195</v>
      </c>
      <c r="L259" s="36">
        <v>923</v>
      </c>
      <c r="M259" s="36"/>
      <c r="N259" s="36" t="s">
        <v>226</v>
      </c>
      <c r="O259" s="36" t="s">
        <v>227</v>
      </c>
      <c r="P259" s="36">
        <v>2</v>
      </c>
      <c r="Q259" s="36" t="s">
        <v>228</v>
      </c>
      <c r="R259" s="37">
        <v>244412</v>
      </c>
      <c r="S259" s="37">
        <v>244626</v>
      </c>
      <c r="T259" s="36" t="s">
        <v>629</v>
      </c>
      <c r="U259" s="36">
        <v>23057821</v>
      </c>
      <c r="V259" s="36" t="s">
        <v>22</v>
      </c>
      <c r="W259" s="36">
        <v>150</v>
      </c>
      <c r="X259" s="36">
        <v>150</v>
      </c>
      <c r="Y259" s="36">
        <v>150</v>
      </c>
      <c r="Z259" s="36">
        <v>150</v>
      </c>
      <c r="AA259" s="36">
        <v>0</v>
      </c>
      <c r="AB259" s="36">
        <v>0</v>
      </c>
      <c r="AC259" s="36">
        <v>0</v>
      </c>
      <c r="AD259" s="36">
        <v>0</v>
      </c>
      <c r="AE259" s="36">
        <v>150</v>
      </c>
      <c r="AF259" s="36">
        <v>150</v>
      </c>
      <c r="AG259" s="36"/>
      <c r="AH259" s="36"/>
      <c r="AI259" s="36" t="s">
        <v>200</v>
      </c>
      <c r="AJ259" s="36" t="s">
        <v>201</v>
      </c>
      <c r="AK259" s="36" t="s">
        <v>202</v>
      </c>
      <c r="AL259" s="36" t="s">
        <v>203</v>
      </c>
      <c r="AM259" s="36" t="s">
        <v>204</v>
      </c>
      <c r="AN259" s="36" t="s">
        <v>222</v>
      </c>
      <c r="AO259" s="36" t="s">
        <v>206</v>
      </c>
      <c r="AP259" s="36">
        <v>2</v>
      </c>
      <c r="AQ259" s="36"/>
      <c r="AR259" s="36"/>
      <c r="AS259" s="36"/>
      <c r="AT259" s="36" t="s">
        <v>630</v>
      </c>
      <c r="AU259" s="36" t="s">
        <v>631</v>
      </c>
      <c r="AV259" s="36" t="s">
        <v>209</v>
      </c>
      <c r="AW259" s="36" t="s">
        <v>209</v>
      </c>
      <c r="AX259" s="36" t="s">
        <v>210</v>
      </c>
      <c r="AY259" s="36">
        <v>0</v>
      </c>
      <c r="AZ259" s="36" t="s">
        <v>211</v>
      </c>
      <c r="BA259" s="36">
        <v>9044988632979</v>
      </c>
      <c r="BB259" s="36"/>
      <c r="BC259" s="36"/>
      <c r="BD259" s="36">
        <v>1</v>
      </c>
      <c r="BE259" s="36"/>
      <c r="BF259" s="36" t="s">
        <v>212</v>
      </c>
      <c r="BG259" s="36">
        <v>1333314600</v>
      </c>
      <c r="BH259" s="36" t="s">
        <v>213</v>
      </c>
      <c r="BI259" s="36">
        <v>150</v>
      </c>
      <c r="BJ259" s="36">
        <v>150</v>
      </c>
      <c r="BK259" s="36">
        <v>1300</v>
      </c>
      <c r="BL259" s="36" t="s">
        <v>214</v>
      </c>
      <c r="BM259" s="36"/>
      <c r="BN259" s="36"/>
    </row>
    <row r="260" spans="1:66" x14ac:dyDescent="0.35">
      <c r="A260" s="36"/>
      <c r="B260" s="36"/>
      <c r="C260" s="37">
        <v>244626</v>
      </c>
      <c r="D260" s="37">
        <v>244626</v>
      </c>
      <c r="E260" s="36"/>
      <c r="F260" s="36" t="s">
        <v>192</v>
      </c>
      <c r="G260" s="36" t="s">
        <v>1</v>
      </c>
      <c r="H260" s="36">
        <v>0</v>
      </c>
      <c r="I260" s="36" t="s">
        <v>193</v>
      </c>
      <c r="J260" s="36" t="s">
        <v>194</v>
      </c>
      <c r="K260" s="36" t="s">
        <v>195</v>
      </c>
      <c r="L260" s="36">
        <v>923</v>
      </c>
      <c r="M260" s="36"/>
      <c r="N260" s="36" t="s">
        <v>226</v>
      </c>
      <c r="O260" s="36" t="s">
        <v>227</v>
      </c>
      <c r="P260" s="36">
        <v>2</v>
      </c>
      <c r="Q260" s="36" t="s">
        <v>228</v>
      </c>
      <c r="R260" s="37">
        <v>244412</v>
      </c>
      <c r="S260" s="37">
        <v>244626</v>
      </c>
      <c r="T260" s="36" t="s">
        <v>629</v>
      </c>
      <c r="U260" s="36">
        <v>23058591</v>
      </c>
      <c r="V260" s="36" t="s">
        <v>35</v>
      </c>
      <c r="W260" s="36">
        <v>50</v>
      </c>
      <c r="X260" s="36">
        <v>50</v>
      </c>
      <c r="Y260" s="36">
        <v>50</v>
      </c>
      <c r="Z260" s="36">
        <v>50</v>
      </c>
      <c r="AA260" s="36">
        <v>0</v>
      </c>
      <c r="AB260" s="36">
        <v>0</v>
      </c>
      <c r="AC260" s="36">
        <v>0</v>
      </c>
      <c r="AD260" s="36">
        <v>0</v>
      </c>
      <c r="AE260" s="36">
        <v>50</v>
      </c>
      <c r="AF260" s="36">
        <v>50</v>
      </c>
      <c r="AG260" s="36"/>
      <c r="AH260" s="36"/>
      <c r="AI260" s="36" t="s">
        <v>200</v>
      </c>
      <c r="AJ260" s="36" t="s">
        <v>201</v>
      </c>
      <c r="AK260" s="36" t="s">
        <v>215</v>
      </c>
      <c r="AL260" s="36" t="s">
        <v>203</v>
      </c>
      <c r="AM260" s="36" t="s">
        <v>204</v>
      </c>
      <c r="AN260" s="36" t="s">
        <v>222</v>
      </c>
      <c r="AO260" s="36" t="s">
        <v>206</v>
      </c>
      <c r="AP260" s="36">
        <v>2</v>
      </c>
      <c r="AQ260" s="36"/>
      <c r="AR260" s="36"/>
      <c r="AS260" s="36"/>
      <c r="AT260" s="36" t="s">
        <v>630</v>
      </c>
      <c r="AU260" s="36" t="s">
        <v>631</v>
      </c>
      <c r="AV260" s="36" t="s">
        <v>209</v>
      </c>
      <c r="AW260" s="36" t="s">
        <v>209</v>
      </c>
      <c r="AX260" s="36" t="s">
        <v>210</v>
      </c>
      <c r="AY260" s="36">
        <v>0</v>
      </c>
      <c r="AZ260" s="36" t="s">
        <v>211</v>
      </c>
      <c r="BA260" s="36">
        <v>9044988632979</v>
      </c>
      <c r="BB260" s="36"/>
      <c r="BC260" s="36"/>
      <c r="BD260" s="36">
        <v>1</v>
      </c>
      <c r="BE260" s="36"/>
      <c r="BF260" s="36" t="s">
        <v>212</v>
      </c>
      <c r="BG260" s="36">
        <v>1333314600</v>
      </c>
      <c r="BH260" s="36" t="s">
        <v>213</v>
      </c>
      <c r="BI260" s="36">
        <v>50</v>
      </c>
      <c r="BJ260" s="36">
        <v>50</v>
      </c>
      <c r="BK260" s="36">
        <v>1300</v>
      </c>
      <c r="BL260" s="36" t="s">
        <v>214</v>
      </c>
      <c r="BM260" s="36"/>
      <c r="BN260" s="36"/>
    </row>
    <row r="261" spans="1:66" x14ac:dyDescent="0.35">
      <c r="A261" s="36"/>
      <c r="B261" s="36"/>
      <c r="C261" s="37">
        <v>244626</v>
      </c>
      <c r="D261" s="37">
        <v>244626</v>
      </c>
      <c r="E261" s="36"/>
      <c r="F261" s="36" t="s">
        <v>192</v>
      </c>
      <c r="G261" s="36" t="s">
        <v>1</v>
      </c>
      <c r="H261" s="36">
        <v>0</v>
      </c>
      <c r="I261" s="36" t="s">
        <v>193</v>
      </c>
      <c r="J261" s="36" t="s">
        <v>194</v>
      </c>
      <c r="K261" s="36" t="s">
        <v>195</v>
      </c>
      <c r="L261" s="36">
        <v>923</v>
      </c>
      <c r="M261" s="36"/>
      <c r="N261" s="36" t="s">
        <v>226</v>
      </c>
      <c r="O261" s="36" t="s">
        <v>227</v>
      </c>
      <c r="P261" s="36">
        <v>2</v>
      </c>
      <c r="Q261" s="36" t="s">
        <v>228</v>
      </c>
      <c r="R261" s="37">
        <v>244412</v>
      </c>
      <c r="S261" s="37">
        <v>244626</v>
      </c>
      <c r="T261" s="36" t="s">
        <v>629</v>
      </c>
      <c r="U261" s="36">
        <v>23057812</v>
      </c>
      <c r="V261" s="36" t="s">
        <v>19</v>
      </c>
      <c r="W261" s="36">
        <v>400</v>
      </c>
      <c r="X261" s="36">
        <v>400</v>
      </c>
      <c r="Y261" s="36">
        <v>400</v>
      </c>
      <c r="Z261" s="36">
        <v>400</v>
      </c>
      <c r="AA261" s="36">
        <v>0</v>
      </c>
      <c r="AB261" s="36">
        <v>0</v>
      </c>
      <c r="AC261" s="36">
        <v>0</v>
      </c>
      <c r="AD261" s="36">
        <v>0</v>
      </c>
      <c r="AE261" s="36">
        <v>400</v>
      </c>
      <c r="AF261" s="36">
        <v>400</v>
      </c>
      <c r="AG261" s="36"/>
      <c r="AH261" s="36"/>
      <c r="AI261" s="36" t="s">
        <v>200</v>
      </c>
      <c r="AJ261" s="36" t="s">
        <v>201</v>
      </c>
      <c r="AK261" s="36" t="s">
        <v>202</v>
      </c>
      <c r="AL261" s="36" t="s">
        <v>203</v>
      </c>
      <c r="AM261" s="36" t="s">
        <v>204</v>
      </c>
      <c r="AN261" s="36" t="s">
        <v>222</v>
      </c>
      <c r="AO261" s="36" t="s">
        <v>206</v>
      </c>
      <c r="AP261" s="36">
        <v>2</v>
      </c>
      <c r="AQ261" s="36"/>
      <c r="AR261" s="36"/>
      <c r="AS261" s="36"/>
      <c r="AT261" s="36" t="s">
        <v>630</v>
      </c>
      <c r="AU261" s="36" t="s">
        <v>631</v>
      </c>
      <c r="AV261" s="36" t="s">
        <v>209</v>
      </c>
      <c r="AW261" s="36" t="s">
        <v>209</v>
      </c>
      <c r="AX261" s="36" t="s">
        <v>210</v>
      </c>
      <c r="AY261" s="36">
        <v>0</v>
      </c>
      <c r="AZ261" s="36" t="s">
        <v>211</v>
      </c>
      <c r="BA261" s="36">
        <v>9044988632979</v>
      </c>
      <c r="BB261" s="36"/>
      <c r="BC261" s="36"/>
      <c r="BD261" s="36">
        <v>1</v>
      </c>
      <c r="BE261" s="36"/>
      <c r="BF261" s="36" t="s">
        <v>212</v>
      </c>
      <c r="BG261" s="36">
        <v>1333314600</v>
      </c>
      <c r="BH261" s="36" t="s">
        <v>213</v>
      </c>
      <c r="BI261" s="36">
        <v>400</v>
      </c>
      <c r="BJ261" s="36">
        <v>400</v>
      </c>
      <c r="BK261" s="36">
        <v>1300</v>
      </c>
      <c r="BL261" s="36" t="s">
        <v>214</v>
      </c>
      <c r="BM261" s="36"/>
      <c r="BN261" s="36"/>
    </row>
    <row r="262" spans="1:66" x14ac:dyDescent="0.35">
      <c r="A262" s="36"/>
      <c r="B262" s="36"/>
      <c r="C262" s="37">
        <v>244626</v>
      </c>
      <c r="D262" s="37">
        <v>244626</v>
      </c>
      <c r="E262" s="36"/>
      <c r="F262" s="36" t="s">
        <v>192</v>
      </c>
      <c r="G262" s="36" t="s">
        <v>1</v>
      </c>
      <c r="H262" s="36">
        <v>0</v>
      </c>
      <c r="I262" s="36" t="s">
        <v>193</v>
      </c>
      <c r="J262" s="36" t="s">
        <v>194</v>
      </c>
      <c r="K262" s="36" t="s">
        <v>195</v>
      </c>
      <c r="L262" s="36">
        <v>923</v>
      </c>
      <c r="M262" s="36"/>
      <c r="N262" s="36" t="s">
        <v>226</v>
      </c>
      <c r="O262" s="36" t="s">
        <v>227</v>
      </c>
      <c r="P262" s="36">
        <v>2</v>
      </c>
      <c r="Q262" s="36" t="s">
        <v>228</v>
      </c>
      <c r="R262" s="37">
        <v>244412</v>
      </c>
      <c r="S262" s="37">
        <v>244626</v>
      </c>
      <c r="T262" s="36" t="s">
        <v>629</v>
      </c>
      <c r="U262" s="36">
        <v>23058586</v>
      </c>
      <c r="V262" s="36" t="s">
        <v>31</v>
      </c>
      <c r="W262" s="36">
        <v>10</v>
      </c>
      <c r="X262" s="36">
        <v>10</v>
      </c>
      <c r="Y262" s="36">
        <v>10</v>
      </c>
      <c r="Z262" s="36">
        <v>10</v>
      </c>
      <c r="AA262" s="36">
        <v>0</v>
      </c>
      <c r="AB262" s="36">
        <v>0</v>
      </c>
      <c r="AC262" s="36">
        <v>0</v>
      </c>
      <c r="AD262" s="36">
        <v>0</v>
      </c>
      <c r="AE262" s="36">
        <v>10</v>
      </c>
      <c r="AF262" s="36">
        <v>10</v>
      </c>
      <c r="AG262" s="36"/>
      <c r="AH262" s="36"/>
      <c r="AI262" s="36" t="s">
        <v>200</v>
      </c>
      <c r="AJ262" s="36" t="s">
        <v>201</v>
      </c>
      <c r="AK262" s="36" t="s">
        <v>215</v>
      </c>
      <c r="AL262" s="36" t="s">
        <v>203</v>
      </c>
      <c r="AM262" s="36" t="s">
        <v>204</v>
      </c>
      <c r="AN262" s="36" t="s">
        <v>222</v>
      </c>
      <c r="AO262" s="36" t="s">
        <v>206</v>
      </c>
      <c r="AP262" s="36">
        <v>2</v>
      </c>
      <c r="AQ262" s="36"/>
      <c r="AR262" s="36"/>
      <c r="AS262" s="36"/>
      <c r="AT262" s="36" t="s">
        <v>630</v>
      </c>
      <c r="AU262" s="36" t="s">
        <v>631</v>
      </c>
      <c r="AV262" s="36" t="s">
        <v>209</v>
      </c>
      <c r="AW262" s="36" t="s">
        <v>209</v>
      </c>
      <c r="AX262" s="36" t="s">
        <v>210</v>
      </c>
      <c r="AY262" s="36">
        <v>0</v>
      </c>
      <c r="AZ262" s="36" t="s">
        <v>211</v>
      </c>
      <c r="BA262" s="36">
        <v>9044988632979</v>
      </c>
      <c r="BB262" s="36"/>
      <c r="BC262" s="36"/>
      <c r="BD262" s="36">
        <v>1</v>
      </c>
      <c r="BE262" s="36"/>
      <c r="BF262" s="36" t="s">
        <v>212</v>
      </c>
      <c r="BG262" s="36">
        <v>1333314600</v>
      </c>
      <c r="BH262" s="36" t="s">
        <v>213</v>
      </c>
      <c r="BI262" s="36">
        <v>10</v>
      </c>
      <c r="BJ262" s="36">
        <v>10</v>
      </c>
      <c r="BK262" s="36">
        <v>1300</v>
      </c>
      <c r="BL262" s="36" t="s">
        <v>214</v>
      </c>
      <c r="BM262" s="36"/>
      <c r="BN262" s="36"/>
    </row>
    <row r="263" spans="1:66" x14ac:dyDescent="0.35">
      <c r="A263" s="36"/>
      <c r="B263" s="36"/>
      <c r="C263" s="37">
        <v>244626</v>
      </c>
      <c r="D263" s="37">
        <v>244626</v>
      </c>
      <c r="E263" s="36"/>
      <c r="F263" s="36" t="s">
        <v>192</v>
      </c>
      <c r="G263" s="36" t="s">
        <v>1</v>
      </c>
      <c r="H263" s="36">
        <v>0</v>
      </c>
      <c r="I263" s="36" t="s">
        <v>193</v>
      </c>
      <c r="J263" s="36" t="s">
        <v>194</v>
      </c>
      <c r="K263" s="36" t="s">
        <v>195</v>
      </c>
      <c r="L263" s="36">
        <v>923</v>
      </c>
      <c r="M263" s="36"/>
      <c r="N263" s="36" t="s">
        <v>226</v>
      </c>
      <c r="O263" s="36" t="s">
        <v>227</v>
      </c>
      <c r="P263" s="36">
        <v>2</v>
      </c>
      <c r="Q263" s="36" t="s">
        <v>228</v>
      </c>
      <c r="R263" s="37">
        <v>244412</v>
      </c>
      <c r="S263" s="37">
        <v>244626</v>
      </c>
      <c r="T263" s="36" t="s">
        <v>629</v>
      </c>
      <c r="U263" s="36">
        <v>23058556</v>
      </c>
      <c r="V263" s="36" t="s">
        <v>112</v>
      </c>
      <c r="W263" s="36">
        <v>10</v>
      </c>
      <c r="X263" s="36">
        <v>10</v>
      </c>
      <c r="Y263" s="36">
        <v>10</v>
      </c>
      <c r="Z263" s="36">
        <v>10</v>
      </c>
      <c r="AA263" s="36">
        <v>0</v>
      </c>
      <c r="AB263" s="36">
        <v>0</v>
      </c>
      <c r="AC263" s="36">
        <v>0</v>
      </c>
      <c r="AD263" s="36">
        <v>0</v>
      </c>
      <c r="AE263" s="36">
        <v>10</v>
      </c>
      <c r="AF263" s="36">
        <v>10</v>
      </c>
      <c r="AG263" s="36"/>
      <c r="AH263" s="36"/>
      <c r="AI263" s="36" t="s">
        <v>200</v>
      </c>
      <c r="AJ263" s="36" t="s">
        <v>201</v>
      </c>
      <c r="AK263" s="36" t="s">
        <v>215</v>
      </c>
      <c r="AL263" s="36" t="s">
        <v>203</v>
      </c>
      <c r="AM263" s="36" t="s">
        <v>204</v>
      </c>
      <c r="AN263" s="36" t="s">
        <v>222</v>
      </c>
      <c r="AO263" s="36" t="s">
        <v>206</v>
      </c>
      <c r="AP263" s="36">
        <v>2</v>
      </c>
      <c r="AQ263" s="36"/>
      <c r="AR263" s="36"/>
      <c r="AS263" s="36"/>
      <c r="AT263" s="36" t="s">
        <v>630</v>
      </c>
      <c r="AU263" s="36" t="s">
        <v>631</v>
      </c>
      <c r="AV263" s="36" t="s">
        <v>209</v>
      </c>
      <c r="AW263" s="36" t="s">
        <v>209</v>
      </c>
      <c r="AX263" s="36" t="s">
        <v>210</v>
      </c>
      <c r="AY263" s="36">
        <v>0</v>
      </c>
      <c r="AZ263" s="36" t="s">
        <v>211</v>
      </c>
      <c r="BA263" s="36">
        <v>9044988632979</v>
      </c>
      <c r="BB263" s="36"/>
      <c r="BC263" s="36"/>
      <c r="BD263" s="36">
        <v>1</v>
      </c>
      <c r="BE263" s="36"/>
      <c r="BF263" s="36" t="s">
        <v>212</v>
      </c>
      <c r="BG263" s="36">
        <v>1333314600</v>
      </c>
      <c r="BH263" s="36" t="s">
        <v>213</v>
      </c>
      <c r="BI263" s="36">
        <v>10</v>
      </c>
      <c r="BJ263" s="36">
        <v>10</v>
      </c>
      <c r="BK263" s="36">
        <v>1300</v>
      </c>
      <c r="BL263" s="36" t="s">
        <v>214</v>
      </c>
      <c r="BM263" s="36"/>
      <c r="BN263" s="36"/>
    </row>
    <row r="264" spans="1:66" x14ac:dyDescent="0.35">
      <c r="A264" s="36"/>
      <c r="B264" s="36"/>
      <c r="C264" s="37">
        <v>244626</v>
      </c>
      <c r="D264" s="37">
        <v>244626</v>
      </c>
      <c r="E264" s="36"/>
      <c r="F264" s="36" t="s">
        <v>192</v>
      </c>
      <c r="G264" s="36" t="s">
        <v>1</v>
      </c>
      <c r="H264" s="36">
        <v>0</v>
      </c>
      <c r="I264" s="36" t="s">
        <v>193</v>
      </c>
      <c r="J264" s="36" t="s">
        <v>194</v>
      </c>
      <c r="K264" s="36" t="s">
        <v>195</v>
      </c>
      <c r="L264" s="36">
        <v>923</v>
      </c>
      <c r="M264" s="36"/>
      <c r="N264" s="36" t="s">
        <v>226</v>
      </c>
      <c r="O264" s="36" t="s">
        <v>227</v>
      </c>
      <c r="P264" s="36">
        <v>2</v>
      </c>
      <c r="Q264" s="36" t="s">
        <v>228</v>
      </c>
      <c r="R264" s="37">
        <v>244412</v>
      </c>
      <c r="S264" s="37">
        <v>244626</v>
      </c>
      <c r="T264" s="36" t="s">
        <v>629</v>
      </c>
      <c r="U264" s="36">
        <v>23057818</v>
      </c>
      <c r="V264" s="36" t="s">
        <v>21</v>
      </c>
      <c r="W264" s="36">
        <v>20</v>
      </c>
      <c r="X264" s="36">
        <v>20</v>
      </c>
      <c r="Y264" s="36">
        <v>20</v>
      </c>
      <c r="Z264" s="36">
        <v>20</v>
      </c>
      <c r="AA264" s="36">
        <v>0</v>
      </c>
      <c r="AB264" s="36">
        <v>0</v>
      </c>
      <c r="AC264" s="36">
        <v>0</v>
      </c>
      <c r="AD264" s="36">
        <v>0</v>
      </c>
      <c r="AE264" s="36">
        <v>20</v>
      </c>
      <c r="AF264" s="36">
        <v>20</v>
      </c>
      <c r="AG264" s="36"/>
      <c r="AH264" s="36"/>
      <c r="AI264" s="36" t="s">
        <v>200</v>
      </c>
      <c r="AJ264" s="36" t="s">
        <v>201</v>
      </c>
      <c r="AK264" s="36" t="s">
        <v>202</v>
      </c>
      <c r="AL264" s="36" t="s">
        <v>203</v>
      </c>
      <c r="AM264" s="36" t="s">
        <v>204</v>
      </c>
      <c r="AN264" s="36" t="s">
        <v>222</v>
      </c>
      <c r="AO264" s="36" t="s">
        <v>206</v>
      </c>
      <c r="AP264" s="36">
        <v>2</v>
      </c>
      <c r="AQ264" s="36"/>
      <c r="AR264" s="36"/>
      <c r="AS264" s="36"/>
      <c r="AT264" s="36" t="s">
        <v>630</v>
      </c>
      <c r="AU264" s="36" t="s">
        <v>631</v>
      </c>
      <c r="AV264" s="36" t="s">
        <v>209</v>
      </c>
      <c r="AW264" s="36" t="s">
        <v>209</v>
      </c>
      <c r="AX264" s="36" t="s">
        <v>210</v>
      </c>
      <c r="AY264" s="36">
        <v>0</v>
      </c>
      <c r="AZ264" s="36" t="s">
        <v>211</v>
      </c>
      <c r="BA264" s="36">
        <v>9044988632979</v>
      </c>
      <c r="BB264" s="36"/>
      <c r="BC264" s="36"/>
      <c r="BD264" s="36">
        <v>1</v>
      </c>
      <c r="BE264" s="36"/>
      <c r="BF264" s="36" t="s">
        <v>212</v>
      </c>
      <c r="BG264" s="36">
        <v>1333314600</v>
      </c>
      <c r="BH264" s="36" t="s">
        <v>213</v>
      </c>
      <c r="BI264" s="36">
        <v>20</v>
      </c>
      <c r="BJ264" s="36">
        <v>20</v>
      </c>
      <c r="BK264" s="36">
        <v>1300</v>
      </c>
      <c r="BL264" s="36" t="s">
        <v>214</v>
      </c>
      <c r="BM264" s="36"/>
      <c r="BN264" s="36"/>
    </row>
    <row r="265" spans="1:66" x14ac:dyDescent="0.35">
      <c r="A265" s="36"/>
      <c r="B265" s="36"/>
      <c r="C265" s="37">
        <v>244626</v>
      </c>
      <c r="D265" s="37">
        <v>244626</v>
      </c>
      <c r="E265" s="36"/>
      <c r="F265" s="36" t="s">
        <v>192</v>
      </c>
      <c r="G265" s="36" t="s">
        <v>1</v>
      </c>
      <c r="H265" s="36">
        <v>0</v>
      </c>
      <c r="I265" s="36" t="s">
        <v>193</v>
      </c>
      <c r="J265" s="36" t="s">
        <v>194</v>
      </c>
      <c r="K265" s="36" t="s">
        <v>195</v>
      </c>
      <c r="L265" s="36">
        <v>923</v>
      </c>
      <c r="M265" s="36"/>
      <c r="N265" s="36" t="s">
        <v>226</v>
      </c>
      <c r="O265" s="36" t="s">
        <v>227</v>
      </c>
      <c r="P265" s="36">
        <v>2</v>
      </c>
      <c r="Q265" s="36" t="s">
        <v>228</v>
      </c>
      <c r="R265" s="37">
        <v>244412</v>
      </c>
      <c r="S265" s="37">
        <v>244626</v>
      </c>
      <c r="T265" s="36" t="s">
        <v>629</v>
      </c>
      <c r="U265" s="36">
        <v>23058553</v>
      </c>
      <c r="V265" s="36" t="s">
        <v>27</v>
      </c>
      <c r="W265" s="36">
        <v>200</v>
      </c>
      <c r="X265" s="36">
        <v>200</v>
      </c>
      <c r="Y265" s="36">
        <v>200</v>
      </c>
      <c r="Z265" s="36">
        <v>200</v>
      </c>
      <c r="AA265" s="36">
        <v>0</v>
      </c>
      <c r="AB265" s="36">
        <v>0</v>
      </c>
      <c r="AC265" s="36">
        <v>0</v>
      </c>
      <c r="AD265" s="36">
        <v>0</v>
      </c>
      <c r="AE265" s="36">
        <v>200</v>
      </c>
      <c r="AF265" s="36">
        <v>200</v>
      </c>
      <c r="AG265" s="36"/>
      <c r="AH265" s="36"/>
      <c r="AI265" s="36" t="s">
        <v>200</v>
      </c>
      <c r="AJ265" s="36" t="s">
        <v>201</v>
      </c>
      <c r="AK265" s="36" t="s">
        <v>215</v>
      </c>
      <c r="AL265" s="36" t="s">
        <v>203</v>
      </c>
      <c r="AM265" s="36" t="s">
        <v>204</v>
      </c>
      <c r="AN265" s="36" t="s">
        <v>222</v>
      </c>
      <c r="AO265" s="36" t="s">
        <v>206</v>
      </c>
      <c r="AP265" s="36">
        <v>2</v>
      </c>
      <c r="AQ265" s="36"/>
      <c r="AR265" s="36"/>
      <c r="AS265" s="36"/>
      <c r="AT265" s="36" t="s">
        <v>630</v>
      </c>
      <c r="AU265" s="36" t="s">
        <v>631</v>
      </c>
      <c r="AV265" s="36" t="s">
        <v>209</v>
      </c>
      <c r="AW265" s="36" t="s">
        <v>209</v>
      </c>
      <c r="AX265" s="36" t="s">
        <v>210</v>
      </c>
      <c r="AY265" s="36">
        <v>0</v>
      </c>
      <c r="AZ265" s="36" t="s">
        <v>211</v>
      </c>
      <c r="BA265" s="36">
        <v>9044988632979</v>
      </c>
      <c r="BB265" s="36"/>
      <c r="BC265" s="36"/>
      <c r="BD265" s="36">
        <v>1</v>
      </c>
      <c r="BE265" s="36"/>
      <c r="BF265" s="36" t="s">
        <v>212</v>
      </c>
      <c r="BG265" s="36">
        <v>1333314600</v>
      </c>
      <c r="BH265" s="36" t="s">
        <v>213</v>
      </c>
      <c r="BI265" s="36">
        <v>200</v>
      </c>
      <c r="BJ265" s="36">
        <v>200</v>
      </c>
      <c r="BK265" s="36">
        <v>1300</v>
      </c>
      <c r="BL265" s="36" t="s">
        <v>214</v>
      </c>
      <c r="BM265" s="36"/>
      <c r="BN265" s="36"/>
    </row>
    <row r="266" spans="1:66" x14ac:dyDescent="0.35">
      <c r="A266" s="36"/>
      <c r="B266" s="36"/>
      <c r="C266" s="37">
        <v>244626</v>
      </c>
      <c r="D266" s="37">
        <v>244626</v>
      </c>
      <c r="E266" s="36"/>
      <c r="F266" s="36" t="s">
        <v>192</v>
      </c>
      <c r="G266" s="36" t="s">
        <v>1</v>
      </c>
      <c r="H266" s="36">
        <v>0</v>
      </c>
      <c r="I266" s="36" t="s">
        <v>193</v>
      </c>
      <c r="J266" s="36" t="s">
        <v>194</v>
      </c>
      <c r="K266" s="36" t="s">
        <v>195</v>
      </c>
      <c r="L266" s="36">
        <v>923</v>
      </c>
      <c r="M266" s="36"/>
      <c r="N266" s="36" t="s">
        <v>226</v>
      </c>
      <c r="O266" s="36" t="s">
        <v>227</v>
      </c>
      <c r="P266" s="36">
        <v>2</v>
      </c>
      <c r="Q266" s="36" t="s">
        <v>228</v>
      </c>
      <c r="R266" s="37">
        <v>244412</v>
      </c>
      <c r="S266" s="37">
        <v>244626</v>
      </c>
      <c r="T266" s="36" t="s">
        <v>629</v>
      </c>
      <c r="U266" s="36">
        <v>23106549</v>
      </c>
      <c r="V266" s="36" t="s">
        <v>122</v>
      </c>
      <c r="W266" s="36">
        <v>10</v>
      </c>
      <c r="X266" s="36">
        <v>50</v>
      </c>
      <c r="Y266" s="36">
        <v>10</v>
      </c>
      <c r="Z266" s="36">
        <v>50</v>
      </c>
      <c r="AA266" s="36">
        <v>0</v>
      </c>
      <c r="AB266" s="36">
        <v>0</v>
      </c>
      <c r="AC266" s="36">
        <v>0</v>
      </c>
      <c r="AD266" s="36">
        <v>0</v>
      </c>
      <c r="AE266" s="36">
        <v>10</v>
      </c>
      <c r="AF266" s="36">
        <v>50</v>
      </c>
      <c r="AG266" s="36"/>
      <c r="AH266" s="36"/>
      <c r="AI266" s="36" t="s">
        <v>200</v>
      </c>
      <c r="AJ266" s="36" t="s">
        <v>201</v>
      </c>
      <c r="AK266" s="36"/>
      <c r="AL266" s="36"/>
      <c r="AM266" s="36"/>
      <c r="AN266" s="36" t="s">
        <v>222</v>
      </c>
      <c r="AO266" s="36" t="s">
        <v>206</v>
      </c>
      <c r="AP266" s="36">
        <v>2</v>
      </c>
      <c r="AQ266" s="36"/>
      <c r="AR266" s="36"/>
      <c r="AS266" s="36"/>
      <c r="AT266" s="36" t="s">
        <v>630</v>
      </c>
      <c r="AU266" s="36" t="s">
        <v>631</v>
      </c>
      <c r="AV266" s="36" t="s">
        <v>217</v>
      </c>
      <c r="AW266" s="36" t="s">
        <v>209</v>
      </c>
      <c r="AX266" s="36" t="s">
        <v>210</v>
      </c>
      <c r="AY266" s="36">
        <v>0</v>
      </c>
      <c r="AZ266" s="36" t="s">
        <v>211</v>
      </c>
      <c r="BA266" s="36">
        <v>9044988632979</v>
      </c>
      <c r="BB266" s="36"/>
      <c r="BC266" s="36"/>
      <c r="BD266" s="36">
        <v>1</v>
      </c>
      <c r="BE266" s="36"/>
      <c r="BF266" s="36" t="s">
        <v>212</v>
      </c>
      <c r="BG266" s="36">
        <v>1333314600</v>
      </c>
      <c r="BH266" s="36" t="s">
        <v>213</v>
      </c>
      <c r="BI266" s="36">
        <v>10</v>
      </c>
      <c r="BJ266" s="36">
        <v>50</v>
      </c>
      <c r="BK266" s="36">
        <v>1300</v>
      </c>
      <c r="BL266" s="36" t="s">
        <v>214</v>
      </c>
      <c r="BM266" s="36"/>
      <c r="BN266" s="36"/>
    </row>
    <row r="267" spans="1:66" x14ac:dyDescent="0.35">
      <c r="A267" s="36"/>
      <c r="B267" s="36"/>
      <c r="C267" s="37">
        <v>244626</v>
      </c>
      <c r="D267" s="37">
        <v>244626</v>
      </c>
      <c r="E267" s="36"/>
      <c r="F267" s="36" t="s">
        <v>192</v>
      </c>
      <c r="G267" s="36" t="s">
        <v>1</v>
      </c>
      <c r="H267" s="36">
        <v>0</v>
      </c>
      <c r="I267" s="36" t="s">
        <v>193</v>
      </c>
      <c r="J267" s="36" t="s">
        <v>194</v>
      </c>
      <c r="K267" s="36" t="s">
        <v>195</v>
      </c>
      <c r="L267" s="36">
        <v>923</v>
      </c>
      <c r="M267" s="36"/>
      <c r="N267" s="36" t="s">
        <v>226</v>
      </c>
      <c r="O267" s="36" t="s">
        <v>227</v>
      </c>
      <c r="P267" s="36">
        <v>2</v>
      </c>
      <c r="Q267" s="36" t="s">
        <v>228</v>
      </c>
      <c r="R267" s="37">
        <v>244412</v>
      </c>
      <c r="S267" s="37">
        <v>244626</v>
      </c>
      <c r="T267" s="36" t="s">
        <v>629</v>
      </c>
      <c r="U267" s="36">
        <v>23071884</v>
      </c>
      <c r="V267" s="36" t="s">
        <v>116</v>
      </c>
      <c r="W267" s="36">
        <v>5.7691999999999997</v>
      </c>
      <c r="X267" s="36">
        <v>29.999839999999999</v>
      </c>
      <c r="Y267" s="36">
        <v>5.7691999999999997</v>
      </c>
      <c r="Z267" s="36">
        <v>29.9998</v>
      </c>
      <c r="AA267" s="36">
        <v>0</v>
      </c>
      <c r="AB267" s="36">
        <v>4.0000000000000003E-5</v>
      </c>
      <c r="AC267" s="36">
        <v>0</v>
      </c>
      <c r="AD267" s="36">
        <v>0</v>
      </c>
      <c r="AE267" s="36">
        <v>5.7691999999999997</v>
      </c>
      <c r="AF267" s="36">
        <v>29.9998</v>
      </c>
      <c r="AG267" s="36"/>
      <c r="AH267" s="36"/>
      <c r="AI267" s="36" t="s">
        <v>200</v>
      </c>
      <c r="AJ267" s="36" t="s">
        <v>201</v>
      </c>
      <c r="AK267" s="36" t="s">
        <v>215</v>
      </c>
      <c r="AL267" s="36" t="s">
        <v>203</v>
      </c>
      <c r="AM267" s="36" t="s">
        <v>204</v>
      </c>
      <c r="AN267" s="36" t="s">
        <v>222</v>
      </c>
      <c r="AO267" s="36" t="s">
        <v>206</v>
      </c>
      <c r="AP267" s="36">
        <v>2</v>
      </c>
      <c r="AQ267" s="36"/>
      <c r="AR267" s="36"/>
      <c r="AS267" s="36"/>
      <c r="AT267" s="36" t="s">
        <v>630</v>
      </c>
      <c r="AU267" s="36" t="s">
        <v>631</v>
      </c>
      <c r="AV267" s="36" t="s">
        <v>217</v>
      </c>
      <c r="AW267" s="36" t="s">
        <v>209</v>
      </c>
      <c r="AX267" s="36" t="s">
        <v>210</v>
      </c>
      <c r="AY267" s="36">
        <v>0</v>
      </c>
      <c r="AZ267" s="36" t="s">
        <v>211</v>
      </c>
      <c r="BA267" s="36">
        <v>9044988632979</v>
      </c>
      <c r="BB267" s="36"/>
      <c r="BC267" s="36"/>
      <c r="BD267" s="36">
        <v>1</v>
      </c>
      <c r="BE267" s="36"/>
      <c r="BF267" s="36" t="s">
        <v>212</v>
      </c>
      <c r="BG267" s="36">
        <v>1333314600</v>
      </c>
      <c r="BH267" s="36" t="s">
        <v>213</v>
      </c>
      <c r="BI267" s="36">
        <v>5.7691999999999997</v>
      </c>
      <c r="BJ267" s="36">
        <v>29.999839999999999</v>
      </c>
      <c r="BK267" s="36">
        <v>1300</v>
      </c>
      <c r="BL267" s="36" t="s">
        <v>214</v>
      </c>
      <c r="BM267" s="36"/>
      <c r="BN267" s="36"/>
    </row>
    <row r="268" spans="1:66" x14ac:dyDescent="0.35">
      <c r="A268" s="36"/>
      <c r="B268" s="36"/>
      <c r="C268" s="37">
        <v>244626</v>
      </c>
      <c r="D268" s="37">
        <v>244626</v>
      </c>
      <c r="E268" s="36"/>
      <c r="F268" s="36" t="s">
        <v>192</v>
      </c>
      <c r="G268" s="36" t="s">
        <v>1</v>
      </c>
      <c r="H268" s="36">
        <v>0</v>
      </c>
      <c r="I268" s="36" t="s">
        <v>193</v>
      </c>
      <c r="J268" s="36" t="s">
        <v>194</v>
      </c>
      <c r="K268" s="36" t="s">
        <v>195</v>
      </c>
      <c r="L268" s="36">
        <v>923</v>
      </c>
      <c r="M268" s="36"/>
      <c r="N268" s="36" t="s">
        <v>226</v>
      </c>
      <c r="O268" s="36" t="s">
        <v>227</v>
      </c>
      <c r="P268" s="36">
        <v>2</v>
      </c>
      <c r="Q268" s="36" t="s">
        <v>228</v>
      </c>
      <c r="R268" s="37">
        <v>244412</v>
      </c>
      <c r="S268" s="37">
        <v>244626</v>
      </c>
      <c r="T268" s="36" t="s">
        <v>629</v>
      </c>
      <c r="U268" s="36">
        <v>23065141</v>
      </c>
      <c r="V268" s="36" t="s">
        <v>41</v>
      </c>
      <c r="W268" s="36">
        <v>50</v>
      </c>
      <c r="X268" s="36">
        <v>50</v>
      </c>
      <c r="Y268" s="36">
        <v>50</v>
      </c>
      <c r="Z268" s="36">
        <v>50</v>
      </c>
      <c r="AA268" s="36">
        <v>0</v>
      </c>
      <c r="AB268" s="36">
        <v>0</v>
      </c>
      <c r="AC268" s="36">
        <v>0</v>
      </c>
      <c r="AD268" s="36">
        <v>0</v>
      </c>
      <c r="AE268" s="36">
        <v>50</v>
      </c>
      <c r="AF268" s="36">
        <v>50</v>
      </c>
      <c r="AG268" s="36"/>
      <c r="AH268" s="36"/>
      <c r="AI268" s="36" t="s">
        <v>200</v>
      </c>
      <c r="AJ268" s="36" t="s">
        <v>201</v>
      </c>
      <c r="AK268" s="36" t="s">
        <v>202</v>
      </c>
      <c r="AL268" s="36" t="s">
        <v>203</v>
      </c>
      <c r="AM268" s="36" t="s">
        <v>204</v>
      </c>
      <c r="AN268" s="36" t="s">
        <v>222</v>
      </c>
      <c r="AO268" s="36" t="s">
        <v>206</v>
      </c>
      <c r="AP268" s="36">
        <v>2</v>
      </c>
      <c r="AQ268" s="36"/>
      <c r="AR268" s="36"/>
      <c r="AS268" s="36"/>
      <c r="AT268" s="36" t="s">
        <v>630</v>
      </c>
      <c r="AU268" s="36" t="s">
        <v>631</v>
      </c>
      <c r="AV268" s="36" t="s">
        <v>209</v>
      </c>
      <c r="AW268" s="36" t="s">
        <v>209</v>
      </c>
      <c r="AX268" s="36" t="s">
        <v>210</v>
      </c>
      <c r="AY268" s="36">
        <v>0</v>
      </c>
      <c r="AZ268" s="36" t="s">
        <v>211</v>
      </c>
      <c r="BA268" s="36">
        <v>9044988632979</v>
      </c>
      <c r="BB268" s="36"/>
      <c r="BC268" s="36"/>
      <c r="BD268" s="36">
        <v>1</v>
      </c>
      <c r="BE268" s="36"/>
      <c r="BF268" s="36" t="s">
        <v>212</v>
      </c>
      <c r="BG268" s="36">
        <v>1333314600</v>
      </c>
      <c r="BH268" s="36" t="s">
        <v>213</v>
      </c>
      <c r="BI268" s="36">
        <v>50</v>
      </c>
      <c r="BJ268" s="36">
        <v>50</v>
      </c>
      <c r="BK268" s="36">
        <v>1300</v>
      </c>
      <c r="BL268" s="36" t="s">
        <v>214</v>
      </c>
      <c r="BM268" s="36"/>
      <c r="BN268" s="36"/>
    </row>
    <row r="269" spans="1:66" x14ac:dyDescent="0.35">
      <c r="A269" s="36"/>
      <c r="B269" s="36"/>
      <c r="C269" s="37">
        <v>244626</v>
      </c>
      <c r="D269" s="37">
        <v>244626</v>
      </c>
      <c r="E269" s="36"/>
      <c r="F269" s="36" t="s">
        <v>192</v>
      </c>
      <c r="G269" s="36" t="s">
        <v>1</v>
      </c>
      <c r="H269" s="36">
        <v>0</v>
      </c>
      <c r="I269" s="36" t="s">
        <v>193</v>
      </c>
      <c r="J269" s="36" t="s">
        <v>194</v>
      </c>
      <c r="K269" s="36" t="s">
        <v>195</v>
      </c>
      <c r="L269" s="36">
        <v>923</v>
      </c>
      <c r="M269" s="36"/>
      <c r="N269" s="36" t="s">
        <v>226</v>
      </c>
      <c r="O269" s="36" t="s">
        <v>227</v>
      </c>
      <c r="P269" s="36">
        <v>2</v>
      </c>
      <c r="Q269" s="36" t="s">
        <v>228</v>
      </c>
      <c r="R269" s="37">
        <v>244412</v>
      </c>
      <c r="S269" s="37">
        <v>244626</v>
      </c>
      <c r="T269" s="36" t="s">
        <v>629</v>
      </c>
      <c r="U269" s="36">
        <v>23088348</v>
      </c>
      <c r="V269" s="36" t="s">
        <v>57</v>
      </c>
      <c r="W269" s="36">
        <v>0</v>
      </c>
      <c r="X269" s="36">
        <v>0</v>
      </c>
      <c r="Y269" s="36">
        <v>0</v>
      </c>
      <c r="Z269" s="36">
        <v>0</v>
      </c>
      <c r="AA269" s="36">
        <v>0</v>
      </c>
      <c r="AB269" s="36">
        <v>0</v>
      </c>
      <c r="AC269" s="36">
        <v>0</v>
      </c>
      <c r="AD269" s="36">
        <v>0</v>
      </c>
      <c r="AE269" s="36">
        <v>0</v>
      </c>
      <c r="AF269" s="36">
        <v>0</v>
      </c>
      <c r="AG269" s="36"/>
      <c r="AH269" s="36"/>
      <c r="AI269" s="36" t="s">
        <v>200</v>
      </c>
      <c r="AJ269" s="36" t="s">
        <v>201</v>
      </c>
      <c r="AK269" s="36" t="s">
        <v>215</v>
      </c>
      <c r="AL269" s="36" t="s">
        <v>203</v>
      </c>
      <c r="AM269" s="36" t="s">
        <v>204</v>
      </c>
      <c r="AN269" s="36" t="s">
        <v>222</v>
      </c>
      <c r="AO269" s="36" t="s">
        <v>206</v>
      </c>
      <c r="AP269" s="36">
        <v>2</v>
      </c>
      <c r="AQ269" s="36"/>
      <c r="AR269" s="36"/>
      <c r="AS269" s="36"/>
      <c r="AT269" s="36" t="s">
        <v>630</v>
      </c>
      <c r="AU269" s="36" t="s">
        <v>631</v>
      </c>
      <c r="AV269" s="36" t="s">
        <v>209</v>
      </c>
      <c r="AW269" s="36" t="s">
        <v>209</v>
      </c>
      <c r="AX269" s="36" t="s">
        <v>210</v>
      </c>
      <c r="AY269" s="36">
        <v>0</v>
      </c>
      <c r="AZ269" s="36" t="s">
        <v>211</v>
      </c>
      <c r="BA269" s="36">
        <v>9044988632979</v>
      </c>
      <c r="BB269" s="36"/>
      <c r="BC269" s="36"/>
      <c r="BD269" s="36">
        <v>1</v>
      </c>
      <c r="BE269" s="36"/>
      <c r="BF269" s="36" t="s">
        <v>212</v>
      </c>
      <c r="BG269" s="36">
        <v>1333314600</v>
      </c>
      <c r="BH269" s="36" t="s">
        <v>213</v>
      </c>
      <c r="BI269" s="36">
        <v>0</v>
      </c>
      <c r="BJ269" s="36">
        <v>0</v>
      </c>
      <c r="BK269" s="36">
        <v>1300</v>
      </c>
      <c r="BL269" s="36" t="s">
        <v>214</v>
      </c>
      <c r="BM269" s="36"/>
      <c r="BN269" s="36"/>
    </row>
    <row r="270" spans="1:66" x14ac:dyDescent="0.35">
      <c r="A270" s="36"/>
      <c r="B270" s="36"/>
      <c r="C270" s="37">
        <v>244626</v>
      </c>
      <c r="D270" s="37">
        <v>244626</v>
      </c>
      <c r="E270" s="36"/>
      <c r="F270" s="36" t="s">
        <v>192</v>
      </c>
      <c r="G270" s="36" t="s">
        <v>1</v>
      </c>
      <c r="H270" s="36">
        <v>0</v>
      </c>
      <c r="I270" s="36" t="s">
        <v>193</v>
      </c>
      <c r="J270" s="36" t="s">
        <v>194</v>
      </c>
      <c r="K270" s="36" t="s">
        <v>195</v>
      </c>
      <c r="L270" s="36">
        <v>923</v>
      </c>
      <c r="M270" s="36"/>
      <c r="N270" s="36" t="s">
        <v>226</v>
      </c>
      <c r="O270" s="36" t="s">
        <v>227</v>
      </c>
      <c r="P270" s="36">
        <v>2</v>
      </c>
      <c r="Q270" s="36" t="s">
        <v>228</v>
      </c>
      <c r="R270" s="37">
        <v>244412</v>
      </c>
      <c r="S270" s="37">
        <v>244626</v>
      </c>
      <c r="T270" s="36" t="s">
        <v>629</v>
      </c>
      <c r="U270" s="36">
        <v>23058587</v>
      </c>
      <c r="V270" s="36" t="s">
        <v>32</v>
      </c>
      <c r="W270" s="36">
        <v>20</v>
      </c>
      <c r="X270" s="36">
        <v>20</v>
      </c>
      <c r="Y270" s="36">
        <v>20</v>
      </c>
      <c r="Z270" s="36">
        <v>20</v>
      </c>
      <c r="AA270" s="36">
        <v>0</v>
      </c>
      <c r="AB270" s="36">
        <v>0</v>
      </c>
      <c r="AC270" s="36">
        <v>0</v>
      </c>
      <c r="AD270" s="36">
        <v>0</v>
      </c>
      <c r="AE270" s="36">
        <v>20</v>
      </c>
      <c r="AF270" s="36">
        <v>20</v>
      </c>
      <c r="AG270" s="36"/>
      <c r="AH270" s="36"/>
      <c r="AI270" s="36" t="s">
        <v>200</v>
      </c>
      <c r="AJ270" s="36" t="s">
        <v>201</v>
      </c>
      <c r="AK270" s="36" t="s">
        <v>215</v>
      </c>
      <c r="AL270" s="36" t="s">
        <v>203</v>
      </c>
      <c r="AM270" s="36" t="s">
        <v>204</v>
      </c>
      <c r="AN270" s="36" t="s">
        <v>222</v>
      </c>
      <c r="AO270" s="36" t="s">
        <v>206</v>
      </c>
      <c r="AP270" s="36">
        <v>2</v>
      </c>
      <c r="AQ270" s="36"/>
      <c r="AR270" s="36"/>
      <c r="AS270" s="36"/>
      <c r="AT270" s="36" t="s">
        <v>630</v>
      </c>
      <c r="AU270" s="36" t="s">
        <v>631</v>
      </c>
      <c r="AV270" s="36" t="s">
        <v>209</v>
      </c>
      <c r="AW270" s="36" t="s">
        <v>209</v>
      </c>
      <c r="AX270" s="36" t="s">
        <v>210</v>
      </c>
      <c r="AY270" s="36">
        <v>0</v>
      </c>
      <c r="AZ270" s="36" t="s">
        <v>211</v>
      </c>
      <c r="BA270" s="36">
        <v>9044988632979</v>
      </c>
      <c r="BB270" s="36"/>
      <c r="BC270" s="36"/>
      <c r="BD270" s="36">
        <v>1</v>
      </c>
      <c r="BE270" s="36"/>
      <c r="BF270" s="36" t="s">
        <v>212</v>
      </c>
      <c r="BG270" s="36">
        <v>1333314600</v>
      </c>
      <c r="BH270" s="36" t="s">
        <v>213</v>
      </c>
      <c r="BI270" s="36">
        <v>20</v>
      </c>
      <c r="BJ270" s="36">
        <v>20</v>
      </c>
      <c r="BK270" s="36">
        <v>1300</v>
      </c>
      <c r="BL270" s="36" t="s">
        <v>214</v>
      </c>
      <c r="BM270" s="36"/>
      <c r="BN270" s="36"/>
    </row>
    <row r="271" spans="1:66" x14ac:dyDescent="0.35">
      <c r="A271" s="36"/>
      <c r="B271" s="36"/>
      <c r="C271" s="37">
        <v>244626</v>
      </c>
      <c r="D271" s="37">
        <v>244626</v>
      </c>
      <c r="E271" s="36"/>
      <c r="F271" s="36" t="s">
        <v>192</v>
      </c>
      <c r="G271" s="36" t="s">
        <v>1</v>
      </c>
      <c r="H271" s="36">
        <v>0</v>
      </c>
      <c r="I271" s="36" t="s">
        <v>193</v>
      </c>
      <c r="J271" s="36" t="s">
        <v>194</v>
      </c>
      <c r="K271" s="36" t="s">
        <v>195</v>
      </c>
      <c r="L271" s="36">
        <v>923</v>
      </c>
      <c r="M271" s="36"/>
      <c r="N271" s="36" t="s">
        <v>226</v>
      </c>
      <c r="O271" s="36" t="s">
        <v>227</v>
      </c>
      <c r="P271" s="36">
        <v>2</v>
      </c>
      <c r="Q271" s="36" t="s">
        <v>228</v>
      </c>
      <c r="R271" s="37">
        <v>244412</v>
      </c>
      <c r="S271" s="37">
        <v>244626</v>
      </c>
      <c r="T271" s="36" t="s">
        <v>629</v>
      </c>
      <c r="U271" s="36">
        <v>23073188</v>
      </c>
      <c r="V271" s="36" t="s">
        <v>50</v>
      </c>
      <c r="W271" s="36">
        <v>5</v>
      </c>
      <c r="X271" s="36">
        <v>5</v>
      </c>
      <c r="Y271" s="36">
        <v>5</v>
      </c>
      <c r="Z271" s="36">
        <v>5</v>
      </c>
      <c r="AA271" s="36">
        <v>0</v>
      </c>
      <c r="AB271" s="36">
        <v>0</v>
      </c>
      <c r="AC271" s="36">
        <v>0</v>
      </c>
      <c r="AD271" s="36">
        <v>0</v>
      </c>
      <c r="AE271" s="36">
        <v>5</v>
      </c>
      <c r="AF271" s="36">
        <v>5</v>
      </c>
      <c r="AG271" s="36"/>
      <c r="AH271" s="36"/>
      <c r="AI271" s="36" t="s">
        <v>200</v>
      </c>
      <c r="AJ271" s="36" t="s">
        <v>201</v>
      </c>
      <c r="AK271" s="36" t="s">
        <v>215</v>
      </c>
      <c r="AL271" s="36" t="s">
        <v>203</v>
      </c>
      <c r="AM271" s="36" t="s">
        <v>204</v>
      </c>
      <c r="AN271" s="36" t="s">
        <v>222</v>
      </c>
      <c r="AO271" s="36" t="s">
        <v>206</v>
      </c>
      <c r="AP271" s="36">
        <v>2</v>
      </c>
      <c r="AQ271" s="36"/>
      <c r="AR271" s="36"/>
      <c r="AS271" s="36"/>
      <c r="AT271" s="36" t="s">
        <v>630</v>
      </c>
      <c r="AU271" s="36" t="s">
        <v>631</v>
      </c>
      <c r="AV271" s="36" t="s">
        <v>209</v>
      </c>
      <c r="AW271" s="36" t="s">
        <v>209</v>
      </c>
      <c r="AX271" s="36" t="s">
        <v>210</v>
      </c>
      <c r="AY271" s="36">
        <v>0</v>
      </c>
      <c r="AZ271" s="36" t="s">
        <v>211</v>
      </c>
      <c r="BA271" s="36">
        <v>9044988632979</v>
      </c>
      <c r="BB271" s="36"/>
      <c r="BC271" s="36"/>
      <c r="BD271" s="36">
        <v>1</v>
      </c>
      <c r="BE271" s="36"/>
      <c r="BF271" s="36" t="s">
        <v>212</v>
      </c>
      <c r="BG271" s="36">
        <v>1333314600</v>
      </c>
      <c r="BH271" s="36" t="s">
        <v>213</v>
      </c>
      <c r="BI271" s="36">
        <v>5</v>
      </c>
      <c r="BJ271" s="36">
        <v>5</v>
      </c>
      <c r="BK271" s="36">
        <v>1300</v>
      </c>
      <c r="BL271" s="36" t="s">
        <v>214</v>
      </c>
      <c r="BM271" s="36"/>
      <c r="BN271" s="36"/>
    </row>
    <row r="272" spans="1:66" x14ac:dyDescent="0.35">
      <c r="A272" s="36"/>
      <c r="B272" s="36"/>
      <c r="C272" s="37">
        <v>244626</v>
      </c>
      <c r="D272" s="37">
        <v>244626</v>
      </c>
      <c r="E272" s="36"/>
      <c r="F272" s="36" t="s">
        <v>192</v>
      </c>
      <c r="G272" s="36" t="s">
        <v>1</v>
      </c>
      <c r="H272" s="36">
        <v>0</v>
      </c>
      <c r="I272" s="36" t="s">
        <v>193</v>
      </c>
      <c r="J272" s="36" t="s">
        <v>194</v>
      </c>
      <c r="K272" s="36" t="s">
        <v>195</v>
      </c>
      <c r="L272" s="36">
        <v>923</v>
      </c>
      <c r="M272" s="36"/>
      <c r="N272" s="36" t="s">
        <v>226</v>
      </c>
      <c r="O272" s="36" t="s">
        <v>227</v>
      </c>
      <c r="P272" s="36">
        <v>2</v>
      </c>
      <c r="Q272" s="36" t="s">
        <v>228</v>
      </c>
      <c r="R272" s="37">
        <v>244412</v>
      </c>
      <c r="S272" s="37">
        <v>244626</v>
      </c>
      <c r="T272" s="36" t="s">
        <v>629</v>
      </c>
      <c r="U272" s="36">
        <v>23065143</v>
      </c>
      <c r="V272" s="36" t="s">
        <v>43</v>
      </c>
      <c r="W272" s="36">
        <v>500</v>
      </c>
      <c r="X272" s="36">
        <v>500</v>
      </c>
      <c r="Y272" s="36">
        <v>500</v>
      </c>
      <c r="Z272" s="36">
        <v>500</v>
      </c>
      <c r="AA272" s="36">
        <v>0</v>
      </c>
      <c r="AB272" s="36">
        <v>0</v>
      </c>
      <c r="AC272" s="36">
        <v>0</v>
      </c>
      <c r="AD272" s="36">
        <v>0</v>
      </c>
      <c r="AE272" s="36">
        <v>500</v>
      </c>
      <c r="AF272" s="36">
        <v>500</v>
      </c>
      <c r="AG272" s="36"/>
      <c r="AH272" s="36"/>
      <c r="AI272" s="36" t="s">
        <v>200</v>
      </c>
      <c r="AJ272" s="36" t="s">
        <v>201</v>
      </c>
      <c r="AK272" s="36" t="s">
        <v>202</v>
      </c>
      <c r="AL272" s="36" t="s">
        <v>203</v>
      </c>
      <c r="AM272" s="36" t="s">
        <v>204</v>
      </c>
      <c r="AN272" s="36" t="s">
        <v>222</v>
      </c>
      <c r="AO272" s="36" t="s">
        <v>206</v>
      </c>
      <c r="AP272" s="36">
        <v>2</v>
      </c>
      <c r="AQ272" s="36"/>
      <c r="AR272" s="36"/>
      <c r="AS272" s="36"/>
      <c r="AT272" s="36" t="s">
        <v>630</v>
      </c>
      <c r="AU272" s="36" t="s">
        <v>631</v>
      </c>
      <c r="AV272" s="36" t="s">
        <v>209</v>
      </c>
      <c r="AW272" s="36" t="s">
        <v>209</v>
      </c>
      <c r="AX272" s="36" t="s">
        <v>210</v>
      </c>
      <c r="AY272" s="36">
        <v>0</v>
      </c>
      <c r="AZ272" s="36" t="s">
        <v>211</v>
      </c>
      <c r="BA272" s="36">
        <v>9044988632979</v>
      </c>
      <c r="BB272" s="36"/>
      <c r="BC272" s="36"/>
      <c r="BD272" s="36">
        <v>1</v>
      </c>
      <c r="BE272" s="36"/>
      <c r="BF272" s="36" t="s">
        <v>212</v>
      </c>
      <c r="BG272" s="36">
        <v>1333314600</v>
      </c>
      <c r="BH272" s="36" t="s">
        <v>213</v>
      </c>
      <c r="BI272" s="36">
        <v>500</v>
      </c>
      <c r="BJ272" s="36">
        <v>500</v>
      </c>
      <c r="BK272" s="36">
        <v>1300</v>
      </c>
      <c r="BL272" s="36" t="s">
        <v>214</v>
      </c>
      <c r="BM272" s="36"/>
      <c r="BN272" s="36"/>
    </row>
    <row r="273" spans="1:66" x14ac:dyDescent="0.35">
      <c r="A273" s="36"/>
      <c r="B273" s="36"/>
      <c r="C273" s="37">
        <v>244626</v>
      </c>
      <c r="D273" s="37">
        <v>244626</v>
      </c>
      <c r="E273" s="36"/>
      <c r="F273" s="36" t="s">
        <v>192</v>
      </c>
      <c r="G273" s="36" t="s">
        <v>1</v>
      </c>
      <c r="H273" s="36">
        <v>0</v>
      </c>
      <c r="I273" s="36" t="s">
        <v>193</v>
      </c>
      <c r="J273" s="36" t="s">
        <v>194</v>
      </c>
      <c r="K273" s="36" t="s">
        <v>195</v>
      </c>
      <c r="L273" s="36">
        <v>923</v>
      </c>
      <c r="M273" s="36"/>
      <c r="N273" s="36" t="s">
        <v>226</v>
      </c>
      <c r="O273" s="36" t="s">
        <v>227</v>
      </c>
      <c r="P273" s="36">
        <v>2</v>
      </c>
      <c r="Q273" s="36" t="s">
        <v>228</v>
      </c>
      <c r="R273" s="37">
        <v>244412</v>
      </c>
      <c r="S273" s="37">
        <v>244626</v>
      </c>
      <c r="T273" s="36" t="s">
        <v>629</v>
      </c>
      <c r="U273" s="36">
        <v>23109326</v>
      </c>
      <c r="V273" s="36" t="s">
        <v>78</v>
      </c>
      <c r="W273" s="36">
        <v>500</v>
      </c>
      <c r="X273" s="36">
        <v>500</v>
      </c>
      <c r="Y273" s="36">
        <v>500</v>
      </c>
      <c r="Z273" s="36">
        <v>500</v>
      </c>
      <c r="AA273" s="36">
        <v>0</v>
      </c>
      <c r="AB273" s="36">
        <v>0</v>
      </c>
      <c r="AC273" s="36">
        <v>0</v>
      </c>
      <c r="AD273" s="36">
        <v>0</v>
      </c>
      <c r="AE273" s="36">
        <v>500</v>
      </c>
      <c r="AF273" s="36">
        <v>500</v>
      </c>
      <c r="AG273" s="36"/>
      <c r="AH273" s="36"/>
      <c r="AI273" s="36" t="s">
        <v>200</v>
      </c>
      <c r="AJ273" s="36" t="s">
        <v>201</v>
      </c>
      <c r="AK273" s="36" t="s">
        <v>215</v>
      </c>
      <c r="AL273" s="36" t="s">
        <v>203</v>
      </c>
      <c r="AM273" s="36" t="s">
        <v>204</v>
      </c>
      <c r="AN273" s="36" t="s">
        <v>222</v>
      </c>
      <c r="AO273" s="36" t="s">
        <v>206</v>
      </c>
      <c r="AP273" s="36">
        <v>2</v>
      </c>
      <c r="AQ273" s="36"/>
      <c r="AR273" s="36"/>
      <c r="AS273" s="36"/>
      <c r="AT273" s="36" t="s">
        <v>630</v>
      </c>
      <c r="AU273" s="36" t="s">
        <v>631</v>
      </c>
      <c r="AV273" s="36" t="s">
        <v>209</v>
      </c>
      <c r="AW273" s="36" t="s">
        <v>209</v>
      </c>
      <c r="AX273" s="36" t="s">
        <v>210</v>
      </c>
      <c r="AY273" s="36">
        <v>0</v>
      </c>
      <c r="AZ273" s="36" t="s">
        <v>211</v>
      </c>
      <c r="BA273" s="36">
        <v>9044988632979</v>
      </c>
      <c r="BB273" s="36"/>
      <c r="BC273" s="36"/>
      <c r="BD273" s="36">
        <v>1</v>
      </c>
      <c r="BE273" s="36"/>
      <c r="BF273" s="36" t="s">
        <v>212</v>
      </c>
      <c r="BG273" s="36">
        <v>1333314600</v>
      </c>
      <c r="BH273" s="36" t="s">
        <v>213</v>
      </c>
      <c r="BI273" s="36">
        <v>500</v>
      </c>
      <c r="BJ273" s="36">
        <v>500</v>
      </c>
      <c r="BK273" s="36">
        <v>1300</v>
      </c>
      <c r="BL273" s="36" t="s">
        <v>214</v>
      </c>
      <c r="BM273" s="36"/>
      <c r="BN273" s="36"/>
    </row>
    <row r="274" spans="1:66" x14ac:dyDescent="0.35">
      <c r="A274" s="36"/>
      <c r="B274" s="36"/>
      <c r="C274" s="37">
        <v>244626</v>
      </c>
      <c r="D274" s="37">
        <v>244626</v>
      </c>
      <c r="E274" s="36"/>
      <c r="F274" s="36" t="s">
        <v>192</v>
      </c>
      <c r="G274" s="36" t="s">
        <v>1</v>
      </c>
      <c r="H274" s="36">
        <v>0</v>
      </c>
      <c r="I274" s="36" t="s">
        <v>193</v>
      </c>
      <c r="J274" s="36" t="s">
        <v>194</v>
      </c>
      <c r="K274" s="36" t="s">
        <v>195</v>
      </c>
      <c r="L274" s="36">
        <v>923</v>
      </c>
      <c r="M274" s="36"/>
      <c r="N274" s="36" t="s">
        <v>226</v>
      </c>
      <c r="O274" s="36" t="s">
        <v>227</v>
      </c>
      <c r="P274" s="36">
        <v>2</v>
      </c>
      <c r="Q274" s="36" t="s">
        <v>228</v>
      </c>
      <c r="R274" s="37">
        <v>244412</v>
      </c>
      <c r="S274" s="37">
        <v>244626</v>
      </c>
      <c r="T274" s="36" t="s">
        <v>629</v>
      </c>
      <c r="U274" s="36">
        <v>23058552</v>
      </c>
      <c r="V274" s="36" t="s">
        <v>26</v>
      </c>
      <c r="W274" s="36">
        <v>70</v>
      </c>
      <c r="X274" s="36">
        <v>70</v>
      </c>
      <c r="Y274" s="36">
        <v>70</v>
      </c>
      <c r="Z274" s="36">
        <v>70</v>
      </c>
      <c r="AA274" s="36">
        <v>0</v>
      </c>
      <c r="AB274" s="36">
        <v>0</v>
      </c>
      <c r="AC274" s="36">
        <v>0</v>
      </c>
      <c r="AD274" s="36">
        <v>0</v>
      </c>
      <c r="AE274" s="36">
        <v>70</v>
      </c>
      <c r="AF274" s="36">
        <v>70</v>
      </c>
      <c r="AG274" s="36"/>
      <c r="AH274" s="36"/>
      <c r="AI274" s="36" t="s">
        <v>200</v>
      </c>
      <c r="AJ274" s="36" t="s">
        <v>201</v>
      </c>
      <c r="AK274" s="36" t="s">
        <v>215</v>
      </c>
      <c r="AL274" s="36" t="s">
        <v>203</v>
      </c>
      <c r="AM274" s="36" t="s">
        <v>204</v>
      </c>
      <c r="AN274" s="36" t="s">
        <v>222</v>
      </c>
      <c r="AO274" s="36" t="s">
        <v>206</v>
      </c>
      <c r="AP274" s="36">
        <v>2</v>
      </c>
      <c r="AQ274" s="36"/>
      <c r="AR274" s="36"/>
      <c r="AS274" s="36"/>
      <c r="AT274" s="36" t="s">
        <v>630</v>
      </c>
      <c r="AU274" s="36" t="s">
        <v>631</v>
      </c>
      <c r="AV274" s="36" t="s">
        <v>209</v>
      </c>
      <c r="AW274" s="36" t="s">
        <v>209</v>
      </c>
      <c r="AX274" s="36" t="s">
        <v>210</v>
      </c>
      <c r="AY274" s="36">
        <v>0</v>
      </c>
      <c r="AZ274" s="36" t="s">
        <v>211</v>
      </c>
      <c r="BA274" s="36">
        <v>9044988632979</v>
      </c>
      <c r="BB274" s="36"/>
      <c r="BC274" s="36"/>
      <c r="BD274" s="36">
        <v>1</v>
      </c>
      <c r="BE274" s="36"/>
      <c r="BF274" s="36" t="s">
        <v>212</v>
      </c>
      <c r="BG274" s="36">
        <v>1333314600</v>
      </c>
      <c r="BH274" s="36" t="s">
        <v>213</v>
      </c>
      <c r="BI274" s="36">
        <v>70</v>
      </c>
      <c r="BJ274" s="36">
        <v>70</v>
      </c>
      <c r="BK274" s="36">
        <v>1300</v>
      </c>
      <c r="BL274" s="36" t="s">
        <v>214</v>
      </c>
      <c r="BM274" s="36"/>
      <c r="BN274" s="36"/>
    </row>
    <row r="275" spans="1:66" x14ac:dyDescent="0.35">
      <c r="A275" s="36"/>
      <c r="B275" s="36"/>
      <c r="C275" s="37">
        <v>244626</v>
      </c>
      <c r="D275" s="37">
        <v>244626</v>
      </c>
      <c r="E275" s="36"/>
      <c r="F275" s="36" t="s">
        <v>192</v>
      </c>
      <c r="G275" s="36" t="s">
        <v>1</v>
      </c>
      <c r="H275" s="36">
        <v>0</v>
      </c>
      <c r="I275" s="36" t="s">
        <v>193</v>
      </c>
      <c r="J275" s="36" t="s">
        <v>194</v>
      </c>
      <c r="K275" s="36" t="s">
        <v>195</v>
      </c>
      <c r="L275" s="36">
        <v>923</v>
      </c>
      <c r="M275" s="36"/>
      <c r="N275" s="36" t="s">
        <v>218</v>
      </c>
      <c r="O275" s="36" t="s">
        <v>219</v>
      </c>
      <c r="P275" s="36">
        <v>2</v>
      </c>
      <c r="Q275" s="36" t="s">
        <v>220</v>
      </c>
      <c r="R275" s="37">
        <v>244412</v>
      </c>
      <c r="S275" s="37">
        <v>244626</v>
      </c>
      <c r="T275" s="36" t="s">
        <v>632</v>
      </c>
      <c r="U275" s="36">
        <v>23015198</v>
      </c>
      <c r="V275" s="36" t="s">
        <v>119</v>
      </c>
      <c r="W275" s="36">
        <v>6</v>
      </c>
      <c r="X275" s="36">
        <v>6</v>
      </c>
      <c r="Y275" s="36">
        <v>6</v>
      </c>
      <c r="Z275" s="36">
        <v>6</v>
      </c>
      <c r="AA275" s="36">
        <v>0</v>
      </c>
      <c r="AB275" s="36">
        <v>0</v>
      </c>
      <c r="AC275" s="36">
        <v>0</v>
      </c>
      <c r="AD275" s="36">
        <v>0</v>
      </c>
      <c r="AE275" s="36">
        <v>6</v>
      </c>
      <c r="AF275" s="36">
        <v>6</v>
      </c>
      <c r="AG275" s="36"/>
      <c r="AH275" s="36"/>
      <c r="AI275" s="36" t="s">
        <v>200</v>
      </c>
      <c r="AJ275" s="36" t="s">
        <v>201</v>
      </c>
      <c r="AK275" s="36" t="s">
        <v>202</v>
      </c>
      <c r="AL275" s="36" t="s">
        <v>203</v>
      </c>
      <c r="AM275" s="36" t="s">
        <v>204</v>
      </c>
      <c r="AN275" s="36" t="s">
        <v>222</v>
      </c>
      <c r="AO275" s="36" t="s">
        <v>206</v>
      </c>
      <c r="AP275" s="36">
        <v>2</v>
      </c>
      <c r="AQ275" s="36"/>
      <c r="AR275" s="36"/>
      <c r="AS275" s="36"/>
      <c r="AT275" s="36" t="s">
        <v>223</v>
      </c>
      <c r="AU275" s="36" t="s">
        <v>633</v>
      </c>
      <c r="AV275" s="36" t="s">
        <v>209</v>
      </c>
      <c r="AW275" s="36" t="s">
        <v>209</v>
      </c>
      <c r="AX275" s="36" t="s">
        <v>210</v>
      </c>
      <c r="AY275" s="36">
        <v>0</v>
      </c>
      <c r="AZ275" s="36" t="s">
        <v>211</v>
      </c>
      <c r="BA275" s="36">
        <v>9044988648947</v>
      </c>
      <c r="BB275" s="36"/>
      <c r="BC275" s="36"/>
      <c r="BD275" s="36">
        <v>1</v>
      </c>
      <c r="BE275" s="36"/>
      <c r="BF275" s="36" t="s">
        <v>212</v>
      </c>
      <c r="BG275" s="36">
        <v>1333314600</v>
      </c>
      <c r="BH275" s="36" t="s">
        <v>213</v>
      </c>
      <c r="BI275" s="36">
        <v>6</v>
      </c>
      <c r="BJ275" s="36">
        <v>6</v>
      </c>
      <c r="BK275" s="36">
        <v>1300</v>
      </c>
      <c r="BL275" s="36" t="s">
        <v>214</v>
      </c>
      <c r="BM275" s="36"/>
      <c r="BN275" s="36"/>
    </row>
    <row r="276" spans="1:66" x14ac:dyDescent="0.35">
      <c r="A276" s="36"/>
      <c r="B276" s="36"/>
      <c r="C276" s="37">
        <v>244626</v>
      </c>
      <c r="D276" s="37">
        <v>244626</v>
      </c>
      <c r="E276" s="36"/>
      <c r="F276" s="36" t="s">
        <v>192</v>
      </c>
      <c r="G276" s="36" t="s">
        <v>1</v>
      </c>
      <c r="H276" s="36">
        <v>0</v>
      </c>
      <c r="I276" s="36" t="s">
        <v>193</v>
      </c>
      <c r="J276" s="36" t="s">
        <v>194</v>
      </c>
      <c r="K276" s="36" t="s">
        <v>195</v>
      </c>
      <c r="L276" s="36">
        <v>923</v>
      </c>
      <c r="M276" s="36"/>
      <c r="N276" s="36" t="s">
        <v>218</v>
      </c>
      <c r="O276" s="36" t="s">
        <v>219</v>
      </c>
      <c r="P276" s="36">
        <v>2</v>
      </c>
      <c r="Q276" s="36" t="s">
        <v>220</v>
      </c>
      <c r="R276" s="37">
        <v>244412</v>
      </c>
      <c r="S276" s="37">
        <v>244626</v>
      </c>
      <c r="T276" s="36" t="s">
        <v>632</v>
      </c>
      <c r="U276" s="36">
        <v>23058591</v>
      </c>
      <c r="V276" s="36" t="s">
        <v>35</v>
      </c>
      <c r="W276" s="36">
        <v>20</v>
      </c>
      <c r="X276" s="36">
        <v>20</v>
      </c>
      <c r="Y276" s="36">
        <v>20</v>
      </c>
      <c r="Z276" s="36">
        <v>20</v>
      </c>
      <c r="AA276" s="36">
        <v>0</v>
      </c>
      <c r="AB276" s="36">
        <v>0</v>
      </c>
      <c r="AC276" s="36">
        <v>0</v>
      </c>
      <c r="AD276" s="36">
        <v>0</v>
      </c>
      <c r="AE276" s="36">
        <v>20</v>
      </c>
      <c r="AF276" s="36">
        <v>20</v>
      </c>
      <c r="AG276" s="36"/>
      <c r="AH276" s="36"/>
      <c r="AI276" s="36" t="s">
        <v>200</v>
      </c>
      <c r="AJ276" s="36" t="s">
        <v>201</v>
      </c>
      <c r="AK276" s="36" t="s">
        <v>215</v>
      </c>
      <c r="AL276" s="36" t="s">
        <v>203</v>
      </c>
      <c r="AM276" s="36" t="s">
        <v>204</v>
      </c>
      <c r="AN276" s="36" t="s">
        <v>222</v>
      </c>
      <c r="AO276" s="36" t="s">
        <v>206</v>
      </c>
      <c r="AP276" s="36">
        <v>2</v>
      </c>
      <c r="AQ276" s="36"/>
      <c r="AR276" s="36"/>
      <c r="AS276" s="36"/>
      <c r="AT276" s="36" t="s">
        <v>223</v>
      </c>
      <c r="AU276" s="36" t="s">
        <v>633</v>
      </c>
      <c r="AV276" s="36" t="s">
        <v>209</v>
      </c>
      <c r="AW276" s="36" t="s">
        <v>209</v>
      </c>
      <c r="AX276" s="36" t="s">
        <v>210</v>
      </c>
      <c r="AY276" s="36">
        <v>0</v>
      </c>
      <c r="AZ276" s="36" t="s">
        <v>211</v>
      </c>
      <c r="BA276" s="36">
        <v>9044988648947</v>
      </c>
      <c r="BB276" s="36"/>
      <c r="BC276" s="36"/>
      <c r="BD276" s="36">
        <v>1</v>
      </c>
      <c r="BE276" s="36"/>
      <c r="BF276" s="36" t="s">
        <v>212</v>
      </c>
      <c r="BG276" s="36">
        <v>1333314600</v>
      </c>
      <c r="BH276" s="36" t="s">
        <v>213</v>
      </c>
      <c r="BI276" s="36">
        <v>20</v>
      </c>
      <c r="BJ276" s="36">
        <v>20</v>
      </c>
      <c r="BK276" s="36">
        <v>1300</v>
      </c>
      <c r="BL276" s="36" t="s">
        <v>214</v>
      </c>
      <c r="BM276" s="36"/>
      <c r="BN276" s="36"/>
    </row>
    <row r="277" spans="1:66" x14ac:dyDescent="0.35">
      <c r="A277" s="36"/>
      <c r="B277" s="36"/>
      <c r="C277" s="37">
        <v>244626</v>
      </c>
      <c r="D277" s="37">
        <v>244626</v>
      </c>
      <c r="E277" s="36"/>
      <c r="F277" s="36" t="s">
        <v>192</v>
      </c>
      <c r="G277" s="36" t="s">
        <v>1</v>
      </c>
      <c r="H277" s="36">
        <v>0</v>
      </c>
      <c r="I277" s="36" t="s">
        <v>193</v>
      </c>
      <c r="J277" s="36" t="s">
        <v>194</v>
      </c>
      <c r="K277" s="36" t="s">
        <v>195</v>
      </c>
      <c r="L277" s="36">
        <v>923</v>
      </c>
      <c r="M277" s="36"/>
      <c r="N277" s="36" t="s">
        <v>218</v>
      </c>
      <c r="O277" s="36" t="s">
        <v>219</v>
      </c>
      <c r="P277" s="36">
        <v>2</v>
      </c>
      <c r="Q277" s="36" t="s">
        <v>220</v>
      </c>
      <c r="R277" s="37">
        <v>244412</v>
      </c>
      <c r="S277" s="37">
        <v>244626</v>
      </c>
      <c r="T277" s="36" t="s">
        <v>632</v>
      </c>
      <c r="U277" s="36">
        <v>23057827</v>
      </c>
      <c r="V277" s="36" t="s">
        <v>24</v>
      </c>
      <c r="W277" s="36">
        <v>6</v>
      </c>
      <c r="X277" s="36">
        <v>6</v>
      </c>
      <c r="Y277" s="36">
        <v>6</v>
      </c>
      <c r="Z277" s="36">
        <v>6</v>
      </c>
      <c r="AA277" s="36">
        <v>0</v>
      </c>
      <c r="AB277" s="36">
        <v>0</v>
      </c>
      <c r="AC277" s="36">
        <v>0</v>
      </c>
      <c r="AD277" s="36">
        <v>0</v>
      </c>
      <c r="AE277" s="36">
        <v>6</v>
      </c>
      <c r="AF277" s="36">
        <v>6</v>
      </c>
      <c r="AG277" s="36"/>
      <c r="AH277" s="36"/>
      <c r="AI277" s="36" t="s">
        <v>200</v>
      </c>
      <c r="AJ277" s="36" t="s">
        <v>201</v>
      </c>
      <c r="AK277" s="36" t="s">
        <v>202</v>
      </c>
      <c r="AL277" s="36" t="s">
        <v>203</v>
      </c>
      <c r="AM277" s="36" t="s">
        <v>204</v>
      </c>
      <c r="AN277" s="36" t="s">
        <v>222</v>
      </c>
      <c r="AO277" s="36" t="s">
        <v>206</v>
      </c>
      <c r="AP277" s="36">
        <v>2</v>
      </c>
      <c r="AQ277" s="36"/>
      <c r="AR277" s="36"/>
      <c r="AS277" s="36"/>
      <c r="AT277" s="36" t="s">
        <v>223</v>
      </c>
      <c r="AU277" s="36" t="s">
        <v>633</v>
      </c>
      <c r="AV277" s="36" t="s">
        <v>209</v>
      </c>
      <c r="AW277" s="36" t="s">
        <v>209</v>
      </c>
      <c r="AX277" s="36" t="s">
        <v>210</v>
      </c>
      <c r="AY277" s="36">
        <v>0</v>
      </c>
      <c r="AZ277" s="36" t="s">
        <v>211</v>
      </c>
      <c r="BA277" s="36">
        <v>9044988648947</v>
      </c>
      <c r="BB277" s="36"/>
      <c r="BC277" s="36"/>
      <c r="BD277" s="36">
        <v>1</v>
      </c>
      <c r="BE277" s="36"/>
      <c r="BF277" s="36" t="s">
        <v>212</v>
      </c>
      <c r="BG277" s="36">
        <v>1333314600</v>
      </c>
      <c r="BH277" s="36" t="s">
        <v>213</v>
      </c>
      <c r="BI277" s="36">
        <v>6</v>
      </c>
      <c r="BJ277" s="36">
        <v>6</v>
      </c>
      <c r="BK277" s="36">
        <v>1300</v>
      </c>
      <c r="BL277" s="36" t="s">
        <v>214</v>
      </c>
      <c r="BM277" s="36"/>
      <c r="BN277" s="36"/>
    </row>
    <row r="278" spans="1:66" x14ac:dyDescent="0.35">
      <c r="A278" s="36"/>
      <c r="B278" s="36"/>
      <c r="C278" s="37">
        <v>244626</v>
      </c>
      <c r="D278" s="37">
        <v>244626</v>
      </c>
      <c r="E278" s="36"/>
      <c r="F278" s="36" t="s">
        <v>192</v>
      </c>
      <c r="G278" s="36" t="s">
        <v>1</v>
      </c>
      <c r="H278" s="36">
        <v>0</v>
      </c>
      <c r="I278" s="36" t="s">
        <v>193</v>
      </c>
      <c r="J278" s="36" t="s">
        <v>194</v>
      </c>
      <c r="K278" s="36" t="s">
        <v>195</v>
      </c>
      <c r="L278" s="36">
        <v>923</v>
      </c>
      <c r="M278" s="36"/>
      <c r="N278" s="36" t="s">
        <v>218</v>
      </c>
      <c r="O278" s="36" t="s">
        <v>219</v>
      </c>
      <c r="P278" s="36">
        <v>2</v>
      </c>
      <c r="Q278" s="36" t="s">
        <v>220</v>
      </c>
      <c r="R278" s="37">
        <v>244412</v>
      </c>
      <c r="S278" s="37">
        <v>244626</v>
      </c>
      <c r="T278" s="36" t="s">
        <v>632</v>
      </c>
      <c r="U278" s="36">
        <v>23058551</v>
      </c>
      <c r="V278" s="36" t="s">
        <v>25</v>
      </c>
      <c r="W278" s="36">
        <v>19</v>
      </c>
      <c r="X278" s="36">
        <v>19</v>
      </c>
      <c r="Y278" s="36">
        <v>19</v>
      </c>
      <c r="Z278" s="36">
        <v>19</v>
      </c>
      <c r="AA278" s="36">
        <v>0</v>
      </c>
      <c r="AB278" s="36">
        <v>0</v>
      </c>
      <c r="AC278" s="36">
        <v>0</v>
      </c>
      <c r="AD278" s="36">
        <v>0</v>
      </c>
      <c r="AE278" s="36">
        <v>19</v>
      </c>
      <c r="AF278" s="36">
        <v>19</v>
      </c>
      <c r="AG278" s="36"/>
      <c r="AH278" s="36"/>
      <c r="AI278" s="36" t="s">
        <v>200</v>
      </c>
      <c r="AJ278" s="36" t="s">
        <v>201</v>
      </c>
      <c r="AK278" s="36" t="s">
        <v>202</v>
      </c>
      <c r="AL278" s="36" t="s">
        <v>203</v>
      </c>
      <c r="AM278" s="36" t="s">
        <v>204</v>
      </c>
      <c r="AN278" s="36" t="s">
        <v>222</v>
      </c>
      <c r="AO278" s="36" t="s">
        <v>206</v>
      </c>
      <c r="AP278" s="36">
        <v>2</v>
      </c>
      <c r="AQ278" s="36"/>
      <c r="AR278" s="36"/>
      <c r="AS278" s="36"/>
      <c r="AT278" s="36" t="s">
        <v>223</v>
      </c>
      <c r="AU278" s="36" t="s">
        <v>633</v>
      </c>
      <c r="AV278" s="36" t="s">
        <v>209</v>
      </c>
      <c r="AW278" s="36" t="s">
        <v>209</v>
      </c>
      <c r="AX278" s="36" t="s">
        <v>210</v>
      </c>
      <c r="AY278" s="36">
        <v>0</v>
      </c>
      <c r="AZ278" s="36" t="s">
        <v>211</v>
      </c>
      <c r="BA278" s="36">
        <v>9044988648947</v>
      </c>
      <c r="BB278" s="36"/>
      <c r="BC278" s="36"/>
      <c r="BD278" s="36">
        <v>1</v>
      </c>
      <c r="BE278" s="36"/>
      <c r="BF278" s="36" t="s">
        <v>212</v>
      </c>
      <c r="BG278" s="36">
        <v>1333314600</v>
      </c>
      <c r="BH278" s="36" t="s">
        <v>213</v>
      </c>
      <c r="BI278" s="36">
        <v>19</v>
      </c>
      <c r="BJ278" s="36">
        <v>19</v>
      </c>
      <c r="BK278" s="36">
        <v>1300</v>
      </c>
      <c r="BL278" s="36" t="s">
        <v>214</v>
      </c>
      <c r="BM278" s="36"/>
      <c r="BN278" s="36"/>
    </row>
    <row r="279" spans="1:66" x14ac:dyDescent="0.35">
      <c r="A279" s="36"/>
      <c r="B279" s="36"/>
      <c r="C279" s="37">
        <v>244626</v>
      </c>
      <c r="D279" s="37">
        <v>244626</v>
      </c>
      <c r="E279" s="36"/>
      <c r="F279" s="36" t="s">
        <v>192</v>
      </c>
      <c r="G279" s="36" t="s">
        <v>1</v>
      </c>
      <c r="H279" s="36">
        <v>0</v>
      </c>
      <c r="I279" s="36" t="s">
        <v>193</v>
      </c>
      <c r="J279" s="36" t="s">
        <v>194</v>
      </c>
      <c r="K279" s="36" t="s">
        <v>195</v>
      </c>
      <c r="L279" s="36">
        <v>923</v>
      </c>
      <c r="M279" s="36"/>
      <c r="N279" s="36" t="s">
        <v>218</v>
      </c>
      <c r="O279" s="36" t="s">
        <v>219</v>
      </c>
      <c r="P279" s="36">
        <v>2</v>
      </c>
      <c r="Q279" s="36" t="s">
        <v>220</v>
      </c>
      <c r="R279" s="37">
        <v>244412</v>
      </c>
      <c r="S279" s="37">
        <v>244626</v>
      </c>
      <c r="T279" s="36" t="s">
        <v>632</v>
      </c>
      <c r="U279" s="36">
        <v>23087034</v>
      </c>
      <c r="V279" s="36" t="s">
        <v>54</v>
      </c>
      <c r="W279" s="36">
        <v>6</v>
      </c>
      <c r="X279" s="36">
        <v>6</v>
      </c>
      <c r="Y279" s="36">
        <v>6</v>
      </c>
      <c r="Z279" s="36">
        <v>6</v>
      </c>
      <c r="AA279" s="36">
        <v>0</v>
      </c>
      <c r="AB279" s="36">
        <v>0</v>
      </c>
      <c r="AC279" s="36">
        <v>0</v>
      </c>
      <c r="AD279" s="36">
        <v>0</v>
      </c>
      <c r="AE279" s="36">
        <v>6</v>
      </c>
      <c r="AF279" s="36">
        <v>6</v>
      </c>
      <c r="AG279" s="36"/>
      <c r="AH279" s="36"/>
      <c r="AI279" s="36" t="s">
        <v>200</v>
      </c>
      <c r="AJ279" s="36" t="s">
        <v>201</v>
      </c>
      <c r="AK279" s="36" t="s">
        <v>202</v>
      </c>
      <c r="AL279" s="36" t="s">
        <v>203</v>
      </c>
      <c r="AM279" s="36" t="s">
        <v>204</v>
      </c>
      <c r="AN279" s="36" t="s">
        <v>222</v>
      </c>
      <c r="AO279" s="36" t="s">
        <v>206</v>
      </c>
      <c r="AP279" s="36">
        <v>2</v>
      </c>
      <c r="AQ279" s="36"/>
      <c r="AR279" s="36"/>
      <c r="AS279" s="36"/>
      <c r="AT279" s="36" t="s">
        <v>223</v>
      </c>
      <c r="AU279" s="36" t="s">
        <v>633</v>
      </c>
      <c r="AV279" s="36" t="s">
        <v>209</v>
      </c>
      <c r="AW279" s="36" t="s">
        <v>209</v>
      </c>
      <c r="AX279" s="36" t="s">
        <v>210</v>
      </c>
      <c r="AY279" s="36">
        <v>0</v>
      </c>
      <c r="AZ279" s="36" t="s">
        <v>211</v>
      </c>
      <c r="BA279" s="36">
        <v>9044988648947</v>
      </c>
      <c r="BB279" s="36"/>
      <c r="BC279" s="36"/>
      <c r="BD279" s="36">
        <v>1</v>
      </c>
      <c r="BE279" s="36"/>
      <c r="BF279" s="36" t="s">
        <v>212</v>
      </c>
      <c r="BG279" s="36">
        <v>1333314600</v>
      </c>
      <c r="BH279" s="36" t="s">
        <v>213</v>
      </c>
      <c r="BI279" s="36">
        <v>6</v>
      </c>
      <c r="BJ279" s="36">
        <v>6</v>
      </c>
      <c r="BK279" s="36">
        <v>1300</v>
      </c>
      <c r="BL279" s="36" t="s">
        <v>214</v>
      </c>
      <c r="BM279" s="36"/>
      <c r="BN279" s="36"/>
    </row>
    <row r="280" spans="1:66" x14ac:dyDescent="0.35">
      <c r="A280" s="36"/>
      <c r="B280" s="36"/>
      <c r="C280" s="37">
        <v>244626</v>
      </c>
      <c r="D280" s="37">
        <v>244626</v>
      </c>
      <c r="E280" s="36"/>
      <c r="F280" s="36" t="s">
        <v>192</v>
      </c>
      <c r="G280" s="36" t="s">
        <v>1</v>
      </c>
      <c r="H280" s="36">
        <v>0</v>
      </c>
      <c r="I280" s="36" t="s">
        <v>193</v>
      </c>
      <c r="J280" s="36" t="s">
        <v>194</v>
      </c>
      <c r="K280" s="36" t="s">
        <v>195</v>
      </c>
      <c r="L280" s="36">
        <v>923</v>
      </c>
      <c r="M280" s="36"/>
      <c r="N280" s="36" t="s">
        <v>235</v>
      </c>
      <c r="O280" s="36" t="s">
        <v>236</v>
      </c>
      <c r="P280" s="36">
        <v>2</v>
      </c>
      <c r="Q280" s="36" t="s">
        <v>237</v>
      </c>
      <c r="R280" s="37">
        <v>244534</v>
      </c>
      <c r="S280" s="37">
        <v>244626</v>
      </c>
      <c r="T280" s="36" t="s">
        <v>634</v>
      </c>
      <c r="U280" s="36">
        <v>23110600</v>
      </c>
      <c r="V280" s="36" t="s">
        <v>91</v>
      </c>
      <c r="W280" s="36">
        <v>8</v>
      </c>
      <c r="X280" s="36">
        <v>8</v>
      </c>
      <c r="Y280" s="36">
        <v>8</v>
      </c>
      <c r="Z280" s="36">
        <v>8</v>
      </c>
      <c r="AA280" s="36">
        <v>0</v>
      </c>
      <c r="AB280" s="36">
        <v>0</v>
      </c>
      <c r="AC280" s="36">
        <v>0</v>
      </c>
      <c r="AD280" s="36">
        <v>0</v>
      </c>
      <c r="AE280" s="36">
        <v>8</v>
      </c>
      <c r="AF280" s="36">
        <v>8</v>
      </c>
      <c r="AG280" s="36"/>
      <c r="AH280" s="36"/>
      <c r="AI280" s="36" t="s">
        <v>200</v>
      </c>
      <c r="AJ280" s="36" t="s">
        <v>201</v>
      </c>
      <c r="AK280" s="36" t="s">
        <v>202</v>
      </c>
      <c r="AL280" s="36" t="s">
        <v>225</v>
      </c>
      <c r="AM280" s="36" t="s">
        <v>204</v>
      </c>
      <c r="AN280" s="36" t="s">
        <v>222</v>
      </c>
      <c r="AO280" s="36" t="s">
        <v>206</v>
      </c>
      <c r="AP280" s="36">
        <v>2</v>
      </c>
      <c r="AQ280" s="36"/>
      <c r="AR280" s="36"/>
      <c r="AS280" s="36"/>
      <c r="AT280" s="36" t="s">
        <v>223</v>
      </c>
      <c r="AU280" s="36" t="s">
        <v>635</v>
      </c>
      <c r="AV280" s="36" t="s">
        <v>216</v>
      </c>
      <c r="AW280" s="36" t="s">
        <v>209</v>
      </c>
      <c r="AX280" s="36" t="s">
        <v>210</v>
      </c>
      <c r="AY280" s="36">
        <v>0</v>
      </c>
      <c r="AZ280" s="36" t="s">
        <v>211</v>
      </c>
      <c r="BA280" s="36">
        <v>9045088719716</v>
      </c>
      <c r="BB280" s="36"/>
      <c r="BC280" s="36"/>
      <c r="BD280" s="36">
        <v>1</v>
      </c>
      <c r="BE280" s="36"/>
      <c r="BF280" s="36"/>
      <c r="BG280" s="36">
        <v>1333314600</v>
      </c>
      <c r="BH280" s="36" t="s">
        <v>213</v>
      </c>
      <c r="BI280" s="36">
        <v>8</v>
      </c>
      <c r="BJ280" s="36">
        <v>8</v>
      </c>
      <c r="BK280" s="36">
        <v>1300</v>
      </c>
      <c r="BL280" s="36" t="s">
        <v>214</v>
      </c>
      <c r="BM280" s="36"/>
      <c r="BN280" s="36"/>
    </row>
    <row r="281" spans="1:66" x14ac:dyDescent="0.35">
      <c r="A281" s="36"/>
      <c r="B281" s="36"/>
      <c r="C281" s="37">
        <v>244626</v>
      </c>
      <c r="D281" s="37">
        <v>244626</v>
      </c>
      <c r="E281" s="36"/>
      <c r="F281" s="36" t="s">
        <v>192</v>
      </c>
      <c r="G281" s="36" t="s">
        <v>1</v>
      </c>
      <c r="H281" s="36">
        <v>0</v>
      </c>
      <c r="I281" s="36" t="s">
        <v>193</v>
      </c>
      <c r="J281" s="36" t="s">
        <v>194</v>
      </c>
      <c r="K281" s="36" t="s">
        <v>195</v>
      </c>
      <c r="L281" s="36">
        <v>923</v>
      </c>
      <c r="M281" s="36"/>
      <c r="N281" s="36" t="s">
        <v>235</v>
      </c>
      <c r="O281" s="36" t="s">
        <v>236</v>
      </c>
      <c r="P281" s="36">
        <v>2</v>
      </c>
      <c r="Q281" s="36" t="s">
        <v>237</v>
      </c>
      <c r="R281" s="37">
        <v>244534</v>
      </c>
      <c r="S281" s="37">
        <v>244626</v>
      </c>
      <c r="T281" s="36" t="s">
        <v>634</v>
      </c>
      <c r="U281" s="36">
        <v>23110587</v>
      </c>
      <c r="V281" s="36" t="s">
        <v>87</v>
      </c>
      <c r="W281" s="36">
        <v>4</v>
      </c>
      <c r="X281" s="36">
        <v>4</v>
      </c>
      <c r="Y281" s="36">
        <v>4</v>
      </c>
      <c r="Z281" s="36">
        <v>4</v>
      </c>
      <c r="AA281" s="36">
        <v>0</v>
      </c>
      <c r="AB281" s="36">
        <v>0</v>
      </c>
      <c r="AC281" s="36">
        <v>0</v>
      </c>
      <c r="AD281" s="36">
        <v>0</v>
      </c>
      <c r="AE281" s="36">
        <v>4</v>
      </c>
      <c r="AF281" s="36">
        <v>4</v>
      </c>
      <c r="AG281" s="36"/>
      <c r="AH281" s="36"/>
      <c r="AI281" s="36" t="s">
        <v>200</v>
      </c>
      <c r="AJ281" s="36" t="s">
        <v>201</v>
      </c>
      <c r="AK281" s="36" t="s">
        <v>202</v>
      </c>
      <c r="AL281" s="36" t="s">
        <v>225</v>
      </c>
      <c r="AM281" s="36" t="s">
        <v>204</v>
      </c>
      <c r="AN281" s="36" t="s">
        <v>222</v>
      </c>
      <c r="AO281" s="36" t="s">
        <v>206</v>
      </c>
      <c r="AP281" s="36">
        <v>2</v>
      </c>
      <c r="AQ281" s="36"/>
      <c r="AR281" s="36"/>
      <c r="AS281" s="36"/>
      <c r="AT281" s="36" t="s">
        <v>223</v>
      </c>
      <c r="AU281" s="36" t="s">
        <v>635</v>
      </c>
      <c r="AV281" s="36" t="s">
        <v>216</v>
      </c>
      <c r="AW281" s="36" t="s">
        <v>209</v>
      </c>
      <c r="AX281" s="36" t="s">
        <v>210</v>
      </c>
      <c r="AY281" s="36">
        <v>0</v>
      </c>
      <c r="AZ281" s="36" t="s">
        <v>211</v>
      </c>
      <c r="BA281" s="36">
        <v>9045088719716</v>
      </c>
      <c r="BB281" s="36"/>
      <c r="BC281" s="36"/>
      <c r="BD281" s="36">
        <v>1</v>
      </c>
      <c r="BE281" s="36"/>
      <c r="BF281" s="36"/>
      <c r="BG281" s="36">
        <v>1333314600</v>
      </c>
      <c r="BH281" s="36" t="s">
        <v>213</v>
      </c>
      <c r="BI281" s="36">
        <v>4</v>
      </c>
      <c r="BJ281" s="36">
        <v>4</v>
      </c>
      <c r="BK281" s="36">
        <v>1300</v>
      </c>
      <c r="BL281" s="36" t="s">
        <v>214</v>
      </c>
      <c r="BM281" s="36"/>
      <c r="BN281" s="36"/>
    </row>
    <row r="282" spans="1:66" x14ac:dyDescent="0.35">
      <c r="A282" s="36"/>
      <c r="B282" s="36"/>
      <c r="C282" s="37">
        <v>244626</v>
      </c>
      <c r="D282" s="37">
        <v>244626</v>
      </c>
      <c r="E282" s="36"/>
      <c r="F282" s="36" t="s">
        <v>192</v>
      </c>
      <c r="G282" s="36" t="s">
        <v>1</v>
      </c>
      <c r="H282" s="36">
        <v>0</v>
      </c>
      <c r="I282" s="36" t="s">
        <v>193</v>
      </c>
      <c r="J282" s="36" t="s">
        <v>194</v>
      </c>
      <c r="K282" s="36" t="s">
        <v>195</v>
      </c>
      <c r="L282" s="36">
        <v>923</v>
      </c>
      <c r="M282" s="36"/>
      <c r="N282" s="36" t="s">
        <v>235</v>
      </c>
      <c r="O282" s="36" t="s">
        <v>236</v>
      </c>
      <c r="P282" s="36">
        <v>2</v>
      </c>
      <c r="Q282" s="36" t="s">
        <v>237</v>
      </c>
      <c r="R282" s="37">
        <v>244534</v>
      </c>
      <c r="S282" s="37">
        <v>244626</v>
      </c>
      <c r="T282" s="36" t="s">
        <v>634</v>
      </c>
      <c r="U282" s="36">
        <v>23111034</v>
      </c>
      <c r="V282" s="36" t="s">
        <v>94</v>
      </c>
      <c r="W282" s="36">
        <v>8</v>
      </c>
      <c r="X282" s="36">
        <v>4</v>
      </c>
      <c r="Y282" s="36">
        <v>8</v>
      </c>
      <c r="Z282" s="36">
        <v>4</v>
      </c>
      <c r="AA282" s="36">
        <v>0</v>
      </c>
      <c r="AB282" s="36">
        <v>0</v>
      </c>
      <c r="AC282" s="36">
        <v>0</v>
      </c>
      <c r="AD282" s="36">
        <v>0</v>
      </c>
      <c r="AE282" s="36">
        <v>8</v>
      </c>
      <c r="AF282" s="36">
        <v>4</v>
      </c>
      <c r="AG282" s="36"/>
      <c r="AH282" s="36"/>
      <c r="AI282" s="36" t="s">
        <v>200</v>
      </c>
      <c r="AJ282" s="36" t="s">
        <v>201</v>
      </c>
      <c r="AK282" s="36" t="s">
        <v>202</v>
      </c>
      <c r="AL282" s="36" t="s">
        <v>225</v>
      </c>
      <c r="AM282" s="36" t="s">
        <v>204</v>
      </c>
      <c r="AN282" s="36" t="s">
        <v>222</v>
      </c>
      <c r="AO282" s="36" t="s">
        <v>206</v>
      </c>
      <c r="AP282" s="36">
        <v>2</v>
      </c>
      <c r="AQ282" s="36"/>
      <c r="AR282" s="36"/>
      <c r="AS282" s="36"/>
      <c r="AT282" s="36" t="s">
        <v>223</v>
      </c>
      <c r="AU282" s="36" t="s">
        <v>635</v>
      </c>
      <c r="AV282" s="36" t="s">
        <v>216</v>
      </c>
      <c r="AW282" s="36" t="s">
        <v>209</v>
      </c>
      <c r="AX282" s="36" t="s">
        <v>210</v>
      </c>
      <c r="AY282" s="36">
        <v>0</v>
      </c>
      <c r="AZ282" s="36" t="s">
        <v>211</v>
      </c>
      <c r="BA282" s="36">
        <v>9045088719716</v>
      </c>
      <c r="BB282" s="36"/>
      <c r="BC282" s="36"/>
      <c r="BD282" s="36">
        <v>1</v>
      </c>
      <c r="BE282" s="36"/>
      <c r="BF282" s="36"/>
      <c r="BG282" s="36">
        <v>1333314600</v>
      </c>
      <c r="BH282" s="36" t="s">
        <v>213</v>
      </c>
      <c r="BI282" s="36">
        <v>8</v>
      </c>
      <c r="BJ282" s="36">
        <v>4</v>
      </c>
      <c r="BK282" s="36">
        <v>1300</v>
      </c>
      <c r="BL282" s="36" t="s">
        <v>214</v>
      </c>
      <c r="BM282" s="36"/>
      <c r="BN282" s="36"/>
    </row>
    <row r="283" spans="1:66" x14ac:dyDescent="0.35">
      <c r="A283" s="36"/>
      <c r="B283" s="36"/>
      <c r="C283" s="37">
        <v>244626</v>
      </c>
      <c r="D283" s="37">
        <v>244626</v>
      </c>
      <c r="E283" s="36"/>
      <c r="F283" s="36" t="s">
        <v>192</v>
      </c>
      <c r="G283" s="36" t="s">
        <v>1</v>
      </c>
      <c r="H283" s="36">
        <v>0</v>
      </c>
      <c r="I283" s="36" t="s">
        <v>193</v>
      </c>
      <c r="J283" s="36" t="s">
        <v>194</v>
      </c>
      <c r="K283" s="36" t="s">
        <v>195</v>
      </c>
      <c r="L283" s="36">
        <v>923</v>
      </c>
      <c r="M283" s="36"/>
      <c r="N283" s="36" t="s">
        <v>235</v>
      </c>
      <c r="O283" s="36" t="s">
        <v>236</v>
      </c>
      <c r="P283" s="36">
        <v>2</v>
      </c>
      <c r="Q283" s="36" t="s">
        <v>237</v>
      </c>
      <c r="R283" s="37">
        <v>244534</v>
      </c>
      <c r="S283" s="37">
        <v>244626</v>
      </c>
      <c r="T283" s="36" t="s">
        <v>634</v>
      </c>
      <c r="U283" s="36">
        <v>23111037</v>
      </c>
      <c r="V283" s="36" t="s">
        <v>97</v>
      </c>
      <c r="W283" s="36">
        <v>4</v>
      </c>
      <c r="X283" s="36">
        <v>2</v>
      </c>
      <c r="Y283" s="36">
        <v>4</v>
      </c>
      <c r="Z283" s="36">
        <v>2</v>
      </c>
      <c r="AA283" s="36">
        <v>0</v>
      </c>
      <c r="AB283" s="36">
        <v>0</v>
      </c>
      <c r="AC283" s="36">
        <v>0</v>
      </c>
      <c r="AD283" s="36">
        <v>0</v>
      </c>
      <c r="AE283" s="36">
        <v>4</v>
      </c>
      <c r="AF283" s="36">
        <v>2</v>
      </c>
      <c r="AG283" s="36"/>
      <c r="AH283" s="36"/>
      <c r="AI283" s="36" t="s">
        <v>200</v>
      </c>
      <c r="AJ283" s="36" t="s">
        <v>201</v>
      </c>
      <c r="AK283" s="36" t="s">
        <v>202</v>
      </c>
      <c r="AL283" s="36" t="s">
        <v>225</v>
      </c>
      <c r="AM283" s="36" t="s">
        <v>204</v>
      </c>
      <c r="AN283" s="36" t="s">
        <v>222</v>
      </c>
      <c r="AO283" s="36" t="s">
        <v>206</v>
      </c>
      <c r="AP283" s="36">
        <v>2</v>
      </c>
      <c r="AQ283" s="36"/>
      <c r="AR283" s="36"/>
      <c r="AS283" s="36"/>
      <c r="AT283" s="36" t="s">
        <v>223</v>
      </c>
      <c r="AU283" s="36" t="s">
        <v>635</v>
      </c>
      <c r="AV283" s="36" t="s">
        <v>216</v>
      </c>
      <c r="AW283" s="36" t="s">
        <v>209</v>
      </c>
      <c r="AX283" s="36" t="s">
        <v>210</v>
      </c>
      <c r="AY283" s="36">
        <v>0</v>
      </c>
      <c r="AZ283" s="36" t="s">
        <v>211</v>
      </c>
      <c r="BA283" s="36">
        <v>9045088719716</v>
      </c>
      <c r="BB283" s="36"/>
      <c r="BC283" s="36"/>
      <c r="BD283" s="36">
        <v>1</v>
      </c>
      <c r="BE283" s="36"/>
      <c r="BF283" s="36"/>
      <c r="BG283" s="36">
        <v>1333314600</v>
      </c>
      <c r="BH283" s="36" t="s">
        <v>213</v>
      </c>
      <c r="BI283" s="36">
        <v>4</v>
      </c>
      <c r="BJ283" s="36">
        <v>2</v>
      </c>
      <c r="BK283" s="36">
        <v>1300</v>
      </c>
      <c r="BL283" s="36" t="s">
        <v>214</v>
      </c>
      <c r="BM283" s="36"/>
      <c r="BN283" s="36"/>
    </row>
    <row r="284" spans="1:66" x14ac:dyDescent="0.35">
      <c r="A284" s="36"/>
      <c r="B284" s="36"/>
      <c r="C284" s="37">
        <v>244626</v>
      </c>
      <c r="D284" s="37">
        <v>244626</v>
      </c>
      <c r="E284" s="36"/>
      <c r="F284" s="36" t="s">
        <v>192</v>
      </c>
      <c r="G284" s="36" t="s">
        <v>1</v>
      </c>
      <c r="H284" s="36">
        <v>0</v>
      </c>
      <c r="I284" s="36" t="s">
        <v>193</v>
      </c>
      <c r="J284" s="36" t="s">
        <v>194</v>
      </c>
      <c r="K284" s="36" t="s">
        <v>195</v>
      </c>
      <c r="L284" s="36">
        <v>923</v>
      </c>
      <c r="M284" s="36"/>
      <c r="N284" s="36" t="s">
        <v>235</v>
      </c>
      <c r="O284" s="36" t="s">
        <v>236</v>
      </c>
      <c r="P284" s="36">
        <v>2</v>
      </c>
      <c r="Q284" s="36" t="s">
        <v>237</v>
      </c>
      <c r="R284" s="37">
        <v>244534</v>
      </c>
      <c r="S284" s="37">
        <v>244626</v>
      </c>
      <c r="T284" s="36" t="s">
        <v>634</v>
      </c>
      <c r="U284" s="36">
        <v>23110590</v>
      </c>
      <c r="V284" s="36" t="s">
        <v>88</v>
      </c>
      <c r="W284" s="36">
        <v>4</v>
      </c>
      <c r="X284" s="36">
        <v>4</v>
      </c>
      <c r="Y284" s="36">
        <v>4</v>
      </c>
      <c r="Z284" s="36">
        <v>4</v>
      </c>
      <c r="AA284" s="36">
        <v>0</v>
      </c>
      <c r="AB284" s="36">
        <v>0</v>
      </c>
      <c r="AC284" s="36">
        <v>0</v>
      </c>
      <c r="AD284" s="36">
        <v>0</v>
      </c>
      <c r="AE284" s="36">
        <v>4</v>
      </c>
      <c r="AF284" s="36">
        <v>4</v>
      </c>
      <c r="AG284" s="36"/>
      <c r="AH284" s="36"/>
      <c r="AI284" s="36" t="s">
        <v>200</v>
      </c>
      <c r="AJ284" s="36" t="s">
        <v>201</v>
      </c>
      <c r="AK284" s="36" t="s">
        <v>202</v>
      </c>
      <c r="AL284" s="36" t="s">
        <v>225</v>
      </c>
      <c r="AM284" s="36" t="s">
        <v>204</v>
      </c>
      <c r="AN284" s="36" t="s">
        <v>222</v>
      </c>
      <c r="AO284" s="36" t="s">
        <v>206</v>
      </c>
      <c r="AP284" s="36">
        <v>2</v>
      </c>
      <c r="AQ284" s="36"/>
      <c r="AR284" s="36"/>
      <c r="AS284" s="36"/>
      <c r="AT284" s="36" t="s">
        <v>223</v>
      </c>
      <c r="AU284" s="36" t="s">
        <v>635</v>
      </c>
      <c r="AV284" s="36" t="s">
        <v>216</v>
      </c>
      <c r="AW284" s="36" t="s">
        <v>209</v>
      </c>
      <c r="AX284" s="36" t="s">
        <v>210</v>
      </c>
      <c r="AY284" s="36">
        <v>0</v>
      </c>
      <c r="AZ284" s="36" t="s">
        <v>211</v>
      </c>
      <c r="BA284" s="36">
        <v>9045088719716</v>
      </c>
      <c r="BB284" s="36"/>
      <c r="BC284" s="36"/>
      <c r="BD284" s="36">
        <v>1</v>
      </c>
      <c r="BE284" s="36"/>
      <c r="BF284" s="36"/>
      <c r="BG284" s="36">
        <v>1333314600</v>
      </c>
      <c r="BH284" s="36" t="s">
        <v>213</v>
      </c>
      <c r="BI284" s="36">
        <v>4</v>
      </c>
      <c r="BJ284" s="36">
        <v>4</v>
      </c>
      <c r="BK284" s="36">
        <v>1300</v>
      </c>
      <c r="BL284" s="36" t="s">
        <v>214</v>
      </c>
      <c r="BM284" s="36"/>
      <c r="BN284" s="36"/>
    </row>
    <row r="285" spans="1:66" x14ac:dyDescent="0.35">
      <c r="A285" s="36"/>
      <c r="B285" s="36"/>
      <c r="C285" s="37">
        <v>244626</v>
      </c>
      <c r="D285" s="37">
        <v>244626</v>
      </c>
      <c r="E285" s="36"/>
      <c r="F285" s="36" t="s">
        <v>192</v>
      </c>
      <c r="G285" s="36" t="s">
        <v>1</v>
      </c>
      <c r="H285" s="36">
        <v>0</v>
      </c>
      <c r="I285" s="36" t="s">
        <v>193</v>
      </c>
      <c r="J285" s="36" t="s">
        <v>194</v>
      </c>
      <c r="K285" s="36" t="s">
        <v>195</v>
      </c>
      <c r="L285" s="36">
        <v>923</v>
      </c>
      <c r="M285" s="36"/>
      <c r="N285" s="36" t="s">
        <v>235</v>
      </c>
      <c r="O285" s="36" t="s">
        <v>236</v>
      </c>
      <c r="P285" s="36">
        <v>2</v>
      </c>
      <c r="Q285" s="36" t="s">
        <v>237</v>
      </c>
      <c r="R285" s="37">
        <v>244534</v>
      </c>
      <c r="S285" s="37">
        <v>244626</v>
      </c>
      <c r="T285" s="36" t="s">
        <v>634</v>
      </c>
      <c r="U285" s="36">
        <v>23111028</v>
      </c>
      <c r="V285" s="36" t="s">
        <v>92</v>
      </c>
      <c r="W285" s="36">
        <v>4</v>
      </c>
      <c r="X285" s="36">
        <v>2</v>
      </c>
      <c r="Y285" s="36">
        <v>4</v>
      </c>
      <c r="Z285" s="36">
        <v>2</v>
      </c>
      <c r="AA285" s="36">
        <v>0</v>
      </c>
      <c r="AB285" s="36">
        <v>0</v>
      </c>
      <c r="AC285" s="36">
        <v>0</v>
      </c>
      <c r="AD285" s="36">
        <v>0</v>
      </c>
      <c r="AE285" s="36">
        <v>4</v>
      </c>
      <c r="AF285" s="36">
        <v>2</v>
      </c>
      <c r="AG285" s="36"/>
      <c r="AH285" s="36"/>
      <c r="AI285" s="36" t="s">
        <v>200</v>
      </c>
      <c r="AJ285" s="36" t="s">
        <v>201</v>
      </c>
      <c r="AK285" s="36" t="s">
        <v>202</v>
      </c>
      <c r="AL285" s="36" t="s">
        <v>225</v>
      </c>
      <c r="AM285" s="36" t="s">
        <v>204</v>
      </c>
      <c r="AN285" s="36" t="s">
        <v>222</v>
      </c>
      <c r="AO285" s="36" t="s">
        <v>206</v>
      </c>
      <c r="AP285" s="36">
        <v>2</v>
      </c>
      <c r="AQ285" s="36"/>
      <c r="AR285" s="36"/>
      <c r="AS285" s="36"/>
      <c r="AT285" s="36" t="s">
        <v>223</v>
      </c>
      <c r="AU285" s="36" t="s">
        <v>635</v>
      </c>
      <c r="AV285" s="36" t="s">
        <v>216</v>
      </c>
      <c r="AW285" s="36" t="s">
        <v>209</v>
      </c>
      <c r="AX285" s="36" t="s">
        <v>210</v>
      </c>
      <c r="AY285" s="36">
        <v>0</v>
      </c>
      <c r="AZ285" s="36" t="s">
        <v>211</v>
      </c>
      <c r="BA285" s="36">
        <v>9045088719716</v>
      </c>
      <c r="BB285" s="36"/>
      <c r="BC285" s="36"/>
      <c r="BD285" s="36">
        <v>1</v>
      </c>
      <c r="BE285" s="36"/>
      <c r="BF285" s="36"/>
      <c r="BG285" s="36">
        <v>1333314600</v>
      </c>
      <c r="BH285" s="36" t="s">
        <v>213</v>
      </c>
      <c r="BI285" s="36">
        <v>4</v>
      </c>
      <c r="BJ285" s="36">
        <v>2</v>
      </c>
      <c r="BK285" s="36">
        <v>1300</v>
      </c>
      <c r="BL285" s="36" t="s">
        <v>214</v>
      </c>
      <c r="BM285" s="36"/>
      <c r="BN285" s="36"/>
    </row>
    <row r="286" spans="1:66" x14ac:dyDescent="0.35">
      <c r="A286" s="36"/>
      <c r="B286" s="36"/>
      <c r="C286" s="37">
        <v>244626</v>
      </c>
      <c r="D286" s="37">
        <v>244626</v>
      </c>
      <c r="E286" s="36"/>
      <c r="F286" s="36" t="s">
        <v>192</v>
      </c>
      <c r="G286" s="36" t="s">
        <v>1</v>
      </c>
      <c r="H286" s="36">
        <v>0</v>
      </c>
      <c r="I286" s="36" t="s">
        <v>193</v>
      </c>
      <c r="J286" s="36" t="s">
        <v>194</v>
      </c>
      <c r="K286" s="36" t="s">
        <v>195</v>
      </c>
      <c r="L286" s="36">
        <v>923</v>
      </c>
      <c r="M286" s="36"/>
      <c r="N286" s="36" t="s">
        <v>235</v>
      </c>
      <c r="O286" s="36" t="s">
        <v>236</v>
      </c>
      <c r="P286" s="36">
        <v>2</v>
      </c>
      <c r="Q286" s="36" t="s">
        <v>237</v>
      </c>
      <c r="R286" s="37">
        <v>244534</v>
      </c>
      <c r="S286" s="37">
        <v>244626</v>
      </c>
      <c r="T286" s="36" t="s">
        <v>634</v>
      </c>
      <c r="U286" s="36">
        <v>23110593</v>
      </c>
      <c r="V286" s="36" t="s">
        <v>89</v>
      </c>
      <c r="W286" s="36">
        <v>8</v>
      </c>
      <c r="X286" s="36">
        <v>8</v>
      </c>
      <c r="Y286" s="36">
        <v>8</v>
      </c>
      <c r="Z286" s="36">
        <v>8</v>
      </c>
      <c r="AA286" s="36">
        <v>0</v>
      </c>
      <c r="AB286" s="36">
        <v>0</v>
      </c>
      <c r="AC286" s="36">
        <v>0</v>
      </c>
      <c r="AD286" s="36">
        <v>0</v>
      </c>
      <c r="AE286" s="36">
        <v>8</v>
      </c>
      <c r="AF286" s="36">
        <v>8</v>
      </c>
      <c r="AG286" s="36"/>
      <c r="AH286" s="36"/>
      <c r="AI286" s="36" t="s">
        <v>200</v>
      </c>
      <c r="AJ286" s="36" t="s">
        <v>201</v>
      </c>
      <c r="AK286" s="36" t="s">
        <v>202</v>
      </c>
      <c r="AL286" s="36" t="s">
        <v>225</v>
      </c>
      <c r="AM286" s="36" t="s">
        <v>204</v>
      </c>
      <c r="AN286" s="36" t="s">
        <v>222</v>
      </c>
      <c r="AO286" s="36" t="s">
        <v>206</v>
      </c>
      <c r="AP286" s="36">
        <v>2</v>
      </c>
      <c r="AQ286" s="36"/>
      <c r="AR286" s="36"/>
      <c r="AS286" s="36"/>
      <c r="AT286" s="36" t="s">
        <v>223</v>
      </c>
      <c r="AU286" s="36" t="s">
        <v>635</v>
      </c>
      <c r="AV286" s="36" t="s">
        <v>216</v>
      </c>
      <c r="AW286" s="36" t="s">
        <v>209</v>
      </c>
      <c r="AX286" s="36" t="s">
        <v>210</v>
      </c>
      <c r="AY286" s="36">
        <v>0</v>
      </c>
      <c r="AZ286" s="36" t="s">
        <v>211</v>
      </c>
      <c r="BA286" s="36">
        <v>9045088719716</v>
      </c>
      <c r="BB286" s="36"/>
      <c r="BC286" s="36"/>
      <c r="BD286" s="36">
        <v>1</v>
      </c>
      <c r="BE286" s="36"/>
      <c r="BF286" s="36"/>
      <c r="BG286" s="36">
        <v>1333314600</v>
      </c>
      <c r="BH286" s="36" t="s">
        <v>213</v>
      </c>
      <c r="BI286" s="36">
        <v>8</v>
      </c>
      <c r="BJ286" s="36">
        <v>8</v>
      </c>
      <c r="BK286" s="36">
        <v>1300</v>
      </c>
      <c r="BL286" s="36" t="s">
        <v>214</v>
      </c>
      <c r="BM286" s="36"/>
      <c r="BN286" s="36"/>
    </row>
    <row r="287" spans="1:66" x14ac:dyDescent="0.35">
      <c r="A287" s="36"/>
      <c r="B287" s="36"/>
      <c r="C287" s="37">
        <v>244626</v>
      </c>
      <c r="D287" s="37">
        <v>244626</v>
      </c>
      <c r="E287" s="36"/>
      <c r="F287" s="36" t="s">
        <v>192</v>
      </c>
      <c r="G287" s="36" t="s">
        <v>1</v>
      </c>
      <c r="H287" s="36">
        <v>0</v>
      </c>
      <c r="I287" s="36" t="s">
        <v>193</v>
      </c>
      <c r="J287" s="36" t="s">
        <v>194</v>
      </c>
      <c r="K287" s="36" t="s">
        <v>195</v>
      </c>
      <c r="L287" s="36">
        <v>923</v>
      </c>
      <c r="M287" s="36"/>
      <c r="N287" s="36" t="s">
        <v>235</v>
      </c>
      <c r="O287" s="36" t="s">
        <v>236</v>
      </c>
      <c r="P287" s="36">
        <v>2</v>
      </c>
      <c r="Q287" s="36" t="s">
        <v>237</v>
      </c>
      <c r="R287" s="37">
        <v>244534</v>
      </c>
      <c r="S287" s="37">
        <v>244626</v>
      </c>
      <c r="T287" s="36" t="s">
        <v>634</v>
      </c>
      <c r="U287" s="36">
        <v>23111033</v>
      </c>
      <c r="V287" s="36" t="s">
        <v>93</v>
      </c>
      <c r="W287" s="36">
        <v>8</v>
      </c>
      <c r="X287" s="36">
        <v>4</v>
      </c>
      <c r="Y287" s="36">
        <v>8</v>
      </c>
      <c r="Z287" s="36">
        <v>4</v>
      </c>
      <c r="AA287" s="36">
        <v>0</v>
      </c>
      <c r="AB287" s="36">
        <v>0</v>
      </c>
      <c r="AC287" s="36">
        <v>0</v>
      </c>
      <c r="AD287" s="36">
        <v>0</v>
      </c>
      <c r="AE287" s="36">
        <v>8</v>
      </c>
      <c r="AF287" s="36">
        <v>4</v>
      </c>
      <c r="AG287" s="36"/>
      <c r="AH287" s="36"/>
      <c r="AI287" s="36" t="s">
        <v>200</v>
      </c>
      <c r="AJ287" s="36" t="s">
        <v>201</v>
      </c>
      <c r="AK287" s="36" t="s">
        <v>202</v>
      </c>
      <c r="AL287" s="36" t="s">
        <v>225</v>
      </c>
      <c r="AM287" s="36" t="s">
        <v>204</v>
      </c>
      <c r="AN287" s="36" t="s">
        <v>222</v>
      </c>
      <c r="AO287" s="36" t="s">
        <v>206</v>
      </c>
      <c r="AP287" s="36">
        <v>2</v>
      </c>
      <c r="AQ287" s="36"/>
      <c r="AR287" s="36"/>
      <c r="AS287" s="36"/>
      <c r="AT287" s="36" t="s">
        <v>223</v>
      </c>
      <c r="AU287" s="36" t="s">
        <v>635</v>
      </c>
      <c r="AV287" s="36" t="s">
        <v>216</v>
      </c>
      <c r="AW287" s="36" t="s">
        <v>209</v>
      </c>
      <c r="AX287" s="36" t="s">
        <v>210</v>
      </c>
      <c r="AY287" s="36">
        <v>0</v>
      </c>
      <c r="AZ287" s="36" t="s">
        <v>211</v>
      </c>
      <c r="BA287" s="36">
        <v>9045088719716</v>
      </c>
      <c r="BB287" s="36"/>
      <c r="BC287" s="36"/>
      <c r="BD287" s="36">
        <v>1</v>
      </c>
      <c r="BE287" s="36"/>
      <c r="BF287" s="36"/>
      <c r="BG287" s="36">
        <v>1333314600</v>
      </c>
      <c r="BH287" s="36" t="s">
        <v>213</v>
      </c>
      <c r="BI287" s="36">
        <v>8</v>
      </c>
      <c r="BJ287" s="36">
        <v>4</v>
      </c>
      <c r="BK287" s="36">
        <v>1300</v>
      </c>
      <c r="BL287" s="36" t="s">
        <v>214</v>
      </c>
      <c r="BM287" s="36"/>
      <c r="BN287" s="36"/>
    </row>
    <row r="288" spans="1:66" x14ac:dyDescent="0.35">
      <c r="A288" s="36"/>
      <c r="B288" s="36"/>
      <c r="C288" s="37">
        <v>244626</v>
      </c>
      <c r="D288" s="37">
        <v>244626</v>
      </c>
      <c r="E288" s="36"/>
      <c r="F288" s="36" t="s">
        <v>192</v>
      </c>
      <c r="G288" s="36" t="s">
        <v>1</v>
      </c>
      <c r="H288" s="36">
        <v>0</v>
      </c>
      <c r="I288" s="36" t="s">
        <v>193</v>
      </c>
      <c r="J288" s="36" t="s">
        <v>194</v>
      </c>
      <c r="K288" s="36" t="s">
        <v>195</v>
      </c>
      <c r="L288" s="36">
        <v>923</v>
      </c>
      <c r="M288" s="36"/>
      <c r="N288" s="36" t="s">
        <v>235</v>
      </c>
      <c r="O288" s="36" t="s">
        <v>236</v>
      </c>
      <c r="P288" s="36">
        <v>2</v>
      </c>
      <c r="Q288" s="36" t="s">
        <v>237</v>
      </c>
      <c r="R288" s="37">
        <v>244534</v>
      </c>
      <c r="S288" s="37">
        <v>244626</v>
      </c>
      <c r="T288" s="36" t="s">
        <v>634</v>
      </c>
      <c r="U288" s="36">
        <v>23110631</v>
      </c>
      <c r="V288" s="36" t="s">
        <v>118</v>
      </c>
      <c r="W288" s="36">
        <v>4</v>
      </c>
      <c r="X288" s="36">
        <v>6</v>
      </c>
      <c r="Y288" s="36">
        <v>4</v>
      </c>
      <c r="Z288" s="36">
        <v>6</v>
      </c>
      <c r="AA288" s="36">
        <v>0</v>
      </c>
      <c r="AB288" s="36">
        <v>0</v>
      </c>
      <c r="AC288" s="36">
        <v>0</v>
      </c>
      <c r="AD288" s="36">
        <v>0</v>
      </c>
      <c r="AE288" s="36">
        <v>4</v>
      </c>
      <c r="AF288" s="36">
        <v>6</v>
      </c>
      <c r="AG288" s="36"/>
      <c r="AH288" s="36"/>
      <c r="AI288" s="36" t="s">
        <v>200</v>
      </c>
      <c r="AJ288" s="36" t="s">
        <v>201</v>
      </c>
      <c r="AK288" s="36" t="s">
        <v>202</v>
      </c>
      <c r="AL288" s="36" t="s">
        <v>225</v>
      </c>
      <c r="AM288" s="36" t="s">
        <v>204</v>
      </c>
      <c r="AN288" s="36" t="s">
        <v>222</v>
      </c>
      <c r="AO288" s="36" t="s">
        <v>206</v>
      </c>
      <c r="AP288" s="36">
        <v>2</v>
      </c>
      <c r="AQ288" s="36"/>
      <c r="AR288" s="36"/>
      <c r="AS288" s="36"/>
      <c r="AT288" s="36" t="s">
        <v>223</v>
      </c>
      <c r="AU288" s="36" t="s">
        <v>635</v>
      </c>
      <c r="AV288" s="36" t="s">
        <v>216</v>
      </c>
      <c r="AW288" s="36" t="s">
        <v>209</v>
      </c>
      <c r="AX288" s="36" t="s">
        <v>210</v>
      </c>
      <c r="AY288" s="36">
        <v>0</v>
      </c>
      <c r="AZ288" s="36" t="s">
        <v>211</v>
      </c>
      <c r="BA288" s="36">
        <v>9045088719716</v>
      </c>
      <c r="BB288" s="36"/>
      <c r="BC288" s="36"/>
      <c r="BD288" s="36">
        <v>1</v>
      </c>
      <c r="BE288" s="36"/>
      <c r="BF288" s="36"/>
      <c r="BG288" s="36">
        <v>1333314600</v>
      </c>
      <c r="BH288" s="36" t="s">
        <v>213</v>
      </c>
      <c r="BI288" s="36">
        <v>4</v>
      </c>
      <c r="BJ288" s="36">
        <v>6</v>
      </c>
      <c r="BK288" s="36">
        <v>1300</v>
      </c>
      <c r="BL288" s="36" t="s">
        <v>214</v>
      </c>
      <c r="BM288" s="36"/>
      <c r="BN288" s="36"/>
    </row>
    <row r="289" spans="1:66" x14ac:dyDescent="0.35">
      <c r="A289" s="36"/>
      <c r="B289" s="36"/>
      <c r="C289" s="37">
        <v>244626</v>
      </c>
      <c r="D289" s="37">
        <v>244626</v>
      </c>
      <c r="E289" s="36"/>
      <c r="F289" s="36" t="s">
        <v>192</v>
      </c>
      <c r="G289" s="36" t="s">
        <v>1</v>
      </c>
      <c r="H289" s="36">
        <v>0</v>
      </c>
      <c r="I289" s="36" t="s">
        <v>193</v>
      </c>
      <c r="J289" s="36" t="s">
        <v>194</v>
      </c>
      <c r="K289" s="36" t="s">
        <v>195</v>
      </c>
      <c r="L289" s="36">
        <v>923</v>
      </c>
      <c r="M289" s="36"/>
      <c r="N289" s="36" t="s">
        <v>235</v>
      </c>
      <c r="O289" s="36" t="s">
        <v>236</v>
      </c>
      <c r="P289" s="36">
        <v>2</v>
      </c>
      <c r="Q289" s="36" t="s">
        <v>237</v>
      </c>
      <c r="R289" s="37">
        <v>244534</v>
      </c>
      <c r="S289" s="37">
        <v>244626</v>
      </c>
      <c r="T289" s="36" t="s">
        <v>634</v>
      </c>
      <c r="U289" s="36">
        <v>23110584</v>
      </c>
      <c r="V289" s="36" t="s">
        <v>86</v>
      </c>
      <c r="W289" s="36">
        <v>4</v>
      </c>
      <c r="X289" s="36">
        <v>4</v>
      </c>
      <c r="Y289" s="36">
        <v>4</v>
      </c>
      <c r="Z289" s="36">
        <v>4</v>
      </c>
      <c r="AA289" s="36">
        <v>0</v>
      </c>
      <c r="AB289" s="36">
        <v>0</v>
      </c>
      <c r="AC289" s="36">
        <v>0</v>
      </c>
      <c r="AD289" s="36">
        <v>0</v>
      </c>
      <c r="AE289" s="36">
        <v>4</v>
      </c>
      <c r="AF289" s="36">
        <v>4</v>
      </c>
      <c r="AG289" s="36"/>
      <c r="AH289" s="36"/>
      <c r="AI289" s="36" t="s">
        <v>200</v>
      </c>
      <c r="AJ289" s="36" t="s">
        <v>201</v>
      </c>
      <c r="AK289" s="36" t="s">
        <v>202</v>
      </c>
      <c r="AL289" s="36" t="s">
        <v>225</v>
      </c>
      <c r="AM289" s="36" t="s">
        <v>204</v>
      </c>
      <c r="AN289" s="36" t="s">
        <v>222</v>
      </c>
      <c r="AO289" s="36" t="s">
        <v>206</v>
      </c>
      <c r="AP289" s="36">
        <v>2</v>
      </c>
      <c r="AQ289" s="36"/>
      <c r="AR289" s="36"/>
      <c r="AS289" s="36"/>
      <c r="AT289" s="36" t="s">
        <v>223</v>
      </c>
      <c r="AU289" s="36" t="s">
        <v>635</v>
      </c>
      <c r="AV289" s="36" t="s">
        <v>216</v>
      </c>
      <c r="AW289" s="36" t="s">
        <v>209</v>
      </c>
      <c r="AX289" s="36" t="s">
        <v>210</v>
      </c>
      <c r="AY289" s="36">
        <v>0</v>
      </c>
      <c r="AZ289" s="36" t="s">
        <v>211</v>
      </c>
      <c r="BA289" s="36">
        <v>9045088719716</v>
      </c>
      <c r="BB289" s="36"/>
      <c r="BC289" s="36"/>
      <c r="BD289" s="36">
        <v>1</v>
      </c>
      <c r="BE289" s="36"/>
      <c r="BF289" s="36"/>
      <c r="BG289" s="36">
        <v>1333314600</v>
      </c>
      <c r="BH289" s="36" t="s">
        <v>213</v>
      </c>
      <c r="BI289" s="36">
        <v>4</v>
      </c>
      <c r="BJ289" s="36">
        <v>4</v>
      </c>
      <c r="BK289" s="36">
        <v>1300</v>
      </c>
      <c r="BL289" s="36" t="s">
        <v>214</v>
      </c>
      <c r="BM289" s="36"/>
      <c r="BN289" s="36"/>
    </row>
    <row r="290" spans="1:66" x14ac:dyDescent="0.35">
      <c r="A290" s="36"/>
      <c r="B290" s="36"/>
      <c r="C290" s="37">
        <v>244626</v>
      </c>
      <c r="D290" s="37">
        <v>244626</v>
      </c>
      <c r="E290" s="36"/>
      <c r="F290" s="36" t="s">
        <v>192</v>
      </c>
      <c r="G290" s="36" t="s">
        <v>1</v>
      </c>
      <c r="H290" s="36">
        <v>0</v>
      </c>
      <c r="I290" s="36" t="s">
        <v>193</v>
      </c>
      <c r="J290" s="36" t="s">
        <v>194</v>
      </c>
      <c r="K290" s="36" t="s">
        <v>195</v>
      </c>
      <c r="L290" s="36">
        <v>923</v>
      </c>
      <c r="M290" s="36"/>
      <c r="N290" s="36" t="s">
        <v>235</v>
      </c>
      <c r="O290" s="36" t="s">
        <v>236</v>
      </c>
      <c r="P290" s="36">
        <v>2</v>
      </c>
      <c r="Q290" s="36" t="s">
        <v>237</v>
      </c>
      <c r="R290" s="37">
        <v>244534</v>
      </c>
      <c r="S290" s="37">
        <v>244626</v>
      </c>
      <c r="T290" s="36" t="s">
        <v>634</v>
      </c>
      <c r="U290" s="36">
        <v>23111035</v>
      </c>
      <c r="V290" s="36" t="s">
        <v>95</v>
      </c>
      <c r="W290" s="36">
        <v>4</v>
      </c>
      <c r="X290" s="36">
        <v>2</v>
      </c>
      <c r="Y290" s="36">
        <v>4</v>
      </c>
      <c r="Z290" s="36">
        <v>2</v>
      </c>
      <c r="AA290" s="36">
        <v>0</v>
      </c>
      <c r="AB290" s="36">
        <v>0</v>
      </c>
      <c r="AC290" s="36">
        <v>0</v>
      </c>
      <c r="AD290" s="36">
        <v>0</v>
      </c>
      <c r="AE290" s="36">
        <v>4</v>
      </c>
      <c r="AF290" s="36">
        <v>2</v>
      </c>
      <c r="AG290" s="36"/>
      <c r="AH290" s="36"/>
      <c r="AI290" s="36" t="s">
        <v>200</v>
      </c>
      <c r="AJ290" s="36" t="s">
        <v>201</v>
      </c>
      <c r="AK290" s="36" t="s">
        <v>202</v>
      </c>
      <c r="AL290" s="36" t="s">
        <v>225</v>
      </c>
      <c r="AM290" s="36" t="s">
        <v>204</v>
      </c>
      <c r="AN290" s="36" t="s">
        <v>222</v>
      </c>
      <c r="AO290" s="36" t="s">
        <v>206</v>
      </c>
      <c r="AP290" s="36">
        <v>2</v>
      </c>
      <c r="AQ290" s="36"/>
      <c r="AR290" s="36"/>
      <c r="AS290" s="36"/>
      <c r="AT290" s="36" t="s">
        <v>223</v>
      </c>
      <c r="AU290" s="36" t="s">
        <v>635</v>
      </c>
      <c r="AV290" s="36" t="s">
        <v>216</v>
      </c>
      <c r="AW290" s="36" t="s">
        <v>209</v>
      </c>
      <c r="AX290" s="36" t="s">
        <v>210</v>
      </c>
      <c r="AY290" s="36">
        <v>0</v>
      </c>
      <c r="AZ290" s="36" t="s">
        <v>211</v>
      </c>
      <c r="BA290" s="36">
        <v>9045088719716</v>
      </c>
      <c r="BB290" s="36"/>
      <c r="BC290" s="36"/>
      <c r="BD290" s="36">
        <v>1</v>
      </c>
      <c r="BE290" s="36"/>
      <c r="BF290" s="36"/>
      <c r="BG290" s="36">
        <v>1333314600</v>
      </c>
      <c r="BH290" s="36" t="s">
        <v>213</v>
      </c>
      <c r="BI290" s="36">
        <v>4</v>
      </c>
      <c r="BJ290" s="36">
        <v>2</v>
      </c>
      <c r="BK290" s="36">
        <v>1300</v>
      </c>
      <c r="BL290" s="36" t="s">
        <v>214</v>
      </c>
      <c r="BM290" s="36"/>
      <c r="BN290" s="36"/>
    </row>
    <row r="291" spans="1:66" x14ac:dyDescent="0.35">
      <c r="A291" s="36"/>
      <c r="B291" s="36"/>
      <c r="C291" s="37">
        <v>244626</v>
      </c>
      <c r="D291" s="37">
        <v>244626</v>
      </c>
      <c r="E291" s="36"/>
      <c r="F291" s="36" t="s">
        <v>192</v>
      </c>
      <c r="G291" s="36" t="s">
        <v>1</v>
      </c>
      <c r="H291" s="36">
        <v>0</v>
      </c>
      <c r="I291" s="36" t="s">
        <v>193</v>
      </c>
      <c r="J291" s="36" t="s">
        <v>194</v>
      </c>
      <c r="K291" s="36" t="s">
        <v>195</v>
      </c>
      <c r="L291" s="36">
        <v>923</v>
      </c>
      <c r="M291" s="36"/>
      <c r="N291" s="36" t="s">
        <v>235</v>
      </c>
      <c r="O291" s="36" t="s">
        <v>236</v>
      </c>
      <c r="P291" s="36">
        <v>2</v>
      </c>
      <c r="Q291" s="36" t="s">
        <v>237</v>
      </c>
      <c r="R291" s="37">
        <v>244534</v>
      </c>
      <c r="S291" s="37">
        <v>244626</v>
      </c>
      <c r="T291" s="36" t="s">
        <v>634</v>
      </c>
      <c r="U291" s="36">
        <v>23110595</v>
      </c>
      <c r="V291" s="36" t="s">
        <v>90</v>
      </c>
      <c r="W291" s="36">
        <v>8</v>
      </c>
      <c r="X291" s="36">
        <v>8</v>
      </c>
      <c r="Y291" s="36">
        <v>8</v>
      </c>
      <c r="Z291" s="36">
        <v>8</v>
      </c>
      <c r="AA291" s="36">
        <v>0</v>
      </c>
      <c r="AB291" s="36">
        <v>0</v>
      </c>
      <c r="AC291" s="36">
        <v>0</v>
      </c>
      <c r="AD291" s="36">
        <v>0</v>
      </c>
      <c r="AE291" s="36">
        <v>8</v>
      </c>
      <c r="AF291" s="36">
        <v>8</v>
      </c>
      <c r="AG291" s="36"/>
      <c r="AH291" s="36"/>
      <c r="AI291" s="36" t="s">
        <v>200</v>
      </c>
      <c r="AJ291" s="36" t="s">
        <v>201</v>
      </c>
      <c r="AK291" s="36" t="s">
        <v>202</v>
      </c>
      <c r="AL291" s="36" t="s">
        <v>225</v>
      </c>
      <c r="AM291" s="36" t="s">
        <v>204</v>
      </c>
      <c r="AN291" s="36" t="s">
        <v>222</v>
      </c>
      <c r="AO291" s="36" t="s">
        <v>206</v>
      </c>
      <c r="AP291" s="36">
        <v>2</v>
      </c>
      <c r="AQ291" s="36"/>
      <c r="AR291" s="36"/>
      <c r="AS291" s="36"/>
      <c r="AT291" s="36" t="s">
        <v>223</v>
      </c>
      <c r="AU291" s="36" t="s">
        <v>635</v>
      </c>
      <c r="AV291" s="36" t="s">
        <v>216</v>
      </c>
      <c r="AW291" s="36" t="s">
        <v>209</v>
      </c>
      <c r="AX291" s="36" t="s">
        <v>210</v>
      </c>
      <c r="AY291" s="36">
        <v>0</v>
      </c>
      <c r="AZ291" s="36" t="s">
        <v>211</v>
      </c>
      <c r="BA291" s="36">
        <v>9045088719716</v>
      </c>
      <c r="BB291" s="36"/>
      <c r="BC291" s="36"/>
      <c r="BD291" s="36">
        <v>1</v>
      </c>
      <c r="BE291" s="36"/>
      <c r="BF291" s="36"/>
      <c r="BG291" s="36">
        <v>1333314600</v>
      </c>
      <c r="BH291" s="36" t="s">
        <v>213</v>
      </c>
      <c r="BI291" s="36">
        <v>8</v>
      </c>
      <c r="BJ291" s="36">
        <v>8</v>
      </c>
      <c r="BK291" s="36">
        <v>1300</v>
      </c>
      <c r="BL291" s="36" t="s">
        <v>214</v>
      </c>
      <c r="BM291" s="36"/>
      <c r="BN291" s="36"/>
    </row>
    <row r="292" spans="1:66" x14ac:dyDescent="0.35">
      <c r="A292" s="36"/>
      <c r="B292" s="36"/>
      <c r="C292" s="37">
        <v>244626</v>
      </c>
      <c r="D292" s="37">
        <v>244626</v>
      </c>
      <c r="E292" s="36"/>
      <c r="F292" s="36" t="s">
        <v>192</v>
      </c>
      <c r="G292" s="36" t="s">
        <v>1</v>
      </c>
      <c r="H292" s="36">
        <v>0</v>
      </c>
      <c r="I292" s="36" t="s">
        <v>193</v>
      </c>
      <c r="J292" s="36" t="s">
        <v>194</v>
      </c>
      <c r="K292" s="36" t="s">
        <v>195</v>
      </c>
      <c r="L292" s="36">
        <v>923</v>
      </c>
      <c r="M292" s="36"/>
      <c r="N292" s="36" t="s">
        <v>235</v>
      </c>
      <c r="O292" s="36" t="s">
        <v>236</v>
      </c>
      <c r="P292" s="36">
        <v>2</v>
      </c>
      <c r="Q292" s="36" t="s">
        <v>237</v>
      </c>
      <c r="R292" s="37">
        <v>244534</v>
      </c>
      <c r="S292" s="37">
        <v>244626</v>
      </c>
      <c r="T292" s="36" t="s">
        <v>634</v>
      </c>
      <c r="U292" s="36">
        <v>23110630</v>
      </c>
      <c r="V292" s="36" t="s">
        <v>596</v>
      </c>
      <c r="W292" s="36">
        <v>4</v>
      </c>
      <c r="X292" s="36">
        <v>3.6</v>
      </c>
      <c r="Y292" s="36">
        <v>4</v>
      </c>
      <c r="Z292" s="36">
        <v>3.6</v>
      </c>
      <c r="AA292" s="36">
        <v>0</v>
      </c>
      <c r="AB292" s="36">
        <v>0</v>
      </c>
      <c r="AC292" s="36">
        <v>0</v>
      </c>
      <c r="AD292" s="36">
        <v>0</v>
      </c>
      <c r="AE292" s="36">
        <v>4</v>
      </c>
      <c r="AF292" s="36">
        <v>3.6</v>
      </c>
      <c r="AG292" s="36"/>
      <c r="AH292" s="36"/>
      <c r="AI292" s="36" t="s">
        <v>200</v>
      </c>
      <c r="AJ292" s="36" t="s">
        <v>201</v>
      </c>
      <c r="AK292" s="36" t="s">
        <v>202</v>
      </c>
      <c r="AL292" s="36" t="s">
        <v>225</v>
      </c>
      <c r="AM292" s="36" t="s">
        <v>204</v>
      </c>
      <c r="AN292" s="36" t="s">
        <v>222</v>
      </c>
      <c r="AO292" s="36" t="s">
        <v>206</v>
      </c>
      <c r="AP292" s="36">
        <v>2</v>
      </c>
      <c r="AQ292" s="36"/>
      <c r="AR292" s="36"/>
      <c r="AS292" s="36"/>
      <c r="AT292" s="36" t="s">
        <v>223</v>
      </c>
      <c r="AU292" s="36" t="s">
        <v>635</v>
      </c>
      <c r="AV292" s="36" t="s">
        <v>216</v>
      </c>
      <c r="AW292" s="36" t="s">
        <v>209</v>
      </c>
      <c r="AX292" s="36" t="s">
        <v>210</v>
      </c>
      <c r="AY292" s="36">
        <v>0</v>
      </c>
      <c r="AZ292" s="36" t="s">
        <v>211</v>
      </c>
      <c r="BA292" s="36">
        <v>9045088719716</v>
      </c>
      <c r="BB292" s="36"/>
      <c r="BC292" s="36"/>
      <c r="BD292" s="36">
        <v>1</v>
      </c>
      <c r="BE292" s="36"/>
      <c r="BF292" s="36"/>
      <c r="BG292" s="36">
        <v>1333314600</v>
      </c>
      <c r="BH292" s="36" t="s">
        <v>213</v>
      </c>
      <c r="BI292" s="36">
        <v>4</v>
      </c>
      <c r="BJ292" s="36">
        <v>3.6</v>
      </c>
      <c r="BK292" s="36">
        <v>1300</v>
      </c>
      <c r="BL292" s="36" t="s">
        <v>214</v>
      </c>
      <c r="BM292" s="36"/>
      <c r="BN292" s="36"/>
    </row>
    <row r="293" spans="1:66" x14ac:dyDescent="0.35">
      <c r="A293" s="36"/>
      <c r="B293" s="36"/>
      <c r="C293" s="37">
        <v>244626</v>
      </c>
      <c r="D293" s="37">
        <v>244626</v>
      </c>
      <c r="E293" s="36"/>
      <c r="F293" s="36" t="s">
        <v>192</v>
      </c>
      <c r="G293" s="36" t="s">
        <v>1</v>
      </c>
      <c r="H293" s="36">
        <v>0</v>
      </c>
      <c r="I293" s="36" t="s">
        <v>193</v>
      </c>
      <c r="J293" s="36" t="s">
        <v>194</v>
      </c>
      <c r="K293" s="36" t="s">
        <v>195</v>
      </c>
      <c r="L293" s="36">
        <v>923</v>
      </c>
      <c r="M293" s="36"/>
      <c r="N293" s="36" t="s">
        <v>235</v>
      </c>
      <c r="O293" s="36" t="s">
        <v>236</v>
      </c>
      <c r="P293" s="36">
        <v>2</v>
      </c>
      <c r="Q293" s="36" t="s">
        <v>237</v>
      </c>
      <c r="R293" s="37">
        <v>244534</v>
      </c>
      <c r="S293" s="37">
        <v>244626</v>
      </c>
      <c r="T293" s="36" t="s">
        <v>634</v>
      </c>
      <c r="U293" s="36">
        <v>23111036</v>
      </c>
      <c r="V293" s="36" t="s">
        <v>96</v>
      </c>
      <c r="W293" s="36">
        <v>4</v>
      </c>
      <c r="X293" s="36">
        <v>2</v>
      </c>
      <c r="Y293" s="36">
        <v>4</v>
      </c>
      <c r="Z293" s="36">
        <v>2</v>
      </c>
      <c r="AA293" s="36">
        <v>0</v>
      </c>
      <c r="AB293" s="36">
        <v>0</v>
      </c>
      <c r="AC293" s="36">
        <v>0</v>
      </c>
      <c r="AD293" s="36">
        <v>0</v>
      </c>
      <c r="AE293" s="36">
        <v>4</v>
      </c>
      <c r="AF293" s="36">
        <v>2</v>
      </c>
      <c r="AG293" s="36"/>
      <c r="AH293" s="36"/>
      <c r="AI293" s="36" t="s">
        <v>200</v>
      </c>
      <c r="AJ293" s="36" t="s">
        <v>201</v>
      </c>
      <c r="AK293" s="36" t="s">
        <v>202</v>
      </c>
      <c r="AL293" s="36" t="s">
        <v>225</v>
      </c>
      <c r="AM293" s="36" t="s">
        <v>204</v>
      </c>
      <c r="AN293" s="36" t="s">
        <v>222</v>
      </c>
      <c r="AO293" s="36" t="s">
        <v>206</v>
      </c>
      <c r="AP293" s="36">
        <v>2</v>
      </c>
      <c r="AQ293" s="36"/>
      <c r="AR293" s="36"/>
      <c r="AS293" s="36"/>
      <c r="AT293" s="36" t="s">
        <v>223</v>
      </c>
      <c r="AU293" s="36" t="s">
        <v>635</v>
      </c>
      <c r="AV293" s="36" t="s">
        <v>216</v>
      </c>
      <c r="AW293" s="36" t="s">
        <v>209</v>
      </c>
      <c r="AX293" s="36" t="s">
        <v>210</v>
      </c>
      <c r="AY293" s="36">
        <v>0</v>
      </c>
      <c r="AZ293" s="36" t="s">
        <v>211</v>
      </c>
      <c r="BA293" s="36">
        <v>9045088719716</v>
      </c>
      <c r="BB293" s="36"/>
      <c r="BC293" s="36"/>
      <c r="BD293" s="36">
        <v>1</v>
      </c>
      <c r="BE293" s="36"/>
      <c r="BF293" s="36"/>
      <c r="BG293" s="36">
        <v>1333314600</v>
      </c>
      <c r="BH293" s="36" t="s">
        <v>213</v>
      </c>
      <c r="BI293" s="36">
        <v>4</v>
      </c>
      <c r="BJ293" s="36">
        <v>2</v>
      </c>
      <c r="BK293" s="36">
        <v>1300</v>
      </c>
      <c r="BL293" s="36" t="s">
        <v>214</v>
      </c>
      <c r="BM293" s="36"/>
      <c r="BN293" s="36"/>
    </row>
    <row r="294" spans="1:66" x14ac:dyDescent="0.35">
      <c r="A294" s="36"/>
      <c r="B294" s="36"/>
      <c r="C294" s="37">
        <v>244626</v>
      </c>
      <c r="D294" s="37">
        <v>244626</v>
      </c>
      <c r="E294" s="36"/>
      <c r="F294" s="36" t="s">
        <v>192</v>
      </c>
      <c r="G294" s="36" t="s">
        <v>1</v>
      </c>
      <c r="H294" s="36">
        <v>0</v>
      </c>
      <c r="I294" s="36" t="s">
        <v>193</v>
      </c>
      <c r="J294" s="36" t="s">
        <v>194</v>
      </c>
      <c r="K294" s="36" t="s">
        <v>195</v>
      </c>
      <c r="L294" s="36">
        <v>923</v>
      </c>
      <c r="M294" s="36"/>
      <c r="N294" s="36" t="s">
        <v>235</v>
      </c>
      <c r="O294" s="36" t="s">
        <v>236</v>
      </c>
      <c r="P294" s="36">
        <v>2</v>
      </c>
      <c r="Q294" s="36" t="s">
        <v>237</v>
      </c>
      <c r="R294" s="37">
        <v>244534</v>
      </c>
      <c r="S294" s="37">
        <v>244626</v>
      </c>
      <c r="T294" s="36" t="s">
        <v>636</v>
      </c>
      <c r="U294" s="36">
        <v>23071881</v>
      </c>
      <c r="V294" s="36" t="s">
        <v>48</v>
      </c>
      <c r="W294" s="36">
        <v>12</v>
      </c>
      <c r="X294" s="36">
        <v>60</v>
      </c>
      <c r="Y294" s="36">
        <v>12</v>
      </c>
      <c r="Z294" s="36">
        <v>60</v>
      </c>
      <c r="AA294" s="36">
        <v>0</v>
      </c>
      <c r="AB294" s="36">
        <v>0</v>
      </c>
      <c r="AC294" s="36">
        <v>0</v>
      </c>
      <c r="AD294" s="36">
        <v>0</v>
      </c>
      <c r="AE294" s="36">
        <v>12</v>
      </c>
      <c r="AF294" s="36">
        <v>60</v>
      </c>
      <c r="AG294" s="36"/>
      <c r="AH294" s="36"/>
      <c r="AI294" s="36" t="s">
        <v>200</v>
      </c>
      <c r="AJ294" s="36" t="s">
        <v>201</v>
      </c>
      <c r="AK294" s="36" t="s">
        <v>202</v>
      </c>
      <c r="AL294" s="36" t="s">
        <v>203</v>
      </c>
      <c r="AM294" s="36" t="s">
        <v>204</v>
      </c>
      <c r="AN294" s="36" t="s">
        <v>222</v>
      </c>
      <c r="AO294" s="36" t="s">
        <v>206</v>
      </c>
      <c r="AP294" s="36">
        <v>2</v>
      </c>
      <c r="AQ294" s="36"/>
      <c r="AR294" s="36"/>
      <c r="AS294" s="36"/>
      <c r="AT294" s="36" t="s">
        <v>223</v>
      </c>
      <c r="AU294" s="36" t="s">
        <v>637</v>
      </c>
      <c r="AV294" s="36" t="s">
        <v>217</v>
      </c>
      <c r="AW294" s="36" t="s">
        <v>209</v>
      </c>
      <c r="AX294" s="36" t="s">
        <v>210</v>
      </c>
      <c r="AY294" s="36">
        <v>0</v>
      </c>
      <c r="AZ294" s="36" t="s">
        <v>211</v>
      </c>
      <c r="BA294" s="36">
        <v>9044988728183</v>
      </c>
      <c r="BB294" s="36"/>
      <c r="BC294" s="36"/>
      <c r="BD294" s="36">
        <v>1</v>
      </c>
      <c r="BE294" s="36"/>
      <c r="BF294" s="36" t="s">
        <v>212</v>
      </c>
      <c r="BG294" s="36">
        <v>1333314600</v>
      </c>
      <c r="BH294" s="36" t="s">
        <v>213</v>
      </c>
      <c r="BI294" s="36">
        <v>12</v>
      </c>
      <c r="BJ294" s="36">
        <v>60</v>
      </c>
      <c r="BK294" s="36">
        <v>1300</v>
      </c>
      <c r="BL294" s="36" t="s">
        <v>214</v>
      </c>
      <c r="BM294" s="36"/>
      <c r="BN294" s="36"/>
    </row>
    <row r="295" spans="1:66" x14ac:dyDescent="0.35">
      <c r="A295" s="36"/>
      <c r="B295" s="36"/>
      <c r="C295" s="37">
        <v>244626</v>
      </c>
      <c r="D295" s="37">
        <v>244626</v>
      </c>
      <c r="E295" s="36"/>
      <c r="F295" s="36" t="s">
        <v>192</v>
      </c>
      <c r="G295" s="36" t="s">
        <v>1</v>
      </c>
      <c r="H295" s="36">
        <v>0</v>
      </c>
      <c r="I295" s="36" t="s">
        <v>193</v>
      </c>
      <c r="J295" s="36" t="s">
        <v>194</v>
      </c>
      <c r="K295" s="36" t="s">
        <v>195</v>
      </c>
      <c r="L295" s="36">
        <v>923</v>
      </c>
      <c r="M295" s="36"/>
      <c r="N295" s="36" t="s">
        <v>235</v>
      </c>
      <c r="O295" s="36" t="s">
        <v>236</v>
      </c>
      <c r="P295" s="36">
        <v>2</v>
      </c>
      <c r="Q295" s="36" t="s">
        <v>237</v>
      </c>
      <c r="R295" s="37">
        <v>244534</v>
      </c>
      <c r="S295" s="37">
        <v>244626</v>
      </c>
      <c r="T295" s="36" t="s">
        <v>636</v>
      </c>
      <c r="U295" s="36">
        <v>23104868</v>
      </c>
      <c r="V295" s="36" t="s">
        <v>71</v>
      </c>
      <c r="W295" s="36">
        <v>6</v>
      </c>
      <c r="X295" s="36">
        <v>30</v>
      </c>
      <c r="Y295" s="36">
        <v>6</v>
      </c>
      <c r="Z295" s="36">
        <v>30</v>
      </c>
      <c r="AA295" s="36">
        <v>0</v>
      </c>
      <c r="AB295" s="36">
        <v>0</v>
      </c>
      <c r="AC295" s="36">
        <v>0</v>
      </c>
      <c r="AD295" s="36">
        <v>0</v>
      </c>
      <c r="AE295" s="36">
        <v>6</v>
      </c>
      <c r="AF295" s="36">
        <v>30</v>
      </c>
      <c r="AG295" s="36"/>
      <c r="AH295" s="36"/>
      <c r="AI295" s="36" t="s">
        <v>200</v>
      </c>
      <c r="AJ295" s="36" t="s">
        <v>201</v>
      </c>
      <c r="AK295" s="36" t="s">
        <v>202</v>
      </c>
      <c r="AL295" s="36" t="s">
        <v>203</v>
      </c>
      <c r="AM295" s="36" t="s">
        <v>204</v>
      </c>
      <c r="AN295" s="36" t="s">
        <v>222</v>
      </c>
      <c r="AO295" s="36" t="s">
        <v>206</v>
      </c>
      <c r="AP295" s="36">
        <v>2</v>
      </c>
      <c r="AQ295" s="36"/>
      <c r="AR295" s="36"/>
      <c r="AS295" s="36"/>
      <c r="AT295" s="36" t="s">
        <v>223</v>
      </c>
      <c r="AU295" s="36" t="s">
        <v>637</v>
      </c>
      <c r="AV295" s="36" t="s">
        <v>217</v>
      </c>
      <c r="AW295" s="36" t="s">
        <v>209</v>
      </c>
      <c r="AX295" s="36" t="s">
        <v>210</v>
      </c>
      <c r="AY295" s="36">
        <v>0</v>
      </c>
      <c r="AZ295" s="36" t="s">
        <v>211</v>
      </c>
      <c r="BA295" s="36">
        <v>9044988728183</v>
      </c>
      <c r="BB295" s="36"/>
      <c r="BC295" s="36"/>
      <c r="BD295" s="36">
        <v>1</v>
      </c>
      <c r="BE295" s="36"/>
      <c r="BF295" s="36" t="s">
        <v>212</v>
      </c>
      <c r="BG295" s="36">
        <v>1333314600</v>
      </c>
      <c r="BH295" s="36" t="s">
        <v>213</v>
      </c>
      <c r="BI295" s="36">
        <v>6</v>
      </c>
      <c r="BJ295" s="36">
        <v>30</v>
      </c>
      <c r="BK295" s="36">
        <v>1300</v>
      </c>
      <c r="BL295" s="36" t="s">
        <v>214</v>
      </c>
      <c r="BM295" s="36"/>
      <c r="BN295" s="36"/>
    </row>
    <row r="296" spans="1:66" x14ac:dyDescent="0.35">
      <c r="A296" s="36"/>
      <c r="B296" s="36"/>
      <c r="C296" s="37">
        <v>244626</v>
      </c>
      <c r="D296" s="37">
        <v>244626</v>
      </c>
      <c r="E296" s="36"/>
      <c r="F296" s="36" t="s">
        <v>192</v>
      </c>
      <c r="G296" s="36" t="s">
        <v>1</v>
      </c>
      <c r="H296" s="36">
        <v>0</v>
      </c>
      <c r="I296" s="36" t="s">
        <v>193</v>
      </c>
      <c r="J296" s="36" t="s">
        <v>194</v>
      </c>
      <c r="K296" s="36" t="s">
        <v>195</v>
      </c>
      <c r="L296" s="36">
        <v>923</v>
      </c>
      <c r="M296" s="36"/>
      <c r="N296" s="36" t="s">
        <v>226</v>
      </c>
      <c r="O296" s="36" t="s">
        <v>227</v>
      </c>
      <c r="P296" s="36">
        <v>2</v>
      </c>
      <c r="Q296" s="36" t="s">
        <v>228</v>
      </c>
      <c r="R296" s="37">
        <v>244534</v>
      </c>
      <c r="S296" s="37">
        <v>244626</v>
      </c>
      <c r="T296" s="36" t="s">
        <v>638</v>
      </c>
      <c r="U296" s="36">
        <v>23071881</v>
      </c>
      <c r="V296" s="36" t="s">
        <v>48</v>
      </c>
      <c r="W296" s="36">
        <v>40</v>
      </c>
      <c r="X296" s="36">
        <v>200</v>
      </c>
      <c r="Y296" s="36">
        <v>40</v>
      </c>
      <c r="Z296" s="36">
        <v>200</v>
      </c>
      <c r="AA296" s="36">
        <v>0</v>
      </c>
      <c r="AB296" s="36">
        <v>0</v>
      </c>
      <c r="AC296" s="36">
        <v>0</v>
      </c>
      <c r="AD296" s="36">
        <v>0</v>
      </c>
      <c r="AE296" s="36">
        <v>40</v>
      </c>
      <c r="AF296" s="36">
        <v>200</v>
      </c>
      <c r="AG296" s="36"/>
      <c r="AH296" s="36"/>
      <c r="AI296" s="36" t="s">
        <v>200</v>
      </c>
      <c r="AJ296" s="36" t="s">
        <v>201</v>
      </c>
      <c r="AK296" s="36" t="s">
        <v>202</v>
      </c>
      <c r="AL296" s="36" t="s">
        <v>203</v>
      </c>
      <c r="AM296" s="36" t="s">
        <v>204</v>
      </c>
      <c r="AN296" s="36" t="s">
        <v>222</v>
      </c>
      <c r="AO296" s="36" t="s">
        <v>206</v>
      </c>
      <c r="AP296" s="36">
        <v>2</v>
      </c>
      <c r="AQ296" s="36"/>
      <c r="AR296" s="36"/>
      <c r="AS296" s="36"/>
      <c r="AT296" s="36" t="s">
        <v>223</v>
      </c>
      <c r="AU296" s="36" t="s">
        <v>637</v>
      </c>
      <c r="AV296" s="36" t="s">
        <v>217</v>
      </c>
      <c r="AW296" s="36" t="s">
        <v>209</v>
      </c>
      <c r="AX296" s="36" t="s">
        <v>210</v>
      </c>
      <c r="AY296" s="36">
        <v>0</v>
      </c>
      <c r="AZ296" s="36" t="s">
        <v>211</v>
      </c>
      <c r="BA296" s="36">
        <v>9044988728442</v>
      </c>
      <c r="BB296" s="36"/>
      <c r="BC296" s="36"/>
      <c r="BD296" s="36">
        <v>1</v>
      </c>
      <c r="BE296" s="36"/>
      <c r="BF296" s="36" t="s">
        <v>212</v>
      </c>
      <c r="BG296" s="36">
        <v>1333314600</v>
      </c>
      <c r="BH296" s="36" t="s">
        <v>213</v>
      </c>
      <c r="BI296" s="36">
        <v>40</v>
      </c>
      <c r="BJ296" s="36">
        <v>200</v>
      </c>
      <c r="BK296" s="36">
        <v>1300</v>
      </c>
      <c r="BL296" s="36" t="s">
        <v>214</v>
      </c>
      <c r="BM296" s="36"/>
      <c r="BN296" s="36"/>
    </row>
    <row r="297" spans="1:66" x14ac:dyDescent="0.35">
      <c r="A297" s="36"/>
      <c r="B297" s="36"/>
      <c r="C297" s="37">
        <v>244626</v>
      </c>
      <c r="D297" s="37">
        <v>244626</v>
      </c>
      <c r="E297" s="36"/>
      <c r="F297" s="36" t="s">
        <v>192</v>
      </c>
      <c r="G297" s="36" t="s">
        <v>1</v>
      </c>
      <c r="H297" s="36">
        <v>0</v>
      </c>
      <c r="I297" s="36" t="s">
        <v>193</v>
      </c>
      <c r="J297" s="36" t="s">
        <v>194</v>
      </c>
      <c r="K297" s="36" t="s">
        <v>195</v>
      </c>
      <c r="L297" s="36">
        <v>923</v>
      </c>
      <c r="M297" s="36"/>
      <c r="N297" s="36" t="s">
        <v>256</v>
      </c>
      <c r="O297" s="36" t="s">
        <v>257</v>
      </c>
      <c r="P297" s="36">
        <v>2</v>
      </c>
      <c r="Q297" s="36" t="s">
        <v>258</v>
      </c>
      <c r="R297" s="37">
        <v>244534</v>
      </c>
      <c r="S297" s="37">
        <v>244626</v>
      </c>
      <c r="T297" s="36" t="s">
        <v>639</v>
      </c>
      <c r="U297" s="36">
        <v>23058551</v>
      </c>
      <c r="V297" s="36" t="s">
        <v>25</v>
      </c>
      <c r="W297" s="36">
        <v>5</v>
      </c>
      <c r="X297" s="36">
        <v>5</v>
      </c>
      <c r="Y297" s="36">
        <v>5</v>
      </c>
      <c r="Z297" s="36">
        <v>5</v>
      </c>
      <c r="AA297" s="36">
        <v>0</v>
      </c>
      <c r="AB297" s="36">
        <v>0</v>
      </c>
      <c r="AC297" s="36">
        <v>0</v>
      </c>
      <c r="AD297" s="36">
        <v>0</v>
      </c>
      <c r="AE297" s="36">
        <v>5</v>
      </c>
      <c r="AF297" s="36">
        <v>5</v>
      </c>
      <c r="AG297" s="36"/>
      <c r="AH297" s="36"/>
      <c r="AI297" s="36" t="s">
        <v>200</v>
      </c>
      <c r="AJ297" s="36" t="s">
        <v>201</v>
      </c>
      <c r="AK297" s="36" t="s">
        <v>202</v>
      </c>
      <c r="AL297" s="36" t="s">
        <v>203</v>
      </c>
      <c r="AM297" s="36" t="s">
        <v>204</v>
      </c>
      <c r="AN297" s="36" t="s">
        <v>222</v>
      </c>
      <c r="AO297" s="36" t="s">
        <v>206</v>
      </c>
      <c r="AP297" s="36">
        <v>2</v>
      </c>
      <c r="AQ297" s="36"/>
      <c r="AR297" s="36"/>
      <c r="AS297" s="36"/>
      <c r="AT297" s="36" t="s">
        <v>223</v>
      </c>
      <c r="AU297" s="36" t="s">
        <v>637</v>
      </c>
      <c r="AV297" s="36" t="s">
        <v>209</v>
      </c>
      <c r="AW297" s="36" t="s">
        <v>209</v>
      </c>
      <c r="AX297" s="36" t="s">
        <v>210</v>
      </c>
      <c r="AY297" s="36">
        <v>0</v>
      </c>
      <c r="AZ297" s="36" t="s">
        <v>211</v>
      </c>
      <c r="BA297" s="36">
        <v>9044988730481</v>
      </c>
      <c r="BB297" s="36"/>
      <c r="BC297" s="36"/>
      <c r="BD297" s="36">
        <v>1</v>
      </c>
      <c r="BE297" s="36"/>
      <c r="BF297" s="36" t="s">
        <v>212</v>
      </c>
      <c r="BG297" s="36">
        <v>1333314600</v>
      </c>
      <c r="BH297" s="36" t="s">
        <v>213</v>
      </c>
      <c r="BI297" s="36">
        <v>5</v>
      </c>
      <c r="BJ297" s="36">
        <v>5</v>
      </c>
      <c r="BK297" s="36">
        <v>1300</v>
      </c>
      <c r="BL297" s="36" t="s">
        <v>214</v>
      </c>
      <c r="BM297" s="36"/>
      <c r="BN297" s="36"/>
    </row>
    <row r="298" spans="1:66" x14ac:dyDescent="0.35">
      <c r="A298" s="36"/>
      <c r="B298" s="36"/>
      <c r="C298" s="37">
        <v>244626</v>
      </c>
      <c r="D298" s="37">
        <v>244626</v>
      </c>
      <c r="E298" s="36"/>
      <c r="F298" s="36" t="s">
        <v>192</v>
      </c>
      <c r="G298" s="36" t="s">
        <v>1</v>
      </c>
      <c r="H298" s="36">
        <v>0</v>
      </c>
      <c r="I298" s="36" t="s">
        <v>193</v>
      </c>
      <c r="J298" s="36" t="s">
        <v>194</v>
      </c>
      <c r="K298" s="36" t="s">
        <v>195</v>
      </c>
      <c r="L298" s="36">
        <v>923</v>
      </c>
      <c r="M298" s="36"/>
      <c r="N298" s="36" t="s">
        <v>256</v>
      </c>
      <c r="O298" s="36" t="s">
        <v>257</v>
      </c>
      <c r="P298" s="36">
        <v>2</v>
      </c>
      <c r="Q298" s="36" t="s">
        <v>258</v>
      </c>
      <c r="R298" s="37">
        <v>244534</v>
      </c>
      <c r="S298" s="37">
        <v>244626</v>
      </c>
      <c r="T298" s="36" t="s">
        <v>639</v>
      </c>
      <c r="U298" s="36">
        <v>23058555</v>
      </c>
      <c r="V298" s="36" t="s">
        <v>28</v>
      </c>
      <c r="W298" s="36">
        <v>20</v>
      </c>
      <c r="X298" s="36">
        <v>20</v>
      </c>
      <c r="Y298" s="36">
        <v>20</v>
      </c>
      <c r="Z298" s="36">
        <v>20</v>
      </c>
      <c r="AA298" s="36">
        <v>0</v>
      </c>
      <c r="AB298" s="36">
        <v>0</v>
      </c>
      <c r="AC298" s="36">
        <v>0</v>
      </c>
      <c r="AD298" s="36">
        <v>0</v>
      </c>
      <c r="AE298" s="36">
        <v>20</v>
      </c>
      <c r="AF298" s="36">
        <v>20</v>
      </c>
      <c r="AG298" s="36"/>
      <c r="AH298" s="36"/>
      <c r="AI298" s="36" t="s">
        <v>200</v>
      </c>
      <c r="AJ298" s="36" t="s">
        <v>201</v>
      </c>
      <c r="AK298" s="36" t="s">
        <v>215</v>
      </c>
      <c r="AL298" s="36" t="s">
        <v>203</v>
      </c>
      <c r="AM298" s="36" t="s">
        <v>204</v>
      </c>
      <c r="AN298" s="36" t="s">
        <v>222</v>
      </c>
      <c r="AO298" s="36" t="s">
        <v>206</v>
      </c>
      <c r="AP298" s="36">
        <v>2</v>
      </c>
      <c r="AQ298" s="36"/>
      <c r="AR298" s="36"/>
      <c r="AS298" s="36"/>
      <c r="AT298" s="36" t="s">
        <v>223</v>
      </c>
      <c r="AU298" s="36" t="s">
        <v>637</v>
      </c>
      <c r="AV298" s="36" t="s">
        <v>209</v>
      </c>
      <c r="AW298" s="36" t="s">
        <v>209</v>
      </c>
      <c r="AX298" s="36" t="s">
        <v>210</v>
      </c>
      <c r="AY298" s="36">
        <v>0</v>
      </c>
      <c r="AZ298" s="36" t="s">
        <v>211</v>
      </c>
      <c r="BA298" s="36">
        <v>9044988730481</v>
      </c>
      <c r="BB298" s="36"/>
      <c r="BC298" s="36"/>
      <c r="BD298" s="36">
        <v>1</v>
      </c>
      <c r="BE298" s="36"/>
      <c r="BF298" s="36" t="s">
        <v>212</v>
      </c>
      <c r="BG298" s="36">
        <v>1333314600</v>
      </c>
      <c r="BH298" s="36" t="s">
        <v>213</v>
      </c>
      <c r="BI298" s="36">
        <v>20</v>
      </c>
      <c r="BJ298" s="36">
        <v>20</v>
      </c>
      <c r="BK298" s="36">
        <v>1300</v>
      </c>
      <c r="BL298" s="36" t="s">
        <v>214</v>
      </c>
      <c r="BM298" s="36"/>
      <c r="BN298" s="36"/>
    </row>
    <row r="299" spans="1:66" x14ac:dyDescent="0.35">
      <c r="A299" s="36"/>
      <c r="B299" s="36"/>
      <c r="C299" s="37">
        <v>244626</v>
      </c>
      <c r="D299" s="37">
        <v>244626</v>
      </c>
      <c r="E299" s="36"/>
      <c r="F299" s="36" t="s">
        <v>192</v>
      </c>
      <c r="G299" s="36" t="s">
        <v>1</v>
      </c>
      <c r="H299" s="36">
        <v>0</v>
      </c>
      <c r="I299" s="36" t="s">
        <v>193</v>
      </c>
      <c r="J299" s="36" t="s">
        <v>194</v>
      </c>
      <c r="K299" s="36" t="s">
        <v>195</v>
      </c>
      <c r="L299" s="36">
        <v>923</v>
      </c>
      <c r="M299" s="36"/>
      <c r="N299" s="36" t="s">
        <v>256</v>
      </c>
      <c r="O299" s="36" t="s">
        <v>257</v>
      </c>
      <c r="P299" s="36">
        <v>2</v>
      </c>
      <c r="Q299" s="36" t="s">
        <v>258</v>
      </c>
      <c r="R299" s="37">
        <v>244534</v>
      </c>
      <c r="S299" s="37">
        <v>244626</v>
      </c>
      <c r="T299" s="36" t="s">
        <v>639</v>
      </c>
      <c r="U299" s="36">
        <v>23057815</v>
      </c>
      <c r="V299" s="36" t="s">
        <v>20</v>
      </c>
      <c r="W299" s="36">
        <v>40</v>
      </c>
      <c r="X299" s="36">
        <v>40</v>
      </c>
      <c r="Y299" s="36">
        <v>40</v>
      </c>
      <c r="Z299" s="36">
        <v>40</v>
      </c>
      <c r="AA299" s="36">
        <v>0</v>
      </c>
      <c r="AB299" s="36">
        <v>0</v>
      </c>
      <c r="AC299" s="36">
        <v>0</v>
      </c>
      <c r="AD299" s="36">
        <v>0</v>
      </c>
      <c r="AE299" s="36">
        <v>40</v>
      </c>
      <c r="AF299" s="36">
        <v>40</v>
      </c>
      <c r="AG299" s="36"/>
      <c r="AH299" s="36"/>
      <c r="AI299" s="36" t="s">
        <v>200</v>
      </c>
      <c r="AJ299" s="36" t="s">
        <v>201</v>
      </c>
      <c r="AK299" s="36" t="s">
        <v>202</v>
      </c>
      <c r="AL299" s="36" t="s">
        <v>203</v>
      </c>
      <c r="AM299" s="36" t="s">
        <v>204</v>
      </c>
      <c r="AN299" s="36" t="s">
        <v>222</v>
      </c>
      <c r="AO299" s="36" t="s">
        <v>206</v>
      </c>
      <c r="AP299" s="36">
        <v>2</v>
      </c>
      <c r="AQ299" s="36"/>
      <c r="AR299" s="36"/>
      <c r="AS299" s="36"/>
      <c r="AT299" s="36" t="s">
        <v>223</v>
      </c>
      <c r="AU299" s="36" t="s">
        <v>637</v>
      </c>
      <c r="AV299" s="36" t="s">
        <v>209</v>
      </c>
      <c r="AW299" s="36" t="s">
        <v>209</v>
      </c>
      <c r="AX299" s="36" t="s">
        <v>210</v>
      </c>
      <c r="AY299" s="36">
        <v>0</v>
      </c>
      <c r="AZ299" s="36" t="s">
        <v>211</v>
      </c>
      <c r="BA299" s="36">
        <v>9044988730481</v>
      </c>
      <c r="BB299" s="36"/>
      <c r="BC299" s="36"/>
      <c r="BD299" s="36">
        <v>1</v>
      </c>
      <c r="BE299" s="36"/>
      <c r="BF299" s="36" t="s">
        <v>212</v>
      </c>
      <c r="BG299" s="36">
        <v>1333314600</v>
      </c>
      <c r="BH299" s="36" t="s">
        <v>213</v>
      </c>
      <c r="BI299" s="36">
        <v>40</v>
      </c>
      <c r="BJ299" s="36">
        <v>40</v>
      </c>
      <c r="BK299" s="36">
        <v>1300</v>
      </c>
      <c r="BL299" s="36" t="s">
        <v>214</v>
      </c>
      <c r="BM299" s="36"/>
      <c r="BN299" s="36"/>
    </row>
    <row r="300" spans="1:66" x14ac:dyDescent="0.35">
      <c r="A300" s="36"/>
      <c r="B300" s="36"/>
      <c r="C300" s="37">
        <v>244626</v>
      </c>
      <c r="D300" s="37">
        <v>244626</v>
      </c>
      <c r="E300" s="36"/>
      <c r="F300" s="36" t="s">
        <v>192</v>
      </c>
      <c r="G300" s="36" t="s">
        <v>1</v>
      </c>
      <c r="H300" s="36">
        <v>0</v>
      </c>
      <c r="I300" s="36" t="s">
        <v>193</v>
      </c>
      <c r="J300" s="36" t="s">
        <v>194</v>
      </c>
      <c r="K300" s="36" t="s">
        <v>195</v>
      </c>
      <c r="L300" s="36">
        <v>923</v>
      </c>
      <c r="M300" s="36"/>
      <c r="N300" s="36" t="s">
        <v>256</v>
      </c>
      <c r="O300" s="36" t="s">
        <v>257</v>
      </c>
      <c r="P300" s="36">
        <v>2</v>
      </c>
      <c r="Q300" s="36" t="s">
        <v>258</v>
      </c>
      <c r="R300" s="37">
        <v>244534</v>
      </c>
      <c r="S300" s="37">
        <v>244626</v>
      </c>
      <c r="T300" s="36" t="s">
        <v>639</v>
      </c>
      <c r="U300" s="36">
        <v>23057812</v>
      </c>
      <c r="V300" s="36" t="s">
        <v>19</v>
      </c>
      <c r="W300" s="36">
        <v>80</v>
      </c>
      <c r="X300" s="36">
        <v>80</v>
      </c>
      <c r="Y300" s="36">
        <v>80</v>
      </c>
      <c r="Z300" s="36">
        <v>80</v>
      </c>
      <c r="AA300" s="36">
        <v>0</v>
      </c>
      <c r="AB300" s="36">
        <v>0</v>
      </c>
      <c r="AC300" s="36">
        <v>0</v>
      </c>
      <c r="AD300" s="36">
        <v>0</v>
      </c>
      <c r="AE300" s="36">
        <v>80</v>
      </c>
      <c r="AF300" s="36">
        <v>80</v>
      </c>
      <c r="AG300" s="36"/>
      <c r="AH300" s="36"/>
      <c r="AI300" s="36" t="s">
        <v>200</v>
      </c>
      <c r="AJ300" s="36" t="s">
        <v>201</v>
      </c>
      <c r="AK300" s="36" t="s">
        <v>202</v>
      </c>
      <c r="AL300" s="36" t="s">
        <v>203</v>
      </c>
      <c r="AM300" s="36" t="s">
        <v>204</v>
      </c>
      <c r="AN300" s="36" t="s">
        <v>222</v>
      </c>
      <c r="AO300" s="36" t="s">
        <v>206</v>
      </c>
      <c r="AP300" s="36">
        <v>2</v>
      </c>
      <c r="AQ300" s="36"/>
      <c r="AR300" s="36"/>
      <c r="AS300" s="36"/>
      <c r="AT300" s="36" t="s">
        <v>223</v>
      </c>
      <c r="AU300" s="36" t="s">
        <v>637</v>
      </c>
      <c r="AV300" s="36" t="s">
        <v>209</v>
      </c>
      <c r="AW300" s="36" t="s">
        <v>209</v>
      </c>
      <c r="AX300" s="36" t="s">
        <v>210</v>
      </c>
      <c r="AY300" s="36">
        <v>0</v>
      </c>
      <c r="AZ300" s="36" t="s">
        <v>211</v>
      </c>
      <c r="BA300" s="36">
        <v>9044988730481</v>
      </c>
      <c r="BB300" s="36"/>
      <c r="BC300" s="36"/>
      <c r="BD300" s="36">
        <v>1</v>
      </c>
      <c r="BE300" s="36"/>
      <c r="BF300" s="36" t="s">
        <v>212</v>
      </c>
      <c r="BG300" s="36">
        <v>1333314600</v>
      </c>
      <c r="BH300" s="36" t="s">
        <v>213</v>
      </c>
      <c r="BI300" s="36">
        <v>80</v>
      </c>
      <c r="BJ300" s="36">
        <v>80</v>
      </c>
      <c r="BK300" s="36">
        <v>1300</v>
      </c>
      <c r="BL300" s="36" t="s">
        <v>214</v>
      </c>
      <c r="BM300" s="36"/>
      <c r="BN300" s="36"/>
    </row>
    <row r="301" spans="1:66" x14ac:dyDescent="0.35">
      <c r="A301" s="36"/>
      <c r="B301" s="36"/>
      <c r="C301" s="37">
        <v>244626</v>
      </c>
      <c r="D301" s="37">
        <v>244626</v>
      </c>
      <c r="E301" s="36"/>
      <c r="F301" s="36" t="s">
        <v>192</v>
      </c>
      <c r="G301" s="36" t="s">
        <v>1</v>
      </c>
      <c r="H301" s="36">
        <v>0</v>
      </c>
      <c r="I301" s="36" t="s">
        <v>193</v>
      </c>
      <c r="J301" s="36" t="s">
        <v>194</v>
      </c>
      <c r="K301" s="36" t="s">
        <v>195</v>
      </c>
      <c r="L301" s="36">
        <v>923</v>
      </c>
      <c r="M301" s="36"/>
      <c r="N301" s="36" t="s">
        <v>256</v>
      </c>
      <c r="O301" s="36" t="s">
        <v>257</v>
      </c>
      <c r="P301" s="36">
        <v>2</v>
      </c>
      <c r="Q301" s="36" t="s">
        <v>258</v>
      </c>
      <c r="R301" s="37">
        <v>244534</v>
      </c>
      <c r="S301" s="37">
        <v>244626</v>
      </c>
      <c r="T301" s="36" t="s">
        <v>639</v>
      </c>
      <c r="U301" s="36">
        <v>23058552</v>
      </c>
      <c r="V301" s="36" t="s">
        <v>26</v>
      </c>
      <c r="W301" s="36">
        <v>5</v>
      </c>
      <c r="X301" s="36">
        <v>5</v>
      </c>
      <c r="Y301" s="36">
        <v>5</v>
      </c>
      <c r="Z301" s="36">
        <v>5</v>
      </c>
      <c r="AA301" s="36">
        <v>0</v>
      </c>
      <c r="AB301" s="36">
        <v>0</v>
      </c>
      <c r="AC301" s="36">
        <v>0</v>
      </c>
      <c r="AD301" s="36">
        <v>0</v>
      </c>
      <c r="AE301" s="36">
        <v>5</v>
      </c>
      <c r="AF301" s="36">
        <v>5</v>
      </c>
      <c r="AG301" s="36"/>
      <c r="AH301" s="36"/>
      <c r="AI301" s="36" t="s">
        <v>200</v>
      </c>
      <c r="AJ301" s="36" t="s">
        <v>201</v>
      </c>
      <c r="AK301" s="36" t="s">
        <v>215</v>
      </c>
      <c r="AL301" s="36" t="s">
        <v>203</v>
      </c>
      <c r="AM301" s="36" t="s">
        <v>204</v>
      </c>
      <c r="AN301" s="36" t="s">
        <v>222</v>
      </c>
      <c r="AO301" s="36" t="s">
        <v>206</v>
      </c>
      <c r="AP301" s="36">
        <v>2</v>
      </c>
      <c r="AQ301" s="36"/>
      <c r="AR301" s="36"/>
      <c r="AS301" s="36"/>
      <c r="AT301" s="36" t="s">
        <v>223</v>
      </c>
      <c r="AU301" s="36" t="s">
        <v>637</v>
      </c>
      <c r="AV301" s="36" t="s">
        <v>209</v>
      </c>
      <c r="AW301" s="36" t="s">
        <v>209</v>
      </c>
      <c r="AX301" s="36" t="s">
        <v>210</v>
      </c>
      <c r="AY301" s="36">
        <v>0</v>
      </c>
      <c r="AZ301" s="36" t="s">
        <v>211</v>
      </c>
      <c r="BA301" s="36">
        <v>9044988730481</v>
      </c>
      <c r="BB301" s="36"/>
      <c r="BC301" s="36"/>
      <c r="BD301" s="36">
        <v>1</v>
      </c>
      <c r="BE301" s="36"/>
      <c r="BF301" s="36" t="s">
        <v>212</v>
      </c>
      <c r="BG301" s="36">
        <v>1333314600</v>
      </c>
      <c r="BH301" s="36" t="s">
        <v>213</v>
      </c>
      <c r="BI301" s="36">
        <v>5</v>
      </c>
      <c r="BJ301" s="36">
        <v>5</v>
      </c>
      <c r="BK301" s="36">
        <v>1300</v>
      </c>
      <c r="BL301" s="36" t="s">
        <v>214</v>
      </c>
      <c r="BM301" s="36"/>
      <c r="BN301" s="36"/>
    </row>
    <row r="302" spans="1:66" x14ac:dyDescent="0.35">
      <c r="A302" s="36"/>
      <c r="B302" s="36"/>
      <c r="C302" s="37">
        <v>244626</v>
      </c>
      <c r="D302" s="37">
        <v>244626</v>
      </c>
      <c r="E302" s="36"/>
      <c r="F302" s="36" t="s">
        <v>192</v>
      </c>
      <c r="G302" s="36" t="s">
        <v>1</v>
      </c>
      <c r="H302" s="36">
        <v>0</v>
      </c>
      <c r="I302" s="36" t="s">
        <v>193</v>
      </c>
      <c r="J302" s="36" t="s">
        <v>194</v>
      </c>
      <c r="K302" s="36" t="s">
        <v>195</v>
      </c>
      <c r="L302" s="36">
        <v>923</v>
      </c>
      <c r="M302" s="36"/>
      <c r="N302" s="36" t="s">
        <v>256</v>
      </c>
      <c r="O302" s="36" t="s">
        <v>257</v>
      </c>
      <c r="P302" s="36">
        <v>2</v>
      </c>
      <c r="Q302" s="36" t="s">
        <v>258</v>
      </c>
      <c r="R302" s="37">
        <v>244534</v>
      </c>
      <c r="S302" s="37">
        <v>244626</v>
      </c>
      <c r="T302" s="36" t="s">
        <v>639</v>
      </c>
      <c r="U302" s="36">
        <v>23063759</v>
      </c>
      <c r="V302" s="36" t="s">
        <v>39</v>
      </c>
      <c r="W302" s="36">
        <v>120</v>
      </c>
      <c r="X302" s="36">
        <v>120</v>
      </c>
      <c r="Y302" s="36">
        <v>120</v>
      </c>
      <c r="Z302" s="36">
        <v>120</v>
      </c>
      <c r="AA302" s="36">
        <v>0</v>
      </c>
      <c r="AB302" s="36">
        <v>0</v>
      </c>
      <c r="AC302" s="36">
        <v>0</v>
      </c>
      <c r="AD302" s="36">
        <v>0</v>
      </c>
      <c r="AE302" s="36">
        <v>120</v>
      </c>
      <c r="AF302" s="36">
        <v>120</v>
      </c>
      <c r="AG302" s="36"/>
      <c r="AH302" s="36"/>
      <c r="AI302" s="36" t="s">
        <v>200</v>
      </c>
      <c r="AJ302" s="36" t="s">
        <v>201</v>
      </c>
      <c r="AK302" s="36" t="s">
        <v>215</v>
      </c>
      <c r="AL302" s="36" t="s">
        <v>203</v>
      </c>
      <c r="AM302" s="36" t="s">
        <v>204</v>
      </c>
      <c r="AN302" s="36" t="s">
        <v>222</v>
      </c>
      <c r="AO302" s="36" t="s">
        <v>206</v>
      </c>
      <c r="AP302" s="36">
        <v>2</v>
      </c>
      <c r="AQ302" s="36"/>
      <c r="AR302" s="36"/>
      <c r="AS302" s="36"/>
      <c r="AT302" s="36" t="s">
        <v>223</v>
      </c>
      <c r="AU302" s="36" t="s">
        <v>637</v>
      </c>
      <c r="AV302" s="36" t="s">
        <v>209</v>
      </c>
      <c r="AW302" s="36" t="s">
        <v>209</v>
      </c>
      <c r="AX302" s="36" t="s">
        <v>210</v>
      </c>
      <c r="AY302" s="36">
        <v>0</v>
      </c>
      <c r="AZ302" s="36" t="s">
        <v>211</v>
      </c>
      <c r="BA302" s="36">
        <v>9044988730481</v>
      </c>
      <c r="BB302" s="36"/>
      <c r="BC302" s="36"/>
      <c r="BD302" s="36">
        <v>1</v>
      </c>
      <c r="BE302" s="36"/>
      <c r="BF302" s="36" t="s">
        <v>212</v>
      </c>
      <c r="BG302" s="36">
        <v>1333314600</v>
      </c>
      <c r="BH302" s="36" t="s">
        <v>213</v>
      </c>
      <c r="BI302" s="36">
        <v>120</v>
      </c>
      <c r="BJ302" s="36">
        <v>120</v>
      </c>
      <c r="BK302" s="36">
        <v>1300</v>
      </c>
      <c r="BL302" s="36" t="s">
        <v>214</v>
      </c>
      <c r="BM302" s="36"/>
      <c r="BN302" s="36"/>
    </row>
    <row r="303" spans="1:66" x14ac:dyDescent="0.35">
      <c r="A303" s="36"/>
      <c r="B303" s="36"/>
      <c r="C303" s="37">
        <v>244626</v>
      </c>
      <c r="D303" s="37">
        <v>244626</v>
      </c>
      <c r="E303" s="36"/>
      <c r="F303" s="36" t="s">
        <v>192</v>
      </c>
      <c r="G303" s="36" t="s">
        <v>1</v>
      </c>
      <c r="H303" s="36">
        <v>0</v>
      </c>
      <c r="I303" s="36" t="s">
        <v>193</v>
      </c>
      <c r="J303" s="36" t="s">
        <v>194</v>
      </c>
      <c r="K303" s="36" t="s">
        <v>195</v>
      </c>
      <c r="L303" s="36">
        <v>923</v>
      </c>
      <c r="M303" s="36"/>
      <c r="N303" s="36" t="s">
        <v>256</v>
      </c>
      <c r="O303" s="36" t="s">
        <v>257</v>
      </c>
      <c r="P303" s="36">
        <v>2</v>
      </c>
      <c r="Q303" s="36" t="s">
        <v>258</v>
      </c>
      <c r="R303" s="37">
        <v>244534</v>
      </c>
      <c r="S303" s="37">
        <v>244626</v>
      </c>
      <c r="T303" s="36" t="s">
        <v>639</v>
      </c>
      <c r="U303" s="36">
        <v>23065140</v>
      </c>
      <c r="V303" s="36" t="s">
        <v>40</v>
      </c>
      <c r="W303" s="36">
        <v>20</v>
      </c>
      <c r="X303" s="36">
        <v>20</v>
      </c>
      <c r="Y303" s="36">
        <v>20</v>
      </c>
      <c r="Z303" s="36">
        <v>20</v>
      </c>
      <c r="AA303" s="36">
        <v>0</v>
      </c>
      <c r="AB303" s="36">
        <v>0</v>
      </c>
      <c r="AC303" s="36">
        <v>0</v>
      </c>
      <c r="AD303" s="36">
        <v>0</v>
      </c>
      <c r="AE303" s="36">
        <v>20</v>
      </c>
      <c r="AF303" s="36">
        <v>20</v>
      </c>
      <c r="AG303" s="36"/>
      <c r="AH303" s="36"/>
      <c r="AI303" s="36" t="s">
        <v>200</v>
      </c>
      <c r="AJ303" s="36" t="s">
        <v>201</v>
      </c>
      <c r="AK303" s="36" t="s">
        <v>202</v>
      </c>
      <c r="AL303" s="36" t="s">
        <v>203</v>
      </c>
      <c r="AM303" s="36" t="s">
        <v>204</v>
      </c>
      <c r="AN303" s="36" t="s">
        <v>222</v>
      </c>
      <c r="AO303" s="36" t="s">
        <v>206</v>
      </c>
      <c r="AP303" s="36">
        <v>2</v>
      </c>
      <c r="AQ303" s="36"/>
      <c r="AR303" s="36"/>
      <c r="AS303" s="36"/>
      <c r="AT303" s="36" t="s">
        <v>223</v>
      </c>
      <c r="AU303" s="36" t="s">
        <v>637</v>
      </c>
      <c r="AV303" s="36" t="s">
        <v>209</v>
      </c>
      <c r="AW303" s="36" t="s">
        <v>209</v>
      </c>
      <c r="AX303" s="36" t="s">
        <v>210</v>
      </c>
      <c r="AY303" s="36">
        <v>0</v>
      </c>
      <c r="AZ303" s="36" t="s">
        <v>211</v>
      </c>
      <c r="BA303" s="36">
        <v>9044988730481</v>
      </c>
      <c r="BB303" s="36"/>
      <c r="BC303" s="36"/>
      <c r="BD303" s="36">
        <v>1</v>
      </c>
      <c r="BE303" s="36"/>
      <c r="BF303" s="36" t="s">
        <v>212</v>
      </c>
      <c r="BG303" s="36">
        <v>1333314600</v>
      </c>
      <c r="BH303" s="36" t="s">
        <v>213</v>
      </c>
      <c r="BI303" s="36">
        <v>20</v>
      </c>
      <c r="BJ303" s="36">
        <v>20</v>
      </c>
      <c r="BK303" s="36">
        <v>1300</v>
      </c>
      <c r="BL303" s="36" t="s">
        <v>214</v>
      </c>
      <c r="BM303" s="36"/>
      <c r="BN303" s="36"/>
    </row>
    <row r="304" spans="1:66" x14ac:dyDescent="0.35">
      <c r="A304" s="36"/>
      <c r="B304" s="36"/>
      <c r="C304" s="37">
        <v>244626</v>
      </c>
      <c r="D304" s="37">
        <v>244626</v>
      </c>
      <c r="E304" s="36"/>
      <c r="F304" s="36" t="s">
        <v>192</v>
      </c>
      <c r="G304" s="36" t="s">
        <v>1</v>
      </c>
      <c r="H304" s="36">
        <v>0</v>
      </c>
      <c r="I304" s="36" t="s">
        <v>193</v>
      </c>
      <c r="J304" s="36" t="s">
        <v>194</v>
      </c>
      <c r="K304" s="36" t="s">
        <v>195</v>
      </c>
      <c r="L304" s="36">
        <v>923</v>
      </c>
      <c r="M304" s="36"/>
      <c r="N304" s="36" t="s">
        <v>256</v>
      </c>
      <c r="O304" s="36" t="s">
        <v>257</v>
      </c>
      <c r="P304" s="36">
        <v>2</v>
      </c>
      <c r="Q304" s="36" t="s">
        <v>258</v>
      </c>
      <c r="R304" s="37">
        <v>244534</v>
      </c>
      <c r="S304" s="37">
        <v>244626</v>
      </c>
      <c r="T304" s="36" t="s">
        <v>639</v>
      </c>
      <c r="U304" s="36">
        <v>23066879</v>
      </c>
      <c r="V304" s="36" t="s">
        <v>45</v>
      </c>
      <c r="W304" s="36">
        <v>5</v>
      </c>
      <c r="X304" s="36">
        <v>5</v>
      </c>
      <c r="Y304" s="36">
        <v>5</v>
      </c>
      <c r="Z304" s="36">
        <v>5</v>
      </c>
      <c r="AA304" s="36">
        <v>0</v>
      </c>
      <c r="AB304" s="36">
        <v>0</v>
      </c>
      <c r="AC304" s="36">
        <v>0</v>
      </c>
      <c r="AD304" s="36">
        <v>0</v>
      </c>
      <c r="AE304" s="36">
        <v>5</v>
      </c>
      <c r="AF304" s="36">
        <v>5</v>
      </c>
      <c r="AG304" s="36"/>
      <c r="AH304" s="36"/>
      <c r="AI304" s="36" t="s">
        <v>200</v>
      </c>
      <c r="AJ304" s="36" t="s">
        <v>201</v>
      </c>
      <c r="AK304" s="36" t="s">
        <v>215</v>
      </c>
      <c r="AL304" s="36" t="s">
        <v>203</v>
      </c>
      <c r="AM304" s="36" t="s">
        <v>204</v>
      </c>
      <c r="AN304" s="36" t="s">
        <v>222</v>
      </c>
      <c r="AO304" s="36" t="s">
        <v>206</v>
      </c>
      <c r="AP304" s="36">
        <v>2</v>
      </c>
      <c r="AQ304" s="36"/>
      <c r="AR304" s="36"/>
      <c r="AS304" s="36"/>
      <c r="AT304" s="36" t="s">
        <v>223</v>
      </c>
      <c r="AU304" s="36" t="s">
        <v>637</v>
      </c>
      <c r="AV304" s="36" t="s">
        <v>209</v>
      </c>
      <c r="AW304" s="36" t="s">
        <v>209</v>
      </c>
      <c r="AX304" s="36" t="s">
        <v>210</v>
      </c>
      <c r="AY304" s="36">
        <v>0</v>
      </c>
      <c r="AZ304" s="36" t="s">
        <v>211</v>
      </c>
      <c r="BA304" s="36">
        <v>9044988730481</v>
      </c>
      <c r="BB304" s="36"/>
      <c r="BC304" s="36"/>
      <c r="BD304" s="36">
        <v>1</v>
      </c>
      <c r="BE304" s="36"/>
      <c r="BF304" s="36" t="s">
        <v>212</v>
      </c>
      <c r="BG304" s="36">
        <v>1333314600</v>
      </c>
      <c r="BH304" s="36" t="s">
        <v>213</v>
      </c>
      <c r="BI304" s="36">
        <v>5</v>
      </c>
      <c r="BJ304" s="36">
        <v>5</v>
      </c>
      <c r="BK304" s="36">
        <v>1300</v>
      </c>
      <c r="BL304" s="36" t="s">
        <v>214</v>
      </c>
      <c r="BM304" s="36"/>
      <c r="BN304" s="36"/>
    </row>
    <row r="305" spans="1:66" x14ac:dyDescent="0.35">
      <c r="A305" s="36"/>
      <c r="B305" s="36"/>
      <c r="C305" s="37">
        <v>244626</v>
      </c>
      <c r="D305" s="37">
        <v>244626</v>
      </c>
      <c r="E305" s="36"/>
      <c r="F305" s="36" t="s">
        <v>192</v>
      </c>
      <c r="G305" s="36" t="s">
        <v>1</v>
      </c>
      <c r="H305" s="36">
        <v>0</v>
      </c>
      <c r="I305" s="36" t="s">
        <v>193</v>
      </c>
      <c r="J305" s="36" t="s">
        <v>194</v>
      </c>
      <c r="K305" s="36" t="s">
        <v>195</v>
      </c>
      <c r="L305" s="36">
        <v>923</v>
      </c>
      <c r="M305" s="36"/>
      <c r="N305" s="36" t="s">
        <v>256</v>
      </c>
      <c r="O305" s="36" t="s">
        <v>257</v>
      </c>
      <c r="P305" s="36">
        <v>2</v>
      </c>
      <c r="Q305" s="36" t="s">
        <v>258</v>
      </c>
      <c r="R305" s="37">
        <v>244534</v>
      </c>
      <c r="S305" s="37">
        <v>244626</v>
      </c>
      <c r="T305" s="36" t="s">
        <v>639</v>
      </c>
      <c r="U305" s="36">
        <v>23058589</v>
      </c>
      <c r="V305" s="36" t="s">
        <v>33</v>
      </c>
      <c r="W305" s="36">
        <v>5</v>
      </c>
      <c r="X305" s="36">
        <v>5</v>
      </c>
      <c r="Y305" s="36">
        <v>5</v>
      </c>
      <c r="Z305" s="36">
        <v>5</v>
      </c>
      <c r="AA305" s="36">
        <v>0</v>
      </c>
      <c r="AB305" s="36">
        <v>0</v>
      </c>
      <c r="AC305" s="36">
        <v>0</v>
      </c>
      <c r="AD305" s="36">
        <v>0</v>
      </c>
      <c r="AE305" s="36">
        <v>5</v>
      </c>
      <c r="AF305" s="36">
        <v>5</v>
      </c>
      <c r="AG305" s="36"/>
      <c r="AH305" s="36"/>
      <c r="AI305" s="36" t="s">
        <v>200</v>
      </c>
      <c r="AJ305" s="36" t="s">
        <v>201</v>
      </c>
      <c r="AK305" s="36" t="s">
        <v>215</v>
      </c>
      <c r="AL305" s="36" t="s">
        <v>203</v>
      </c>
      <c r="AM305" s="36" t="s">
        <v>204</v>
      </c>
      <c r="AN305" s="36" t="s">
        <v>222</v>
      </c>
      <c r="AO305" s="36" t="s">
        <v>206</v>
      </c>
      <c r="AP305" s="36">
        <v>2</v>
      </c>
      <c r="AQ305" s="36"/>
      <c r="AR305" s="36"/>
      <c r="AS305" s="36"/>
      <c r="AT305" s="36" t="s">
        <v>223</v>
      </c>
      <c r="AU305" s="36" t="s">
        <v>637</v>
      </c>
      <c r="AV305" s="36" t="s">
        <v>209</v>
      </c>
      <c r="AW305" s="36" t="s">
        <v>209</v>
      </c>
      <c r="AX305" s="36" t="s">
        <v>210</v>
      </c>
      <c r="AY305" s="36">
        <v>0</v>
      </c>
      <c r="AZ305" s="36" t="s">
        <v>211</v>
      </c>
      <c r="BA305" s="36">
        <v>9044988730481</v>
      </c>
      <c r="BB305" s="36"/>
      <c r="BC305" s="36"/>
      <c r="BD305" s="36">
        <v>1</v>
      </c>
      <c r="BE305" s="36"/>
      <c r="BF305" s="36" t="s">
        <v>212</v>
      </c>
      <c r="BG305" s="36">
        <v>1333314600</v>
      </c>
      <c r="BH305" s="36" t="s">
        <v>213</v>
      </c>
      <c r="BI305" s="36">
        <v>5</v>
      </c>
      <c r="BJ305" s="36">
        <v>5</v>
      </c>
      <c r="BK305" s="36">
        <v>1300</v>
      </c>
      <c r="BL305" s="36" t="s">
        <v>214</v>
      </c>
      <c r="BM305" s="36"/>
      <c r="BN305" s="36"/>
    </row>
    <row r="306" spans="1:66" x14ac:dyDescent="0.35">
      <c r="A306" s="36"/>
      <c r="B306" s="36"/>
      <c r="C306" s="37">
        <v>244626</v>
      </c>
      <c r="D306" s="37">
        <v>244626</v>
      </c>
      <c r="E306" s="36"/>
      <c r="F306" s="36" t="s">
        <v>192</v>
      </c>
      <c r="G306" s="36" t="s">
        <v>1</v>
      </c>
      <c r="H306" s="36">
        <v>0</v>
      </c>
      <c r="I306" s="36" t="s">
        <v>193</v>
      </c>
      <c r="J306" s="36" t="s">
        <v>194</v>
      </c>
      <c r="K306" s="36" t="s">
        <v>195</v>
      </c>
      <c r="L306" s="36">
        <v>923</v>
      </c>
      <c r="M306" s="36"/>
      <c r="N306" s="36" t="s">
        <v>256</v>
      </c>
      <c r="O306" s="36" t="s">
        <v>257</v>
      </c>
      <c r="P306" s="36">
        <v>2</v>
      </c>
      <c r="Q306" s="36" t="s">
        <v>258</v>
      </c>
      <c r="R306" s="37">
        <v>244534</v>
      </c>
      <c r="S306" s="37">
        <v>244626</v>
      </c>
      <c r="T306" s="36" t="s">
        <v>639</v>
      </c>
      <c r="U306" s="36">
        <v>23057818</v>
      </c>
      <c r="V306" s="36" t="s">
        <v>21</v>
      </c>
      <c r="W306" s="36">
        <v>5</v>
      </c>
      <c r="X306" s="36">
        <v>5</v>
      </c>
      <c r="Y306" s="36">
        <v>5</v>
      </c>
      <c r="Z306" s="36">
        <v>5</v>
      </c>
      <c r="AA306" s="36">
        <v>0</v>
      </c>
      <c r="AB306" s="36">
        <v>0</v>
      </c>
      <c r="AC306" s="36">
        <v>0</v>
      </c>
      <c r="AD306" s="36">
        <v>0</v>
      </c>
      <c r="AE306" s="36">
        <v>5</v>
      </c>
      <c r="AF306" s="36">
        <v>5</v>
      </c>
      <c r="AG306" s="36"/>
      <c r="AH306" s="36"/>
      <c r="AI306" s="36" t="s">
        <v>200</v>
      </c>
      <c r="AJ306" s="36" t="s">
        <v>201</v>
      </c>
      <c r="AK306" s="36" t="s">
        <v>202</v>
      </c>
      <c r="AL306" s="36" t="s">
        <v>203</v>
      </c>
      <c r="AM306" s="36" t="s">
        <v>204</v>
      </c>
      <c r="AN306" s="36" t="s">
        <v>222</v>
      </c>
      <c r="AO306" s="36" t="s">
        <v>206</v>
      </c>
      <c r="AP306" s="36">
        <v>2</v>
      </c>
      <c r="AQ306" s="36"/>
      <c r="AR306" s="36"/>
      <c r="AS306" s="36"/>
      <c r="AT306" s="36" t="s">
        <v>223</v>
      </c>
      <c r="AU306" s="36" t="s">
        <v>637</v>
      </c>
      <c r="AV306" s="36" t="s">
        <v>209</v>
      </c>
      <c r="AW306" s="36" t="s">
        <v>209</v>
      </c>
      <c r="AX306" s="36" t="s">
        <v>210</v>
      </c>
      <c r="AY306" s="36">
        <v>0</v>
      </c>
      <c r="AZ306" s="36" t="s">
        <v>211</v>
      </c>
      <c r="BA306" s="36">
        <v>9044988730481</v>
      </c>
      <c r="BB306" s="36"/>
      <c r="BC306" s="36"/>
      <c r="BD306" s="36">
        <v>1</v>
      </c>
      <c r="BE306" s="36"/>
      <c r="BF306" s="36" t="s">
        <v>212</v>
      </c>
      <c r="BG306" s="36">
        <v>1333314600</v>
      </c>
      <c r="BH306" s="36" t="s">
        <v>213</v>
      </c>
      <c r="BI306" s="36">
        <v>5</v>
      </c>
      <c r="BJ306" s="36">
        <v>5</v>
      </c>
      <c r="BK306" s="36">
        <v>1300</v>
      </c>
      <c r="BL306" s="36" t="s">
        <v>214</v>
      </c>
      <c r="BM306" s="36"/>
      <c r="BN306" s="36"/>
    </row>
    <row r="307" spans="1:66" x14ac:dyDescent="0.35">
      <c r="A307" s="36"/>
      <c r="B307" s="36"/>
      <c r="C307" s="37">
        <v>244626</v>
      </c>
      <c r="D307" s="37">
        <v>244626</v>
      </c>
      <c r="E307" s="36"/>
      <c r="F307" s="36" t="s">
        <v>192</v>
      </c>
      <c r="G307" s="36" t="s">
        <v>1</v>
      </c>
      <c r="H307" s="36">
        <v>0</v>
      </c>
      <c r="I307" s="36" t="s">
        <v>193</v>
      </c>
      <c r="J307" s="36" t="s">
        <v>194</v>
      </c>
      <c r="K307" s="36" t="s">
        <v>195</v>
      </c>
      <c r="L307" s="36">
        <v>923</v>
      </c>
      <c r="M307" s="36"/>
      <c r="N307" s="36" t="s">
        <v>256</v>
      </c>
      <c r="O307" s="36" t="s">
        <v>257</v>
      </c>
      <c r="P307" s="36">
        <v>2</v>
      </c>
      <c r="Q307" s="36" t="s">
        <v>258</v>
      </c>
      <c r="R307" s="37">
        <v>244534</v>
      </c>
      <c r="S307" s="37">
        <v>244626</v>
      </c>
      <c r="T307" s="36" t="s">
        <v>639</v>
      </c>
      <c r="U307" s="36">
        <v>23057809</v>
      </c>
      <c r="V307" s="36" t="s">
        <v>18</v>
      </c>
      <c r="W307" s="36">
        <v>50</v>
      </c>
      <c r="X307" s="36">
        <v>50</v>
      </c>
      <c r="Y307" s="36">
        <v>50</v>
      </c>
      <c r="Z307" s="36">
        <v>50</v>
      </c>
      <c r="AA307" s="36">
        <v>0</v>
      </c>
      <c r="AB307" s="36">
        <v>0</v>
      </c>
      <c r="AC307" s="36">
        <v>0</v>
      </c>
      <c r="AD307" s="36">
        <v>0</v>
      </c>
      <c r="AE307" s="36">
        <v>50</v>
      </c>
      <c r="AF307" s="36">
        <v>50</v>
      </c>
      <c r="AG307" s="36"/>
      <c r="AH307" s="36"/>
      <c r="AI307" s="36" t="s">
        <v>200</v>
      </c>
      <c r="AJ307" s="36" t="s">
        <v>201</v>
      </c>
      <c r="AK307" s="36" t="s">
        <v>202</v>
      </c>
      <c r="AL307" s="36" t="s">
        <v>203</v>
      </c>
      <c r="AM307" s="36" t="s">
        <v>204</v>
      </c>
      <c r="AN307" s="36" t="s">
        <v>222</v>
      </c>
      <c r="AO307" s="36" t="s">
        <v>206</v>
      </c>
      <c r="AP307" s="36">
        <v>2</v>
      </c>
      <c r="AQ307" s="36"/>
      <c r="AR307" s="36"/>
      <c r="AS307" s="36"/>
      <c r="AT307" s="36" t="s">
        <v>223</v>
      </c>
      <c r="AU307" s="36" t="s">
        <v>637</v>
      </c>
      <c r="AV307" s="36" t="s">
        <v>209</v>
      </c>
      <c r="AW307" s="36" t="s">
        <v>209</v>
      </c>
      <c r="AX307" s="36" t="s">
        <v>210</v>
      </c>
      <c r="AY307" s="36">
        <v>0</v>
      </c>
      <c r="AZ307" s="36" t="s">
        <v>211</v>
      </c>
      <c r="BA307" s="36">
        <v>9044988730481</v>
      </c>
      <c r="BB307" s="36"/>
      <c r="BC307" s="36"/>
      <c r="BD307" s="36">
        <v>1</v>
      </c>
      <c r="BE307" s="36"/>
      <c r="BF307" s="36" t="s">
        <v>212</v>
      </c>
      <c r="BG307" s="36">
        <v>1333314600</v>
      </c>
      <c r="BH307" s="36" t="s">
        <v>213</v>
      </c>
      <c r="BI307" s="36">
        <v>50</v>
      </c>
      <c r="BJ307" s="36">
        <v>50</v>
      </c>
      <c r="BK307" s="36">
        <v>1300</v>
      </c>
      <c r="BL307" s="36" t="s">
        <v>214</v>
      </c>
      <c r="BM307" s="36"/>
      <c r="BN307" s="36"/>
    </row>
    <row r="308" spans="1:66" x14ac:dyDescent="0.35">
      <c r="A308" s="36"/>
      <c r="B308" s="36"/>
      <c r="C308" s="37">
        <v>244626</v>
      </c>
      <c r="D308" s="37">
        <v>244626</v>
      </c>
      <c r="E308" s="36"/>
      <c r="F308" s="36" t="s">
        <v>192</v>
      </c>
      <c r="G308" s="36" t="s">
        <v>1</v>
      </c>
      <c r="H308" s="36">
        <v>0</v>
      </c>
      <c r="I308" s="36" t="s">
        <v>193</v>
      </c>
      <c r="J308" s="36" t="s">
        <v>194</v>
      </c>
      <c r="K308" s="36" t="s">
        <v>195</v>
      </c>
      <c r="L308" s="36">
        <v>923</v>
      </c>
      <c r="M308" s="36"/>
      <c r="N308" s="36" t="s">
        <v>256</v>
      </c>
      <c r="O308" s="36" t="s">
        <v>257</v>
      </c>
      <c r="P308" s="36">
        <v>2</v>
      </c>
      <c r="Q308" s="36" t="s">
        <v>258</v>
      </c>
      <c r="R308" s="37">
        <v>244534</v>
      </c>
      <c r="S308" s="37">
        <v>244626</v>
      </c>
      <c r="T308" s="36" t="s">
        <v>639</v>
      </c>
      <c r="U308" s="36">
        <v>23065142</v>
      </c>
      <c r="V308" s="36" t="s">
        <v>42</v>
      </c>
      <c r="W308" s="36">
        <v>20</v>
      </c>
      <c r="X308" s="36">
        <v>20</v>
      </c>
      <c r="Y308" s="36">
        <v>20</v>
      </c>
      <c r="Z308" s="36">
        <v>20</v>
      </c>
      <c r="AA308" s="36">
        <v>0</v>
      </c>
      <c r="AB308" s="36">
        <v>0</v>
      </c>
      <c r="AC308" s="36">
        <v>0</v>
      </c>
      <c r="AD308" s="36">
        <v>0</v>
      </c>
      <c r="AE308" s="36">
        <v>20</v>
      </c>
      <c r="AF308" s="36">
        <v>20</v>
      </c>
      <c r="AG308" s="36"/>
      <c r="AH308" s="36"/>
      <c r="AI308" s="36" t="s">
        <v>200</v>
      </c>
      <c r="AJ308" s="36" t="s">
        <v>201</v>
      </c>
      <c r="AK308" s="36" t="s">
        <v>202</v>
      </c>
      <c r="AL308" s="36" t="s">
        <v>203</v>
      </c>
      <c r="AM308" s="36" t="s">
        <v>204</v>
      </c>
      <c r="AN308" s="36" t="s">
        <v>222</v>
      </c>
      <c r="AO308" s="36" t="s">
        <v>206</v>
      </c>
      <c r="AP308" s="36">
        <v>2</v>
      </c>
      <c r="AQ308" s="36"/>
      <c r="AR308" s="36"/>
      <c r="AS308" s="36"/>
      <c r="AT308" s="36" t="s">
        <v>223</v>
      </c>
      <c r="AU308" s="36" t="s">
        <v>637</v>
      </c>
      <c r="AV308" s="36" t="s">
        <v>209</v>
      </c>
      <c r="AW308" s="36" t="s">
        <v>209</v>
      </c>
      <c r="AX308" s="36" t="s">
        <v>210</v>
      </c>
      <c r="AY308" s="36">
        <v>0</v>
      </c>
      <c r="AZ308" s="36" t="s">
        <v>211</v>
      </c>
      <c r="BA308" s="36">
        <v>9044988730481</v>
      </c>
      <c r="BB308" s="36"/>
      <c r="BC308" s="36"/>
      <c r="BD308" s="36">
        <v>1</v>
      </c>
      <c r="BE308" s="36"/>
      <c r="BF308" s="36" t="s">
        <v>212</v>
      </c>
      <c r="BG308" s="36">
        <v>1333314600</v>
      </c>
      <c r="BH308" s="36" t="s">
        <v>213</v>
      </c>
      <c r="BI308" s="36">
        <v>20</v>
      </c>
      <c r="BJ308" s="36">
        <v>20</v>
      </c>
      <c r="BK308" s="36">
        <v>1300</v>
      </c>
      <c r="BL308" s="36" t="s">
        <v>214</v>
      </c>
      <c r="BM308" s="36"/>
      <c r="BN308" s="36"/>
    </row>
    <row r="309" spans="1:66" x14ac:dyDescent="0.35">
      <c r="A309" s="36"/>
      <c r="B309" s="36"/>
      <c r="C309" s="37">
        <v>244626</v>
      </c>
      <c r="D309" s="37">
        <v>244626</v>
      </c>
      <c r="E309" s="36"/>
      <c r="F309" s="36" t="s">
        <v>192</v>
      </c>
      <c r="G309" s="36" t="s">
        <v>1</v>
      </c>
      <c r="H309" s="36">
        <v>0</v>
      </c>
      <c r="I309" s="36" t="s">
        <v>193</v>
      </c>
      <c r="J309" s="36" t="s">
        <v>194</v>
      </c>
      <c r="K309" s="36" t="s">
        <v>195</v>
      </c>
      <c r="L309" s="36">
        <v>923</v>
      </c>
      <c r="M309" s="36"/>
      <c r="N309" s="36" t="s">
        <v>256</v>
      </c>
      <c r="O309" s="36" t="s">
        <v>257</v>
      </c>
      <c r="P309" s="36">
        <v>2</v>
      </c>
      <c r="Q309" s="36" t="s">
        <v>258</v>
      </c>
      <c r="R309" s="37">
        <v>244534</v>
      </c>
      <c r="S309" s="37">
        <v>244626</v>
      </c>
      <c r="T309" s="36" t="s">
        <v>639</v>
      </c>
      <c r="U309" s="36">
        <v>23058584</v>
      </c>
      <c r="V309" s="36" t="s">
        <v>29</v>
      </c>
      <c r="W309" s="36">
        <v>5</v>
      </c>
      <c r="X309" s="36">
        <v>5</v>
      </c>
      <c r="Y309" s="36">
        <v>5</v>
      </c>
      <c r="Z309" s="36">
        <v>5</v>
      </c>
      <c r="AA309" s="36">
        <v>0</v>
      </c>
      <c r="AB309" s="36">
        <v>0</v>
      </c>
      <c r="AC309" s="36">
        <v>0</v>
      </c>
      <c r="AD309" s="36">
        <v>0</v>
      </c>
      <c r="AE309" s="36">
        <v>5</v>
      </c>
      <c r="AF309" s="36">
        <v>5</v>
      </c>
      <c r="AG309" s="36"/>
      <c r="AH309" s="36"/>
      <c r="AI309" s="36" t="s">
        <v>200</v>
      </c>
      <c r="AJ309" s="36" t="s">
        <v>201</v>
      </c>
      <c r="AK309" s="36" t="s">
        <v>215</v>
      </c>
      <c r="AL309" s="36" t="s">
        <v>203</v>
      </c>
      <c r="AM309" s="36" t="s">
        <v>204</v>
      </c>
      <c r="AN309" s="36" t="s">
        <v>222</v>
      </c>
      <c r="AO309" s="36" t="s">
        <v>206</v>
      </c>
      <c r="AP309" s="36">
        <v>2</v>
      </c>
      <c r="AQ309" s="36"/>
      <c r="AR309" s="36"/>
      <c r="AS309" s="36"/>
      <c r="AT309" s="36" t="s">
        <v>223</v>
      </c>
      <c r="AU309" s="36" t="s">
        <v>637</v>
      </c>
      <c r="AV309" s="36" t="s">
        <v>209</v>
      </c>
      <c r="AW309" s="36" t="s">
        <v>209</v>
      </c>
      <c r="AX309" s="36" t="s">
        <v>210</v>
      </c>
      <c r="AY309" s="36">
        <v>0</v>
      </c>
      <c r="AZ309" s="36" t="s">
        <v>211</v>
      </c>
      <c r="BA309" s="36">
        <v>9044988730481</v>
      </c>
      <c r="BB309" s="36"/>
      <c r="BC309" s="36"/>
      <c r="BD309" s="36">
        <v>1</v>
      </c>
      <c r="BE309" s="36"/>
      <c r="BF309" s="36" t="s">
        <v>212</v>
      </c>
      <c r="BG309" s="36">
        <v>1333314600</v>
      </c>
      <c r="BH309" s="36" t="s">
        <v>213</v>
      </c>
      <c r="BI309" s="36">
        <v>5</v>
      </c>
      <c r="BJ309" s="36">
        <v>5</v>
      </c>
      <c r="BK309" s="36">
        <v>1300</v>
      </c>
      <c r="BL309" s="36" t="s">
        <v>214</v>
      </c>
      <c r="BM309" s="36"/>
      <c r="BN309" s="36"/>
    </row>
    <row r="310" spans="1:66" x14ac:dyDescent="0.35">
      <c r="A310" s="36"/>
      <c r="B310" s="36"/>
      <c r="C310" s="37">
        <v>244626</v>
      </c>
      <c r="D310" s="37">
        <v>244626</v>
      </c>
      <c r="E310" s="36"/>
      <c r="F310" s="36" t="s">
        <v>192</v>
      </c>
      <c r="G310" s="36" t="s">
        <v>1</v>
      </c>
      <c r="H310" s="36">
        <v>0</v>
      </c>
      <c r="I310" s="36" t="s">
        <v>193</v>
      </c>
      <c r="J310" s="36" t="s">
        <v>194</v>
      </c>
      <c r="K310" s="36" t="s">
        <v>195</v>
      </c>
      <c r="L310" s="36">
        <v>923</v>
      </c>
      <c r="M310" s="36"/>
      <c r="N310" s="36" t="s">
        <v>256</v>
      </c>
      <c r="O310" s="36" t="s">
        <v>257</v>
      </c>
      <c r="P310" s="36">
        <v>2</v>
      </c>
      <c r="Q310" s="36" t="s">
        <v>258</v>
      </c>
      <c r="R310" s="37">
        <v>244534</v>
      </c>
      <c r="S310" s="37">
        <v>244626</v>
      </c>
      <c r="T310" s="36" t="s">
        <v>639</v>
      </c>
      <c r="U310" s="36">
        <v>23065143</v>
      </c>
      <c r="V310" s="36" t="s">
        <v>43</v>
      </c>
      <c r="W310" s="36">
        <v>10</v>
      </c>
      <c r="X310" s="36">
        <v>10</v>
      </c>
      <c r="Y310" s="36">
        <v>10</v>
      </c>
      <c r="Z310" s="36">
        <v>10</v>
      </c>
      <c r="AA310" s="36">
        <v>0</v>
      </c>
      <c r="AB310" s="36">
        <v>0</v>
      </c>
      <c r="AC310" s="36">
        <v>0</v>
      </c>
      <c r="AD310" s="36">
        <v>0</v>
      </c>
      <c r="AE310" s="36">
        <v>10</v>
      </c>
      <c r="AF310" s="36">
        <v>10</v>
      </c>
      <c r="AG310" s="36"/>
      <c r="AH310" s="36"/>
      <c r="AI310" s="36" t="s">
        <v>200</v>
      </c>
      <c r="AJ310" s="36" t="s">
        <v>201</v>
      </c>
      <c r="AK310" s="36" t="s">
        <v>202</v>
      </c>
      <c r="AL310" s="36" t="s">
        <v>203</v>
      </c>
      <c r="AM310" s="36" t="s">
        <v>204</v>
      </c>
      <c r="AN310" s="36" t="s">
        <v>222</v>
      </c>
      <c r="AO310" s="36" t="s">
        <v>206</v>
      </c>
      <c r="AP310" s="36">
        <v>2</v>
      </c>
      <c r="AQ310" s="36"/>
      <c r="AR310" s="36"/>
      <c r="AS310" s="36"/>
      <c r="AT310" s="36" t="s">
        <v>223</v>
      </c>
      <c r="AU310" s="36" t="s">
        <v>637</v>
      </c>
      <c r="AV310" s="36" t="s">
        <v>209</v>
      </c>
      <c r="AW310" s="36" t="s">
        <v>209</v>
      </c>
      <c r="AX310" s="36" t="s">
        <v>210</v>
      </c>
      <c r="AY310" s="36">
        <v>0</v>
      </c>
      <c r="AZ310" s="36" t="s">
        <v>211</v>
      </c>
      <c r="BA310" s="36">
        <v>9044988730481</v>
      </c>
      <c r="BB310" s="36"/>
      <c r="BC310" s="36"/>
      <c r="BD310" s="36">
        <v>1</v>
      </c>
      <c r="BE310" s="36"/>
      <c r="BF310" s="36" t="s">
        <v>212</v>
      </c>
      <c r="BG310" s="36">
        <v>1333314600</v>
      </c>
      <c r="BH310" s="36" t="s">
        <v>213</v>
      </c>
      <c r="BI310" s="36">
        <v>10</v>
      </c>
      <c r="BJ310" s="36">
        <v>10</v>
      </c>
      <c r="BK310" s="36">
        <v>1300</v>
      </c>
      <c r="BL310" s="36" t="s">
        <v>214</v>
      </c>
      <c r="BM310" s="36"/>
      <c r="BN310" s="36"/>
    </row>
    <row r="311" spans="1:66" x14ac:dyDescent="0.35">
      <c r="A311" s="36"/>
      <c r="B311" s="36"/>
      <c r="C311" s="37">
        <v>244626</v>
      </c>
      <c r="D311" s="37">
        <v>244626</v>
      </c>
      <c r="E311" s="36"/>
      <c r="F311" s="36" t="s">
        <v>192</v>
      </c>
      <c r="G311" s="36" t="s">
        <v>1</v>
      </c>
      <c r="H311" s="36">
        <v>0</v>
      </c>
      <c r="I311" s="36" t="s">
        <v>193</v>
      </c>
      <c r="J311" s="36" t="s">
        <v>194</v>
      </c>
      <c r="K311" s="36" t="s">
        <v>195</v>
      </c>
      <c r="L311" s="36">
        <v>923</v>
      </c>
      <c r="M311" s="36"/>
      <c r="N311" s="36" t="s">
        <v>256</v>
      </c>
      <c r="O311" s="36" t="s">
        <v>257</v>
      </c>
      <c r="P311" s="36">
        <v>2</v>
      </c>
      <c r="Q311" s="36" t="s">
        <v>258</v>
      </c>
      <c r="R311" s="37">
        <v>244534</v>
      </c>
      <c r="S311" s="37">
        <v>244626</v>
      </c>
      <c r="T311" s="36" t="s">
        <v>639</v>
      </c>
      <c r="U311" s="36">
        <v>23071881</v>
      </c>
      <c r="V311" s="36" t="s">
        <v>48</v>
      </c>
      <c r="W311" s="36">
        <v>24</v>
      </c>
      <c r="X311" s="36">
        <v>120</v>
      </c>
      <c r="Y311" s="36">
        <v>24</v>
      </c>
      <c r="Z311" s="36">
        <v>120</v>
      </c>
      <c r="AA311" s="36">
        <v>0</v>
      </c>
      <c r="AB311" s="36">
        <v>0</v>
      </c>
      <c r="AC311" s="36">
        <v>0</v>
      </c>
      <c r="AD311" s="36">
        <v>0</v>
      </c>
      <c r="AE311" s="36">
        <v>24</v>
      </c>
      <c r="AF311" s="36">
        <v>120</v>
      </c>
      <c r="AG311" s="36"/>
      <c r="AH311" s="36"/>
      <c r="AI311" s="36" t="s">
        <v>200</v>
      </c>
      <c r="AJ311" s="36" t="s">
        <v>201</v>
      </c>
      <c r="AK311" s="36" t="s">
        <v>202</v>
      </c>
      <c r="AL311" s="36" t="s">
        <v>203</v>
      </c>
      <c r="AM311" s="36" t="s">
        <v>204</v>
      </c>
      <c r="AN311" s="36" t="s">
        <v>222</v>
      </c>
      <c r="AO311" s="36" t="s">
        <v>206</v>
      </c>
      <c r="AP311" s="36">
        <v>2</v>
      </c>
      <c r="AQ311" s="36"/>
      <c r="AR311" s="36"/>
      <c r="AS311" s="36"/>
      <c r="AT311" s="36" t="s">
        <v>223</v>
      </c>
      <c r="AU311" s="36" t="s">
        <v>637</v>
      </c>
      <c r="AV311" s="36" t="s">
        <v>217</v>
      </c>
      <c r="AW311" s="36" t="s">
        <v>209</v>
      </c>
      <c r="AX311" s="36" t="s">
        <v>210</v>
      </c>
      <c r="AY311" s="36">
        <v>0</v>
      </c>
      <c r="AZ311" s="36" t="s">
        <v>211</v>
      </c>
      <c r="BA311" s="36">
        <v>9044988730481</v>
      </c>
      <c r="BB311" s="36"/>
      <c r="BC311" s="36"/>
      <c r="BD311" s="36">
        <v>1</v>
      </c>
      <c r="BE311" s="36"/>
      <c r="BF311" s="36" t="s">
        <v>212</v>
      </c>
      <c r="BG311" s="36">
        <v>1333314600</v>
      </c>
      <c r="BH311" s="36" t="s">
        <v>213</v>
      </c>
      <c r="BI311" s="36">
        <v>24</v>
      </c>
      <c r="BJ311" s="36">
        <v>120</v>
      </c>
      <c r="BK311" s="36">
        <v>1300</v>
      </c>
      <c r="BL311" s="36" t="s">
        <v>214</v>
      </c>
      <c r="BM311" s="36"/>
      <c r="BN311" s="36"/>
    </row>
    <row r="312" spans="1:66" x14ac:dyDescent="0.35">
      <c r="A312" s="36"/>
      <c r="B312" s="36"/>
      <c r="C312" s="37">
        <v>244626</v>
      </c>
      <c r="D312" s="37">
        <v>244626</v>
      </c>
      <c r="E312" s="36"/>
      <c r="F312" s="36" t="s">
        <v>192</v>
      </c>
      <c r="G312" s="36" t="s">
        <v>1</v>
      </c>
      <c r="H312" s="36">
        <v>0</v>
      </c>
      <c r="I312" s="36" t="s">
        <v>193</v>
      </c>
      <c r="J312" s="36" t="s">
        <v>194</v>
      </c>
      <c r="K312" s="36" t="s">
        <v>195</v>
      </c>
      <c r="L312" s="36">
        <v>923</v>
      </c>
      <c r="M312" s="36"/>
      <c r="N312" s="36" t="s">
        <v>256</v>
      </c>
      <c r="O312" s="36" t="s">
        <v>257</v>
      </c>
      <c r="P312" s="36">
        <v>2</v>
      </c>
      <c r="Q312" s="36" t="s">
        <v>258</v>
      </c>
      <c r="R312" s="37">
        <v>244534</v>
      </c>
      <c r="S312" s="37">
        <v>244626</v>
      </c>
      <c r="T312" s="36" t="s">
        <v>639</v>
      </c>
      <c r="U312" s="36">
        <v>23070475</v>
      </c>
      <c r="V312" s="36" t="s">
        <v>47</v>
      </c>
      <c r="W312" s="36">
        <v>80</v>
      </c>
      <c r="X312" s="36">
        <v>80</v>
      </c>
      <c r="Y312" s="36">
        <v>80</v>
      </c>
      <c r="Z312" s="36">
        <v>80</v>
      </c>
      <c r="AA312" s="36">
        <v>0</v>
      </c>
      <c r="AB312" s="36">
        <v>0</v>
      </c>
      <c r="AC312" s="36">
        <v>0</v>
      </c>
      <c r="AD312" s="36">
        <v>0</v>
      </c>
      <c r="AE312" s="36">
        <v>80</v>
      </c>
      <c r="AF312" s="36">
        <v>80</v>
      </c>
      <c r="AG312" s="36"/>
      <c r="AH312" s="36"/>
      <c r="AI312" s="36" t="s">
        <v>200</v>
      </c>
      <c r="AJ312" s="36" t="s">
        <v>201</v>
      </c>
      <c r="AK312" s="36" t="s">
        <v>202</v>
      </c>
      <c r="AL312" s="36" t="s">
        <v>203</v>
      </c>
      <c r="AM312" s="36" t="s">
        <v>204</v>
      </c>
      <c r="AN312" s="36" t="s">
        <v>222</v>
      </c>
      <c r="AO312" s="36" t="s">
        <v>206</v>
      </c>
      <c r="AP312" s="36">
        <v>2</v>
      </c>
      <c r="AQ312" s="36"/>
      <c r="AR312" s="36"/>
      <c r="AS312" s="36"/>
      <c r="AT312" s="36" t="s">
        <v>223</v>
      </c>
      <c r="AU312" s="36" t="s">
        <v>637</v>
      </c>
      <c r="AV312" s="36" t="s">
        <v>209</v>
      </c>
      <c r="AW312" s="36" t="s">
        <v>209</v>
      </c>
      <c r="AX312" s="36" t="s">
        <v>210</v>
      </c>
      <c r="AY312" s="36">
        <v>0</v>
      </c>
      <c r="AZ312" s="36" t="s">
        <v>211</v>
      </c>
      <c r="BA312" s="36">
        <v>9044988730481</v>
      </c>
      <c r="BB312" s="36"/>
      <c r="BC312" s="36"/>
      <c r="BD312" s="36">
        <v>1</v>
      </c>
      <c r="BE312" s="36"/>
      <c r="BF312" s="36" t="s">
        <v>212</v>
      </c>
      <c r="BG312" s="36">
        <v>1333314600</v>
      </c>
      <c r="BH312" s="36" t="s">
        <v>213</v>
      </c>
      <c r="BI312" s="36">
        <v>80</v>
      </c>
      <c r="BJ312" s="36">
        <v>80</v>
      </c>
      <c r="BK312" s="36">
        <v>1300</v>
      </c>
      <c r="BL312" s="36" t="s">
        <v>214</v>
      </c>
      <c r="BM312" s="36"/>
      <c r="BN312" s="36"/>
    </row>
    <row r="313" spans="1:66" x14ac:dyDescent="0.35">
      <c r="A313" s="36"/>
      <c r="B313" s="36"/>
      <c r="C313" s="37">
        <v>244626</v>
      </c>
      <c r="D313" s="37">
        <v>244626</v>
      </c>
      <c r="E313" s="36"/>
      <c r="F313" s="36" t="s">
        <v>192</v>
      </c>
      <c r="G313" s="36" t="s">
        <v>1</v>
      </c>
      <c r="H313" s="36">
        <v>0</v>
      </c>
      <c r="I313" s="36" t="s">
        <v>193</v>
      </c>
      <c r="J313" s="36" t="s">
        <v>194</v>
      </c>
      <c r="K313" s="36" t="s">
        <v>195</v>
      </c>
      <c r="L313" s="36">
        <v>923</v>
      </c>
      <c r="M313" s="36"/>
      <c r="N313" s="36" t="s">
        <v>239</v>
      </c>
      <c r="O313" s="36" t="s">
        <v>240</v>
      </c>
      <c r="P313" s="36">
        <v>2</v>
      </c>
      <c r="Q313" s="36" t="s">
        <v>241</v>
      </c>
      <c r="R313" s="37">
        <v>244565</v>
      </c>
      <c r="S313" s="37">
        <v>244626</v>
      </c>
      <c r="T313" s="36" t="s">
        <v>640</v>
      </c>
      <c r="U313" s="36">
        <v>23111037</v>
      </c>
      <c r="V313" s="36" t="s">
        <v>97</v>
      </c>
      <c r="W313" s="36">
        <v>12</v>
      </c>
      <c r="X313" s="36">
        <v>6</v>
      </c>
      <c r="Y313" s="36">
        <v>12</v>
      </c>
      <c r="Z313" s="36">
        <v>6</v>
      </c>
      <c r="AA313" s="36">
        <v>0</v>
      </c>
      <c r="AB313" s="36">
        <v>0</v>
      </c>
      <c r="AC313" s="36">
        <v>0</v>
      </c>
      <c r="AD313" s="36">
        <v>0</v>
      </c>
      <c r="AE313" s="36">
        <v>12</v>
      </c>
      <c r="AF313" s="36">
        <v>6</v>
      </c>
      <c r="AG313" s="36"/>
      <c r="AH313" s="36"/>
      <c r="AI313" s="36" t="s">
        <v>200</v>
      </c>
      <c r="AJ313" s="36" t="s">
        <v>201</v>
      </c>
      <c r="AK313" s="36" t="s">
        <v>202</v>
      </c>
      <c r="AL313" s="36" t="s">
        <v>225</v>
      </c>
      <c r="AM313" s="36" t="s">
        <v>204</v>
      </c>
      <c r="AN313" s="36" t="s">
        <v>222</v>
      </c>
      <c r="AO313" s="36" t="s">
        <v>206</v>
      </c>
      <c r="AP313" s="36">
        <v>2</v>
      </c>
      <c r="AQ313" s="36"/>
      <c r="AR313" s="36"/>
      <c r="AS313" s="36"/>
      <c r="AT313" s="36" t="s">
        <v>223</v>
      </c>
      <c r="AU313" s="36" t="s">
        <v>641</v>
      </c>
      <c r="AV313" s="36" t="s">
        <v>216</v>
      </c>
      <c r="AW313" s="36" t="s">
        <v>209</v>
      </c>
      <c r="AX313" s="36" t="s">
        <v>210</v>
      </c>
      <c r="AY313" s="36">
        <v>0</v>
      </c>
      <c r="AZ313" s="36" t="s">
        <v>211</v>
      </c>
      <c r="BA313" s="36">
        <v>9045088758854</v>
      </c>
      <c r="BB313" s="36"/>
      <c r="BC313" s="36"/>
      <c r="BD313" s="36">
        <v>1</v>
      </c>
      <c r="BE313" s="36"/>
      <c r="BF313" s="36"/>
      <c r="BG313" s="36">
        <v>1333314600</v>
      </c>
      <c r="BH313" s="36" t="s">
        <v>213</v>
      </c>
      <c r="BI313" s="36">
        <v>12</v>
      </c>
      <c r="BJ313" s="36">
        <v>6</v>
      </c>
      <c r="BK313" s="36">
        <v>1300</v>
      </c>
      <c r="BL313" s="36" t="s">
        <v>214</v>
      </c>
      <c r="BM313" s="36"/>
      <c r="BN313" s="36"/>
    </row>
    <row r="314" spans="1:66" x14ac:dyDescent="0.35">
      <c r="A314" s="36"/>
      <c r="B314" s="36"/>
      <c r="C314" s="37">
        <v>244626</v>
      </c>
      <c r="D314" s="37">
        <v>244626</v>
      </c>
      <c r="E314" s="36"/>
      <c r="F314" s="36" t="s">
        <v>192</v>
      </c>
      <c r="G314" s="36" t="s">
        <v>1</v>
      </c>
      <c r="H314" s="36">
        <v>0</v>
      </c>
      <c r="I314" s="36" t="s">
        <v>193</v>
      </c>
      <c r="J314" s="36" t="s">
        <v>194</v>
      </c>
      <c r="K314" s="36" t="s">
        <v>195</v>
      </c>
      <c r="L314" s="36">
        <v>923</v>
      </c>
      <c r="M314" s="36"/>
      <c r="N314" s="36" t="s">
        <v>239</v>
      </c>
      <c r="O314" s="36" t="s">
        <v>240</v>
      </c>
      <c r="P314" s="36">
        <v>2</v>
      </c>
      <c r="Q314" s="36" t="s">
        <v>241</v>
      </c>
      <c r="R314" s="37">
        <v>244565</v>
      </c>
      <c r="S314" s="37">
        <v>244626</v>
      </c>
      <c r="T314" s="36" t="s">
        <v>640</v>
      </c>
      <c r="U314" s="36">
        <v>23111028</v>
      </c>
      <c r="V314" s="36" t="s">
        <v>92</v>
      </c>
      <c r="W314" s="36">
        <v>12</v>
      </c>
      <c r="X314" s="36">
        <v>6</v>
      </c>
      <c r="Y314" s="36">
        <v>12</v>
      </c>
      <c r="Z314" s="36">
        <v>6</v>
      </c>
      <c r="AA314" s="36">
        <v>0</v>
      </c>
      <c r="AB314" s="36">
        <v>0</v>
      </c>
      <c r="AC314" s="36">
        <v>0</v>
      </c>
      <c r="AD314" s="36">
        <v>0</v>
      </c>
      <c r="AE314" s="36">
        <v>12</v>
      </c>
      <c r="AF314" s="36">
        <v>6</v>
      </c>
      <c r="AG314" s="36"/>
      <c r="AH314" s="36"/>
      <c r="AI314" s="36" t="s">
        <v>200</v>
      </c>
      <c r="AJ314" s="36" t="s">
        <v>201</v>
      </c>
      <c r="AK314" s="36" t="s">
        <v>202</v>
      </c>
      <c r="AL314" s="36" t="s">
        <v>225</v>
      </c>
      <c r="AM314" s="36" t="s">
        <v>204</v>
      </c>
      <c r="AN314" s="36" t="s">
        <v>222</v>
      </c>
      <c r="AO314" s="36" t="s">
        <v>206</v>
      </c>
      <c r="AP314" s="36">
        <v>2</v>
      </c>
      <c r="AQ314" s="36"/>
      <c r="AR314" s="36"/>
      <c r="AS314" s="36"/>
      <c r="AT314" s="36" t="s">
        <v>223</v>
      </c>
      <c r="AU314" s="36" t="s">
        <v>641</v>
      </c>
      <c r="AV314" s="36" t="s">
        <v>216</v>
      </c>
      <c r="AW314" s="36" t="s">
        <v>209</v>
      </c>
      <c r="AX314" s="36" t="s">
        <v>210</v>
      </c>
      <c r="AY314" s="36">
        <v>0</v>
      </c>
      <c r="AZ314" s="36" t="s">
        <v>211</v>
      </c>
      <c r="BA314" s="36">
        <v>9045088758854</v>
      </c>
      <c r="BB314" s="36"/>
      <c r="BC314" s="36"/>
      <c r="BD314" s="36">
        <v>1</v>
      </c>
      <c r="BE314" s="36"/>
      <c r="BF314" s="36"/>
      <c r="BG314" s="36">
        <v>1333314600</v>
      </c>
      <c r="BH314" s="36" t="s">
        <v>213</v>
      </c>
      <c r="BI314" s="36">
        <v>12</v>
      </c>
      <c r="BJ314" s="36">
        <v>6</v>
      </c>
      <c r="BK314" s="36">
        <v>1300</v>
      </c>
      <c r="BL314" s="36" t="s">
        <v>214</v>
      </c>
      <c r="BM314" s="36"/>
      <c r="BN314" s="36"/>
    </row>
    <row r="315" spans="1:66" x14ac:dyDescent="0.35">
      <c r="A315" s="36"/>
      <c r="B315" s="36"/>
      <c r="C315" s="37">
        <v>244626</v>
      </c>
      <c r="D315" s="37">
        <v>244626</v>
      </c>
      <c r="E315" s="36"/>
      <c r="F315" s="36" t="s">
        <v>192</v>
      </c>
      <c r="G315" s="36" t="s">
        <v>1</v>
      </c>
      <c r="H315" s="36">
        <v>0</v>
      </c>
      <c r="I315" s="36" t="s">
        <v>193</v>
      </c>
      <c r="J315" s="36" t="s">
        <v>194</v>
      </c>
      <c r="K315" s="36" t="s">
        <v>195</v>
      </c>
      <c r="L315" s="36">
        <v>923</v>
      </c>
      <c r="M315" s="36"/>
      <c r="N315" s="36" t="s">
        <v>239</v>
      </c>
      <c r="O315" s="36" t="s">
        <v>240</v>
      </c>
      <c r="P315" s="36">
        <v>2</v>
      </c>
      <c r="Q315" s="36" t="s">
        <v>241</v>
      </c>
      <c r="R315" s="37">
        <v>244565</v>
      </c>
      <c r="S315" s="37">
        <v>244626</v>
      </c>
      <c r="T315" s="36" t="s">
        <v>640</v>
      </c>
      <c r="U315" s="36">
        <v>23111034</v>
      </c>
      <c r="V315" s="36" t="s">
        <v>94</v>
      </c>
      <c r="W315" s="36">
        <v>16</v>
      </c>
      <c r="X315" s="36">
        <v>8</v>
      </c>
      <c r="Y315" s="36">
        <v>16</v>
      </c>
      <c r="Z315" s="36">
        <v>8</v>
      </c>
      <c r="AA315" s="36">
        <v>0</v>
      </c>
      <c r="AB315" s="36">
        <v>0</v>
      </c>
      <c r="AC315" s="36">
        <v>0</v>
      </c>
      <c r="AD315" s="36">
        <v>0</v>
      </c>
      <c r="AE315" s="36">
        <v>16</v>
      </c>
      <c r="AF315" s="36">
        <v>8</v>
      </c>
      <c r="AG315" s="36"/>
      <c r="AH315" s="36"/>
      <c r="AI315" s="36" t="s">
        <v>200</v>
      </c>
      <c r="AJ315" s="36" t="s">
        <v>201</v>
      </c>
      <c r="AK315" s="36" t="s">
        <v>202</v>
      </c>
      <c r="AL315" s="36" t="s">
        <v>225</v>
      </c>
      <c r="AM315" s="36" t="s">
        <v>204</v>
      </c>
      <c r="AN315" s="36" t="s">
        <v>222</v>
      </c>
      <c r="AO315" s="36" t="s">
        <v>206</v>
      </c>
      <c r="AP315" s="36">
        <v>2</v>
      </c>
      <c r="AQ315" s="36"/>
      <c r="AR315" s="36"/>
      <c r="AS315" s="36"/>
      <c r="AT315" s="36" t="s">
        <v>223</v>
      </c>
      <c r="AU315" s="36" t="s">
        <v>641</v>
      </c>
      <c r="AV315" s="36" t="s">
        <v>216</v>
      </c>
      <c r="AW315" s="36" t="s">
        <v>209</v>
      </c>
      <c r="AX315" s="36" t="s">
        <v>210</v>
      </c>
      <c r="AY315" s="36">
        <v>0</v>
      </c>
      <c r="AZ315" s="36" t="s">
        <v>211</v>
      </c>
      <c r="BA315" s="36">
        <v>9045088758854</v>
      </c>
      <c r="BB315" s="36"/>
      <c r="BC315" s="36"/>
      <c r="BD315" s="36">
        <v>1</v>
      </c>
      <c r="BE315" s="36"/>
      <c r="BF315" s="36"/>
      <c r="BG315" s="36">
        <v>1333314600</v>
      </c>
      <c r="BH315" s="36" t="s">
        <v>213</v>
      </c>
      <c r="BI315" s="36">
        <v>16</v>
      </c>
      <c r="BJ315" s="36">
        <v>8</v>
      </c>
      <c r="BK315" s="36">
        <v>1300</v>
      </c>
      <c r="BL315" s="36" t="s">
        <v>214</v>
      </c>
      <c r="BM315" s="36"/>
      <c r="BN315" s="36"/>
    </row>
    <row r="316" spans="1:66" x14ac:dyDescent="0.35">
      <c r="A316" s="36"/>
      <c r="B316" s="36"/>
      <c r="C316" s="37">
        <v>244626</v>
      </c>
      <c r="D316" s="37">
        <v>244626</v>
      </c>
      <c r="E316" s="36"/>
      <c r="F316" s="36" t="s">
        <v>192</v>
      </c>
      <c r="G316" s="36" t="s">
        <v>1</v>
      </c>
      <c r="H316" s="36">
        <v>0</v>
      </c>
      <c r="I316" s="36" t="s">
        <v>193</v>
      </c>
      <c r="J316" s="36" t="s">
        <v>194</v>
      </c>
      <c r="K316" s="36" t="s">
        <v>195</v>
      </c>
      <c r="L316" s="36">
        <v>923</v>
      </c>
      <c r="M316" s="36"/>
      <c r="N316" s="36" t="s">
        <v>239</v>
      </c>
      <c r="O316" s="36" t="s">
        <v>240</v>
      </c>
      <c r="P316" s="36">
        <v>2</v>
      </c>
      <c r="Q316" s="36" t="s">
        <v>241</v>
      </c>
      <c r="R316" s="37">
        <v>244565</v>
      </c>
      <c r="S316" s="37">
        <v>244626</v>
      </c>
      <c r="T316" s="36" t="s">
        <v>640</v>
      </c>
      <c r="U316" s="36">
        <v>23110593</v>
      </c>
      <c r="V316" s="36" t="s">
        <v>89</v>
      </c>
      <c r="W316" s="36">
        <v>4</v>
      </c>
      <c r="X316" s="36">
        <v>4</v>
      </c>
      <c r="Y316" s="36">
        <v>4</v>
      </c>
      <c r="Z316" s="36">
        <v>4</v>
      </c>
      <c r="AA316" s="36">
        <v>0</v>
      </c>
      <c r="AB316" s="36">
        <v>0</v>
      </c>
      <c r="AC316" s="36">
        <v>0</v>
      </c>
      <c r="AD316" s="36">
        <v>0</v>
      </c>
      <c r="AE316" s="36">
        <v>4</v>
      </c>
      <c r="AF316" s="36">
        <v>4</v>
      </c>
      <c r="AG316" s="36"/>
      <c r="AH316" s="36"/>
      <c r="AI316" s="36" t="s">
        <v>200</v>
      </c>
      <c r="AJ316" s="36" t="s">
        <v>201</v>
      </c>
      <c r="AK316" s="36" t="s">
        <v>202</v>
      </c>
      <c r="AL316" s="36" t="s">
        <v>225</v>
      </c>
      <c r="AM316" s="36" t="s">
        <v>204</v>
      </c>
      <c r="AN316" s="36" t="s">
        <v>222</v>
      </c>
      <c r="AO316" s="36" t="s">
        <v>206</v>
      </c>
      <c r="AP316" s="36">
        <v>2</v>
      </c>
      <c r="AQ316" s="36"/>
      <c r="AR316" s="36"/>
      <c r="AS316" s="36"/>
      <c r="AT316" s="36" t="s">
        <v>223</v>
      </c>
      <c r="AU316" s="36" t="s">
        <v>641</v>
      </c>
      <c r="AV316" s="36" t="s">
        <v>216</v>
      </c>
      <c r="AW316" s="36" t="s">
        <v>209</v>
      </c>
      <c r="AX316" s="36" t="s">
        <v>210</v>
      </c>
      <c r="AY316" s="36">
        <v>0</v>
      </c>
      <c r="AZ316" s="36" t="s">
        <v>211</v>
      </c>
      <c r="BA316" s="36">
        <v>9045088758854</v>
      </c>
      <c r="BB316" s="36"/>
      <c r="BC316" s="36"/>
      <c r="BD316" s="36">
        <v>1</v>
      </c>
      <c r="BE316" s="36"/>
      <c r="BF316" s="36"/>
      <c r="BG316" s="36">
        <v>1333314600</v>
      </c>
      <c r="BH316" s="36" t="s">
        <v>213</v>
      </c>
      <c r="BI316" s="36">
        <v>4</v>
      </c>
      <c r="BJ316" s="36">
        <v>4</v>
      </c>
      <c r="BK316" s="36">
        <v>1300</v>
      </c>
      <c r="BL316" s="36" t="s">
        <v>214</v>
      </c>
      <c r="BM316" s="36"/>
      <c r="BN316" s="36"/>
    </row>
    <row r="317" spans="1:66" x14ac:dyDescent="0.35">
      <c r="A317" s="36"/>
      <c r="B317" s="36"/>
      <c r="C317" s="37">
        <v>244626</v>
      </c>
      <c r="D317" s="37">
        <v>244626</v>
      </c>
      <c r="E317" s="36"/>
      <c r="F317" s="36" t="s">
        <v>192</v>
      </c>
      <c r="G317" s="36" t="s">
        <v>1</v>
      </c>
      <c r="H317" s="36">
        <v>0</v>
      </c>
      <c r="I317" s="36" t="s">
        <v>193</v>
      </c>
      <c r="J317" s="36" t="s">
        <v>194</v>
      </c>
      <c r="K317" s="36" t="s">
        <v>195</v>
      </c>
      <c r="L317" s="36">
        <v>923</v>
      </c>
      <c r="M317" s="36"/>
      <c r="N317" s="36" t="s">
        <v>239</v>
      </c>
      <c r="O317" s="36" t="s">
        <v>240</v>
      </c>
      <c r="P317" s="36">
        <v>2</v>
      </c>
      <c r="Q317" s="36" t="s">
        <v>241</v>
      </c>
      <c r="R317" s="37">
        <v>244565</v>
      </c>
      <c r="S317" s="37">
        <v>244626</v>
      </c>
      <c r="T317" s="36" t="s">
        <v>640</v>
      </c>
      <c r="U317" s="36">
        <v>23111036</v>
      </c>
      <c r="V317" s="36" t="s">
        <v>96</v>
      </c>
      <c r="W317" s="36">
        <v>16</v>
      </c>
      <c r="X317" s="36">
        <v>8</v>
      </c>
      <c r="Y317" s="36">
        <v>16</v>
      </c>
      <c r="Z317" s="36">
        <v>8</v>
      </c>
      <c r="AA317" s="36">
        <v>0</v>
      </c>
      <c r="AB317" s="36">
        <v>0</v>
      </c>
      <c r="AC317" s="36">
        <v>0</v>
      </c>
      <c r="AD317" s="36">
        <v>0</v>
      </c>
      <c r="AE317" s="36">
        <v>16</v>
      </c>
      <c r="AF317" s="36">
        <v>8</v>
      </c>
      <c r="AG317" s="36"/>
      <c r="AH317" s="36"/>
      <c r="AI317" s="36" t="s">
        <v>200</v>
      </c>
      <c r="AJ317" s="36" t="s">
        <v>201</v>
      </c>
      <c r="AK317" s="36" t="s">
        <v>202</v>
      </c>
      <c r="AL317" s="36" t="s">
        <v>225</v>
      </c>
      <c r="AM317" s="36" t="s">
        <v>204</v>
      </c>
      <c r="AN317" s="36" t="s">
        <v>222</v>
      </c>
      <c r="AO317" s="36" t="s">
        <v>206</v>
      </c>
      <c r="AP317" s="36">
        <v>2</v>
      </c>
      <c r="AQ317" s="36"/>
      <c r="AR317" s="36"/>
      <c r="AS317" s="36"/>
      <c r="AT317" s="36" t="s">
        <v>223</v>
      </c>
      <c r="AU317" s="36" t="s">
        <v>641</v>
      </c>
      <c r="AV317" s="36" t="s">
        <v>216</v>
      </c>
      <c r="AW317" s="36" t="s">
        <v>209</v>
      </c>
      <c r="AX317" s="36" t="s">
        <v>210</v>
      </c>
      <c r="AY317" s="36">
        <v>0</v>
      </c>
      <c r="AZ317" s="36" t="s">
        <v>211</v>
      </c>
      <c r="BA317" s="36">
        <v>9045088758854</v>
      </c>
      <c r="BB317" s="36"/>
      <c r="BC317" s="36"/>
      <c r="BD317" s="36">
        <v>1</v>
      </c>
      <c r="BE317" s="36"/>
      <c r="BF317" s="36"/>
      <c r="BG317" s="36">
        <v>1333314600</v>
      </c>
      <c r="BH317" s="36" t="s">
        <v>213</v>
      </c>
      <c r="BI317" s="36">
        <v>16</v>
      </c>
      <c r="BJ317" s="36">
        <v>8</v>
      </c>
      <c r="BK317" s="36">
        <v>1300</v>
      </c>
      <c r="BL317" s="36" t="s">
        <v>214</v>
      </c>
      <c r="BM317" s="36"/>
      <c r="BN317" s="36"/>
    </row>
    <row r="318" spans="1:66" x14ac:dyDescent="0.35">
      <c r="A318" s="36"/>
      <c r="B318" s="36"/>
      <c r="C318" s="37">
        <v>244626</v>
      </c>
      <c r="D318" s="37">
        <v>244626</v>
      </c>
      <c r="E318" s="36"/>
      <c r="F318" s="36" t="s">
        <v>192</v>
      </c>
      <c r="G318" s="36" t="s">
        <v>1</v>
      </c>
      <c r="H318" s="36">
        <v>0</v>
      </c>
      <c r="I318" s="36" t="s">
        <v>193</v>
      </c>
      <c r="J318" s="36" t="s">
        <v>194</v>
      </c>
      <c r="K318" s="36" t="s">
        <v>195</v>
      </c>
      <c r="L318" s="36">
        <v>923</v>
      </c>
      <c r="M318" s="36"/>
      <c r="N318" s="36" t="s">
        <v>239</v>
      </c>
      <c r="O318" s="36" t="s">
        <v>240</v>
      </c>
      <c r="P318" s="36">
        <v>2</v>
      </c>
      <c r="Q318" s="36" t="s">
        <v>241</v>
      </c>
      <c r="R318" s="37">
        <v>244565</v>
      </c>
      <c r="S318" s="37">
        <v>244626</v>
      </c>
      <c r="T318" s="36" t="s">
        <v>640</v>
      </c>
      <c r="U318" s="36">
        <v>23110584</v>
      </c>
      <c r="V318" s="36" t="s">
        <v>86</v>
      </c>
      <c r="W318" s="36">
        <v>8</v>
      </c>
      <c r="X318" s="36">
        <v>8</v>
      </c>
      <c r="Y318" s="36">
        <v>8</v>
      </c>
      <c r="Z318" s="36">
        <v>8</v>
      </c>
      <c r="AA318" s="36">
        <v>0</v>
      </c>
      <c r="AB318" s="36">
        <v>0</v>
      </c>
      <c r="AC318" s="36">
        <v>0</v>
      </c>
      <c r="AD318" s="36">
        <v>0</v>
      </c>
      <c r="AE318" s="36">
        <v>8</v>
      </c>
      <c r="AF318" s="36">
        <v>8</v>
      </c>
      <c r="AG318" s="36"/>
      <c r="AH318" s="36"/>
      <c r="AI318" s="36" t="s">
        <v>200</v>
      </c>
      <c r="AJ318" s="36" t="s">
        <v>201</v>
      </c>
      <c r="AK318" s="36" t="s">
        <v>202</v>
      </c>
      <c r="AL318" s="36" t="s">
        <v>225</v>
      </c>
      <c r="AM318" s="36" t="s">
        <v>204</v>
      </c>
      <c r="AN318" s="36" t="s">
        <v>222</v>
      </c>
      <c r="AO318" s="36" t="s">
        <v>206</v>
      </c>
      <c r="AP318" s="36">
        <v>2</v>
      </c>
      <c r="AQ318" s="36"/>
      <c r="AR318" s="36"/>
      <c r="AS318" s="36"/>
      <c r="AT318" s="36" t="s">
        <v>223</v>
      </c>
      <c r="AU318" s="36" t="s">
        <v>641</v>
      </c>
      <c r="AV318" s="36" t="s">
        <v>216</v>
      </c>
      <c r="AW318" s="36" t="s">
        <v>209</v>
      </c>
      <c r="AX318" s="36" t="s">
        <v>210</v>
      </c>
      <c r="AY318" s="36">
        <v>0</v>
      </c>
      <c r="AZ318" s="36" t="s">
        <v>211</v>
      </c>
      <c r="BA318" s="36">
        <v>9045088758854</v>
      </c>
      <c r="BB318" s="36"/>
      <c r="BC318" s="36"/>
      <c r="BD318" s="36">
        <v>1</v>
      </c>
      <c r="BE318" s="36"/>
      <c r="BF318" s="36"/>
      <c r="BG318" s="36">
        <v>1333314600</v>
      </c>
      <c r="BH318" s="36" t="s">
        <v>213</v>
      </c>
      <c r="BI318" s="36">
        <v>8</v>
      </c>
      <c r="BJ318" s="36">
        <v>8</v>
      </c>
      <c r="BK318" s="36">
        <v>1300</v>
      </c>
      <c r="BL318" s="36" t="s">
        <v>214</v>
      </c>
      <c r="BM318" s="36"/>
      <c r="BN318" s="36"/>
    </row>
    <row r="319" spans="1:66" x14ac:dyDescent="0.35">
      <c r="A319" s="36"/>
      <c r="B319" s="36"/>
      <c r="C319" s="37">
        <v>244626</v>
      </c>
      <c r="D319" s="37">
        <v>244626</v>
      </c>
      <c r="E319" s="36"/>
      <c r="F319" s="36" t="s">
        <v>192</v>
      </c>
      <c r="G319" s="36" t="s">
        <v>1</v>
      </c>
      <c r="H319" s="36">
        <v>0</v>
      </c>
      <c r="I319" s="36" t="s">
        <v>193</v>
      </c>
      <c r="J319" s="36" t="s">
        <v>194</v>
      </c>
      <c r="K319" s="36" t="s">
        <v>195</v>
      </c>
      <c r="L319" s="36">
        <v>923</v>
      </c>
      <c r="M319" s="36"/>
      <c r="N319" s="36" t="s">
        <v>239</v>
      </c>
      <c r="O319" s="36" t="s">
        <v>240</v>
      </c>
      <c r="P319" s="36">
        <v>2</v>
      </c>
      <c r="Q319" s="36" t="s">
        <v>241</v>
      </c>
      <c r="R319" s="37">
        <v>244565</v>
      </c>
      <c r="S319" s="37">
        <v>244626</v>
      </c>
      <c r="T319" s="36" t="s">
        <v>640</v>
      </c>
      <c r="U319" s="36">
        <v>23110600</v>
      </c>
      <c r="V319" s="36" t="s">
        <v>91</v>
      </c>
      <c r="W319" s="36">
        <v>8</v>
      </c>
      <c r="X319" s="36">
        <v>8</v>
      </c>
      <c r="Y319" s="36">
        <v>8</v>
      </c>
      <c r="Z319" s="36">
        <v>8</v>
      </c>
      <c r="AA319" s="36">
        <v>0</v>
      </c>
      <c r="AB319" s="36">
        <v>0</v>
      </c>
      <c r="AC319" s="36">
        <v>0</v>
      </c>
      <c r="AD319" s="36">
        <v>0</v>
      </c>
      <c r="AE319" s="36">
        <v>8</v>
      </c>
      <c r="AF319" s="36">
        <v>8</v>
      </c>
      <c r="AG319" s="36"/>
      <c r="AH319" s="36"/>
      <c r="AI319" s="36" t="s">
        <v>200</v>
      </c>
      <c r="AJ319" s="36" t="s">
        <v>201</v>
      </c>
      <c r="AK319" s="36" t="s">
        <v>202</v>
      </c>
      <c r="AL319" s="36" t="s">
        <v>225</v>
      </c>
      <c r="AM319" s="36" t="s">
        <v>204</v>
      </c>
      <c r="AN319" s="36" t="s">
        <v>222</v>
      </c>
      <c r="AO319" s="36" t="s">
        <v>206</v>
      </c>
      <c r="AP319" s="36">
        <v>2</v>
      </c>
      <c r="AQ319" s="36"/>
      <c r="AR319" s="36"/>
      <c r="AS319" s="36"/>
      <c r="AT319" s="36" t="s">
        <v>223</v>
      </c>
      <c r="AU319" s="36" t="s">
        <v>641</v>
      </c>
      <c r="AV319" s="36" t="s">
        <v>216</v>
      </c>
      <c r="AW319" s="36" t="s">
        <v>209</v>
      </c>
      <c r="AX319" s="36" t="s">
        <v>210</v>
      </c>
      <c r="AY319" s="36">
        <v>0</v>
      </c>
      <c r="AZ319" s="36" t="s">
        <v>211</v>
      </c>
      <c r="BA319" s="36">
        <v>9045088758854</v>
      </c>
      <c r="BB319" s="36"/>
      <c r="BC319" s="36"/>
      <c r="BD319" s="36">
        <v>1</v>
      </c>
      <c r="BE319" s="36"/>
      <c r="BF319" s="36"/>
      <c r="BG319" s="36">
        <v>1333314600</v>
      </c>
      <c r="BH319" s="36" t="s">
        <v>213</v>
      </c>
      <c r="BI319" s="36">
        <v>8</v>
      </c>
      <c r="BJ319" s="36">
        <v>8</v>
      </c>
      <c r="BK319" s="36">
        <v>1300</v>
      </c>
      <c r="BL319" s="36" t="s">
        <v>214</v>
      </c>
      <c r="BM319" s="36"/>
      <c r="BN319" s="36"/>
    </row>
    <row r="320" spans="1:66" x14ac:dyDescent="0.35">
      <c r="A320" s="36"/>
      <c r="B320" s="36"/>
      <c r="C320" s="37">
        <v>244626</v>
      </c>
      <c r="D320" s="37">
        <v>244626</v>
      </c>
      <c r="E320" s="36"/>
      <c r="F320" s="36" t="s">
        <v>192</v>
      </c>
      <c r="G320" s="36" t="s">
        <v>1</v>
      </c>
      <c r="H320" s="36">
        <v>0</v>
      </c>
      <c r="I320" s="36" t="s">
        <v>193</v>
      </c>
      <c r="J320" s="36" t="s">
        <v>194</v>
      </c>
      <c r="K320" s="36" t="s">
        <v>195</v>
      </c>
      <c r="L320" s="36">
        <v>923</v>
      </c>
      <c r="M320" s="36"/>
      <c r="N320" s="36" t="s">
        <v>239</v>
      </c>
      <c r="O320" s="36" t="s">
        <v>240</v>
      </c>
      <c r="P320" s="36">
        <v>2</v>
      </c>
      <c r="Q320" s="36" t="s">
        <v>241</v>
      </c>
      <c r="R320" s="37">
        <v>244565</v>
      </c>
      <c r="S320" s="37">
        <v>244626</v>
      </c>
      <c r="T320" s="36" t="s">
        <v>640</v>
      </c>
      <c r="U320" s="36">
        <v>23110590</v>
      </c>
      <c r="V320" s="36" t="s">
        <v>88</v>
      </c>
      <c r="W320" s="36">
        <v>8</v>
      </c>
      <c r="X320" s="36">
        <v>8</v>
      </c>
      <c r="Y320" s="36">
        <v>8</v>
      </c>
      <c r="Z320" s="36">
        <v>8</v>
      </c>
      <c r="AA320" s="36">
        <v>0</v>
      </c>
      <c r="AB320" s="36">
        <v>0</v>
      </c>
      <c r="AC320" s="36">
        <v>0</v>
      </c>
      <c r="AD320" s="36">
        <v>0</v>
      </c>
      <c r="AE320" s="36">
        <v>8</v>
      </c>
      <c r="AF320" s="36">
        <v>8</v>
      </c>
      <c r="AG320" s="36"/>
      <c r="AH320" s="36"/>
      <c r="AI320" s="36" t="s">
        <v>200</v>
      </c>
      <c r="AJ320" s="36" t="s">
        <v>201</v>
      </c>
      <c r="AK320" s="36" t="s">
        <v>202</v>
      </c>
      <c r="AL320" s="36" t="s">
        <v>225</v>
      </c>
      <c r="AM320" s="36" t="s">
        <v>204</v>
      </c>
      <c r="AN320" s="36" t="s">
        <v>222</v>
      </c>
      <c r="AO320" s="36" t="s">
        <v>206</v>
      </c>
      <c r="AP320" s="36">
        <v>2</v>
      </c>
      <c r="AQ320" s="36"/>
      <c r="AR320" s="36"/>
      <c r="AS320" s="36"/>
      <c r="AT320" s="36" t="s">
        <v>223</v>
      </c>
      <c r="AU320" s="36" t="s">
        <v>641</v>
      </c>
      <c r="AV320" s="36" t="s">
        <v>216</v>
      </c>
      <c r="AW320" s="36" t="s">
        <v>209</v>
      </c>
      <c r="AX320" s="36" t="s">
        <v>210</v>
      </c>
      <c r="AY320" s="36">
        <v>0</v>
      </c>
      <c r="AZ320" s="36" t="s">
        <v>211</v>
      </c>
      <c r="BA320" s="36">
        <v>9045088758854</v>
      </c>
      <c r="BB320" s="36"/>
      <c r="BC320" s="36"/>
      <c r="BD320" s="36">
        <v>1</v>
      </c>
      <c r="BE320" s="36"/>
      <c r="BF320" s="36"/>
      <c r="BG320" s="36">
        <v>1333314600</v>
      </c>
      <c r="BH320" s="36" t="s">
        <v>213</v>
      </c>
      <c r="BI320" s="36">
        <v>8</v>
      </c>
      <c r="BJ320" s="36">
        <v>8</v>
      </c>
      <c r="BK320" s="36">
        <v>1300</v>
      </c>
      <c r="BL320" s="36" t="s">
        <v>214</v>
      </c>
      <c r="BM320" s="36"/>
      <c r="BN320" s="36"/>
    </row>
    <row r="321" spans="1:66" x14ac:dyDescent="0.35">
      <c r="A321" s="36"/>
      <c r="B321" s="36"/>
      <c r="C321" s="37">
        <v>244626</v>
      </c>
      <c r="D321" s="37">
        <v>244626</v>
      </c>
      <c r="E321" s="36"/>
      <c r="F321" s="36" t="s">
        <v>192</v>
      </c>
      <c r="G321" s="36" t="s">
        <v>1</v>
      </c>
      <c r="H321" s="36">
        <v>0</v>
      </c>
      <c r="I321" s="36" t="s">
        <v>193</v>
      </c>
      <c r="J321" s="36" t="s">
        <v>194</v>
      </c>
      <c r="K321" s="36" t="s">
        <v>195</v>
      </c>
      <c r="L321" s="36">
        <v>923</v>
      </c>
      <c r="M321" s="36"/>
      <c r="N321" s="36" t="s">
        <v>239</v>
      </c>
      <c r="O321" s="36" t="s">
        <v>240</v>
      </c>
      <c r="P321" s="36">
        <v>2</v>
      </c>
      <c r="Q321" s="36" t="s">
        <v>241</v>
      </c>
      <c r="R321" s="37">
        <v>244565</v>
      </c>
      <c r="S321" s="37">
        <v>244626</v>
      </c>
      <c r="T321" s="36" t="s">
        <v>640</v>
      </c>
      <c r="U321" s="36">
        <v>23110595</v>
      </c>
      <c r="V321" s="36" t="s">
        <v>90</v>
      </c>
      <c r="W321" s="36">
        <v>8</v>
      </c>
      <c r="X321" s="36">
        <v>8</v>
      </c>
      <c r="Y321" s="36">
        <v>8</v>
      </c>
      <c r="Z321" s="36">
        <v>8</v>
      </c>
      <c r="AA321" s="36">
        <v>0</v>
      </c>
      <c r="AB321" s="36">
        <v>0</v>
      </c>
      <c r="AC321" s="36">
        <v>0</v>
      </c>
      <c r="AD321" s="36">
        <v>0</v>
      </c>
      <c r="AE321" s="36">
        <v>8</v>
      </c>
      <c r="AF321" s="36">
        <v>8</v>
      </c>
      <c r="AG321" s="36"/>
      <c r="AH321" s="36"/>
      <c r="AI321" s="36" t="s">
        <v>200</v>
      </c>
      <c r="AJ321" s="36" t="s">
        <v>201</v>
      </c>
      <c r="AK321" s="36" t="s">
        <v>202</v>
      </c>
      <c r="AL321" s="36" t="s">
        <v>225</v>
      </c>
      <c r="AM321" s="36" t="s">
        <v>204</v>
      </c>
      <c r="AN321" s="36" t="s">
        <v>222</v>
      </c>
      <c r="AO321" s="36" t="s">
        <v>206</v>
      </c>
      <c r="AP321" s="36">
        <v>2</v>
      </c>
      <c r="AQ321" s="36"/>
      <c r="AR321" s="36"/>
      <c r="AS321" s="36"/>
      <c r="AT321" s="36" t="s">
        <v>223</v>
      </c>
      <c r="AU321" s="36" t="s">
        <v>641</v>
      </c>
      <c r="AV321" s="36" t="s">
        <v>216</v>
      </c>
      <c r="AW321" s="36" t="s">
        <v>209</v>
      </c>
      <c r="AX321" s="36" t="s">
        <v>210</v>
      </c>
      <c r="AY321" s="36">
        <v>0</v>
      </c>
      <c r="AZ321" s="36" t="s">
        <v>211</v>
      </c>
      <c r="BA321" s="36">
        <v>9045088758854</v>
      </c>
      <c r="BB321" s="36"/>
      <c r="BC321" s="36"/>
      <c r="BD321" s="36">
        <v>1</v>
      </c>
      <c r="BE321" s="36"/>
      <c r="BF321" s="36"/>
      <c r="BG321" s="36">
        <v>1333314600</v>
      </c>
      <c r="BH321" s="36" t="s">
        <v>213</v>
      </c>
      <c r="BI321" s="36">
        <v>8</v>
      </c>
      <c r="BJ321" s="36">
        <v>8</v>
      </c>
      <c r="BK321" s="36">
        <v>1300</v>
      </c>
      <c r="BL321" s="36" t="s">
        <v>214</v>
      </c>
      <c r="BM321" s="36"/>
      <c r="BN321" s="36"/>
    </row>
    <row r="322" spans="1:66" x14ac:dyDescent="0.35">
      <c r="A322" s="36"/>
      <c r="B322" s="36"/>
      <c r="C322" s="37">
        <v>244626</v>
      </c>
      <c r="D322" s="37">
        <v>244626</v>
      </c>
      <c r="E322" s="36"/>
      <c r="F322" s="36" t="s">
        <v>192</v>
      </c>
      <c r="G322" s="36" t="s">
        <v>1</v>
      </c>
      <c r="H322" s="36">
        <v>0</v>
      </c>
      <c r="I322" s="36" t="s">
        <v>193</v>
      </c>
      <c r="J322" s="36" t="s">
        <v>194</v>
      </c>
      <c r="K322" s="36" t="s">
        <v>195</v>
      </c>
      <c r="L322" s="36">
        <v>923</v>
      </c>
      <c r="M322" s="36"/>
      <c r="N322" s="36" t="s">
        <v>239</v>
      </c>
      <c r="O322" s="36" t="s">
        <v>240</v>
      </c>
      <c r="P322" s="36">
        <v>2</v>
      </c>
      <c r="Q322" s="36" t="s">
        <v>241</v>
      </c>
      <c r="R322" s="37">
        <v>244565</v>
      </c>
      <c r="S322" s="37">
        <v>244626</v>
      </c>
      <c r="T322" s="36" t="s">
        <v>640</v>
      </c>
      <c r="U322" s="36">
        <v>23111033</v>
      </c>
      <c r="V322" s="36" t="s">
        <v>93</v>
      </c>
      <c r="W322" s="36">
        <v>16</v>
      </c>
      <c r="X322" s="36">
        <v>8</v>
      </c>
      <c r="Y322" s="36">
        <v>16</v>
      </c>
      <c r="Z322" s="36">
        <v>8</v>
      </c>
      <c r="AA322" s="36">
        <v>0</v>
      </c>
      <c r="AB322" s="36">
        <v>0</v>
      </c>
      <c r="AC322" s="36">
        <v>0</v>
      </c>
      <c r="AD322" s="36">
        <v>0</v>
      </c>
      <c r="AE322" s="36">
        <v>16</v>
      </c>
      <c r="AF322" s="36">
        <v>8</v>
      </c>
      <c r="AG322" s="36"/>
      <c r="AH322" s="36"/>
      <c r="AI322" s="36" t="s">
        <v>200</v>
      </c>
      <c r="AJ322" s="36" t="s">
        <v>201</v>
      </c>
      <c r="AK322" s="36" t="s">
        <v>202</v>
      </c>
      <c r="AL322" s="36" t="s">
        <v>225</v>
      </c>
      <c r="AM322" s="36" t="s">
        <v>204</v>
      </c>
      <c r="AN322" s="36" t="s">
        <v>222</v>
      </c>
      <c r="AO322" s="36" t="s">
        <v>206</v>
      </c>
      <c r="AP322" s="36">
        <v>2</v>
      </c>
      <c r="AQ322" s="36"/>
      <c r="AR322" s="36"/>
      <c r="AS322" s="36"/>
      <c r="AT322" s="36" t="s">
        <v>223</v>
      </c>
      <c r="AU322" s="36" t="s">
        <v>641</v>
      </c>
      <c r="AV322" s="36" t="s">
        <v>216</v>
      </c>
      <c r="AW322" s="36" t="s">
        <v>209</v>
      </c>
      <c r="AX322" s="36" t="s">
        <v>210</v>
      </c>
      <c r="AY322" s="36">
        <v>0</v>
      </c>
      <c r="AZ322" s="36" t="s">
        <v>211</v>
      </c>
      <c r="BA322" s="36">
        <v>9045088758854</v>
      </c>
      <c r="BB322" s="36"/>
      <c r="BC322" s="36"/>
      <c r="BD322" s="36">
        <v>1</v>
      </c>
      <c r="BE322" s="36"/>
      <c r="BF322" s="36"/>
      <c r="BG322" s="36">
        <v>1333314600</v>
      </c>
      <c r="BH322" s="36" t="s">
        <v>213</v>
      </c>
      <c r="BI322" s="36">
        <v>16</v>
      </c>
      <c r="BJ322" s="36">
        <v>8</v>
      </c>
      <c r="BK322" s="36">
        <v>1300</v>
      </c>
      <c r="BL322" s="36" t="s">
        <v>214</v>
      </c>
      <c r="BM322" s="36"/>
      <c r="BN322" s="36"/>
    </row>
    <row r="323" spans="1:66" x14ac:dyDescent="0.35">
      <c r="A323" s="36"/>
      <c r="B323" s="36"/>
      <c r="C323" s="37">
        <v>244626</v>
      </c>
      <c r="D323" s="37">
        <v>244626</v>
      </c>
      <c r="E323" s="36"/>
      <c r="F323" s="36" t="s">
        <v>192</v>
      </c>
      <c r="G323" s="36" t="s">
        <v>1</v>
      </c>
      <c r="H323" s="36">
        <v>0</v>
      </c>
      <c r="I323" s="36" t="s">
        <v>193</v>
      </c>
      <c r="J323" s="36" t="s">
        <v>194</v>
      </c>
      <c r="K323" s="36" t="s">
        <v>195</v>
      </c>
      <c r="L323" s="36">
        <v>923</v>
      </c>
      <c r="M323" s="36"/>
      <c r="N323" s="36" t="s">
        <v>239</v>
      </c>
      <c r="O323" s="36" t="s">
        <v>240</v>
      </c>
      <c r="P323" s="36">
        <v>2</v>
      </c>
      <c r="Q323" s="36" t="s">
        <v>241</v>
      </c>
      <c r="R323" s="37">
        <v>244565</v>
      </c>
      <c r="S323" s="37">
        <v>244626</v>
      </c>
      <c r="T323" s="36" t="s">
        <v>640</v>
      </c>
      <c r="U323" s="36">
        <v>23111035</v>
      </c>
      <c r="V323" s="36" t="s">
        <v>95</v>
      </c>
      <c r="W323" s="36">
        <v>8</v>
      </c>
      <c r="X323" s="36">
        <v>4</v>
      </c>
      <c r="Y323" s="36">
        <v>8</v>
      </c>
      <c r="Z323" s="36">
        <v>4</v>
      </c>
      <c r="AA323" s="36">
        <v>0</v>
      </c>
      <c r="AB323" s="36">
        <v>0</v>
      </c>
      <c r="AC323" s="36">
        <v>0</v>
      </c>
      <c r="AD323" s="36">
        <v>0</v>
      </c>
      <c r="AE323" s="36">
        <v>8</v>
      </c>
      <c r="AF323" s="36">
        <v>4</v>
      </c>
      <c r="AG323" s="36"/>
      <c r="AH323" s="36"/>
      <c r="AI323" s="36" t="s">
        <v>200</v>
      </c>
      <c r="AJ323" s="36" t="s">
        <v>201</v>
      </c>
      <c r="AK323" s="36" t="s">
        <v>202</v>
      </c>
      <c r="AL323" s="36" t="s">
        <v>225</v>
      </c>
      <c r="AM323" s="36" t="s">
        <v>204</v>
      </c>
      <c r="AN323" s="36" t="s">
        <v>222</v>
      </c>
      <c r="AO323" s="36" t="s">
        <v>206</v>
      </c>
      <c r="AP323" s="36">
        <v>2</v>
      </c>
      <c r="AQ323" s="36"/>
      <c r="AR323" s="36"/>
      <c r="AS323" s="36"/>
      <c r="AT323" s="36" t="s">
        <v>223</v>
      </c>
      <c r="AU323" s="36" t="s">
        <v>641</v>
      </c>
      <c r="AV323" s="36" t="s">
        <v>216</v>
      </c>
      <c r="AW323" s="36" t="s">
        <v>209</v>
      </c>
      <c r="AX323" s="36" t="s">
        <v>210</v>
      </c>
      <c r="AY323" s="36">
        <v>0</v>
      </c>
      <c r="AZ323" s="36" t="s">
        <v>211</v>
      </c>
      <c r="BA323" s="36">
        <v>9045088758854</v>
      </c>
      <c r="BB323" s="36"/>
      <c r="BC323" s="36"/>
      <c r="BD323" s="36">
        <v>1</v>
      </c>
      <c r="BE323" s="36"/>
      <c r="BF323" s="36"/>
      <c r="BG323" s="36">
        <v>1333314600</v>
      </c>
      <c r="BH323" s="36" t="s">
        <v>213</v>
      </c>
      <c r="BI323" s="36">
        <v>8</v>
      </c>
      <c r="BJ323" s="36">
        <v>4</v>
      </c>
      <c r="BK323" s="36">
        <v>1300</v>
      </c>
      <c r="BL323" s="36" t="s">
        <v>214</v>
      </c>
      <c r="BM323" s="36"/>
      <c r="BN323" s="36"/>
    </row>
    <row r="324" spans="1:66" x14ac:dyDescent="0.35">
      <c r="A324" s="36"/>
      <c r="B324" s="36"/>
      <c r="C324" s="37">
        <v>244626</v>
      </c>
      <c r="D324" s="37">
        <v>244626</v>
      </c>
      <c r="E324" s="36"/>
      <c r="F324" s="36" t="s">
        <v>192</v>
      </c>
      <c r="G324" s="36" t="s">
        <v>1</v>
      </c>
      <c r="H324" s="36">
        <v>0</v>
      </c>
      <c r="I324" s="36" t="s">
        <v>193</v>
      </c>
      <c r="J324" s="36" t="s">
        <v>194</v>
      </c>
      <c r="K324" s="36" t="s">
        <v>195</v>
      </c>
      <c r="L324" s="36">
        <v>923</v>
      </c>
      <c r="M324" s="36"/>
      <c r="N324" s="36" t="s">
        <v>239</v>
      </c>
      <c r="O324" s="36" t="s">
        <v>240</v>
      </c>
      <c r="P324" s="36">
        <v>2</v>
      </c>
      <c r="Q324" s="36" t="s">
        <v>241</v>
      </c>
      <c r="R324" s="37">
        <v>244565</v>
      </c>
      <c r="S324" s="37">
        <v>244626</v>
      </c>
      <c r="T324" s="36" t="s">
        <v>640</v>
      </c>
      <c r="U324" s="36">
        <v>23110587</v>
      </c>
      <c r="V324" s="36" t="s">
        <v>87</v>
      </c>
      <c r="W324" s="36">
        <v>8</v>
      </c>
      <c r="X324" s="36">
        <v>8</v>
      </c>
      <c r="Y324" s="36">
        <v>8</v>
      </c>
      <c r="Z324" s="36">
        <v>8</v>
      </c>
      <c r="AA324" s="36">
        <v>0</v>
      </c>
      <c r="AB324" s="36">
        <v>0</v>
      </c>
      <c r="AC324" s="36">
        <v>0</v>
      </c>
      <c r="AD324" s="36">
        <v>0</v>
      </c>
      <c r="AE324" s="36">
        <v>8</v>
      </c>
      <c r="AF324" s="36">
        <v>8</v>
      </c>
      <c r="AG324" s="36"/>
      <c r="AH324" s="36"/>
      <c r="AI324" s="36" t="s">
        <v>200</v>
      </c>
      <c r="AJ324" s="36" t="s">
        <v>201</v>
      </c>
      <c r="AK324" s="36" t="s">
        <v>202</v>
      </c>
      <c r="AL324" s="36" t="s">
        <v>225</v>
      </c>
      <c r="AM324" s="36" t="s">
        <v>204</v>
      </c>
      <c r="AN324" s="36" t="s">
        <v>222</v>
      </c>
      <c r="AO324" s="36" t="s">
        <v>206</v>
      </c>
      <c r="AP324" s="36">
        <v>2</v>
      </c>
      <c r="AQ324" s="36"/>
      <c r="AR324" s="36"/>
      <c r="AS324" s="36"/>
      <c r="AT324" s="36" t="s">
        <v>223</v>
      </c>
      <c r="AU324" s="36" t="s">
        <v>641</v>
      </c>
      <c r="AV324" s="36" t="s">
        <v>216</v>
      </c>
      <c r="AW324" s="36" t="s">
        <v>209</v>
      </c>
      <c r="AX324" s="36" t="s">
        <v>210</v>
      </c>
      <c r="AY324" s="36">
        <v>0</v>
      </c>
      <c r="AZ324" s="36" t="s">
        <v>211</v>
      </c>
      <c r="BA324" s="36">
        <v>9045088758854</v>
      </c>
      <c r="BB324" s="36"/>
      <c r="BC324" s="36"/>
      <c r="BD324" s="36">
        <v>1</v>
      </c>
      <c r="BE324" s="36"/>
      <c r="BF324" s="36"/>
      <c r="BG324" s="36">
        <v>1333314600</v>
      </c>
      <c r="BH324" s="36" t="s">
        <v>213</v>
      </c>
      <c r="BI324" s="36">
        <v>8</v>
      </c>
      <c r="BJ324" s="36">
        <v>8</v>
      </c>
      <c r="BK324" s="36">
        <v>1300</v>
      </c>
      <c r="BL324" s="36" t="s">
        <v>214</v>
      </c>
      <c r="BM324" s="36"/>
      <c r="BN324" s="36"/>
    </row>
    <row r="325" spans="1:66" x14ac:dyDescent="0.35">
      <c r="C325" s="1"/>
      <c r="D325" s="1"/>
      <c r="R325" s="1"/>
      <c r="S325" s="1"/>
      <c r="X325" s="13"/>
    </row>
    <row r="326" spans="1:66" x14ac:dyDescent="0.35">
      <c r="C326" s="1"/>
      <c r="D326" s="1"/>
      <c r="R326" s="1"/>
      <c r="S326" s="1"/>
      <c r="X326" s="13"/>
    </row>
    <row r="327" spans="1:66" x14ac:dyDescent="0.35">
      <c r="C327" s="1"/>
      <c r="D327" s="1"/>
      <c r="R327" s="1"/>
      <c r="S327" s="1"/>
      <c r="X327" s="13"/>
    </row>
    <row r="328" spans="1:66" x14ac:dyDescent="0.35">
      <c r="C328" s="1"/>
      <c r="D328" s="1"/>
      <c r="R328" s="1"/>
      <c r="S328" s="1"/>
      <c r="X328" s="13"/>
    </row>
    <row r="329" spans="1:66" x14ac:dyDescent="0.35">
      <c r="C329" s="1"/>
      <c r="D329" s="1"/>
      <c r="R329" s="1"/>
      <c r="S329" s="1"/>
      <c r="X329" s="13"/>
    </row>
    <row r="330" spans="1:66" x14ac:dyDescent="0.35">
      <c r="C330" s="1"/>
      <c r="D330" s="1"/>
      <c r="R330" s="1"/>
      <c r="S330" s="1"/>
      <c r="X330" s="13"/>
    </row>
    <row r="331" spans="1:66" x14ac:dyDescent="0.35">
      <c r="C331" s="1"/>
      <c r="D331" s="1"/>
      <c r="R331" s="1"/>
      <c r="S331" s="1"/>
      <c r="X331" s="13"/>
    </row>
    <row r="332" spans="1:66" x14ac:dyDescent="0.35">
      <c r="C332" s="1"/>
      <c r="D332" s="1"/>
      <c r="R332" s="1"/>
      <c r="S332" s="1"/>
      <c r="X332" s="13"/>
    </row>
    <row r="333" spans="1:66" x14ac:dyDescent="0.35">
      <c r="C333" s="1"/>
      <c r="D333" s="1"/>
      <c r="R333" s="1"/>
      <c r="S333" s="1"/>
      <c r="X333" s="13"/>
    </row>
    <row r="334" spans="1:66" x14ac:dyDescent="0.35">
      <c r="C334" s="1"/>
      <c r="D334" s="1"/>
      <c r="R334" s="1"/>
      <c r="S334" s="1"/>
      <c r="X334" s="13"/>
    </row>
    <row r="335" spans="1:66" x14ac:dyDescent="0.35">
      <c r="C335" s="1"/>
      <c r="D335" s="1"/>
      <c r="R335" s="1"/>
      <c r="S335" s="1"/>
      <c r="X335" s="13"/>
    </row>
    <row r="336" spans="1:66" x14ac:dyDescent="0.35">
      <c r="C336" s="1"/>
      <c r="D336" s="1"/>
      <c r="R336" s="1"/>
      <c r="S336" s="1"/>
      <c r="X336" s="13"/>
    </row>
    <row r="337" spans="3:24" x14ac:dyDescent="0.35">
      <c r="C337" s="1"/>
      <c r="D337" s="1"/>
      <c r="R337" s="1"/>
      <c r="S337" s="1"/>
      <c r="X337" s="13"/>
    </row>
    <row r="338" spans="3:24" x14ac:dyDescent="0.35">
      <c r="C338" s="1"/>
      <c r="D338" s="1"/>
      <c r="R338" s="1"/>
      <c r="S338" s="1"/>
      <c r="X338" s="13"/>
    </row>
    <row r="339" spans="3:24" x14ac:dyDescent="0.35">
      <c r="C339" s="1"/>
      <c r="D339" s="1"/>
      <c r="R339" s="1"/>
      <c r="S339" s="1"/>
      <c r="X339" s="13"/>
    </row>
    <row r="340" spans="3:24" x14ac:dyDescent="0.35">
      <c r="C340" s="1"/>
      <c r="D340" s="1"/>
      <c r="R340" s="1"/>
      <c r="S340" s="1"/>
      <c r="X340" s="13"/>
    </row>
    <row r="341" spans="3:24" x14ac:dyDescent="0.35">
      <c r="C341" s="1"/>
      <c r="D341" s="1"/>
      <c r="R341" s="1"/>
      <c r="S341" s="1"/>
      <c r="X341" s="13"/>
    </row>
    <row r="342" spans="3:24" x14ac:dyDescent="0.35">
      <c r="C342" s="1"/>
      <c r="D342" s="1"/>
      <c r="R342" s="1"/>
      <c r="S342" s="1"/>
      <c r="X342" s="13"/>
    </row>
    <row r="343" spans="3:24" x14ac:dyDescent="0.35">
      <c r="C343" s="1"/>
      <c r="D343" s="1"/>
      <c r="R343" s="1"/>
      <c r="S343" s="1"/>
      <c r="X343" s="13"/>
    </row>
    <row r="344" spans="3:24" x14ac:dyDescent="0.35">
      <c r="C344" s="1"/>
      <c r="D344" s="1"/>
      <c r="R344" s="1"/>
      <c r="S344" s="1"/>
      <c r="X344" s="13"/>
    </row>
    <row r="345" spans="3:24" x14ac:dyDescent="0.35">
      <c r="C345" s="1"/>
      <c r="D345" s="1"/>
      <c r="R345" s="1"/>
      <c r="S345" s="1"/>
      <c r="X345" s="13"/>
    </row>
    <row r="346" spans="3:24" x14ac:dyDescent="0.35">
      <c r="C346" s="1"/>
      <c r="D346" s="1"/>
      <c r="R346" s="1"/>
      <c r="S346" s="1"/>
      <c r="X346" s="13"/>
    </row>
    <row r="347" spans="3:24" x14ac:dyDescent="0.35">
      <c r="C347" s="1"/>
      <c r="D347" s="1"/>
      <c r="R347" s="1"/>
      <c r="S347" s="1"/>
      <c r="X347" s="13"/>
    </row>
    <row r="348" spans="3:24" x14ac:dyDescent="0.35">
      <c r="C348" s="1"/>
      <c r="D348" s="1"/>
      <c r="R348" s="1"/>
      <c r="S348" s="1"/>
      <c r="X348" s="13"/>
    </row>
    <row r="349" spans="3:24" x14ac:dyDescent="0.35">
      <c r="C349" s="1"/>
      <c r="D349" s="1"/>
      <c r="R349" s="1"/>
      <c r="S349" s="1"/>
      <c r="X349" s="13"/>
    </row>
    <row r="350" spans="3:24" x14ac:dyDescent="0.35">
      <c r="C350" s="1"/>
      <c r="D350" s="1"/>
      <c r="R350" s="1"/>
      <c r="S350" s="1"/>
      <c r="X350" s="13"/>
    </row>
    <row r="351" spans="3:24" x14ac:dyDescent="0.35">
      <c r="C351" s="1"/>
      <c r="D351" s="1"/>
      <c r="R351" s="1"/>
      <c r="S351" s="1"/>
      <c r="X351" s="13"/>
    </row>
    <row r="352" spans="3:24" x14ac:dyDescent="0.35">
      <c r="C352" s="1"/>
      <c r="D352" s="1"/>
      <c r="R352" s="1"/>
      <c r="S352" s="1"/>
      <c r="X352" s="13"/>
    </row>
    <row r="353" spans="3:24" x14ac:dyDescent="0.35">
      <c r="C353" s="1"/>
      <c r="D353" s="1"/>
      <c r="R353" s="1"/>
      <c r="S353" s="1"/>
      <c r="X353" s="13"/>
    </row>
    <row r="354" spans="3:24" x14ac:dyDescent="0.35">
      <c r="C354" s="1"/>
      <c r="D354" s="1"/>
      <c r="R354" s="1"/>
      <c r="S354" s="1"/>
      <c r="X354" s="13"/>
    </row>
    <row r="355" spans="3:24" x14ac:dyDescent="0.35">
      <c r="C355" s="1"/>
      <c r="D355" s="1"/>
      <c r="R355" s="1"/>
      <c r="S355" s="1"/>
      <c r="X355" s="13"/>
    </row>
    <row r="356" spans="3:24" x14ac:dyDescent="0.35">
      <c r="C356" s="1"/>
      <c r="D356" s="1"/>
      <c r="R356" s="1"/>
      <c r="S356" s="1"/>
      <c r="X356" s="13"/>
    </row>
    <row r="357" spans="3:24" x14ac:dyDescent="0.35">
      <c r="C357" s="1"/>
      <c r="D357" s="1"/>
      <c r="R357" s="1"/>
      <c r="S357" s="1"/>
      <c r="X357" s="13"/>
    </row>
    <row r="358" spans="3:24" x14ac:dyDescent="0.35">
      <c r="C358" s="1"/>
      <c r="D358" s="1"/>
      <c r="R358" s="1"/>
      <c r="S358" s="1"/>
      <c r="X358" s="13"/>
    </row>
    <row r="359" spans="3:24" x14ac:dyDescent="0.35">
      <c r="C359" s="1"/>
      <c r="D359" s="1"/>
      <c r="R359" s="1"/>
      <c r="S359" s="1"/>
      <c r="X359" s="13"/>
    </row>
    <row r="360" spans="3:24" x14ac:dyDescent="0.35">
      <c r="C360" s="1"/>
      <c r="D360" s="1"/>
      <c r="R360" s="1"/>
      <c r="S360" s="1"/>
      <c r="X360" s="13"/>
    </row>
    <row r="361" spans="3:24" x14ac:dyDescent="0.35">
      <c r="C361" s="1"/>
      <c r="D361" s="1"/>
      <c r="R361" s="1"/>
      <c r="S361" s="1"/>
      <c r="X361" s="13"/>
    </row>
    <row r="362" spans="3:24" x14ac:dyDescent="0.35">
      <c r="C362" s="1"/>
      <c r="D362" s="1"/>
      <c r="R362" s="1"/>
      <c r="S362" s="1"/>
      <c r="X362" s="13"/>
    </row>
    <row r="363" spans="3:24" x14ac:dyDescent="0.35">
      <c r="C363" s="1"/>
      <c r="D363" s="1"/>
      <c r="R363" s="1"/>
      <c r="S363" s="1"/>
      <c r="X363" s="13"/>
    </row>
    <row r="364" spans="3:24" x14ac:dyDescent="0.35">
      <c r="C364" s="1"/>
      <c r="D364" s="1"/>
      <c r="R364" s="1"/>
      <c r="S364" s="1"/>
      <c r="X364" s="13"/>
    </row>
    <row r="365" spans="3:24" x14ac:dyDescent="0.35">
      <c r="C365" s="1"/>
      <c r="D365" s="1"/>
      <c r="R365" s="1"/>
      <c r="S365" s="1"/>
      <c r="X365" s="13"/>
    </row>
    <row r="366" spans="3:24" x14ac:dyDescent="0.35">
      <c r="C366" s="1"/>
      <c r="D366" s="1"/>
      <c r="R366" s="1"/>
      <c r="S366" s="1"/>
      <c r="X366" s="13"/>
    </row>
    <row r="367" spans="3:24" x14ac:dyDescent="0.35">
      <c r="C367" s="1"/>
      <c r="D367" s="1"/>
      <c r="R367" s="1"/>
      <c r="S367" s="1"/>
      <c r="X367" s="13"/>
    </row>
    <row r="368" spans="3:24" x14ac:dyDescent="0.35">
      <c r="C368" s="1"/>
      <c r="D368" s="1"/>
      <c r="R368" s="1"/>
      <c r="S368" s="1"/>
      <c r="X368" s="13"/>
    </row>
    <row r="369" spans="3:24" x14ac:dyDescent="0.35">
      <c r="C369" s="1"/>
      <c r="D369" s="1"/>
      <c r="R369" s="1"/>
      <c r="S369" s="1"/>
      <c r="X369" s="13"/>
    </row>
    <row r="370" spans="3:24" x14ac:dyDescent="0.35">
      <c r="C370" s="1"/>
      <c r="D370" s="1"/>
      <c r="R370" s="1"/>
      <c r="S370" s="1"/>
      <c r="X370" s="13"/>
    </row>
    <row r="371" spans="3:24" x14ac:dyDescent="0.35">
      <c r="C371" s="1"/>
      <c r="D371" s="1"/>
      <c r="R371" s="1"/>
      <c r="S371" s="1"/>
      <c r="X371" s="13"/>
    </row>
    <row r="372" spans="3:24" x14ac:dyDescent="0.35">
      <c r="C372" s="1"/>
      <c r="D372" s="1"/>
      <c r="R372" s="1"/>
      <c r="S372" s="1"/>
      <c r="X372" s="13"/>
    </row>
    <row r="373" spans="3:24" x14ac:dyDescent="0.35">
      <c r="C373" s="1"/>
      <c r="D373" s="1"/>
      <c r="R373" s="1"/>
      <c r="S373" s="1"/>
      <c r="X373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EE43-321B-4E80-9EFC-85E7030AA0D5}">
  <sheetPr>
    <tabColor theme="9" tint="0.79998168889431442"/>
  </sheetPr>
  <dimension ref="A1:J700"/>
  <sheetViews>
    <sheetView workbookViewId="0">
      <selection activeCell="E7" sqref="E7"/>
    </sheetView>
  </sheetViews>
  <sheetFormatPr defaultRowHeight="14.5" x14ac:dyDescent="0.35"/>
  <cols>
    <col min="1" max="1" width="17.54296875" bestFit="1" customWidth="1"/>
    <col min="2" max="2" width="38.1796875" bestFit="1" customWidth="1"/>
    <col min="3" max="3" width="17" bestFit="1" customWidth="1"/>
    <col min="5" max="5" width="38.1796875" bestFit="1" customWidth="1"/>
    <col min="6" max="6" width="11.453125" style="11" bestFit="1" customWidth="1"/>
    <col min="7" max="7" width="1.26953125" style="24" customWidth="1"/>
    <col min="8" max="8" width="38.1796875" style="3" bestFit="1" customWidth="1"/>
    <col min="9" max="10" width="12.453125" style="39" customWidth="1"/>
  </cols>
  <sheetData>
    <row r="1" spans="1:10" x14ac:dyDescent="0.35">
      <c r="A1" s="2" t="s">
        <v>0</v>
      </c>
      <c r="B1" t="s">
        <v>1</v>
      </c>
    </row>
    <row r="2" spans="1:10" x14ac:dyDescent="0.35">
      <c r="A2" s="2" t="s">
        <v>2</v>
      </c>
      <c r="B2" s="3">
        <v>923</v>
      </c>
    </row>
    <row r="3" spans="1:10" x14ac:dyDescent="0.35">
      <c r="A3" s="2" t="s">
        <v>7</v>
      </c>
      <c r="B3" s="38">
        <v>244626</v>
      </c>
    </row>
    <row r="4" spans="1:10" x14ac:dyDescent="0.35">
      <c r="A4" s="2" t="s">
        <v>5</v>
      </c>
      <c r="B4" t="s">
        <v>4</v>
      </c>
    </row>
    <row r="6" spans="1:10" x14ac:dyDescent="0.35">
      <c r="A6" s="2" t="s">
        <v>12</v>
      </c>
      <c r="B6" s="2" t="s">
        <v>13</v>
      </c>
      <c r="C6" t="s">
        <v>11</v>
      </c>
      <c r="E6" s="43" t="s">
        <v>271</v>
      </c>
      <c r="F6" s="44" t="s">
        <v>642</v>
      </c>
      <c r="H6" s="42" t="s">
        <v>271</v>
      </c>
      <c r="I6" s="40" t="s">
        <v>643</v>
      </c>
      <c r="J6" s="41" t="s">
        <v>642</v>
      </c>
    </row>
    <row r="7" spans="1:10" x14ac:dyDescent="0.35">
      <c r="A7">
        <v>23000130</v>
      </c>
      <c r="B7" t="s">
        <v>427</v>
      </c>
      <c r="C7">
        <v>0</v>
      </c>
      <c r="E7" t="str" cm="1">
        <f t="array" ref="E7:F700">_xlfn._xlws.SORT(B7:C700,1,1)</f>
        <v>เครื่องในหมูรวมหั่นชิ้น (M)</v>
      </c>
      <c r="F7" s="11">
        <v>110</v>
      </c>
      <c r="H7" s="3" t="str" cm="1">
        <f t="array" ref="H7:H125">_xlfn._xlws.SORT(_xlfn.UNIQUE('แผน Makro 100%'!C10:C1190),1,1)</f>
        <v>เครื่องในหมูรวม แพ็คถาด 500 กรัม</v>
      </c>
      <c r="I7" s="39">
        <f>_xlfn.XLOOKUP(E7,'แผน Makro 100%'!C:C,'แผน Makro 100%'!L:L,0)</f>
        <v>0</v>
      </c>
      <c r="J7" s="39" t="str">
        <f t="shared" ref="J7:J38" si="0">_xlfn.XLOOKUP(H7,E:E,F:F,"ไม่พบ")</f>
        <v>ไม่พบ</v>
      </c>
    </row>
    <row r="8" spans="1:10" x14ac:dyDescent="0.35">
      <c r="A8">
        <v>23000206</v>
      </c>
      <c r="B8" t="s">
        <v>15</v>
      </c>
      <c r="C8">
        <v>70</v>
      </c>
      <c r="E8" t="str">
        <v>เซพแพ็ค สะโพกหมู กก.ละ</v>
      </c>
      <c r="F8" s="11">
        <v>290</v>
      </c>
      <c r="H8" s="3" t="str">
        <v>เครื่องในหมูรวมหั่นชิ้น (M)</v>
      </c>
      <c r="I8" s="39">
        <f>_xlfn.XLOOKUP(E8,'แผน Makro 100%'!C:C,'แผน Makro 100%'!L:L,0)</f>
        <v>0</v>
      </c>
      <c r="J8" s="39">
        <f t="shared" si="0"/>
        <v>110</v>
      </c>
    </row>
    <row r="9" spans="1:10" x14ac:dyDescent="0.35">
      <c r="A9">
        <v>23015198</v>
      </c>
      <c r="B9" t="s">
        <v>119</v>
      </c>
      <c r="C9">
        <v>32</v>
      </c>
      <c r="E9" t="str">
        <v>เซพแพ็ค สันคอหมู กก.ละ</v>
      </c>
      <c r="F9" s="11">
        <v>60</v>
      </c>
      <c r="H9" s="3" t="str">
        <v>เซพแพ็ค สะโพกหมู กก.ละ</v>
      </c>
      <c r="I9" s="39">
        <f>_xlfn.XLOOKUP(E9,'แผน Makro 100%'!C:C,'แผน Makro 100%'!L:L,0)</f>
        <v>0</v>
      </c>
      <c r="J9" s="39">
        <f t="shared" si="0"/>
        <v>290</v>
      </c>
    </row>
    <row r="10" spans="1:10" x14ac:dyDescent="0.35">
      <c r="A10">
        <v>23015265</v>
      </c>
      <c r="B10" t="s">
        <v>16</v>
      </c>
      <c r="C10">
        <v>480</v>
      </c>
      <c r="E10" t="str">
        <v>เซพแพ็ค สันนอกหมู กก. ละ</v>
      </c>
      <c r="F10" s="11">
        <v>140</v>
      </c>
      <c r="H10" s="3" t="str">
        <v>เซพแพ็ค สันนอกหมู กก. ละ</v>
      </c>
      <c r="I10" s="39">
        <f>_xlfn.XLOOKUP(E10,'แผน Makro 100%'!C:C,'แผน Makro 100%'!L:L,0)</f>
        <v>0</v>
      </c>
      <c r="J10" s="39">
        <f t="shared" si="0"/>
        <v>140</v>
      </c>
    </row>
    <row r="11" spans="1:10" x14ac:dyDescent="0.35">
      <c r="A11">
        <v>23015268</v>
      </c>
      <c r="B11" t="s">
        <v>359</v>
      </c>
      <c r="C11">
        <v>0</v>
      </c>
      <c r="E11" t="str">
        <v>เซพแพ็ค สามชั้นหมู กก.ละ</v>
      </c>
      <c r="F11" s="11">
        <v>460</v>
      </c>
      <c r="H11" s="3" t="str">
        <v>เซพแพ็ค สามชั้นหมู กก.ละ</v>
      </c>
      <c r="I11" s="39">
        <f>_xlfn.XLOOKUP(E11,'แผน Makro 100%'!C:C,'แผน Makro 100%'!L:L,0)</f>
        <v>0</v>
      </c>
      <c r="J11" s="39">
        <f t="shared" si="0"/>
        <v>460</v>
      </c>
    </row>
    <row r="12" spans="1:10" x14ac:dyDescent="0.35">
      <c r="A12">
        <v>23025320</v>
      </c>
      <c r="B12" t="s">
        <v>353</v>
      </c>
      <c r="C12">
        <v>0</v>
      </c>
      <c r="E12" t="str">
        <v>เซพแพ็ค หัวไหล่หมู กก.ละ</v>
      </c>
      <c r="F12" s="11">
        <v>115</v>
      </c>
      <c r="H12" s="3" t="str">
        <v>เซพแพ็ค หัวไหล่หมู กก.ละ</v>
      </c>
      <c r="I12" s="39">
        <f>_xlfn.XLOOKUP(E12,'แผน Makro 100%'!C:C,'แผน Makro 100%'!L:L,0)</f>
        <v>0</v>
      </c>
      <c r="J12" s="39">
        <f t="shared" si="0"/>
        <v>115</v>
      </c>
    </row>
    <row r="13" spans="1:10" x14ac:dyDescent="0.35">
      <c r="A13">
        <v>23025323</v>
      </c>
      <c r="B13" t="s">
        <v>356</v>
      </c>
      <c r="C13">
        <v>0</v>
      </c>
      <c r="E13" t="str">
        <v>เนื้อไหล่(M)</v>
      </c>
      <c r="F13" s="11">
        <v>420</v>
      </c>
      <c r="H13" s="3" t="str">
        <v>เนื้อไหล่(M)</v>
      </c>
      <c r="I13" s="39">
        <f>_xlfn.XLOOKUP(E13,'แผน Makro 100%'!C:C,'แผน Makro 100%'!L:L,0)</f>
        <v>0</v>
      </c>
      <c r="J13" s="39">
        <f t="shared" si="0"/>
        <v>420</v>
      </c>
    </row>
    <row r="14" spans="1:10" x14ac:dyDescent="0.35">
      <c r="A14">
        <v>23025326</v>
      </c>
      <c r="B14" t="s">
        <v>518</v>
      </c>
      <c r="C14">
        <v>0</v>
      </c>
      <c r="E14" t="str">
        <v>เนื้อไหล่ติดหนังสไลด์</v>
      </c>
      <c r="F14" s="11">
        <v>270</v>
      </c>
      <c r="H14" s="3" t="str">
        <v>เนื้อไหล่ติดหนังสไลด์</v>
      </c>
      <c r="I14" s="39">
        <f>_xlfn.XLOOKUP(E14,'แผน Makro 100%'!C:C,'แผน Makro 100%'!L:L,0)</f>
        <v>0</v>
      </c>
      <c r="J14" s="39">
        <f t="shared" si="0"/>
        <v>270</v>
      </c>
    </row>
    <row r="15" spans="1:10" x14ac:dyDescent="0.35">
      <c r="A15">
        <v>23057809</v>
      </c>
      <c r="B15" t="s">
        <v>18</v>
      </c>
      <c r="C15">
        <v>420</v>
      </c>
      <c r="E15" t="str">
        <v>เนื้อไหล่หมูตัดชิ้น 1 กก. (M)</v>
      </c>
      <c r="F15" s="11">
        <v>0</v>
      </c>
      <c r="H15" s="3" t="str">
        <v>เนื้อไหล่หมูตัดชิ้น (M)</v>
      </c>
      <c r="I15" s="39">
        <f>_xlfn.XLOOKUP(E15,'แผน Makro 100%'!C:C,'แผน Makro 100%'!L:L,0)</f>
        <v>0</v>
      </c>
      <c r="J15" s="39" t="str">
        <f t="shared" si="0"/>
        <v>ไม่พบ</v>
      </c>
    </row>
    <row r="16" spans="1:10" x14ac:dyDescent="0.35">
      <c r="A16">
        <v>23057812</v>
      </c>
      <c r="B16" t="s">
        <v>19</v>
      </c>
      <c r="C16">
        <v>1780</v>
      </c>
      <c r="E16" t="str">
        <v>เนื้อไหล่หมูติดหนังหั่นชิ้น(M)</v>
      </c>
      <c r="F16" s="11">
        <v>165</v>
      </c>
      <c r="H16" s="3" t="str">
        <v>เนื้อไหล่หมูตัดชิ้น 1 กก. (M)</v>
      </c>
      <c r="I16" s="39">
        <f>_xlfn.XLOOKUP(E16,'แผน Makro 100%'!C:C,'แผน Makro 100%'!L:L,0)</f>
        <v>0</v>
      </c>
      <c r="J16" s="39">
        <f t="shared" si="0"/>
        <v>0</v>
      </c>
    </row>
    <row r="17" spans="1:10" x14ac:dyDescent="0.35">
      <c r="A17">
        <v>23057815</v>
      </c>
      <c r="B17" t="s">
        <v>20</v>
      </c>
      <c r="C17">
        <v>990</v>
      </c>
      <c r="E17" t="str">
        <v>เนื้อไหล่หมูบด 1 กก. (M)</v>
      </c>
      <c r="F17" s="11">
        <v>110</v>
      </c>
      <c r="H17" s="3" t="str">
        <v>เนื้อไหล่หมูติดหนังหั่นชิ้น(M)</v>
      </c>
      <c r="I17" s="39">
        <f>_xlfn.XLOOKUP(E17,'แผน Makro 100%'!C:C,'แผน Makro 100%'!L:L,0)</f>
        <v>0</v>
      </c>
      <c r="J17" s="39">
        <f t="shared" si="0"/>
        <v>165</v>
      </c>
    </row>
    <row r="18" spans="1:10" x14ac:dyDescent="0.35">
      <c r="A18">
        <v>23057818</v>
      </c>
      <c r="B18" t="s">
        <v>21</v>
      </c>
      <c r="C18">
        <v>125</v>
      </c>
      <c r="E18" t="str">
        <v>เนื้อหมูตัดชิ้น(M)</v>
      </c>
      <c r="F18" s="11">
        <v>30</v>
      </c>
      <c r="H18" s="3" t="str">
        <v>เนื้อไหล่หมูบด 1 กก. (M)</v>
      </c>
      <c r="I18" s="39">
        <f>_xlfn.XLOOKUP(E18,'แผน Makro 100%'!C:C,'แผน Makro 100%'!L:L,0)</f>
        <v>0</v>
      </c>
      <c r="J18" s="39">
        <f t="shared" si="0"/>
        <v>110</v>
      </c>
    </row>
    <row r="19" spans="1:10" x14ac:dyDescent="0.35">
      <c r="A19">
        <v>23057821</v>
      </c>
      <c r="B19" t="s">
        <v>22</v>
      </c>
      <c r="C19">
        <v>660</v>
      </c>
      <c r="E19" t="str">
        <v>เนื้อหมูหั่นแกง แพ็ค 1 กก.</v>
      </c>
      <c r="F19" s="11">
        <v>0</v>
      </c>
      <c r="H19" s="3" t="str">
        <v>เนื้อหมูตัดชิ้น(M)</v>
      </c>
      <c r="I19" s="39">
        <f>_xlfn.XLOOKUP(E19,'แผน Makro 100%'!C:C,'แผน Makro 100%'!L:L,0)</f>
        <v>0</v>
      </c>
      <c r="J19" s="39">
        <f t="shared" si="0"/>
        <v>30</v>
      </c>
    </row>
    <row r="20" spans="1:10" x14ac:dyDescent="0.35">
      <c r="A20">
        <v>23057824</v>
      </c>
      <c r="B20" t="s">
        <v>23</v>
      </c>
      <c r="C20">
        <v>350</v>
      </c>
      <c r="E20" t="str">
        <v>เลือดหมูก้อนปรุงรสพาสเจอร์ไรซ์400กรัม-C</v>
      </c>
      <c r="F20" s="11">
        <v>50.400000000000006</v>
      </c>
      <c r="H20" s="3" t="str">
        <v>เนื้อหมูหั่นแกง แพ็ค 1 กก.</v>
      </c>
      <c r="I20" s="39">
        <f>_xlfn.XLOOKUP(E20,'แผน Makro 100%'!C:C,'แผน Makro 100%'!L:L,0)</f>
        <v>0</v>
      </c>
      <c r="J20" s="39">
        <f t="shared" si="0"/>
        <v>0</v>
      </c>
    </row>
    <row r="21" spans="1:10" x14ac:dyDescent="0.35">
      <c r="A21">
        <v>23057827</v>
      </c>
      <c r="B21" t="s">
        <v>24</v>
      </c>
      <c r="C21">
        <v>232</v>
      </c>
      <c r="E21" t="str">
        <v>ไต (M)</v>
      </c>
      <c r="F21" s="11">
        <v>30</v>
      </c>
      <c r="H21" s="3" t="str">
        <v>เนื้อหมูหั่นแกง แพ็คถาด 1 กก.</v>
      </c>
      <c r="I21" s="39">
        <f>_xlfn.XLOOKUP(E21,'แผน Makro 100%'!C:C,'แผน Makro 100%'!L:L,0)</f>
        <v>0</v>
      </c>
      <c r="J21" s="39" t="str">
        <f t="shared" si="0"/>
        <v>ไม่พบ</v>
      </c>
    </row>
    <row r="22" spans="1:10" x14ac:dyDescent="0.35">
      <c r="A22">
        <v>23058551</v>
      </c>
      <c r="B22" t="s">
        <v>25</v>
      </c>
      <c r="C22">
        <v>673</v>
      </c>
      <c r="E22" t="str">
        <v>ไส้ใหญ่(ลวก) (M)</v>
      </c>
      <c r="F22" s="11">
        <v>90</v>
      </c>
      <c r="H22" s="3" t="str">
        <v>เนื้อหมูหั่นแกง แพ็คถาด 500 กรัม</v>
      </c>
      <c r="I22" s="39">
        <f>_xlfn.XLOOKUP(E22,'แผน Makro 100%'!C:C,'แผน Makro 100%'!L:L,0)</f>
        <v>0</v>
      </c>
      <c r="J22" s="39" t="str">
        <f t="shared" si="0"/>
        <v>ไม่พบ</v>
      </c>
    </row>
    <row r="23" spans="1:10" x14ac:dyDescent="0.35">
      <c r="A23">
        <v>23058552</v>
      </c>
      <c r="B23" t="s">
        <v>26</v>
      </c>
      <c r="C23">
        <v>295</v>
      </c>
      <c r="E23" t="str">
        <v>ไส้ขม(M)</v>
      </c>
      <c r="F23" s="11">
        <v>60</v>
      </c>
      <c r="H23" s="3" t="str">
        <v>เลือดก้อน(M)</v>
      </c>
      <c r="I23" s="39">
        <f>_xlfn.XLOOKUP(E23,'แผน Makro 100%'!C:C,'แผน Makro 100%'!L:L,0)</f>
        <v>0</v>
      </c>
      <c r="J23" s="39" t="str">
        <f t="shared" si="0"/>
        <v>ไม่พบ</v>
      </c>
    </row>
    <row r="24" spans="1:10" x14ac:dyDescent="0.35">
      <c r="A24">
        <v>23058553</v>
      </c>
      <c r="B24" t="s">
        <v>27</v>
      </c>
      <c r="C24">
        <v>330</v>
      </c>
      <c r="E24" t="str">
        <v>ไส้ตันลวก(M)</v>
      </c>
      <c r="F24" s="11">
        <v>35</v>
      </c>
      <c r="H24" s="3" t="str">
        <v>เลือดหมูก้อนปรุงรสพาสเจอร์ไรซ์400กรัม-C</v>
      </c>
      <c r="I24" s="39">
        <f>_xlfn.XLOOKUP(E24,'แผน Makro 100%'!C:C,'แผน Makro 100%'!L:L,0)</f>
        <v>0</v>
      </c>
      <c r="J24" s="39">
        <f t="shared" si="0"/>
        <v>50.400000000000006</v>
      </c>
    </row>
    <row r="25" spans="1:10" x14ac:dyDescent="0.35">
      <c r="A25">
        <v>23058555</v>
      </c>
      <c r="B25" t="s">
        <v>28</v>
      </c>
      <c r="C25">
        <v>1020</v>
      </c>
      <c r="E25" t="str">
        <v>ไส้ตันหมู กก.ละ</v>
      </c>
      <c r="F25" s="11">
        <v>0</v>
      </c>
      <c r="H25" s="3" t="str">
        <v>ไต (M)</v>
      </c>
      <c r="I25" s="39">
        <f>_xlfn.XLOOKUP(E25,'แผน Makro 100%'!C:C,'แผน Makro 100%'!L:L,0)</f>
        <v>0</v>
      </c>
      <c r="J25" s="39">
        <f t="shared" si="0"/>
        <v>30</v>
      </c>
    </row>
    <row r="26" spans="1:10" x14ac:dyDescent="0.35">
      <c r="A26">
        <v>23058556</v>
      </c>
      <c r="B26" t="s">
        <v>112</v>
      </c>
      <c r="C26">
        <v>20</v>
      </c>
      <c r="E26" t="str">
        <v>ไส้อ่อน (M)</v>
      </c>
      <c r="F26" s="11">
        <v>345</v>
      </c>
      <c r="H26" s="3" t="str">
        <v>ไส้ใหญ่(ลวก) (M)</v>
      </c>
      <c r="I26" s="39">
        <f>_xlfn.XLOOKUP(E26,'แผน Makro 100%'!C:C,'แผน Makro 100%'!L:L,0)</f>
        <v>0</v>
      </c>
      <c r="J26" s="39">
        <f t="shared" si="0"/>
        <v>90</v>
      </c>
    </row>
    <row r="27" spans="1:10" x14ac:dyDescent="0.35">
      <c r="A27">
        <v>23058584</v>
      </c>
      <c r="B27" t="s">
        <v>29</v>
      </c>
      <c r="C27">
        <v>435</v>
      </c>
      <c r="E27" t="str">
        <v>กระเพาะลวก (M)</v>
      </c>
      <c r="F27" s="11">
        <v>20</v>
      </c>
      <c r="H27" s="3" t="str">
        <v>ไส้ขม(M)</v>
      </c>
      <c r="I27" s="39">
        <f>_xlfn.XLOOKUP(E27,'แผน Makro 100%'!C:C,'แผน Makro 100%'!L:L,0)</f>
        <v>0</v>
      </c>
      <c r="J27" s="39">
        <f t="shared" si="0"/>
        <v>60</v>
      </c>
    </row>
    <row r="28" spans="1:10" x14ac:dyDescent="0.35">
      <c r="A28">
        <v>23058585</v>
      </c>
      <c r="B28" t="s">
        <v>30</v>
      </c>
      <c r="C28">
        <v>45</v>
      </c>
      <c r="E28" t="str">
        <v>กระเพาะหมู(M)</v>
      </c>
      <c r="F28" s="11">
        <v>35</v>
      </c>
      <c r="H28" s="3" t="str">
        <v>ไส้ตันลวก(M)</v>
      </c>
      <c r="I28" s="39">
        <f>_xlfn.XLOOKUP(E28,'แผน Makro 100%'!C:C,'แผน Makro 100%'!L:L,0)</f>
        <v>0</v>
      </c>
      <c r="J28" s="39">
        <f t="shared" si="0"/>
        <v>35</v>
      </c>
    </row>
    <row r="29" spans="1:10" x14ac:dyDescent="0.35">
      <c r="A29">
        <v>23058586</v>
      </c>
      <c r="B29" t="s">
        <v>31</v>
      </c>
      <c r="C29">
        <v>30</v>
      </c>
      <c r="E29" t="str">
        <v>กระดูกข้อ(คาตั๊ง) (M)</v>
      </c>
      <c r="F29" s="11">
        <v>270</v>
      </c>
      <c r="H29" s="3" t="str">
        <v>ไส้ตันหมู กก.ละ</v>
      </c>
      <c r="I29" s="39">
        <f>_xlfn.XLOOKUP(E29,'แผน Makro 100%'!C:C,'แผน Makro 100%'!L:L,0)</f>
        <v>0</v>
      </c>
      <c r="J29" s="39">
        <f t="shared" si="0"/>
        <v>0</v>
      </c>
    </row>
    <row r="30" spans="1:10" x14ac:dyDescent="0.35">
      <c r="A30">
        <v>23058587</v>
      </c>
      <c r="B30" t="s">
        <v>32</v>
      </c>
      <c r="C30">
        <v>40</v>
      </c>
      <c r="E30" t="str">
        <v>กระดูกซุป (M)</v>
      </c>
      <c r="F30" s="11">
        <v>1020</v>
      </c>
      <c r="H30" s="3" t="str">
        <v>ไส้อ่อน (M)</v>
      </c>
      <c r="I30" s="39">
        <f>_xlfn.XLOOKUP(E30,'แผน Makro 100%'!C:C,'แผน Makro 100%'!L:L,0)</f>
        <v>0</v>
      </c>
      <c r="J30" s="39">
        <f t="shared" si="0"/>
        <v>345</v>
      </c>
    </row>
    <row r="31" spans="1:10" x14ac:dyDescent="0.35">
      <c r="A31">
        <v>23058588</v>
      </c>
      <c r="B31" t="s">
        <v>114</v>
      </c>
      <c r="C31">
        <v>20</v>
      </c>
      <c r="E31" t="str">
        <v>กระดูกซุปติดเนื้อพิเศษ(M)</v>
      </c>
      <c r="F31" s="11">
        <v>80</v>
      </c>
      <c r="H31" s="3" t="str">
        <v>กระเพาะลวก (M)</v>
      </c>
      <c r="I31" s="39">
        <f>_xlfn.XLOOKUP(E31,'แผน Makro 100%'!C:C,'แผน Makro 100%'!L:L,0)</f>
        <v>0</v>
      </c>
      <c r="J31" s="39">
        <f t="shared" si="0"/>
        <v>20</v>
      </c>
    </row>
    <row r="32" spans="1:10" x14ac:dyDescent="0.35">
      <c r="A32">
        <v>23058589</v>
      </c>
      <c r="B32" t="s">
        <v>33</v>
      </c>
      <c r="C32">
        <v>345</v>
      </c>
      <c r="E32" t="str">
        <v>กระดูกอก(M)</v>
      </c>
      <c r="F32" s="11">
        <v>45</v>
      </c>
      <c r="H32" s="3" t="str">
        <v>กระเพาะหมู(M)</v>
      </c>
      <c r="I32" s="39">
        <f>_xlfn.XLOOKUP(E32,'แผน Makro 100%'!C:C,'แผน Makro 100%'!L:L,0)</f>
        <v>0</v>
      </c>
      <c r="J32" s="39">
        <f t="shared" si="0"/>
        <v>35</v>
      </c>
    </row>
    <row r="33" spans="1:10" x14ac:dyDescent="0.35">
      <c r="A33">
        <v>23058590</v>
      </c>
      <c r="B33" t="s">
        <v>34</v>
      </c>
      <c r="C33">
        <v>90</v>
      </c>
      <c r="E33" t="str">
        <v>กระดูกอ่อน(M)</v>
      </c>
      <c r="F33" s="11">
        <v>115</v>
      </c>
      <c r="H33" s="3" t="str">
        <v>กระดูกข้อ(คาตั๊ง) (M)</v>
      </c>
      <c r="I33" s="39">
        <f>_xlfn.XLOOKUP(E33,'แผน Makro 100%'!C:C,'แผน Makro 100%'!L:L,0)</f>
        <v>0</v>
      </c>
      <c r="J33" s="39">
        <f t="shared" si="0"/>
        <v>270</v>
      </c>
    </row>
    <row r="34" spans="1:10" x14ac:dyDescent="0.35">
      <c r="A34">
        <v>23058591</v>
      </c>
      <c r="B34" t="s">
        <v>35</v>
      </c>
      <c r="C34">
        <v>270</v>
      </c>
      <c r="E34" t="str">
        <v>ขั้วตับ (M)</v>
      </c>
      <c r="F34" s="11">
        <v>45</v>
      </c>
      <c r="H34" s="3" t="str">
        <v>กระดูกซุป (M)</v>
      </c>
      <c r="I34" s="39">
        <f>_xlfn.XLOOKUP(E34,'แผน Makro 100%'!C:C,'แผน Makro 100%'!L:L,0)</f>
        <v>0</v>
      </c>
      <c r="J34" s="39">
        <f t="shared" si="0"/>
        <v>1020</v>
      </c>
    </row>
    <row r="35" spans="1:10" x14ac:dyDescent="0.35">
      <c r="A35">
        <v>23062095</v>
      </c>
      <c r="B35" t="s">
        <v>36</v>
      </c>
      <c r="C35">
        <v>90</v>
      </c>
      <c r="E35" t="str">
        <v>ขาหน้าเผา (M)</v>
      </c>
      <c r="F35" s="11">
        <v>120</v>
      </c>
      <c r="H35" s="3" t="str">
        <v>กระดูกซุปติดเนื้อพิเศษ(M)</v>
      </c>
      <c r="I35" s="39">
        <f>_xlfn.XLOOKUP(E35,'แผน Makro 100%'!C:C,'แผน Makro 100%'!L:L,0)</f>
        <v>0</v>
      </c>
      <c r="J35" s="39">
        <f t="shared" si="0"/>
        <v>80</v>
      </c>
    </row>
    <row r="36" spans="1:10" x14ac:dyDescent="0.35">
      <c r="A36">
        <v>23062097</v>
      </c>
      <c r="B36" t="s">
        <v>115</v>
      </c>
      <c r="C36">
        <v>30</v>
      </c>
      <c r="E36" t="str">
        <v>ขาหมูเผาเลาะกระดูกหั่นชิ้นSpec-1(M)</v>
      </c>
      <c r="F36" s="11">
        <v>450</v>
      </c>
      <c r="H36" s="3" t="str">
        <v>กระดูกอก(M)</v>
      </c>
      <c r="I36" s="39">
        <f>_xlfn.XLOOKUP(E36,'แผน Makro 100%'!C:C,'แผน Makro 100%'!L:L,0)</f>
        <v>0</v>
      </c>
      <c r="J36" s="39">
        <f t="shared" si="0"/>
        <v>45</v>
      </c>
    </row>
    <row r="37" spans="1:10" x14ac:dyDescent="0.35">
      <c r="A37">
        <v>23062101</v>
      </c>
      <c r="B37" t="s">
        <v>109</v>
      </c>
      <c r="C37">
        <v>25</v>
      </c>
      <c r="E37" t="str">
        <v>ขาหมูเผาเลาะติดหนัง กก.ละ</v>
      </c>
      <c r="F37" s="11">
        <v>660</v>
      </c>
      <c r="H37" s="3" t="str">
        <v>กระดูกอ่อน(M)</v>
      </c>
      <c r="I37" s="39">
        <f>_xlfn.XLOOKUP(E37,'แผน Makro 100%'!C:C,'แผน Makro 100%'!L:L,0)</f>
        <v>0</v>
      </c>
      <c r="J37" s="39">
        <f t="shared" si="0"/>
        <v>115</v>
      </c>
    </row>
    <row r="38" spans="1:10" x14ac:dyDescent="0.35">
      <c r="A38">
        <v>23062103</v>
      </c>
      <c r="B38" t="s">
        <v>111</v>
      </c>
      <c r="C38">
        <v>35</v>
      </c>
      <c r="E38" t="str">
        <v>ขาหมูเผาหั่นชิ้น กก.ละ(M)</v>
      </c>
      <c r="F38" s="11">
        <v>60</v>
      </c>
      <c r="H38" s="3" t="str">
        <v>ขั้วตับ (M)</v>
      </c>
      <c r="I38" s="39">
        <f>_xlfn.XLOOKUP(E38,'แผน Makro 100%'!C:C,'แผน Makro 100%'!L:L,0)</f>
        <v>0</v>
      </c>
      <c r="J38" s="39">
        <f t="shared" si="0"/>
        <v>45</v>
      </c>
    </row>
    <row r="39" spans="1:10" x14ac:dyDescent="0.35">
      <c r="A39">
        <v>23062105</v>
      </c>
      <c r="B39" t="s">
        <v>37</v>
      </c>
      <c r="C39">
        <v>35</v>
      </c>
      <c r="E39" t="str">
        <v>ขาหลังเผา(M)</v>
      </c>
      <c r="F39" s="11">
        <v>350</v>
      </c>
      <c r="H39" s="3" t="str">
        <v>ขาหน้าเผา (M)</v>
      </c>
      <c r="I39" s="39">
        <f>_xlfn.XLOOKUP(E39,'แผน Makro 100%'!C:C,'แผน Makro 100%'!L:L,0)</f>
        <v>0</v>
      </c>
      <c r="J39" s="39">
        <f t="shared" ref="J39:J70" si="1">_xlfn.XLOOKUP(H39,E:E,F:F,"ไม่พบ")</f>
        <v>120</v>
      </c>
    </row>
    <row r="40" spans="1:10" x14ac:dyDescent="0.35">
      <c r="A40">
        <v>23062111</v>
      </c>
      <c r="B40" t="s">
        <v>110</v>
      </c>
      <c r="C40">
        <v>20</v>
      </c>
      <c r="E40" t="str">
        <v>คอหมูย่าง (M)</v>
      </c>
      <c r="F40" s="11">
        <v>673</v>
      </c>
      <c r="H40" s="3" t="str">
        <v>ขาหมูเผาเลาะกระดูกหั่นชิ้นSpec-1(M)</v>
      </c>
      <c r="I40" s="39">
        <f>_xlfn.XLOOKUP(E40,'แผน Makro 100%'!C:C,'แผน Makro 100%'!L:L,0)</f>
        <v>0</v>
      </c>
      <c r="J40" s="39">
        <f t="shared" si="1"/>
        <v>450</v>
      </c>
    </row>
    <row r="41" spans="1:10" x14ac:dyDescent="0.35">
      <c r="A41">
        <v>23063759</v>
      </c>
      <c r="B41" t="s">
        <v>39</v>
      </c>
      <c r="C41">
        <v>350</v>
      </c>
      <c r="E41" t="str">
        <v>ชิ้นมันคอ</v>
      </c>
      <c r="F41" s="11">
        <v>70</v>
      </c>
      <c r="H41" s="3" t="str">
        <v>ขาหมูเผาเลาะติดหนัง กก.ละ</v>
      </c>
      <c r="I41" s="39">
        <f>_xlfn.XLOOKUP(E41,'แผน Makro 100%'!C:C,'แผน Makro 100%'!L:L,0)</f>
        <v>0</v>
      </c>
      <c r="J41" s="39">
        <f t="shared" si="1"/>
        <v>660</v>
      </c>
    </row>
    <row r="42" spans="1:10" x14ac:dyDescent="0.35">
      <c r="A42">
        <v>23065140</v>
      </c>
      <c r="B42" t="s">
        <v>40</v>
      </c>
      <c r="C42">
        <v>1620</v>
      </c>
      <c r="E42" t="str">
        <v>ชุดหมูรวม (บด/หั่นแกง) 900 กรัม</v>
      </c>
      <c r="F42" s="11">
        <v>3.6</v>
      </c>
      <c r="H42" s="3" t="str">
        <v>ขาหมูเผาหั่นชิ้น กก.ละ(M)</v>
      </c>
      <c r="I42" s="39">
        <f>_xlfn.XLOOKUP(E42,'แผน Makro 100%'!C:C,'แผน Makro 100%'!L:L,0)</f>
        <v>0</v>
      </c>
      <c r="J42" s="39">
        <f t="shared" si="1"/>
        <v>60</v>
      </c>
    </row>
    <row r="43" spans="1:10" x14ac:dyDescent="0.35">
      <c r="A43">
        <v>23065141</v>
      </c>
      <c r="B43" t="s">
        <v>41</v>
      </c>
      <c r="C43">
        <v>200</v>
      </c>
      <c r="E43" t="str">
        <v>ชุดหมูสไลซ์รวม 1500 กรัม</v>
      </c>
      <c r="F43" s="11">
        <v>6</v>
      </c>
      <c r="H43" s="3" t="str">
        <v>ขาหลังเผา(M)</v>
      </c>
      <c r="I43" s="39">
        <f>_xlfn.XLOOKUP(E43,'แผน Makro 100%'!C:C,'แผน Makro 100%'!L:L,0)</f>
        <v>0</v>
      </c>
      <c r="J43" s="39">
        <f t="shared" si="1"/>
        <v>350</v>
      </c>
    </row>
    <row r="44" spans="1:10" x14ac:dyDescent="0.35">
      <c r="A44">
        <v>23065142</v>
      </c>
      <c r="B44" t="s">
        <v>42</v>
      </c>
      <c r="C44">
        <v>270</v>
      </c>
      <c r="E44" t="str">
        <v>ซี่โครง(M)</v>
      </c>
      <c r="F44" s="11">
        <v>232</v>
      </c>
      <c r="H44" s="3" t="str">
        <v>คอหมูย่าง (M)</v>
      </c>
      <c r="I44" s="39">
        <f>_xlfn.XLOOKUP(E44,'แผน Makro 100%'!C:C,'แผน Makro 100%'!L:L,0)</f>
        <v>0</v>
      </c>
      <c r="J44" s="39">
        <f t="shared" si="1"/>
        <v>673</v>
      </c>
    </row>
    <row r="45" spans="1:10" x14ac:dyDescent="0.35">
      <c r="A45">
        <v>23065143</v>
      </c>
      <c r="B45" t="s">
        <v>43</v>
      </c>
      <c r="C45">
        <v>2210</v>
      </c>
      <c r="E45" t="str">
        <v>ซี่โครงหมูตัดเส้น 1 กก. (M)</v>
      </c>
      <c r="F45" s="11">
        <v>0</v>
      </c>
      <c r="H45" s="3" t="str">
        <v>ชิ้นมันคอ</v>
      </c>
      <c r="I45" s="39">
        <f>_xlfn.XLOOKUP(E45,'แผน Makro 100%'!C:C,'แผน Makro 100%'!L:L,0)</f>
        <v>0</v>
      </c>
      <c r="J45" s="39">
        <f t="shared" si="1"/>
        <v>70</v>
      </c>
    </row>
    <row r="46" spans="1:10" x14ac:dyDescent="0.35">
      <c r="A46">
        <v>23066875</v>
      </c>
      <c r="B46" t="s">
        <v>44</v>
      </c>
      <c r="C46">
        <v>60</v>
      </c>
      <c r="E46" t="str">
        <v>ซี่โครงหมูหั่นชิ้น 2 นิ้ว (M)</v>
      </c>
      <c r="F46" s="11">
        <v>0</v>
      </c>
      <c r="H46" s="3" t="str">
        <v>ชุดหมูสไลซ์รวม 1500 กรัม</v>
      </c>
      <c r="I46" s="39">
        <f>_xlfn.XLOOKUP(E46,'แผน Makro 100%'!C:C,'แผน Makro 100%'!L:L,0)</f>
        <v>0</v>
      </c>
      <c r="J46" s="39">
        <f t="shared" si="1"/>
        <v>6</v>
      </c>
    </row>
    <row r="47" spans="1:10" x14ac:dyDescent="0.35">
      <c r="A47">
        <v>23066879</v>
      </c>
      <c r="B47" t="s">
        <v>45</v>
      </c>
      <c r="C47">
        <v>115</v>
      </c>
      <c r="E47" t="str">
        <v>ซี่โครงหมูหั่นชิ้นอนามัยซีพี-W1000กรัม</v>
      </c>
      <c r="F47" s="11">
        <v>0</v>
      </c>
      <c r="H47" s="3" t="str">
        <v>ซี่โครง(M)</v>
      </c>
      <c r="I47" s="39">
        <f>_xlfn.XLOOKUP(E47,'แผน Makro 100%'!C:C,'แผน Makro 100%'!L:L,0)</f>
        <v>0</v>
      </c>
      <c r="J47" s="39">
        <f t="shared" si="1"/>
        <v>232</v>
      </c>
    </row>
    <row r="48" spans="1:10" x14ac:dyDescent="0.35">
      <c r="A48">
        <v>23067590</v>
      </c>
      <c r="B48" t="s">
        <v>113</v>
      </c>
      <c r="C48">
        <v>120</v>
      </c>
      <c r="E48" t="str">
        <v>ซี่โครงหมูอ่อนหั่นชิ้นอนามัยซีพี-W1000g</v>
      </c>
      <c r="F48" s="11">
        <v>0</v>
      </c>
      <c r="H48" s="3" t="str">
        <v>ซี่โครงหมูสไลด์รวม (M)</v>
      </c>
      <c r="I48" s="39">
        <f>_xlfn.XLOOKUP(E48,'แผน Makro 100%'!C:C,'แผน Makro 100%'!L:L,0)</f>
        <v>0</v>
      </c>
      <c r="J48" s="39" t="str">
        <f t="shared" si="1"/>
        <v>ไม่พบ</v>
      </c>
    </row>
    <row r="49" spans="1:10" x14ac:dyDescent="0.35">
      <c r="A49">
        <v>23068390</v>
      </c>
      <c r="B49" t="s">
        <v>46</v>
      </c>
      <c r="C49">
        <v>80</v>
      </c>
      <c r="E49" t="str">
        <v>ซี่โครงหั่นชิ้น</v>
      </c>
      <c r="F49" s="11">
        <v>480</v>
      </c>
      <c r="H49" s="3" t="str">
        <v>ซี่โครงหั่นชิ้น</v>
      </c>
      <c r="I49" s="39">
        <f>_xlfn.XLOOKUP(E49,'แผน Makro 100%'!C:C,'แผน Makro 100%'!L:L,0)</f>
        <v>0</v>
      </c>
      <c r="J49" s="39">
        <f t="shared" si="1"/>
        <v>480</v>
      </c>
    </row>
    <row r="50" spans="1:10" x14ac:dyDescent="0.35">
      <c r="A50">
        <v>23070475</v>
      </c>
      <c r="B50" t="s">
        <v>47</v>
      </c>
      <c r="C50">
        <v>180</v>
      </c>
      <c r="E50" t="str">
        <v>ซี่โครงอ่อนสไลด์</v>
      </c>
      <c r="F50" s="11">
        <v>0</v>
      </c>
      <c r="H50" s="3" t="str">
        <v>ตับหมู (M)</v>
      </c>
      <c r="I50" s="39">
        <f>_xlfn.XLOOKUP(E50,'แผน Makro 100%'!C:C,'แผน Makro 100%'!L:L,0)</f>
        <v>0</v>
      </c>
      <c r="J50" s="39">
        <f t="shared" si="1"/>
        <v>435</v>
      </c>
    </row>
    <row r="51" spans="1:10" x14ac:dyDescent="0.35">
      <c r="A51">
        <v>23071881</v>
      </c>
      <c r="B51" t="s">
        <v>48</v>
      </c>
      <c r="C51">
        <v>380</v>
      </c>
      <c r="E51" t="str">
        <v>ตับหมู (M)</v>
      </c>
      <c r="F51" s="11">
        <v>435</v>
      </c>
      <c r="H51" s="3" t="str">
        <v>ตับหมู 1 กก. (M)</v>
      </c>
      <c r="I51" s="39">
        <f>_xlfn.XLOOKUP(E51,'แผน Makro 100%'!C:C,'แผน Makro 100%'!L:L,0)</f>
        <v>0</v>
      </c>
      <c r="J51" s="39">
        <f t="shared" si="1"/>
        <v>2</v>
      </c>
    </row>
    <row r="52" spans="1:10" x14ac:dyDescent="0.35">
      <c r="A52">
        <v>23071884</v>
      </c>
      <c r="B52" t="s">
        <v>116</v>
      </c>
      <c r="C52">
        <v>39.999899999999997</v>
      </c>
      <c r="E52" t="str">
        <v>ตับหมู 1 กก. (M)</v>
      </c>
      <c r="F52" s="11">
        <v>2</v>
      </c>
      <c r="H52" s="3" t="str">
        <v>ตับหมูชีวา 400 กรัม</v>
      </c>
      <c r="I52" s="39">
        <f>_xlfn.XLOOKUP(E52,'แผน Makro 100%'!C:C,'แผน Makro 100%'!L:L,0)</f>
        <v>0</v>
      </c>
      <c r="J52" s="39">
        <f t="shared" si="1"/>
        <v>1.6</v>
      </c>
    </row>
    <row r="53" spans="1:10" x14ac:dyDescent="0.35">
      <c r="A53">
        <v>23073188</v>
      </c>
      <c r="B53" t="s">
        <v>50</v>
      </c>
      <c r="C53">
        <v>45</v>
      </c>
      <c r="E53" t="str">
        <v>ตับหมูชีวา 400 กรัม</v>
      </c>
      <c r="F53" s="11">
        <v>1.6</v>
      </c>
      <c r="H53" s="3" t="str">
        <v>ตับหมูสไลซ์ 1 กก. (M)</v>
      </c>
      <c r="I53" s="39">
        <f>_xlfn.XLOOKUP(E53,'แผน Makro 100%'!C:C,'แผน Makro 100%'!L:L,0)</f>
        <v>0</v>
      </c>
      <c r="J53" s="39">
        <f t="shared" si="1"/>
        <v>2</v>
      </c>
    </row>
    <row r="54" spans="1:10" x14ac:dyDescent="0.35">
      <c r="A54">
        <v>23073308</v>
      </c>
      <c r="B54" t="s">
        <v>117</v>
      </c>
      <c r="C54">
        <v>150</v>
      </c>
      <c r="E54" t="str">
        <v>ตับหมูสไลซ์ 1 กก. (M)</v>
      </c>
      <c r="F54" s="11">
        <v>2</v>
      </c>
      <c r="H54" s="3" t="str">
        <v>ตับหมูสไลด์ (M)</v>
      </c>
      <c r="I54" s="39">
        <f>_xlfn.XLOOKUP(E54,'แผน Makro 100%'!C:C,'แผน Makro 100%'!L:L,0)</f>
        <v>0</v>
      </c>
      <c r="J54" s="39">
        <f t="shared" si="1"/>
        <v>39.999899999999997</v>
      </c>
    </row>
    <row r="55" spans="1:10" x14ac:dyDescent="0.35">
      <c r="A55">
        <v>23074622</v>
      </c>
      <c r="B55" t="s">
        <v>350</v>
      </c>
      <c r="C55">
        <v>0</v>
      </c>
      <c r="E55" t="str">
        <v>ตับหมูสไลด์ (M)</v>
      </c>
      <c r="F55" s="11">
        <v>39.999899999999997</v>
      </c>
      <c r="H55" s="3" t="str">
        <v>น้ำมันหมู (ตรา ซีพี)</v>
      </c>
      <c r="I55" s="39">
        <f>_xlfn.XLOOKUP(E55,'แผน Makro 100%'!C:C,'แผน Makro 100%'!L:L,0)</f>
        <v>0</v>
      </c>
      <c r="J55" s="39">
        <f t="shared" si="1"/>
        <v>64</v>
      </c>
    </row>
    <row r="56" spans="1:10" x14ac:dyDescent="0.35">
      <c r="A56">
        <v>23074623</v>
      </c>
      <c r="B56" t="s">
        <v>414</v>
      </c>
      <c r="C56">
        <v>0</v>
      </c>
      <c r="E56" t="str">
        <v>น้ำมันหมู (ตรา ซีพี)</v>
      </c>
      <c r="F56" s="11">
        <v>64</v>
      </c>
      <c r="H56" s="3" t="str">
        <v>ปอด(M)</v>
      </c>
      <c r="I56" s="39">
        <f>_xlfn.XLOOKUP(E56,'แผน Makro 100%'!C:C,'แผน Makro 100%'!L:L,0)</f>
        <v>0</v>
      </c>
      <c r="J56" s="39">
        <f t="shared" si="1"/>
        <v>20</v>
      </c>
    </row>
    <row r="57" spans="1:10" x14ac:dyDescent="0.35">
      <c r="A57">
        <v>23075089</v>
      </c>
      <c r="B57" t="s">
        <v>51</v>
      </c>
      <c r="C57">
        <v>20</v>
      </c>
      <c r="E57" t="str">
        <v>ปอด(M)</v>
      </c>
      <c r="F57" s="11">
        <v>20</v>
      </c>
      <c r="H57" s="3" t="str">
        <v>พอร์คช็อป</v>
      </c>
      <c r="I57" s="39">
        <f>_xlfn.XLOOKUP(E57,'แผน Makro 100%'!C:C,'แผน Makro 100%'!L:L,0)</f>
        <v>0</v>
      </c>
      <c r="J57" s="39">
        <f t="shared" si="1"/>
        <v>32</v>
      </c>
    </row>
    <row r="58" spans="1:10" x14ac:dyDescent="0.35">
      <c r="A58">
        <v>23083450</v>
      </c>
      <c r="B58" t="s">
        <v>103</v>
      </c>
      <c r="C58">
        <v>64</v>
      </c>
      <c r="E58" t="str">
        <v>พอร์คช็อป</v>
      </c>
      <c r="F58" s="11">
        <v>32</v>
      </c>
      <c r="H58" s="3" t="str">
        <v>พอร์คชอพตัดสเต็ก กก.ละ</v>
      </c>
      <c r="I58" s="39">
        <f>_xlfn.XLOOKUP(E58,'แผน Makro 100%'!C:C,'แผน Makro 100%'!L:L,0)</f>
        <v>0</v>
      </c>
      <c r="J58" s="39" t="str">
        <f t="shared" si="1"/>
        <v>ไม่พบ</v>
      </c>
    </row>
    <row r="59" spans="1:10" x14ac:dyDescent="0.35">
      <c r="A59">
        <v>23084674</v>
      </c>
      <c r="B59" t="s">
        <v>52</v>
      </c>
      <c r="C59">
        <v>50.400000000000006</v>
      </c>
      <c r="E59" t="str">
        <v>มันตัดเส้น(M)</v>
      </c>
      <c r="F59" s="11">
        <v>20</v>
      </c>
      <c r="H59" s="3" t="str">
        <v>มันตัดเส้น(M)</v>
      </c>
      <c r="I59" s="39">
        <f>_xlfn.XLOOKUP(E59,'แผน Makro 100%'!C:C,'แผน Makro 100%'!L:L,0)</f>
        <v>0</v>
      </c>
      <c r="J59" s="39">
        <f t="shared" si="1"/>
        <v>20</v>
      </c>
    </row>
    <row r="60" spans="1:10" x14ac:dyDescent="0.35">
      <c r="A60">
        <v>23086658</v>
      </c>
      <c r="B60" t="s">
        <v>53</v>
      </c>
      <c r="C60">
        <v>270</v>
      </c>
      <c r="E60" t="str">
        <v>มันสันหลัง (M)</v>
      </c>
      <c r="F60" s="11">
        <v>295</v>
      </c>
      <c r="H60" s="3" t="str">
        <v>มันสันหลัง (M)</v>
      </c>
      <c r="I60" s="39">
        <f>_xlfn.XLOOKUP(E60,'แผน Makro 100%'!C:C,'แผน Makro 100%'!L:L,0)</f>
        <v>0</v>
      </c>
      <c r="J60" s="39">
        <f t="shared" si="1"/>
        <v>295</v>
      </c>
    </row>
    <row r="61" spans="1:10" x14ac:dyDescent="0.35">
      <c r="A61">
        <v>23087034</v>
      </c>
      <c r="B61" t="s">
        <v>54</v>
      </c>
      <c r="C61">
        <v>312</v>
      </c>
      <c r="E61" t="str">
        <v>มันหมูหั่นชิ้น(M)</v>
      </c>
      <c r="F61" s="11">
        <v>0</v>
      </c>
      <c r="H61" s="3" t="str">
        <v>มันหมูหั่นเต๋า แพ็คถาด 500 กรัม</v>
      </c>
      <c r="I61" s="39">
        <f>_xlfn.XLOOKUP(E61,'แผน Makro 100%'!C:C,'แผน Makro 100%'!L:L,0)</f>
        <v>0</v>
      </c>
      <c r="J61" s="39" t="str">
        <f t="shared" si="1"/>
        <v>ไม่พบ</v>
      </c>
    </row>
    <row r="62" spans="1:10" x14ac:dyDescent="0.35">
      <c r="A62">
        <v>23088036</v>
      </c>
      <c r="B62" t="s">
        <v>55</v>
      </c>
      <c r="C62">
        <v>165</v>
      </c>
      <c r="E62" t="str">
        <v>มันหั่นเต๋า กก ละ</v>
      </c>
      <c r="F62" s="11">
        <v>330</v>
      </c>
      <c r="H62" s="3" t="str">
        <v>มันหั่นเต๋า กก ละ</v>
      </c>
      <c r="I62" s="39">
        <f>_xlfn.XLOOKUP(E62,'แผน Makro 100%'!C:C,'แผน Makro 100%'!L:L,0)</f>
        <v>0</v>
      </c>
      <c r="J62" s="39">
        <f t="shared" si="1"/>
        <v>330</v>
      </c>
    </row>
    <row r="63" spans="1:10" x14ac:dyDescent="0.35">
      <c r="A63">
        <v>23088111</v>
      </c>
      <c r="B63" t="s">
        <v>597</v>
      </c>
      <c r="C63">
        <v>0</v>
      </c>
      <c r="E63" t="str">
        <v>ม้าม (M)</v>
      </c>
      <c r="F63" s="11">
        <v>20</v>
      </c>
      <c r="H63" s="3" t="str">
        <v>ม้าม (M)</v>
      </c>
      <c r="I63" s="39">
        <f>_xlfn.XLOOKUP(E63,'แผน Makro 100%'!C:C,'แผน Makro 100%'!L:L,0)</f>
        <v>0</v>
      </c>
      <c r="J63" s="39">
        <f t="shared" si="1"/>
        <v>20</v>
      </c>
    </row>
    <row r="64" spans="1:10" x14ac:dyDescent="0.35">
      <c r="A64">
        <v>23088112</v>
      </c>
      <c r="B64" t="s">
        <v>56</v>
      </c>
      <c r="C64">
        <v>110</v>
      </c>
      <c r="E64" t="str">
        <v>ลิ้นหมู(M)</v>
      </c>
      <c r="F64" s="11">
        <v>30</v>
      </c>
      <c r="H64" s="3" t="str">
        <v>ลิ้นหมู(M)</v>
      </c>
      <c r="I64" s="39">
        <f>_xlfn.XLOOKUP(E64,'แผน Makro 100%'!C:C,'แผน Makro 100%'!L:L,0)</f>
        <v>0</v>
      </c>
      <c r="J64" s="39">
        <f t="shared" si="1"/>
        <v>30</v>
      </c>
    </row>
    <row r="65" spans="1:10" x14ac:dyDescent="0.35">
      <c r="A65">
        <v>23088348</v>
      </c>
      <c r="B65" t="s">
        <v>57</v>
      </c>
      <c r="C65">
        <v>450</v>
      </c>
      <c r="E65" t="str">
        <v>สะโพก(M)</v>
      </c>
      <c r="F65" s="11">
        <v>1780</v>
      </c>
      <c r="H65" s="3" t="str">
        <v>สะโพก(M)</v>
      </c>
      <c r="I65" s="39">
        <f>_xlfn.XLOOKUP(E65,'แผน Makro 100%'!C:C,'แผน Makro 100%'!L:L,0)</f>
        <v>0</v>
      </c>
      <c r="J65" s="39">
        <f t="shared" si="1"/>
        <v>1780</v>
      </c>
    </row>
    <row r="66" spans="1:10" x14ac:dyDescent="0.35">
      <c r="A66">
        <v>23093507</v>
      </c>
      <c r="B66" t="s">
        <v>126</v>
      </c>
      <c r="C66">
        <v>0</v>
      </c>
      <c r="E66" t="str">
        <v>สะโพกติดหนัง</v>
      </c>
      <c r="F66" s="11">
        <v>0</v>
      </c>
      <c r="H66" s="3" t="str">
        <v>สะโพกสไลด์</v>
      </c>
      <c r="I66" s="39">
        <f>_xlfn.XLOOKUP(E66,'แผน Makro 100%'!C:C,'แผน Makro 100%'!L:L,0)</f>
        <v>0</v>
      </c>
      <c r="J66" s="39">
        <f t="shared" si="1"/>
        <v>1620</v>
      </c>
    </row>
    <row r="67" spans="1:10" x14ac:dyDescent="0.35">
      <c r="A67">
        <v>23097783</v>
      </c>
      <c r="B67" t="s">
        <v>58</v>
      </c>
      <c r="C67">
        <v>110</v>
      </c>
      <c r="E67" t="str">
        <v>สะโพกสไลด์</v>
      </c>
      <c r="F67" s="11">
        <v>1620</v>
      </c>
      <c r="H67" s="3" t="str">
        <v>สะโพกหมูแต่งพิเศษ(แยกกล้ามเนื้อ)Spec7(M)</v>
      </c>
      <c r="I67" s="39">
        <f>_xlfn.XLOOKUP(E67,'แผน Makro 100%'!C:C,'แผน Makro 100%'!L:L,0)</f>
        <v>0</v>
      </c>
      <c r="J67" s="39">
        <f t="shared" si="1"/>
        <v>50</v>
      </c>
    </row>
    <row r="68" spans="1:10" x14ac:dyDescent="0.35">
      <c r="A68">
        <v>23097784</v>
      </c>
      <c r="B68" t="s">
        <v>59</v>
      </c>
      <c r="C68">
        <v>0</v>
      </c>
      <c r="E68" t="str">
        <v>สะโพกหมูแต่งพิเศษ(แยกกล้ามเนื้อ)Spec7(M)</v>
      </c>
      <c r="F68" s="11">
        <v>50</v>
      </c>
      <c r="H68" s="3" t="str">
        <v>สะโพกหมูชีวา (ตรา ยูฟาร์ม) 400 กรัม</v>
      </c>
      <c r="I68" s="39">
        <f>_xlfn.XLOOKUP(E68,'แผน Makro 100%'!C:C,'แผน Makro 100%'!L:L,0)</f>
        <v>0</v>
      </c>
      <c r="J68" s="39">
        <f t="shared" si="1"/>
        <v>0.8</v>
      </c>
    </row>
    <row r="69" spans="1:10" x14ac:dyDescent="0.35">
      <c r="A69">
        <v>23097785</v>
      </c>
      <c r="B69" t="s">
        <v>343</v>
      </c>
      <c r="C69">
        <v>0</v>
      </c>
      <c r="E69" t="str">
        <v>สะโพกหมูชีวา (ตรา ยูฟาร์ม) 400 กรัม</v>
      </c>
      <c r="F69" s="11">
        <v>0.8</v>
      </c>
      <c r="H69" s="3" t="str">
        <v>สะโพกหมูตัดเส้น(M)</v>
      </c>
      <c r="I69" s="39">
        <f>_xlfn.XLOOKUP(E69,'แผน Makro 100%'!C:C,'แผน Makro 100%'!L:L,0)</f>
        <v>0</v>
      </c>
      <c r="J69" s="39">
        <f t="shared" si="1"/>
        <v>312</v>
      </c>
    </row>
    <row r="70" spans="1:10" x14ac:dyDescent="0.35">
      <c r="A70">
        <v>23097787</v>
      </c>
      <c r="B70" t="s">
        <v>60</v>
      </c>
      <c r="C70">
        <v>2</v>
      </c>
      <c r="E70" t="str">
        <v>สะโพกหมูตัดเส้น(M)</v>
      </c>
      <c r="F70" s="11">
        <v>312</v>
      </c>
      <c r="H70" s="3" t="str">
        <v>สะโพกหมูตัดชิ้น (M)</v>
      </c>
      <c r="I70" s="39">
        <f>_xlfn.XLOOKUP(E70,'แผน Makro 100%'!C:C,'แผน Makro 100%'!L:L,0)</f>
        <v>0</v>
      </c>
      <c r="J70" s="39" t="str">
        <f t="shared" si="1"/>
        <v>ไม่พบ</v>
      </c>
    </row>
    <row r="71" spans="1:10" x14ac:dyDescent="0.35">
      <c r="A71">
        <v>23097788</v>
      </c>
      <c r="B71" t="s">
        <v>61</v>
      </c>
      <c r="C71">
        <v>2</v>
      </c>
      <c r="E71" t="str">
        <v>สะโพกหมูตัดชิ้น 1 กก. (M)</v>
      </c>
      <c r="F71" s="11">
        <v>0</v>
      </c>
      <c r="H71" s="3" t="str">
        <v>สะโพกหมูตัดชิ้น 1 กก. (M)</v>
      </c>
      <c r="I71" s="39">
        <f>_xlfn.XLOOKUP(E71,'แผน Makro 100%'!C:C,'แผน Makro 100%'!L:L,0)</f>
        <v>0</v>
      </c>
      <c r="J71" s="39">
        <f t="shared" ref="J71:J102" si="2">_xlfn.XLOOKUP(H71,E:E,F:F,"ไม่พบ")</f>
        <v>0</v>
      </c>
    </row>
    <row r="72" spans="1:10" x14ac:dyDescent="0.35">
      <c r="A72">
        <v>23097789</v>
      </c>
      <c r="B72" t="s">
        <v>62</v>
      </c>
      <c r="C72">
        <v>0</v>
      </c>
      <c r="E72" t="str">
        <v>สะโพกหมูสไลซ์ 1 กก. (M)</v>
      </c>
      <c r="F72" s="11">
        <v>25</v>
      </c>
      <c r="H72" s="3" t="str">
        <v>สะโพกหมูสไลซ์ 1 กก. (M)</v>
      </c>
      <c r="I72" s="39">
        <f>_xlfn.XLOOKUP(E72,'แผน Makro 100%'!C:C,'แผน Makro 100%'!L:L,0)</f>
        <v>0</v>
      </c>
      <c r="J72" s="39">
        <f t="shared" si="2"/>
        <v>25</v>
      </c>
    </row>
    <row r="73" spans="1:10" x14ac:dyDescent="0.35">
      <c r="A73">
        <v>23097790</v>
      </c>
      <c r="B73" t="s">
        <v>63</v>
      </c>
      <c r="C73">
        <v>25</v>
      </c>
      <c r="E73" t="str">
        <v>สะโพกหมูสไลซ์ แพ็คถาด 1 กก.</v>
      </c>
      <c r="F73" s="11">
        <v>12</v>
      </c>
      <c r="H73" s="3" t="str">
        <v>สะโพกหมูสไลซ์ แพ็คถาด 1 กก.</v>
      </c>
      <c r="I73" s="39">
        <f>_xlfn.XLOOKUP(E73,'แผน Makro 100%'!C:C,'แผน Makro 100%'!L:L,0)</f>
        <v>0</v>
      </c>
      <c r="J73" s="39">
        <f t="shared" si="2"/>
        <v>12</v>
      </c>
    </row>
    <row r="74" spans="1:10" x14ac:dyDescent="0.35">
      <c r="A74">
        <v>23097791</v>
      </c>
      <c r="B74" t="s">
        <v>64</v>
      </c>
      <c r="C74">
        <v>0</v>
      </c>
      <c r="E74" t="str">
        <v>สะโพกหมูสไลซ์ แพ็คถาด 500 กรัม</v>
      </c>
      <c r="F74" s="11">
        <v>10</v>
      </c>
      <c r="H74" s="3" t="str">
        <v>สะโพกหมูสไลซ์ แพ็คถาด 500 กรัม</v>
      </c>
      <c r="I74" s="39">
        <f>_xlfn.XLOOKUP(E74,'แผน Makro 100%'!C:C,'แผน Makro 100%'!L:L,0)</f>
        <v>0</v>
      </c>
      <c r="J74" s="39">
        <f t="shared" si="2"/>
        <v>10</v>
      </c>
    </row>
    <row r="75" spans="1:10" x14ac:dyDescent="0.35">
      <c r="A75">
        <v>23097792</v>
      </c>
      <c r="B75" t="s">
        <v>65</v>
      </c>
      <c r="C75">
        <v>0</v>
      </c>
      <c r="E75" t="str">
        <v>สะโพกหมูสไลซ์(M)</v>
      </c>
      <c r="F75" s="11">
        <v>0</v>
      </c>
      <c r="H75" s="3" t="str">
        <v>สะโพกหมูสไลซ์(M)</v>
      </c>
      <c r="I75" s="39">
        <f>_xlfn.XLOOKUP(E75,'แผน Makro 100%'!C:C,'แผน Makro 100%'!L:L,0)</f>
        <v>0</v>
      </c>
      <c r="J75" s="39">
        <f t="shared" si="2"/>
        <v>0</v>
      </c>
    </row>
    <row r="76" spans="1:10" x14ac:dyDescent="0.35">
      <c r="A76">
        <v>23097793</v>
      </c>
      <c r="B76" t="s">
        <v>66</v>
      </c>
      <c r="C76">
        <v>25</v>
      </c>
      <c r="E76" t="str">
        <v>สันใน(M)</v>
      </c>
      <c r="F76" s="11">
        <v>125</v>
      </c>
      <c r="H76" s="3" t="str">
        <v>สะโพกหมูหั่นแดดเดียว แพ็ค 1 กก.</v>
      </c>
      <c r="I76" s="39">
        <f>_xlfn.XLOOKUP(E76,'แผน Makro 100%'!C:C,'แผน Makro 100%'!L:L,0)</f>
        <v>0</v>
      </c>
      <c r="J76" s="39" t="str">
        <f t="shared" si="2"/>
        <v>ไม่พบ</v>
      </c>
    </row>
    <row r="77" spans="1:10" x14ac:dyDescent="0.35">
      <c r="A77">
        <v>23097794</v>
      </c>
      <c r="B77" t="s">
        <v>467</v>
      </c>
      <c r="C77">
        <v>2</v>
      </c>
      <c r="E77" t="str">
        <v>สันในหมู 1 กก. (M)</v>
      </c>
      <c r="F77" s="11">
        <v>0</v>
      </c>
      <c r="H77" s="3" t="str">
        <v>สะโพกหมูหั่นแดดเดียวแพ็คถาด 500 กรัม</v>
      </c>
      <c r="I77" s="39">
        <f>_xlfn.XLOOKUP(E77,'แผน Makro 100%'!C:C,'แผน Makro 100%'!L:L,0)</f>
        <v>0</v>
      </c>
      <c r="J77" s="39" t="str">
        <f t="shared" si="2"/>
        <v>ไม่พบ</v>
      </c>
    </row>
    <row r="78" spans="1:10" x14ac:dyDescent="0.35">
      <c r="A78">
        <v>23097795</v>
      </c>
      <c r="B78" t="s">
        <v>469</v>
      </c>
      <c r="C78">
        <v>10</v>
      </c>
      <c r="E78" t="str">
        <v>สันคอ(M)</v>
      </c>
      <c r="F78" s="11">
        <v>660</v>
      </c>
      <c r="H78" s="3" t="str">
        <v>สันใน(M)</v>
      </c>
      <c r="I78" s="39">
        <f>_xlfn.XLOOKUP(E78,'แผน Makro 100%'!C:C,'แผน Makro 100%'!L:L,0)</f>
        <v>0</v>
      </c>
      <c r="J78" s="39">
        <f t="shared" si="2"/>
        <v>125</v>
      </c>
    </row>
    <row r="79" spans="1:10" x14ac:dyDescent="0.35">
      <c r="A79">
        <v>23097796</v>
      </c>
      <c r="B79" t="s">
        <v>67</v>
      </c>
      <c r="C79">
        <v>2</v>
      </c>
      <c r="E79" t="str">
        <v>สันคอสไลด์</v>
      </c>
      <c r="F79" s="11">
        <v>270</v>
      </c>
      <c r="H79" s="3" t="str">
        <v>สันในหมู 1 กก. (M)</v>
      </c>
      <c r="I79" s="39">
        <f>_xlfn.XLOOKUP(E79,'แผน Makro 100%'!C:C,'แผน Makro 100%'!L:L,0)</f>
        <v>0</v>
      </c>
      <c r="J79" s="39">
        <f t="shared" si="2"/>
        <v>0</v>
      </c>
    </row>
    <row r="80" spans="1:10" x14ac:dyDescent="0.35">
      <c r="A80">
        <v>23097797</v>
      </c>
      <c r="B80" t="s">
        <v>68</v>
      </c>
      <c r="C80">
        <v>30</v>
      </c>
      <c r="E80" t="str">
        <v>สันคอหมูชีวาสไลซ์(ตรา ยูฟาร์ม) 250 กรัม</v>
      </c>
      <c r="F80" s="11">
        <v>3</v>
      </c>
      <c r="H80" s="3" t="str">
        <v>สันคอ(M)</v>
      </c>
      <c r="I80" s="39">
        <f>_xlfn.XLOOKUP(E80,'แผน Makro 100%'!C:C,'แผน Makro 100%'!L:L,0)</f>
        <v>0</v>
      </c>
      <c r="J80" s="39">
        <f t="shared" si="2"/>
        <v>660</v>
      </c>
    </row>
    <row r="81" spans="1:10" x14ac:dyDescent="0.35">
      <c r="A81">
        <v>23098986</v>
      </c>
      <c r="B81" t="s">
        <v>120</v>
      </c>
      <c r="C81">
        <v>0</v>
      </c>
      <c r="E81" t="str">
        <v>สันคอหมูตัดชิ้น 1 กก. (M)</v>
      </c>
      <c r="F81" s="11">
        <v>0</v>
      </c>
      <c r="H81" s="3" t="str">
        <v>สันคอสไลด์</v>
      </c>
      <c r="I81" s="39">
        <f>_xlfn.XLOOKUP(E81,'แผน Makro 100%'!C:C,'แผน Makro 100%'!L:L,0)</f>
        <v>0</v>
      </c>
      <c r="J81" s="39">
        <f t="shared" si="2"/>
        <v>270</v>
      </c>
    </row>
    <row r="82" spans="1:10" x14ac:dyDescent="0.35">
      <c r="A82">
        <v>23098989</v>
      </c>
      <c r="B82" t="s">
        <v>69</v>
      </c>
      <c r="C82">
        <v>60</v>
      </c>
      <c r="E82" t="str">
        <v>สันคอหมูสไลซ์ 1 กก. (M)</v>
      </c>
      <c r="F82" s="11">
        <v>25</v>
      </c>
      <c r="H82" s="3" t="str">
        <v>สันคอหมูชีวาสไลซ์(ตรา ยูฟาร์ม) 250 กรัม</v>
      </c>
      <c r="I82" s="39">
        <f>_xlfn.XLOOKUP(E82,'แผน Makro 100%'!C:C,'แผน Makro 100%'!L:L,0)</f>
        <v>0</v>
      </c>
      <c r="J82" s="39">
        <f t="shared" si="2"/>
        <v>3</v>
      </c>
    </row>
    <row r="83" spans="1:10" x14ac:dyDescent="0.35">
      <c r="A83">
        <v>23098990</v>
      </c>
      <c r="B83" t="s">
        <v>121</v>
      </c>
      <c r="C83">
        <v>10</v>
      </c>
      <c r="E83" t="str">
        <v>สันคอหมูสดสไลซ์ แพ็คถาด 1 กก.</v>
      </c>
      <c r="F83" s="11">
        <v>16</v>
      </c>
      <c r="H83" s="3" t="str">
        <v>สันคอหมูตัดชิ้น (M)</v>
      </c>
      <c r="I83" s="39">
        <f>_xlfn.XLOOKUP(E83,'แผน Makro 100%'!C:C,'แผน Makro 100%'!L:L,0)</f>
        <v>0</v>
      </c>
      <c r="J83" s="39" t="str">
        <f t="shared" si="2"/>
        <v>ไม่พบ</v>
      </c>
    </row>
    <row r="84" spans="1:10" x14ac:dyDescent="0.35">
      <c r="A84">
        <v>23098995</v>
      </c>
      <c r="B84" t="s">
        <v>70</v>
      </c>
      <c r="C84">
        <v>330</v>
      </c>
      <c r="E84" t="str">
        <v>สันคอหมูสดสไลซ์ แพ็คถาด 500 กรัม</v>
      </c>
      <c r="F84" s="11">
        <v>12</v>
      </c>
      <c r="H84" s="3" t="str">
        <v>สันคอหมูตัดชิ้น 1 กก. (M)</v>
      </c>
      <c r="I84" s="39">
        <f>_xlfn.XLOOKUP(E84,'แผน Makro 100%'!C:C,'แผน Makro 100%'!L:L,0)</f>
        <v>0</v>
      </c>
      <c r="J84" s="39">
        <f t="shared" si="2"/>
        <v>0</v>
      </c>
    </row>
    <row r="85" spans="1:10" x14ac:dyDescent="0.35">
      <c r="A85">
        <v>23104868</v>
      </c>
      <c r="B85" t="s">
        <v>71</v>
      </c>
      <c r="C85">
        <v>30</v>
      </c>
      <c r="E85" t="str">
        <v>สันนอก(M)</v>
      </c>
      <c r="F85" s="11">
        <v>990</v>
      </c>
      <c r="H85" s="3" t="str">
        <v>สันคอหมูสไลซ์ 1 กก. (M)</v>
      </c>
      <c r="I85" s="39">
        <f>_xlfn.XLOOKUP(E85,'แผน Makro 100%'!C:C,'แผน Makro 100%'!L:L,0)</f>
        <v>0</v>
      </c>
      <c r="J85" s="39">
        <f t="shared" si="2"/>
        <v>25</v>
      </c>
    </row>
    <row r="86" spans="1:10" x14ac:dyDescent="0.35">
      <c r="A86">
        <v>23105702</v>
      </c>
      <c r="B86" t="s">
        <v>72</v>
      </c>
      <c r="C86">
        <v>300</v>
      </c>
      <c r="E86" t="str">
        <v>สันนอกสไลด์</v>
      </c>
      <c r="F86" s="11">
        <v>200</v>
      </c>
      <c r="H86" s="3" t="str">
        <v>สันคอหมูสดสไลซ์ แพ็คถาด 1 กก.</v>
      </c>
      <c r="I86" s="39">
        <f>_xlfn.XLOOKUP(E86,'แผน Makro 100%'!C:C,'แผน Makro 100%'!L:L,0)</f>
        <v>0</v>
      </c>
      <c r="J86" s="39">
        <f t="shared" si="2"/>
        <v>16</v>
      </c>
    </row>
    <row r="87" spans="1:10" x14ac:dyDescent="0.35">
      <c r="A87">
        <v>23105751</v>
      </c>
      <c r="B87" t="s">
        <v>73</v>
      </c>
      <c r="C87">
        <v>115</v>
      </c>
      <c r="E87" t="str">
        <v>สันนอกหมูชีวาสไลซ์(ตรา ยูฟาร์ม) 250 กรัม</v>
      </c>
      <c r="F87" s="11">
        <v>3</v>
      </c>
      <c r="H87" s="3" t="str">
        <v>สันคอหมูสดสไลซ์ แพ็คถาด 500 กรัม</v>
      </c>
      <c r="I87" s="39">
        <f>_xlfn.XLOOKUP(E87,'แผน Makro 100%'!C:C,'แผน Makro 100%'!L:L,0)</f>
        <v>0</v>
      </c>
      <c r="J87" s="39">
        <f t="shared" si="2"/>
        <v>12</v>
      </c>
    </row>
    <row r="88" spans="1:10" x14ac:dyDescent="0.35">
      <c r="A88">
        <v>23105752</v>
      </c>
      <c r="B88" t="s">
        <v>74</v>
      </c>
      <c r="C88">
        <v>140</v>
      </c>
      <c r="E88" t="str">
        <v>สันนอกหมูตัดชิ้น1 กก. (M)</v>
      </c>
      <c r="F88" s="11">
        <v>2</v>
      </c>
      <c r="H88" s="3" t="str">
        <v>สันนอก(M)</v>
      </c>
      <c r="I88" s="39">
        <f>_xlfn.XLOOKUP(E88,'แผน Makro 100%'!C:C,'แผน Makro 100%'!L:L,0)</f>
        <v>0</v>
      </c>
      <c r="J88" s="39">
        <f t="shared" si="2"/>
        <v>990</v>
      </c>
    </row>
    <row r="89" spans="1:10" x14ac:dyDescent="0.35">
      <c r="A89">
        <v>23105753</v>
      </c>
      <c r="B89" t="s">
        <v>75</v>
      </c>
      <c r="C89">
        <v>290</v>
      </c>
      <c r="E89" t="str">
        <v>สันนอกหมูสไลซ์ 1 กก (M)</v>
      </c>
      <c r="F89" s="11">
        <v>10</v>
      </c>
      <c r="H89" s="3" t="str">
        <v>สันนอกสไลด์</v>
      </c>
      <c r="I89" s="39">
        <f>_xlfn.XLOOKUP(E89,'แผน Makro 100%'!C:C,'แผน Makro 100%'!L:L,0)</f>
        <v>0</v>
      </c>
      <c r="J89" s="39">
        <f t="shared" si="2"/>
        <v>200</v>
      </c>
    </row>
    <row r="90" spans="1:10" x14ac:dyDescent="0.35">
      <c r="A90">
        <v>23105754</v>
      </c>
      <c r="B90" t="s">
        <v>76</v>
      </c>
      <c r="C90">
        <v>460</v>
      </c>
      <c r="E90" t="str">
        <v>สันนอกหมูสดสไลซ์ แพ็คถาด 1 กก.</v>
      </c>
      <c r="F90" s="11">
        <v>12</v>
      </c>
      <c r="H90" s="3" t="str">
        <v>สันนอกหมูชีวาสไลซ์(ตรา ยูฟาร์ม) 250 กรัม</v>
      </c>
      <c r="I90" s="39">
        <f>_xlfn.XLOOKUP(E90,'แผน Makro 100%'!C:C,'แผน Makro 100%'!L:L,0)</f>
        <v>0</v>
      </c>
      <c r="J90" s="39">
        <f t="shared" si="2"/>
        <v>3</v>
      </c>
    </row>
    <row r="91" spans="1:10" x14ac:dyDescent="0.35">
      <c r="A91">
        <v>23105755</v>
      </c>
      <c r="B91" t="s">
        <v>282</v>
      </c>
      <c r="C91">
        <v>60</v>
      </c>
      <c r="E91" t="str">
        <v>สันนอกหมูสดสไลซ์ แพ็คถาด 500 กรัม</v>
      </c>
      <c r="F91" s="11">
        <v>6</v>
      </c>
      <c r="H91" s="3" t="str">
        <v>สันนอกหมูตัดชิ้น (M)</v>
      </c>
      <c r="I91" s="39">
        <f>_xlfn.XLOOKUP(E91,'แผน Makro 100%'!C:C,'แผน Makro 100%'!L:L,0)</f>
        <v>0</v>
      </c>
      <c r="J91" s="39" t="str">
        <f t="shared" si="2"/>
        <v>ไม่พบ</v>
      </c>
    </row>
    <row r="92" spans="1:10" x14ac:dyDescent="0.35">
      <c r="A92">
        <v>23105820</v>
      </c>
      <c r="B92" t="s">
        <v>123</v>
      </c>
      <c r="C92">
        <v>0</v>
      </c>
      <c r="E92" t="str">
        <v>สามชั้น(M)</v>
      </c>
      <c r="F92" s="11">
        <v>350</v>
      </c>
      <c r="H92" s="3" t="str">
        <v>สันนอกหมูสดสไลซ์ แพ็คถาด 1 กก.</v>
      </c>
      <c r="I92" s="39">
        <f>_xlfn.XLOOKUP(E92,'แผน Makro 100%'!C:C,'แผน Makro 100%'!L:L,0)</f>
        <v>0</v>
      </c>
      <c r="J92" s="39">
        <f t="shared" si="2"/>
        <v>12</v>
      </c>
    </row>
    <row r="93" spans="1:10" x14ac:dyDescent="0.35">
      <c r="A93">
        <v>23106549</v>
      </c>
      <c r="B93" t="s">
        <v>122</v>
      </c>
      <c r="C93">
        <v>50</v>
      </c>
      <c r="E93" t="str">
        <v>สามชั้นสไลด์</v>
      </c>
      <c r="F93" s="11">
        <v>2210</v>
      </c>
      <c r="H93" s="3" t="str">
        <v>สันนอกหมูสดสไลซ์ แพ็คถาด 500 กรัม</v>
      </c>
      <c r="I93" s="39">
        <f>_xlfn.XLOOKUP(E93,'แผน Makro 100%'!C:C,'แผน Makro 100%'!L:L,0)</f>
        <v>0</v>
      </c>
      <c r="J93" s="39">
        <f t="shared" si="2"/>
        <v>6</v>
      </c>
    </row>
    <row r="94" spans="1:10" x14ac:dyDescent="0.35">
      <c r="A94">
        <v>23108462</v>
      </c>
      <c r="B94" t="s">
        <v>77</v>
      </c>
      <c r="C94">
        <v>100</v>
      </c>
      <c r="E94" t="str">
        <v>สามชั้นหมูชีวา (ตรา ยูฟาร์ม) 400 กรัม</v>
      </c>
      <c r="F94" s="11">
        <v>1.6</v>
      </c>
      <c r="H94" s="3" t="str">
        <v>สามชั้น(M)</v>
      </c>
      <c r="I94" s="39">
        <f>_xlfn.XLOOKUP(E94,'แผน Makro 100%'!C:C,'แผน Makro 100%'!L:L,0)</f>
        <v>0</v>
      </c>
      <c r="J94" s="39">
        <f t="shared" si="2"/>
        <v>350</v>
      </c>
    </row>
    <row r="95" spans="1:10" x14ac:dyDescent="0.35">
      <c r="A95">
        <v>23109326</v>
      </c>
      <c r="B95" t="s">
        <v>78</v>
      </c>
      <c r="C95">
        <v>660</v>
      </c>
      <c r="E95" t="str">
        <v>สามชั้นหมูชีวาสไลซ์(ตรา ยูฟาร์ม)250 กรัม</v>
      </c>
      <c r="F95" s="11">
        <v>3</v>
      </c>
      <c r="H95" s="3" t="str">
        <v>สามชั้นสไลด์</v>
      </c>
      <c r="I95" s="39">
        <f>_xlfn.XLOOKUP(E95,'แผน Makro 100%'!C:C,'แผน Makro 100%'!L:L,0)</f>
        <v>0</v>
      </c>
      <c r="J95" s="39">
        <f t="shared" si="2"/>
        <v>2210</v>
      </c>
    </row>
    <row r="96" spans="1:10" x14ac:dyDescent="0.35">
      <c r="A96">
        <v>23109351</v>
      </c>
      <c r="B96" t="s">
        <v>79</v>
      </c>
      <c r="C96">
        <v>3</v>
      </c>
      <c r="E96" t="str">
        <v>สามชั้นหมูตัดเส้น 1 กก. (M)</v>
      </c>
      <c r="F96" s="11">
        <v>2</v>
      </c>
      <c r="H96" s="3" t="str">
        <v>สามชั้นหมูชีวา (ตรา ยูฟาร์ม) 400 กรัม</v>
      </c>
      <c r="I96" s="39">
        <f>_xlfn.XLOOKUP(E96,'แผน Makro 100%'!C:C,'แผน Makro 100%'!L:L,0)</f>
        <v>0</v>
      </c>
      <c r="J96" s="39">
        <f t="shared" si="2"/>
        <v>1.6</v>
      </c>
    </row>
    <row r="97" spans="1:10" x14ac:dyDescent="0.35">
      <c r="A97">
        <v>23109352</v>
      </c>
      <c r="B97" t="s">
        <v>80</v>
      </c>
      <c r="C97">
        <v>3</v>
      </c>
      <c r="E97" t="str">
        <v>สามชั้นหมูตัดเส้น 1-2 นิ้ว(M)</v>
      </c>
      <c r="F97" s="11">
        <v>150</v>
      </c>
      <c r="H97" s="3" t="str">
        <v>สามชั้นหมูชีวาสไลซ์(ตรา ยูฟาร์ม)250 กรัม</v>
      </c>
      <c r="I97" s="39">
        <f>_xlfn.XLOOKUP(E97,'แผน Makro 100%'!C:C,'แผน Makro 100%'!L:L,0)</f>
        <v>0</v>
      </c>
      <c r="J97" s="39">
        <f t="shared" si="2"/>
        <v>3</v>
      </c>
    </row>
    <row r="98" spans="1:10" x14ac:dyDescent="0.35">
      <c r="A98">
        <v>23109353</v>
      </c>
      <c r="B98" t="s">
        <v>81</v>
      </c>
      <c r="C98">
        <v>3</v>
      </c>
      <c r="E98" t="str">
        <v>สามชั้นหมูตัดเส้น 3-4 นิ้ว</v>
      </c>
      <c r="F98" s="11">
        <v>180</v>
      </c>
      <c r="H98" s="3" t="str">
        <v>สามชั้นหมูตัดเส้น 1 กก. (M)</v>
      </c>
      <c r="I98" s="39">
        <f>_xlfn.XLOOKUP(E98,'แผน Makro 100%'!C:C,'แผน Makro 100%'!L:L,0)</f>
        <v>0</v>
      </c>
      <c r="J98" s="39">
        <f t="shared" si="2"/>
        <v>2</v>
      </c>
    </row>
    <row r="99" spans="1:10" x14ac:dyDescent="0.35">
      <c r="A99">
        <v>23109357</v>
      </c>
      <c r="B99" t="s">
        <v>82</v>
      </c>
      <c r="C99">
        <v>0.8</v>
      </c>
      <c r="E99" t="str">
        <v>สามชั้นหมูสไลซ์ 1 กก. (M)</v>
      </c>
      <c r="F99" s="11">
        <v>30</v>
      </c>
      <c r="H99" s="3" t="str">
        <v>สามชั้นหมูตัดเส้น 1-2 นิ้ว(M)</v>
      </c>
      <c r="I99" s="39">
        <f>_xlfn.XLOOKUP(E99,'แผน Makro 100%'!C:C,'แผน Makro 100%'!L:L,0)</f>
        <v>0</v>
      </c>
      <c r="J99" s="39">
        <f t="shared" si="2"/>
        <v>150</v>
      </c>
    </row>
    <row r="100" spans="1:10" x14ac:dyDescent="0.35">
      <c r="A100">
        <v>23109358</v>
      </c>
      <c r="B100" t="s">
        <v>83</v>
      </c>
      <c r="C100">
        <v>1.6</v>
      </c>
      <c r="E100" t="str">
        <v>สามชั้นหมูสดสไลซ์ แพ็คถาด 1 กก.</v>
      </c>
      <c r="F100" s="11">
        <v>16</v>
      </c>
      <c r="H100" s="3" t="str">
        <v>สามชั้นหมูตัดเส้น 3-4 นิ้ว</v>
      </c>
      <c r="I100" s="39">
        <f>_xlfn.XLOOKUP(E100,'แผน Makro 100%'!C:C,'แผน Makro 100%'!L:L,0)</f>
        <v>0</v>
      </c>
      <c r="J100" s="39">
        <f t="shared" si="2"/>
        <v>180</v>
      </c>
    </row>
    <row r="101" spans="1:10" x14ac:dyDescent="0.35">
      <c r="A101">
        <v>23109359</v>
      </c>
      <c r="B101" t="s">
        <v>84</v>
      </c>
      <c r="C101">
        <v>4.8</v>
      </c>
      <c r="E101" t="str">
        <v>สามชั้นหมูสดสไลซ์แพ็คถาด 500 กรัม</v>
      </c>
      <c r="F101" s="11">
        <v>12</v>
      </c>
      <c r="H101" s="3" t="str">
        <v>สามชั้นหมูสไลซ์ 1 กก. (M)</v>
      </c>
      <c r="I101" s="39">
        <f>_xlfn.XLOOKUP(E101,'แผน Makro 100%'!C:C,'แผน Makro 100%'!L:L,0)</f>
        <v>0</v>
      </c>
      <c r="J101" s="39">
        <f t="shared" si="2"/>
        <v>30</v>
      </c>
    </row>
    <row r="102" spans="1:10" x14ac:dyDescent="0.35">
      <c r="A102">
        <v>23109532</v>
      </c>
      <c r="B102" t="s">
        <v>85</v>
      </c>
      <c r="C102">
        <v>1.6</v>
      </c>
      <c r="E102" t="str">
        <v>สามชั้นหั่นพะโล้ กก.ละ</v>
      </c>
      <c r="F102" s="11">
        <v>10</v>
      </c>
      <c r="H102" s="3" t="str">
        <v>สามชั้นหมูสดสไลซ์ แพ็คถาด 1 กก.</v>
      </c>
      <c r="I102" s="39">
        <f>_xlfn.XLOOKUP(E102,'แผน Makro 100%'!C:C,'แผน Makro 100%'!L:L,0)</f>
        <v>0</v>
      </c>
      <c r="J102" s="39">
        <f t="shared" si="2"/>
        <v>16</v>
      </c>
    </row>
    <row r="103" spans="1:10" x14ac:dyDescent="0.35">
      <c r="A103">
        <v>23110584</v>
      </c>
      <c r="B103" t="s">
        <v>86</v>
      </c>
      <c r="C103">
        <v>12</v>
      </c>
      <c r="E103" t="str">
        <v>หนังสันหลัง (M)</v>
      </c>
      <c r="F103" s="11">
        <v>330</v>
      </c>
      <c r="H103" s="3" t="str">
        <v>สามชั้นหมูสดสไลซ์แพ็คถาด 500 กรัม</v>
      </c>
      <c r="I103" s="39">
        <f>_xlfn.XLOOKUP(E103,'แผน Makro 100%'!C:C,'แผน Makro 100%'!L:L,0)</f>
        <v>0</v>
      </c>
      <c r="J103" s="39">
        <f t="shared" ref="J103:J117" si="3">_xlfn.XLOOKUP(H103,E:E,F:F,"ไม่พบ")</f>
        <v>12</v>
      </c>
    </row>
    <row r="104" spans="1:10" x14ac:dyDescent="0.35">
      <c r="A104">
        <v>23110587</v>
      </c>
      <c r="B104" t="s">
        <v>87</v>
      </c>
      <c r="C104">
        <v>12</v>
      </c>
      <c r="E104" t="str">
        <v>หน้ากากหมูเผา(M)</v>
      </c>
      <c r="F104" s="11">
        <v>90</v>
      </c>
      <c r="H104" s="3" t="str">
        <v>สามชั้นหมูหั่นแกง แพ็คถาด 1 กก.</v>
      </c>
      <c r="I104" s="39">
        <f>_xlfn.XLOOKUP(E104,'แผน Makro 100%'!C:C,'แผน Makro 100%'!L:L,0)</f>
        <v>0</v>
      </c>
      <c r="J104" s="39" t="str">
        <f t="shared" si="3"/>
        <v>ไม่พบ</v>
      </c>
    </row>
    <row r="105" spans="1:10" x14ac:dyDescent="0.35">
      <c r="A105">
        <v>23110590</v>
      </c>
      <c r="B105" t="s">
        <v>88</v>
      </c>
      <c r="C105">
        <v>12</v>
      </c>
      <c r="E105" t="str">
        <v>หน้ากากหมูหั่นชิ้น(M)</v>
      </c>
      <c r="F105" s="11">
        <v>0</v>
      </c>
      <c r="H105" s="3" t="str">
        <v>สามชั้นหมูหั่นแกง แพ็คถาด 500 กรัม</v>
      </c>
      <c r="I105" s="39">
        <f>_xlfn.XLOOKUP(E105,'แผน Makro 100%'!C:C,'แผน Makro 100%'!L:L,0)</f>
        <v>0</v>
      </c>
      <c r="J105" s="39" t="str">
        <f t="shared" si="3"/>
        <v>ไม่พบ</v>
      </c>
    </row>
    <row r="106" spans="1:10" x14ac:dyDescent="0.35">
      <c r="A106">
        <v>23110593</v>
      </c>
      <c r="B106" t="s">
        <v>89</v>
      </c>
      <c r="C106">
        <v>12</v>
      </c>
      <c r="E106" t="str">
        <v>หมูชีวาบด (ตรา ยูฟาร์ม) 400 กรัม</v>
      </c>
      <c r="F106" s="11">
        <v>4.8</v>
      </c>
      <c r="H106" s="3" t="str">
        <v>สามชั้นหั่นพะโล้ แพ็คถาด 1 กก.</v>
      </c>
      <c r="I106" s="39">
        <f>_xlfn.XLOOKUP(E106,'แผน Makro 100%'!C:C,'แผน Makro 100%'!L:L,0)</f>
        <v>0</v>
      </c>
      <c r="J106" s="39" t="str">
        <f t="shared" si="3"/>
        <v>ไม่พบ</v>
      </c>
    </row>
    <row r="107" spans="1:10" x14ac:dyDescent="0.35">
      <c r="A107">
        <v>23110595</v>
      </c>
      <c r="B107" t="s">
        <v>90</v>
      </c>
      <c r="C107">
        <v>16</v>
      </c>
      <c r="E107" t="str">
        <v>หมูบด (M)</v>
      </c>
      <c r="F107" s="11">
        <v>380</v>
      </c>
      <c r="H107" s="3" t="str">
        <v>สามชั้นหั่นพะโล้ แพ็คถาด 500 กรัม</v>
      </c>
      <c r="I107" s="39">
        <f>_xlfn.XLOOKUP(E107,'แผน Makro 100%'!C:C,'แผน Makro 100%'!L:L,0)</f>
        <v>0</v>
      </c>
      <c r="J107" s="39" t="str">
        <f t="shared" si="3"/>
        <v>ไม่พบ</v>
      </c>
    </row>
    <row r="108" spans="1:10" x14ac:dyDescent="0.35">
      <c r="A108">
        <v>23110600</v>
      </c>
      <c r="B108" t="s">
        <v>91</v>
      </c>
      <c r="C108">
        <v>16</v>
      </c>
      <c r="E108" t="str">
        <v>หมูบด ผสมมัน 10% แพ็คถาด 1 กก.</v>
      </c>
      <c r="F108" s="11">
        <v>12</v>
      </c>
      <c r="H108" s="3" t="str">
        <v>สามชั้นหั่นพะโล้ กก.ละ</v>
      </c>
      <c r="I108" s="39">
        <f>_xlfn.XLOOKUP(E108,'แผน Makro 100%'!C:C,'แผน Makro 100%'!L:L,0)</f>
        <v>0</v>
      </c>
      <c r="J108" s="39">
        <f t="shared" si="3"/>
        <v>10</v>
      </c>
    </row>
    <row r="109" spans="1:10" x14ac:dyDescent="0.35">
      <c r="A109">
        <v>23110630</v>
      </c>
      <c r="B109" t="s">
        <v>596</v>
      </c>
      <c r="C109">
        <v>3.6</v>
      </c>
      <c r="E109" t="str">
        <v>หมูบด ผสมมัน 10% แพ็คถาด 500 กรัม</v>
      </c>
      <c r="F109" s="11">
        <v>8</v>
      </c>
      <c r="H109" s="3" t="str">
        <v>หนังสันหลัง (M)</v>
      </c>
      <c r="I109" s="39">
        <f>_xlfn.XLOOKUP(E109,'แผน Makro 100%'!C:C,'แผน Makro 100%'!L:L,0)</f>
        <v>0</v>
      </c>
      <c r="J109" s="39">
        <f t="shared" si="3"/>
        <v>330</v>
      </c>
    </row>
    <row r="110" spans="1:10" x14ac:dyDescent="0.35">
      <c r="A110">
        <v>23110631</v>
      </c>
      <c r="B110" t="s">
        <v>118</v>
      </c>
      <c r="C110">
        <v>6</v>
      </c>
      <c r="E110" t="str">
        <v>หมูบด ผสมมัน 30% แพ็คถาด 1 กก.</v>
      </c>
      <c r="F110" s="11">
        <v>12</v>
      </c>
      <c r="H110" s="3" t="str">
        <v>หนังหมูรวม(M)</v>
      </c>
      <c r="I110" s="39">
        <f>_xlfn.XLOOKUP(E110,'แผน Makro 100%'!C:C,'แผน Makro 100%'!L:L,0)</f>
        <v>0</v>
      </c>
      <c r="J110" s="39" t="str">
        <f t="shared" si="3"/>
        <v>ไม่พบ</v>
      </c>
    </row>
    <row r="111" spans="1:10" x14ac:dyDescent="0.35">
      <c r="A111">
        <v>23111028</v>
      </c>
      <c r="B111" t="s">
        <v>92</v>
      </c>
      <c r="C111">
        <v>8</v>
      </c>
      <c r="E111" t="str">
        <v>หมูบด ผสมมัน 30% แพ็คถาด 500 กรัม</v>
      </c>
      <c r="F111" s="11">
        <v>8</v>
      </c>
      <c r="H111" s="3" t="str">
        <v>หน้ากากหมูเผา(M)</v>
      </c>
      <c r="I111" s="39">
        <f>_xlfn.XLOOKUP(E111,'แผน Makro 100%'!C:C,'แผน Makro 100%'!L:L,0)</f>
        <v>0</v>
      </c>
      <c r="J111" s="39">
        <f t="shared" si="3"/>
        <v>90</v>
      </c>
    </row>
    <row r="112" spans="1:10" x14ac:dyDescent="0.35">
      <c r="A112">
        <v>23111033</v>
      </c>
      <c r="B112" t="s">
        <v>93</v>
      </c>
      <c r="C112">
        <v>12</v>
      </c>
      <c r="E112" t="str">
        <v>หมูบดปนมัน 30% แพ็ค กก.(M)</v>
      </c>
      <c r="F112" s="11">
        <v>100</v>
      </c>
      <c r="H112" s="3" t="str">
        <v>หน้ากากหมูหั่นชิ้น แพ็คถาด 500 กรัม</v>
      </c>
      <c r="I112" s="39">
        <f>_xlfn.XLOOKUP(E112,'แผน Makro 100%'!C:C,'แผน Makro 100%'!L:L,0)</f>
        <v>0</v>
      </c>
      <c r="J112" s="39" t="str">
        <f t="shared" si="3"/>
        <v>ไม่พบ</v>
      </c>
    </row>
    <row r="113" spans="1:10" x14ac:dyDescent="0.35">
      <c r="A113">
        <v>23111034</v>
      </c>
      <c r="B113" t="s">
        <v>94</v>
      </c>
      <c r="C113">
        <v>12</v>
      </c>
      <c r="E113" t="str">
        <v>หมูบดปนมัน 30%(M)</v>
      </c>
      <c r="F113" s="11">
        <v>300</v>
      </c>
      <c r="H113" s="3" t="str">
        <v>หมุบดเบอร์ 1</v>
      </c>
      <c r="I113" s="39">
        <f>_xlfn.XLOOKUP(E113,'แผน Makro 100%'!C:C,'แผน Makro 100%'!L:L,0)</f>
        <v>0</v>
      </c>
      <c r="J113" s="39" t="str">
        <f t="shared" si="3"/>
        <v>ไม่พบ</v>
      </c>
    </row>
    <row r="114" spans="1:10" x14ac:dyDescent="0.35">
      <c r="A114">
        <v>23111035</v>
      </c>
      <c r="B114" t="s">
        <v>95</v>
      </c>
      <c r="C114">
        <v>6</v>
      </c>
      <c r="E114" t="str">
        <v>หมูบดอนามัยซีพี-W1000กรัม</v>
      </c>
      <c r="F114" s="11">
        <v>0</v>
      </c>
      <c r="H114" s="3" t="str">
        <v>หมูชีวาบด (ตรา ยูฟาร์ม) 400 กรัม</v>
      </c>
      <c r="I114" s="39">
        <f>_xlfn.XLOOKUP(E114,'แผน Makro 100%'!C:C,'แผน Makro 100%'!L:L,0)</f>
        <v>0</v>
      </c>
      <c r="J114" s="39">
        <f t="shared" si="3"/>
        <v>4.8</v>
      </c>
    </row>
    <row r="115" spans="1:10" x14ac:dyDescent="0.35">
      <c r="A115">
        <v>23111036</v>
      </c>
      <c r="B115" t="s">
        <v>96</v>
      </c>
      <c r="C115">
        <v>10</v>
      </c>
      <c r="E115" t="str">
        <v>หัวใจหมู (M)</v>
      </c>
      <c r="F115" s="11">
        <v>40</v>
      </c>
      <c r="H115" s="3" t="str">
        <v>หมูบด (M)</v>
      </c>
      <c r="I115" s="39">
        <f>_xlfn.XLOOKUP(E115,'แผน Makro 100%'!C:C,'แผน Makro 100%'!L:L,0)</f>
        <v>0</v>
      </c>
      <c r="J115" s="39">
        <f t="shared" si="3"/>
        <v>380</v>
      </c>
    </row>
    <row r="116" spans="1:10" x14ac:dyDescent="0.35">
      <c r="A116">
        <v>23111037</v>
      </c>
      <c r="B116" t="s">
        <v>97</v>
      </c>
      <c r="C116">
        <v>8</v>
      </c>
      <c r="E116" t="str">
        <v>หางหมูเผา(M)</v>
      </c>
      <c r="F116" s="11">
        <v>25</v>
      </c>
      <c r="H116" s="3" t="str">
        <v>หมูบด ผสมมัน 10% แพ็คถาด 1 กก.</v>
      </c>
      <c r="I116" s="39">
        <f>_xlfn.XLOOKUP(E116,'แผน Makro 100%'!C:C,'แผน Makro 100%'!L:L,0)</f>
        <v>0</v>
      </c>
      <c r="J116" s="39">
        <f t="shared" si="3"/>
        <v>12</v>
      </c>
    </row>
    <row r="117" spans="1:10" x14ac:dyDescent="0.35">
      <c r="A117" t="s">
        <v>133</v>
      </c>
      <c r="C117">
        <v>19224.799899999995</v>
      </c>
      <c r="E117">
        <v>0</v>
      </c>
      <c r="F117" s="11">
        <v>19224.799899999995</v>
      </c>
      <c r="H117" s="3" t="str">
        <v>หมูบด ผสมมัน 10% แพ็คถาด 500 กรัม</v>
      </c>
      <c r="I117" s="39">
        <f>_xlfn.XLOOKUP(E117,'แผน Makro 100%'!C:C,'แผน Makro 100%'!L:L,0)</f>
        <v>0</v>
      </c>
      <c r="J117" s="39">
        <f t="shared" si="3"/>
        <v>8</v>
      </c>
    </row>
    <row r="118" spans="1:10" x14ac:dyDescent="0.35">
      <c r="E118">
        <v>0</v>
      </c>
      <c r="F118" s="11">
        <v>0</v>
      </c>
      <c r="H118" s="3" t="str">
        <v>หมูบด ผสมมัน 30% แพ็คถาด 1 กก.</v>
      </c>
      <c r="I118" s="39">
        <f>_xlfn.XLOOKUP(E119,'แผน Makro 100%'!C:C,'แผน Makro 100%'!L:L,0)</f>
        <v>0</v>
      </c>
      <c r="J118" s="39">
        <f t="shared" ref="J118:J134" si="4">_xlfn.XLOOKUP(H118,E:E,F:F,"ไม่พบ")</f>
        <v>12</v>
      </c>
    </row>
    <row r="119" spans="1:10" x14ac:dyDescent="0.35">
      <c r="E119">
        <v>0</v>
      </c>
      <c r="F119" s="11">
        <v>0</v>
      </c>
      <c r="H119" s="3" t="str">
        <v>หมูบด ผสมมัน 30% แพ็คถาด 500 กรัม</v>
      </c>
      <c r="I119" s="39">
        <f>_xlfn.XLOOKUP(E120,'แผน Makro 100%'!C:C,'แผน Makro 100%'!L:L,0)</f>
        <v>0</v>
      </c>
      <c r="J119" s="39">
        <f t="shared" si="4"/>
        <v>8</v>
      </c>
    </row>
    <row r="120" spans="1:10" x14ac:dyDescent="0.35">
      <c r="E120">
        <v>0</v>
      </c>
      <c r="F120" s="11">
        <v>0</v>
      </c>
      <c r="H120" s="3" t="str">
        <v>หมูบดเบอร์ 1(1 กก.)</v>
      </c>
      <c r="I120" s="39">
        <f>_xlfn.XLOOKUP(E121,'แผน Makro 100%'!C:C,'แผน Makro 100%'!L:L,0)</f>
        <v>0</v>
      </c>
      <c r="J120" s="39" t="str">
        <f t="shared" si="4"/>
        <v>ไม่พบ</v>
      </c>
    </row>
    <row r="121" spans="1:10" x14ac:dyDescent="0.35">
      <c r="E121">
        <v>0</v>
      </c>
      <c r="F121" s="11">
        <v>0</v>
      </c>
      <c r="H121" s="3" t="str">
        <v>หมูบดปนมัน 30% แพ็ค กก.(M)</v>
      </c>
      <c r="I121" s="39">
        <f>_xlfn.XLOOKUP(E122,'แผน Makro 100%'!C:C,'แผน Makro 100%'!L:L,0)</f>
        <v>0</v>
      </c>
      <c r="J121" s="39">
        <f t="shared" si="4"/>
        <v>100</v>
      </c>
    </row>
    <row r="122" spans="1:10" x14ac:dyDescent="0.35">
      <c r="E122">
        <v>0</v>
      </c>
      <c r="F122" s="11">
        <v>0</v>
      </c>
      <c r="H122" s="3" t="str">
        <v>หมูบดปนมัน 30%(M)</v>
      </c>
      <c r="I122" s="39">
        <f>_xlfn.XLOOKUP(E123,'แผน Makro 100%'!C:C,'แผน Makro 100%'!L:L,0)</f>
        <v>0</v>
      </c>
      <c r="J122" s="39">
        <f t="shared" si="4"/>
        <v>300</v>
      </c>
    </row>
    <row r="123" spans="1:10" x14ac:dyDescent="0.35">
      <c r="E123">
        <v>0</v>
      </c>
      <c r="F123" s="11">
        <v>0</v>
      </c>
      <c r="H123" s="3" t="str">
        <v>หัวใจหมู (M)</v>
      </c>
      <c r="I123" s="39">
        <f>_xlfn.XLOOKUP(E124,'แผน Makro 100%'!C:C,'แผน Makro 100%'!L:L,0)</f>
        <v>0</v>
      </c>
      <c r="J123" s="39">
        <f t="shared" si="4"/>
        <v>40</v>
      </c>
    </row>
    <row r="124" spans="1:10" x14ac:dyDescent="0.35">
      <c r="E124">
        <v>0</v>
      </c>
      <c r="F124" s="11">
        <v>0</v>
      </c>
      <c r="H124" s="3" t="str">
        <v>หางหมูเผา(M)</v>
      </c>
      <c r="I124" s="39">
        <f>_xlfn.XLOOKUP(E125,'แผน Makro 100%'!C:C,'แผน Makro 100%'!L:L,0)</f>
        <v>0</v>
      </c>
      <c r="J124" s="39">
        <f t="shared" si="4"/>
        <v>25</v>
      </c>
    </row>
    <row r="125" spans="1:10" x14ac:dyDescent="0.35">
      <c r="E125">
        <v>0</v>
      </c>
      <c r="F125" s="11">
        <v>0</v>
      </c>
      <c r="H125" s="3">
        <v>0</v>
      </c>
      <c r="I125" s="39">
        <f>_xlfn.XLOOKUP(E126,'แผน Makro 100%'!C:C,'แผน Makro 100%'!L:L,0)</f>
        <v>0</v>
      </c>
      <c r="J125" s="39">
        <f t="shared" si="4"/>
        <v>19224.799899999995</v>
      </c>
    </row>
    <row r="126" spans="1:10" x14ac:dyDescent="0.35">
      <c r="E126">
        <v>0</v>
      </c>
      <c r="F126" s="11">
        <v>0</v>
      </c>
      <c r="I126" s="39">
        <f>_xlfn.XLOOKUP(E127,'แผน Makro 100%'!C:C,'แผน Makro 100%'!L:L,0)</f>
        <v>0</v>
      </c>
      <c r="J126" s="39">
        <f t="shared" si="4"/>
        <v>0</v>
      </c>
    </row>
    <row r="127" spans="1:10" x14ac:dyDescent="0.35">
      <c r="E127">
        <v>0</v>
      </c>
      <c r="F127" s="11">
        <v>0</v>
      </c>
      <c r="I127" s="39">
        <f>_xlfn.XLOOKUP(E128,'แผน Makro 100%'!C:C,'แผน Makro 100%'!L:L,0)</f>
        <v>0</v>
      </c>
      <c r="J127" s="39">
        <f t="shared" si="4"/>
        <v>0</v>
      </c>
    </row>
    <row r="128" spans="1:10" x14ac:dyDescent="0.35">
      <c r="E128">
        <v>0</v>
      </c>
      <c r="F128" s="11">
        <v>0</v>
      </c>
      <c r="I128" s="39">
        <f>_xlfn.XLOOKUP(E129,'แผน Makro 100%'!C:C,'แผน Makro 100%'!L:L,0)</f>
        <v>0</v>
      </c>
      <c r="J128" s="39">
        <f t="shared" si="4"/>
        <v>0</v>
      </c>
    </row>
    <row r="129" spans="5:10" x14ac:dyDescent="0.35">
      <c r="E129">
        <v>0</v>
      </c>
      <c r="F129" s="11">
        <v>0</v>
      </c>
      <c r="I129" s="39">
        <f>_xlfn.XLOOKUP(E130,'แผน Makro 100%'!C:C,'แผน Makro 100%'!L:L,0)</f>
        <v>0</v>
      </c>
      <c r="J129" s="39">
        <f t="shared" si="4"/>
        <v>0</v>
      </c>
    </row>
    <row r="130" spans="5:10" x14ac:dyDescent="0.35">
      <c r="E130">
        <v>0</v>
      </c>
      <c r="F130" s="11">
        <v>0</v>
      </c>
      <c r="I130" s="39">
        <f>_xlfn.XLOOKUP(E131,'แผน Makro 100%'!C:C,'แผน Makro 100%'!L:L,0)</f>
        <v>0</v>
      </c>
      <c r="J130" s="39">
        <f t="shared" si="4"/>
        <v>0</v>
      </c>
    </row>
    <row r="131" spans="5:10" x14ac:dyDescent="0.35">
      <c r="E131">
        <v>0</v>
      </c>
      <c r="F131" s="11">
        <v>0</v>
      </c>
      <c r="I131" s="39">
        <f>_xlfn.XLOOKUP(E132,'แผน Makro 100%'!C:C,'แผน Makro 100%'!L:L,0)</f>
        <v>0</v>
      </c>
      <c r="J131" s="39">
        <f t="shared" si="4"/>
        <v>0</v>
      </c>
    </row>
    <row r="132" spans="5:10" x14ac:dyDescent="0.35">
      <c r="E132">
        <v>0</v>
      </c>
      <c r="F132" s="11">
        <v>0</v>
      </c>
      <c r="I132" s="39">
        <f>_xlfn.XLOOKUP(E133,'แผน Makro 100%'!C:C,'แผน Makro 100%'!L:L,0)</f>
        <v>0</v>
      </c>
      <c r="J132" s="39">
        <f t="shared" si="4"/>
        <v>0</v>
      </c>
    </row>
    <row r="133" spans="5:10" x14ac:dyDescent="0.35">
      <c r="E133">
        <v>0</v>
      </c>
      <c r="F133" s="11">
        <v>0</v>
      </c>
      <c r="I133" s="39">
        <f>_xlfn.XLOOKUP(E134,'แผน Makro 100%'!C:C,'แผน Makro 100%'!L:L,0)</f>
        <v>0</v>
      </c>
      <c r="J133" s="39">
        <f t="shared" si="4"/>
        <v>0</v>
      </c>
    </row>
    <row r="134" spans="5:10" x14ac:dyDescent="0.35">
      <c r="E134">
        <v>0</v>
      </c>
      <c r="F134" s="11">
        <v>0</v>
      </c>
      <c r="I134" s="39">
        <f>_xlfn.XLOOKUP(E135,'แผน Makro 100%'!C:C,'แผน Makro 100%'!L:L,0)</f>
        <v>0</v>
      </c>
      <c r="J134" s="39">
        <f t="shared" si="4"/>
        <v>0</v>
      </c>
    </row>
    <row r="135" spans="5:10" x14ac:dyDescent="0.35">
      <c r="E135">
        <v>0</v>
      </c>
      <c r="F135" s="11">
        <v>0</v>
      </c>
      <c r="I135" s="39">
        <f>_xlfn.XLOOKUP(E136,'แผน Makro 100%'!C:C,'แผน Makro 100%'!L:L,0)</f>
        <v>0</v>
      </c>
      <c r="J135" s="39">
        <f t="shared" ref="J135:J198" si="5">_xlfn.XLOOKUP(H135,E:E,F:F,"ไม่พบ")</f>
        <v>0</v>
      </c>
    </row>
    <row r="136" spans="5:10" x14ac:dyDescent="0.35">
      <c r="E136">
        <v>0</v>
      </c>
      <c r="F136" s="11">
        <v>0</v>
      </c>
      <c r="I136" s="39">
        <f>_xlfn.XLOOKUP(E137,'แผน Makro 100%'!C:C,'แผน Makro 100%'!L:L,0)</f>
        <v>0</v>
      </c>
      <c r="J136" s="39">
        <f t="shared" si="5"/>
        <v>0</v>
      </c>
    </row>
    <row r="137" spans="5:10" x14ac:dyDescent="0.35">
      <c r="E137">
        <v>0</v>
      </c>
      <c r="F137" s="11">
        <v>0</v>
      </c>
      <c r="I137" s="39">
        <f>_xlfn.XLOOKUP(E138,'แผน Makro 100%'!C:C,'แผน Makro 100%'!L:L,0)</f>
        <v>0</v>
      </c>
      <c r="J137" s="39">
        <f t="shared" si="5"/>
        <v>0</v>
      </c>
    </row>
    <row r="138" spans="5:10" x14ac:dyDescent="0.35">
      <c r="E138">
        <v>0</v>
      </c>
      <c r="F138" s="11">
        <v>0</v>
      </c>
      <c r="I138" s="39">
        <f>_xlfn.XLOOKUP(E139,'แผน Makro 100%'!C:C,'แผน Makro 100%'!L:L,0)</f>
        <v>0</v>
      </c>
      <c r="J138" s="39">
        <f t="shared" si="5"/>
        <v>0</v>
      </c>
    </row>
    <row r="139" spans="5:10" x14ac:dyDescent="0.35">
      <c r="E139">
        <v>0</v>
      </c>
      <c r="F139" s="11">
        <v>0</v>
      </c>
      <c r="I139" s="39">
        <f>_xlfn.XLOOKUP(E140,'แผน Makro 100%'!C:C,'แผน Makro 100%'!L:L,0)</f>
        <v>0</v>
      </c>
      <c r="J139" s="39">
        <f t="shared" si="5"/>
        <v>0</v>
      </c>
    </row>
    <row r="140" spans="5:10" x14ac:dyDescent="0.35">
      <c r="E140">
        <v>0</v>
      </c>
      <c r="F140" s="11">
        <v>0</v>
      </c>
      <c r="I140" s="39">
        <f>_xlfn.XLOOKUP(E141,'แผน Makro 100%'!C:C,'แผน Makro 100%'!L:L,0)</f>
        <v>0</v>
      </c>
      <c r="J140" s="39">
        <f t="shared" si="5"/>
        <v>0</v>
      </c>
    </row>
    <row r="141" spans="5:10" x14ac:dyDescent="0.35">
      <c r="E141">
        <v>0</v>
      </c>
      <c r="F141" s="11">
        <v>0</v>
      </c>
      <c r="I141" s="39">
        <f>_xlfn.XLOOKUP(E142,'แผน Makro 100%'!C:C,'แผน Makro 100%'!L:L,0)</f>
        <v>0</v>
      </c>
      <c r="J141" s="39">
        <f t="shared" si="5"/>
        <v>0</v>
      </c>
    </row>
    <row r="142" spans="5:10" x14ac:dyDescent="0.35">
      <c r="E142">
        <v>0</v>
      </c>
      <c r="F142" s="11">
        <v>0</v>
      </c>
      <c r="I142" s="39">
        <f>_xlfn.XLOOKUP(E143,'แผน Makro 100%'!C:C,'แผน Makro 100%'!L:L,0)</f>
        <v>0</v>
      </c>
      <c r="J142" s="39">
        <f t="shared" si="5"/>
        <v>0</v>
      </c>
    </row>
    <row r="143" spans="5:10" x14ac:dyDescent="0.35">
      <c r="E143">
        <v>0</v>
      </c>
      <c r="F143" s="11">
        <v>0</v>
      </c>
      <c r="I143" s="39">
        <f>_xlfn.XLOOKUP(E144,'แผน Makro 100%'!C:C,'แผน Makro 100%'!L:L,0)</f>
        <v>0</v>
      </c>
      <c r="J143" s="39">
        <f t="shared" si="5"/>
        <v>0</v>
      </c>
    </row>
    <row r="144" spans="5:10" x14ac:dyDescent="0.35">
      <c r="E144">
        <v>0</v>
      </c>
      <c r="F144" s="11">
        <v>0</v>
      </c>
      <c r="I144" s="39">
        <f>_xlfn.XLOOKUP(E145,'แผน Makro 100%'!C:C,'แผน Makro 100%'!L:L,0)</f>
        <v>0</v>
      </c>
      <c r="J144" s="39">
        <f t="shared" si="5"/>
        <v>0</v>
      </c>
    </row>
    <row r="145" spans="5:10" x14ac:dyDescent="0.35">
      <c r="E145">
        <v>0</v>
      </c>
      <c r="F145" s="11">
        <v>0</v>
      </c>
      <c r="I145" s="39">
        <f>_xlfn.XLOOKUP(E146,'แผน Makro 100%'!C:C,'แผน Makro 100%'!L:L,0)</f>
        <v>0</v>
      </c>
      <c r="J145" s="39">
        <f t="shared" si="5"/>
        <v>0</v>
      </c>
    </row>
    <row r="146" spans="5:10" x14ac:dyDescent="0.35">
      <c r="E146">
        <v>0</v>
      </c>
      <c r="F146" s="11">
        <v>0</v>
      </c>
      <c r="I146" s="39">
        <f>_xlfn.XLOOKUP(E147,'แผน Makro 100%'!C:C,'แผน Makro 100%'!L:L,0)</f>
        <v>0</v>
      </c>
      <c r="J146" s="39">
        <f t="shared" si="5"/>
        <v>0</v>
      </c>
    </row>
    <row r="147" spans="5:10" x14ac:dyDescent="0.35">
      <c r="E147">
        <v>0</v>
      </c>
      <c r="F147" s="11">
        <v>0</v>
      </c>
      <c r="I147" s="39">
        <f>_xlfn.XLOOKUP(E148,'แผน Makro 100%'!C:C,'แผน Makro 100%'!L:L,0)</f>
        <v>0</v>
      </c>
      <c r="J147" s="39">
        <f t="shared" si="5"/>
        <v>0</v>
      </c>
    </row>
    <row r="148" spans="5:10" x14ac:dyDescent="0.35">
      <c r="E148">
        <v>0</v>
      </c>
      <c r="F148" s="11">
        <v>0</v>
      </c>
      <c r="I148" s="39">
        <f>_xlfn.XLOOKUP(E149,'แผน Makro 100%'!C:C,'แผน Makro 100%'!L:L,0)</f>
        <v>0</v>
      </c>
      <c r="J148" s="39">
        <f t="shared" si="5"/>
        <v>0</v>
      </c>
    </row>
    <row r="149" spans="5:10" x14ac:dyDescent="0.35">
      <c r="E149">
        <v>0</v>
      </c>
      <c r="F149" s="11">
        <v>0</v>
      </c>
      <c r="I149" s="39">
        <f>_xlfn.XLOOKUP(E150,'แผน Makro 100%'!C:C,'แผน Makro 100%'!L:L,0)</f>
        <v>0</v>
      </c>
      <c r="J149" s="39">
        <f t="shared" si="5"/>
        <v>0</v>
      </c>
    </row>
    <row r="150" spans="5:10" x14ac:dyDescent="0.35">
      <c r="E150">
        <v>0</v>
      </c>
      <c r="F150" s="11">
        <v>0</v>
      </c>
      <c r="I150" s="39">
        <f>_xlfn.XLOOKUP(E151,'แผน Makro 100%'!C:C,'แผน Makro 100%'!L:L,0)</f>
        <v>0</v>
      </c>
      <c r="J150" s="39">
        <f t="shared" si="5"/>
        <v>0</v>
      </c>
    </row>
    <row r="151" spans="5:10" x14ac:dyDescent="0.35">
      <c r="E151">
        <v>0</v>
      </c>
      <c r="F151" s="11">
        <v>0</v>
      </c>
      <c r="I151" s="39">
        <f>_xlfn.XLOOKUP(E152,'แผน Makro 100%'!C:C,'แผน Makro 100%'!L:L,0)</f>
        <v>0</v>
      </c>
      <c r="J151" s="39">
        <f t="shared" si="5"/>
        <v>0</v>
      </c>
    </row>
    <row r="152" spans="5:10" x14ac:dyDescent="0.35">
      <c r="E152">
        <v>0</v>
      </c>
      <c r="F152" s="11">
        <v>0</v>
      </c>
      <c r="I152" s="39">
        <f>_xlfn.XLOOKUP(E153,'แผน Makro 100%'!C:C,'แผน Makro 100%'!L:L,0)</f>
        <v>0</v>
      </c>
      <c r="J152" s="39">
        <f t="shared" si="5"/>
        <v>0</v>
      </c>
    </row>
    <row r="153" spans="5:10" x14ac:dyDescent="0.35">
      <c r="E153">
        <v>0</v>
      </c>
      <c r="F153" s="11">
        <v>0</v>
      </c>
      <c r="I153" s="39">
        <f>_xlfn.XLOOKUP(E154,'แผน Makro 100%'!C:C,'แผน Makro 100%'!L:L,0)</f>
        <v>0</v>
      </c>
      <c r="J153" s="39">
        <f t="shared" si="5"/>
        <v>0</v>
      </c>
    </row>
    <row r="154" spans="5:10" x14ac:dyDescent="0.35">
      <c r="E154">
        <v>0</v>
      </c>
      <c r="F154" s="11">
        <v>0</v>
      </c>
      <c r="I154" s="39">
        <f>_xlfn.XLOOKUP(E155,'แผน Makro 100%'!C:C,'แผน Makro 100%'!L:L,0)</f>
        <v>0</v>
      </c>
      <c r="J154" s="39">
        <f t="shared" si="5"/>
        <v>0</v>
      </c>
    </row>
    <row r="155" spans="5:10" x14ac:dyDescent="0.35">
      <c r="E155">
        <v>0</v>
      </c>
      <c r="F155" s="11">
        <v>0</v>
      </c>
      <c r="I155" s="39">
        <f>_xlfn.XLOOKUP(E156,'แผน Makro 100%'!C:C,'แผน Makro 100%'!L:L,0)</f>
        <v>0</v>
      </c>
      <c r="J155" s="39">
        <f t="shared" si="5"/>
        <v>0</v>
      </c>
    </row>
    <row r="156" spans="5:10" x14ac:dyDescent="0.35">
      <c r="E156">
        <v>0</v>
      </c>
      <c r="F156" s="11">
        <v>0</v>
      </c>
      <c r="I156" s="39">
        <f>_xlfn.XLOOKUP(E157,'แผน Makro 100%'!C:C,'แผน Makro 100%'!L:L,0)</f>
        <v>0</v>
      </c>
      <c r="J156" s="39">
        <f t="shared" si="5"/>
        <v>0</v>
      </c>
    </row>
    <row r="157" spans="5:10" x14ac:dyDescent="0.35">
      <c r="E157">
        <v>0</v>
      </c>
      <c r="F157" s="11">
        <v>0</v>
      </c>
      <c r="I157" s="39">
        <f>_xlfn.XLOOKUP(E158,'แผน Makro 100%'!C:C,'แผน Makro 100%'!L:L,0)</f>
        <v>0</v>
      </c>
      <c r="J157" s="39">
        <f t="shared" si="5"/>
        <v>0</v>
      </c>
    </row>
    <row r="158" spans="5:10" x14ac:dyDescent="0.35">
      <c r="E158">
        <v>0</v>
      </c>
      <c r="F158" s="11">
        <v>0</v>
      </c>
      <c r="I158" s="39">
        <f>_xlfn.XLOOKUP(E159,'แผน Makro 100%'!C:C,'แผน Makro 100%'!L:L,0)</f>
        <v>0</v>
      </c>
      <c r="J158" s="39">
        <f t="shared" si="5"/>
        <v>0</v>
      </c>
    </row>
    <row r="159" spans="5:10" x14ac:dyDescent="0.35">
      <c r="E159">
        <v>0</v>
      </c>
      <c r="F159" s="11">
        <v>0</v>
      </c>
      <c r="I159" s="39">
        <f>_xlfn.XLOOKUP(E160,'แผน Makro 100%'!C:C,'แผน Makro 100%'!L:L,0)</f>
        <v>0</v>
      </c>
      <c r="J159" s="39">
        <f t="shared" si="5"/>
        <v>0</v>
      </c>
    </row>
    <row r="160" spans="5:10" x14ac:dyDescent="0.35">
      <c r="E160">
        <v>0</v>
      </c>
      <c r="F160" s="11">
        <v>0</v>
      </c>
      <c r="I160" s="39">
        <f>_xlfn.XLOOKUP(E161,'แผน Makro 100%'!C:C,'แผน Makro 100%'!L:L,0)</f>
        <v>0</v>
      </c>
      <c r="J160" s="39">
        <f t="shared" si="5"/>
        <v>0</v>
      </c>
    </row>
    <row r="161" spans="5:10" x14ac:dyDescent="0.35">
      <c r="E161">
        <v>0</v>
      </c>
      <c r="F161" s="11">
        <v>0</v>
      </c>
      <c r="I161" s="39">
        <f>_xlfn.XLOOKUP(E162,'แผน Makro 100%'!C:C,'แผน Makro 100%'!L:L,0)</f>
        <v>0</v>
      </c>
      <c r="J161" s="39">
        <f t="shared" si="5"/>
        <v>0</v>
      </c>
    </row>
    <row r="162" spans="5:10" x14ac:dyDescent="0.35">
      <c r="E162">
        <v>0</v>
      </c>
      <c r="F162" s="11">
        <v>0</v>
      </c>
      <c r="I162" s="39">
        <f>_xlfn.XLOOKUP(E163,'แผน Makro 100%'!C:C,'แผน Makro 100%'!L:L,0)</f>
        <v>0</v>
      </c>
      <c r="J162" s="39">
        <f t="shared" si="5"/>
        <v>0</v>
      </c>
    </row>
    <row r="163" spans="5:10" x14ac:dyDescent="0.35">
      <c r="E163">
        <v>0</v>
      </c>
      <c r="F163" s="11">
        <v>0</v>
      </c>
      <c r="I163" s="39">
        <f>_xlfn.XLOOKUP(E164,'แผน Makro 100%'!C:C,'แผน Makro 100%'!L:L,0)</f>
        <v>0</v>
      </c>
      <c r="J163" s="39">
        <f t="shared" si="5"/>
        <v>0</v>
      </c>
    </row>
    <row r="164" spans="5:10" x14ac:dyDescent="0.35">
      <c r="E164">
        <v>0</v>
      </c>
      <c r="F164" s="11">
        <v>0</v>
      </c>
      <c r="I164" s="39">
        <f>_xlfn.XLOOKUP(E165,'แผน Makro 100%'!C:C,'แผน Makro 100%'!L:L,0)</f>
        <v>0</v>
      </c>
      <c r="J164" s="39">
        <f t="shared" si="5"/>
        <v>0</v>
      </c>
    </row>
    <row r="165" spans="5:10" x14ac:dyDescent="0.35">
      <c r="E165">
        <v>0</v>
      </c>
      <c r="F165" s="11">
        <v>0</v>
      </c>
      <c r="I165" s="39">
        <f>_xlfn.XLOOKUP(E166,'แผน Makro 100%'!C:C,'แผน Makro 100%'!L:L,0)</f>
        <v>0</v>
      </c>
      <c r="J165" s="39">
        <f t="shared" si="5"/>
        <v>0</v>
      </c>
    </row>
    <row r="166" spans="5:10" x14ac:dyDescent="0.35">
      <c r="E166">
        <v>0</v>
      </c>
      <c r="F166" s="11">
        <v>0</v>
      </c>
      <c r="I166" s="39">
        <f>_xlfn.XLOOKUP(E167,'แผน Makro 100%'!C:C,'แผน Makro 100%'!L:L,0)</f>
        <v>0</v>
      </c>
      <c r="J166" s="39">
        <f t="shared" si="5"/>
        <v>0</v>
      </c>
    </row>
    <row r="167" spans="5:10" x14ac:dyDescent="0.35">
      <c r="E167">
        <v>0</v>
      </c>
      <c r="F167" s="11">
        <v>0</v>
      </c>
      <c r="I167" s="39">
        <f>_xlfn.XLOOKUP(E168,'แผน Makro 100%'!C:C,'แผน Makro 100%'!L:L,0)</f>
        <v>0</v>
      </c>
      <c r="J167" s="39">
        <f t="shared" si="5"/>
        <v>0</v>
      </c>
    </row>
    <row r="168" spans="5:10" x14ac:dyDescent="0.35">
      <c r="E168">
        <v>0</v>
      </c>
      <c r="F168" s="11">
        <v>0</v>
      </c>
      <c r="I168" s="39">
        <f>_xlfn.XLOOKUP(E169,'แผน Makro 100%'!C:C,'แผน Makro 100%'!L:L,0)</f>
        <v>0</v>
      </c>
      <c r="J168" s="39">
        <f t="shared" si="5"/>
        <v>0</v>
      </c>
    </row>
    <row r="169" spans="5:10" x14ac:dyDescent="0.35">
      <c r="E169">
        <v>0</v>
      </c>
      <c r="F169" s="11">
        <v>0</v>
      </c>
      <c r="I169" s="39">
        <f>_xlfn.XLOOKUP(E170,'แผน Makro 100%'!C:C,'แผน Makro 100%'!L:L,0)</f>
        <v>0</v>
      </c>
      <c r="J169" s="39">
        <f t="shared" si="5"/>
        <v>0</v>
      </c>
    </row>
    <row r="170" spans="5:10" x14ac:dyDescent="0.35">
      <c r="E170">
        <v>0</v>
      </c>
      <c r="F170" s="11">
        <v>0</v>
      </c>
      <c r="I170" s="39">
        <f>_xlfn.XLOOKUP(E171,'แผน Makro 100%'!C:C,'แผน Makro 100%'!L:L,0)</f>
        <v>0</v>
      </c>
      <c r="J170" s="39">
        <f t="shared" si="5"/>
        <v>0</v>
      </c>
    </row>
    <row r="171" spans="5:10" x14ac:dyDescent="0.35">
      <c r="E171">
        <v>0</v>
      </c>
      <c r="F171" s="11">
        <v>0</v>
      </c>
      <c r="I171" s="39">
        <f>_xlfn.XLOOKUP(E172,'แผน Makro 100%'!C:C,'แผน Makro 100%'!L:L,0)</f>
        <v>0</v>
      </c>
      <c r="J171" s="39">
        <f t="shared" si="5"/>
        <v>0</v>
      </c>
    </row>
    <row r="172" spans="5:10" x14ac:dyDescent="0.35">
      <c r="E172">
        <v>0</v>
      </c>
      <c r="F172" s="11">
        <v>0</v>
      </c>
      <c r="I172" s="39">
        <f>_xlfn.XLOOKUP(E173,'แผน Makro 100%'!C:C,'แผน Makro 100%'!L:L,0)</f>
        <v>0</v>
      </c>
      <c r="J172" s="39">
        <f t="shared" si="5"/>
        <v>0</v>
      </c>
    </row>
    <row r="173" spans="5:10" x14ac:dyDescent="0.35">
      <c r="E173">
        <v>0</v>
      </c>
      <c r="F173" s="11">
        <v>0</v>
      </c>
      <c r="I173" s="39">
        <f>_xlfn.XLOOKUP(E174,'แผน Makro 100%'!C:C,'แผน Makro 100%'!L:L,0)</f>
        <v>0</v>
      </c>
      <c r="J173" s="39">
        <f t="shared" si="5"/>
        <v>0</v>
      </c>
    </row>
    <row r="174" spans="5:10" x14ac:dyDescent="0.35">
      <c r="E174">
        <v>0</v>
      </c>
      <c r="F174" s="11">
        <v>0</v>
      </c>
      <c r="I174" s="39">
        <f>_xlfn.XLOOKUP(E175,'แผน Makro 100%'!C:C,'แผน Makro 100%'!L:L,0)</f>
        <v>0</v>
      </c>
      <c r="J174" s="39">
        <f t="shared" si="5"/>
        <v>0</v>
      </c>
    </row>
    <row r="175" spans="5:10" x14ac:dyDescent="0.35">
      <c r="E175">
        <v>0</v>
      </c>
      <c r="F175" s="11">
        <v>0</v>
      </c>
      <c r="I175" s="39">
        <f>_xlfn.XLOOKUP(E176,'แผน Makro 100%'!C:C,'แผน Makro 100%'!L:L,0)</f>
        <v>0</v>
      </c>
      <c r="J175" s="39">
        <f t="shared" si="5"/>
        <v>0</v>
      </c>
    </row>
    <row r="176" spans="5:10" x14ac:dyDescent="0.35">
      <c r="E176">
        <v>0</v>
      </c>
      <c r="F176" s="11">
        <v>0</v>
      </c>
      <c r="I176" s="39">
        <f>_xlfn.XLOOKUP(E177,'แผน Makro 100%'!C:C,'แผน Makro 100%'!L:L,0)</f>
        <v>0</v>
      </c>
      <c r="J176" s="39">
        <f t="shared" si="5"/>
        <v>0</v>
      </c>
    </row>
    <row r="177" spans="5:10" x14ac:dyDescent="0.35">
      <c r="E177">
        <v>0</v>
      </c>
      <c r="F177" s="11">
        <v>0</v>
      </c>
      <c r="I177" s="39">
        <f>_xlfn.XLOOKUP(E178,'แผน Makro 100%'!C:C,'แผน Makro 100%'!L:L,0)</f>
        <v>0</v>
      </c>
      <c r="J177" s="39">
        <f t="shared" si="5"/>
        <v>0</v>
      </c>
    </row>
    <row r="178" spans="5:10" x14ac:dyDescent="0.35">
      <c r="E178">
        <v>0</v>
      </c>
      <c r="F178" s="11">
        <v>0</v>
      </c>
      <c r="I178" s="39">
        <f>_xlfn.XLOOKUP(E179,'แผน Makro 100%'!C:C,'แผน Makro 100%'!L:L,0)</f>
        <v>0</v>
      </c>
      <c r="J178" s="39">
        <f t="shared" si="5"/>
        <v>0</v>
      </c>
    </row>
    <row r="179" spans="5:10" x14ac:dyDescent="0.35">
      <c r="E179">
        <v>0</v>
      </c>
      <c r="F179" s="11">
        <v>0</v>
      </c>
      <c r="I179" s="39">
        <f>_xlfn.XLOOKUP(E180,'แผน Makro 100%'!C:C,'แผน Makro 100%'!L:L,0)</f>
        <v>0</v>
      </c>
      <c r="J179" s="39">
        <f t="shared" si="5"/>
        <v>0</v>
      </c>
    </row>
    <row r="180" spans="5:10" x14ac:dyDescent="0.35">
      <c r="E180">
        <v>0</v>
      </c>
      <c r="F180" s="11">
        <v>0</v>
      </c>
      <c r="I180" s="39">
        <f>_xlfn.XLOOKUP(E181,'แผน Makro 100%'!C:C,'แผน Makro 100%'!L:L,0)</f>
        <v>0</v>
      </c>
      <c r="J180" s="39">
        <f t="shared" si="5"/>
        <v>0</v>
      </c>
    </row>
    <row r="181" spans="5:10" x14ac:dyDescent="0.35">
      <c r="E181">
        <v>0</v>
      </c>
      <c r="F181" s="11">
        <v>0</v>
      </c>
      <c r="I181" s="39">
        <f>_xlfn.XLOOKUP(E182,'แผน Makro 100%'!C:C,'แผน Makro 100%'!L:L,0)</f>
        <v>0</v>
      </c>
      <c r="J181" s="39">
        <f t="shared" si="5"/>
        <v>0</v>
      </c>
    </row>
    <row r="182" spans="5:10" x14ac:dyDescent="0.35">
      <c r="E182">
        <v>0</v>
      </c>
      <c r="F182" s="11">
        <v>0</v>
      </c>
      <c r="I182" s="39">
        <f>_xlfn.XLOOKUP(E183,'แผน Makro 100%'!C:C,'แผน Makro 100%'!L:L,0)</f>
        <v>0</v>
      </c>
      <c r="J182" s="39">
        <f t="shared" si="5"/>
        <v>0</v>
      </c>
    </row>
    <row r="183" spans="5:10" x14ac:dyDescent="0.35">
      <c r="E183">
        <v>0</v>
      </c>
      <c r="F183" s="11">
        <v>0</v>
      </c>
      <c r="I183" s="39">
        <f>_xlfn.XLOOKUP(E184,'แผน Makro 100%'!C:C,'แผน Makro 100%'!L:L,0)</f>
        <v>0</v>
      </c>
      <c r="J183" s="39">
        <f t="shared" si="5"/>
        <v>0</v>
      </c>
    </row>
    <row r="184" spans="5:10" x14ac:dyDescent="0.35">
      <c r="E184">
        <v>0</v>
      </c>
      <c r="F184" s="11">
        <v>0</v>
      </c>
      <c r="I184" s="39">
        <f>_xlfn.XLOOKUP(E185,'แผน Makro 100%'!C:C,'แผน Makro 100%'!L:L,0)</f>
        <v>0</v>
      </c>
      <c r="J184" s="39">
        <f t="shared" si="5"/>
        <v>0</v>
      </c>
    </row>
    <row r="185" spans="5:10" x14ac:dyDescent="0.35">
      <c r="E185">
        <v>0</v>
      </c>
      <c r="F185" s="11">
        <v>0</v>
      </c>
      <c r="I185" s="39">
        <f>_xlfn.XLOOKUP(E186,'แผน Makro 100%'!C:C,'แผน Makro 100%'!L:L,0)</f>
        <v>0</v>
      </c>
      <c r="J185" s="39">
        <f t="shared" si="5"/>
        <v>0</v>
      </c>
    </row>
    <row r="186" spans="5:10" x14ac:dyDescent="0.35">
      <c r="E186">
        <v>0</v>
      </c>
      <c r="F186" s="11">
        <v>0</v>
      </c>
      <c r="I186" s="39">
        <f>_xlfn.XLOOKUP(E187,'แผน Makro 100%'!C:C,'แผน Makro 100%'!L:L,0)</f>
        <v>0</v>
      </c>
      <c r="J186" s="39">
        <f t="shared" si="5"/>
        <v>0</v>
      </c>
    </row>
    <row r="187" spans="5:10" x14ac:dyDescent="0.35">
      <c r="E187">
        <v>0</v>
      </c>
      <c r="F187" s="11">
        <v>0</v>
      </c>
      <c r="I187" s="39">
        <f>_xlfn.XLOOKUP(E188,'แผน Makro 100%'!C:C,'แผน Makro 100%'!L:L,0)</f>
        <v>0</v>
      </c>
      <c r="J187" s="39">
        <f t="shared" si="5"/>
        <v>0</v>
      </c>
    </row>
    <row r="188" spans="5:10" x14ac:dyDescent="0.35">
      <c r="E188">
        <v>0</v>
      </c>
      <c r="F188" s="11">
        <v>0</v>
      </c>
      <c r="I188" s="39">
        <f>_xlfn.XLOOKUP(E189,'แผน Makro 100%'!C:C,'แผน Makro 100%'!L:L,0)</f>
        <v>0</v>
      </c>
      <c r="J188" s="39">
        <f t="shared" si="5"/>
        <v>0</v>
      </c>
    </row>
    <row r="189" spans="5:10" x14ac:dyDescent="0.35">
      <c r="E189">
        <v>0</v>
      </c>
      <c r="F189" s="11">
        <v>0</v>
      </c>
      <c r="I189" s="39">
        <f>_xlfn.XLOOKUP(E190,'แผน Makro 100%'!C:C,'แผน Makro 100%'!L:L,0)</f>
        <v>0</v>
      </c>
      <c r="J189" s="39">
        <f t="shared" si="5"/>
        <v>0</v>
      </c>
    </row>
    <row r="190" spans="5:10" x14ac:dyDescent="0.35">
      <c r="E190">
        <v>0</v>
      </c>
      <c r="F190" s="11">
        <v>0</v>
      </c>
      <c r="I190" s="39">
        <f>_xlfn.XLOOKUP(E191,'แผน Makro 100%'!C:C,'แผน Makro 100%'!L:L,0)</f>
        <v>0</v>
      </c>
      <c r="J190" s="39">
        <f t="shared" si="5"/>
        <v>0</v>
      </c>
    </row>
    <row r="191" spans="5:10" x14ac:dyDescent="0.35">
      <c r="E191">
        <v>0</v>
      </c>
      <c r="F191" s="11">
        <v>0</v>
      </c>
      <c r="I191" s="39">
        <f>_xlfn.XLOOKUP(E192,'แผน Makro 100%'!C:C,'แผน Makro 100%'!L:L,0)</f>
        <v>0</v>
      </c>
      <c r="J191" s="39">
        <f t="shared" si="5"/>
        <v>0</v>
      </c>
    </row>
    <row r="192" spans="5:10" x14ac:dyDescent="0.35">
      <c r="E192">
        <v>0</v>
      </c>
      <c r="F192" s="11">
        <v>0</v>
      </c>
      <c r="I192" s="39">
        <f>_xlfn.XLOOKUP(E193,'แผน Makro 100%'!C:C,'แผน Makro 100%'!L:L,0)</f>
        <v>0</v>
      </c>
      <c r="J192" s="39">
        <f t="shared" si="5"/>
        <v>0</v>
      </c>
    </row>
    <row r="193" spans="5:10" x14ac:dyDescent="0.35">
      <c r="E193">
        <v>0</v>
      </c>
      <c r="F193" s="11">
        <v>0</v>
      </c>
      <c r="I193" s="39">
        <f>_xlfn.XLOOKUP(E194,'แผน Makro 100%'!C:C,'แผน Makro 100%'!L:L,0)</f>
        <v>0</v>
      </c>
      <c r="J193" s="39">
        <f t="shared" si="5"/>
        <v>0</v>
      </c>
    </row>
    <row r="194" spans="5:10" x14ac:dyDescent="0.35">
      <c r="E194">
        <v>0</v>
      </c>
      <c r="F194" s="11">
        <v>0</v>
      </c>
      <c r="I194" s="39">
        <f>_xlfn.XLOOKUP(E195,'แผน Makro 100%'!C:C,'แผน Makro 100%'!L:L,0)</f>
        <v>0</v>
      </c>
      <c r="J194" s="39">
        <f t="shared" si="5"/>
        <v>0</v>
      </c>
    </row>
    <row r="195" spans="5:10" x14ac:dyDescent="0.35">
      <c r="E195">
        <v>0</v>
      </c>
      <c r="F195" s="11">
        <v>0</v>
      </c>
      <c r="I195" s="39">
        <f>_xlfn.XLOOKUP(E196,'แผน Makro 100%'!C:C,'แผน Makro 100%'!L:L,0)</f>
        <v>0</v>
      </c>
      <c r="J195" s="39">
        <f t="shared" si="5"/>
        <v>0</v>
      </c>
    </row>
    <row r="196" spans="5:10" x14ac:dyDescent="0.35">
      <c r="E196">
        <v>0</v>
      </c>
      <c r="F196" s="11">
        <v>0</v>
      </c>
      <c r="I196" s="39">
        <f>_xlfn.XLOOKUP(E197,'แผน Makro 100%'!C:C,'แผน Makro 100%'!L:L,0)</f>
        <v>0</v>
      </c>
      <c r="J196" s="39">
        <f t="shared" si="5"/>
        <v>0</v>
      </c>
    </row>
    <row r="197" spans="5:10" x14ac:dyDescent="0.35">
      <c r="E197">
        <v>0</v>
      </c>
      <c r="F197" s="11">
        <v>0</v>
      </c>
      <c r="I197" s="39">
        <f>_xlfn.XLOOKUP(E198,'แผน Makro 100%'!C:C,'แผน Makro 100%'!L:L,0)</f>
        <v>0</v>
      </c>
      <c r="J197" s="39">
        <f t="shared" si="5"/>
        <v>0</v>
      </c>
    </row>
    <row r="198" spans="5:10" x14ac:dyDescent="0.35">
      <c r="E198">
        <v>0</v>
      </c>
      <c r="F198" s="11">
        <v>0</v>
      </c>
      <c r="I198" s="39">
        <f>_xlfn.XLOOKUP(E199,'แผน Makro 100%'!C:C,'แผน Makro 100%'!L:L,0)</f>
        <v>0</v>
      </c>
      <c r="J198" s="39">
        <f t="shared" si="5"/>
        <v>0</v>
      </c>
    </row>
    <row r="199" spans="5:10" x14ac:dyDescent="0.35">
      <c r="E199">
        <v>0</v>
      </c>
      <c r="F199" s="11">
        <v>0</v>
      </c>
      <c r="I199" s="39">
        <f>_xlfn.XLOOKUP(E200,'แผน Makro 100%'!C:C,'แผน Makro 100%'!L:L,0)</f>
        <v>0</v>
      </c>
      <c r="J199" s="39">
        <f t="shared" ref="J199:J262" si="6">_xlfn.XLOOKUP(H199,E:E,F:F,"ไม่พบ")</f>
        <v>0</v>
      </c>
    </row>
    <row r="200" spans="5:10" x14ac:dyDescent="0.35">
      <c r="E200">
        <v>0</v>
      </c>
      <c r="F200" s="11">
        <v>0</v>
      </c>
      <c r="I200" s="39">
        <f>_xlfn.XLOOKUP(E201,'แผน Makro 100%'!C:C,'แผน Makro 100%'!L:L,0)</f>
        <v>0</v>
      </c>
      <c r="J200" s="39">
        <f t="shared" si="6"/>
        <v>0</v>
      </c>
    </row>
    <row r="201" spans="5:10" x14ac:dyDescent="0.35">
      <c r="E201">
        <v>0</v>
      </c>
      <c r="F201" s="11">
        <v>0</v>
      </c>
      <c r="I201" s="39">
        <f>_xlfn.XLOOKUP(E202,'แผน Makro 100%'!C:C,'แผน Makro 100%'!L:L,0)</f>
        <v>0</v>
      </c>
      <c r="J201" s="39">
        <f t="shared" si="6"/>
        <v>0</v>
      </c>
    </row>
    <row r="202" spans="5:10" x14ac:dyDescent="0.35">
      <c r="E202">
        <v>0</v>
      </c>
      <c r="F202" s="11">
        <v>0</v>
      </c>
      <c r="I202" s="39">
        <f>_xlfn.XLOOKUP(E203,'แผน Makro 100%'!C:C,'แผน Makro 100%'!L:L,0)</f>
        <v>0</v>
      </c>
      <c r="J202" s="39">
        <f t="shared" si="6"/>
        <v>0</v>
      </c>
    </row>
    <row r="203" spans="5:10" x14ac:dyDescent="0.35">
      <c r="E203">
        <v>0</v>
      </c>
      <c r="F203" s="11">
        <v>0</v>
      </c>
      <c r="I203" s="39">
        <f>_xlfn.XLOOKUP(E204,'แผน Makro 100%'!C:C,'แผน Makro 100%'!L:L,0)</f>
        <v>0</v>
      </c>
      <c r="J203" s="39">
        <f t="shared" si="6"/>
        <v>0</v>
      </c>
    </row>
    <row r="204" spans="5:10" x14ac:dyDescent="0.35">
      <c r="E204">
        <v>0</v>
      </c>
      <c r="F204" s="11">
        <v>0</v>
      </c>
      <c r="I204" s="39">
        <f>_xlfn.XLOOKUP(E205,'แผน Makro 100%'!C:C,'แผน Makro 100%'!L:L,0)</f>
        <v>0</v>
      </c>
      <c r="J204" s="39">
        <f t="shared" si="6"/>
        <v>0</v>
      </c>
    </row>
    <row r="205" spans="5:10" x14ac:dyDescent="0.35">
      <c r="E205">
        <v>0</v>
      </c>
      <c r="F205" s="11">
        <v>0</v>
      </c>
      <c r="I205" s="39">
        <f>_xlfn.XLOOKUP(E206,'แผน Makro 100%'!C:C,'แผน Makro 100%'!L:L,0)</f>
        <v>0</v>
      </c>
      <c r="J205" s="39">
        <f t="shared" si="6"/>
        <v>0</v>
      </c>
    </row>
    <row r="206" spans="5:10" x14ac:dyDescent="0.35">
      <c r="E206">
        <v>0</v>
      </c>
      <c r="F206" s="11">
        <v>0</v>
      </c>
      <c r="I206" s="39">
        <f>_xlfn.XLOOKUP(E207,'แผน Makro 100%'!C:C,'แผน Makro 100%'!L:L,0)</f>
        <v>0</v>
      </c>
      <c r="J206" s="39">
        <f t="shared" si="6"/>
        <v>0</v>
      </c>
    </row>
    <row r="207" spans="5:10" x14ac:dyDescent="0.35">
      <c r="E207">
        <v>0</v>
      </c>
      <c r="F207" s="11">
        <v>0</v>
      </c>
      <c r="I207" s="39">
        <f>_xlfn.XLOOKUP(E208,'แผน Makro 100%'!C:C,'แผน Makro 100%'!L:L,0)</f>
        <v>0</v>
      </c>
      <c r="J207" s="39">
        <f t="shared" si="6"/>
        <v>0</v>
      </c>
    </row>
    <row r="208" spans="5:10" x14ac:dyDescent="0.35">
      <c r="E208">
        <v>0</v>
      </c>
      <c r="F208" s="11">
        <v>0</v>
      </c>
      <c r="I208" s="39">
        <f>_xlfn.XLOOKUP(E209,'แผน Makro 100%'!C:C,'แผน Makro 100%'!L:L,0)</f>
        <v>0</v>
      </c>
      <c r="J208" s="39">
        <f t="shared" si="6"/>
        <v>0</v>
      </c>
    </row>
    <row r="209" spans="5:10" x14ac:dyDescent="0.35">
      <c r="E209">
        <v>0</v>
      </c>
      <c r="F209" s="11">
        <v>0</v>
      </c>
      <c r="I209" s="39">
        <f>_xlfn.XLOOKUP(E210,'แผน Makro 100%'!C:C,'แผน Makro 100%'!L:L,0)</f>
        <v>0</v>
      </c>
      <c r="J209" s="39">
        <f t="shared" si="6"/>
        <v>0</v>
      </c>
    </row>
    <row r="210" spans="5:10" x14ac:dyDescent="0.35">
      <c r="E210">
        <v>0</v>
      </c>
      <c r="F210" s="11">
        <v>0</v>
      </c>
      <c r="I210" s="39">
        <f>_xlfn.XLOOKUP(E211,'แผน Makro 100%'!C:C,'แผน Makro 100%'!L:L,0)</f>
        <v>0</v>
      </c>
      <c r="J210" s="39">
        <f t="shared" si="6"/>
        <v>0</v>
      </c>
    </row>
    <row r="211" spans="5:10" x14ac:dyDescent="0.35">
      <c r="E211">
        <v>0</v>
      </c>
      <c r="F211" s="11">
        <v>0</v>
      </c>
      <c r="I211" s="39">
        <f>_xlfn.XLOOKUP(E212,'แผน Makro 100%'!C:C,'แผน Makro 100%'!L:L,0)</f>
        <v>0</v>
      </c>
      <c r="J211" s="39">
        <f t="shared" si="6"/>
        <v>0</v>
      </c>
    </row>
    <row r="212" spans="5:10" x14ac:dyDescent="0.35">
      <c r="E212">
        <v>0</v>
      </c>
      <c r="F212" s="11">
        <v>0</v>
      </c>
      <c r="I212" s="39">
        <f>_xlfn.XLOOKUP(E213,'แผน Makro 100%'!C:C,'แผน Makro 100%'!L:L,0)</f>
        <v>0</v>
      </c>
      <c r="J212" s="39">
        <f t="shared" si="6"/>
        <v>0</v>
      </c>
    </row>
    <row r="213" spans="5:10" x14ac:dyDescent="0.35">
      <c r="E213">
        <v>0</v>
      </c>
      <c r="F213" s="11">
        <v>0</v>
      </c>
      <c r="I213" s="39">
        <f>_xlfn.XLOOKUP(E214,'แผน Makro 100%'!C:C,'แผน Makro 100%'!L:L,0)</f>
        <v>0</v>
      </c>
      <c r="J213" s="39">
        <f t="shared" si="6"/>
        <v>0</v>
      </c>
    </row>
    <row r="214" spans="5:10" x14ac:dyDescent="0.35">
      <c r="E214">
        <v>0</v>
      </c>
      <c r="F214" s="11">
        <v>0</v>
      </c>
      <c r="I214" s="39">
        <f>_xlfn.XLOOKUP(E215,'แผน Makro 100%'!C:C,'แผน Makro 100%'!L:L,0)</f>
        <v>0</v>
      </c>
      <c r="J214" s="39">
        <f t="shared" si="6"/>
        <v>0</v>
      </c>
    </row>
    <row r="215" spans="5:10" x14ac:dyDescent="0.35">
      <c r="E215">
        <v>0</v>
      </c>
      <c r="F215" s="11">
        <v>0</v>
      </c>
      <c r="I215" s="39">
        <f>_xlfn.XLOOKUP(E216,'แผน Makro 100%'!C:C,'แผน Makro 100%'!L:L,0)</f>
        <v>0</v>
      </c>
      <c r="J215" s="39">
        <f t="shared" si="6"/>
        <v>0</v>
      </c>
    </row>
    <row r="216" spans="5:10" x14ac:dyDescent="0.35">
      <c r="E216">
        <v>0</v>
      </c>
      <c r="F216" s="11">
        <v>0</v>
      </c>
      <c r="I216" s="39">
        <f>_xlfn.XLOOKUP(E217,'แผน Makro 100%'!C:C,'แผน Makro 100%'!L:L,0)</f>
        <v>0</v>
      </c>
      <c r="J216" s="39">
        <f t="shared" si="6"/>
        <v>0</v>
      </c>
    </row>
    <row r="217" spans="5:10" x14ac:dyDescent="0.35">
      <c r="E217">
        <v>0</v>
      </c>
      <c r="F217" s="11">
        <v>0</v>
      </c>
      <c r="I217" s="39">
        <f>_xlfn.XLOOKUP(E218,'แผน Makro 100%'!C:C,'แผน Makro 100%'!L:L,0)</f>
        <v>0</v>
      </c>
      <c r="J217" s="39">
        <f t="shared" si="6"/>
        <v>0</v>
      </c>
    </row>
    <row r="218" spans="5:10" x14ac:dyDescent="0.35">
      <c r="E218">
        <v>0</v>
      </c>
      <c r="F218" s="11">
        <v>0</v>
      </c>
      <c r="I218" s="39">
        <f>_xlfn.XLOOKUP(E219,'แผน Makro 100%'!C:C,'แผน Makro 100%'!L:L,0)</f>
        <v>0</v>
      </c>
      <c r="J218" s="39">
        <f t="shared" si="6"/>
        <v>0</v>
      </c>
    </row>
    <row r="219" spans="5:10" x14ac:dyDescent="0.35">
      <c r="E219">
        <v>0</v>
      </c>
      <c r="F219" s="11">
        <v>0</v>
      </c>
      <c r="I219" s="39">
        <f>_xlfn.XLOOKUP(E220,'แผน Makro 100%'!C:C,'แผน Makro 100%'!L:L,0)</f>
        <v>0</v>
      </c>
      <c r="J219" s="39">
        <f t="shared" si="6"/>
        <v>0</v>
      </c>
    </row>
    <row r="220" spans="5:10" x14ac:dyDescent="0.35">
      <c r="E220">
        <v>0</v>
      </c>
      <c r="F220" s="11">
        <v>0</v>
      </c>
      <c r="I220" s="39">
        <f>_xlfn.XLOOKUP(E221,'แผน Makro 100%'!C:C,'แผน Makro 100%'!L:L,0)</f>
        <v>0</v>
      </c>
      <c r="J220" s="39">
        <f t="shared" si="6"/>
        <v>0</v>
      </c>
    </row>
    <row r="221" spans="5:10" x14ac:dyDescent="0.35">
      <c r="E221">
        <v>0</v>
      </c>
      <c r="F221" s="11">
        <v>0</v>
      </c>
      <c r="I221" s="39">
        <f>_xlfn.XLOOKUP(E222,'แผน Makro 100%'!C:C,'แผน Makro 100%'!L:L,0)</f>
        <v>0</v>
      </c>
      <c r="J221" s="39">
        <f t="shared" si="6"/>
        <v>0</v>
      </c>
    </row>
    <row r="222" spans="5:10" x14ac:dyDescent="0.35">
      <c r="E222">
        <v>0</v>
      </c>
      <c r="F222" s="11">
        <v>0</v>
      </c>
      <c r="I222" s="39">
        <f>_xlfn.XLOOKUP(E223,'แผน Makro 100%'!C:C,'แผน Makro 100%'!L:L,0)</f>
        <v>0</v>
      </c>
      <c r="J222" s="39">
        <f t="shared" si="6"/>
        <v>0</v>
      </c>
    </row>
    <row r="223" spans="5:10" x14ac:dyDescent="0.35">
      <c r="E223">
        <v>0</v>
      </c>
      <c r="F223" s="11">
        <v>0</v>
      </c>
      <c r="I223" s="39">
        <f>_xlfn.XLOOKUP(E224,'แผน Makro 100%'!C:C,'แผน Makro 100%'!L:L,0)</f>
        <v>0</v>
      </c>
      <c r="J223" s="39">
        <f t="shared" si="6"/>
        <v>0</v>
      </c>
    </row>
    <row r="224" spans="5:10" x14ac:dyDescent="0.35">
      <c r="E224">
        <v>0</v>
      </c>
      <c r="F224" s="11">
        <v>0</v>
      </c>
      <c r="I224" s="39">
        <f>_xlfn.XLOOKUP(E225,'แผน Makro 100%'!C:C,'แผน Makro 100%'!L:L,0)</f>
        <v>0</v>
      </c>
      <c r="J224" s="39">
        <f t="shared" si="6"/>
        <v>0</v>
      </c>
    </row>
    <row r="225" spans="5:10" x14ac:dyDescent="0.35">
      <c r="E225">
        <v>0</v>
      </c>
      <c r="F225" s="11">
        <v>0</v>
      </c>
      <c r="I225" s="39">
        <f>_xlfn.XLOOKUP(E226,'แผน Makro 100%'!C:C,'แผน Makro 100%'!L:L,0)</f>
        <v>0</v>
      </c>
      <c r="J225" s="39">
        <f t="shared" si="6"/>
        <v>0</v>
      </c>
    </row>
    <row r="226" spans="5:10" x14ac:dyDescent="0.35">
      <c r="E226">
        <v>0</v>
      </c>
      <c r="F226" s="11">
        <v>0</v>
      </c>
      <c r="I226" s="39">
        <f>_xlfn.XLOOKUP(E227,'แผน Makro 100%'!C:C,'แผน Makro 100%'!L:L,0)</f>
        <v>0</v>
      </c>
      <c r="J226" s="39">
        <f t="shared" si="6"/>
        <v>0</v>
      </c>
    </row>
    <row r="227" spans="5:10" x14ac:dyDescent="0.35">
      <c r="E227">
        <v>0</v>
      </c>
      <c r="F227" s="11">
        <v>0</v>
      </c>
      <c r="I227" s="39">
        <f>_xlfn.XLOOKUP(E228,'แผน Makro 100%'!C:C,'แผน Makro 100%'!L:L,0)</f>
        <v>0</v>
      </c>
      <c r="J227" s="39">
        <f t="shared" si="6"/>
        <v>0</v>
      </c>
    </row>
    <row r="228" spans="5:10" x14ac:dyDescent="0.35">
      <c r="E228">
        <v>0</v>
      </c>
      <c r="F228" s="11">
        <v>0</v>
      </c>
      <c r="I228" s="39">
        <f>_xlfn.XLOOKUP(E229,'แผน Makro 100%'!C:C,'แผน Makro 100%'!L:L,0)</f>
        <v>0</v>
      </c>
      <c r="J228" s="39">
        <f t="shared" si="6"/>
        <v>0</v>
      </c>
    </row>
    <row r="229" spans="5:10" x14ac:dyDescent="0.35">
      <c r="E229">
        <v>0</v>
      </c>
      <c r="F229" s="11">
        <v>0</v>
      </c>
      <c r="I229" s="39">
        <f>_xlfn.XLOOKUP(E230,'แผน Makro 100%'!C:C,'แผน Makro 100%'!L:L,0)</f>
        <v>0</v>
      </c>
      <c r="J229" s="39">
        <f t="shared" si="6"/>
        <v>0</v>
      </c>
    </row>
    <row r="230" spans="5:10" x14ac:dyDescent="0.35">
      <c r="E230">
        <v>0</v>
      </c>
      <c r="F230" s="11">
        <v>0</v>
      </c>
      <c r="I230" s="39">
        <f>_xlfn.XLOOKUP(E231,'แผน Makro 100%'!C:C,'แผน Makro 100%'!L:L,0)</f>
        <v>0</v>
      </c>
      <c r="J230" s="39">
        <f t="shared" si="6"/>
        <v>0</v>
      </c>
    </row>
    <row r="231" spans="5:10" x14ac:dyDescent="0.35">
      <c r="E231">
        <v>0</v>
      </c>
      <c r="F231" s="11">
        <v>0</v>
      </c>
      <c r="I231" s="39">
        <f>_xlfn.XLOOKUP(E232,'แผน Makro 100%'!C:C,'แผน Makro 100%'!L:L,0)</f>
        <v>0</v>
      </c>
      <c r="J231" s="39">
        <f t="shared" si="6"/>
        <v>0</v>
      </c>
    </row>
    <row r="232" spans="5:10" x14ac:dyDescent="0.35">
      <c r="E232">
        <v>0</v>
      </c>
      <c r="F232" s="11">
        <v>0</v>
      </c>
      <c r="I232" s="39">
        <f>_xlfn.XLOOKUP(E233,'แผน Makro 100%'!C:C,'แผน Makro 100%'!L:L,0)</f>
        <v>0</v>
      </c>
      <c r="J232" s="39">
        <f t="shared" si="6"/>
        <v>0</v>
      </c>
    </row>
    <row r="233" spans="5:10" x14ac:dyDescent="0.35">
      <c r="E233">
        <v>0</v>
      </c>
      <c r="F233" s="11">
        <v>0</v>
      </c>
      <c r="I233" s="39">
        <f>_xlfn.XLOOKUP(E234,'แผน Makro 100%'!C:C,'แผน Makro 100%'!L:L,0)</f>
        <v>0</v>
      </c>
      <c r="J233" s="39">
        <f t="shared" si="6"/>
        <v>0</v>
      </c>
    </row>
    <row r="234" spans="5:10" x14ac:dyDescent="0.35">
      <c r="E234">
        <v>0</v>
      </c>
      <c r="F234" s="11">
        <v>0</v>
      </c>
      <c r="I234" s="39">
        <f>_xlfn.XLOOKUP(E235,'แผน Makro 100%'!C:C,'แผน Makro 100%'!L:L,0)</f>
        <v>0</v>
      </c>
      <c r="J234" s="39">
        <f t="shared" si="6"/>
        <v>0</v>
      </c>
    </row>
    <row r="235" spans="5:10" x14ac:dyDescent="0.35">
      <c r="E235">
        <v>0</v>
      </c>
      <c r="F235" s="11">
        <v>0</v>
      </c>
      <c r="I235" s="39">
        <f>_xlfn.XLOOKUP(E236,'แผน Makro 100%'!C:C,'แผน Makro 100%'!L:L,0)</f>
        <v>0</v>
      </c>
      <c r="J235" s="39">
        <f t="shared" si="6"/>
        <v>0</v>
      </c>
    </row>
    <row r="236" spans="5:10" x14ac:dyDescent="0.35">
      <c r="E236">
        <v>0</v>
      </c>
      <c r="F236" s="11">
        <v>0</v>
      </c>
      <c r="I236" s="39">
        <f>_xlfn.XLOOKUP(E237,'แผน Makro 100%'!C:C,'แผน Makro 100%'!L:L,0)</f>
        <v>0</v>
      </c>
      <c r="J236" s="39">
        <f t="shared" si="6"/>
        <v>0</v>
      </c>
    </row>
    <row r="237" spans="5:10" x14ac:dyDescent="0.35">
      <c r="E237">
        <v>0</v>
      </c>
      <c r="F237" s="11">
        <v>0</v>
      </c>
      <c r="I237" s="39">
        <f>_xlfn.XLOOKUP(E238,'แผน Makro 100%'!C:C,'แผน Makro 100%'!L:L,0)</f>
        <v>0</v>
      </c>
      <c r="J237" s="39">
        <f t="shared" si="6"/>
        <v>0</v>
      </c>
    </row>
    <row r="238" spans="5:10" x14ac:dyDescent="0.35">
      <c r="E238">
        <v>0</v>
      </c>
      <c r="F238" s="11">
        <v>0</v>
      </c>
      <c r="I238" s="39">
        <f>_xlfn.XLOOKUP(E239,'แผน Makro 100%'!C:C,'แผน Makro 100%'!L:L,0)</f>
        <v>0</v>
      </c>
      <c r="J238" s="39">
        <f t="shared" si="6"/>
        <v>0</v>
      </c>
    </row>
    <row r="239" spans="5:10" x14ac:dyDescent="0.35">
      <c r="E239">
        <v>0</v>
      </c>
      <c r="F239" s="11">
        <v>0</v>
      </c>
      <c r="I239" s="39">
        <f>_xlfn.XLOOKUP(E240,'แผน Makro 100%'!C:C,'แผน Makro 100%'!L:L,0)</f>
        <v>0</v>
      </c>
      <c r="J239" s="39">
        <f t="shared" si="6"/>
        <v>0</v>
      </c>
    </row>
    <row r="240" spans="5:10" x14ac:dyDescent="0.35">
      <c r="E240">
        <v>0</v>
      </c>
      <c r="F240" s="11">
        <v>0</v>
      </c>
      <c r="I240" s="39">
        <f>_xlfn.XLOOKUP(E241,'แผน Makro 100%'!C:C,'แผน Makro 100%'!L:L,0)</f>
        <v>0</v>
      </c>
      <c r="J240" s="39">
        <f t="shared" si="6"/>
        <v>0</v>
      </c>
    </row>
    <row r="241" spans="5:10" x14ac:dyDescent="0.35">
      <c r="E241">
        <v>0</v>
      </c>
      <c r="F241" s="11">
        <v>0</v>
      </c>
      <c r="I241" s="39">
        <f>_xlfn.XLOOKUP(E242,'แผน Makro 100%'!C:C,'แผน Makro 100%'!L:L,0)</f>
        <v>0</v>
      </c>
      <c r="J241" s="39">
        <f t="shared" si="6"/>
        <v>0</v>
      </c>
    </row>
    <row r="242" spans="5:10" x14ac:dyDescent="0.35">
      <c r="E242">
        <v>0</v>
      </c>
      <c r="F242" s="11">
        <v>0</v>
      </c>
      <c r="I242" s="39">
        <f>_xlfn.XLOOKUP(E243,'แผน Makro 100%'!C:C,'แผน Makro 100%'!L:L,0)</f>
        <v>0</v>
      </c>
      <c r="J242" s="39">
        <f t="shared" si="6"/>
        <v>0</v>
      </c>
    </row>
    <row r="243" spans="5:10" x14ac:dyDescent="0.35">
      <c r="E243">
        <v>0</v>
      </c>
      <c r="F243" s="11">
        <v>0</v>
      </c>
      <c r="I243" s="39">
        <f>_xlfn.XLOOKUP(E244,'แผน Makro 100%'!C:C,'แผน Makro 100%'!L:L,0)</f>
        <v>0</v>
      </c>
      <c r="J243" s="39">
        <f t="shared" si="6"/>
        <v>0</v>
      </c>
    </row>
    <row r="244" spans="5:10" x14ac:dyDescent="0.35">
      <c r="E244">
        <v>0</v>
      </c>
      <c r="F244" s="11">
        <v>0</v>
      </c>
      <c r="I244" s="39">
        <f>_xlfn.XLOOKUP(E245,'แผน Makro 100%'!C:C,'แผน Makro 100%'!L:L,0)</f>
        <v>0</v>
      </c>
      <c r="J244" s="39">
        <f t="shared" si="6"/>
        <v>0</v>
      </c>
    </row>
    <row r="245" spans="5:10" x14ac:dyDescent="0.35">
      <c r="E245">
        <v>0</v>
      </c>
      <c r="F245" s="11">
        <v>0</v>
      </c>
      <c r="I245" s="39">
        <f>_xlfn.XLOOKUP(E246,'แผน Makro 100%'!C:C,'แผน Makro 100%'!L:L,0)</f>
        <v>0</v>
      </c>
      <c r="J245" s="39">
        <f t="shared" si="6"/>
        <v>0</v>
      </c>
    </row>
    <row r="246" spans="5:10" x14ac:dyDescent="0.35">
      <c r="E246">
        <v>0</v>
      </c>
      <c r="F246" s="11">
        <v>0</v>
      </c>
      <c r="I246" s="39">
        <f>_xlfn.XLOOKUP(E247,'แผน Makro 100%'!C:C,'แผน Makro 100%'!L:L,0)</f>
        <v>0</v>
      </c>
      <c r="J246" s="39">
        <f t="shared" si="6"/>
        <v>0</v>
      </c>
    </row>
    <row r="247" spans="5:10" x14ac:dyDescent="0.35">
      <c r="E247">
        <v>0</v>
      </c>
      <c r="F247" s="11">
        <v>0</v>
      </c>
      <c r="I247" s="39">
        <f>_xlfn.XLOOKUP(E248,'แผน Makro 100%'!C:C,'แผน Makro 100%'!L:L,0)</f>
        <v>0</v>
      </c>
      <c r="J247" s="39">
        <f t="shared" si="6"/>
        <v>0</v>
      </c>
    </row>
    <row r="248" spans="5:10" x14ac:dyDescent="0.35">
      <c r="E248">
        <v>0</v>
      </c>
      <c r="F248" s="11">
        <v>0</v>
      </c>
      <c r="I248" s="39">
        <f>_xlfn.XLOOKUP(E249,'แผน Makro 100%'!C:C,'แผน Makro 100%'!L:L,0)</f>
        <v>0</v>
      </c>
      <c r="J248" s="39">
        <f t="shared" si="6"/>
        <v>0</v>
      </c>
    </row>
    <row r="249" spans="5:10" x14ac:dyDescent="0.35">
      <c r="E249">
        <v>0</v>
      </c>
      <c r="F249" s="11">
        <v>0</v>
      </c>
      <c r="I249" s="39">
        <f>_xlfn.XLOOKUP(E250,'แผน Makro 100%'!C:C,'แผน Makro 100%'!L:L,0)</f>
        <v>0</v>
      </c>
      <c r="J249" s="39">
        <f t="shared" si="6"/>
        <v>0</v>
      </c>
    </row>
    <row r="250" spans="5:10" x14ac:dyDescent="0.35">
      <c r="E250">
        <v>0</v>
      </c>
      <c r="F250" s="11">
        <v>0</v>
      </c>
      <c r="I250" s="39">
        <f>_xlfn.XLOOKUP(E251,'แผน Makro 100%'!C:C,'แผน Makro 100%'!L:L,0)</f>
        <v>0</v>
      </c>
      <c r="J250" s="39">
        <f t="shared" si="6"/>
        <v>0</v>
      </c>
    </row>
    <row r="251" spans="5:10" x14ac:dyDescent="0.35">
      <c r="E251">
        <v>0</v>
      </c>
      <c r="F251" s="11">
        <v>0</v>
      </c>
      <c r="I251" s="39">
        <f>_xlfn.XLOOKUP(E252,'แผน Makro 100%'!C:C,'แผน Makro 100%'!L:L,0)</f>
        <v>0</v>
      </c>
      <c r="J251" s="39">
        <f t="shared" si="6"/>
        <v>0</v>
      </c>
    </row>
    <row r="252" spans="5:10" x14ac:dyDescent="0.35">
      <c r="E252">
        <v>0</v>
      </c>
      <c r="F252" s="11">
        <v>0</v>
      </c>
      <c r="I252" s="39">
        <f>_xlfn.XLOOKUP(E253,'แผน Makro 100%'!C:C,'แผน Makro 100%'!L:L,0)</f>
        <v>0</v>
      </c>
      <c r="J252" s="39">
        <f t="shared" si="6"/>
        <v>0</v>
      </c>
    </row>
    <row r="253" spans="5:10" x14ac:dyDescent="0.35">
      <c r="E253">
        <v>0</v>
      </c>
      <c r="F253" s="11">
        <v>0</v>
      </c>
      <c r="I253" s="39">
        <f>_xlfn.XLOOKUP(E254,'แผน Makro 100%'!C:C,'แผน Makro 100%'!L:L,0)</f>
        <v>0</v>
      </c>
      <c r="J253" s="39">
        <f t="shared" si="6"/>
        <v>0</v>
      </c>
    </row>
    <row r="254" spans="5:10" x14ac:dyDescent="0.35">
      <c r="E254">
        <v>0</v>
      </c>
      <c r="F254" s="11">
        <v>0</v>
      </c>
      <c r="I254" s="39">
        <f>_xlfn.XLOOKUP(E255,'แผน Makro 100%'!C:C,'แผน Makro 100%'!L:L,0)</f>
        <v>0</v>
      </c>
      <c r="J254" s="39">
        <f t="shared" si="6"/>
        <v>0</v>
      </c>
    </row>
    <row r="255" spans="5:10" x14ac:dyDescent="0.35">
      <c r="E255">
        <v>0</v>
      </c>
      <c r="F255" s="11">
        <v>0</v>
      </c>
      <c r="I255" s="39">
        <f>_xlfn.XLOOKUP(E256,'แผน Makro 100%'!C:C,'แผน Makro 100%'!L:L,0)</f>
        <v>0</v>
      </c>
      <c r="J255" s="39">
        <f t="shared" si="6"/>
        <v>0</v>
      </c>
    </row>
    <row r="256" spans="5:10" x14ac:dyDescent="0.35">
      <c r="E256">
        <v>0</v>
      </c>
      <c r="F256" s="11">
        <v>0</v>
      </c>
      <c r="I256" s="39">
        <f>_xlfn.XLOOKUP(E257,'แผน Makro 100%'!C:C,'แผน Makro 100%'!L:L,0)</f>
        <v>0</v>
      </c>
      <c r="J256" s="39">
        <f t="shared" si="6"/>
        <v>0</v>
      </c>
    </row>
    <row r="257" spans="5:10" x14ac:dyDescent="0.35">
      <c r="E257">
        <v>0</v>
      </c>
      <c r="F257" s="11">
        <v>0</v>
      </c>
      <c r="I257" s="39">
        <f>_xlfn.XLOOKUP(E258,'แผน Makro 100%'!C:C,'แผน Makro 100%'!L:L,0)</f>
        <v>0</v>
      </c>
      <c r="J257" s="39">
        <f t="shared" si="6"/>
        <v>0</v>
      </c>
    </row>
    <row r="258" spans="5:10" x14ac:dyDescent="0.35">
      <c r="E258">
        <v>0</v>
      </c>
      <c r="F258" s="11">
        <v>0</v>
      </c>
      <c r="I258" s="39">
        <f>_xlfn.XLOOKUP(E259,'แผน Makro 100%'!C:C,'แผน Makro 100%'!L:L,0)</f>
        <v>0</v>
      </c>
      <c r="J258" s="39">
        <f t="shared" si="6"/>
        <v>0</v>
      </c>
    </row>
    <row r="259" spans="5:10" x14ac:dyDescent="0.35">
      <c r="E259">
        <v>0</v>
      </c>
      <c r="F259" s="11">
        <v>0</v>
      </c>
      <c r="I259" s="39">
        <f>_xlfn.XLOOKUP(E260,'แผน Makro 100%'!C:C,'แผน Makro 100%'!L:L,0)</f>
        <v>0</v>
      </c>
      <c r="J259" s="39">
        <f t="shared" si="6"/>
        <v>0</v>
      </c>
    </row>
    <row r="260" spans="5:10" x14ac:dyDescent="0.35">
      <c r="E260">
        <v>0</v>
      </c>
      <c r="F260" s="11">
        <v>0</v>
      </c>
      <c r="I260" s="39">
        <f>_xlfn.XLOOKUP(E261,'แผน Makro 100%'!C:C,'แผน Makro 100%'!L:L,0)</f>
        <v>0</v>
      </c>
      <c r="J260" s="39">
        <f t="shared" si="6"/>
        <v>0</v>
      </c>
    </row>
    <row r="261" spans="5:10" x14ac:dyDescent="0.35">
      <c r="E261">
        <v>0</v>
      </c>
      <c r="F261" s="11">
        <v>0</v>
      </c>
      <c r="I261" s="39">
        <f>_xlfn.XLOOKUP(E262,'แผน Makro 100%'!C:C,'แผน Makro 100%'!L:L,0)</f>
        <v>0</v>
      </c>
      <c r="J261" s="39">
        <f t="shared" si="6"/>
        <v>0</v>
      </c>
    </row>
    <row r="262" spans="5:10" x14ac:dyDescent="0.35">
      <c r="E262">
        <v>0</v>
      </c>
      <c r="F262" s="11">
        <v>0</v>
      </c>
      <c r="I262" s="39">
        <f>_xlfn.XLOOKUP(E263,'แผน Makro 100%'!C:C,'แผน Makro 100%'!L:L,0)</f>
        <v>0</v>
      </c>
      <c r="J262" s="39">
        <f t="shared" si="6"/>
        <v>0</v>
      </c>
    </row>
    <row r="263" spans="5:10" x14ac:dyDescent="0.35">
      <c r="E263">
        <v>0</v>
      </c>
      <c r="F263" s="11">
        <v>0</v>
      </c>
      <c r="I263" s="39">
        <f>_xlfn.XLOOKUP(E264,'แผน Makro 100%'!C:C,'แผน Makro 100%'!L:L,0)</f>
        <v>0</v>
      </c>
      <c r="J263" s="39">
        <f t="shared" ref="J263:J326" si="7">_xlfn.XLOOKUP(H263,E:E,F:F,"ไม่พบ")</f>
        <v>0</v>
      </c>
    </row>
    <row r="264" spans="5:10" x14ac:dyDescent="0.35">
      <c r="E264">
        <v>0</v>
      </c>
      <c r="F264" s="11">
        <v>0</v>
      </c>
      <c r="I264" s="39">
        <f>_xlfn.XLOOKUP(E265,'แผน Makro 100%'!C:C,'แผน Makro 100%'!L:L,0)</f>
        <v>0</v>
      </c>
      <c r="J264" s="39">
        <f t="shared" si="7"/>
        <v>0</v>
      </c>
    </row>
    <row r="265" spans="5:10" x14ac:dyDescent="0.35">
      <c r="E265">
        <v>0</v>
      </c>
      <c r="F265" s="11">
        <v>0</v>
      </c>
      <c r="I265" s="39">
        <f>_xlfn.XLOOKUP(E266,'แผน Makro 100%'!C:C,'แผน Makro 100%'!L:L,0)</f>
        <v>0</v>
      </c>
      <c r="J265" s="39">
        <f t="shared" si="7"/>
        <v>0</v>
      </c>
    </row>
    <row r="266" spans="5:10" x14ac:dyDescent="0.35">
      <c r="E266">
        <v>0</v>
      </c>
      <c r="F266" s="11">
        <v>0</v>
      </c>
      <c r="I266" s="39">
        <f>_xlfn.XLOOKUP(E267,'แผน Makro 100%'!C:C,'แผน Makro 100%'!L:L,0)</f>
        <v>0</v>
      </c>
      <c r="J266" s="39">
        <f t="shared" si="7"/>
        <v>0</v>
      </c>
    </row>
    <row r="267" spans="5:10" x14ac:dyDescent="0.35">
      <c r="E267">
        <v>0</v>
      </c>
      <c r="F267" s="11">
        <v>0</v>
      </c>
      <c r="I267" s="39">
        <f>_xlfn.XLOOKUP(E268,'แผน Makro 100%'!C:C,'แผน Makro 100%'!L:L,0)</f>
        <v>0</v>
      </c>
      <c r="J267" s="39">
        <f t="shared" si="7"/>
        <v>0</v>
      </c>
    </row>
    <row r="268" spans="5:10" x14ac:dyDescent="0.35">
      <c r="E268">
        <v>0</v>
      </c>
      <c r="F268" s="11">
        <v>0</v>
      </c>
      <c r="I268" s="39">
        <f>_xlfn.XLOOKUP(E269,'แผน Makro 100%'!C:C,'แผน Makro 100%'!L:L,0)</f>
        <v>0</v>
      </c>
      <c r="J268" s="39">
        <f t="shared" si="7"/>
        <v>0</v>
      </c>
    </row>
    <row r="269" spans="5:10" x14ac:dyDescent="0.35">
      <c r="E269">
        <v>0</v>
      </c>
      <c r="F269" s="11">
        <v>0</v>
      </c>
      <c r="I269" s="39">
        <f>_xlfn.XLOOKUP(E270,'แผน Makro 100%'!C:C,'แผน Makro 100%'!L:L,0)</f>
        <v>0</v>
      </c>
      <c r="J269" s="39">
        <f t="shared" si="7"/>
        <v>0</v>
      </c>
    </row>
    <row r="270" spans="5:10" x14ac:dyDescent="0.35">
      <c r="E270">
        <v>0</v>
      </c>
      <c r="F270" s="11">
        <v>0</v>
      </c>
      <c r="I270" s="39">
        <f>_xlfn.XLOOKUP(E271,'แผน Makro 100%'!C:C,'แผน Makro 100%'!L:L,0)</f>
        <v>0</v>
      </c>
      <c r="J270" s="39">
        <f t="shared" si="7"/>
        <v>0</v>
      </c>
    </row>
    <row r="271" spans="5:10" x14ac:dyDescent="0.35">
      <c r="E271">
        <v>0</v>
      </c>
      <c r="F271" s="11">
        <v>0</v>
      </c>
      <c r="I271" s="39">
        <f>_xlfn.XLOOKUP(E272,'แผน Makro 100%'!C:C,'แผน Makro 100%'!L:L,0)</f>
        <v>0</v>
      </c>
      <c r="J271" s="39">
        <f t="shared" si="7"/>
        <v>0</v>
      </c>
    </row>
    <row r="272" spans="5:10" x14ac:dyDescent="0.35">
      <c r="E272">
        <v>0</v>
      </c>
      <c r="F272" s="11">
        <v>0</v>
      </c>
      <c r="I272" s="39">
        <f>_xlfn.XLOOKUP(E273,'แผน Makro 100%'!C:C,'แผน Makro 100%'!L:L,0)</f>
        <v>0</v>
      </c>
      <c r="J272" s="39">
        <f t="shared" si="7"/>
        <v>0</v>
      </c>
    </row>
    <row r="273" spans="5:10" x14ac:dyDescent="0.35">
      <c r="E273">
        <v>0</v>
      </c>
      <c r="F273" s="11">
        <v>0</v>
      </c>
      <c r="I273" s="39">
        <f>_xlfn.XLOOKUP(E274,'แผน Makro 100%'!C:C,'แผน Makro 100%'!L:L,0)</f>
        <v>0</v>
      </c>
      <c r="J273" s="39">
        <f t="shared" si="7"/>
        <v>0</v>
      </c>
    </row>
    <row r="274" spans="5:10" x14ac:dyDescent="0.35">
      <c r="E274">
        <v>0</v>
      </c>
      <c r="F274" s="11">
        <v>0</v>
      </c>
      <c r="I274" s="39">
        <f>_xlfn.XLOOKUP(E275,'แผน Makro 100%'!C:C,'แผน Makro 100%'!L:L,0)</f>
        <v>0</v>
      </c>
      <c r="J274" s="39">
        <f t="shared" si="7"/>
        <v>0</v>
      </c>
    </row>
    <row r="275" spans="5:10" x14ac:dyDescent="0.35">
      <c r="E275">
        <v>0</v>
      </c>
      <c r="F275" s="11">
        <v>0</v>
      </c>
      <c r="I275" s="39">
        <f>_xlfn.XLOOKUP(E276,'แผน Makro 100%'!C:C,'แผน Makro 100%'!L:L,0)</f>
        <v>0</v>
      </c>
      <c r="J275" s="39">
        <f t="shared" si="7"/>
        <v>0</v>
      </c>
    </row>
    <row r="276" spans="5:10" x14ac:dyDescent="0.35">
      <c r="E276">
        <v>0</v>
      </c>
      <c r="F276" s="11">
        <v>0</v>
      </c>
      <c r="I276" s="39">
        <f>_xlfn.XLOOKUP(E277,'แผน Makro 100%'!C:C,'แผน Makro 100%'!L:L,0)</f>
        <v>0</v>
      </c>
      <c r="J276" s="39">
        <f t="shared" si="7"/>
        <v>0</v>
      </c>
    </row>
    <row r="277" spans="5:10" x14ac:dyDescent="0.35">
      <c r="E277">
        <v>0</v>
      </c>
      <c r="F277" s="11">
        <v>0</v>
      </c>
      <c r="I277" s="39">
        <f>_xlfn.XLOOKUP(E278,'แผน Makro 100%'!C:C,'แผน Makro 100%'!L:L,0)</f>
        <v>0</v>
      </c>
      <c r="J277" s="39">
        <f t="shared" si="7"/>
        <v>0</v>
      </c>
    </row>
    <row r="278" spans="5:10" x14ac:dyDescent="0.35">
      <c r="E278">
        <v>0</v>
      </c>
      <c r="F278" s="11">
        <v>0</v>
      </c>
      <c r="I278" s="39">
        <f>_xlfn.XLOOKUP(E279,'แผน Makro 100%'!C:C,'แผน Makro 100%'!L:L,0)</f>
        <v>0</v>
      </c>
      <c r="J278" s="39">
        <f t="shared" si="7"/>
        <v>0</v>
      </c>
    </row>
    <row r="279" spans="5:10" x14ac:dyDescent="0.35">
      <c r="E279">
        <v>0</v>
      </c>
      <c r="F279" s="11">
        <v>0</v>
      </c>
      <c r="I279" s="39">
        <f>_xlfn.XLOOKUP(E280,'แผน Makro 100%'!C:C,'แผน Makro 100%'!L:L,0)</f>
        <v>0</v>
      </c>
      <c r="J279" s="39">
        <f t="shared" si="7"/>
        <v>0</v>
      </c>
    </row>
    <row r="280" spans="5:10" x14ac:dyDescent="0.35">
      <c r="E280">
        <v>0</v>
      </c>
      <c r="F280" s="11">
        <v>0</v>
      </c>
      <c r="I280" s="39">
        <f>_xlfn.XLOOKUP(E281,'แผน Makro 100%'!C:C,'แผน Makro 100%'!L:L,0)</f>
        <v>0</v>
      </c>
      <c r="J280" s="39">
        <f t="shared" si="7"/>
        <v>0</v>
      </c>
    </row>
    <row r="281" spans="5:10" x14ac:dyDescent="0.35">
      <c r="E281">
        <v>0</v>
      </c>
      <c r="F281" s="11">
        <v>0</v>
      </c>
      <c r="I281" s="39">
        <f>_xlfn.XLOOKUP(E282,'แผน Makro 100%'!C:C,'แผน Makro 100%'!L:L,0)</f>
        <v>0</v>
      </c>
      <c r="J281" s="39">
        <f t="shared" si="7"/>
        <v>0</v>
      </c>
    </row>
    <row r="282" spans="5:10" x14ac:dyDescent="0.35">
      <c r="E282">
        <v>0</v>
      </c>
      <c r="F282" s="11">
        <v>0</v>
      </c>
      <c r="I282" s="39">
        <f>_xlfn.XLOOKUP(E283,'แผน Makro 100%'!C:C,'แผน Makro 100%'!L:L,0)</f>
        <v>0</v>
      </c>
      <c r="J282" s="39">
        <f t="shared" si="7"/>
        <v>0</v>
      </c>
    </row>
    <row r="283" spans="5:10" x14ac:dyDescent="0.35">
      <c r="E283">
        <v>0</v>
      </c>
      <c r="F283" s="11">
        <v>0</v>
      </c>
      <c r="I283" s="39">
        <f>_xlfn.XLOOKUP(E284,'แผน Makro 100%'!C:C,'แผน Makro 100%'!L:L,0)</f>
        <v>0</v>
      </c>
      <c r="J283" s="39">
        <f t="shared" si="7"/>
        <v>0</v>
      </c>
    </row>
    <row r="284" spans="5:10" x14ac:dyDescent="0.35">
      <c r="E284">
        <v>0</v>
      </c>
      <c r="F284" s="11">
        <v>0</v>
      </c>
      <c r="I284" s="39">
        <f>_xlfn.XLOOKUP(E285,'แผน Makro 100%'!C:C,'แผน Makro 100%'!L:L,0)</f>
        <v>0</v>
      </c>
      <c r="J284" s="39">
        <f t="shared" si="7"/>
        <v>0</v>
      </c>
    </row>
    <row r="285" spans="5:10" x14ac:dyDescent="0.35">
      <c r="E285">
        <v>0</v>
      </c>
      <c r="F285" s="11">
        <v>0</v>
      </c>
      <c r="I285" s="39">
        <f>_xlfn.XLOOKUP(E286,'แผน Makro 100%'!C:C,'แผน Makro 100%'!L:L,0)</f>
        <v>0</v>
      </c>
      <c r="J285" s="39">
        <f t="shared" si="7"/>
        <v>0</v>
      </c>
    </row>
    <row r="286" spans="5:10" x14ac:dyDescent="0.35">
      <c r="E286">
        <v>0</v>
      </c>
      <c r="F286" s="11">
        <v>0</v>
      </c>
      <c r="I286" s="39">
        <f>_xlfn.XLOOKUP(E287,'แผน Makro 100%'!C:C,'แผน Makro 100%'!L:L,0)</f>
        <v>0</v>
      </c>
      <c r="J286" s="39">
        <f t="shared" si="7"/>
        <v>0</v>
      </c>
    </row>
    <row r="287" spans="5:10" x14ac:dyDescent="0.35">
      <c r="E287">
        <v>0</v>
      </c>
      <c r="F287" s="11">
        <v>0</v>
      </c>
      <c r="I287" s="39">
        <f>_xlfn.XLOOKUP(E288,'แผน Makro 100%'!C:C,'แผน Makro 100%'!L:L,0)</f>
        <v>0</v>
      </c>
      <c r="J287" s="39">
        <f t="shared" si="7"/>
        <v>0</v>
      </c>
    </row>
    <row r="288" spans="5:10" x14ac:dyDescent="0.35">
      <c r="E288">
        <v>0</v>
      </c>
      <c r="F288" s="11">
        <v>0</v>
      </c>
      <c r="I288" s="39">
        <f>_xlfn.XLOOKUP(E289,'แผน Makro 100%'!C:C,'แผน Makro 100%'!L:L,0)</f>
        <v>0</v>
      </c>
      <c r="J288" s="39">
        <f t="shared" si="7"/>
        <v>0</v>
      </c>
    </row>
    <row r="289" spans="5:10" x14ac:dyDescent="0.35">
      <c r="E289">
        <v>0</v>
      </c>
      <c r="F289" s="11">
        <v>0</v>
      </c>
      <c r="I289" s="39">
        <f>_xlfn.XLOOKUP(E290,'แผน Makro 100%'!C:C,'แผน Makro 100%'!L:L,0)</f>
        <v>0</v>
      </c>
      <c r="J289" s="39">
        <f t="shared" si="7"/>
        <v>0</v>
      </c>
    </row>
    <row r="290" spans="5:10" x14ac:dyDescent="0.35">
      <c r="E290">
        <v>0</v>
      </c>
      <c r="F290" s="11">
        <v>0</v>
      </c>
      <c r="I290" s="39">
        <f>_xlfn.XLOOKUP(E291,'แผน Makro 100%'!C:C,'แผน Makro 100%'!L:L,0)</f>
        <v>0</v>
      </c>
      <c r="J290" s="39">
        <f t="shared" si="7"/>
        <v>0</v>
      </c>
    </row>
    <row r="291" spans="5:10" x14ac:dyDescent="0.35">
      <c r="E291">
        <v>0</v>
      </c>
      <c r="F291" s="11">
        <v>0</v>
      </c>
      <c r="I291" s="39">
        <f>_xlfn.XLOOKUP(E292,'แผน Makro 100%'!C:C,'แผน Makro 100%'!L:L,0)</f>
        <v>0</v>
      </c>
      <c r="J291" s="39">
        <f t="shared" si="7"/>
        <v>0</v>
      </c>
    </row>
    <row r="292" spans="5:10" x14ac:dyDescent="0.35">
      <c r="E292">
        <v>0</v>
      </c>
      <c r="F292" s="11">
        <v>0</v>
      </c>
      <c r="I292" s="39">
        <f>_xlfn.XLOOKUP(E293,'แผน Makro 100%'!C:C,'แผน Makro 100%'!L:L,0)</f>
        <v>0</v>
      </c>
      <c r="J292" s="39">
        <f t="shared" si="7"/>
        <v>0</v>
      </c>
    </row>
    <row r="293" spans="5:10" x14ac:dyDescent="0.35">
      <c r="E293">
        <v>0</v>
      </c>
      <c r="F293" s="11">
        <v>0</v>
      </c>
      <c r="I293" s="39">
        <f>_xlfn.XLOOKUP(E294,'แผน Makro 100%'!C:C,'แผน Makro 100%'!L:L,0)</f>
        <v>0</v>
      </c>
      <c r="J293" s="39">
        <f t="shared" si="7"/>
        <v>0</v>
      </c>
    </row>
    <row r="294" spans="5:10" x14ac:dyDescent="0.35">
      <c r="E294">
        <v>0</v>
      </c>
      <c r="F294" s="11">
        <v>0</v>
      </c>
      <c r="I294" s="39">
        <f>_xlfn.XLOOKUP(E295,'แผน Makro 100%'!C:C,'แผน Makro 100%'!L:L,0)</f>
        <v>0</v>
      </c>
      <c r="J294" s="39">
        <f t="shared" si="7"/>
        <v>0</v>
      </c>
    </row>
    <row r="295" spans="5:10" x14ac:dyDescent="0.35">
      <c r="E295">
        <v>0</v>
      </c>
      <c r="F295" s="11">
        <v>0</v>
      </c>
      <c r="I295" s="39">
        <f>_xlfn.XLOOKUP(E296,'แผน Makro 100%'!C:C,'แผน Makro 100%'!L:L,0)</f>
        <v>0</v>
      </c>
      <c r="J295" s="39">
        <f t="shared" si="7"/>
        <v>0</v>
      </c>
    </row>
    <row r="296" spans="5:10" x14ac:dyDescent="0.35">
      <c r="E296">
        <v>0</v>
      </c>
      <c r="F296" s="11">
        <v>0</v>
      </c>
      <c r="I296" s="39">
        <f>_xlfn.XLOOKUP(E297,'แผน Makro 100%'!C:C,'แผน Makro 100%'!L:L,0)</f>
        <v>0</v>
      </c>
      <c r="J296" s="39">
        <f t="shared" si="7"/>
        <v>0</v>
      </c>
    </row>
    <row r="297" spans="5:10" x14ac:dyDescent="0.35">
      <c r="E297">
        <v>0</v>
      </c>
      <c r="F297" s="11">
        <v>0</v>
      </c>
      <c r="I297" s="39">
        <f>_xlfn.XLOOKUP(E298,'แผน Makro 100%'!C:C,'แผน Makro 100%'!L:L,0)</f>
        <v>0</v>
      </c>
      <c r="J297" s="39">
        <f t="shared" si="7"/>
        <v>0</v>
      </c>
    </row>
    <row r="298" spans="5:10" x14ac:dyDescent="0.35">
      <c r="E298">
        <v>0</v>
      </c>
      <c r="F298" s="11">
        <v>0</v>
      </c>
      <c r="I298" s="39">
        <f>_xlfn.XLOOKUP(E299,'แผน Makro 100%'!C:C,'แผน Makro 100%'!L:L,0)</f>
        <v>0</v>
      </c>
      <c r="J298" s="39">
        <f t="shared" si="7"/>
        <v>0</v>
      </c>
    </row>
    <row r="299" spans="5:10" x14ac:dyDescent="0.35">
      <c r="E299">
        <v>0</v>
      </c>
      <c r="F299" s="11">
        <v>0</v>
      </c>
      <c r="I299" s="39">
        <f>_xlfn.XLOOKUP(E300,'แผน Makro 100%'!C:C,'แผน Makro 100%'!L:L,0)</f>
        <v>0</v>
      </c>
      <c r="J299" s="39">
        <f t="shared" si="7"/>
        <v>0</v>
      </c>
    </row>
    <row r="300" spans="5:10" x14ac:dyDescent="0.35">
      <c r="E300">
        <v>0</v>
      </c>
      <c r="F300" s="11">
        <v>0</v>
      </c>
      <c r="I300" s="39">
        <f>_xlfn.XLOOKUP(E301,'แผน Makro 100%'!C:C,'แผน Makro 100%'!L:L,0)</f>
        <v>0</v>
      </c>
      <c r="J300" s="39">
        <f t="shared" si="7"/>
        <v>0</v>
      </c>
    </row>
    <row r="301" spans="5:10" x14ac:dyDescent="0.35">
      <c r="E301">
        <v>0</v>
      </c>
      <c r="F301" s="11">
        <v>0</v>
      </c>
      <c r="I301" s="39">
        <f>_xlfn.XLOOKUP(E302,'แผน Makro 100%'!C:C,'แผน Makro 100%'!L:L,0)</f>
        <v>0</v>
      </c>
      <c r="J301" s="39">
        <f t="shared" si="7"/>
        <v>0</v>
      </c>
    </row>
    <row r="302" spans="5:10" x14ac:dyDescent="0.35">
      <c r="E302">
        <v>0</v>
      </c>
      <c r="F302" s="11">
        <v>0</v>
      </c>
      <c r="I302" s="39">
        <f>_xlfn.XLOOKUP(E303,'แผน Makro 100%'!C:C,'แผน Makro 100%'!L:L,0)</f>
        <v>0</v>
      </c>
      <c r="J302" s="39">
        <f t="shared" si="7"/>
        <v>0</v>
      </c>
    </row>
    <row r="303" spans="5:10" x14ac:dyDescent="0.35">
      <c r="E303">
        <v>0</v>
      </c>
      <c r="F303" s="11">
        <v>0</v>
      </c>
      <c r="I303" s="39">
        <f>_xlfn.XLOOKUP(E304,'แผน Makro 100%'!C:C,'แผน Makro 100%'!L:L,0)</f>
        <v>0</v>
      </c>
      <c r="J303" s="39">
        <f t="shared" si="7"/>
        <v>0</v>
      </c>
    </row>
    <row r="304" spans="5:10" x14ac:dyDescent="0.35">
      <c r="E304">
        <v>0</v>
      </c>
      <c r="F304" s="11">
        <v>0</v>
      </c>
      <c r="I304" s="39">
        <f>_xlfn.XLOOKUP(E305,'แผน Makro 100%'!C:C,'แผน Makro 100%'!L:L,0)</f>
        <v>0</v>
      </c>
      <c r="J304" s="39">
        <f t="shared" si="7"/>
        <v>0</v>
      </c>
    </row>
    <row r="305" spans="5:10" x14ac:dyDescent="0.35">
      <c r="E305">
        <v>0</v>
      </c>
      <c r="F305" s="11">
        <v>0</v>
      </c>
      <c r="I305" s="39">
        <f>_xlfn.XLOOKUP(E306,'แผน Makro 100%'!C:C,'แผน Makro 100%'!L:L,0)</f>
        <v>0</v>
      </c>
      <c r="J305" s="39">
        <f t="shared" si="7"/>
        <v>0</v>
      </c>
    </row>
    <row r="306" spans="5:10" x14ac:dyDescent="0.35">
      <c r="E306">
        <v>0</v>
      </c>
      <c r="F306" s="11">
        <v>0</v>
      </c>
      <c r="I306" s="39">
        <f>_xlfn.XLOOKUP(E307,'แผน Makro 100%'!C:C,'แผน Makro 100%'!L:L,0)</f>
        <v>0</v>
      </c>
      <c r="J306" s="39">
        <f t="shared" si="7"/>
        <v>0</v>
      </c>
    </row>
    <row r="307" spans="5:10" x14ac:dyDescent="0.35">
      <c r="E307">
        <v>0</v>
      </c>
      <c r="F307" s="11">
        <v>0</v>
      </c>
      <c r="I307" s="39">
        <f>_xlfn.XLOOKUP(E308,'แผน Makro 100%'!C:C,'แผน Makro 100%'!L:L,0)</f>
        <v>0</v>
      </c>
      <c r="J307" s="39">
        <f t="shared" si="7"/>
        <v>0</v>
      </c>
    </row>
    <row r="308" spans="5:10" x14ac:dyDescent="0.35">
      <c r="E308">
        <v>0</v>
      </c>
      <c r="F308" s="11">
        <v>0</v>
      </c>
      <c r="I308" s="39">
        <f>_xlfn.XLOOKUP(E309,'แผน Makro 100%'!C:C,'แผน Makro 100%'!L:L,0)</f>
        <v>0</v>
      </c>
      <c r="J308" s="39">
        <f t="shared" si="7"/>
        <v>0</v>
      </c>
    </row>
    <row r="309" spans="5:10" x14ac:dyDescent="0.35">
      <c r="E309">
        <v>0</v>
      </c>
      <c r="F309" s="11">
        <v>0</v>
      </c>
      <c r="I309" s="39">
        <f>_xlfn.XLOOKUP(E310,'แผน Makro 100%'!C:C,'แผน Makro 100%'!L:L,0)</f>
        <v>0</v>
      </c>
      <c r="J309" s="39">
        <f t="shared" si="7"/>
        <v>0</v>
      </c>
    </row>
    <row r="310" spans="5:10" x14ac:dyDescent="0.35">
      <c r="E310">
        <v>0</v>
      </c>
      <c r="F310" s="11">
        <v>0</v>
      </c>
      <c r="I310" s="39">
        <f>_xlfn.XLOOKUP(E311,'แผน Makro 100%'!C:C,'แผน Makro 100%'!L:L,0)</f>
        <v>0</v>
      </c>
      <c r="J310" s="39">
        <f t="shared" si="7"/>
        <v>0</v>
      </c>
    </row>
    <row r="311" spans="5:10" x14ac:dyDescent="0.35">
      <c r="E311">
        <v>0</v>
      </c>
      <c r="F311" s="11">
        <v>0</v>
      </c>
      <c r="I311" s="39">
        <f>_xlfn.XLOOKUP(E312,'แผน Makro 100%'!C:C,'แผน Makro 100%'!L:L,0)</f>
        <v>0</v>
      </c>
      <c r="J311" s="39">
        <f t="shared" si="7"/>
        <v>0</v>
      </c>
    </row>
    <row r="312" spans="5:10" x14ac:dyDescent="0.35">
      <c r="E312">
        <v>0</v>
      </c>
      <c r="F312" s="11">
        <v>0</v>
      </c>
      <c r="I312" s="39">
        <f>_xlfn.XLOOKUP(E313,'แผน Makro 100%'!C:C,'แผน Makro 100%'!L:L,0)</f>
        <v>0</v>
      </c>
      <c r="J312" s="39">
        <f t="shared" si="7"/>
        <v>0</v>
      </c>
    </row>
    <row r="313" spans="5:10" x14ac:dyDescent="0.35">
      <c r="E313">
        <v>0</v>
      </c>
      <c r="F313" s="11">
        <v>0</v>
      </c>
      <c r="I313" s="39">
        <f>_xlfn.XLOOKUP(E314,'แผน Makro 100%'!C:C,'แผน Makro 100%'!L:L,0)</f>
        <v>0</v>
      </c>
      <c r="J313" s="39">
        <f t="shared" si="7"/>
        <v>0</v>
      </c>
    </row>
    <row r="314" spans="5:10" x14ac:dyDescent="0.35">
      <c r="E314">
        <v>0</v>
      </c>
      <c r="F314" s="11">
        <v>0</v>
      </c>
      <c r="I314" s="39">
        <f>_xlfn.XLOOKUP(E315,'แผน Makro 100%'!C:C,'แผน Makro 100%'!L:L,0)</f>
        <v>0</v>
      </c>
      <c r="J314" s="39">
        <f t="shared" si="7"/>
        <v>0</v>
      </c>
    </row>
    <row r="315" spans="5:10" x14ac:dyDescent="0.35">
      <c r="E315">
        <v>0</v>
      </c>
      <c r="F315" s="11">
        <v>0</v>
      </c>
      <c r="I315" s="39">
        <f>_xlfn.XLOOKUP(E316,'แผน Makro 100%'!C:C,'แผน Makro 100%'!L:L,0)</f>
        <v>0</v>
      </c>
      <c r="J315" s="39">
        <f t="shared" si="7"/>
        <v>0</v>
      </c>
    </row>
    <row r="316" spans="5:10" x14ac:dyDescent="0.35">
      <c r="E316">
        <v>0</v>
      </c>
      <c r="F316" s="11">
        <v>0</v>
      </c>
      <c r="I316" s="39">
        <f>_xlfn.XLOOKUP(E317,'แผน Makro 100%'!C:C,'แผน Makro 100%'!L:L,0)</f>
        <v>0</v>
      </c>
      <c r="J316" s="39">
        <f t="shared" si="7"/>
        <v>0</v>
      </c>
    </row>
    <row r="317" spans="5:10" x14ac:dyDescent="0.35">
      <c r="E317">
        <v>0</v>
      </c>
      <c r="F317" s="11">
        <v>0</v>
      </c>
      <c r="I317" s="39">
        <f>_xlfn.XLOOKUP(E318,'แผน Makro 100%'!C:C,'แผน Makro 100%'!L:L,0)</f>
        <v>0</v>
      </c>
      <c r="J317" s="39">
        <f t="shared" si="7"/>
        <v>0</v>
      </c>
    </row>
    <row r="318" spans="5:10" x14ac:dyDescent="0.35">
      <c r="E318">
        <v>0</v>
      </c>
      <c r="F318" s="11">
        <v>0</v>
      </c>
      <c r="I318" s="39">
        <f>_xlfn.XLOOKUP(E319,'แผน Makro 100%'!C:C,'แผน Makro 100%'!L:L,0)</f>
        <v>0</v>
      </c>
      <c r="J318" s="39">
        <f t="shared" si="7"/>
        <v>0</v>
      </c>
    </row>
    <row r="319" spans="5:10" x14ac:dyDescent="0.35">
      <c r="E319">
        <v>0</v>
      </c>
      <c r="F319" s="11">
        <v>0</v>
      </c>
      <c r="I319" s="39">
        <f>_xlfn.XLOOKUP(E320,'แผน Makro 100%'!C:C,'แผน Makro 100%'!L:L,0)</f>
        <v>0</v>
      </c>
      <c r="J319" s="39">
        <f t="shared" si="7"/>
        <v>0</v>
      </c>
    </row>
    <row r="320" spans="5:10" x14ac:dyDescent="0.35">
      <c r="E320">
        <v>0</v>
      </c>
      <c r="F320" s="11">
        <v>0</v>
      </c>
      <c r="I320" s="39">
        <f>_xlfn.XLOOKUP(E321,'แผน Makro 100%'!C:C,'แผน Makro 100%'!L:L,0)</f>
        <v>0</v>
      </c>
      <c r="J320" s="39">
        <f t="shared" si="7"/>
        <v>0</v>
      </c>
    </row>
    <row r="321" spans="5:10" x14ac:dyDescent="0.35">
      <c r="E321">
        <v>0</v>
      </c>
      <c r="F321" s="11">
        <v>0</v>
      </c>
      <c r="I321" s="39">
        <f>_xlfn.XLOOKUP(E322,'แผน Makro 100%'!C:C,'แผน Makro 100%'!L:L,0)</f>
        <v>0</v>
      </c>
      <c r="J321" s="39">
        <f t="shared" si="7"/>
        <v>0</v>
      </c>
    </row>
    <row r="322" spans="5:10" x14ac:dyDescent="0.35">
      <c r="E322">
        <v>0</v>
      </c>
      <c r="F322" s="11">
        <v>0</v>
      </c>
      <c r="I322" s="39">
        <f>_xlfn.XLOOKUP(E323,'แผน Makro 100%'!C:C,'แผน Makro 100%'!L:L,0)</f>
        <v>0</v>
      </c>
      <c r="J322" s="39">
        <f t="shared" si="7"/>
        <v>0</v>
      </c>
    </row>
    <row r="323" spans="5:10" x14ac:dyDescent="0.35">
      <c r="E323">
        <v>0</v>
      </c>
      <c r="F323" s="11">
        <v>0</v>
      </c>
      <c r="I323" s="39">
        <f>_xlfn.XLOOKUP(E324,'แผน Makro 100%'!C:C,'แผน Makro 100%'!L:L,0)</f>
        <v>0</v>
      </c>
      <c r="J323" s="39">
        <f t="shared" si="7"/>
        <v>0</v>
      </c>
    </row>
    <row r="324" spans="5:10" x14ac:dyDescent="0.35">
      <c r="E324">
        <v>0</v>
      </c>
      <c r="F324" s="11">
        <v>0</v>
      </c>
      <c r="I324" s="39">
        <f>_xlfn.XLOOKUP(E325,'แผน Makro 100%'!C:C,'แผน Makro 100%'!L:L,0)</f>
        <v>0</v>
      </c>
      <c r="J324" s="39">
        <f t="shared" si="7"/>
        <v>0</v>
      </c>
    </row>
    <row r="325" spans="5:10" x14ac:dyDescent="0.35">
      <c r="E325">
        <v>0</v>
      </c>
      <c r="F325" s="11">
        <v>0</v>
      </c>
      <c r="I325" s="39">
        <f>_xlfn.XLOOKUP(E326,'แผน Makro 100%'!C:C,'แผน Makro 100%'!L:L,0)</f>
        <v>0</v>
      </c>
      <c r="J325" s="39">
        <f t="shared" si="7"/>
        <v>0</v>
      </c>
    </row>
    <row r="326" spans="5:10" x14ac:dyDescent="0.35">
      <c r="E326">
        <v>0</v>
      </c>
      <c r="F326" s="11">
        <v>0</v>
      </c>
      <c r="I326" s="39">
        <f>_xlfn.XLOOKUP(E327,'แผน Makro 100%'!C:C,'แผน Makro 100%'!L:L,0)</f>
        <v>0</v>
      </c>
      <c r="J326" s="39">
        <f t="shared" si="7"/>
        <v>0</v>
      </c>
    </row>
    <row r="327" spans="5:10" x14ac:dyDescent="0.35">
      <c r="E327">
        <v>0</v>
      </c>
      <c r="F327" s="11">
        <v>0</v>
      </c>
      <c r="I327" s="39">
        <f>_xlfn.XLOOKUP(E328,'แผน Makro 100%'!C:C,'แผน Makro 100%'!L:L,0)</f>
        <v>0</v>
      </c>
      <c r="J327" s="39">
        <f t="shared" ref="J327:J390" si="8">_xlfn.XLOOKUP(H327,E:E,F:F,"ไม่พบ")</f>
        <v>0</v>
      </c>
    </row>
    <row r="328" spans="5:10" x14ac:dyDescent="0.35">
      <c r="E328">
        <v>0</v>
      </c>
      <c r="F328" s="11">
        <v>0</v>
      </c>
      <c r="I328" s="39">
        <f>_xlfn.XLOOKUP(E329,'แผน Makro 100%'!C:C,'แผน Makro 100%'!L:L,0)</f>
        <v>0</v>
      </c>
      <c r="J328" s="39">
        <f t="shared" si="8"/>
        <v>0</v>
      </c>
    </row>
    <row r="329" spans="5:10" x14ac:dyDescent="0.35">
      <c r="E329">
        <v>0</v>
      </c>
      <c r="F329" s="11">
        <v>0</v>
      </c>
      <c r="I329" s="39">
        <f>_xlfn.XLOOKUP(E330,'แผน Makro 100%'!C:C,'แผน Makro 100%'!L:L,0)</f>
        <v>0</v>
      </c>
      <c r="J329" s="39">
        <f t="shared" si="8"/>
        <v>0</v>
      </c>
    </row>
    <row r="330" spans="5:10" x14ac:dyDescent="0.35">
      <c r="E330">
        <v>0</v>
      </c>
      <c r="F330" s="11">
        <v>0</v>
      </c>
      <c r="I330" s="39">
        <f>_xlfn.XLOOKUP(E331,'แผน Makro 100%'!C:C,'แผน Makro 100%'!L:L,0)</f>
        <v>0</v>
      </c>
      <c r="J330" s="39">
        <f t="shared" si="8"/>
        <v>0</v>
      </c>
    </row>
    <row r="331" spans="5:10" x14ac:dyDescent="0.35">
      <c r="E331">
        <v>0</v>
      </c>
      <c r="F331" s="11">
        <v>0</v>
      </c>
      <c r="I331" s="39">
        <f>_xlfn.XLOOKUP(E332,'แผน Makro 100%'!C:C,'แผน Makro 100%'!L:L,0)</f>
        <v>0</v>
      </c>
      <c r="J331" s="39">
        <f t="shared" si="8"/>
        <v>0</v>
      </c>
    </row>
    <row r="332" spans="5:10" x14ac:dyDescent="0.35">
      <c r="E332">
        <v>0</v>
      </c>
      <c r="F332" s="11">
        <v>0</v>
      </c>
      <c r="I332" s="39">
        <f>_xlfn.XLOOKUP(E333,'แผน Makro 100%'!C:C,'แผน Makro 100%'!L:L,0)</f>
        <v>0</v>
      </c>
      <c r="J332" s="39">
        <f t="shared" si="8"/>
        <v>0</v>
      </c>
    </row>
    <row r="333" spans="5:10" x14ac:dyDescent="0.35">
      <c r="E333">
        <v>0</v>
      </c>
      <c r="F333" s="11">
        <v>0</v>
      </c>
      <c r="I333" s="39">
        <f>_xlfn.XLOOKUP(E334,'แผน Makro 100%'!C:C,'แผน Makro 100%'!L:L,0)</f>
        <v>0</v>
      </c>
      <c r="J333" s="39">
        <f t="shared" si="8"/>
        <v>0</v>
      </c>
    </row>
    <row r="334" spans="5:10" x14ac:dyDescent="0.35">
      <c r="E334">
        <v>0</v>
      </c>
      <c r="F334" s="11">
        <v>0</v>
      </c>
      <c r="I334" s="39">
        <f>_xlfn.XLOOKUP(E335,'แผน Makro 100%'!C:C,'แผน Makro 100%'!L:L,0)</f>
        <v>0</v>
      </c>
      <c r="J334" s="39">
        <f t="shared" si="8"/>
        <v>0</v>
      </c>
    </row>
    <row r="335" spans="5:10" x14ac:dyDescent="0.35">
      <c r="E335">
        <v>0</v>
      </c>
      <c r="F335" s="11">
        <v>0</v>
      </c>
      <c r="I335" s="39">
        <f>_xlfn.XLOOKUP(E336,'แผน Makro 100%'!C:C,'แผน Makro 100%'!L:L,0)</f>
        <v>0</v>
      </c>
      <c r="J335" s="39">
        <f t="shared" si="8"/>
        <v>0</v>
      </c>
    </row>
    <row r="336" spans="5:10" x14ac:dyDescent="0.35">
      <c r="E336">
        <v>0</v>
      </c>
      <c r="F336" s="11">
        <v>0</v>
      </c>
      <c r="I336" s="39">
        <f>_xlfn.XLOOKUP(E337,'แผน Makro 100%'!C:C,'แผน Makro 100%'!L:L,0)</f>
        <v>0</v>
      </c>
      <c r="J336" s="39">
        <f t="shared" si="8"/>
        <v>0</v>
      </c>
    </row>
    <row r="337" spans="5:10" x14ac:dyDescent="0.35">
      <c r="E337">
        <v>0</v>
      </c>
      <c r="F337" s="11">
        <v>0</v>
      </c>
      <c r="I337" s="39">
        <f>_xlfn.XLOOKUP(E338,'แผน Makro 100%'!C:C,'แผน Makro 100%'!L:L,0)</f>
        <v>0</v>
      </c>
      <c r="J337" s="39">
        <f t="shared" si="8"/>
        <v>0</v>
      </c>
    </row>
    <row r="338" spans="5:10" x14ac:dyDescent="0.35">
      <c r="E338">
        <v>0</v>
      </c>
      <c r="F338" s="11">
        <v>0</v>
      </c>
      <c r="I338" s="39">
        <f>_xlfn.XLOOKUP(E339,'แผน Makro 100%'!C:C,'แผน Makro 100%'!L:L,0)</f>
        <v>0</v>
      </c>
      <c r="J338" s="39">
        <f t="shared" si="8"/>
        <v>0</v>
      </c>
    </row>
    <row r="339" spans="5:10" x14ac:dyDescent="0.35">
      <c r="E339">
        <v>0</v>
      </c>
      <c r="F339" s="11">
        <v>0</v>
      </c>
      <c r="I339" s="39">
        <f>_xlfn.XLOOKUP(E340,'แผน Makro 100%'!C:C,'แผน Makro 100%'!L:L,0)</f>
        <v>0</v>
      </c>
      <c r="J339" s="39">
        <f t="shared" si="8"/>
        <v>0</v>
      </c>
    </row>
    <row r="340" spans="5:10" x14ac:dyDescent="0.35">
      <c r="E340">
        <v>0</v>
      </c>
      <c r="F340" s="11">
        <v>0</v>
      </c>
      <c r="I340" s="39">
        <f>_xlfn.XLOOKUP(E341,'แผน Makro 100%'!C:C,'แผน Makro 100%'!L:L,0)</f>
        <v>0</v>
      </c>
      <c r="J340" s="39">
        <f t="shared" si="8"/>
        <v>0</v>
      </c>
    </row>
    <row r="341" spans="5:10" x14ac:dyDescent="0.35">
      <c r="E341">
        <v>0</v>
      </c>
      <c r="F341" s="11">
        <v>0</v>
      </c>
      <c r="I341" s="39">
        <f>_xlfn.XLOOKUP(E342,'แผน Makro 100%'!C:C,'แผน Makro 100%'!L:L,0)</f>
        <v>0</v>
      </c>
      <c r="J341" s="39">
        <f t="shared" si="8"/>
        <v>0</v>
      </c>
    </row>
    <row r="342" spans="5:10" x14ac:dyDescent="0.35">
      <c r="E342">
        <v>0</v>
      </c>
      <c r="F342" s="11">
        <v>0</v>
      </c>
      <c r="I342" s="39">
        <f>_xlfn.XLOOKUP(E343,'แผน Makro 100%'!C:C,'แผน Makro 100%'!L:L,0)</f>
        <v>0</v>
      </c>
      <c r="J342" s="39">
        <f t="shared" si="8"/>
        <v>0</v>
      </c>
    </row>
    <row r="343" spans="5:10" x14ac:dyDescent="0.35">
      <c r="E343">
        <v>0</v>
      </c>
      <c r="F343" s="11">
        <v>0</v>
      </c>
      <c r="I343" s="39">
        <f>_xlfn.XLOOKUP(E344,'แผน Makro 100%'!C:C,'แผน Makro 100%'!L:L,0)</f>
        <v>0</v>
      </c>
      <c r="J343" s="39">
        <f t="shared" si="8"/>
        <v>0</v>
      </c>
    </row>
    <row r="344" spans="5:10" x14ac:dyDescent="0.35">
      <c r="E344">
        <v>0</v>
      </c>
      <c r="F344" s="11">
        <v>0</v>
      </c>
      <c r="I344" s="39">
        <f>_xlfn.XLOOKUP(E345,'แผน Makro 100%'!C:C,'แผน Makro 100%'!L:L,0)</f>
        <v>0</v>
      </c>
      <c r="J344" s="39">
        <f t="shared" si="8"/>
        <v>0</v>
      </c>
    </row>
    <row r="345" spans="5:10" x14ac:dyDescent="0.35">
      <c r="E345">
        <v>0</v>
      </c>
      <c r="F345" s="11">
        <v>0</v>
      </c>
      <c r="I345" s="39">
        <f>_xlfn.XLOOKUP(E346,'แผน Makro 100%'!C:C,'แผน Makro 100%'!L:L,0)</f>
        <v>0</v>
      </c>
      <c r="J345" s="39">
        <f t="shared" si="8"/>
        <v>0</v>
      </c>
    </row>
    <row r="346" spans="5:10" x14ac:dyDescent="0.35">
      <c r="E346">
        <v>0</v>
      </c>
      <c r="F346" s="11">
        <v>0</v>
      </c>
      <c r="I346" s="39">
        <f>_xlfn.XLOOKUP(E347,'แผน Makro 100%'!C:C,'แผน Makro 100%'!L:L,0)</f>
        <v>0</v>
      </c>
      <c r="J346" s="39">
        <f t="shared" si="8"/>
        <v>0</v>
      </c>
    </row>
    <row r="347" spans="5:10" x14ac:dyDescent="0.35">
      <c r="E347">
        <v>0</v>
      </c>
      <c r="F347" s="11">
        <v>0</v>
      </c>
      <c r="I347" s="39">
        <f>_xlfn.XLOOKUP(E348,'แผน Makro 100%'!C:C,'แผน Makro 100%'!L:L,0)</f>
        <v>0</v>
      </c>
      <c r="J347" s="39">
        <f t="shared" si="8"/>
        <v>0</v>
      </c>
    </row>
    <row r="348" spans="5:10" x14ac:dyDescent="0.35">
      <c r="E348">
        <v>0</v>
      </c>
      <c r="F348" s="11">
        <v>0</v>
      </c>
      <c r="I348" s="39">
        <f>_xlfn.XLOOKUP(E349,'แผน Makro 100%'!C:C,'แผน Makro 100%'!L:L,0)</f>
        <v>0</v>
      </c>
      <c r="J348" s="39">
        <f t="shared" si="8"/>
        <v>0</v>
      </c>
    </row>
    <row r="349" spans="5:10" x14ac:dyDescent="0.35">
      <c r="E349">
        <v>0</v>
      </c>
      <c r="F349" s="11">
        <v>0</v>
      </c>
      <c r="I349" s="39">
        <f>_xlfn.XLOOKUP(E350,'แผน Makro 100%'!C:C,'แผน Makro 100%'!L:L,0)</f>
        <v>0</v>
      </c>
      <c r="J349" s="39">
        <f t="shared" si="8"/>
        <v>0</v>
      </c>
    </row>
    <row r="350" spans="5:10" x14ac:dyDescent="0.35">
      <c r="E350">
        <v>0</v>
      </c>
      <c r="F350" s="11">
        <v>0</v>
      </c>
      <c r="I350" s="39">
        <f>_xlfn.XLOOKUP(E351,'แผน Makro 100%'!C:C,'แผน Makro 100%'!L:L,0)</f>
        <v>0</v>
      </c>
      <c r="J350" s="39">
        <f t="shared" si="8"/>
        <v>0</v>
      </c>
    </row>
    <row r="351" spans="5:10" x14ac:dyDescent="0.35">
      <c r="E351">
        <v>0</v>
      </c>
      <c r="F351" s="11">
        <v>0</v>
      </c>
      <c r="I351" s="39">
        <f>_xlfn.XLOOKUP(E352,'แผน Makro 100%'!C:C,'แผน Makro 100%'!L:L,0)</f>
        <v>0</v>
      </c>
      <c r="J351" s="39">
        <f t="shared" si="8"/>
        <v>0</v>
      </c>
    </row>
    <row r="352" spans="5:10" x14ac:dyDescent="0.35">
      <c r="E352">
        <v>0</v>
      </c>
      <c r="F352" s="11">
        <v>0</v>
      </c>
      <c r="I352" s="39">
        <f>_xlfn.XLOOKUP(E353,'แผน Makro 100%'!C:C,'แผน Makro 100%'!L:L,0)</f>
        <v>0</v>
      </c>
      <c r="J352" s="39">
        <f t="shared" si="8"/>
        <v>0</v>
      </c>
    </row>
    <row r="353" spans="5:10" x14ac:dyDescent="0.35">
      <c r="E353">
        <v>0</v>
      </c>
      <c r="F353" s="11">
        <v>0</v>
      </c>
      <c r="I353" s="39">
        <f>_xlfn.XLOOKUP(E354,'แผน Makro 100%'!C:C,'แผน Makro 100%'!L:L,0)</f>
        <v>0</v>
      </c>
      <c r="J353" s="39">
        <f t="shared" si="8"/>
        <v>0</v>
      </c>
    </row>
    <row r="354" spans="5:10" x14ac:dyDescent="0.35">
      <c r="E354">
        <v>0</v>
      </c>
      <c r="F354" s="11">
        <v>0</v>
      </c>
      <c r="I354" s="39">
        <f>_xlfn.XLOOKUP(E355,'แผน Makro 100%'!C:C,'แผน Makro 100%'!L:L,0)</f>
        <v>0</v>
      </c>
      <c r="J354" s="39">
        <f t="shared" si="8"/>
        <v>0</v>
      </c>
    </row>
    <row r="355" spans="5:10" x14ac:dyDescent="0.35">
      <c r="E355">
        <v>0</v>
      </c>
      <c r="F355" s="11">
        <v>0</v>
      </c>
      <c r="I355" s="39">
        <f>_xlfn.XLOOKUP(E356,'แผน Makro 100%'!C:C,'แผน Makro 100%'!L:L,0)</f>
        <v>0</v>
      </c>
      <c r="J355" s="39">
        <f t="shared" si="8"/>
        <v>0</v>
      </c>
    </row>
    <row r="356" spans="5:10" x14ac:dyDescent="0.35">
      <c r="E356">
        <v>0</v>
      </c>
      <c r="F356" s="11">
        <v>0</v>
      </c>
      <c r="I356" s="39">
        <f>_xlfn.XLOOKUP(E357,'แผน Makro 100%'!C:C,'แผน Makro 100%'!L:L,0)</f>
        <v>0</v>
      </c>
      <c r="J356" s="39">
        <f t="shared" si="8"/>
        <v>0</v>
      </c>
    </row>
    <row r="357" spans="5:10" x14ac:dyDescent="0.35">
      <c r="E357">
        <v>0</v>
      </c>
      <c r="F357" s="11">
        <v>0</v>
      </c>
      <c r="I357" s="39">
        <f>_xlfn.XLOOKUP(E358,'แผน Makro 100%'!C:C,'แผน Makro 100%'!L:L,0)</f>
        <v>0</v>
      </c>
      <c r="J357" s="39">
        <f t="shared" si="8"/>
        <v>0</v>
      </c>
    </row>
    <row r="358" spans="5:10" x14ac:dyDescent="0.35">
      <c r="E358">
        <v>0</v>
      </c>
      <c r="F358" s="11">
        <v>0</v>
      </c>
      <c r="I358" s="39">
        <f>_xlfn.XLOOKUP(E359,'แผน Makro 100%'!C:C,'แผน Makro 100%'!L:L,0)</f>
        <v>0</v>
      </c>
      <c r="J358" s="39">
        <f t="shared" si="8"/>
        <v>0</v>
      </c>
    </row>
    <row r="359" spans="5:10" x14ac:dyDescent="0.35">
      <c r="E359">
        <v>0</v>
      </c>
      <c r="F359" s="11">
        <v>0</v>
      </c>
      <c r="I359" s="39">
        <f>_xlfn.XLOOKUP(E360,'แผน Makro 100%'!C:C,'แผน Makro 100%'!L:L,0)</f>
        <v>0</v>
      </c>
      <c r="J359" s="39">
        <f t="shared" si="8"/>
        <v>0</v>
      </c>
    </row>
    <row r="360" spans="5:10" x14ac:dyDescent="0.35">
      <c r="E360">
        <v>0</v>
      </c>
      <c r="F360" s="11">
        <v>0</v>
      </c>
      <c r="I360" s="39">
        <f>_xlfn.XLOOKUP(E361,'แผน Makro 100%'!C:C,'แผน Makro 100%'!L:L,0)</f>
        <v>0</v>
      </c>
      <c r="J360" s="39">
        <f t="shared" si="8"/>
        <v>0</v>
      </c>
    </row>
    <row r="361" spans="5:10" x14ac:dyDescent="0.35">
      <c r="E361">
        <v>0</v>
      </c>
      <c r="F361" s="11">
        <v>0</v>
      </c>
      <c r="I361" s="39">
        <f>_xlfn.XLOOKUP(E362,'แผน Makro 100%'!C:C,'แผน Makro 100%'!L:L,0)</f>
        <v>0</v>
      </c>
      <c r="J361" s="39">
        <f t="shared" si="8"/>
        <v>0</v>
      </c>
    </row>
    <row r="362" spans="5:10" x14ac:dyDescent="0.35">
      <c r="E362">
        <v>0</v>
      </c>
      <c r="F362" s="11">
        <v>0</v>
      </c>
      <c r="I362" s="39">
        <f>_xlfn.XLOOKUP(E363,'แผน Makro 100%'!C:C,'แผน Makro 100%'!L:L,0)</f>
        <v>0</v>
      </c>
      <c r="J362" s="39">
        <f t="shared" si="8"/>
        <v>0</v>
      </c>
    </row>
    <row r="363" spans="5:10" x14ac:dyDescent="0.35">
      <c r="E363">
        <v>0</v>
      </c>
      <c r="F363" s="11">
        <v>0</v>
      </c>
      <c r="I363" s="39">
        <f>_xlfn.XLOOKUP(E364,'แผน Makro 100%'!C:C,'แผน Makro 100%'!L:L,0)</f>
        <v>0</v>
      </c>
      <c r="J363" s="39">
        <f t="shared" si="8"/>
        <v>0</v>
      </c>
    </row>
    <row r="364" spans="5:10" x14ac:dyDescent="0.35">
      <c r="E364">
        <v>0</v>
      </c>
      <c r="F364" s="11">
        <v>0</v>
      </c>
      <c r="I364" s="39">
        <f>_xlfn.XLOOKUP(E365,'แผน Makro 100%'!C:C,'แผน Makro 100%'!L:L,0)</f>
        <v>0</v>
      </c>
      <c r="J364" s="39">
        <f t="shared" si="8"/>
        <v>0</v>
      </c>
    </row>
    <row r="365" spans="5:10" x14ac:dyDescent="0.35">
      <c r="E365">
        <v>0</v>
      </c>
      <c r="F365" s="11">
        <v>0</v>
      </c>
      <c r="I365" s="39">
        <f>_xlfn.XLOOKUP(E366,'แผน Makro 100%'!C:C,'แผน Makro 100%'!L:L,0)</f>
        <v>0</v>
      </c>
      <c r="J365" s="39">
        <f t="shared" si="8"/>
        <v>0</v>
      </c>
    </row>
    <row r="366" spans="5:10" x14ac:dyDescent="0.35">
      <c r="E366">
        <v>0</v>
      </c>
      <c r="F366" s="11">
        <v>0</v>
      </c>
      <c r="I366" s="39">
        <f>_xlfn.XLOOKUP(E367,'แผน Makro 100%'!C:C,'แผน Makro 100%'!L:L,0)</f>
        <v>0</v>
      </c>
      <c r="J366" s="39">
        <f t="shared" si="8"/>
        <v>0</v>
      </c>
    </row>
    <row r="367" spans="5:10" x14ac:dyDescent="0.35">
      <c r="E367">
        <v>0</v>
      </c>
      <c r="F367" s="11">
        <v>0</v>
      </c>
      <c r="I367" s="39">
        <f>_xlfn.XLOOKUP(E368,'แผน Makro 100%'!C:C,'แผน Makro 100%'!L:L,0)</f>
        <v>0</v>
      </c>
      <c r="J367" s="39">
        <f t="shared" si="8"/>
        <v>0</v>
      </c>
    </row>
    <row r="368" spans="5:10" x14ac:dyDescent="0.35">
      <c r="E368">
        <v>0</v>
      </c>
      <c r="F368" s="11">
        <v>0</v>
      </c>
      <c r="I368" s="39">
        <f>_xlfn.XLOOKUP(E369,'แผน Makro 100%'!C:C,'แผน Makro 100%'!L:L,0)</f>
        <v>0</v>
      </c>
      <c r="J368" s="39">
        <f t="shared" si="8"/>
        <v>0</v>
      </c>
    </row>
    <row r="369" spans="5:10" x14ac:dyDescent="0.35">
      <c r="E369">
        <v>0</v>
      </c>
      <c r="F369" s="11">
        <v>0</v>
      </c>
      <c r="I369" s="39">
        <f>_xlfn.XLOOKUP(E370,'แผน Makro 100%'!C:C,'แผน Makro 100%'!L:L,0)</f>
        <v>0</v>
      </c>
      <c r="J369" s="39">
        <f t="shared" si="8"/>
        <v>0</v>
      </c>
    </row>
    <row r="370" spans="5:10" x14ac:dyDescent="0.35">
      <c r="E370">
        <v>0</v>
      </c>
      <c r="F370" s="11">
        <v>0</v>
      </c>
      <c r="I370" s="39">
        <f>_xlfn.XLOOKUP(E371,'แผน Makro 100%'!C:C,'แผน Makro 100%'!L:L,0)</f>
        <v>0</v>
      </c>
      <c r="J370" s="39">
        <f t="shared" si="8"/>
        <v>0</v>
      </c>
    </row>
    <row r="371" spans="5:10" x14ac:dyDescent="0.35">
      <c r="E371">
        <v>0</v>
      </c>
      <c r="F371" s="11">
        <v>0</v>
      </c>
      <c r="I371" s="39">
        <f>_xlfn.XLOOKUP(E372,'แผน Makro 100%'!C:C,'แผน Makro 100%'!L:L,0)</f>
        <v>0</v>
      </c>
      <c r="J371" s="39">
        <f t="shared" si="8"/>
        <v>0</v>
      </c>
    </row>
    <row r="372" spans="5:10" x14ac:dyDescent="0.35">
      <c r="E372">
        <v>0</v>
      </c>
      <c r="F372" s="11">
        <v>0</v>
      </c>
      <c r="I372" s="39">
        <f>_xlfn.XLOOKUP(E373,'แผน Makro 100%'!C:C,'แผน Makro 100%'!L:L,0)</f>
        <v>0</v>
      </c>
      <c r="J372" s="39">
        <f t="shared" si="8"/>
        <v>0</v>
      </c>
    </row>
    <row r="373" spans="5:10" x14ac:dyDescent="0.35">
      <c r="E373">
        <v>0</v>
      </c>
      <c r="F373" s="11">
        <v>0</v>
      </c>
      <c r="I373" s="39">
        <f>_xlfn.XLOOKUP(E374,'แผน Makro 100%'!C:C,'แผน Makro 100%'!L:L,0)</f>
        <v>0</v>
      </c>
      <c r="J373" s="39">
        <f t="shared" si="8"/>
        <v>0</v>
      </c>
    </row>
    <row r="374" spans="5:10" x14ac:dyDescent="0.35">
      <c r="E374">
        <v>0</v>
      </c>
      <c r="F374" s="11">
        <v>0</v>
      </c>
      <c r="I374" s="39">
        <f>_xlfn.XLOOKUP(E375,'แผน Makro 100%'!C:C,'แผน Makro 100%'!L:L,0)</f>
        <v>0</v>
      </c>
      <c r="J374" s="39">
        <f t="shared" si="8"/>
        <v>0</v>
      </c>
    </row>
    <row r="375" spans="5:10" x14ac:dyDescent="0.35">
      <c r="E375">
        <v>0</v>
      </c>
      <c r="F375" s="11">
        <v>0</v>
      </c>
      <c r="I375" s="39">
        <f>_xlfn.XLOOKUP(E376,'แผน Makro 100%'!C:C,'แผน Makro 100%'!L:L,0)</f>
        <v>0</v>
      </c>
      <c r="J375" s="39">
        <f t="shared" si="8"/>
        <v>0</v>
      </c>
    </row>
    <row r="376" spans="5:10" x14ac:dyDescent="0.35">
      <c r="E376">
        <v>0</v>
      </c>
      <c r="F376" s="11">
        <v>0</v>
      </c>
      <c r="I376" s="39">
        <f>_xlfn.XLOOKUP(E377,'แผน Makro 100%'!C:C,'แผน Makro 100%'!L:L,0)</f>
        <v>0</v>
      </c>
      <c r="J376" s="39">
        <f t="shared" si="8"/>
        <v>0</v>
      </c>
    </row>
    <row r="377" spans="5:10" x14ac:dyDescent="0.35">
      <c r="E377">
        <v>0</v>
      </c>
      <c r="F377" s="11">
        <v>0</v>
      </c>
      <c r="I377" s="39">
        <f>_xlfn.XLOOKUP(E378,'แผน Makro 100%'!C:C,'แผน Makro 100%'!L:L,0)</f>
        <v>0</v>
      </c>
      <c r="J377" s="39">
        <f t="shared" si="8"/>
        <v>0</v>
      </c>
    </row>
    <row r="378" spans="5:10" x14ac:dyDescent="0.35">
      <c r="E378">
        <v>0</v>
      </c>
      <c r="F378" s="11">
        <v>0</v>
      </c>
      <c r="I378" s="39">
        <f>_xlfn.XLOOKUP(E379,'แผน Makro 100%'!C:C,'แผน Makro 100%'!L:L,0)</f>
        <v>0</v>
      </c>
      <c r="J378" s="39">
        <f t="shared" si="8"/>
        <v>0</v>
      </c>
    </row>
    <row r="379" spans="5:10" x14ac:dyDescent="0.35">
      <c r="E379">
        <v>0</v>
      </c>
      <c r="F379" s="11">
        <v>0</v>
      </c>
      <c r="I379" s="39">
        <f>_xlfn.XLOOKUP(E380,'แผน Makro 100%'!C:C,'แผน Makro 100%'!L:L,0)</f>
        <v>0</v>
      </c>
      <c r="J379" s="39">
        <f t="shared" si="8"/>
        <v>0</v>
      </c>
    </row>
    <row r="380" spans="5:10" x14ac:dyDescent="0.35">
      <c r="E380">
        <v>0</v>
      </c>
      <c r="F380" s="11">
        <v>0</v>
      </c>
      <c r="I380" s="39">
        <f>_xlfn.XLOOKUP(E381,'แผน Makro 100%'!C:C,'แผน Makro 100%'!L:L,0)</f>
        <v>0</v>
      </c>
      <c r="J380" s="39">
        <f t="shared" si="8"/>
        <v>0</v>
      </c>
    </row>
    <row r="381" spans="5:10" x14ac:dyDescent="0.35">
      <c r="E381">
        <v>0</v>
      </c>
      <c r="F381" s="11">
        <v>0</v>
      </c>
      <c r="I381" s="39">
        <f>_xlfn.XLOOKUP(E382,'แผน Makro 100%'!C:C,'แผน Makro 100%'!L:L,0)</f>
        <v>0</v>
      </c>
      <c r="J381" s="39">
        <f t="shared" si="8"/>
        <v>0</v>
      </c>
    </row>
    <row r="382" spans="5:10" x14ac:dyDescent="0.35">
      <c r="E382">
        <v>0</v>
      </c>
      <c r="F382" s="11">
        <v>0</v>
      </c>
      <c r="I382" s="39">
        <f>_xlfn.XLOOKUP(E383,'แผน Makro 100%'!C:C,'แผน Makro 100%'!L:L,0)</f>
        <v>0</v>
      </c>
      <c r="J382" s="39">
        <f t="shared" si="8"/>
        <v>0</v>
      </c>
    </row>
    <row r="383" spans="5:10" x14ac:dyDescent="0.35">
      <c r="E383">
        <v>0</v>
      </c>
      <c r="F383" s="11">
        <v>0</v>
      </c>
      <c r="I383" s="39">
        <f>_xlfn.XLOOKUP(E384,'แผน Makro 100%'!C:C,'แผน Makro 100%'!L:L,0)</f>
        <v>0</v>
      </c>
      <c r="J383" s="39">
        <f t="shared" si="8"/>
        <v>0</v>
      </c>
    </row>
    <row r="384" spans="5:10" x14ac:dyDescent="0.35">
      <c r="E384">
        <v>0</v>
      </c>
      <c r="F384" s="11">
        <v>0</v>
      </c>
      <c r="I384" s="39">
        <f>_xlfn.XLOOKUP(E385,'แผน Makro 100%'!C:C,'แผน Makro 100%'!L:L,0)</f>
        <v>0</v>
      </c>
      <c r="J384" s="39">
        <f t="shared" si="8"/>
        <v>0</v>
      </c>
    </row>
    <row r="385" spans="5:10" x14ac:dyDescent="0.35">
      <c r="E385">
        <v>0</v>
      </c>
      <c r="F385" s="11">
        <v>0</v>
      </c>
      <c r="I385" s="39">
        <f>_xlfn.XLOOKUP(E386,'แผน Makro 100%'!C:C,'แผน Makro 100%'!L:L,0)</f>
        <v>0</v>
      </c>
      <c r="J385" s="39">
        <f t="shared" si="8"/>
        <v>0</v>
      </c>
    </row>
    <row r="386" spans="5:10" x14ac:dyDescent="0.35">
      <c r="E386">
        <v>0</v>
      </c>
      <c r="F386" s="11">
        <v>0</v>
      </c>
      <c r="I386" s="39">
        <f>_xlfn.XLOOKUP(E387,'แผน Makro 100%'!C:C,'แผน Makro 100%'!L:L,0)</f>
        <v>0</v>
      </c>
      <c r="J386" s="39">
        <f t="shared" si="8"/>
        <v>0</v>
      </c>
    </row>
    <row r="387" spans="5:10" x14ac:dyDescent="0.35">
      <c r="E387">
        <v>0</v>
      </c>
      <c r="F387" s="11">
        <v>0</v>
      </c>
      <c r="I387" s="39">
        <f>_xlfn.XLOOKUP(E388,'แผน Makro 100%'!C:C,'แผน Makro 100%'!L:L,0)</f>
        <v>0</v>
      </c>
      <c r="J387" s="39">
        <f t="shared" si="8"/>
        <v>0</v>
      </c>
    </row>
    <row r="388" spans="5:10" x14ac:dyDescent="0.35">
      <c r="E388">
        <v>0</v>
      </c>
      <c r="F388" s="11">
        <v>0</v>
      </c>
      <c r="I388" s="39">
        <f>_xlfn.XLOOKUP(E389,'แผน Makro 100%'!C:C,'แผน Makro 100%'!L:L,0)</f>
        <v>0</v>
      </c>
      <c r="J388" s="39">
        <f t="shared" si="8"/>
        <v>0</v>
      </c>
    </row>
    <row r="389" spans="5:10" x14ac:dyDescent="0.35">
      <c r="E389">
        <v>0</v>
      </c>
      <c r="F389" s="11">
        <v>0</v>
      </c>
      <c r="I389" s="39">
        <f>_xlfn.XLOOKUP(E390,'แผน Makro 100%'!C:C,'แผน Makro 100%'!L:L,0)</f>
        <v>0</v>
      </c>
      <c r="J389" s="39">
        <f t="shared" si="8"/>
        <v>0</v>
      </c>
    </row>
    <row r="390" spans="5:10" x14ac:dyDescent="0.35">
      <c r="E390">
        <v>0</v>
      </c>
      <c r="F390" s="11">
        <v>0</v>
      </c>
      <c r="I390" s="39">
        <f>_xlfn.XLOOKUP(E391,'แผน Makro 100%'!C:C,'แผน Makro 100%'!L:L,0)</f>
        <v>0</v>
      </c>
      <c r="J390" s="39">
        <f t="shared" si="8"/>
        <v>0</v>
      </c>
    </row>
    <row r="391" spans="5:10" x14ac:dyDescent="0.35">
      <c r="E391">
        <v>0</v>
      </c>
      <c r="F391" s="11">
        <v>0</v>
      </c>
      <c r="I391" s="39">
        <f>_xlfn.XLOOKUP(E392,'แผน Makro 100%'!C:C,'แผน Makro 100%'!L:L,0)</f>
        <v>0</v>
      </c>
      <c r="J391" s="39">
        <f t="shared" ref="J391:J454" si="9">_xlfn.XLOOKUP(H391,E:E,F:F,"ไม่พบ")</f>
        <v>0</v>
      </c>
    </row>
    <row r="392" spans="5:10" x14ac:dyDescent="0.35">
      <c r="E392">
        <v>0</v>
      </c>
      <c r="F392" s="11">
        <v>0</v>
      </c>
      <c r="I392" s="39">
        <f>_xlfn.XLOOKUP(E393,'แผน Makro 100%'!C:C,'แผน Makro 100%'!L:L,0)</f>
        <v>0</v>
      </c>
      <c r="J392" s="39">
        <f t="shared" si="9"/>
        <v>0</v>
      </c>
    </row>
    <row r="393" spans="5:10" x14ac:dyDescent="0.35">
      <c r="E393">
        <v>0</v>
      </c>
      <c r="F393" s="11">
        <v>0</v>
      </c>
      <c r="I393" s="39">
        <f>_xlfn.XLOOKUP(E394,'แผน Makro 100%'!C:C,'แผน Makro 100%'!L:L,0)</f>
        <v>0</v>
      </c>
      <c r="J393" s="39">
        <f t="shared" si="9"/>
        <v>0</v>
      </c>
    </row>
    <row r="394" spans="5:10" x14ac:dyDescent="0.35">
      <c r="E394">
        <v>0</v>
      </c>
      <c r="F394" s="11">
        <v>0</v>
      </c>
      <c r="I394" s="39">
        <f>_xlfn.XLOOKUP(E395,'แผน Makro 100%'!C:C,'แผน Makro 100%'!L:L,0)</f>
        <v>0</v>
      </c>
      <c r="J394" s="39">
        <f t="shared" si="9"/>
        <v>0</v>
      </c>
    </row>
    <row r="395" spans="5:10" x14ac:dyDescent="0.35">
      <c r="E395">
        <v>0</v>
      </c>
      <c r="F395" s="11">
        <v>0</v>
      </c>
      <c r="I395" s="39">
        <f>_xlfn.XLOOKUP(E396,'แผน Makro 100%'!C:C,'แผน Makro 100%'!L:L,0)</f>
        <v>0</v>
      </c>
      <c r="J395" s="39">
        <f t="shared" si="9"/>
        <v>0</v>
      </c>
    </row>
    <row r="396" spans="5:10" x14ac:dyDescent="0.35">
      <c r="E396">
        <v>0</v>
      </c>
      <c r="F396" s="11">
        <v>0</v>
      </c>
      <c r="I396" s="39">
        <f>_xlfn.XLOOKUP(E397,'แผน Makro 100%'!C:C,'แผน Makro 100%'!L:L,0)</f>
        <v>0</v>
      </c>
      <c r="J396" s="39">
        <f t="shared" si="9"/>
        <v>0</v>
      </c>
    </row>
    <row r="397" spans="5:10" x14ac:dyDescent="0.35">
      <c r="E397">
        <v>0</v>
      </c>
      <c r="F397" s="11">
        <v>0</v>
      </c>
      <c r="I397" s="39">
        <f>_xlfn.XLOOKUP(E398,'แผน Makro 100%'!C:C,'แผน Makro 100%'!L:L,0)</f>
        <v>0</v>
      </c>
      <c r="J397" s="39">
        <f t="shared" si="9"/>
        <v>0</v>
      </c>
    </row>
    <row r="398" spans="5:10" x14ac:dyDescent="0.35">
      <c r="E398">
        <v>0</v>
      </c>
      <c r="F398" s="11">
        <v>0</v>
      </c>
      <c r="I398" s="39">
        <f>_xlfn.XLOOKUP(E399,'แผน Makro 100%'!C:C,'แผน Makro 100%'!L:L,0)</f>
        <v>0</v>
      </c>
      <c r="J398" s="39">
        <f t="shared" si="9"/>
        <v>0</v>
      </c>
    </row>
    <row r="399" spans="5:10" x14ac:dyDescent="0.35">
      <c r="E399">
        <v>0</v>
      </c>
      <c r="F399" s="11">
        <v>0</v>
      </c>
      <c r="I399" s="39">
        <f>_xlfn.XLOOKUP(E400,'แผน Makro 100%'!C:C,'แผน Makro 100%'!L:L,0)</f>
        <v>0</v>
      </c>
      <c r="J399" s="39">
        <f t="shared" si="9"/>
        <v>0</v>
      </c>
    </row>
    <row r="400" spans="5:10" x14ac:dyDescent="0.35">
      <c r="E400">
        <v>0</v>
      </c>
      <c r="F400" s="11">
        <v>0</v>
      </c>
      <c r="I400" s="39">
        <f>_xlfn.XLOOKUP(E401,'แผน Makro 100%'!C:C,'แผน Makro 100%'!L:L,0)</f>
        <v>0</v>
      </c>
      <c r="J400" s="39">
        <f t="shared" si="9"/>
        <v>0</v>
      </c>
    </row>
    <row r="401" spans="5:10" x14ac:dyDescent="0.35">
      <c r="E401">
        <v>0</v>
      </c>
      <c r="F401" s="11">
        <v>0</v>
      </c>
      <c r="I401" s="39">
        <f>_xlfn.XLOOKUP(E402,'แผน Makro 100%'!C:C,'แผน Makro 100%'!L:L,0)</f>
        <v>0</v>
      </c>
      <c r="J401" s="39">
        <f t="shared" si="9"/>
        <v>0</v>
      </c>
    </row>
    <row r="402" spans="5:10" x14ac:dyDescent="0.35">
      <c r="E402">
        <v>0</v>
      </c>
      <c r="F402" s="11">
        <v>0</v>
      </c>
      <c r="I402" s="39">
        <f>_xlfn.XLOOKUP(E403,'แผน Makro 100%'!C:C,'แผน Makro 100%'!L:L,0)</f>
        <v>0</v>
      </c>
      <c r="J402" s="39">
        <f t="shared" si="9"/>
        <v>0</v>
      </c>
    </row>
    <row r="403" spans="5:10" x14ac:dyDescent="0.35">
      <c r="E403">
        <v>0</v>
      </c>
      <c r="F403" s="11">
        <v>0</v>
      </c>
      <c r="I403" s="39">
        <f>_xlfn.XLOOKUP(E404,'แผน Makro 100%'!C:C,'แผน Makro 100%'!L:L,0)</f>
        <v>0</v>
      </c>
      <c r="J403" s="39">
        <f t="shared" si="9"/>
        <v>0</v>
      </c>
    </row>
    <row r="404" spans="5:10" x14ac:dyDescent="0.35">
      <c r="E404">
        <v>0</v>
      </c>
      <c r="F404" s="11">
        <v>0</v>
      </c>
      <c r="I404" s="39">
        <f>_xlfn.XLOOKUP(E405,'แผน Makro 100%'!C:C,'แผน Makro 100%'!L:L,0)</f>
        <v>0</v>
      </c>
      <c r="J404" s="39">
        <f t="shared" si="9"/>
        <v>0</v>
      </c>
    </row>
    <row r="405" spans="5:10" x14ac:dyDescent="0.35">
      <c r="E405">
        <v>0</v>
      </c>
      <c r="F405" s="11">
        <v>0</v>
      </c>
      <c r="I405" s="39">
        <f>_xlfn.XLOOKUP(E406,'แผน Makro 100%'!C:C,'แผน Makro 100%'!L:L,0)</f>
        <v>0</v>
      </c>
      <c r="J405" s="39">
        <f t="shared" si="9"/>
        <v>0</v>
      </c>
    </row>
    <row r="406" spans="5:10" x14ac:dyDescent="0.35">
      <c r="E406">
        <v>0</v>
      </c>
      <c r="F406" s="11">
        <v>0</v>
      </c>
      <c r="I406" s="39">
        <f>_xlfn.XLOOKUP(E407,'แผน Makro 100%'!C:C,'แผน Makro 100%'!L:L,0)</f>
        <v>0</v>
      </c>
      <c r="J406" s="39">
        <f t="shared" si="9"/>
        <v>0</v>
      </c>
    </row>
    <row r="407" spans="5:10" x14ac:dyDescent="0.35">
      <c r="E407">
        <v>0</v>
      </c>
      <c r="F407" s="11">
        <v>0</v>
      </c>
      <c r="I407" s="39">
        <f>_xlfn.XLOOKUP(E408,'แผน Makro 100%'!C:C,'แผน Makro 100%'!L:L,0)</f>
        <v>0</v>
      </c>
      <c r="J407" s="39">
        <f t="shared" si="9"/>
        <v>0</v>
      </c>
    </row>
    <row r="408" spans="5:10" x14ac:dyDescent="0.35">
      <c r="E408">
        <v>0</v>
      </c>
      <c r="F408" s="11">
        <v>0</v>
      </c>
      <c r="I408" s="39">
        <f>_xlfn.XLOOKUP(E409,'แผน Makro 100%'!C:C,'แผน Makro 100%'!L:L,0)</f>
        <v>0</v>
      </c>
      <c r="J408" s="39">
        <f t="shared" si="9"/>
        <v>0</v>
      </c>
    </row>
    <row r="409" spans="5:10" x14ac:dyDescent="0.35">
      <c r="E409">
        <v>0</v>
      </c>
      <c r="F409" s="11">
        <v>0</v>
      </c>
      <c r="I409" s="39">
        <f>_xlfn.XLOOKUP(E410,'แผน Makro 100%'!C:C,'แผน Makro 100%'!L:L,0)</f>
        <v>0</v>
      </c>
      <c r="J409" s="39">
        <f t="shared" si="9"/>
        <v>0</v>
      </c>
    </row>
    <row r="410" spans="5:10" x14ac:dyDescent="0.35">
      <c r="E410">
        <v>0</v>
      </c>
      <c r="F410" s="11">
        <v>0</v>
      </c>
      <c r="I410" s="39">
        <f>_xlfn.XLOOKUP(E411,'แผน Makro 100%'!C:C,'แผน Makro 100%'!L:L,0)</f>
        <v>0</v>
      </c>
      <c r="J410" s="39">
        <f t="shared" si="9"/>
        <v>0</v>
      </c>
    </row>
    <row r="411" spans="5:10" x14ac:dyDescent="0.35">
      <c r="E411">
        <v>0</v>
      </c>
      <c r="F411" s="11">
        <v>0</v>
      </c>
      <c r="I411" s="39">
        <f>_xlfn.XLOOKUP(E412,'แผน Makro 100%'!C:C,'แผน Makro 100%'!L:L,0)</f>
        <v>0</v>
      </c>
      <c r="J411" s="39">
        <f t="shared" si="9"/>
        <v>0</v>
      </c>
    </row>
    <row r="412" spans="5:10" x14ac:dyDescent="0.35">
      <c r="E412">
        <v>0</v>
      </c>
      <c r="F412" s="11">
        <v>0</v>
      </c>
      <c r="I412" s="39">
        <f>_xlfn.XLOOKUP(E413,'แผน Makro 100%'!C:C,'แผน Makro 100%'!L:L,0)</f>
        <v>0</v>
      </c>
      <c r="J412" s="39">
        <f t="shared" si="9"/>
        <v>0</v>
      </c>
    </row>
    <row r="413" spans="5:10" x14ac:dyDescent="0.35">
      <c r="E413">
        <v>0</v>
      </c>
      <c r="F413" s="11">
        <v>0</v>
      </c>
      <c r="I413" s="39">
        <f>_xlfn.XLOOKUP(E414,'แผน Makro 100%'!C:C,'แผน Makro 100%'!L:L,0)</f>
        <v>0</v>
      </c>
      <c r="J413" s="39">
        <f t="shared" si="9"/>
        <v>0</v>
      </c>
    </row>
    <row r="414" spans="5:10" x14ac:dyDescent="0.35">
      <c r="E414">
        <v>0</v>
      </c>
      <c r="F414" s="11">
        <v>0</v>
      </c>
      <c r="I414" s="39">
        <f>_xlfn.XLOOKUP(E415,'แผน Makro 100%'!C:C,'แผน Makro 100%'!L:L,0)</f>
        <v>0</v>
      </c>
      <c r="J414" s="39">
        <f t="shared" si="9"/>
        <v>0</v>
      </c>
    </row>
    <row r="415" spans="5:10" x14ac:dyDescent="0.35">
      <c r="E415">
        <v>0</v>
      </c>
      <c r="F415" s="11">
        <v>0</v>
      </c>
      <c r="I415" s="39">
        <f>_xlfn.XLOOKUP(E416,'แผน Makro 100%'!C:C,'แผน Makro 100%'!L:L,0)</f>
        <v>0</v>
      </c>
      <c r="J415" s="39">
        <f t="shared" si="9"/>
        <v>0</v>
      </c>
    </row>
    <row r="416" spans="5:10" x14ac:dyDescent="0.35">
      <c r="E416">
        <v>0</v>
      </c>
      <c r="F416" s="11">
        <v>0</v>
      </c>
      <c r="I416" s="39">
        <f>_xlfn.XLOOKUP(E417,'แผน Makro 100%'!C:C,'แผน Makro 100%'!L:L,0)</f>
        <v>0</v>
      </c>
      <c r="J416" s="39">
        <f t="shared" si="9"/>
        <v>0</v>
      </c>
    </row>
    <row r="417" spans="5:10" x14ac:dyDescent="0.35">
      <c r="E417">
        <v>0</v>
      </c>
      <c r="F417" s="11">
        <v>0</v>
      </c>
      <c r="I417" s="39">
        <f>_xlfn.XLOOKUP(E418,'แผน Makro 100%'!C:C,'แผน Makro 100%'!L:L,0)</f>
        <v>0</v>
      </c>
      <c r="J417" s="39">
        <f t="shared" si="9"/>
        <v>0</v>
      </c>
    </row>
    <row r="418" spans="5:10" x14ac:dyDescent="0.35">
      <c r="E418">
        <v>0</v>
      </c>
      <c r="F418" s="11">
        <v>0</v>
      </c>
      <c r="I418" s="39">
        <f>_xlfn.XLOOKUP(E419,'แผน Makro 100%'!C:C,'แผน Makro 100%'!L:L,0)</f>
        <v>0</v>
      </c>
      <c r="J418" s="39">
        <f t="shared" si="9"/>
        <v>0</v>
      </c>
    </row>
    <row r="419" spans="5:10" x14ac:dyDescent="0.35">
      <c r="E419">
        <v>0</v>
      </c>
      <c r="F419" s="11">
        <v>0</v>
      </c>
      <c r="I419" s="39">
        <f>_xlfn.XLOOKUP(E420,'แผน Makro 100%'!C:C,'แผน Makro 100%'!L:L,0)</f>
        <v>0</v>
      </c>
      <c r="J419" s="39">
        <f t="shared" si="9"/>
        <v>0</v>
      </c>
    </row>
    <row r="420" spans="5:10" x14ac:dyDescent="0.35">
      <c r="E420">
        <v>0</v>
      </c>
      <c r="F420" s="11">
        <v>0</v>
      </c>
      <c r="I420" s="39">
        <f>_xlfn.XLOOKUP(E421,'แผน Makro 100%'!C:C,'แผน Makro 100%'!L:L,0)</f>
        <v>0</v>
      </c>
      <c r="J420" s="39">
        <f t="shared" si="9"/>
        <v>0</v>
      </c>
    </row>
    <row r="421" spans="5:10" x14ac:dyDescent="0.35">
      <c r="E421">
        <v>0</v>
      </c>
      <c r="F421" s="11">
        <v>0</v>
      </c>
      <c r="I421" s="39">
        <f>_xlfn.XLOOKUP(E422,'แผน Makro 100%'!C:C,'แผน Makro 100%'!L:L,0)</f>
        <v>0</v>
      </c>
      <c r="J421" s="39">
        <f t="shared" si="9"/>
        <v>0</v>
      </c>
    </row>
    <row r="422" spans="5:10" x14ac:dyDescent="0.35">
      <c r="E422">
        <v>0</v>
      </c>
      <c r="F422" s="11">
        <v>0</v>
      </c>
      <c r="I422" s="39">
        <f>_xlfn.XLOOKUP(E423,'แผน Makro 100%'!C:C,'แผน Makro 100%'!L:L,0)</f>
        <v>0</v>
      </c>
      <c r="J422" s="39">
        <f t="shared" si="9"/>
        <v>0</v>
      </c>
    </row>
    <row r="423" spans="5:10" x14ac:dyDescent="0.35">
      <c r="E423">
        <v>0</v>
      </c>
      <c r="F423" s="11">
        <v>0</v>
      </c>
      <c r="I423" s="39">
        <f>_xlfn.XLOOKUP(E424,'แผน Makro 100%'!C:C,'แผน Makro 100%'!L:L,0)</f>
        <v>0</v>
      </c>
      <c r="J423" s="39">
        <f t="shared" si="9"/>
        <v>0</v>
      </c>
    </row>
    <row r="424" spans="5:10" x14ac:dyDescent="0.35">
      <c r="E424">
        <v>0</v>
      </c>
      <c r="F424" s="11">
        <v>0</v>
      </c>
      <c r="I424" s="39">
        <f>_xlfn.XLOOKUP(E425,'แผน Makro 100%'!C:C,'แผน Makro 100%'!L:L,0)</f>
        <v>0</v>
      </c>
      <c r="J424" s="39">
        <f t="shared" si="9"/>
        <v>0</v>
      </c>
    </row>
    <row r="425" spans="5:10" x14ac:dyDescent="0.35">
      <c r="E425">
        <v>0</v>
      </c>
      <c r="F425" s="11">
        <v>0</v>
      </c>
      <c r="I425" s="39">
        <f>_xlfn.XLOOKUP(E426,'แผน Makro 100%'!C:C,'แผน Makro 100%'!L:L,0)</f>
        <v>0</v>
      </c>
      <c r="J425" s="39">
        <f t="shared" si="9"/>
        <v>0</v>
      </c>
    </row>
    <row r="426" spans="5:10" x14ac:dyDescent="0.35">
      <c r="E426">
        <v>0</v>
      </c>
      <c r="F426" s="11">
        <v>0</v>
      </c>
      <c r="I426" s="39">
        <f>_xlfn.XLOOKUP(E427,'แผน Makro 100%'!C:C,'แผน Makro 100%'!L:L,0)</f>
        <v>0</v>
      </c>
      <c r="J426" s="39">
        <f t="shared" si="9"/>
        <v>0</v>
      </c>
    </row>
    <row r="427" spans="5:10" x14ac:dyDescent="0.35">
      <c r="E427">
        <v>0</v>
      </c>
      <c r="F427" s="11">
        <v>0</v>
      </c>
      <c r="I427" s="39">
        <f>_xlfn.XLOOKUP(E428,'แผน Makro 100%'!C:C,'แผน Makro 100%'!L:L,0)</f>
        <v>0</v>
      </c>
      <c r="J427" s="39">
        <f t="shared" si="9"/>
        <v>0</v>
      </c>
    </row>
    <row r="428" spans="5:10" x14ac:dyDescent="0.35">
      <c r="E428">
        <v>0</v>
      </c>
      <c r="F428" s="11">
        <v>0</v>
      </c>
      <c r="I428" s="39">
        <f>_xlfn.XLOOKUP(E429,'แผน Makro 100%'!C:C,'แผน Makro 100%'!L:L,0)</f>
        <v>0</v>
      </c>
      <c r="J428" s="39">
        <f t="shared" si="9"/>
        <v>0</v>
      </c>
    </row>
    <row r="429" spans="5:10" x14ac:dyDescent="0.35">
      <c r="E429">
        <v>0</v>
      </c>
      <c r="F429" s="11">
        <v>0</v>
      </c>
      <c r="I429" s="39">
        <f>_xlfn.XLOOKUP(E430,'แผน Makro 100%'!C:C,'แผน Makro 100%'!L:L,0)</f>
        <v>0</v>
      </c>
      <c r="J429" s="39">
        <f t="shared" si="9"/>
        <v>0</v>
      </c>
    </row>
    <row r="430" spans="5:10" x14ac:dyDescent="0.35">
      <c r="E430">
        <v>0</v>
      </c>
      <c r="F430" s="11">
        <v>0</v>
      </c>
      <c r="I430" s="39">
        <f>_xlfn.XLOOKUP(E431,'แผน Makro 100%'!C:C,'แผน Makro 100%'!L:L,0)</f>
        <v>0</v>
      </c>
      <c r="J430" s="39">
        <f t="shared" si="9"/>
        <v>0</v>
      </c>
    </row>
    <row r="431" spans="5:10" x14ac:dyDescent="0.35">
      <c r="E431">
        <v>0</v>
      </c>
      <c r="F431" s="11">
        <v>0</v>
      </c>
      <c r="I431" s="39">
        <f>_xlfn.XLOOKUP(E432,'แผน Makro 100%'!C:C,'แผน Makro 100%'!L:L,0)</f>
        <v>0</v>
      </c>
      <c r="J431" s="39">
        <f t="shared" si="9"/>
        <v>0</v>
      </c>
    </row>
    <row r="432" spans="5:10" x14ac:dyDescent="0.35">
      <c r="E432">
        <v>0</v>
      </c>
      <c r="F432" s="11">
        <v>0</v>
      </c>
      <c r="I432" s="39">
        <f>_xlfn.XLOOKUP(E433,'แผน Makro 100%'!C:C,'แผน Makro 100%'!L:L,0)</f>
        <v>0</v>
      </c>
      <c r="J432" s="39">
        <f t="shared" si="9"/>
        <v>0</v>
      </c>
    </row>
    <row r="433" spans="5:10" x14ac:dyDescent="0.35">
      <c r="E433">
        <v>0</v>
      </c>
      <c r="F433" s="11">
        <v>0</v>
      </c>
      <c r="I433" s="39">
        <f>_xlfn.XLOOKUP(E434,'แผน Makro 100%'!C:C,'แผน Makro 100%'!L:L,0)</f>
        <v>0</v>
      </c>
      <c r="J433" s="39">
        <f t="shared" si="9"/>
        <v>0</v>
      </c>
    </row>
    <row r="434" spans="5:10" x14ac:dyDescent="0.35">
      <c r="E434">
        <v>0</v>
      </c>
      <c r="F434" s="11">
        <v>0</v>
      </c>
      <c r="I434" s="39">
        <f>_xlfn.XLOOKUP(E435,'แผน Makro 100%'!C:C,'แผน Makro 100%'!L:L,0)</f>
        <v>0</v>
      </c>
      <c r="J434" s="39">
        <f t="shared" si="9"/>
        <v>0</v>
      </c>
    </row>
    <row r="435" spans="5:10" x14ac:dyDescent="0.35">
      <c r="E435">
        <v>0</v>
      </c>
      <c r="F435" s="11">
        <v>0</v>
      </c>
      <c r="I435" s="39">
        <f>_xlfn.XLOOKUP(E436,'แผน Makro 100%'!C:C,'แผน Makro 100%'!L:L,0)</f>
        <v>0</v>
      </c>
      <c r="J435" s="39">
        <f t="shared" si="9"/>
        <v>0</v>
      </c>
    </row>
    <row r="436" spans="5:10" x14ac:dyDescent="0.35">
      <c r="E436">
        <v>0</v>
      </c>
      <c r="F436" s="11">
        <v>0</v>
      </c>
      <c r="I436" s="39">
        <f>_xlfn.XLOOKUP(E437,'แผน Makro 100%'!C:C,'แผน Makro 100%'!L:L,0)</f>
        <v>0</v>
      </c>
      <c r="J436" s="39">
        <f t="shared" si="9"/>
        <v>0</v>
      </c>
    </row>
    <row r="437" spans="5:10" x14ac:dyDescent="0.35">
      <c r="E437">
        <v>0</v>
      </c>
      <c r="F437" s="11">
        <v>0</v>
      </c>
      <c r="I437" s="39">
        <f>_xlfn.XLOOKUP(E438,'แผน Makro 100%'!C:C,'แผน Makro 100%'!L:L,0)</f>
        <v>0</v>
      </c>
      <c r="J437" s="39">
        <f t="shared" si="9"/>
        <v>0</v>
      </c>
    </row>
    <row r="438" spans="5:10" x14ac:dyDescent="0.35">
      <c r="E438">
        <v>0</v>
      </c>
      <c r="F438" s="11">
        <v>0</v>
      </c>
      <c r="I438" s="39">
        <f>_xlfn.XLOOKUP(E439,'แผน Makro 100%'!C:C,'แผน Makro 100%'!L:L,0)</f>
        <v>0</v>
      </c>
      <c r="J438" s="39">
        <f t="shared" si="9"/>
        <v>0</v>
      </c>
    </row>
    <row r="439" spans="5:10" x14ac:dyDescent="0.35">
      <c r="E439">
        <v>0</v>
      </c>
      <c r="F439" s="11">
        <v>0</v>
      </c>
      <c r="I439" s="39">
        <f>_xlfn.XLOOKUP(E440,'แผน Makro 100%'!C:C,'แผน Makro 100%'!L:L,0)</f>
        <v>0</v>
      </c>
      <c r="J439" s="39">
        <f t="shared" si="9"/>
        <v>0</v>
      </c>
    </row>
    <row r="440" spans="5:10" x14ac:dyDescent="0.35">
      <c r="E440">
        <v>0</v>
      </c>
      <c r="F440" s="11">
        <v>0</v>
      </c>
      <c r="I440" s="39">
        <f>_xlfn.XLOOKUP(E441,'แผน Makro 100%'!C:C,'แผน Makro 100%'!L:L,0)</f>
        <v>0</v>
      </c>
      <c r="J440" s="39">
        <f t="shared" si="9"/>
        <v>0</v>
      </c>
    </row>
    <row r="441" spans="5:10" x14ac:dyDescent="0.35">
      <c r="E441">
        <v>0</v>
      </c>
      <c r="F441" s="11">
        <v>0</v>
      </c>
      <c r="I441" s="39">
        <f>_xlfn.XLOOKUP(E442,'แผน Makro 100%'!C:C,'แผน Makro 100%'!L:L,0)</f>
        <v>0</v>
      </c>
      <c r="J441" s="39">
        <f t="shared" si="9"/>
        <v>0</v>
      </c>
    </row>
    <row r="442" spans="5:10" x14ac:dyDescent="0.35">
      <c r="E442">
        <v>0</v>
      </c>
      <c r="F442" s="11">
        <v>0</v>
      </c>
      <c r="I442" s="39">
        <f>_xlfn.XLOOKUP(E443,'แผน Makro 100%'!C:C,'แผน Makro 100%'!L:L,0)</f>
        <v>0</v>
      </c>
      <c r="J442" s="39">
        <f t="shared" si="9"/>
        <v>0</v>
      </c>
    </row>
    <row r="443" spans="5:10" x14ac:dyDescent="0.35">
      <c r="E443">
        <v>0</v>
      </c>
      <c r="F443" s="11">
        <v>0</v>
      </c>
      <c r="I443" s="39">
        <f>_xlfn.XLOOKUP(E444,'แผน Makro 100%'!C:C,'แผน Makro 100%'!L:L,0)</f>
        <v>0</v>
      </c>
      <c r="J443" s="39">
        <f t="shared" si="9"/>
        <v>0</v>
      </c>
    </row>
    <row r="444" spans="5:10" x14ac:dyDescent="0.35">
      <c r="E444">
        <v>0</v>
      </c>
      <c r="F444" s="11">
        <v>0</v>
      </c>
      <c r="I444" s="39">
        <f>_xlfn.XLOOKUP(E445,'แผน Makro 100%'!C:C,'แผน Makro 100%'!L:L,0)</f>
        <v>0</v>
      </c>
      <c r="J444" s="39">
        <f t="shared" si="9"/>
        <v>0</v>
      </c>
    </row>
    <row r="445" spans="5:10" x14ac:dyDescent="0.35">
      <c r="E445">
        <v>0</v>
      </c>
      <c r="F445" s="11">
        <v>0</v>
      </c>
      <c r="I445" s="39">
        <f>_xlfn.XLOOKUP(E446,'แผน Makro 100%'!C:C,'แผน Makro 100%'!L:L,0)</f>
        <v>0</v>
      </c>
      <c r="J445" s="39">
        <f t="shared" si="9"/>
        <v>0</v>
      </c>
    </row>
    <row r="446" spans="5:10" x14ac:dyDescent="0.35">
      <c r="E446">
        <v>0</v>
      </c>
      <c r="F446" s="11">
        <v>0</v>
      </c>
      <c r="I446" s="39">
        <f>_xlfn.XLOOKUP(E447,'แผน Makro 100%'!C:C,'แผน Makro 100%'!L:L,0)</f>
        <v>0</v>
      </c>
      <c r="J446" s="39">
        <f t="shared" si="9"/>
        <v>0</v>
      </c>
    </row>
    <row r="447" spans="5:10" x14ac:dyDescent="0.35">
      <c r="E447">
        <v>0</v>
      </c>
      <c r="F447" s="11">
        <v>0</v>
      </c>
      <c r="I447" s="39">
        <f>_xlfn.XLOOKUP(E448,'แผน Makro 100%'!C:C,'แผน Makro 100%'!L:L,0)</f>
        <v>0</v>
      </c>
      <c r="J447" s="39">
        <f t="shared" si="9"/>
        <v>0</v>
      </c>
    </row>
    <row r="448" spans="5:10" x14ac:dyDescent="0.35">
      <c r="E448">
        <v>0</v>
      </c>
      <c r="F448" s="11">
        <v>0</v>
      </c>
      <c r="I448" s="39">
        <f>_xlfn.XLOOKUP(E449,'แผน Makro 100%'!C:C,'แผน Makro 100%'!L:L,0)</f>
        <v>0</v>
      </c>
      <c r="J448" s="39">
        <f t="shared" si="9"/>
        <v>0</v>
      </c>
    </row>
    <row r="449" spans="5:10" x14ac:dyDescent="0.35">
      <c r="E449">
        <v>0</v>
      </c>
      <c r="F449" s="11">
        <v>0</v>
      </c>
      <c r="I449" s="39">
        <f>_xlfn.XLOOKUP(E450,'แผน Makro 100%'!C:C,'แผน Makro 100%'!L:L,0)</f>
        <v>0</v>
      </c>
      <c r="J449" s="39">
        <f t="shared" si="9"/>
        <v>0</v>
      </c>
    </row>
    <row r="450" spans="5:10" x14ac:dyDescent="0.35">
      <c r="E450">
        <v>0</v>
      </c>
      <c r="F450" s="11">
        <v>0</v>
      </c>
      <c r="I450" s="39">
        <f>_xlfn.XLOOKUP(E451,'แผน Makro 100%'!C:C,'แผน Makro 100%'!L:L,0)</f>
        <v>0</v>
      </c>
      <c r="J450" s="39">
        <f t="shared" si="9"/>
        <v>0</v>
      </c>
    </row>
    <row r="451" spans="5:10" x14ac:dyDescent="0.35">
      <c r="E451">
        <v>0</v>
      </c>
      <c r="F451" s="11">
        <v>0</v>
      </c>
      <c r="I451" s="39">
        <f>_xlfn.XLOOKUP(E452,'แผน Makro 100%'!C:C,'แผน Makro 100%'!L:L,0)</f>
        <v>0</v>
      </c>
      <c r="J451" s="39">
        <f t="shared" si="9"/>
        <v>0</v>
      </c>
    </row>
    <row r="452" spans="5:10" x14ac:dyDescent="0.35">
      <c r="E452">
        <v>0</v>
      </c>
      <c r="F452" s="11">
        <v>0</v>
      </c>
      <c r="I452" s="39">
        <f>_xlfn.XLOOKUP(E453,'แผน Makro 100%'!C:C,'แผน Makro 100%'!L:L,0)</f>
        <v>0</v>
      </c>
      <c r="J452" s="39">
        <f t="shared" si="9"/>
        <v>0</v>
      </c>
    </row>
    <row r="453" spans="5:10" x14ac:dyDescent="0.35">
      <c r="E453">
        <v>0</v>
      </c>
      <c r="F453" s="11">
        <v>0</v>
      </c>
      <c r="I453" s="39">
        <f>_xlfn.XLOOKUP(E454,'แผน Makro 100%'!C:C,'แผน Makro 100%'!L:L,0)</f>
        <v>0</v>
      </c>
      <c r="J453" s="39">
        <f t="shared" si="9"/>
        <v>0</v>
      </c>
    </row>
    <row r="454" spans="5:10" x14ac:dyDescent="0.35">
      <c r="E454">
        <v>0</v>
      </c>
      <c r="F454" s="11">
        <v>0</v>
      </c>
      <c r="I454" s="39">
        <f>_xlfn.XLOOKUP(E455,'แผน Makro 100%'!C:C,'แผน Makro 100%'!L:L,0)</f>
        <v>0</v>
      </c>
      <c r="J454" s="39">
        <f t="shared" si="9"/>
        <v>0</v>
      </c>
    </row>
    <row r="455" spans="5:10" x14ac:dyDescent="0.35">
      <c r="E455">
        <v>0</v>
      </c>
      <c r="F455" s="11">
        <v>0</v>
      </c>
      <c r="I455" s="39">
        <f>_xlfn.XLOOKUP(E456,'แผน Makro 100%'!C:C,'แผน Makro 100%'!L:L,0)</f>
        <v>0</v>
      </c>
      <c r="J455" s="39">
        <f t="shared" ref="J455:J518" si="10">_xlfn.XLOOKUP(H455,E:E,F:F,"ไม่พบ")</f>
        <v>0</v>
      </c>
    </row>
    <row r="456" spans="5:10" x14ac:dyDescent="0.35">
      <c r="E456">
        <v>0</v>
      </c>
      <c r="F456" s="11">
        <v>0</v>
      </c>
      <c r="I456" s="39">
        <f>_xlfn.XLOOKUP(E457,'แผน Makro 100%'!C:C,'แผน Makro 100%'!L:L,0)</f>
        <v>0</v>
      </c>
      <c r="J456" s="39">
        <f t="shared" si="10"/>
        <v>0</v>
      </c>
    </row>
    <row r="457" spans="5:10" x14ac:dyDescent="0.35">
      <c r="E457">
        <v>0</v>
      </c>
      <c r="F457" s="11">
        <v>0</v>
      </c>
      <c r="I457" s="39">
        <f>_xlfn.XLOOKUP(E458,'แผน Makro 100%'!C:C,'แผน Makro 100%'!L:L,0)</f>
        <v>0</v>
      </c>
      <c r="J457" s="39">
        <f t="shared" si="10"/>
        <v>0</v>
      </c>
    </row>
    <row r="458" spans="5:10" x14ac:dyDescent="0.35">
      <c r="E458">
        <v>0</v>
      </c>
      <c r="F458" s="11">
        <v>0</v>
      </c>
      <c r="I458" s="39">
        <f>_xlfn.XLOOKUP(E459,'แผน Makro 100%'!C:C,'แผน Makro 100%'!L:L,0)</f>
        <v>0</v>
      </c>
      <c r="J458" s="39">
        <f t="shared" si="10"/>
        <v>0</v>
      </c>
    </row>
    <row r="459" spans="5:10" x14ac:dyDescent="0.35">
      <c r="E459">
        <v>0</v>
      </c>
      <c r="F459" s="11">
        <v>0</v>
      </c>
      <c r="I459" s="39">
        <f>_xlfn.XLOOKUP(E460,'แผน Makro 100%'!C:C,'แผน Makro 100%'!L:L,0)</f>
        <v>0</v>
      </c>
      <c r="J459" s="39">
        <f t="shared" si="10"/>
        <v>0</v>
      </c>
    </row>
    <row r="460" spans="5:10" x14ac:dyDescent="0.35">
      <c r="E460">
        <v>0</v>
      </c>
      <c r="F460" s="11">
        <v>0</v>
      </c>
      <c r="I460" s="39">
        <f>_xlfn.XLOOKUP(E461,'แผน Makro 100%'!C:C,'แผน Makro 100%'!L:L,0)</f>
        <v>0</v>
      </c>
      <c r="J460" s="39">
        <f t="shared" si="10"/>
        <v>0</v>
      </c>
    </row>
    <row r="461" spans="5:10" x14ac:dyDescent="0.35">
      <c r="E461">
        <v>0</v>
      </c>
      <c r="F461" s="11">
        <v>0</v>
      </c>
      <c r="I461" s="39">
        <f>_xlfn.XLOOKUP(E462,'แผน Makro 100%'!C:C,'แผน Makro 100%'!L:L,0)</f>
        <v>0</v>
      </c>
      <c r="J461" s="39">
        <f t="shared" si="10"/>
        <v>0</v>
      </c>
    </row>
    <row r="462" spans="5:10" x14ac:dyDescent="0.35">
      <c r="E462">
        <v>0</v>
      </c>
      <c r="F462" s="11">
        <v>0</v>
      </c>
      <c r="I462" s="39">
        <f>_xlfn.XLOOKUP(E463,'แผน Makro 100%'!C:C,'แผน Makro 100%'!L:L,0)</f>
        <v>0</v>
      </c>
      <c r="J462" s="39">
        <f t="shared" si="10"/>
        <v>0</v>
      </c>
    </row>
    <row r="463" spans="5:10" x14ac:dyDescent="0.35">
      <c r="E463">
        <v>0</v>
      </c>
      <c r="F463" s="11">
        <v>0</v>
      </c>
      <c r="I463" s="39">
        <f>_xlfn.XLOOKUP(E464,'แผน Makro 100%'!C:C,'แผน Makro 100%'!L:L,0)</f>
        <v>0</v>
      </c>
      <c r="J463" s="39">
        <f t="shared" si="10"/>
        <v>0</v>
      </c>
    </row>
    <row r="464" spans="5:10" x14ac:dyDescent="0.35">
      <c r="E464">
        <v>0</v>
      </c>
      <c r="F464" s="11">
        <v>0</v>
      </c>
      <c r="I464" s="39">
        <f>_xlfn.XLOOKUP(E465,'แผน Makro 100%'!C:C,'แผน Makro 100%'!L:L,0)</f>
        <v>0</v>
      </c>
      <c r="J464" s="39">
        <f t="shared" si="10"/>
        <v>0</v>
      </c>
    </row>
    <row r="465" spans="5:10" x14ac:dyDescent="0.35">
      <c r="E465">
        <v>0</v>
      </c>
      <c r="F465" s="11">
        <v>0</v>
      </c>
      <c r="I465" s="39">
        <f>_xlfn.XLOOKUP(E466,'แผน Makro 100%'!C:C,'แผน Makro 100%'!L:L,0)</f>
        <v>0</v>
      </c>
      <c r="J465" s="39">
        <f t="shared" si="10"/>
        <v>0</v>
      </c>
    </row>
    <row r="466" spans="5:10" x14ac:dyDescent="0.35">
      <c r="E466">
        <v>0</v>
      </c>
      <c r="F466" s="11">
        <v>0</v>
      </c>
      <c r="I466" s="39">
        <f>_xlfn.XLOOKUP(E467,'แผน Makro 100%'!C:C,'แผน Makro 100%'!L:L,0)</f>
        <v>0</v>
      </c>
      <c r="J466" s="39">
        <f t="shared" si="10"/>
        <v>0</v>
      </c>
    </row>
    <row r="467" spans="5:10" x14ac:dyDescent="0.35">
      <c r="E467">
        <v>0</v>
      </c>
      <c r="F467" s="11">
        <v>0</v>
      </c>
      <c r="I467" s="39">
        <f>_xlfn.XLOOKUP(E468,'แผน Makro 100%'!C:C,'แผน Makro 100%'!L:L,0)</f>
        <v>0</v>
      </c>
      <c r="J467" s="39">
        <f t="shared" si="10"/>
        <v>0</v>
      </c>
    </row>
    <row r="468" spans="5:10" x14ac:dyDescent="0.35">
      <c r="E468">
        <v>0</v>
      </c>
      <c r="F468" s="11">
        <v>0</v>
      </c>
      <c r="I468" s="39">
        <f>_xlfn.XLOOKUP(E469,'แผน Makro 100%'!C:C,'แผน Makro 100%'!L:L,0)</f>
        <v>0</v>
      </c>
      <c r="J468" s="39">
        <f t="shared" si="10"/>
        <v>0</v>
      </c>
    </row>
    <row r="469" spans="5:10" x14ac:dyDescent="0.35">
      <c r="E469">
        <v>0</v>
      </c>
      <c r="F469" s="11">
        <v>0</v>
      </c>
      <c r="I469" s="39">
        <f>_xlfn.XLOOKUP(E470,'แผน Makro 100%'!C:C,'แผน Makro 100%'!L:L,0)</f>
        <v>0</v>
      </c>
      <c r="J469" s="39">
        <f t="shared" si="10"/>
        <v>0</v>
      </c>
    </row>
    <row r="470" spans="5:10" x14ac:dyDescent="0.35">
      <c r="E470">
        <v>0</v>
      </c>
      <c r="F470" s="11">
        <v>0</v>
      </c>
      <c r="I470" s="39">
        <f>_xlfn.XLOOKUP(E471,'แผน Makro 100%'!C:C,'แผน Makro 100%'!L:L,0)</f>
        <v>0</v>
      </c>
      <c r="J470" s="39">
        <f t="shared" si="10"/>
        <v>0</v>
      </c>
    </row>
    <row r="471" spans="5:10" x14ac:dyDescent="0.35">
      <c r="E471">
        <v>0</v>
      </c>
      <c r="F471" s="11">
        <v>0</v>
      </c>
      <c r="I471" s="39">
        <f>_xlfn.XLOOKUP(E472,'แผน Makro 100%'!C:C,'แผน Makro 100%'!L:L,0)</f>
        <v>0</v>
      </c>
      <c r="J471" s="39">
        <f t="shared" si="10"/>
        <v>0</v>
      </c>
    </row>
    <row r="472" spans="5:10" x14ac:dyDescent="0.35">
      <c r="E472">
        <v>0</v>
      </c>
      <c r="F472" s="11">
        <v>0</v>
      </c>
      <c r="I472" s="39">
        <f>_xlfn.XLOOKUP(E473,'แผน Makro 100%'!C:C,'แผน Makro 100%'!L:L,0)</f>
        <v>0</v>
      </c>
      <c r="J472" s="39">
        <f t="shared" si="10"/>
        <v>0</v>
      </c>
    </row>
    <row r="473" spans="5:10" x14ac:dyDescent="0.35">
      <c r="E473">
        <v>0</v>
      </c>
      <c r="F473" s="11">
        <v>0</v>
      </c>
      <c r="I473" s="39">
        <f>_xlfn.XLOOKUP(E474,'แผน Makro 100%'!C:C,'แผน Makro 100%'!L:L,0)</f>
        <v>0</v>
      </c>
      <c r="J473" s="39">
        <f t="shared" si="10"/>
        <v>0</v>
      </c>
    </row>
    <row r="474" spans="5:10" x14ac:dyDescent="0.35">
      <c r="E474">
        <v>0</v>
      </c>
      <c r="F474" s="11">
        <v>0</v>
      </c>
      <c r="I474" s="39">
        <f>_xlfn.XLOOKUP(E475,'แผน Makro 100%'!C:C,'แผน Makro 100%'!L:L,0)</f>
        <v>0</v>
      </c>
      <c r="J474" s="39">
        <f t="shared" si="10"/>
        <v>0</v>
      </c>
    </row>
    <row r="475" spans="5:10" x14ac:dyDescent="0.35">
      <c r="E475">
        <v>0</v>
      </c>
      <c r="F475" s="11">
        <v>0</v>
      </c>
      <c r="I475" s="39">
        <f>_xlfn.XLOOKUP(E476,'แผน Makro 100%'!C:C,'แผน Makro 100%'!L:L,0)</f>
        <v>0</v>
      </c>
      <c r="J475" s="39">
        <f t="shared" si="10"/>
        <v>0</v>
      </c>
    </row>
    <row r="476" spans="5:10" x14ac:dyDescent="0.35">
      <c r="E476">
        <v>0</v>
      </c>
      <c r="F476" s="11">
        <v>0</v>
      </c>
      <c r="I476" s="39">
        <f>_xlfn.XLOOKUP(E477,'แผน Makro 100%'!C:C,'แผน Makro 100%'!L:L,0)</f>
        <v>0</v>
      </c>
      <c r="J476" s="39">
        <f t="shared" si="10"/>
        <v>0</v>
      </c>
    </row>
    <row r="477" spans="5:10" x14ac:dyDescent="0.35">
      <c r="E477">
        <v>0</v>
      </c>
      <c r="F477" s="11">
        <v>0</v>
      </c>
      <c r="I477" s="39">
        <f>_xlfn.XLOOKUP(E478,'แผน Makro 100%'!C:C,'แผน Makro 100%'!L:L,0)</f>
        <v>0</v>
      </c>
      <c r="J477" s="39">
        <f t="shared" si="10"/>
        <v>0</v>
      </c>
    </row>
    <row r="478" spans="5:10" x14ac:dyDescent="0.35">
      <c r="E478">
        <v>0</v>
      </c>
      <c r="F478" s="11">
        <v>0</v>
      </c>
      <c r="I478" s="39">
        <f>_xlfn.XLOOKUP(E479,'แผน Makro 100%'!C:C,'แผน Makro 100%'!L:L,0)</f>
        <v>0</v>
      </c>
      <c r="J478" s="39">
        <f t="shared" si="10"/>
        <v>0</v>
      </c>
    </row>
    <row r="479" spans="5:10" x14ac:dyDescent="0.35">
      <c r="E479">
        <v>0</v>
      </c>
      <c r="F479" s="11">
        <v>0</v>
      </c>
      <c r="I479" s="39">
        <f>_xlfn.XLOOKUP(E480,'แผน Makro 100%'!C:C,'แผน Makro 100%'!L:L,0)</f>
        <v>0</v>
      </c>
      <c r="J479" s="39">
        <f t="shared" si="10"/>
        <v>0</v>
      </c>
    </row>
    <row r="480" spans="5:10" x14ac:dyDescent="0.35">
      <c r="E480">
        <v>0</v>
      </c>
      <c r="F480" s="11">
        <v>0</v>
      </c>
      <c r="I480" s="39">
        <f>_xlfn.XLOOKUP(E481,'แผน Makro 100%'!C:C,'แผน Makro 100%'!L:L,0)</f>
        <v>0</v>
      </c>
      <c r="J480" s="39">
        <f t="shared" si="10"/>
        <v>0</v>
      </c>
    </row>
    <row r="481" spans="5:10" x14ac:dyDescent="0.35">
      <c r="E481">
        <v>0</v>
      </c>
      <c r="F481" s="11">
        <v>0</v>
      </c>
      <c r="I481" s="39">
        <f>_xlfn.XLOOKUP(E482,'แผน Makro 100%'!C:C,'แผน Makro 100%'!L:L,0)</f>
        <v>0</v>
      </c>
      <c r="J481" s="39">
        <f t="shared" si="10"/>
        <v>0</v>
      </c>
    </row>
    <row r="482" spans="5:10" x14ac:dyDescent="0.35">
      <c r="E482">
        <v>0</v>
      </c>
      <c r="F482" s="11">
        <v>0</v>
      </c>
      <c r="I482" s="39">
        <f>_xlfn.XLOOKUP(E483,'แผน Makro 100%'!C:C,'แผน Makro 100%'!L:L,0)</f>
        <v>0</v>
      </c>
      <c r="J482" s="39">
        <f t="shared" si="10"/>
        <v>0</v>
      </c>
    </row>
    <row r="483" spans="5:10" x14ac:dyDescent="0.35">
      <c r="E483">
        <v>0</v>
      </c>
      <c r="F483" s="11">
        <v>0</v>
      </c>
      <c r="I483" s="39">
        <f>_xlfn.XLOOKUP(E484,'แผน Makro 100%'!C:C,'แผน Makro 100%'!L:L,0)</f>
        <v>0</v>
      </c>
      <c r="J483" s="39">
        <f t="shared" si="10"/>
        <v>0</v>
      </c>
    </row>
    <row r="484" spans="5:10" x14ac:dyDescent="0.35">
      <c r="E484">
        <v>0</v>
      </c>
      <c r="F484" s="11">
        <v>0</v>
      </c>
      <c r="I484" s="39">
        <f>_xlfn.XLOOKUP(E485,'แผน Makro 100%'!C:C,'แผน Makro 100%'!L:L,0)</f>
        <v>0</v>
      </c>
      <c r="J484" s="39">
        <f t="shared" si="10"/>
        <v>0</v>
      </c>
    </row>
    <row r="485" spans="5:10" x14ac:dyDescent="0.35">
      <c r="E485">
        <v>0</v>
      </c>
      <c r="F485" s="11">
        <v>0</v>
      </c>
      <c r="I485" s="39">
        <f>_xlfn.XLOOKUP(E486,'แผน Makro 100%'!C:C,'แผน Makro 100%'!L:L,0)</f>
        <v>0</v>
      </c>
      <c r="J485" s="39">
        <f t="shared" si="10"/>
        <v>0</v>
      </c>
    </row>
    <row r="486" spans="5:10" x14ac:dyDescent="0.35">
      <c r="E486">
        <v>0</v>
      </c>
      <c r="F486" s="11">
        <v>0</v>
      </c>
      <c r="I486" s="39">
        <f>_xlfn.XLOOKUP(E487,'แผน Makro 100%'!C:C,'แผน Makro 100%'!L:L,0)</f>
        <v>0</v>
      </c>
      <c r="J486" s="39">
        <f t="shared" si="10"/>
        <v>0</v>
      </c>
    </row>
    <row r="487" spans="5:10" x14ac:dyDescent="0.35">
      <c r="E487">
        <v>0</v>
      </c>
      <c r="F487" s="11">
        <v>0</v>
      </c>
      <c r="I487" s="39">
        <f>_xlfn.XLOOKUP(E488,'แผน Makro 100%'!C:C,'แผน Makro 100%'!L:L,0)</f>
        <v>0</v>
      </c>
      <c r="J487" s="39">
        <f t="shared" si="10"/>
        <v>0</v>
      </c>
    </row>
    <row r="488" spans="5:10" x14ac:dyDescent="0.35">
      <c r="E488">
        <v>0</v>
      </c>
      <c r="F488" s="11">
        <v>0</v>
      </c>
      <c r="I488" s="39">
        <f>_xlfn.XLOOKUP(E489,'แผน Makro 100%'!C:C,'แผน Makro 100%'!L:L,0)</f>
        <v>0</v>
      </c>
      <c r="J488" s="39">
        <f t="shared" si="10"/>
        <v>0</v>
      </c>
    </row>
    <row r="489" spans="5:10" x14ac:dyDescent="0.35">
      <c r="E489">
        <v>0</v>
      </c>
      <c r="F489" s="11">
        <v>0</v>
      </c>
      <c r="I489" s="39">
        <f>_xlfn.XLOOKUP(E490,'แผน Makro 100%'!C:C,'แผน Makro 100%'!L:L,0)</f>
        <v>0</v>
      </c>
      <c r="J489" s="39">
        <f t="shared" si="10"/>
        <v>0</v>
      </c>
    </row>
    <row r="490" spans="5:10" x14ac:dyDescent="0.35">
      <c r="E490">
        <v>0</v>
      </c>
      <c r="F490" s="11">
        <v>0</v>
      </c>
      <c r="I490" s="39">
        <f>_xlfn.XLOOKUP(E491,'แผน Makro 100%'!C:C,'แผน Makro 100%'!L:L,0)</f>
        <v>0</v>
      </c>
      <c r="J490" s="39">
        <f t="shared" si="10"/>
        <v>0</v>
      </c>
    </row>
    <row r="491" spans="5:10" x14ac:dyDescent="0.35">
      <c r="E491">
        <v>0</v>
      </c>
      <c r="F491" s="11">
        <v>0</v>
      </c>
      <c r="I491" s="39">
        <f>_xlfn.XLOOKUP(E492,'แผน Makro 100%'!C:C,'แผน Makro 100%'!L:L,0)</f>
        <v>0</v>
      </c>
      <c r="J491" s="39">
        <f t="shared" si="10"/>
        <v>0</v>
      </c>
    </row>
    <row r="492" spans="5:10" x14ac:dyDescent="0.35">
      <c r="E492">
        <v>0</v>
      </c>
      <c r="F492" s="11">
        <v>0</v>
      </c>
      <c r="I492" s="39">
        <f>_xlfn.XLOOKUP(E493,'แผน Makro 100%'!C:C,'แผน Makro 100%'!L:L,0)</f>
        <v>0</v>
      </c>
      <c r="J492" s="39">
        <f t="shared" si="10"/>
        <v>0</v>
      </c>
    </row>
    <row r="493" spans="5:10" x14ac:dyDescent="0.35">
      <c r="E493">
        <v>0</v>
      </c>
      <c r="F493" s="11">
        <v>0</v>
      </c>
      <c r="I493" s="39">
        <f>_xlfn.XLOOKUP(E494,'แผน Makro 100%'!C:C,'แผน Makro 100%'!L:L,0)</f>
        <v>0</v>
      </c>
      <c r="J493" s="39">
        <f t="shared" si="10"/>
        <v>0</v>
      </c>
    </row>
    <row r="494" spans="5:10" x14ac:dyDescent="0.35">
      <c r="E494">
        <v>0</v>
      </c>
      <c r="F494" s="11">
        <v>0</v>
      </c>
      <c r="I494" s="39">
        <f>_xlfn.XLOOKUP(E495,'แผน Makro 100%'!C:C,'แผน Makro 100%'!L:L,0)</f>
        <v>0</v>
      </c>
      <c r="J494" s="39">
        <f t="shared" si="10"/>
        <v>0</v>
      </c>
    </row>
    <row r="495" spans="5:10" x14ac:dyDescent="0.35">
      <c r="E495">
        <v>0</v>
      </c>
      <c r="F495" s="11">
        <v>0</v>
      </c>
      <c r="I495" s="39">
        <f>_xlfn.XLOOKUP(E496,'แผน Makro 100%'!C:C,'แผน Makro 100%'!L:L,0)</f>
        <v>0</v>
      </c>
      <c r="J495" s="39">
        <f t="shared" si="10"/>
        <v>0</v>
      </c>
    </row>
    <row r="496" spans="5:10" x14ac:dyDescent="0.35">
      <c r="E496">
        <v>0</v>
      </c>
      <c r="F496" s="11">
        <v>0</v>
      </c>
      <c r="I496" s="39">
        <f>_xlfn.XLOOKUP(E497,'แผน Makro 100%'!C:C,'แผน Makro 100%'!L:L,0)</f>
        <v>0</v>
      </c>
      <c r="J496" s="39">
        <f t="shared" si="10"/>
        <v>0</v>
      </c>
    </row>
    <row r="497" spans="5:10" x14ac:dyDescent="0.35">
      <c r="E497">
        <v>0</v>
      </c>
      <c r="F497" s="11">
        <v>0</v>
      </c>
      <c r="I497" s="39">
        <f>_xlfn.XLOOKUP(E498,'แผน Makro 100%'!C:C,'แผน Makro 100%'!L:L,0)</f>
        <v>0</v>
      </c>
      <c r="J497" s="39">
        <f t="shared" si="10"/>
        <v>0</v>
      </c>
    </row>
    <row r="498" spans="5:10" x14ac:dyDescent="0.35">
      <c r="E498">
        <v>0</v>
      </c>
      <c r="F498" s="11">
        <v>0</v>
      </c>
      <c r="I498" s="39">
        <f>_xlfn.XLOOKUP(E499,'แผน Makro 100%'!C:C,'แผน Makro 100%'!L:L,0)</f>
        <v>0</v>
      </c>
      <c r="J498" s="39">
        <f t="shared" si="10"/>
        <v>0</v>
      </c>
    </row>
    <row r="499" spans="5:10" x14ac:dyDescent="0.35">
      <c r="E499">
        <v>0</v>
      </c>
      <c r="F499" s="11">
        <v>0</v>
      </c>
      <c r="I499" s="39">
        <f>_xlfn.XLOOKUP(E500,'แผน Makro 100%'!C:C,'แผน Makro 100%'!L:L,0)</f>
        <v>0</v>
      </c>
      <c r="J499" s="39">
        <f t="shared" si="10"/>
        <v>0</v>
      </c>
    </row>
    <row r="500" spans="5:10" x14ac:dyDescent="0.35">
      <c r="E500">
        <v>0</v>
      </c>
      <c r="F500" s="11">
        <v>0</v>
      </c>
      <c r="I500" s="39">
        <f>_xlfn.XLOOKUP(E501,'แผน Makro 100%'!C:C,'แผน Makro 100%'!L:L,0)</f>
        <v>0</v>
      </c>
      <c r="J500" s="39">
        <f t="shared" si="10"/>
        <v>0</v>
      </c>
    </row>
    <row r="501" spans="5:10" x14ac:dyDescent="0.35">
      <c r="E501">
        <v>0</v>
      </c>
      <c r="F501" s="11">
        <v>0</v>
      </c>
      <c r="I501" s="39">
        <f>_xlfn.XLOOKUP(E502,'แผน Makro 100%'!C:C,'แผน Makro 100%'!L:L,0)</f>
        <v>0</v>
      </c>
      <c r="J501" s="39">
        <f t="shared" si="10"/>
        <v>0</v>
      </c>
    </row>
    <row r="502" spans="5:10" x14ac:dyDescent="0.35">
      <c r="E502">
        <v>0</v>
      </c>
      <c r="F502" s="11">
        <v>0</v>
      </c>
      <c r="I502" s="39">
        <f>_xlfn.XLOOKUP(E503,'แผน Makro 100%'!C:C,'แผน Makro 100%'!L:L,0)</f>
        <v>0</v>
      </c>
      <c r="J502" s="39">
        <f t="shared" si="10"/>
        <v>0</v>
      </c>
    </row>
    <row r="503" spans="5:10" x14ac:dyDescent="0.35">
      <c r="E503">
        <v>0</v>
      </c>
      <c r="F503" s="11">
        <v>0</v>
      </c>
      <c r="I503" s="39">
        <f>_xlfn.XLOOKUP(E504,'แผน Makro 100%'!C:C,'แผน Makro 100%'!L:L,0)</f>
        <v>0</v>
      </c>
      <c r="J503" s="39">
        <f t="shared" si="10"/>
        <v>0</v>
      </c>
    </row>
    <row r="504" spans="5:10" x14ac:dyDescent="0.35">
      <c r="E504">
        <v>0</v>
      </c>
      <c r="F504" s="11">
        <v>0</v>
      </c>
      <c r="I504" s="39">
        <f>_xlfn.XLOOKUP(E505,'แผน Makro 100%'!C:C,'แผน Makro 100%'!L:L,0)</f>
        <v>0</v>
      </c>
      <c r="J504" s="39">
        <f t="shared" si="10"/>
        <v>0</v>
      </c>
    </row>
    <row r="505" spans="5:10" x14ac:dyDescent="0.35">
      <c r="E505">
        <v>0</v>
      </c>
      <c r="F505" s="11">
        <v>0</v>
      </c>
      <c r="I505" s="39">
        <f>_xlfn.XLOOKUP(E506,'แผน Makro 100%'!C:C,'แผน Makro 100%'!L:L,0)</f>
        <v>0</v>
      </c>
      <c r="J505" s="39">
        <f t="shared" si="10"/>
        <v>0</v>
      </c>
    </row>
    <row r="506" spans="5:10" x14ac:dyDescent="0.35">
      <c r="E506">
        <v>0</v>
      </c>
      <c r="F506" s="11">
        <v>0</v>
      </c>
      <c r="I506" s="39">
        <f>_xlfn.XLOOKUP(E507,'แผน Makro 100%'!C:C,'แผน Makro 100%'!L:L,0)</f>
        <v>0</v>
      </c>
      <c r="J506" s="39">
        <f t="shared" si="10"/>
        <v>0</v>
      </c>
    </row>
    <row r="507" spans="5:10" x14ac:dyDescent="0.35">
      <c r="E507">
        <v>0</v>
      </c>
      <c r="F507" s="11">
        <v>0</v>
      </c>
      <c r="I507" s="39">
        <f>_xlfn.XLOOKUP(E508,'แผน Makro 100%'!C:C,'แผน Makro 100%'!L:L,0)</f>
        <v>0</v>
      </c>
      <c r="J507" s="39">
        <f t="shared" si="10"/>
        <v>0</v>
      </c>
    </row>
    <row r="508" spans="5:10" x14ac:dyDescent="0.35">
      <c r="E508">
        <v>0</v>
      </c>
      <c r="F508" s="11">
        <v>0</v>
      </c>
      <c r="I508" s="39">
        <f>_xlfn.XLOOKUP(E509,'แผน Makro 100%'!C:C,'แผน Makro 100%'!L:L,0)</f>
        <v>0</v>
      </c>
      <c r="J508" s="39">
        <f t="shared" si="10"/>
        <v>0</v>
      </c>
    </row>
    <row r="509" spans="5:10" x14ac:dyDescent="0.35">
      <c r="E509">
        <v>0</v>
      </c>
      <c r="F509" s="11">
        <v>0</v>
      </c>
      <c r="I509" s="39">
        <f>_xlfn.XLOOKUP(E510,'แผน Makro 100%'!C:C,'แผน Makro 100%'!L:L,0)</f>
        <v>0</v>
      </c>
      <c r="J509" s="39">
        <f t="shared" si="10"/>
        <v>0</v>
      </c>
    </row>
    <row r="510" spans="5:10" x14ac:dyDescent="0.35">
      <c r="E510">
        <v>0</v>
      </c>
      <c r="F510" s="11">
        <v>0</v>
      </c>
      <c r="I510" s="39">
        <f>_xlfn.XLOOKUP(E511,'แผน Makro 100%'!C:C,'แผน Makro 100%'!L:L,0)</f>
        <v>0</v>
      </c>
      <c r="J510" s="39">
        <f t="shared" si="10"/>
        <v>0</v>
      </c>
    </row>
    <row r="511" spans="5:10" x14ac:dyDescent="0.35">
      <c r="E511">
        <v>0</v>
      </c>
      <c r="F511" s="11">
        <v>0</v>
      </c>
      <c r="I511" s="39">
        <f>_xlfn.XLOOKUP(E512,'แผน Makro 100%'!C:C,'แผน Makro 100%'!L:L,0)</f>
        <v>0</v>
      </c>
      <c r="J511" s="39">
        <f t="shared" si="10"/>
        <v>0</v>
      </c>
    </row>
    <row r="512" spans="5:10" x14ac:dyDescent="0.35">
      <c r="E512">
        <v>0</v>
      </c>
      <c r="F512" s="11">
        <v>0</v>
      </c>
      <c r="I512" s="39">
        <f>_xlfn.XLOOKUP(E513,'แผน Makro 100%'!C:C,'แผน Makro 100%'!L:L,0)</f>
        <v>0</v>
      </c>
      <c r="J512" s="39">
        <f t="shared" si="10"/>
        <v>0</v>
      </c>
    </row>
    <row r="513" spans="5:10" x14ac:dyDescent="0.35">
      <c r="E513">
        <v>0</v>
      </c>
      <c r="F513" s="11">
        <v>0</v>
      </c>
      <c r="I513" s="39">
        <f>_xlfn.XLOOKUP(E514,'แผน Makro 100%'!C:C,'แผน Makro 100%'!L:L,0)</f>
        <v>0</v>
      </c>
      <c r="J513" s="39">
        <f t="shared" si="10"/>
        <v>0</v>
      </c>
    </row>
    <row r="514" spans="5:10" x14ac:dyDescent="0.35">
      <c r="E514">
        <v>0</v>
      </c>
      <c r="F514" s="11">
        <v>0</v>
      </c>
      <c r="I514" s="39">
        <f>_xlfn.XLOOKUP(E515,'แผน Makro 100%'!C:C,'แผน Makro 100%'!L:L,0)</f>
        <v>0</v>
      </c>
      <c r="J514" s="39">
        <f t="shared" si="10"/>
        <v>0</v>
      </c>
    </row>
    <row r="515" spans="5:10" x14ac:dyDescent="0.35">
      <c r="E515">
        <v>0</v>
      </c>
      <c r="F515" s="11">
        <v>0</v>
      </c>
      <c r="I515" s="39">
        <f>_xlfn.XLOOKUP(E516,'แผน Makro 100%'!C:C,'แผน Makro 100%'!L:L,0)</f>
        <v>0</v>
      </c>
      <c r="J515" s="39">
        <f t="shared" si="10"/>
        <v>0</v>
      </c>
    </row>
    <row r="516" spans="5:10" x14ac:dyDescent="0.35">
      <c r="E516">
        <v>0</v>
      </c>
      <c r="F516" s="11">
        <v>0</v>
      </c>
      <c r="I516" s="39">
        <f>_xlfn.XLOOKUP(E517,'แผน Makro 100%'!C:C,'แผน Makro 100%'!L:L,0)</f>
        <v>0</v>
      </c>
      <c r="J516" s="39">
        <f t="shared" si="10"/>
        <v>0</v>
      </c>
    </row>
    <row r="517" spans="5:10" x14ac:dyDescent="0.35">
      <c r="E517">
        <v>0</v>
      </c>
      <c r="F517" s="11">
        <v>0</v>
      </c>
      <c r="I517" s="39">
        <f>_xlfn.XLOOKUP(E518,'แผน Makro 100%'!C:C,'แผน Makro 100%'!L:L,0)</f>
        <v>0</v>
      </c>
      <c r="J517" s="39">
        <f t="shared" si="10"/>
        <v>0</v>
      </c>
    </row>
    <row r="518" spans="5:10" x14ac:dyDescent="0.35">
      <c r="E518">
        <v>0</v>
      </c>
      <c r="F518" s="11">
        <v>0</v>
      </c>
      <c r="I518" s="39">
        <f>_xlfn.XLOOKUP(E519,'แผน Makro 100%'!C:C,'แผน Makro 100%'!L:L,0)</f>
        <v>0</v>
      </c>
      <c r="J518" s="39">
        <f t="shared" si="10"/>
        <v>0</v>
      </c>
    </row>
    <row r="519" spans="5:10" x14ac:dyDescent="0.35">
      <c r="E519">
        <v>0</v>
      </c>
      <c r="F519" s="11">
        <v>0</v>
      </c>
      <c r="I519" s="39">
        <f>_xlfn.XLOOKUP(E520,'แผน Makro 100%'!C:C,'แผน Makro 100%'!L:L,0)</f>
        <v>0</v>
      </c>
      <c r="J519" s="39">
        <f t="shared" ref="J519:J582" si="11">_xlfn.XLOOKUP(H519,E:E,F:F,"ไม่พบ")</f>
        <v>0</v>
      </c>
    </row>
    <row r="520" spans="5:10" x14ac:dyDescent="0.35">
      <c r="E520">
        <v>0</v>
      </c>
      <c r="F520" s="11">
        <v>0</v>
      </c>
      <c r="I520" s="39">
        <f>_xlfn.XLOOKUP(E521,'แผน Makro 100%'!C:C,'แผน Makro 100%'!L:L,0)</f>
        <v>0</v>
      </c>
      <c r="J520" s="39">
        <f t="shared" si="11"/>
        <v>0</v>
      </c>
    </row>
    <row r="521" spans="5:10" x14ac:dyDescent="0.35">
      <c r="E521">
        <v>0</v>
      </c>
      <c r="F521" s="11">
        <v>0</v>
      </c>
      <c r="I521" s="39">
        <f>_xlfn.XLOOKUP(E522,'แผน Makro 100%'!C:C,'แผน Makro 100%'!L:L,0)</f>
        <v>0</v>
      </c>
      <c r="J521" s="39">
        <f t="shared" si="11"/>
        <v>0</v>
      </c>
    </row>
    <row r="522" spans="5:10" x14ac:dyDescent="0.35">
      <c r="E522">
        <v>0</v>
      </c>
      <c r="F522" s="11">
        <v>0</v>
      </c>
      <c r="I522" s="39">
        <f>_xlfn.XLOOKUP(E523,'แผน Makro 100%'!C:C,'แผน Makro 100%'!L:L,0)</f>
        <v>0</v>
      </c>
      <c r="J522" s="39">
        <f t="shared" si="11"/>
        <v>0</v>
      </c>
    </row>
    <row r="523" spans="5:10" x14ac:dyDescent="0.35">
      <c r="E523">
        <v>0</v>
      </c>
      <c r="F523" s="11">
        <v>0</v>
      </c>
      <c r="I523" s="39">
        <f>_xlfn.XLOOKUP(E524,'แผน Makro 100%'!C:C,'แผน Makro 100%'!L:L,0)</f>
        <v>0</v>
      </c>
      <c r="J523" s="39">
        <f t="shared" si="11"/>
        <v>0</v>
      </c>
    </row>
    <row r="524" spans="5:10" x14ac:dyDescent="0.35">
      <c r="E524">
        <v>0</v>
      </c>
      <c r="F524" s="11">
        <v>0</v>
      </c>
      <c r="I524" s="39">
        <f>_xlfn.XLOOKUP(E525,'แผน Makro 100%'!C:C,'แผน Makro 100%'!L:L,0)</f>
        <v>0</v>
      </c>
      <c r="J524" s="39">
        <f t="shared" si="11"/>
        <v>0</v>
      </c>
    </row>
    <row r="525" spans="5:10" x14ac:dyDescent="0.35">
      <c r="E525">
        <v>0</v>
      </c>
      <c r="F525" s="11">
        <v>0</v>
      </c>
      <c r="I525" s="39">
        <f>_xlfn.XLOOKUP(E526,'แผน Makro 100%'!C:C,'แผน Makro 100%'!L:L,0)</f>
        <v>0</v>
      </c>
      <c r="J525" s="39">
        <f t="shared" si="11"/>
        <v>0</v>
      </c>
    </row>
    <row r="526" spans="5:10" x14ac:dyDescent="0.35">
      <c r="E526">
        <v>0</v>
      </c>
      <c r="F526" s="11">
        <v>0</v>
      </c>
      <c r="I526" s="39">
        <f>_xlfn.XLOOKUP(E527,'แผน Makro 100%'!C:C,'แผน Makro 100%'!L:L,0)</f>
        <v>0</v>
      </c>
      <c r="J526" s="39">
        <f t="shared" si="11"/>
        <v>0</v>
      </c>
    </row>
    <row r="527" spans="5:10" x14ac:dyDescent="0.35">
      <c r="E527">
        <v>0</v>
      </c>
      <c r="F527" s="11">
        <v>0</v>
      </c>
      <c r="I527" s="39">
        <f>_xlfn.XLOOKUP(E528,'แผน Makro 100%'!C:C,'แผน Makro 100%'!L:L,0)</f>
        <v>0</v>
      </c>
      <c r="J527" s="39">
        <f t="shared" si="11"/>
        <v>0</v>
      </c>
    </row>
    <row r="528" spans="5:10" x14ac:dyDescent="0.35">
      <c r="E528">
        <v>0</v>
      </c>
      <c r="F528" s="11">
        <v>0</v>
      </c>
      <c r="I528" s="39">
        <f>_xlfn.XLOOKUP(E529,'แผน Makro 100%'!C:C,'แผน Makro 100%'!L:L,0)</f>
        <v>0</v>
      </c>
      <c r="J528" s="39">
        <f t="shared" si="11"/>
        <v>0</v>
      </c>
    </row>
    <row r="529" spans="5:10" x14ac:dyDescent="0.35">
      <c r="E529">
        <v>0</v>
      </c>
      <c r="F529" s="11">
        <v>0</v>
      </c>
      <c r="I529" s="39">
        <f>_xlfn.XLOOKUP(E530,'แผน Makro 100%'!C:C,'แผน Makro 100%'!L:L,0)</f>
        <v>0</v>
      </c>
      <c r="J529" s="39">
        <f t="shared" si="11"/>
        <v>0</v>
      </c>
    </row>
    <row r="530" spans="5:10" x14ac:dyDescent="0.35">
      <c r="E530">
        <v>0</v>
      </c>
      <c r="F530" s="11">
        <v>0</v>
      </c>
      <c r="I530" s="39">
        <f>_xlfn.XLOOKUP(E531,'แผน Makro 100%'!C:C,'แผน Makro 100%'!L:L,0)</f>
        <v>0</v>
      </c>
      <c r="J530" s="39">
        <f t="shared" si="11"/>
        <v>0</v>
      </c>
    </row>
    <row r="531" spans="5:10" x14ac:dyDescent="0.35">
      <c r="E531">
        <v>0</v>
      </c>
      <c r="F531" s="11">
        <v>0</v>
      </c>
      <c r="I531" s="39">
        <f>_xlfn.XLOOKUP(E532,'แผน Makro 100%'!C:C,'แผน Makro 100%'!L:L,0)</f>
        <v>0</v>
      </c>
      <c r="J531" s="39">
        <f t="shared" si="11"/>
        <v>0</v>
      </c>
    </row>
    <row r="532" spans="5:10" x14ac:dyDescent="0.35">
      <c r="E532">
        <v>0</v>
      </c>
      <c r="F532" s="11">
        <v>0</v>
      </c>
      <c r="I532" s="39">
        <f>_xlfn.XLOOKUP(E533,'แผน Makro 100%'!C:C,'แผน Makro 100%'!L:L,0)</f>
        <v>0</v>
      </c>
      <c r="J532" s="39">
        <f t="shared" si="11"/>
        <v>0</v>
      </c>
    </row>
    <row r="533" spans="5:10" x14ac:dyDescent="0.35">
      <c r="E533">
        <v>0</v>
      </c>
      <c r="F533" s="11">
        <v>0</v>
      </c>
      <c r="I533" s="39">
        <f>_xlfn.XLOOKUP(E534,'แผน Makro 100%'!C:C,'แผน Makro 100%'!L:L,0)</f>
        <v>0</v>
      </c>
      <c r="J533" s="39">
        <f t="shared" si="11"/>
        <v>0</v>
      </c>
    </row>
    <row r="534" spans="5:10" x14ac:dyDescent="0.35">
      <c r="E534">
        <v>0</v>
      </c>
      <c r="F534" s="11">
        <v>0</v>
      </c>
      <c r="I534" s="39">
        <f>_xlfn.XLOOKUP(E535,'แผน Makro 100%'!C:C,'แผน Makro 100%'!L:L,0)</f>
        <v>0</v>
      </c>
      <c r="J534" s="39">
        <f t="shared" si="11"/>
        <v>0</v>
      </c>
    </row>
    <row r="535" spans="5:10" x14ac:dyDescent="0.35">
      <c r="E535">
        <v>0</v>
      </c>
      <c r="F535" s="11">
        <v>0</v>
      </c>
      <c r="I535" s="39">
        <f>_xlfn.XLOOKUP(E536,'แผน Makro 100%'!C:C,'แผน Makro 100%'!L:L,0)</f>
        <v>0</v>
      </c>
      <c r="J535" s="39">
        <f t="shared" si="11"/>
        <v>0</v>
      </c>
    </row>
    <row r="536" spans="5:10" x14ac:dyDescent="0.35">
      <c r="E536">
        <v>0</v>
      </c>
      <c r="F536" s="11">
        <v>0</v>
      </c>
      <c r="I536" s="39">
        <f>_xlfn.XLOOKUP(E537,'แผน Makro 100%'!C:C,'แผน Makro 100%'!L:L,0)</f>
        <v>0</v>
      </c>
      <c r="J536" s="39">
        <f t="shared" si="11"/>
        <v>0</v>
      </c>
    </row>
    <row r="537" spans="5:10" x14ac:dyDescent="0.35">
      <c r="E537">
        <v>0</v>
      </c>
      <c r="F537" s="11">
        <v>0</v>
      </c>
      <c r="I537" s="39">
        <f>_xlfn.XLOOKUP(E538,'แผน Makro 100%'!C:C,'แผน Makro 100%'!L:L,0)</f>
        <v>0</v>
      </c>
      <c r="J537" s="39">
        <f t="shared" si="11"/>
        <v>0</v>
      </c>
    </row>
    <row r="538" spans="5:10" x14ac:dyDescent="0.35">
      <c r="E538">
        <v>0</v>
      </c>
      <c r="F538" s="11">
        <v>0</v>
      </c>
      <c r="I538" s="39">
        <f>_xlfn.XLOOKUP(E539,'แผน Makro 100%'!C:C,'แผน Makro 100%'!L:L,0)</f>
        <v>0</v>
      </c>
      <c r="J538" s="39">
        <f t="shared" si="11"/>
        <v>0</v>
      </c>
    </row>
    <row r="539" spans="5:10" x14ac:dyDescent="0.35">
      <c r="E539">
        <v>0</v>
      </c>
      <c r="F539" s="11">
        <v>0</v>
      </c>
      <c r="I539" s="39">
        <f>_xlfn.XLOOKUP(E540,'แผน Makro 100%'!C:C,'แผน Makro 100%'!L:L,0)</f>
        <v>0</v>
      </c>
      <c r="J539" s="39">
        <f t="shared" si="11"/>
        <v>0</v>
      </c>
    </row>
    <row r="540" spans="5:10" x14ac:dyDescent="0.35">
      <c r="E540">
        <v>0</v>
      </c>
      <c r="F540" s="11">
        <v>0</v>
      </c>
      <c r="I540" s="39">
        <f>_xlfn.XLOOKUP(E541,'แผน Makro 100%'!C:C,'แผน Makro 100%'!L:L,0)</f>
        <v>0</v>
      </c>
      <c r="J540" s="39">
        <f t="shared" si="11"/>
        <v>0</v>
      </c>
    </row>
    <row r="541" spans="5:10" x14ac:dyDescent="0.35">
      <c r="E541">
        <v>0</v>
      </c>
      <c r="F541" s="11">
        <v>0</v>
      </c>
      <c r="I541" s="39">
        <f>_xlfn.XLOOKUP(E542,'แผน Makro 100%'!C:C,'แผน Makro 100%'!L:L,0)</f>
        <v>0</v>
      </c>
      <c r="J541" s="39">
        <f t="shared" si="11"/>
        <v>0</v>
      </c>
    </row>
    <row r="542" spans="5:10" x14ac:dyDescent="0.35">
      <c r="E542">
        <v>0</v>
      </c>
      <c r="F542" s="11">
        <v>0</v>
      </c>
      <c r="I542" s="39">
        <f>_xlfn.XLOOKUP(E543,'แผน Makro 100%'!C:C,'แผน Makro 100%'!L:L,0)</f>
        <v>0</v>
      </c>
      <c r="J542" s="39">
        <f t="shared" si="11"/>
        <v>0</v>
      </c>
    </row>
    <row r="543" spans="5:10" x14ac:dyDescent="0.35">
      <c r="E543">
        <v>0</v>
      </c>
      <c r="F543" s="11">
        <v>0</v>
      </c>
      <c r="I543" s="39">
        <f>_xlfn.XLOOKUP(E544,'แผน Makro 100%'!C:C,'แผน Makro 100%'!L:L,0)</f>
        <v>0</v>
      </c>
      <c r="J543" s="39">
        <f t="shared" si="11"/>
        <v>0</v>
      </c>
    </row>
    <row r="544" spans="5:10" x14ac:dyDescent="0.35">
      <c r="E544">
        <v>0</v>
      </c>
      <c r="F544" s="11">
        <v>0</v>
      </c>
      <c r="I544" s="39">
        <f>_xlfn.XLOOKUP(E545,'แผน Makro 100%'!C:C,'แผน Makro 100%'!L:L,0)</f>
        <v>0</v>
      </c>
      <c r="J544" s="39">
        <f t="shared" si="11"/>
        <v>0</v>
      </c>
    </row>
    <row r="545" spans="5:10" x14ac:dyDescent="0.35">
      <c r="E545">
        <v>0</v>
      </c>
      <c r="F545" s="11">
        <v>0</v>
      </c>
      <c r="I545" s="39">
        <f>_xlfn.XLOOKUP(E546,'แผน Makro 100%'!C:C,'แผน Makro 100%'!L:L,0)</f>
        <v>0</v>
      </c>
      <c r="J545" s="39">
        <f t="shared" si="11"/>
        <v>0</v>
      </c>
    </row>
    <row r="546" spans="5:10" x14ac:dyDescent="0.35">
      <c r="E546">
        <v>0</v>
      </c>
      <c r="F546" s="11">
        <v>0</v>
      </c>
      <c r="I546" s="39">
        <f>_xlfn.XLOOKUP(E547,'แผน Makro 100%'!C:C,'แผน Makro 100%'!L:L,0)</f>
        <v>0</v>
      </c>
      <c r="J546" s="39">
        <f t="shared" si="11"/>
        <v>0</v>
      </c>
    </row>
    <row r="547" spans="5:10" x14ac:dyDescent="0.35">
      <c r="E547">
        <v>0</v>
      </c>
      <c r="F547" s="11">
        <v>0</v>
      </c>
      <c r="I547" s="39">
        <f>_xlfn.XLOOKUP(E548,'แผน Makro 100%'!C:C,'แผน Makro 100%'!L:L,0)</f>
        <v>0</v>
      </c>
      <c r="J547" s="39">
        <f t="shared" si="11"/>
        <v>0</v>
      </c>
    </row>
    <row r="548" spans="5:10" x14ac:dyDescent="0.35">
      <c r="E548">
        <v>0</v>
      </c>
      <c r="F548" s="11">
        <v>0</v>
      </c>
      <c r="I548" s="39">
        <f>_xlfn.XLOOKUP(E549,'แผน Makro 100%'!C:C,'แผน Makro 100%'!L:L,0)</f>
        <v>0</v>
      </c>
      <c r="J548" s="39">
        <f t="shared" si="11"/>
        <v>0</v>
      </c>
    </row>
    <row r="549" spans="5:10" x14ac:dyDescent="0.35">
      <c r="E549">
        <v>0</v>
      </c>
      <c r="F549" s="11">
        <v>0</v>
      </c>
      <c r="I549" s="39">
        <f>_xlfn.XLOOKUP(E550,'แผน Makro 100%'!C:C,'แผน Makro 100%'!L:L,0)</f>
        <v>0</v>
      </c>
      <c r="J549" s="39">
        <f t="shared" si="11"/>
        <v>0</v>
      </c>
    </row>
    <row r="550" spans="5:10" x14ac:dyDescent="0.35">
      <c r="E550">
        <v>0</v>
      </c>
      <c r="F550" s="11">
        <v>0</v>
      </c>
      <c r="I550" s="39">
        <f>_xlfn.XLOOKUP(E551,'แผน Makro 100%'!C:C,'แผน Makro 100%'!L:L,0)</f>
        <v>0</v>
      </c>
      <c r="J550" s="39">
        <f t="shared" si="11"/>
        <v>0</v>
      </c>
    </row>
    <row r="551" spans="5:10" x14ac:dyDescent="0.35">
      <c r="E551">
        <v>0</v>
      </c>
      <c r="F551" s="11">
        <v>0</v>
      </c>
      <c r="I551" s="39">
        <f>_xlfn.XLOOKUP(E552,'แผน Makro 100%'!C:C,'แผน Makro 100%'!L:L,0)</f>
        <v>0</v>
      </c>
      <c r="J551" s="39">
        <f t="shared" si="11"/>
        <v>0</v>
      </c>
    </row>
    <row r="552" spans="5:10" x14ac:dyDescent="0.35">
      <c r="E552">
        <v>0</v>
      </c>
      <c r="F552" s="11">
        <v>0</v>
      </c>
      <c r="I552" s="39">
        <f>_xlfn.XLOOKUP(E553,'แผน Makro 100%'!C:C,'แผน Makro 100%'!L:L,0)</f>
        <v>0</v>
      </c>
      <c r="J552" s="39">
        <f t="shared" si="11"/>
        <v>0</v>
      </c>
    </row>
    <row r="553" spans="5:10" x14ac:dyDescent="0.35">
      <c r="E553">
        <v>0</v>
      </c>
      <c r="F553" s="11">
        <v>0</v>
      </c>
      <c r="I553" s="39">
        <f>_xlfn.XLOOKUP(E554,'แผน Makro 100%'!C:C,'แผน Makro 100%'!L:L,0)</f>
        <v>0</v>
      </c>
      <c r="J553" s="39">
        <f t="shared" si="11"/>
        <v>0</v>
      </c>
    </row>
    <row r="554" spans="5:10" x14ac:dyDescent="0.35">
      <c r="E554">
        <v>0</v>
      </c>
      <c r="F554" s="11">
        <v>0</v>
      </c>
      <c r="I554" s="39">
        <f>_xlfn.XLOOKUP(E555,'แผน Makro 100%'!C:C,'แผน Makro 100%'!L:L,0)</f>
        <v>0</v>
      </c>
      <c r="J554" s="39">
        <f t="shared" si="11"/>
        <v>0</v>
      </c>
    </row>
    <row r="555" spans="5:10" x14ac:dyDescent="0.35">
      <c r="E555">
        <v>0</v>
      </c>
      <c r="F555" s="11">
        <v>0</v>
      </c>
      <c r="I555" s="39">
        <f>_xlfn.XLOOKUP(E556,'แผน Makro 100%'!C:C,'แผน Makro 100%'!L:L,0)</f>
        <v>0</v>
      </c>
      <c r="J555" s="39">
        <f t="shared" si="11"/>
        <v>0</v>
      </c>
    </row>
    <row r="556" spans="5:10" x14ac:dyDescent="0.35">
      <c r="E556">
        <v>0</v>
      </c>
      <c r="F556" s="11">
        <v>0</v>
      </c>
      <c r="I556" s="39">
        <f>_xlfn.XLOOKUP(E557,'แผน Makro 100%'!C:C,'แผน Makro 100%'!L:L,0)</f>
        <v>0</v>
      </c>
      <c r="J556" s="39">
        <f t="shared" si="11"/>
        <v>0</v>
      </c>
    </row>
    <row r="557" spans="5:10" x14ac:dyDescent="0.35">
      <c r="E557">
        <v>0</v>
      </c>
      <c r="F557" s="11">
        <v>0</v>
      </c>
      <c r="I557" s="39">
        <f>_xlfn.XLOOKUP(E558,'แผน Makro 100%'!C:C,'แผน Makro 100%'!L:L,0)</f>
        <v>0</v>
      </c>
      <c r="J557" s="39">
        <f t="shared" si="11"/>
        <v>0</v>
      </c>
    </row>
    <row r="558" spans="5:10" x14ac:dyDescent="0.35">
      <c r="E558">
        <v>0</v>
      </c>
      <c r="F558" s="11">
        <v>0</v>
      </c>
      <c r="I558" s="39">
        <f>_xlfn.XLOOKUP(E559,'แผน Makro 100%'!C:C,'แผน Makro 100%'!L:L,0)</f>
        <v>0</v>
      </c>
      <c r="J558" s="39">
        <f t="shared" si="11"/>
        <v>0</v>
      </c>
    </row>
    <row r="559" spans="5:10" x14ac:dyDescent="0.35">
      <c r="E559">
        <v>0</v>
      </c>
      <c r="F559" s="11">
        <v>0</v>
      </c>
      <c r="I559" s="39">
        <f>_xlfn.XLOOKUP(E560,'แผน Makro 100%'!C:C,'แผน Makro 100%'!L:L,0)</f>
        <v>0</v>
      </c>
      <c r="J559" s="39">
        <f t="shared" si="11"/>
        <v>0</v>
      </c>
    </row>
    <row r="560" spans="5:10" x14ac:dyDescent="0.35">
      <c r="E560">
        <v>0</v>
      </c>
      <c r="F560" s="11">
        <v>0</v>
      </c>
      <c r="I560" s="39">
        <f>_xlfn.XLOOKUP(E561,'แผน Makro 100%'!C:C,'แผน Makro 100%'!L:L,0)</f>
        <v>0</v>
      </c>
      <c r="J560" s="39">
        <f t="shared" si="11"/>
        <v>0</v>
      </c>
    </row>
    <row r="561" spans="5:10" x14ac:dyDescent="0.35">
      <c r="E561">
        <v>0</v>
      </c>
      <c r="F561" s="11">
        <v>0</v>
      </c>
      <c r="I561" s="39">
        <f>_xlfn.XLOOKUP(E562,'แผน Makro 100%'!C:C,'แผน Makro 100%'!L:L,0)</f>
        <v>0</v>
      </c>
      <c r="J561" s="39">
        <f t="shared" si="11"/>
        <v>0</v>
      </c>
    </row>
    <row r="562" spans="5:10" x14ac:dyDescent="0.35">
      <c r="E562">
        <v>0</v>
      </c>
      <c r="F562" s="11">
        <v>0</v>
      </c>
      <c r="I562" s="39">
        <f>_xlfn.XLOOKUP(E563,'แผน Makro 100%'!C:C,'แผน Makro 100%'!L:L,0)</f>
        <v>0</v>
      </c>
      <c r="J562" s="39">
        <f t="shared" si="11"/>
        <v>0</v>
      </c>
    </row>
    <row r="563" spans="5:10" x14ac:dyDescent="0.35">
      <c r="E563">
        <v>0</v>
      </c>
      <c r="F563" s="11">
        <v>0</v>
      </c>
      <c r="I563" s="39">
        <f>_xlfn.XLOOKUP(E564,'แผน Makro 100%'!C:C,'แผน Makro 100%'!L:L,0)</f>
        <v>0</v>
      </c>
      <c r="J563" s="39">
        <f t="shared" si="11"/>
        <v>0</v>
      </c>
    </row>
    <row r="564" spans="5:10" x14ac:dyDescent="0.35">
      <c r="E564">
        <v>0</v>
      </c>
      <c r="F564" s="11">
        <v>0</v>
      </c>
      <c r="I564" s="39">
        <f>_xlfn.XLOOKUP(E565,'แผน Makro 100%'!C:C,'แผน Makro 100%'!L:L,0)</f>
        <v>0</v>
      </c>
      <c r="J564" s="39">
        <f t="shared" si="11"/>
        <v>0</v>
      </c>
    </row>
    <row r="565" spans="5:10" x14ac:dyDescent="0.35">
      <c r="E565">
        <v>0</v>
      </c>
      <c r="F565" s="11">
        <v>0</v>
      </c>
      <c r="I565" s="39">
        <f>_xlfn.XLOOKUP(E566,'แผน Makro 100%'!C:C,'แผน Makro 100%'!L:L,0)</f>
        <v>0</v>
      </c>
      <c r="J565" s="39">
        <f t="shared" si="11"/>
        <v>0</v>
      </c>
    </row>
    <row r="566" spans="5:10" x14ac:dyDescent="0.35">
      <c r="E566">
        <v>0</v>
      </c>
      <c r="F566" s="11">
        <v>0</v>
      </c>
      <c r="I566" s="39">
        <f>_xlfn.XLOOKUP(E567,'แผน Makro 100%'!C:C,'แผน Makro 100%'!L:L,0)</f>
        <v>0</v>
      </c>
      <c r="J566" s="39">
        <f t="shared" si="11"/>
        <v>0</v>
      </c>
    </row>
    <row r="567" spans="5:10" x14ac:dyDescent="0.35">
      <c r="E567">
        <v>0</v>
      </c>
      <c r="F567" s="11">
        <v>0</v>
      </c>
      <c r="I567" s="39">
        <f>_xlfn.XLOOKUP(E568,'แผน Makro 100%'!C:C,'แผน Makro 100%'!L:L,0)</f>
        <v>0</v>
      </c>
      <c r="J567" s="39">
        <f t="shared" si="11"/>
        <v>0</v>
      </c>
    </row>
    <row r="568" spans="5:10" x14ac:dyDescent="0.35">
      <c r="E568">
        <v>0</v>
      </c>
      <c r="F568" s="11">
        <v>0</v>
      </c>
      <c r="I568" s="39">
        <f>_xlfn.XLOOKUP(E569,'แผน Makro 100%'!C:C,'แผน Makro 100%'!L:L,0)</f>
        <v>0</v>
      </c>
      <c r="J568" s="39">
        <f t="shared" si="11"/>
        <v>0</v>
      </c>
    </row>
    <row r="569" spans="5:10" x14ac:dyDescent="0.35">
      <c r="E569">
        <v>0</v>
      </c>
      <c r="F569" s="11">
        <v>0</v>
      </c>
      <c r="I569" s="39">
        <f>_xlfn.XLOOKUP(E570,'แผน Makro 100%'!C:C,'แผน Makro 100%'!L:L,0)</f>
        <v>0</v>
      </c>
      <c r="J569" s="39">
        <f t="shared" si="11"/>
        <v>0</v>
      </c>
    </row>
    <row r="570" spans="5:10" x14ac:dyDescent="0.35">
      <c r="E570">
        <v>0</v>
      </c>
      <c r="F570" s="11">
        <v>0</v>
      </c>
      <c r="I570" s="39">
        <f>_xlfn.XLOOKUP(E571,'แผน Makro 100%'!C:C,'แผน Makro 100%'!L:L,0)</f>
        <v>0</v>
      </c>
      <c r="J570" s="39">
        <f t="shared" si="11"/>
        <v>0</v>
      </c>
    </row>
    <row r="571" spans="5:10" x14ac:dyDescent="0.35">
      <c r="E571">
        <v>0</v>
      </c>
      <c r="F571" s="11">
        <v>0</v>
      </c>
      <c r="I571" s="39">
        <f>_xlfn.XLOOKUP(E572,'แผน Makro 100%'!C:C,'แผน Makro 100%'!L:L,0)</f>
        <v>0</v>
      </c>
      <c r="J571" s="39">
        <f t="shared" si="11"/>
        <v>0</v>
      </c>
    </row>
    <row r="572" spans="5:10" x14ac:dyDescent="0.35">
      <c r="E572">
        <v>0</v>
      </c>
      <c r="F572" s="11">
        <v>0</v>
      </c>
      <c r="I572" s="39">
        <f>_xlfn.XLOOKUP(E573,'แผน Makro 100%'!C:C,'แผน Makro 100%'!L:L,0)</f>
        <v>0</v>
      </c>
      <c r="J572" s="39">
        <f t="shared" si="11"/>
        <v>0</v>
      </c>
    </row>
    <row r="573" spans="5:10" x14ac:dyDescent="0.35">
      <c r="E573">
        <v>0</v>
      </c>
      <c r="F573" s="11">
        <v>0</v>
      </c>
      <c r="I573" s="39">
        <f>_xlfn.XLOOKUP(E574,'แผน Makro 100%'!C:C,'แผน Makro 100%'!L:L,0)</f>
        <v>0</v>
      </c>
      <c r="J573" s="39">
        <f t="shared" si="11"/>
        <v>0</v>
      </c>
    </row>
    <row r="574" spans="5:10" x14ac:dyDescent="0.35">
      <c r="E574">
        <v>0</v>
      </c>
      <c r="F574" s="11">
        <v>0</v>
      </c>
      <c r="I574" s="39">
        <f>_xlfn.XLOOKUP(E575,'แผน Makro 100%'!C:C,'แผน Makro 100%'!L:L,0)</f>
        <v>0</v>
      </c>
      <c r="J574" s="39">
        <f t="shared" si="11"/>
        <v>0</v>
      </c>
    </row>
    <row r="575" spans="5:10" x14ac:dyDescent="0.35">
      <c r="E575">
        <v>0</v>
      </c>
      <c r="F575" s="11">
        <v>0</v>
      </c>
      <c r="I575" s="39">
        <f>_xlfn.XLOOKUP(E576,'แผน Makro 100%'!C:C,'แผน Makro 100%'!L:L,0)</f>
        <v>0</v>
      </c>
      <c r="J575" s="39">
        <f t="shared" si="11"/>
        <v>0</v>
      </c>
    </row>
    <row r="576" spans="5:10" x14ac:dyDescent="0.35">
      <c r="E576">
        <v>0</v>
      </c>
      <c r="F576" s="11">
        <v>0</v>
      </c>
      <c r="I576" s="39">
        <f>_xlfn.XLOOKUP(E577,'แผน Makro 100%'!C:C,'แผน Makro 100%'!L:L,0)</f>
        <v>0</v>
      </c>
      <c r="J576" s="39">
        <f t="shared" si="11"/>
        <v>0</v>
      </c>
    </row>
    <row r="577" spans="5:10" x14ac:dyDescent="0.35">
      <c r="E577">
        <v>0</v>
      </c>
      <c r="F577" s="11">
        <v>0</v>
      </c>
      <c r="I577" s="39">
        <f>_xlfn.XLOOKUP(E578,'แผน Makro 100%'!C:C,'แผน Makro 100%'!L:L,0)</f>
        <v>0</v>
      </c>
      <c r="J577" s="39">
        <f t="shared" si="11"/>
        <v>0</v>
      </c>
    </row>
    <row r="578" spans="5:10" x14ac:dyDescent="0.35">
      <c r="E578">
        <v>0</v>
      </c>
      <c r="F578" s="11">
        <v>0</v>
      </c>
      <c r="I578" s="39">
        <f>_xlfn.XLOOKUP(E579,'แผน Makro 100%'!C:C,'แผน Makro 100%'!L:L,0)</f>
        <v>0</v>
      </c>
      <c r="J578" s="39">
        <f t="shared" si="11"/>
        <v>0</v>
      </c>
    </row>
    <row r="579" spans="5:10" x14ac:dyDescent="0.35">
      <c r="E579">
        <v>0</v>
      </c>
      <c r="F579" s="11">
        <v>0</v>
      </c>
      <c r="I579" s="39">
        <f>_xlfn.XLOOKUP(E580,'แผน Makro 100%'!C:C,'แผน Makro 100%'!L:L,0)</f>
        <v>0</v>
      </c>
      <c r="J579" s="39">
        <f t="shared" si="11"/>
        <v>0</v>
      </c>
    </row>
    <row r="580" spans="5:10" x14ac:dyDescent="0.35">
      <c r="E580">
        <v>0</v>
      </c>
      <c r="F580" s="11">
        <v>0</v>
      </c>
      <c r="I580" s="39">
        <f>_xlfn.XLOOKUP(E581,'แผน Makro 100%'!C:C,'แผน Makro 100%'!L:L,0)</f>
        <v>0</v>
      </c>
      <c r="J580" s="39">
        <f t="shared" si="11"/>
        <v>0</v>
      </c>
    </row>
    <row r="581" spans="5:10" x14ac:dyDescent="0.35">
      <c r="E581">
        <v>0</v>
      </c>
      <c r="F581" s="11">
        <v>0</v>
      </c>
      <c r="I581" s="39">
        <f>_xlfn.XLOOKUP(E582,'แผน Makro 100%'!C:C,'แผน Makro 100%'!L:L,0)</f>
        <v>0</v>
      </c>
      <c r="J581" s="39">
        <f t="shared" si="11"/>
        <v>0</v>
      </c>
    </row>
    <row r="582" spans="5:10" x14ac:dyDescent="0.35">
      <c r="E582">
        <v>0</v>
      </c>
      <c r="F582" s="11">
        <v>0</v>
      </c>
      <c r="I582" s="39">
        <f>_xlfn.XLOOKUP(E583,'แผน Makro 100%'!C:C,'แผน Makro 100%'!L:L,0)</f>
        <v>0</v>
      </c>
      <c r="J582" s="39">
        <f t="shared" si="11"/>
        <v>0</v>
      </c>
    </row>
    <row r="583" spans="5:10" x14ac:dyDescent="0.35">
      <c r="E583">
        <v>0</v>
      </c>
      <c r="F583" s="11">
        <v>0</v>
      </c>
      <c r="I583" s="39">
        <f>_xlfn.XLOOKUP(E584,'แผน Makro 100%'!C:C,'แผน Makro 100%'!L:L,0)</f>
        <v>0</v>
      </c>
      <c r="J583" s="39">
        <f t="shared" ref="J583:J646" si="12">_xlfn.XLOOKUP(H583,E:E,F:F,"ไม่พบ")</f>
        <v>0</v>
      </c>
    </row>
    <row r="584" spans="5:10" x14ac:dyDescent="0.35">
      <c r="E584">
        <v>0</v>
      </c>
      <c r="F584" s="11">
        <v>0</v>
      </c>
      <c r="I584" s="39">
        <f>_xlfn.XLOOKUP(E585,'แผน Makro 100%'!C:C,'แผน Makro 100%'!L:L,0)</f>
        <v>0</v>
      </c>
      <c r="J584" s="39">
        <f t="shared" si="12"/>
        <v>0</v>
      </c>
    </row>
    <row r="585" spans="5:10" x14ac:dyDescent="0.35">
      <c r="E585">
        <v>0</v>
      </c>
      <c r="F585" s="11">
        <v>0</v>
      </c>
      <c r="I585" s="39">
        <f>_xlfn.XLOOKUP(E586,'แผน Makro 100%'!C:C,'แผน Makro 100%'!L:L,0)</f>
        <v>0</v>
      </c>
      <c r="J585" s="39">
        <f t="shared" si="12"/>
        <v>0</v>
      </c>
    </row>
    <row r="586" spans="5:10" x14ac:dyDescent="0.35">
      <c r="E586">
        <v>0</v>
      </c>
      <c r="F586" s="11">
        <v>0</v>
      </c>
      <c r="I586" s="39">
        <f>_xlfn.XLOOKUP(E587,'แผน Makro 100%'!C:C,'แผน Makro 100%'!L:L,0)</f>
        <v>0</v>
      </c>
      <c r="J586" s="39">
        <f t="shared" si="12"/>
        <v>0</v>
      </c>
    </row>
    <row r="587" spans="5:10" x14ac:dyDescent="0.35">
      <c r="E587">
        <v>0</v>
      </c>
      <c r="F587" s="11">
        <v>0</v>
      </c>
      <c r="I587" s="39">
        <f>_xlfn.XLOOKUP(E588,'แผน Makro 100%'!C:C,'แผน Makro 100%'!L:L,0)</f>
        <v>0</v>
      </c>
      <c r="J587" s="39">
        <f t="shared" si="12"/>
        <v>0</v>
      </c>
    </row>
    <row r="588" spans="5:10" x14ac:dyDescent="0.35">
      <c r="E588">
        <v>0</v>
      </c>
      <c r="F588" s="11">
        <v>0</v>
      </c>
      <c r="I588" s="39">
        <f>_xlfn.XLOOKUP(E589,'แผน Makro 100%'!C:C,'แผน Makro 100%'!L:L,0)</f>
        <v>0</v>
      </c>
      <c r="J588" s="39">
        <f t="shared" si="12"/>
        <v>0</v>
      </c>
    </row>
    <row r="589" spans="5:10" x14ac:dyDescent="0.35">
      <c r="E589">
        <v>0</v>
      </c>
      <c r="F589" s="11">
        <v>0</v>
      </c>
      <c r="I589" s="39">
        <f>_xlfn.XLOOKUP(E590,'แผน Makro 100%'!C:C,'แผน Makro 100%'!L:L,0)</f>
        <v>0</v>
      </c>
      <c r="J589" s="39">
        <f t="shared" si="12"/>
        <v>0</v>
      </c>
    </row>
    <row r="590" spans="5:10" x14ac:dyDescent="0.35">
      <c r="E590">
        <v>0</v>
      </c>
      <c r="F590" s="11">
        <v>0</v>
      </c>
      <c r="I590" s="39">
        <f>_xlfn.XLOOKUP(E591,'แผน Makro 100%'!C:C,'แผน Makro 100%'!L:L,0)</f>
        <v>0</v>
      </c>
      <c r="J590" s="39">
        <f t="shared" si="12"/>
        <v>0</v>
      </c>
    </row>
    <row r="591" spans="5:10" x14ac:dyDescent="0.35">
      <c r="E591">
        <v>0</v>
      </c>
      <c r="F591" s="11">
        <v>0</v>
      </c>
      <c r="I591" s="39">
        <f>_xlfn.XLOOKUP(E592,'แผน Makro 100%'!C:C,'แผน Makro 100%'!L:L,0)</f>
        <v>0</v>
      </c>
      <c r="J591" s="39">
        <f t="shared" si="12"/>
        <v>0</v>
      </c>
    </row>
    <row r="592" spans="5:10" x14ac:dyDescent="0.35">
      <c r="E592">
        <v>0</v>
      </c>
      <c r="F592" s="11">
        <v>0</v>
      </c>
      <c r="I592" s="39">
        <f>_xlfn.XLOOKUP(E593,'แผน Makro 100%'!C:C,'แผน Makro 100%'!L:L,0)</f>
        <v>0</v>
      </c>
      <c r="J592" s="39">
        <f t="shared" si="12"/>
        <v>0</v>
      </c>
    </row>
    <row r="593" spans="5:10" x14ac:dyDescent="0.35">
      <c r="E593">
        <v>0</v>
      </c>
      <c r="F593" s="11">
        <v>0</v>
      </c>
      <c r="I593" s="39">
        <f>_xlfn.XLOOKUP(E594,'แผน Makro 100%'!C:C,'แผน Makro 100%'!L:L,0)</f>
        <v>0</v>
      </c>
      <c r="J593" s="39">
        <f t="shared" si="12"/>
        <v>0</v>
      </c>
    </row>
    <row r="594" spans="5:10" x14ac:dyDescent="0.35">
      <c r="E594">
        <v>0</v>
      </c>
      <c r="F594" s="11">
        <v>0</v>
      </c>
      <c r="I594" s="39">
        <f>_xlfn.XLOOKUP(E595,'แผน Makro 100%'!C:C,'แผน Makro 100%'!L:L,0)</f>
        <v>0</v>
      </c>
      <c r="J594" s="39">
        <f t="shared" si="12"/>
        <v>0</v>
      </c>
    </row>
    <row r="595" spans="5:10" x14ac:dyDescent="0.35">
      <c r="E595">
        <v>0</v>
      </c>
      <c r="F595" s="11">
        <v>0</v>
      </c>
      <c r="I595" s="39">
        <f>_xlfn.XLOOKUP(E596,'แผน Makro 100%'!C:C,'แผน Makro 100%'!L:L,0)</f>
        <v>0</v>
      </c>
      <c r="J595" s="39">
        <f t="shared" si="12"/>
        <v>0</v>
      </c>
    </row>
    <row r="596" spans="5:10" x14ac:dyDescent="0.35">
      <c r="E596">
        <v>0</v>
      </c>
      <c r="F596" s="11">
        <v>0</v>
      </c>
      <c r="I596" s="39">
        <f>_xlfn.XLOOKUP(E597,'แผน Makro 100%'!C:C,'แผน Makro 100%'!L:L,0)</f>
        <v>0</v>
      </c>
      <c r="J596" s="39">
        <f t="shared" si="12"/>
        <v>0</v>
      </c>
    </row>
    <row r="597" spans="5:10" x14ac:dyDescent="0.35">
      <c r="E597">
        <v>0</v>
      </c>
      <c r="F597" s="11">
        <v>0</v>
      </c>
      <c r="I597" s="39">
        <f>_xlfn.XLOOKUP(E598,'แผน Makro 100%'!C:C,'แผน Makro 100%'!L:L,0)</f>
        <v>0</v>
      </c>
      <c r="J597" s="39">
        <f t="shared" si="12"/>
        <v>0</v>
      </c>
    </row>
    <row r="598" spans="5:10" x14ac:dyDescent="0.35">
      <c r="E598">
        <v>0</v>
      </c>
      <c r="F598" s="11">
        <v>0</v>
      </c>
      <c r="I598" s="39">
        <f>_xlfn.XLOOKUP(E599,'แผน Makro 100%'!C:C,'แผน Makro 100%'!L:L,0)</f>
        <v>0</v>
      </c>
      <c r="J598" s="39">
        <f t="shared" si="12"/>
        <v>0</v>
      </c>
    </row>
    <row r="599" spans="5:10" x14ac:dyDescent="0.35">
      <c r="E599">
        <v>0</v>
      </c>
      <c r="F599" s="11">
        <v>0</v>
      </c>
      <c r="I599" s="39">
        <f>_xlfn.XLOOKUP(E600,'แผน Makro 100%'!C:C,'แผน Makro 100%'!L:L,0)</f>
        <v>0</v>
      </c>
      <c r="J599" s="39">
        <f t="shared" si="12"/>
        <v>0</v>
      </c>
    </row>
    <row r="600" spans="5:10" x14ac:dyDescent="0.35">
      <c r="E600">
        <v>0</v>
      </c>
      <c r="F600" s="11">
        <v>0</v>
      </c>
      <c r="I600" s="39">
        <f>_xlfn.XLOOKUP(E601,'แผน Makro 100%'!C:C,'แผน Makro 100%'!L:L,0)</f>
        <v>0</v>
      </c>
      <c r="J600" s="39">
        <f t="shared" si="12"/>
        <v>0</v>
      </c>
    </row>
    <row r="601" spans="5:10" x14ac:dyDescent="0.35">
      <c r="E601">
        <v>0</v>
      </c>
      <c r="F601" s="11">
        <v>0</v>
      </c>
      <c r="I601" s="39">
        <f>_xlfn.XLOOKUP(E602,'แผน Makro 100%'!C:C,'แผน Makro 100%'!L:L,0)</f>
        <v>0</v>
      </c>
      <c r="J601" s="39">
        <f t="shared" si="12"/>
        <v>0</v>
      </c>
    </row>
    <row r="602" spans="5:10" x14ac:dyDescent="0.35">
      <c r="E602">
        <v>0</v>
      </c>
      <c r="F602" s="11">
        <v>0</v>
      </c>
      <c r="I602" s="39">
        <f>_xlfn.XLOOKUP(E603,'แผน Makro 100%'!C:C,'แผน Makro 100%'!L:L,0)</f>
        <v>0</v>
      </c>
      <c r="J602" s="39">
        <f t="shared" si="12"/>
        <v>0</v>
      </c>
    </row>
    <row r="603" spans="5:10" x14ac:dyDescent="0.35">
      <c r="E603">
        <v>0</v>
      </c>
      <c r="F603" s="11">
        <v>0</v>
      </c>
      <c r="I603" s="39">
        <f>_xlfn.XLOOKUP(E604,'แผน Makro 100%'!C:C,'แผน Makro 100%'!L:L,0)</f>
        <v>0</v>
      </c>
      <c r="J603" s="39">
        <f t="shared" si="12"/>
        <v>0</v>
      </c>
    </row>
    <row r="604" spans="5:10" x14ac:dyDescent="0.35">
      <c r="E604">
        <v>0</v>
      </c>
      <c r="F604" s="11">
        <v>0</v>
      </c>
      <c r="I604" s="39">
        <f>_xlfn.XLOOKUP(E605,'แผน Makro 100%'!C:C,'แผน Makro 100%'!L:L,0)</f>
        <v>0</v>
      </c>
      <c r="J604" s="39">
        <f t="shared" si="12"/>
        <v>0</v>
      </c>
    </row>
    <row r="605" spans="5:10" x14ac:dyDescent="0.35">
      <c r="E605">
        <v>0</v>
      </c>
      <c r="F605" s="11">
        <v>0</v>
      </c>
      <c r="I605" s="39">
        <f>_xlfn.XLOOKUP(E606,'แผน Makro 100%'!C:C,'แผน Makro 100%'!L:L,0)</f>
        <v>0</v>
      </c>
      <c r="J605" s="39">
        <f t="shared" si="12"/>
        <v>0</v>
      </c>
    </row>
    <row r="606" spans="5:10" x14ac:dyDescent="0.35">
      <c r="E606">
        <v>0</v>
      </c>
      <c r="F606" s="11">
        <v>0</v>
      </c>
      <c r="I606" s="39">
        <f>_xlfn.XLOOKUP(E607,'แผน Makro 100%'!C:C,'แผน Makro 100%'!L:L,0)</f>
        <v>0</v>
      </c>
      <c r="J606" s="39">
        <f t="shared" si="12"/>
        <v>0</v>
      </c>
    </row>
    <row r="607" spans="5:10" x14ac:dyDescent="0.35">
      <c r="E607">
        <v>0</v>
      </c>
      <c r="F607" s="11">
        <v>0</v>
      </c>
      <c r="I607" s="39">
        <f>_xlfn.XLOOKUP(E608,'แผน Makro 100%'!C:C,'แผน Makro 100%'!L:L,0)</f>
        <v>0</v>
      </c>
      <c r="J607" s="39">
        <f t="shared" si="12"/>
        <v>0</v>
      </c>
    </row>
    <row r="608" spans="5:10" x14ac:dyDescent="0.35">
      <c r="E608">
        <v>0</v>
      </c>
      <c r="F608" s="11">
        <v>0</v>
      </c>
      <c r="I608" s="39">
        <f>_xlfn.XLOOKUP(E609,'แผน Makro 100%'!C:C,'แผน Makro 100%'!L:L,0)</f>
        <v>0</v>
      </c>
      <c r="J608" s="39">
        <f t="shared" si="12"/>
        <v>0</v>
      </c>
    </row>
    <row r="609" spans="5:10" x14ac:dyDescent="0.35">
      <c r="E609">
        <v>0</v>
      </c>
      <c r="F609" s="11">
        <v>0</v>
      </c>
      <c r="I609" s="39">
        <f>_xlfn.XLOOKUP(E610,'แผน Makro 100%'!C:C,'แผน Makro 100%'!L:L,0)</f>
        <v>0</v>
      </c>
      <c r="J609" s="39">
        <f t="shared" si="12"/>
        <v>0</v>
      </c>
    </row>
    <row r="610" spans="5:10" x14ac:dyDescent="0.35">
      <c r="E610">
        <v>0</v>
      </c>
      <c r="F610" s="11">
        <v>0</v>
      </c>
      <c r="I610" s="39">
        <f>_xlfn.XLOOKUP(E611,'แผน Makro 100%'!C:C,'แผน Makro 100%'!L:L,0)</f>
        <v>0</v>
      </c>
      <c r="J610" s="39">
        <f t="shared" si="12"/>
        <v>0</v>
      </c>
    </row>
    <row r="611" spans="5:10" x14ac:dyDescent="0.35">
      <c r="E611">
        <v>0</v>
      </c>
      <c r="F611" s="11">
        <v>0</v>
      </c>
      <c r="I611" s="39">
        <f>_xlfn.XLOOKUP(E612,'แผน Makro 100%'!C:C,'แผน Makro 100%'!L:L,0)</f>
        <v>0</v>
      </c>
      <c r="J611" s="39">
        <f t="shared" si="12"/>
        <v>0</v>
      </c>
    </row>
    <row r="612" spans="5:10" x14ac:dyDescent="0.35">
      <c r="E612">
        <v>0</v>
      </c>
      <c r="F612" s="11">
        <v>0</v>
      </c>
      <c r="I612" s="39">
        <f>_xlfn.XLOOKUP(E613,'แผน Makro 100%'!C:C,'แผน Makro 100%'!L:L,0)</f>
        <v>0</v>
      </c>
      <c r="J612" s="39">
        <f t="shared" si="12"/>
        <v>0</v>
      </c>
    </row>
    <row r="613" spans="5:10" x14ac:dyDescent="0.35">
      <c r="E613">
        <v>0</v>
      </c>
      <c r="F613" s="11">
        <v>0</v>
      </c>
      <c r="I613" s="39">
        <f>_xlfn.XLOOKUP(E614,'แผน Makro 100%'!C:C,'แผน Makro 100%'!L:L,0)</f>
        <v>0</v>
      </c>
      <c r="J613" s="39">
        <f t="shared" si="12"/>
        <v>0</v>
      </c>
    </row>
    <row r="614" spans="5:10" x14ac:dyDescent="0.35">
      <c r="E614">
        <v>0</v>
      </c>
      <c r="F614" s="11">
        <v>0</v>
      </c>
      <c r="I614" s="39">
        <f>_xlfn.XLOOKUP(E615,'แผน Makro 100%'!C:C,'แผน Makro 100%'!L:L,0)</f>
        <v>0</v>
      </c>
      <c r="J614" s="39">
        <f t="shared" si="12"/>
        <v>0</v>
      </c>
    </row>
    <row r="615" spans="5:10" x14ac:dyDescent="0.35">
      <c r="E615">
        <v>0</v>
      </c>
      <c r="F615" s="11">
        <v>0</v>
      </c>
      <c r="I615" s="39">
        <f>_xlfn.XLOOKUP(E616,'แผน Makro 100%'!C:C,'แผน Makro 100%'!L:L,0)</f>
        <v>0</v>
      </c>
      <c r="J615" s="39">
        <f t="shared" si="12"/>
        <v>0</v>
      </c>
    </row>
    <row r="616" spans="5:10" x14ac:dyDescent="0.35">
      <c r="E616">
        <v>0</v>
      </c>
      <c r="F616" s="11">
        <v>0</v>
      </c>
      <c r="I616" s="39">
        <f>_xlfn.XLOOKUP(E617,'แผน Makro 100%'!C:C,'แผน Makro 100%'!L:L,0)</f>
        <v>0</v>
      </c>
      <c r="J616" s="39">
        <f t="shared" si="12"/>
        <v>0</v>
      </c>
    </row>
    <row r="617" spans="5:10" x14ac:dyDescent="0.35">
      <c r="E617">
        <v>0</v>
      </c>
      <c r="F617" s="11">
        <v>0</v>
      </c>
      <c r="I617" s="39">
        <f>_xlfn.XLOOKUP(E618,'แผน Makro 100%'!C:C,'แผน Makro 100%'!L:L,0)</f>
        <v>0</v>
      </c>
      <c r="J617" s="39">
        <f t="shared" si="12"/>
        <v>0</v>
      </c>
    </row>
    <row r="618" spans="5:10" x14ac:dyDescent="0.35">
      <c r="E618">
        <v>0</v>
      </c>
      <c r="F618" s="11">
        <v>0</v>
      </c>
      <c r="I618" s="39">
        <f>_xlfn.XLOOKUP(E619,'แผน Makro 100%'!C:C,'แผน Makro 100%'!L:L,0)</f>
        <v>0</v>
      </c>
      <c r="J618" s="39">
        <f t="shared" si="12"/>
        <v>0</v>
      </c>
    </row>
    <row r="619" spans="5:10" x14ac:dyDescent="0.35">
      <c r="E619">
        <v>0</v>
      </c>
      <c r="F619" s="11">
        <v>0</v>
      </c>
      <c r="I619" s="39">
        <f>_xlfn.XLOOKUP(E620,'แผน Makro 100%'!C:C,'แผน Makro 100%'!L:L,0)</f>
        <v>0</v>
      </c>
      <c r="J619" s="39">
        <f t="shared" si="12"/>
        <v>0</v>
      </c>
    </row>
    <row r="620" spans="5:10" x14ac:dyDescent="0.35">
      <c r="E620">
        <v>0</v>
      </c>
      <c r="F620" s="11">
        <v>0</v>
      </c>
      <c r="I620" s="39">
        <f>_xlfn.XLOOKUP(E621,'แผน Makro 100%'!C:C,'แผน Makro 100%'!L:L,0)</f>
        <v>0</v>
      </c>
      <c r="J620" s="39">
        <f t="shared" si="12"/>
        <v>0</v>
      </c>
    </row>
    <row r="621" spans="5:10" x14ac:dyDescent="0.35">
      <c r="E621">
        <v>0</v>
      </c>
      <c r="F621" s="11">
        <v>0</v>
      </c>
      <c r="I621" s="39">
        <f>_xlfn.XLOOKUP(E622,'แผน Makro 100%'!C:C,'แผน Makro 100%'!L:L,0)</f>
        <v>0</v>
      </c>
      <c r="J621" s="39">
        <f t="shared" si="12"/>
        <v>0</v>
      </c>
    </row>
    <row r="622" spans="5:10" x14ac:dyDescent="0.35">
      <c r="E622">
        <v>0</v>
      </c>
      <c r="F622" s="11">
        <v>0</v>
      </c>
      <c r="I622" s="39">
        <f>_xlfn.XLOOKUP(E623,'แผน Makro 100%'!C:C,'แผน Makro 100%'!L:L,0)</f>
        <v>0</v>
      </c>
      <c r="J622" s="39">
        <f t="shared" si="12"/>
        <v>0</v>
      </c>
    </row>
    <row r="623" spans="5:10" x14ac:dyDescent="0.35">
      <c r="E623">
        <v>0</v>
      </c>
      <c r="F623" s="11">
        <v>0</v>
      </c>
      <c r="I623" s="39">
        <f>_xlfn.XLOOKUP(E624,'แผน Makro 100%'!C:C,'แผน Makro 100%'!L:L,0)</f>
        <v>0</v>
      </c>
      <c r="J623" s="39">
        <f t="shared" si="12"/>
        <v>0</v>
      </c>
    </row>
    <row r="624" spans="5:10" x14ac:dyDescent="0.35">
      <c r="E624">
        <v>0</v>
      </c>
      <c r="F624" s="11">
        <v>0</v>
      </c>
      <c r="I624" s="39">
        <f>_xlfn.XLOOKUP(E625,'แผน Makro 100%'!C:C,'แผน Makro 100%'!L:L,0)</f>
        <v>0</v>
      </c>
      <c r="J624" s="39">
        <f t="shared" si="12"/>
        <v>0</v>
      </c>
    </row>
    <row r="625" spans="5:10" x14ac:dyDescent="0.35">
      <c r="E625">
        <v>0</v>
      </c>
      <c r="F625" s="11">
        <v>0</v>
      </c>
      <c r="I625" s="39">
        <f>_xlfn.XLOOKUP(E626,'แผน Makro 100%'!C:C,'แผน Makro 100%'!L:L,0)</f>
        <v>0</v>
      </c>
      <c r="J625" s="39">
        <f t="shared" si="12"/>
        <v>0</v>
      </c>
    </row>
    <row r="626" spans="5:10" x14ac:dyDescent="0.35">
      <c r="E626">
        <v>0</v>
      </c>
      <c r="F626" s="11">
        <v>0</v>
      </c>
      <c r="I626" s="39">
        <f>_xlfn.XLOOKUP(E627,'แผน Makro 100%'!C:C,'แผน Makro 100%'!L:L,0)</f>
        <v>0</v>
      </c>
      <c r="J626" s="39">
        <f t="shared" si="12"/>
        <v>0</v>
      </c>
    </row>
    <row r="627" spans="5:10" x14ac:dyDescent="0.35">
      <c r="E627">
        <v>0</v>
      </c>
      <c r="F627" s="11">
        <v>0</v>
      </c>
      <c r="I627" s="39">
        <f>_xlfn.XLOOKUP(E628,'แผน Makro 100%'!C:C,'แผน Makro 100%'!L:L,0)</f>
        <v>0</v>
      </c>
      <c r="J627" s="39">
        <f t="shared" si="12"/>
        <v>0</v>
      </c>
    </row>
    <row r="628" spans="5:10" x14ac:dyDescent="0.35">
      <c r="E628">
        <v>0</v>
      </c>
      <c r="F628" s="11">
        <v>0</v>
      </c>
      <c r="I628" s="39">
        <f>_xlfn.XLOOKUP(E629,'แผน Makro 100%'!C:C,'แผน Makro 100%'!L:L,0)</f>
        <v>0</v>
      </c>
      <c r="J628" s="39">
        <f t="shared" si="12"/>
        <v>0</v>
      </c>
    </row>
    <row r="629" spans="5:10" x14ac:dyDescent="0.35">
      <c r="E629">
        <v>0</v>
      </c>
      <c r="F629" s="11">
        <v>0</v>
      </c>
      <c r="I629" s="39">
        <f>_xlfn.XLOOKUP(E630,'แผน Makro 100%'!C:C,'แผน Makro 100%'!L:L,0)</f>
        <v>0</v>
      </c>
      <c r="J629" s="39">
        <f t="shared" si="12"/>
        <v>0</v>
      </c>
    </row>
    <row r="630" spans="5:10" x14ac:dyDescent="0.35">
      <c r="E630">
        <v>0</v>
      </c>
      <c r="F630" s="11">
        <v>0</v>
      </c>
      <c r="I630" s="39">
        <f>_xlfn.XLOOKUP(E631,'แผน Makro 100%'!C:C,'แผน Makro 100%'!L:L,0)</f>
        <v>0</v>
      </c>
      <c r="J630" s="39">
        <f t="shared" si="12"/>
        <v>0</v>
      </c>
    </row>
    <row r="631" spans="5:10" x14ac:dyDescent="0.35">
      <c r="E631">
        <v>0</v>
      </c>
      <c r="F631" s="11">
        <v>0</v>
      </c>
      <c r="I631" s="39">
        <f>_xlfn.XLOOKUP(E632,'แผน Makro 100%'!C:C,'แผน Makro 100%'!L:L,0)</f>
        <v>0</v>
      </c>
      <c r="J631" s="39">
        <f t="shared" si="12"/>
        <v>0</v>
      </c>
    </row>
    <row r="632" spans="5:10" x14ac:dyDescent="0.35">
      <c r="E632">
        <v>0</v>
      </c>
      <c r="F632" s="11">
        <v>0</v>
      </c>
      <c r="I632" s="39">
        <f>_xlfn.XLOOKUP(E633,'แผน Makro 100%'!C:C,'แผน Makro 100%'!L:L,0)</f>
        <v>0</v>
      </c>
      <c r="J632" s="39">
        <f t="shared" si="12"/>
        <v>0</v>
      </c>
    </row>
    <row r="633" spans="5:10" x14ac:dyDescent="0.35">
      <c r="E633">
        <v>0</v>
      </c>
      <c r="F633" s="11">
        <v>0</v>
      </c>
      <c r="I633" s="39">
        <f>_xlfn.XLOOKUP(E634,'แผน Makro 100%'!C:C,'แผน Makro 100%'!L:L,0)</f>
        <v>0</v>
      </c>
      <c r="J633" s="39">
        <f t="shared" si="12"/>
        <v>0</v>
      </c>
    </row>
    <row r="634" spans="5:10" x14ac:dyDescent="0.35">
      <c r="E634">
        <v>0</v>
      </c>
      <c r="F634" s="11">
        <v>0</v>
      </c>
      <c r="I634" s="39">
        <f>_xlfn.XLOOKUP(E635,'แผน Makro 100%'!C:C,'แผน Makro 100%'!L:L,0)</f>
        <v>0</v>
      </c>
      <c r="J634" s="39">
        <f t="shared" si="12"/>
        <v>0</v>
      </c>
    </row>
    <row r="635" spans="5:10" x14ac:dyDescent="0.35">
      <c r="E635">
        <v>0</v>
      </c>
      <c r="F635" s="11">
        <v>0</v>
      </c>
      <c r="I635" s="39">
        <f>_xlfn.XLOOKUP(E636,'แผน Makro 100%'!C:C,'แผน Makro 100%'!L:L,0)</f>
        <v>0</v>
      </c>
      <c r="J635" s="39">
        <f t="shared" si="12"/>
        <v>0</v>
      </c>
    </row>
    <row r="636" spans="5:10" x14ac:dyDescent="0.35">
      <c r="E636">
        <v>0</v>
      </c>
      <c r="F636" s="11">
        <v>0</v>
      </c>
      <c r="I636" s="39">
        <f>_xlfn.XLOOKUP(E637,'แผน Makro 100%'!C:C,'แผน Makro 100%'!L:L,0)</f>
        <v>0</v>
      </c>
      <c r="J636" s="39">
        <f t="shared" si="12"/>
        <v>0</v>
      </c>
    </row>
    <row r="637" spans="5:10" x14ac:dyDescent="0.35">
      <c r="E637">
        <v>0</v>
      </c>
      <c r="F637" s="11">
        <v>0</v>
      </c>
      <c r="I637" s="39">
        <f>_xlfn.XLOOKUP(E638,'แผน Makro 100%'!C:C,'แผน Makro 100%'!L:L,0)</f>
        <v>0</v>
      </c>
      <c r="J637" s="39">
        <f t="shared" si="12"/>
        <v>0</v>
      </c>
    </row>
    <row r="638" spans="5:10" x14ac:dyDescent="0.35">
      <c r="E638">
        <v>0</v>
      </c>
      <c r="F638" s="11">
        <v>0</v>
      </c>
      <c r="I638" s="39">
        <f>_xlfn.XLOOKUP(E639,'แผน Makro 100%'!C:C,'แผน Makro 100%'!L:L,0)</f>
        <v>0</v>
      </c>
      <c r="J638" s="39">
        <f t="shared" si="12"/>
        <v>0</v>
      </c>
    </row>
    <row r="639" spans="5:10" x14ac:dyDescent="0.35">
      <c r="E639">
        <v>0</v>
      </c>
      <c r="F639" s="11">
        <v>0</v>
      </c>
      <c r="I639" s="39">
        <f>_xlfn.XLOOKUP(E640,'แผน Makro 100%'!C:C,'แผน Makro 100%'!L:L,0)</f>
        <v>0</v>
      </c>
      <c r="J639" s="39">
        <f t="shared" si="12"/>
        <v>0</v>
      </c>
    </row>
    <row r="640" spans="5:10" x14ac:dyDescent="0.35">
      <c r="E640">
        <v>0</v>
      </c>
      <c r="F640" s="11">
        <v>0</v>
      </c>
      <c r="I640" s="39">
        <f>_xlfn.XLOOKUP(E641,'แผน Makro 100%'!C:C,'แผน Makro 100%'!L:L,0)</f>
        <v>0</v>
      </c>
      <c r="J640" s="39">
        <f t="shared" si="12"/>
        <v>0</v>
      </c>
    </row>
    <row r="641" spans="5:10" x14ac:dyDescent="0.35">
      <c r="E641">
        <v>0</v>
      </c>
      <c r="F641" s="11">
        <v>0</v>
      </c>
      <c r="I641" s="39">
        <f>_xlfn.XLOOKUP(E642,'แผน Makro 100%'!C:C,'แผน Makro 100%'!L:L,0)</f>
        <v>0</v>
      </c>
      <c r="J641" s="39">
        <f t="shared" si="12"/>
        <v>0</v>
      </c>
    </row>
    <row r="642" spans="5:10" x14ac:dyDescent="0.35">
      <c r="E642">
        <v>0</v>
      </c>
      <c r="F642" s="11">
        <v>0</v>
      </c>
      <c r="I642" s="39">
        <f>_xlfn.XLOOKUP(E643,'แผน Makro 100%'!C:C,'แผน Makro 100%'!L:L,0)</f>
        <v>0</v>
      </c>
      <c r="J642" s="39">
        <f t="shared" si="12"/>
        <v>0</v>
      </c>
    </row>
    <row r="643" spans="5:10" x14ac:dyDescent="0.35">
      <c r="E643">
        <v>0</v>
      </c>
      <c r="F643" s="11">
        <v>0</v>
      </c>
      <c r="I643" s="39">
        <f>_xlfn.XLOOKUP(E644,'แผน Makro 100%'!C:C,'แผน Makro 100%'!L:L,0)</f>
        <v>0</v>
      </c>
      <c r="J643" s="39">
        <f t="shared" si="12"/>
        <v>0</v>
      </c>
    </row>
    <row r="644" spans="5:10" x14ac:dyDescent="0.35">
      <c r="E644">
        <v>0</v>
      </c>
      <c r="F644" s="11">
        <v>0</v>
      </c>
      <c r="I644" s="39">
        <f>_xlfn.XLOOKUP(E645,'แผน Makro 100%'!C:C,'แผน Makro 100%'!L:L,0)</f>
        <v>0</v>
      </c>
      <c r="J644" s="39">
        <f t="shared" si="12"/>
        <v>0</v>
      </c>
    </row>
    <row r="645" spans="5:10" x14ac:dyDescent="0.35">
      <c r="E645">
        <v>0</v>
      </c>
      <c r="F645" s="11">
        <v>0</v>
      </c>
      <c r="I645" s="39">
        <f>_xlfn.XLOOKUP(E646,'แผน Makro 100%'!C:C,'แผน Makro 100%'!L:L,0)</f>
        <v>0</v>
      </c>
      <c r="J645" s="39">
        <f t="shared" si="12"/>
        <v>0</v>
      </c>
    </row>
    <row r="646" spans="5:10" x14ac:dyDescent="0.35">
      <c r="E646">
        <v>0</v>
      </c>
      <c r="F646" s="11">
        <v>0</v>
      </c>
      <c r="I646" s="39">
        <f>_xlfn.XLOOKUP(E647,'แผน Makro 100%'!C:C,'แผน Makro 100%'!L:L,0)</f>
        <v>0</v>
      </c>
      <c r="J646" s="39">
        <f t="shared" si="12"/>
        <v>0</v>
      </c>
    </row>
    <row r="647" spans="5:10" x14ac:dyDescent="0.35">
      <c r="E647">
        <v>0</v>
      </c>
      <c r="F647" s="11">
        <v>0</v>
      </c>
      <c r="I647" s="39">
        <f>_xlfn.XLOOKUP(E648,'แผน Makro 100%'!C:C,'แผน Makro 100%'!L:L,0)</f>
        <v>0</v>
      </c>
      <c r="J647" s="39">
        <f t="shared" ref="J647:J699" si="13">_xlfn.XLOOKUP(H647,E:E,F:F,"ไม่พบ")</f>
        <v>0</v>
      </c>
    </row>
    <row r="648" spans="5:10" x14ac:dyDescent="0.35">
      <c r="E648">
        <v>0</v>
      </c>
      <c r="F648" s="11">
        <v>0</v>
      </c>
      <c r="I648" s="39">
        <f>_xlfn.XLOOKUP(E649,'แผน Makro 100%'!C:C,'แผน Makro 100%'!L:L,0)</f>
        <v>0</v>
      </c>
      <c r="J648" s="39">
        <f t="shared" si="13"/>
        <v>0</v>
      </c>
    </row>
    <row r="649" spans="5:10" x14ac:dyDescent="0.35">
      <c r="E649">
        <v>0</v>
      </c>
      <c r="F649" s="11">
        <v>0</v>
      </c>
      <c r="I649" s="39">
        <f>_xlfn.XLOOKUP(E650,'แผน Makro 100%'!C:C,'แผน Makro 100%'!L:L,0)</f>
        <v>0</v>
      </c>
      <c r="J649" s="39">
        <f t="shared" si="13"/>
        <v>0</v>
      </c>
    </row>
    <row r="650" spans="5:10" x14ac:dyDescent="0.35">
      <c r="E650">
        <v>0</v>
      </c>
      <c r="F650" s="11">
        <v>0</v>
      </c>
      <c r="I650" s="39">
        <f>_xlfn.XLOOKUP(E651,'แผน Makro 100%'!C:C,'แผน Makro 100%'!L:L,0)</f>
        <v>0</v>
      </c>
      <c r="J650" s="39">
        <f t="shared" si="13"/>
        <v>0</v>
      </c>
    </row>
    <row r="651" spans="5:10" x14ac:dyDescent="0.35">
      <c r="E651">
        <v>0</v>
      </c>
      <c r="F651" s="11">
        <v>0</v>
      </c>
      <c r="I651" s="39">
        <f>_xlfn.XLOOKUP(E652,'แผน Makro 100%'!C:C,'แผน Makro 100%'!L:L,0)</f>
        <v>0</v>
      </c>
      <c r="J651" s="39">
        <f t="shared" si="13"/>
        <v>0</v>
      </c>
    </row>
    <row r="652" spans="5:10" x14ac:dyDescent="0.35">
      <c r="E652">
        <v>0</v>
      </c>
      <c r="F652" s="11">
        <v>0</v>
      </c>
      <c r="I652" s="39">
        <f>_xlfn.XLOOKUP(E653,'แผน Makro 100%'!C:C,'แผน Makro 100%'!L:L,0)</f>
        <v>0</v>
      </c>
      <c r="J652" s="39">
        <f t="shared" si="13"/>
        <v>0</v>
      </c>
    </row>
    <row r="653" spans="5:10" x14ac:dyDescent="0.35">
      <c r="E653">
        <v>0</v>
      </c>
      <c r="F653" s="11">
        <v>0</v>
      </c>
      <c r="I653" s="39">
        <f>_xlfn.XLOOKUP(E654,'แผน Makro 100%'!C:C,'แผน Makro 100%'!L:L,0)</f>
        <v>0</v>
      </c>
      <c r="J653" s="39">
        <f t="shared" si="13"/>
        <v>0</v>
      </c>
    </row>
    <row r="654" spans="5:10" x14ac:dyDescent="0.35">
      <c r="E654">
        <v>0</v>
      </c>
      <c r="F654" s="11">
        <v>0</v>
      </c>
      <c r="I654" s="39">
        <f>_xlfn.XLOOKUP(E655,'แผน Makro 100%'!C:C,'แผน Makro 100%'!L:L,0)</f>
        <v>0</v>
      </c>
      <c r="J654" s="39">
        <f t="shared" si="13"/>
        <v>0</v>
      </c>
    </row>
    <row r="655" spans="5:10" x14ac:dyDescent="0.35">
      <c r="E655">
        <v>0</v>
      </c>
      <c r="F655" s="11">
        <v>0</v>
      </c>
      <c r="I655" s="39">
        <f>_xlfn.XLOOKUP(E656,'แผน Makro 100%'!C:C,'แผน Makro 100%'!L:L,0)</f>
        <v>0</v>
      </c>
      <c r="J655" s="39">
        <f t="shared" si="13"/>
        <v>0</v>
      </c>
    </row>
    <row r="656" spans="5:10" x14ac:dyDescent="0.35">
      <c r="E656">
        <v>0</v>
      </c>
      <c r="F656" s="11">
        <v>0</v>
      </c>
      <c r="I656" s="39">
        <f>_xlfn.XLOOKUP(E657,'แผน Makro 100%'!C:C,'แผน Makro 100%'!L:L,0)</f>
        <v>0</v>
      </c>
      <c r="J656" s="39">
        <f t="shared" si="13"/>
        <v>0</v>
      </c>
    </row>
    <row r="657" spans="5:10" x14ac:dyDescent="0.35">
      <c r="E657">
        <v>0</v>
      </c>
      <c r="F657" s="11">
        <v>0</v>
      </c>
      <c r="I657" s="39">
        <f>_xlfn.XLOOKUP(E658,'แผน Makro 100%'!C:C,'แผน Makro 100%'!L:L,0)</f>
        <v>0</v>
      </c>
      <c r="J657" s="39">
        <f t="shared" si="13"/>
        <v>0</v>
      </c>
    </row>
    <row r="658" spans="5:10" x14ac:dyDescent="0.35">
      <c r="E658">
        <v>0</v>
      </c>
      <c r="F658" s="11">
        <v>0</v>
      </c>
      <c r="I658" s="39">
        <f>_xlfn.XLOOKUP(E659,'แผน Makro 100%'!C:C,'แผน Makro 100%'!L:L,0)</f>
        <v>0</v>
      </c>
      <c r="J658" s="39">
        <f t="shared" si="13"/>
        <v>0</v>
      </c>
    </row>
    <row r="659" spans="5:10" x14ac:dyDescent="0.35">
      <c r="E659">
        <v>0</v>
      </c>
      <c r="F659" s="11">
        <v>0</v>
      </c>
      <c r="I659" s="39">
        <f>_xlfn.XLOOKUP(E660,'แผน Makro 100%'!C:C,'แผน Makro 100%'!L:L,0)</f>
        <v>0</v>
      </c>
      <c r="J659" s="39">
        <f t="shared" si="13"/>
        <v>0</v>
      </c>
    </row>
    <row r="660" spans="5:10" x14ac:dyDescent="0.35">
      <c r="E660">
        <v>0</v>
      </c>
      <c r="F660" s="11">
        <v>0</v>
      </c>
      <c r="I660" s="39">
        <f>_xlfn.XLOOKUP(E661,'แผน Makro 100%'!C:C,'แผน Makro 100%'!L:L,0)</f>
        <v>0</v>
      </c>
      <c r="J660" s="39">
        <f t="shared" si="13"/>
        <v>0</v>
      </c>
    </row>
    <row r="661" spans="5:10" x14ac:dyDescent="0.35">
      <c r="E661">
        <v>0</v>
      </c>
      <c r="F661" s="11">
        <v>0</v>
      </c>
      <c r="I661" s="39">
        <f>_xlfn.XLOOKUP(E662,'แผน Makro 100%'!C:C,'แผน Makro 100%'!L:L,0)</f>
        <v>0</v>
      </c>
      <c r="J661" s="39">
        <f t="shared" si="13"/>
        <v>0</v>
      </c>
    </row>
    <row r="662" spans="5:10" x14ac:dyDescent="0.35">
      <c r="E662">
        <v>0</v>
      </c>
      <c r="F662" s="11">
        <v>0</v>
      </c>
      <c r="I662" s="39">
        <f>_xlfn.XLOOKUP(E663,'แผน Makro 100%'!C:C,'แผน Makro 100%'!L:L,0)</f>
        <v>0</v>
      </c>
      <c r="J662" s="39">
        <f t="shared" si="13"/>
        <v>0</v>
      </c>
    </row>
    <row r="663" spans="5:10" x14ac:dyDescent="0.35">
      <c r="E663">
        <v>0</v>
      </c>
      <c r="F663" s="11">
        <v>0</v>
      </c>
      <c r="I663" s="39">
        <f>_xlfn.XLOOKUP(E664,'แผน Makro 100%'!C:C,'แผน Makro 100%'!L:L,0)</f>
        <v>0</v>
      </c>
      <c r="J663" s="39">
        <f t="shared" si="13"/>
        <v>0</v>
      </c>
    </row>
    <row r="664" spans="5:10" x14ac:dyDescent="0.35">
      <c r="E664">
        <v>0</v>
      </c>
      <c r="F664" s="11">
        <v>0</v>
      </c>
      <c r="I664" s="39">
        <f>_xlfn.XLOOKUP(E665,'แผน Makro 100%'!C:C,'แผน Makro 100%'!L:L,0)</f>
        <v>0</v>
      </c>
      <c r="J664" s="39">
        <f t="shared" si="13"/>
        <v>0</v>
      </c>
    </row>
    <row r="665" spans="5:10" x14ac:dyDescent="0.35">
      <c r="E665">
        <v>0</v>
      </c>
      <c r="F665" s="11">
        <v>0</v>
      </c>
      <c r="I665" s="39">
        <f>_xlfn.XLOOKUP(E666,'แผน Makro 100%'!C:C,'แผน Makro 100%'!L:L,0)</f>
        <v>0</v>
      </c>
      <c r="J665" s="39">
        <f t="shared" si="13"/>
        <v>0</v>
      </c>
    </row>
    <row r="666" spans="5:10" x14ac:dyDescent="0.35">
      <c r="E666">
        <v>0</v>
      </c>
      <c r="F666" s="11">
        <v>0</v>
      </c>
      <c r="I666" s="39">
        <f>_xlfn.XLOOKUP(E667,'แผน Makro 100%'!C:C,'แผน Makro 100%'!L:L,0)</f>
        <v>0</v>
      </c>
      <c r="J666" s="39">
        <f t="shared" si="13"/>
        <v>0</v>
      </c>
    </row>
    <row r="667" spans="5:10" x14ac:dyDescent="0.35">
      <c r="E667">
        <v>0</v>
      </c>
      <c r="F667" s="11">
        <v>0</v>
      </c>
      <c r="I667" s="39">
        <f>_xlfn.XLOOKUP(E668,'แผน Makro 100%'!C:C,'แผน Makro 100%'!L:L,0)</f>
        <v>0</v>
      </c>
      <c r="J667" s="39">
        <f t="shared" si="13"/>
        <v>0</v>
      </c>
    </row>
    <row r="668" spans="5:10" x14ac:dyDescent="0.35">
      <c r="E668">
        <v>0</v>
      </c>
      <c r="F668" s="11">
        <v>0</v>
      </c>
      <c r="I668" s="39">
        <f>_xlfn.XLOOKUP(E669,'แผน Makro 100%'!C:C,'แผน Makro 100%'!L:L,0)</f>
        <v>0</v>
      </c>
      <c r="J668" s="39">
        <f t="shared" si="13"/>
        <v>0</v>
      </c>
    </row>
    <row r="669" spans="5:10" x14ac:dyDescent="0.35">
      <c r="E669">
        <v>0</v>
      </c>
      <c r="F669" s="11">
        <v>0</v>
      </c>
      <c r="I669" s="39">
        <f>_xlfn.XLOOKUP(E670,'แผน Makro 100%'!C:C,'แผน Makro 100%'!L:L,0)</f>
        <v>0</v>
      </c>
      <c r="J669" s="39">
        <f t="shared" si="13"/>
        <v>0</v>
      </c>
    </row>
    <row r="670" spans="5:10" x14ac:dyDescent="0.35">
      <c r="E670">
        <v>0</v>
      </c>
      <c r="F670" s="11">
        <v>0</v>
      </c>
      <c r="I670" s="39">
        <f>_xlfn.XLOOKUP(E671,'แผน Makro 100%'!C:C,'แผน Makro 100%'!L:L,0)</f>
        <v>0</v>
      </c>
      <c r="J670" s="39">
        <f t="shared" si="13"/>
        <v>0</v>
      </c>
    </row>
    <row r="671" spans="5:10" x14ac:dyDescent="0.35">
      <c r="E671">
        <v>0</v>
      </c>
      <c r="F671" s="11">
        <v>0</v>
      </c>
      <c r="I671" s="39">
        <f>_xlfn.XLOOKUP(E672,'แผน Makro 100%'!C:C,'แผน Makro 100%'!L:L,0)</f>
        <v>0</v>
      </c>
      <c r="J671" s="39">
        <f t="shared" si="13"/>
        <v>0</v>
      </c>
    </row>
    <row r="672" spans="5:10" x14ac:dyDescent="0.35">
      <c r="E672">
        <v>0</v>
      </c>
      <c r="F672" s="11">
        <v>0</v>
      </c>
      <c r="I672" s="39">
        <f>_xlfn.XLOOKUP(E673,'แผน Makro 100%'!C:C,'แผน Makro 100%'!L:L,0)</f>
        <v>0</v>
      </c>
      <c r="J672" s="39">
        <f t="shared" si="13"/>
        <v>0</v>
      </c>
    </row>
    <row r="673" spans="5:10" x14ac:dyDescent="0.35">
      <c r="E673">
        <v>0</v>
      </c>
      <c r="F673" s="11">
        <v>0</v>
      </c>
      <c r="I673" s="39">
        <f>_xlfn.XLOOKUP(E674,'แผน Makro 100%'!C:C,'แผน Makro 100%'!L:L,0)</f>
        <v>0</v>
      </c>
      <c r="J673" s="39">
        <f t="shared" si="13"/>
        <v>0</v>
      </c>
    </row>
    <row r="674" spans="5:10" x14ac:dyDescent="0.35">
      <c r="E674">
        <v>0</v>
      </c>
      <c r="F674" s="11">
        <v>0</v>
      </c>
      <c r="I674" s="39">
        <f>_xlfn.XLOOKUP(E675,'แผน Makro 100%'!C:C,'แผน Makro 100%'!L:L,0)</f>
        <v>0</v>
      </c>
      <c r="J674" s="39">
        <f t="shared" si="13"/>
        <v>0</v>
      </c>
    </row>
    <row r="675" spans="5:10" x14ac:dyDescent="0.35">
      <c r="E675">
        <v>0</v>
      </c>
      <c r="F675" s="11">
        <v>0</v>
      </c>
      <c r="I675" s="39">
        <f>_xlfn.XLOOKUP(E676,'แผน Makro 100%'!C:C,'แผน Makro 100%'!L:L,0)</f>
        <v>0</v>
      </c>
      <c r="J675" s="39">
        <f t="shared" si="13"/>
        <v>0</v>
      </c>
    </row>
    <row r="676" spans="5:10" x14ac:dyDescent="0.35">
      <c r="E676">
        <v>0</v>
      </c>
      <c r="F676" s="11">
        <v>0</v>
      </c>
      <c r="I676" s="39">
        <f>_xlfn.XLOOKUP(E677,'แผน Makro 100%'!C:C,'แผน Makro 100%'!L:L,0)</f>
        <v>0</v>
      </c>
      <c r="J676" s="39">
        <f t="shared" si="13"/>
        <v>0</v>
      </c>
    </row>
    <row r="677" spans="5:10" x14ac:dyDescent="0.35">
      <c r="E677">
        <v>0</v>
      </c>
      <c r="F677" s="11">
        <v>0</v>
      </c>
      <c r="I677" s="39">
        <f>_xlfn.XLOOKUP(E678,'แผน Makro 100%'!C:C,'แผน Makro 100%'!L:L,0)</f>
        <v>0</v>
      </c>
      <c r="J677" s="39">
        <f t="shared" si="13"/>
        <v>0</v>
      </c>
    </row>
    <row r="678" spans="5:10" x14ac:dyDescent="0.35">
      <c r="E678">
        <v>0</v>
      </c>
      <c r="F678" s="11">
        <v>0</v>
      </c>
      <c r="I678" s="39">
        <f>_xlfn.XLOOKUP(E679,'แผน Makro 100%'!C:C,'แผน Makro 100%'!L:L,0)</f>
        <v>0</v>
      </c>
      <c r="J678" s="39">
        <f t="shared" si="13"/>
        <v>0</v>
      </c>
    </row>
    <row r="679" spans="5:10" x14ac:dyDescent="0.35">
      <c r="E679">
        <v>0</v>
      </c>
      <c r="F679" s="11">
        <v>0</v>
      </c>
      <c r="I679" s="39">
        <f>_xlfn.XLOOKUP(E680,'แผน Makro 100%'!C:C,'แผน Makro 100%'!L:L,0)</f>
        <v>0</v>
      </c>
      <c r="J679" s="39">
        <f t="shared" si="13"/>
        <v>0</v>
      </c>
    </row>
    <row r="680" spans="5:10" x14ac:dyDescent="0.35">
      <c r="E680">
        <v>0</v>
      </c>
      <c r="F680" s="11">
        <v>0</v>
      </c>
      <c r="I680" s="39">
        <f>_xlfn.XLOOKUP(E681,'แผน Makro 100%'!C:C,'แผน Makro 100%'!L:L,0)</f>
        <v>0</v>
      </c>
      <c r="J680" s="39">
        <f t="shared" si="13"/>
        <v>0</v>
      </c>
    </row>
    <row r="681" spans="5:10" x14ac:dyDescent="0.35">
      <c r="E681">
        <v>0</v>
      </c>
      <c r="F681" s="11">
        <v>0</v>
      </c>
      <c r="I681" s="39">
        <f>_xlfn.XLOOKUP(E682,'แผน Makro 100%'!C:C,'แผน Makro 100%'!L:L,0)</f>
        <v>0</v>
      </c>
      <c r="J681" s="39">
        <f t="shared" si="13"/>
        <v>0</v>
      </c>
    </row>
    <row r="682" spans="5:10" x14ac:dyDescent="0.35">
      <c r="E682">
        <v>0</v>
      </c>
      <c r="F682" s="11">
        <v>0</v>
      </c>
      <c r="I682" s="39">
        <f>_xlfn.XLOOKUP(E683,'แผน Makro 100%'!C:C,'แผน Makro 100%'!L:L,0)</f>
        <v>0</v>
      </c>
      <c r="J682" s="39">
        <f t="shared" si="13"/>
        <v>0</v>
      </c>
    </row>
    <row r="683" spans="5:10" x14ac:dyDescent="0.35">
      <c r="E683">
        <v>0</v>
      </c>
      <c r="F683" s="11">
        <v>0</v>
      </c>
      <c r="I683" s="39">
        <f>_xlfn.XLOOKUP(E684,'แผน Makro 100%'!C:C,'แผน Makro 100%'!L:L,0)</f>
        <v>0</v>
      </c>
      <c r="J683" s="39">
        <f t="shared" si="13"/>
        <v>0</v>
      </c>
    </row>
    <row r="684" spans="5:10" x14ac:dyDescent="0.35">
      <c r="E684">
        <v>0</v>
      </c>
      <c r="F684" s="11">
        <v>0</v>
      </c>
      <c r="I684" s="39">
        <f>_xlfn.XLOOKUP(E685,'แผน Makro 100%'!C:C,'แผน Makro 100%'!L:L,0)</f>
        <v>0</v>
      </c>
      <c r="J684" s="39">
        <f t="shared" si="13"/>
        <v>0</v>
      </c>
    </row>
    <row r="685" spans="5:10" x14ac:dyDescent="0.35">
      <c r="E685">
        <v>0</v>
      </c>
      <c r="F685" s="11">
        <v>0</v>
      </c>
      <c r="I685" s="39">
        <f>_xlfn.XLOOKUP(E686,'แผน Makro 100%'!C:C,'แผน Makro 100%'!L:L,0)</f>
        <v>0</v>
      </c>
      <c r="J685" s="39">
        <f t="shared" si="13"/>
        <v>0</v>
      </c>
    </row>
    <row r="686" spans="5:10" x14ac:dyDescent="0.35">
      <c r="E686">
        <v>0</v>
      </c>
      <c r="F686" s="11">
        <v>0</v>
      </c>
      <c r="I686" s="39">
        <f>_xlfn.XLOOKUP(E687,'แผน Makro 100%'!C:C,'แผน Makro 100%'!L:L,0)</f>
        <v>0</v>
      </c>
      <c r="J686" s="39">
        <f t="shared" si="13"/>
        <v>0</v>
      </c>
    </row>
    <row r="687" spans="5:10" x14ac:dyDescent="0.35">
      <c r="E687">
        <v>0</v>
      </c>
      <c r="F687" s="11">
        <v>0</v>
      </c>
      <c r="I687" s="39">
        <f>_xlfn.XLOOKUP(E688,'แผน Makro 100%'!C:C,'แผน Makro 100%'!L:L,0)</f>
        <v>0</v>
      </c>
      <c r="J687" s="39">
        <f t="shared" si="13"/>
        <v>0</v>
      </c>
    </row>
    <row r="688" spans="5:10" x14ac:dyDescent="0.35">
      <c r="E688">
        <v>0</v>
      </c>
      <c r="F688" s="11">
        <v>0</v>
      </c>
      <c r="I688" s="39">
        <f>_xlfn.XLOOKUP(E689,'แผน Makro 100%'!C:C,'แผน Makro 100%'!L:L,0)</f>
        <v>0</v>
      </c>
      <c r="J688" s="39">
        <f t="shared" si="13"/>
        <v>0</v>
      </c>
    </row>
    <row r="689" spans="5:10" x14ac:dyDescent="0.35">
      <c r="E689">
        <v>0</v>
      </c>
      <c r="F689" s="11">
        <v>0</v>
      </c>
      <c r="I689" s="39">
        <f>_xlfn.XLOOKUP(E690,'แผน Makro 100%'!C:C,'แผน Makro 100%'!L:L,0)</f>
        <v>0</v>
      </c>
      <c r="J689" s="39">
        <f t="shared" si="13"/>
        <v>0</v>
      </c>
    </row>
    <row r="690" spans="5:10" x14ac:dyDescent="0.35">
      <c r="E690">
        <v>0</v>
      </c>
      <c r="F690" s="11">
        <v>0</v>
      </c>
      <c r="I690" s="39">
        <f>_xlfn.XLOOKUP(E691,'แผน Makro 100%'!C:C,'แผน Makro 100%'!L:L,0)</f>
        <v>0</v>
      </c>
      <c r="J690" s="39">
        <f t="shared" si="13"/>
        <v>0</v>
      </c>
    </row>
    <row r="691" spans="5:10" x14ac:dyDescent="0.35">
      <c r="E691">
        <v>0</v>
      </c>
      <c r="F691" s="11">
        <v>0</v>
      </c>
      <c r="I691" s="39">
        <f>_xlfn.XLOOKUP(E692,'แผน Makro 100%'!C:C,'แผน Makro 100%'!L:L,0)</f>
        <v>0</v>
      </c>
      <c r="J691" s="39">
        <f t="shared" si="13"/>
        <v>0</v>
      </c>
    </row>
    <row r="692" spans="5:10" x14ac:dyDescent="0.35">
      <c r="E692">
        <v>0</v>
      </c>
      <c r="F692" s="11">
        <v>0</v>
      </c>
      <c r="I692" s="39">
        <f>_xlfn.XLOOKUP(E693,'แผน Makro 100%'!C:C,'แผน Makro 100%'!L:L,0)</f>
        <v>0</v>
      </c>
      <c r="J692" s="39">
        <f t="shared" si="13"/>
        <v>0</v>
      </c>
    </row>
    <row r="693" spans="5:10" x14ac:dyDescent="0.35">
      <c r="E693">
        <v>0</v>
      </c>
      <c r="F693" s="11">
        <v>0</v>
      </c>
      <c r="I693" s="39">
        <f>_xlfn.XLOOKUP(E694,'แผน Makro 100%'!C:C,'แผน Makro 100%'!L:L,0)</f>
        <v>0</v>
      </c>
      <c r="J693" s="39">
        <f t="shared" si="13"/>
        <v>0</v>
      </c>
    </row>
    <row r="694" spans="5:10" x14ac:dyDescent="0.35">
      <c r="E694">
        <v>0</v>
      </c>
      <c r="F694" s="11">
        <v>0</v>
      </c>
      <c r="I694" s="39">
        <f>_xlfn.XLOOKUP(E695,'แผน Makro 100%'!C:C,'แผน Makro 100%'!L:L,0)</f>
        <v>0</v>
      </c>
      <c r="J694" s="39">
        <f t="shared" si="13"/>
        <v>0</v>
      </c>
    </row>
    <row r="695" spans="5:10" x14ac:dyDescent="0.35">
      <c r="E695">
        <v>0</v>
      </c>
      <c r="F695" s="11">
        <v>0</v>
      </c>
      <c r="I695" s="39">
        <f>_xlfn.XLOOKUP(E696,'แผน Makro 100%'!C:C,'แผน Makro 100%'!L:L,0)</f>
        <v>0</v>
      </c>
      <c r="J695" s="39">
        <f t="shared" si="13"/>
        <v>0</v>
      </c>
    </row>
    <row r="696" spans="5:10" x14ac:dyDescent="0.35">
      <c r="E696">
        <v>0</v>
      </c>
      <c r="F696" s="11">
        <v>0</v>
      </c>
      <c r="I696" s="39">
        <f>_xlfn.XLOOKUP(E697,'แผน Makro 100%'!C:C,'แผน Makro 100%'!L:L,0)</f>
        <v>0</v>
      </c>
      <c r="J696" s="39">
        <f t="shared" si="13"/>
        <v>0</v>
      </c>
    </row>
    <row r="697" spans="5:10" x14ac:dyDescent="0.35">
      <c r="E697">
        <v>0</v>
      </c>
      <c r="F697" s="11">
        <v>0</v>
      </c>
      <c r="I697" s="39">
        <f>_xlfn.XLOOKUP(E698,'แผน Makro 100%'!C:C,'แผน Makro 100%'!L:L,0)</f>
        <v>0</v>
      </c>
      <c r="J697" s="39">
        <f t="shared" si="13"/>
        <v>0</v>
      </c>
    </row>
    <row r="698" spans="5:10" x14ac:dyDescent="0.35">
      <c r="E698">
        <v>0</v>
      </c>
      <c r="F698" s="11">
        <v>0</v>
      </c>
      <c r="I698" s="39">
        <f>_xlfn.XLOOKUP(E699,'แผน Makro 100%'!C:C,'แผน Makro 100%'!L:L,0)</f>
        <v>0</v>
      </c>
      <c r="J698" s="39">
        <f t="shared" si="13"/>
        <v>0</v>
      </c>
    </row>
    <row r="699" spans="5:10" x14ac:dyDescent="0.35">
      <c r="E699">
        <v>0</v>
      </c>
      <c r="F699" s="11">
        <v>0</v>
      </c>
      <c r="I699" s="39">
        <f>_xlfn.XLOOKUP(E700,'แผน Makro 100%'!C:C,'แผน Makro 100%'!L:L,0)</f>
        <v>0</v>
      </c>
      <c r="J699" s="39">
        <f t="shared" si="13"/>
        <v>0</v>
      </c>
    </row>
    <row r="700" spans="5:10" x14ac:dyDescent="0.35">
      <c r="E700">
        <v>0</v>
      </c>
      <c r="F700" s="11">
        <v>0</v>
      </c>
    </row>
  </sheetData>
  <conditionalFormatting sqref="J7:J1000">
    <cfRule type="cellIs" dxfId="13" priority="1" operator="notEqual">
      <formula>I7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3D2B-B154-4C87-9C57-21A21BA38A59}">
  <sheetPr>
    <tabColor rgb="FFFFC000"/>
    <pageSetUpPr fitToPage="1"/>
  </sheetPr>
  <dimension ref="A1:M146"/>
  <sheetViews>
    <sheetView zoomScale="40" zoomScaleNormal="40" workbookViewId="0"/>
  </sheetViews>
  <sheetFormatPr defaultColWidth="9.1796875" defaultRowHeight="21" x14ac:dyDescent="0.5"/>
  <cols>
    <col min="1" max="1" width="21.26953125" style="29" bestFit="1" customWidth="1"/>
    <col min="2" max="2" width="31.453125" style="29" bestFit="1" customWidth="1"/>
    <col min="3" max="3" width="66.26953125" style="27" bestFit="1" customWidth="1"/>
    <col min="4" max="4" width="38.26953125" style="27" bestFit="1" customWidth="1"/>
    <col min="5" max="5" width="37.54296875" style="27" bestFit="1" customWidth="1"/>
    <col min="6" max="6" width="43.453125" style="27" bestFit="1" customWidth="1"/>
    <col min="7" max="7" width="52.1796875" style="27" bestFit="1" customWidth="1"/>
    <col min="8" max="8" width="48.7265625" style="27" bestFit="1" customWidth="1"/>
    <col min="9" max="9" width="43.7265625" style="27" bestFit="1" customWidth="1"/>
    <col min="10" max="10" width="25.453125" style="27" bestFit="1" customWidth="1"/>
    <col min="11" max="13" width="22.453125" style="27" customWidth="1"/>
    <col min="14" max="16384" width="9.1796875" style="27"/>
  </cols>
  <sheetData>
    <row r="1" spans="1:13" x14ac:dyDescent="0.5">
      <c r="A1" s="29" t="s">
        <v>644</v>
      </c>
      <c r="B1" s="29" t="s">
        <v>0</v>
      </c>
      <c r="C1" s="27" t="s">
        <v>4</v>
      </c>
    </row>
    <row r="2" spans="1:13" x14ac:dyDescent="0.5">
      <c r="B2" s="29" t="s">
        <v>2</v>
      </c>
      <c r="C2" s="29">
        <v>923</v>
      </c>
    </row>
    <row r="3" spans="1:13" x14ac:dyDescent="0.5">
      <c r="B3" s="29" t="s">
        <v>3</v>
      </c>
      <c r="C3" s="27" t="s">
        <v>4</v>
      </c>
    </row>
    <row r="4" spans="1:13" x14ac:dyDescent="0.5">
      <c r="B4" s="29" t="s">
        <v>6</v>
      </c>
      <c r="C4" s="27" t="s">
        <v>4</v>
      </c>
    </row>
    <row r="5" spans="1:13" x14ac:dyDescent="0.5">
      <c r="B5" s="29" t="s">
        <v>7</v>
      </c>
      <c r="C5" s="27" t="s">
        <v>8</v>
      </c>
    </row>
    <row r="6" spans="1:13" x14ac:dyDescent="0.5">
      <c r="B6" s="29" t="s">
        <v>9</v>
      </c>
      <c r="C6" s="27" t="s">
        <v>4</v>
      </c>
    </row>
    <row r="7" spans="1:13" x14ac:dyDescent="0.5">
      <c r="C7" s="30" t="s">
        <v>10</v>
      </c>
    </row>
    <row r="8" spans="1:13" x14ac:dyDescent="0.5">
      <c r="B8" s="29" t="s">
        <v>11</v>
      </c>
      <c r="D8" s="27" t="s">
        <v>5</v>
      </c>
    </row>
    <row r="9" spans="1:13" s="31" customFormat="1" ht="23.5" x14ac:dyDescent="0.55000000000000004">
      <c r="A9" s="51" t="s">
        <v>265</v>
      </c>
      <c r="B9" s="49" t="s">
        <v>12</v>
      </c>
      <c r="C9" s="49" t="s">
        <v>13</v>
      </c>
      <c r="D9" s="49" t="s">
        <v>232</v>
      </c>
      <c r="E9" s="49" t="s">
        <v>237</v>
      </c>
      <c r="F9" s="49" t="s">
        <v>220</v>
      </c>
      <c r="G9" s="49" t="s">
        <v>258</v>
      </c>
      <c r="H9" s="49" t="s">
        <v>198</v>
      </c>
      <c r="I9" s="49" t="s">
        <v>228</v>
      </c>
      <c r="J9" s="49" t="s">
        <v>241</v>
      </c>
      <c r="K9" s="49" t="s">
        <v>133</v>
      </c>
      <c r="L9" s="49"/>
      <c r="M9" s="52"/>
    </row>
    <row r="10" spans="1:13" s="28" customFormat="1" ht="23.5" x14ac:dyDescent="0.55000000000000004">
      <c r="A10" s="53" t="str">
        <f>IF(B10="Grand Total","Grand Total",IFERROR(VLOOKUP(B10,Master!$D$1:$G$1720,4,FALSE),""))</f>
        <v>ไหล่</v>
      </c>
      <c r="B10" s="54">
        <v>23000206</v>
      </c>
      <c r="C10" s="50" t="s">
        <v>15</v>
      </c>
      <c r="D10" s="50"/>
      <c r="E10" s="50">
        <v>5</v>
      </c>
      <c r="F10" s="50"/>
      <c r="G10" s="50"/>
      <c r="H10" s="50">
        <v>5</v>
      </c>
      <c r="I10" s="50"/>
      <c r="J10" s="50">
        <v>10</v>
      </c>
      <c r="K10" s="50">
        <f>+SUM(D10:J10)</f>
        <v>20</v>
      </c>
      <c r="L10" s="50"/>
      <c r="M10" s="55"/>
    </row>
    <row r="11" spans="1:13" s="28" customFormat="1" ht="23.5" x14ac:dyDescent="0.55000000000000004">
      <c r="A11" s="53" t="str">
        <f>IF(B11="Grand Total","Grand Total",IFERROR(VLOOKUP(B11,Master!$D$1:$G$1720,4,FALSE),""))</f>
        <v>สามชั้นพิเศษ</v>
      </c>
      <c r="B11" s="54">
        <v>23015198</v>
      </c>
      <c r="C11" s="50" t="s">
        <v>119</v>
      </c>
      <c r="D11" s="50"/>
      <c r="E11" s="50"/>
      <c r="F11" s="50"/>
      <c r="G11" s="50"/>
      <c r="H11" s="50"/>
      <c r="I11" s="50">
        <v>0</v>
      </c>
      <c r="J11" s="50"/>
      <c r="K11" s="50">
        <f t="shared" ref="K11:K74" si="0">+SUM(D11:J11)</f>
        <v>0</v>
      </c>
      <c r="L11" s="50"/>
      <c r="M11" s="55"/>
    </row>
    <row r="12" spans="1:13" s="28" customFormat="1" ht="23.5" x14ac:dyDescent="0.55000000000000004">
      <c r="A12" s="53" t="str">
        <f>IF(B12="Grand Total","Grand Total",IFERROR(VLOOKUP(B12,Master!$D$1:$G$1720,4,FALSE),""))</f>
        <v>สามชั้นพิเศษ</v>
      </c>
      <c r="B12" s="54">
        <v>23015265</v>
      </c>
      <c r="C12" s="50" t="s">
        <v>16</v>
      </c>
      <c r="D12" s="50">
        <v>30</v>
      </c>
      <c r="E12" s="50">
        <v>50</v>
      </c>
      <c r="F12" s="50"/>
      <c r="G12" s="50"/>
      <c r="H12" s="50"/>
      <c r="I12" s="50">
        <v>20</v>
      </c>
      <c r="J12" s="50"/>
      <c r="K12" s="50">
        <f t="shared" si="0"/>
        <v>100</v>
      </c>
      <c r="L12" s="50"/>
      <c r="M12" s="55"/>
    </row>
    <row r="13" spans="1:13" s="28" customFormat="1" ht="23.5" x14ac:dyDescent="0.55000000000000004">
      <c r="A13" s="53" t="str">
        <f>IF(B13="Grand Total","Grand Total",IFERROR(VLOOKUP(B13,Master!$D$1:$G$1720,4,FALSE),""))</f>
        <v>บด</v>
      </c>
      <c r="B13" s="54">
        <v>23047038</v>
      </c>
      <c r="C13" s="50" t="s">
        <v>17</v>
      </c>
      <c r="D13" s="50"/>
      <c r="E13" s="50">
        <v>200</v>
      </c>
      <c r="F13" s="50"/>
      <c r="G13" s="50"/>
      <c r="H13" s="50"/>
      <c r="I13" s="50"/>
      <c r="J13" s="50"/>
      <c r="K13" s="50">
        <f t="shared" si="0"/>
        <v>200</v>
      </c>
      <c r="L13" s="50"/>
      <c r="M13" s="55"/>
    </row>
    <row r="14" spans="1:13" s="28" customFormat="1" ht="23.5" x14ac:dyDescent="0.55000000000000004">
      <c r="A14" s="53" t="str">
        <f>IF(B14="Grand Total","Grand Total",IFERROR(VLOOKUP(B14,Master!$D$1:$G$1720,4,FALSE),""))</f>
        <v>ไหล่</v>
      </c>
      <c r="B14" s="54">
        <v>23057809</v>
      </c>
      <c r="C14" s="50" t="s">
        <v>18</v>
      </c>
      <c r="D14" s="50"/>
      <c r="E14" s="50">
        <v>90</v>
      </c>
      <c r="F14" s="50"/>
      <c r="G14" s="50">
        <v>70</v>
      </c>
      <c r="H14" s="50">
        <v>30</v>
      </c>
      <c r="I14" s="50">
        <v>100</v>
      </c>
      <c r="J14" s="50"/>
      <c r="K14" s="50">
        <f t="shared" si="0"/>
        <v>290</v>
      </c>
      <c r="L14" s="50"/>
      <c r="M14" s="55"/>
    </row>
    <row r="15" spans="1:13" s="28" customFormat="1" ht="23.5" x14ac:dyDescent="0.55000000000000004">
      <c r="A15" s="53" t="str">
        <f>IF(B15="Grand Total","Grand Total",IFERROR(VLOOKUP(B15,Master!$D$1:$G$1720,4,FALSE),""))</f>
        <v>สะโพก</v>
      </c>
      <c r="B15" s="54">
        <v>23057812</v>
      </c>
      <c r="C15" s="50" t="s">
        <v>19</v>
      </c>
      <c r="D15" s="50">
        <v>0</v>
      </c>
      <c r="E15" s="50">
        <v>200</v>
      </c>
      <c r="F15" s="50"/>
      <c r="G15" s="50">
        <v>100</v>
      </c>
      <c r="H15" s="50">
        <v>130</v>
      </c>
      <c r="I15" s="50">
        <v>300</v>
      </c>
      <c r="J15" s="50">
        <v>400</v>
      </c>
      <c r="K15" s="50">
        <f t="shared" si="0"/>
        <v>1130</v>
      </c>
      <c r="L15" s="50"/>
      <c r="M15" s="55"/>
    </row>
    <row r="16" spans="1:13" s="28" customFormat="1" ht="23.5" x14ac:dyDescent="0.55000000000000004">
      <c r="A16" s="53" t="str">
        <f>IF(B16="Grand Total","Grand Total",IFERROR(VLOOKUP(B16,Master!$D$1:$G$1720,4,FALSE),""))</f>
        <v>สามชั้น</v>
      </c>
      <c r="B16" s="54">
        <v>23057815</v>
      </c>
      <c r="C16" s="50" t="s">
        <v>20</v>
      </c>
      <c r="D16" s="50"/>
      <c r="E16" s="50">
        <v>100</v>
      </c>
      <c r="F16" s="50"/>
      <c r="G16" s="50">
        <v>40</v>
      </c>
      <c r="H16" s="50">
        <v>100</v>
      </c>
      <c r="I16" s="50">
        <v>200</v>
      </c>
      <c r="J16" s="50">
        <v>100</v>
      </c>
      <c r="K16" s="50">
        <f t="shared" si="0"/>
        <v>540</v>
      </c>
      <c r="L16" s="50"/>
      <c r="M16" s="55"/>
    </row>
    <row r="17" spans="1:13" s="28" customFormat="1" ht="23.5" x14ac:dyDescent="0.55000000000000004">
      <c r="A17" s="53" t="str">
        <f>IF(B17="Grand Total","Grand Total",IFERROR(VLOOKUP(B17,Master!$D$1:$G$1720,4,FALSE),""))</f>
        <v>สามชั้น</v>
      </c>
      <c r="B17" s="54">
        <v>23057818</v>
      </c>
      <c r="C17" s="50" t="s">
        <v>21</v>
      </c>
      <c r="D17" s="50"/>
      <c r="E17" s="50"/>
      <c r="F17" s="50"/>
      <c r="G17" s="50">
        <v>5</v>
      </c>
      <c r="H17" s="50">
        <v>0</v>
      </c>
      <c r="I17" s="50">
        <v>10</v>
      </c>
      <c r="J17" s="50">
        <v>60</v>
      </c>
      <c r="K17" s="50">
        <f t="shared" si="0"/>
        <v>75</v>
      </c>
      <c r="L17" s="50"/>
      <c r="M17" s="55"/>
    </row>
    <row r="18" spans="1:13" s="28" customFormat="1" ht="21" customHeight="1" x14ac:dyDescent="0.55000000000000004">
      <c r="A18" s="53" t="str">
        <f>IF(B18="Grand Total","Grand Total",IFERROR(VLOOKUP(B18,Master!$D$1:$G$1720,4,FALSE),""))</f>
        <v>ไหล่</v>
      </c>
      <c r="B18" s="54">
        <v>23057821</v>
      </c>
      <c r="C18" s="50" t="s">
        <v>22</v>
      </c>
      <c r="D18" s="50">
        <v>0</v>
      </c>
      <c r="E18" s="50">
        <v>40</v>
      </c>
      <c r="F18" s="50"/>
      <c r="G18" s="50">
        <v>5</v>
      </c>
      <c r="H18" s="50">
        <v>20</v>
      </c>
      <c r="I18" s="50">
        <v>0</v>
      </c>
      <c r="J18" s="50">
        <v>100</v>
      </c>
      <c r="K18" s="50">
        <f t="shared" si="0"/>
        <v>165</v>
      </c>
      <c r="L18" s="50"/>
      <c r="M18" s="55"/>
    </row>
    <row r="19" spans="1:13" s="28" customFormat="1" ht="23.5" x14ac:dyDescent="0.55000000000000004">
      <c r="A19" s="53" t="str">
        <f>IF(B19="Grand Total","Grand Total",IFERROR(VLOOKUP(B19,Master!$D$1:$G$1720,4,FALSE),""))</f>
        <v>สามชั้น</v>
      </c>
      <c r="B19" s="54">
        <v>23057824</v>
      </c>
      <c r="C19" s="50" t="s">
        <v>23</v>
      </c>
      <c r="D19" s="50"/>
      <c r="E19" s="50">
        <v>50</v>
      </c>
      <c r="F19" s="50"/>
      <c r="G19" s="50"/>
      <c r="H19" s="50">
        <v>80</v>
      </c>
      <c r="I19" s="50"/>
      <c r="J19" s="50">
        <v>100</v>
      </c>
      <c r="K19" s="50">
        <f t="shared" si="0"/>
        <v>230</v>
      </c>
      <c r="L19" s="50"/>
      <c r="M19" s="55"/>
    </row>
    <row r="20" spans="1:13" s="28" customFormat="1" ht="23.5" x14ac:dyDescent="0.55000000000000004">
      <c r="A20" s="53" t="str">
        <f>IF(B20="Grand Total","Grand Total",IFERROR(VLOOKUP(B20,Master!$D$1:$G$1720,4,FALSE),""))</f>
        <v>สามชั้น</v>
      </c>
      <c r="B20" s="54">
        <v>23057827</v>
      </c>
      <c r="C20" s="50" t="s">
        <v>24</v>
      </c>
      <c r="D20" s="50"/>
      <c r="E20" s="50">
        <v>0</v>
      </c>
      <c r="F20" s="50">
        <v>5</v>
      </c>
      <c r="G20" s="50"/>
      <c r="H20" s="50"/>
      <c r="I20" s="50"/>
      <c r="J20" s="50"/>
      <c r="K20" s="50">
        <f t="shared" si="0"/>
        <v>5</v>
      </c>
      <c r="L20" s="50"/>
      <c r="M20" s="55"/>
    </row>
    <row r="21" spans="1:13" s="28" customFormat="1" ht="23.5" x14ac:dyDescent="0.55000000000000004">
      <c r="A21" s="53" t="str">
        <f>IF(B21="Grand Total","Grand Total",IFERROR(VLOOKUP(B21,Master!$D$1:$G$1720,4,FALSE),""))</f>
        <v>ไหล่</v>
      </c>
      <c r="B21" s="54">
        <v>23058551</v>
      </c>
      <c r="C21" s="50" t="s">
        <v>25</v>
      </c>
      <c r="D21" s="50"/>
      <c r="E21" s="50">
        <v>20</v>
      </c>
      <c r="F21" s="50"/>
      <c r="G21" s="50">
        <v>5</v>
      </c>
      <c r="H21" s="50">
        <v>5</v>
      </c>
      <c r="I21" s="50">
        <v>20</v>
      </c>
      <c r="J21" s="50">
        <v>100</v>
      </c>
      <c r="K21" s="50">
        <f t="shared" si="0"/>
        <v>150</v>
      </c>
      <c r="L21" s="50"/>
      <c r="M21" s="55"/>
    </row>
    <row r="22" spans="1:13" s="28" customFormat="1" ht="23.5" x14ac:dyDescent="0.55000000000000004">
      <c r="A22" s="53" t="str">
        <f>IF(B22="Grand Total","Grand Total",IFERROR(VLOOKUP(B22,Master!$D$1:$G$1720,4,FALSE),""))</f>
        <v>สามชั้น</v>
      </c>
      <c r="B22" s="54">
        <v>23058552</v>
      </c>
      <c r="C22" s="50" t="s">
        <v>26</v>
      </c>
      <c r="D22" s="50"/>
      <c r="E22" s="50">
        <v>20</v>
      </c>
      <c r="F22" s="50"/>
      <c r="G22" s="50">
        <v>10</v>
      </c>
      <c r="H22" s="50">
        <v>0</v>
      </c>
      <c r="I22" s="50">
        <v>20</v>
      </c>
      <c r="J22" s="50">
        <v>40</v>
      </c>
      <c r="K22" s="50">
        <f t="shared" si="0"/>
        <v>90</v>
      </c>
      <c r="L22" s="50"/>
      <c r="M22" s="55"/>
    </row>
    <row r="23" spans="1:13" s="28" customFormat="1" ht="23.5" x14ac:dyDescent="0.55000000000000004">
      <c r="A23" s="53" t="str">
        <f>IF(B23="Grand Total","Grand Total",IFERROR(VLOOKUP(B23,Master!$D$1:$G$1720,4,FALSE),""))</f>
        <v>สามชั้นพิเศษ</v>
      </c>
      <c r="B23" s="54">
        <v>23058553</v>
      </c>
      <c r="C23" s="50" t="s">
        <v>27</v>
      </c>
      <c r="D23" s="50"/>
      <c r="E23" s="50"/>
      <c r="F23" s="50"/>
      <c r="G23" s="50"/>
      <c r="H23" s="50">
        <v>110</v>
      </c>
      <c r="I23" s="50">
        <v>300</v>
      </c>
      <c r="J23" s="50">
        <v>10</v>
      </c>
      <c r="K23" s="50">
        <f t="shared" si="0"/>
        <v>420</v>
      </c>
      <c r="L23" s="50"/>
      <c r="M23" s="55"/>
    </row>
    <row r="24" spans="1:13" s="28" customFormat="1" ht="23.5" x14ac:dyDescent="0.55000000000000004">
      <c r="A24" s="53" t="str">
        <f>IF(B24="Grand Total","Grand Total",IFERROR(VLOOKUP(B24,Master!$D$1:$G$1720,4,FALSE),""))</f>
        <v>สามชั้น</v>
      </c>
      <c r="B24" s="54">
        <v>23058555</v>
      </c>
      <c r="C24" s="50" t="s">
        <v>28</v>
      </c>
      <c r="D24" s="50">
        <v>40</v>
      </c>
      <c r="E24" s="50">
        <v>140</v>
      </c>
      <c r="F24" s="50"/>
      <c r="G24" s="50">
        <v>50</v>
      </c>
      <c r="H24" s="50">
        <v>70</v>
      </c>
      <c r="I24" s="50">
        <v>0</v>
      </c>
      <c r="J24" s="50">
        <v>250</v>
      </c>
      <c r="K24" s="50">
        <f t="shared" si="0"/>
        <v>550</v>
      </c>
      <c r="L24" s="50"/>
      <c r="M24" s="55"/>
    </row>
    <row r="25" spans="1:13" s="28" customFormat="1" ht="23.5" x14ac:dyDescent="0.55000000000000004">
      <c r="A25" s="53" t="str">
        <f>IF(B25="Grand Total","Grand Total",IFERROR(VLOOKUP(B25,Master!$D$1:$G$1720,4,FALSE),""))</f>
        <v>ลวก</v>
      </c>
      <c r="B25" s="54">
        <v>23058556</v>
      </c>
      <c r="C25" s="50" t="s">
        <v>112</v>
      </c>
      <c r="D25" s="50"/>
      <c r="E25" s="50"/>
      <c r="F25" s="50"/>
      <c r="G25" s="50"/>
      <c r="H25" s="50">
        <v>0</v>
      </c>
      <c r="I25" s="50"/>
      <c r="J25" s="50"/>
      <c r="K25" s="50">
        <f t="shared" si="0"/>
        <v>0</v>
      </c>
      <c r="L25" s="50"/>
      <c r="M25" s="55"/>
    </row>
    <row r="26" spans="1:13" s="28" customFormat="1" ht="23.5" x14ac:dyDescent="0.55000000000000004">
      <c r="A26" s="53" t="str">
        <f>IF(B26="Grand Total","Grand Total",IFERROR(VLOOKUP(B26,Master!$D$1:$G$1720,4,FALSE),""))</f>
        <v>เครื่องใน</v>
      </c>
      <c r="B26" s="54">
        <v>23058584</v>
      </c>
      <c r="C26" s="50" t="s">
        <v>29</v>
      </c>
      <c r="D26" s="50"/>
      <c r="E26" s="50">
        <v>30</v>
      </c>
      <c r="F26" s="50"/>
      <c r="G26" s="50">
        <v>10</v>
      </c>
      <c r="H26" s="50">
        <v>20</v>
      </c>
      <c r="I26" s="50">
        <v>20</v>
      </c>
      <c r="J26" s="50">
        <v>100</v>
      </c>
      <c r="K26" s="50">
        <f t="shared" si="0"/>
        <v>180</v>
      </c>
      <c r="L26" s="50"/>
      <c r="M26" s="55"/>
    </row>
    <row r="27" spans="1:13" s="28" customFormat="1" ht="23.5" x14ac:dyDescent="0.55000000000000004">
      <c r="A27" s="53" t="str">
        <f>IF(B27="Grand Total","Grand Total",IFERROR(VLOOKUP(B27,Master!$D$1:$G$1720,4,FALSE),""))</f>
        <v>เครื่องใน</v>
      </c>
      <c r="B27" s="54">
        <v>23058585</v>
      </c>
      <c r="C27" s="50" t="s">
        <v>30</v>
      </c>
      <c r="D27" s="50"/>
      <c r="E27" s="50"/>
      <c r="F27" s="50"/>
      <c r="G27" s="50"/>
      <c r="H27" s="50">
        <v>10</v>
      </c>
      <c r="I27" s="50">
        <v>5</v>
      </c>
      <c r="J27" s="50"/>
      <c r="K27" s="50">
        <f t="shared" si="0"/>
        <v>15</v>
      </c>
      <c r="L27" s="50"/>
      <c r="M27" s="55"/>
    </row>
    <row r="28" spans="1:13" s="28" customFormat="1" ht="23.5" x14ac:dyDescent="0.55000000000000004">
      <c r="A28" s="53" t="str">
        <f>IF(B28="Grand Total","Grand Total",IFERROR(VLOOKUP(B28,Master!$D$1:$G$1720,4,FALSE),""))</f>
        <v>เครื่องใน</v>
      </c>
      <c r="B28" s="54">
        <v>23058586</v>
      </c>
      <c r="C28" s="50" t="s">
        <v>31</v>
      </c>
      <c r="D28" s="50"/>
      <c r="E28" s="50"/>
      <c r="F28" s="50"/>
      <c r="G28" s="50"/>
      <c r="H28" s="50">
        <v>5</v>
      </c>
      <c r="I28" s="50"/>
      <c r="J28" s="50">
        <v>5</v>
      </c>
      <c r="K28" s="50">
        <f t="shared" si="0"/>
        <v>10</v>
      </c>
      <c r="L28" s="50"/>
      <c r="M28" s="55"/>
    </row>
    <row r="29" spans="1:13" s="28" customFormat="1" ht="23.5" x14ac:dyDescent="0.55000000000000004">
      <c r="A29" s="53" t="str">
        <f>IF(B29="Grand Total","Grand Total",IFERROR(VLOOKUP(B29,Master!$D$1:$G$1720,4,FALSE),""))</f>
        <v>เครื่องใน</v>
      </c>
      <c r="B29" s="54">
        <v>23058587</v>
      </c>
      <c r="C29" s="50" t="s">
        <v>32</v>
      </c>
      <c r="D29" s="50"/>
      <c r="E29" s="50"/>
      <c r="F29" s="50"/>
      <c r="G29" s="50"/>
      <c r="H29" s="50">
        <v>0</v>
      </c>
      <c r="I29" s="50">
        <v>5</v>
      </c>
      <c r="J29" s="50"/>
      <c r="K29" s="50">
        <f t="shared" si="0"/>
        <v>5</v>
      </c>
      <c r="L29" s="50"/>
      <c r="M29" s="55"/>
    </row>
    <row r="30" spans="1:13" s="28" customFormat="1" ht="23.5" x14ac:dyDescent="0.55000000000000004">
      <c r="A30" s="53" t="str">
        <f>IF(B30="Grand Total","Grand Total",IFERROR(VLOOKUP(B30,Master!$D$1:$G$1720,4,FALSE),""))</f>
        <v>เครื่องใน</v>
      </c>
      <c r="B30" s="54">
        <v>23058588</v>
      </c>
      <c r="C30" s="50" t="s">
        <v>114</v>
      </c>
      <c r="D30" s="50"/>
      <c r="E30" s="50"/>
      <c r="F30" s="50"/>
      <c r="G30" s="50"/>
      <c r="H30" s="50">
        <v>5</v>
      </c>
      <c r="I30" s="50">
        <v>5</v>
      </c>
      <c r="J30" s="50">
        <v>5</v>
      </c>
      <c r="K30" s="50">
        <f t="shared" si="0"/>
        <v>15</v>
      </c>
      <c r="L30" s="50"/>
      <c r="M30" s="55"/>
    </row>
    <row r="31" spans="1:13" s="28" customFormat="1" ht="23.5" x14ac:dyDescent="0.55000000000000004">
      <c r="A31" s="53" t="str">
        <f>IF(B31="Grand Total","Grand Total",IFERROR(VLOOKUP(B31,Master!$D$1:$G$1720,4,FALSE),""))</f>
        <v>เครื่องใน</v>
      </c>
      <c r="B31" s="54">
        <v>23058589</v>
      </c>
      <c r="C31" s="50" t="s">
        <v>33</v>
      </c>
      <c r="D31" s="50"/>
      <c r="E31" s="50">
        <v>20</v>
      </c>
      <c r="F31" s="50"/>
      <c r="G31" s="50">
        <v>5</v>
      </c>
      <c r="H31" s="50">
        <v>5</v>
      </c>
      <c r="I31" s="50">
        <v>10</v>
      </c>
      <c r="J31" s="50">
        <v>40</v>
      </c>
      <c r="K31" s="50">
        <f t="shared" si="0"/>
        <v>80</v>
      </c>
      <c r="L31" s="50"/>
      <c r="M31" s="55"/>
    </row>
    <row r="32" spans="1:13" s="28" customFormat="1" ht="23.5" x14ac:dyDescent="0.55000000000000004">
      <c r="A32" s="53" t="str">
        <f>IF(B32="Grand Total","Grand Total",IFERROR(VLOOKUP(B32,Master!$D$1:$G$1720,4,FALSE),""))</f>
        <v>ลวก</v>
      </c>
      <c r="B32" s="54">
        <v>23058590</v>
      </c>
      <c r="C32" s="50" t="s">
        <v>34</v>
      </c>
      <c r="D32" s="50"/>
      <c r="E32" s="50"/>
      <c r="F32" s="50"/>
      <c r="G32" s="50"/>
      <c r="H32" s="50">
        <v>5</v>
      </c>
      <c r="I32" s="50">
        <v>120</v>
      </c>
      <c r="J32" s="50">
        <v>10</v>
      </c>
      <c r="K32" s="50">
        <f t="shared" si="0"/>
        <v>135</v>
      </c>
      <c r="L32" s="50"/>
      <c r="M32" s="55"/>
    </row>
    <row r="33" spans="1:13" s="28" customFormat="1" ht="23.5" x14ac:dyDescent="0.55000000000000004">
      <c r="A33" s="53" t="str">
        <f>IF(B33="Grand Total","Grand Total",IFERROR(VLOOKUP(B33,Master!$D$1:$G$1720,4,FALSE),""))</f>
        <v>ไหล่</v>
      </c>
      <c r="B33" s="54">
        <v>23058591</v>
      </c>
      <c r="C33" s="50" t="s">
        <v>35</v>
      </c>
      <c r="D33" s="50"/>
      <c r="E33" s="50">
        <v>20</v>
      </c>
      <c r="F33" s="50">
        <v>20</v>
      </c>
      <c r="G33" s="50"/>
      <c r="H33" s="50">
        <v>20</v>
      </c>
      <c r="I33" s="50">
        <v>20</v>
      </c>
      <c r="J33" s="50">
        <v>20</v>
      </c>
      <c r="K33" s="50">
        <f t="shared" si="0"/>
        <v>100</v>
      </c>
      <c r="L33" s="50"/>
      <c r="M33" s="55"/>
    </row>
    <row r="34" spans="1:13" s="28" customFormat="1" ht="23.5" x14ac:dyDescent="0.55000000000000004">
      <c r="A34" s="53" t="str">
        <f>IF(B34="Grand Total","Grand Total",IFERROR(VLOOKUP(B34,Master!$D$1:$G$1720,4,FALSE),""))</f>
        <v>เผาขา</v>
      </c>
      <c r="B34" s="54">
        <v>23062095</v>
      </c>
      <c r="C34" s="50" t="s">
        <v>36</v>
      </c>
      <c r="D34" s="50">
        <v>20</v>
      </c>
      <c r="E34" s="50">
        <v>5</v>
      </c>
      <c r="F34" s="50"/>
      <c r="G34" s="50"/>
      <c r="H34" s="50">
        <v>5</v>
      </c>
      <c r="I34" s="50"/>
      <c r="J34" s="50"/>
      <c r="K34" s="50">
        <f t="shared" si="0"/>
        <v>30</v>
      </c>
      <c r="L34" s="50"/>
      <c r="M34" s="55"/>
    </row>
    <row r="35" spans="1:13" s="28" customFormat="1" ht="23.5" x14ac:dyDescent="0.55000000000000004">
      <c r="A35" s="53" t="str">
        <f>IF(B35="Grand Total","Grand Total",IFERROR(VLOOKUP(B35,Master!$D$1:$G$1720,4,FALSE),""))</f>
        <v>เครื่องใน</v>
      </c>
      <c r="B35" s="54">
        <v>23062097</v>
      </c>
      <c r="C35" s="50" t="s">
        <v>115</v>
      </c>
      <c r="D35" s="50"/>
      <c r="E35" s="50"/>
      <c r="F35" s="50"/>
      <c r="G35" s="50"/>
      <c r="H35" s="50">
        <v>5</v>
      </c>
      <c r="I35" s="50"/>
      <c r="J35" s="50">
        <v>10</v>
      </c>
      <c r="K35" s="50">
        <f t="shared" si="0"/>
        <v>15</v>
      </c>
      <c r="L35" s="50"/>
      <c r="M35" s="55"/>
    </row>
    <row r="36" spans="1:13" s="28" customFormat="1" ht="23.5" x14ac:dyDescent="0.55000000000000004">
      <c r="A36" s="53" t="str">
        <f>IF(B36="Grand Total","Grand Total",IFERROR(VLOOKUP(B36,Master!$D$1:$G$1720,4,FALSE),""))</f>
        <v>เผาขา</v>
      </c>
      <c r="B36" s="54">
        <v>23062101</v>
      </c>
      <c r="C36" s="50" t="s">
        <v>109</v>
      </c>
      <c r="D36" s="50"/>
      <c r="E36" s="50"/>
      <c r="F36" s="50"/>
      <c r="G36" s="50"/>
      <c r="H36" s="50">
        <v>0</v>
      </c>
      <c r="I36" s="50"/>
      <c r="J36" s="50"/>
      <c r="K36" s="50">
        <f t="shared" si="0"/>
        <v>0</v>
      </c>
      <c r="L36" s="50"/>
      <c r="M36" s="55"/>
    </row>
    <row r="37" spans="1:13" s="28" customFormat="1" ht="23.5" x14ac:dyDescent="0.55000000000000004">
      <c r="A37" s="53" t="str">
        <f>IF(B37="Grand Total","Grand Total",IFERROR(VLOOKUP(B37,Master!$D$1:$G$1720,4,FALSE),""))</f>
        <v>เครื่องใน</v>
      </c>
      <c r="B37" s="54">
        <v>23062103</v>
      </c>
      <c r="C37" s="50" t="s">
        <v>111</v>
      </c>
      <c r="D37" s="50"/>
      <c r="E37" s="50"/>
      <c r="F37" s="50"/>
      <c r="G37" s="50"/>
      <c r="H37" s="50">
        <v>0</v>
      </c>
      <c r="I37" s="50">
        <v>5</v>
      </c>
      <c r="J37" s="50"/>
      <c r="K37" s="50">
        <f t="shared" si="0"/>
        <v>5</v>
      </c>
      <c r="L37" s="50"/>
      <c r="M37" s="55"/>
    </row>
    <row r="38" spans="1:13" s="28" customFormat="1" ht="23.5" x14ac:dyDescent="0.55000000000000004">
      <c r="A38" s="53" t="str">
        <f>IF(B38="Grand Total","Grand Total",IFERROR(VLOOKUP(B38,Master!$D$1:$G$1720,4,FALSE),""))</f>
        <v>ลวก</v>
      </c>
      <c r="B38" s="54">
        <v>23062105</v>
      </c>
      <c r="C38" s="50" t="s">
        <v>37</v>
      </c>
      <c r="D38" s="50"/>
      <c r="E38" s="50"/>
      <c r="F38" s="50"/>
      <c r="G38" s="50"/>
      <c r="H38" s="50">
        <v>0</v>
      </c>
      <c r="I38" s="50">
        <v>5</v>
      </c>
      <c r="J38" s="50"/>
      <c r="K38" s="50">
        <f t="shared" si="0"/>
        <v>5</v>
      </c>
      <c r="L38" s="50"/>
      <c r="M38" s="55"/>
    </row>
    <row r="39" spans="1:13" s="28" customFormat="1" ht="23.5" x14ac:dyDescent="0.55000000000000004">
      <c r="A39" s="53" t="str">
        <f>IF(B39="Grand Total","Grand Total",IFERROR(VLOOKUP(B39,Master!$D$1:$G$1720,4,FALSE),""))</f>
        <v>ต้มเลือด</v>
      </c>
      <c r="B39" s="54">
        <v>23062107</v>
      </c>
      <c r="C39" s="50" t="s">
        <v>108</v>
      </c>
      <c r="D39" s="50"/>
      <c r="E39" s="50"/>
      <c r="F39" s="50">
        <v>30</v>
      </c>
      <c r="G39" s="50"/>
      <c r="H39" s="50">
        <v>40</v>
      </c>
      <c r="I39" s="50">
        <v>10</v>
      </c>
      <c r="J39" s="50">
        <v>100</v>
      </c>
      <c r="K39" s="50">
        <f t="shared" si="0"/>
        <v>180</v>
      </c>
      <c r="L39" s="50"/>
      <c r="M39" s="55"/>
    </row>
    <row r="40" spans="1:13" s="28" customFormat="1" ht="23.5" x14ac:dyDescent="0.55000000000000004">
      <c r="A40" s="53" t="str">
        <f>IF(B40="Grand Total","Grand Total",IFERROR(VLOOKUP(B40,Master!$D$1:$G$1720,4,FALSE),""))</f>
        <v>เครื่องใน</v>
      </c>
      <c r="B40" s="54">
        <v>23062111</v>
      </c>
      <c r="C40" s="50" t="s">
        <v>110</v>
      </c>
      <c r="D40" s="50"/>
      <c r="E40" s="50"/>
      <c r="F40" s="50"/>
      <c r="G40" s="50"/>
      <c r="H40" s="50">
        <v>0</v>
      </c>
      <c r="I40" s="50">
        <v>5</v>
      </c>
      <c r="J40" s="50"/>
      <c r="K40" s="50">
        <f t="shared" si="0"/>
        <v>5</v>
      </c>
      <c r="L40" s="50"/>
      <c r="M40" s="55"/>
    </row>
    <row r="41" spans="1:13" s="28" customFormat="1" ht="23.5" x14ac:dyDescent="0.55000000000000004">
      <c r="A41" s="53" t="str">
        <f>IF(B41="Grand Total","Grand Total",IFERROR(VLOOKUP(B41,Master!$D$1:$G$1720,4,FALSE),""))</f>
        <v>บด</v>
      </c>
      <c r="B41" s="54">
        <v>23062967</v>
      </c>
      <c r="C41" s="50" t="s">
        <v>38</v>
      </c>
      <c r="D41" s="50"/>
      <c r="E41" s="50"/>
      <c r="F41" s="50"/>
      <c r="G41" s="50"/>
      <c r="H41" s="50">
        <v>30</v>
      </c>
      <c r="I41" s="50"/>
      <c r="J41" s="50"/>
      <c r="K41" s="50">
        <f t="shared" si="0"/>
        <v>30</v>
      </c>
      <c r="L41" s="50"/>
      <c r="M41" s="55"/>
    </row>
    <row r="42" spans="1:13" s="28" customFormat="1" ht="23.5" x14ac:dyDescent="0.55000000000000004">
      <c r="A42" s="53" t="str">
        <f>IF(B42="Grand Total","Grand Total",IFERROR(VLOOKUP(B42,Master!$D$1:$G$1720,4,FALSE),""))</f>
        <v>เผาขา</v>
      </c>
      <c r="B42" s="54">
        <v>23063759</v>
      </c>
      <c r="C42" s="50" t="s">
        <v>39</v>
      </c>
      <c r="D42" s="50"/>
      <c r="E42" s="50"/>
      <c r="F42" s="50"/>
      <c r="G42" s="50">
        <v>160</v>
      </c>
      <c r="H42" s="50">
        <v>0</v>
      </c>
      <c r="I42" s="50"/>
      <c r="J42" s="50"/>
      <c r="K42" s="50">
        <f t="shared" si="0"/>
        <v>160</v>
      </c>
      <c r="L42" s="50"/>
      <c r="M42" s="55"/>
    </row>
    <row r="43" spans="1:13" s="28" customFormat="1" ht="23.5" x14ac:dyDescent="0.55000000000000004">
      <c r="A43" s="53" t="str">
        <f>IF(B43="Grand Total","Grand Total",IFERROR(VLOOKUP(B43,Master!$D$1:$G$1720,4,FALSE),""))</f>
        <v>สไลด์</v>
      </c>
      <c r="B43" s="54">
        <v>23065140</v>
      </c>
      <c r="C43" s="50" t="s">
        <v>40</v>
      </c>
      <c r="D43" s="50">
        <v>220</v>
      </c>
      <c r="E43" s="50">
        <v>400</v>
      </c>
      <c r="F43" s="50"/>
      <c r="G43" s="50">
        <v>30</v>
      </c>
      <c r="H43" s="50">
        <v>40</v>
      </c>
      <c r="I43" s="50"/>
      <c r="J43" s="50">
        <v>100</v>
      </c>
      <c r="K43" s="50">
        <f t="shared" si="0"/>
        <v>790</v>
      </c>
      <c r="L43" s="50"/>
      <c r="M43" s="55"/>
    </row>
    <row r="44" spans="1:13" s="28" customFormat="1" ht="23.5" x14ac:dyDescent="0.55000000000000004">
      <c r="A44" s="53" t="str">
        <f>IF(B44="Grand Total","Grand Total",IFERROR(VLOOKUP(B44,Master!$D$1:$G$1720,4,FALSE),""))</f>
        <v>สไลด์</v>
      </c>
      <c r="B44" s="54">
        <v>23065141</v>
      </c>
      <c r="C44" s="50" t="s">
        <v>41</v>
      </c>
      <c r="D44" s="50">
        <v>30</v>
      </c>
      <c r="E44" s="50"/>
      <c r="F44" s="50"/>
      <c r="G44" s="50"/>
      <c r="H44" s="50">
        <v>15</v>
      </c>
      <c r="I44" s="50">
        <v>10</v>
      </c>
      <c r="J44" s="50"/>
      <c r="K44" s="50">
        <f t="shared" si="0"/>
        <v>55</v>
      </c>
      <c r="L44" s="50"/>
      <c r="M44" s="55"/>
    </row>
    <row r="45" spans="1:13" s="28" customFormat="1" ht="23.5" x14ac:dyDescent="0.55000000000000004">
      <c r="A45" s="53" t="str">
        <f>IF(B45="Grand Total","Grand Total",IFERROR(VLOOKUP(B45,Master!$D$1:$G$1720,4,FALSE),""))</f>
        <v>สไลด์</v>
      </c>
      <c r="B45" s="54">
        <v>23065142</v>
      </c>
      <c r="C45" s="50" t="s">
        <v>42</v>
      </c>
      <c r="D45" s="50">
        <v>20</v>
      </c>
      <c r="E45" s="50"/>
      <c r="F45" s="50"/>
      <c r="G45" s="50">
        <v>10</v>
      </c>
      <c r="H45" s="50">
        <v>20</v>
      </c>
      <c r="I45" s="50">
        <v>10</v>
      </c>
      <c r="J45" s="50"/>
      <c r="K45" s="50">
        <f t="shared" si="0"/>
        <v>60</v>
      </c>
      <c r="L45" s="50"/>
      <c r="M45" s="55"/>
    </row>
    <row r="46" spans="1:13" s="28" customFormat="1" ht="23.5" x14ac:dyDescent="0.55000000000000004">
      <c r="A46" s="53" t="str">
        <f>IF(B46="Grand Total","Grand Total",IFERROR(VLOOKUP(B46,Master!$D$1:$G$1720,4,FALSE),""))</f>
        <v>สไลด์</v>
      </c>
      <c r="B46" s="54">
        <v>23065143</v>
      </c>
      <c r="C46" s="50" t="s">
        <v>43</v>
      </c>
      <c r="D46" s="50">
        <v>180</v>
      </c>
      <c r="E46" s="50">
        <v>400</v>
      </c>
      <c r="F46" s="50"/>
      <c r="G46" s="50">
        <v>20</v>
      </c>
      <c r="H46" s="50">
        <v>90</v>
      </c>
      <c r="I46" s="50">
        <v>0</v>
      </c>
      <c r="J46" s="50">
        <v>80</v>
      </c>
      <c r="K46" s="50">
        <f t="shared" si="0"/>
        <v>770</v>
      </c>
      <c r="L46" s="50"/>
      <c r="M46" s="55"/>
    </row>
    <row r="47" spans="1:13" s="28" customFormat="1" ht="23.5" x14ac:dyDescent="0.55000000000000004">
      <c r="A47" s="53" t="str">
        <f>IF(B47="Grand Total","Grand Total",IFERROR(VLOOKUP(B47,Master!$D$1:$G$1720,4,FALSE),""))</f>
        <v>เครื่องใน</v>
      </c>
      <c r="B47" s="54">
        <v>23066875</v>
      </c>
      <c r="C47" s="50" t="s">
        <v>44</v>
      </c>
      <c r="D47" s="50"/>
      <c r="E47" s="50">
        <v>20</v>
      </c>
      <c r="F47" s="50"/>
      <c r="G47" s="50"/>
      <c r="H47" s="50"/>
      <c r="I47" s="50"/>
      <c r="J47" s="50"/>
      <c r="K47" s="50">
        <f t="shared" si="0"/>
        <v>20</v>
      </c>
      <c r="L47" s="50"/>
      <c r="M47" s="55"/>
    </row>
    <row r="48" spans="1:13" s="28" customFormat="1" ht="23.5" x14ac:dyDescent="0.55000000000000004">
      <c r="A48" s="53" t="str">
        <f>IF(B48="Grand Total","Grand Total",IFERROR(VLOOKUP(B48,Master!$D$1:$G$1720,4,FALSE),""))</f>
        <v>ไหล่</v>
      </c>
      <c r="B48" s="54">
        <v>23066879</v>
      </c>
      <c r="C48" s="50" t="s">
        <v>45</v>
      </c>
      <c r="D48" s="50"/>
      <c r="E48" s="50"/>
      <c r="F48" s="50"/>
      <c r="G48" s="50">
        <v>5</v>
      </c>
      <c r="H48" s="50">
        <v>10</v>
      </c>
      <c r="I48" s="50">
        <v>10</v>
      </c>
      <c r="J48" s="50">
        <v>50</v>
      </c>
      <c r="K48" s="50">
        <f t="shared" si="0"/>
        <v>75</v>
      </c>
      <c r="L48" s="50"/>
      <c r="M48" s="55"/>
    </row>
    <row r="49" spans="1:13" s="28" customFormat="1" ht="23.5" x14ac:dyDescent="0.55000000000000004">
      <c r="A49" s="53" t="str">
        <f>IF(B49="Grand Total","Grand Total",IFERROR(VLOOKUP(B49,Master!$D$1:$G$1720,4,FALSE),""))</f>
        <v>เผาขา</v>
      </c>
      <c r="B49" s="54">
        <v>23067590</v>
      </c>
      <c r="C49" s="50" t="s">
        <v>113</v>
      </c>
      <c r="D49" s="50"/>
      <c r="E49" s="50"/>
      <c r="F49" s="50"/>
      <c r="G49" s="50"/>
      <c r="H49" s="50">
        <v>110</v>
      </c>
      <c r="I49" s="50"/>
      <c r="J49" s="50"/>
      <c r="K49" s="50">
        <f t="shared" si="0"/>
        <v>110</v>
      </c>
      <c r="L49" s="50"/>
      <c r="M49" s="55"/>
    </row>
    <row r="50" spans="1:13" s="28" customFormat="1" ht="23.5" x14ac:dyDescent="0.55000000000000004">
      <c r="A50" s="53" t="str">
        <f>IF(B50="Grand Total","Grand Total",IFERROR(VLOOKUP(B50,Master!$D$1:$G$1720,4,FALSE),""))</f>
        <v>สามชั้น</v>
      </c>
      <c r="B50" s="54">
        <v>23068390</v>
      </c>
      <c r="C50" s="50" t="s">
        <v>46</v>
      </c>
      <c r="D50" s="50">
        <v>40</v>
      </c>
      <c r="E50" s="50"/>
      <c r="F50" s="50"/>
      <c r="G50" s="50"/>
      <c r="H50" s="50"/>
      <c r="I50" s="50"/>
      <c r="J50" s="50"/>
      <c r="K50" s="50">
        <f t="shared" si="0"/>
        <v>40</v>
      </c>
      <c r="L50" s="50"/>
      <c r="M50" s="55"/>
    </row>
    <row r="51" spans="1:13" s="28" customFormat="1" ht="23.5" x14ac:dyDescent="0.55000000000000004">
      <c r="A51" s="53" t="str">
        <f>IF(B51="Grand Total","Grand Total",IFERROR(VLOOKUP(B51,Master!$D$1:$G$1720,4,FALSE),""))</f>
        <v>สามชั้นพิเศษ</v>
      </c>
      <c r="B51" s="54">
        <v>23070475</v>
      </c>
      <c r="C51" s="50" t="s">
        <v>47</v>
      </c>
      <c r="D51" s="50"/>
      <c r="E51" s="50"/>
      <c r="F51" s="50">
        <v>40</v>
      </c>
      <c r="G51" s="50">
        <v>60</v>
      </c>
      <c r="H51" s="50"/>
      <c r="I51" s="50">
        <v>5</v>
      </c>
      <c r="J51" s="50"/>
      <c r="K51" s="50">
        <f t="shared" si="0"/>
        <v>105</v>
      </c>
      <c r="L51" s="50"/>
      <c r="M51" s="55"/>
    </row>
    <row r="52" spans="1:13" s="28" customFormat="1" ht="23.5" x14ac:dyDescent="0.55000000000000004">
      <c r="A52" s="53" t="str">
        <f>IF(B52="Grand Total","Grand Total",IFERROR(VLOOKUP(B52,Master!$D$1:$G$1720,4,FALSE),""))</f>
        <v>บด</v>
      </c>
      <c r="B52" s="54">
        <v>23071881</v>
      </c>
      <c r="C52" s="50" t="s">
        <v>48</v>
      </c>
      <c r="D52" s="50"/>
      <c r="E52" s="50"/>
      <c r="F52" s="50"/>
      <c r="G52" s="50">
        <v>60</v>
      </c>
      <c r="H52" s="50"/>
      <c r="I52" s="50">
        <v>5</v>
      </c>
      <c r="J52" s="50"/>
      <c r="K52" s="50">
        <f t="shared" si="0"/>
        <v>65</v>
      </c>
      <c r="L52" s="50"/>
      <c r="M52" s="55"/>
    </row>
    <row r="53" spans="1:13" s="28" customFormat="1" ht="23.5" x14ac:dyDescent="0.55000000000000004">
      <c r="A53" s="53" t="str">
        <f>IF(B53="Grand Total","Grand Total",IFERROR(VLOOKUP(B53,Master!$D$1:$G$1720,4,FALSE),""))</f>
        <v>สามชั้นพิเศษ</v>
      </c>
      <c r="B53" s="54">
        <v>23071882</v>
      </c>
      <c r="C53" s="50" t="s">
        <v>49</v>
      </c>
      <c r="D53" s="50"/>
      <c r="E53" s="50"/>
      <c r="F53" s="50"/>
      <c r="G53" s="50">
        <v>40</v>
      </c>
      <c r="H53" s="50"/>
      <c r="I53" s="50"/>
      <c r="J53" s="50"/>
      <c r="K53" s="50">
        <f t="shared" si="0"/>
        <v>40</v>
      </c>
      <c r="L53" s="50"/>
      <c r="M53" s="55"/>
    </row>
    <row r="54" spans="1:13" s="28" customFormat="1" ht="23.5" x14ac:dyDescent="0.55000000000000004">
      <c r="A54" s="53" t="str">
        <f>IF(B54="Grand Total","Grand Total",IFERROR(VLOOKUP(B54,Master!$D$1:$G$1720,4,FALSE),""))</f>
        <v>เครื่องใน</v>
      </c>
      <c r="B54" s="54">
        <v>23071884</v>
      </c>
      <c r="C54" s="50" t="s">
        <v>116</v>
      </c>
      <c r="D54" s="50"/>
      <c r="E54" s="50"/>
      <c r="F54" s="50"/>
      <c r="G54" s="50"/>
      <c r="H54" s="50"/>
      <c r="I54" s="50">
        <v>4.9997999999999996</v>
      </c>
      <c r="J54" s="50">
        <v>40</v>
      </c>
      <c r="K54" s="50">
        <f t="shared" si="0"/>
        <v>44.9998</v>
      </c>
      <c r="L54" s="50"/>
      <c r="M54" s="55"/>
    </row>
    <row r="55" spans="1:13" s="28" customFormat="1" ht="23.5" x14ac:dyDescent="0.55000000000000004">
      <c r="A55" s="53" t="str">
        <f>IF(B55="Grand Total","Grand Total",IFERROR(VLOOKUP(B55,Master!$D$1:$G$1720,4,FALSE),""))</f>
        <v>ไหล่</v>
      </c>
      <c r="B55" s="54">
        <v>23073188</v>
      </c>
      <c r="C55" s="50" t="s">
        <v>50</v>
      </c>
      <c r="D55" s="50"/>
      <c r="E55" s="50">
        <v>5</v>
      </c>
      <c r="F55" s="50"/>
      <c r="G55" s="50"/>
      <c r="H55" s="50">
        <v>10</v>
      </c>
      <c r="I55" s="50"/>
      <c r="J55" s="50"/>
      <c r="K55" s="50">
        <f t="shared" si="0"/>
        <v>15</v>
      </c>
      <c r="L55" s="50"/>
      <c r="M55" s="55"/>
    </row>
    <row r="56" spans="1:13" s="28" customFormat="1" ht="23.5" x14ac:dyDescent="0.55000000000000004">
      <c r="A56" s="53" t="str">
        <f>IF(B56="Grand Total","Grand Total",IFERROR(VLOOKUP(B56,Master!$D$1:$G$1720,4,FALSE),""))</f>
        <v>สามชั้นพิเศษ</v>
      </c>
      <c r="B56" s="54">
        <v>23073308</v>
      </c>
      <c r="C56" s="50" t="s">
        <v>117</v>
      </c>
      <c r="D56" s="50"/>
      <c r="E56" s="50"/>
      <c r="F56" s="50"/>
      <c r="G56" s="50"/>
      <c r="H56" s="50"/>
      <c r="I56" s="50"/>
      <c r="J56" s="50">
        <v>50</v>
      </c>
      <c r="K56" s="50">
        <f t="shared" si="0"/>
        <v>50</v>
      </c>
      <c r="L56" s="50"/>
      <c r="M56" s="55"/>
    </row>
    <row r="57" spans="1:13" s="28" customFormat="1" ht="23.5" x14ac:dyDescent="0.55000000000000004">
      <c r="A57" s="53" t="str">
        <f>IF(B57="Grand Total","Grand Total",IFERROR(VLOOKUP(B57,Master!$D$1:$G$1720,4,FALSE),""))</f>
        <v>ไหล่</v>
      </c>
      <c r="B57" s="54">
        <v>23074624</v>
      </c>
      <c r="C57" s="50" t="s">
        <v>129</v>
      </c>
      <c r="D57" s="50"/>
      <c r="E57" s="50"/>
      <c r="F57" s="50">
        <v>40</v>
      </c>
      <c r="G57" s="50"/>
      <c r="H57" s="50"/>
      <c r="I57" s="50"/>
      <c r="J57" s="50"/>
      <c r="K57" s="50">
        <f t="shared" si="0"/>
        <v>40</v>
      </c>
      <c r="L57" s="50"/>
      <c r="M57" s="55"/>
    </row>
    <row r="58" spans="1:13" s="28" customFormat="1" ht="23.5" x14ac:dyDescent="0.55000000000000004">
      <c r="A58" s="53" t="str">
        <f>IF(B58="Grand Total","Grand Total",IFERROR(VLOOKUP(B58,Master!$D$1:$G$1720,4,FALSE),""))</f>
        <v>สะโพก</v>
      </c>
      <c r="B58" s="54">
        <v>23074625</v>
      </c>
      <c r="C58" s="50" t="s">
        <v>130</v>
      </c>
      <c r="D58" s="50"/>
      <c r="E58" s="50"/>
      <c r="F58" s="50">
        <v>40</v>
      </c>
      <c r="G58" s="50"/>
      <c r="H58" s="50"/>
      <c r="I58" s="50"/>
      <c r="J58" s="50"/>
      <c r="K58" s="50">
        <f t="shared" si="0"/>
        <v>40</v>
      </c>
      <c r="L58" s="50"/>
      <c r="M58" s="55"/>
    </row>
    <row r="59" spans="1:13" s="28" customFormat="1" ht="23.5" x14ac:dyDescent="0.55000000000000004">
      <c r="A59" s="53" t="str">
        <f>IF(B59="Grand Total","Grand Total",IFERROR(VLOOKUP(B59,Master!$D$1:$G$1720,4,FALSE),""))</f>
        <v>ไหล่</v>
      </c>
      <c r="B59" s="54">
        <v>23074626</v>
      </c>
      <c r="C59" s="50" t="s">
        <v>131</v>
      </c>
      <c r="D59" s="50"/>
      <c r="E59" s="50"/>
      <c r="F59" s="50">
        <v>20</v>
      </c>
      <c r="G59" s="50"/>
      <c r="H59" s="50"/>
      <c r="I59" s="50"/>
      <c r="J59" s="50"/>
      <c r="K59" s="50">
        <f t="shared" si="0"/>
        <v>20</v>
      </c>
      <c r="L59" s="50"/>
      <c r="M59" s="55"/>
    </row>
    <row r="60" spans="1:13" s="28" customFormat="1" ht="23.5" x14ac:dyDescent="0.55000000000000004">
      <c r="A60" s="53" t="str">
        <f>IF(B60="Grand Total","Grand Total",IFERROR(VLOOKUP(B60,Master!$D$1:$G$1720,4,FALSE),""))</f>
        <v>สามชั้น</v>
      </c>
      <c r="B60" s="54">
        <v>23074627</v>
      </c>
      <c r="C60" s="50" t="s">
        <v>132</v>
      </c>
      <c r="D60" s="50"/>
      <c r="E60" s="50"/>
      <c r="F60" s="50">
        <v>40</v>
      </c>
      <c r="G60" s="50"/>
      <c r="H60" s="50"/>
      <c r="I60" s="50"/>
      <c r="J60" s="50"/>
      <c r="K60" s="50">
        <f t="shared" si="0"/>
        <v>40</v>
      </c>
      <c r="L60" s="50"/>
      <c r="M60" s="55"/>
    </row>
    <row r="61" spans="1:13" s="28" customFormat="1" ht="23.5" x14ac:dyDescent="0.55000000000000004">
      <c r="A61" s="53" t="str">
        <f>IF(B61="Grand Total","Grand Total",IFERROR(VLOOKUP(B61,Master!$D$1:$G$1720,4,FALSE),""))</f>
        <v>สามชั้นพิเศษ</v>
      </c>
      <c r="B61" s="54">
        <v>23075089</v>
      </c>
      <c r="C61" s="50" t="s">
        <v>51</v>
      </c>
      <c r="D61" s="50"/>
      <c r="E61" s="50"/>
      <c r="F61" s="50"/>
      <c r="G61" s="50"/>
      <c r="H61" s="50">
        <v>0</v>
      </c>
      <c r="I61" s="50"/>
      <c r="J61" s="50"/>
      <c r="K61" s="50">
        <f t="shared" si="0"/>
        <v>0</v>
      </c>
      <c r="L61" s="50"/>
      <c r="M61" s="55"/>
    </row>
    <row r="62" spans="1:13" s="28" customFormat="1" ht="23.5" x14ac:dyDescent="0.55000000000000004">
      <c r="A62" s="53" t="str">
        <f>IF(B62="Grand Total","Grand Total",IFERROR(VLOOKUP(B62,Master!$D$1:$G$1720,4,FALSE),""))</f>
        <v>โอน</v>
      </c>
      <c r="B62" s="54">
        <v>23083450</v>
      </c>
      <c r="C62" s="50" t="s">
        <v>103</v>
      </c>
      <c r="D62" s="50"/>
      <c r="E62" s="50"/>
      <c r="F62" s="50">
        <v>16</v>
      </c>
      <c r="G62" s="50"/>
      <c r="H62" s="50"/>
      <c r="I62" s="50"/>
      <c r="J62" s="50"/>
      <c r="K62" s="50">
        <f t="shared" si="0"/>
        <v>16</v>
      </c>
      <c r="L62" s="50"/>
      <c r="M62" s="55"/>
    </row>
    <row r="63" spans="1:13" s="28" customFormat="1" ht="23.5" x14ac:dyDescent="0.55000000000000004">
      <c r="A63" s="53" t="str">
        <f>IF(B63="Grand Total","Grand Total",IFERROR(VLOOKUP(B63,Master!$D$1:$G$1720,4,FALSE),""))</f>
        <v>ต้มเลือด</v>
      </c>
      <c r="B63" s="54">
        <v>23084674</v>
      </c>
      <c r="C63" s="50" t="s">
        <v>52</v>
      </c>
      <c r="D63" s="50"/>
      <c r="E63" s="50">
        <v>11.2</v>
      </c>
      <c r="F63" s="50">
        <v>5.6</v>
      </c>
      <c r="G63" s="50"/>
      <c r="H63" s="50">
        <v>5.6</v>
      </c>
      <c r="I63" s="50">
        <v>5.6</v>
      </c>
      <c r="J63" s="50">
        <v>11.2</v>
      </c>
      <c r="K63" s="50">
        <f t="shared" si="0"/>
        <v>39.200000000000003</v>
      </c>
      <c r="L63" s="50"/>
      <c r="M63" s="55"/>
    </row>
    <row r="64" spans="1:13" s="28" customFormat="1" ht="23.5" x14ac:dyDescent="0.55000000000000004">
      <c r="A64" s="53" t="str">
        <f>IF(B64="Grand Total","Grand Total",IFERROR(VLOOKUP(B64,Master!$D$1:$G$1720,4,FALSE),""))</f>
        <v>ไหล่พิเศษ</v>
      </c>
      <c r="B64" s="54">
        <v>23086658</v>
      </c>
      <c r="C64" s="50" t="s">
        <v>53</v>
      </c>
      <c r="D64" s="50"/>
      <c r="E64" s="50">
        <v>15</v>
      </c>
      <c r="F64" s="50"/>
      <c r="G64" s="50"/>
      <c r="H64" s="50">
        <v>20</v>
      </c>
      <c r="I64" s="50"/>
      <c r="J64" s="50">
        <v>100</v>
      </c>
      <c r="K64" s="50">
        <f t="shared" si="0"/>
        <v>135</v>
      </c>
      <c r="L64" s="50"/>
      <c r="M64" s="55"/>
    </row>
    <row r="65" spans="1:13" s="28" customFormat="1" ht="23.5" x14ac:dyDescent="0.55000000000000004">
      <c r="A65" s="53" t="str">
        <f>IF(B65="Grand Total","Grand Total",IFERROR(VLOOKUP(B65,Master!$D$1:$G$1720,4,FALSE),""))</f>
        <v>สะโพกพิเศษ</v>
      </c>
      <c r="B65" s="54">
        <v>23087034</v>
      </c>
      <c r="C65" s="50" t="s">
        <v>54</v>
      </c>
      <c r="D65" s="50"/>
      <c r="E65" s="50">
        <v>10</v>
      </c>
      <c r="F65" s="50">
        <v>15</v>
      </c>
      <c r="G65" s="50"/>
      <c r="H65" s="50">
        <v>10</v>
      </c>
      <c r="I65" s="50">
        <v>0</v>
      </c>
      <c r="J65" s="50">
        <v>150</v>
      </c>
      <c r="K65" s="50">
        <f t="shared" si="0"/>
        <v>185</v>
      </c>
      <c r="L65" s="50"/>
      <c r="M65" s="55"/>
    </row>
    <row r="66" spans="1:13" s="28" customFormat="1" ht="23.5" x14ac:dyDescent="0.55000000000000004">
      <c r="A66" s="53" t="str">
        <f>IF(B66="Grand Total","Grand Total",IFERROR(VLOOKUP(B66,Master!$D$1:$G$1720,4,FALSE),""))</f>
        <v>ไหล่</v>
      </c>
      <c r="B66" s="54">
        <v>23087679</v>
      </c>
      <c r="C66" s="50" t="s">
        <v>128</v>
      </c>
      <c r="D66" s="50"/>
      <c r="E66" s="50">
        <v>5</v>
      </c>
      <c r="F66" s="50"/>
      <c r="G66" s="50"/>
      <c r="H66" s="50"/>
      <c r="I66" s="50"/>
      <c r="J66" s="50"/>
      <c r="K66" s="50">
        <f t="shared" si="0"/>
        <v>5</v>
      </c>
      <c r="L66" s="50"/>
      <c r="M66" s="55"/>
    </row>
    <row r="67" spans="1:13" s="28" customFormat="1" ht="23.5" x14ac:dyDescent="0.55000000000000004">
      <c r="A67" s="53" t="str">
        <f>IF(B67="Grand Total","Grand Total",IFERROR(VLOOKUP(B67,Master!$D$1:$G$1720,4,FALSE),""))</f>
        <v>ไหล่พิเศษ</v>
      </c>
      <c r="B67" s="54">
        <v>23088036</v>
      </c>
      <c r="C67" s="50" t="s">
        <v>55</v>
      </c>
      <c r="D67" s="50"/>
      <c r="E67" s="50"/>
      <c r="F67" s="50"/>
      <c r="G67" s="50"/>
      <c r="H67" s="50">
        <v>0</v>
      </c>
      <c r="I67" s="50">
        <v>5</v>
      </c>
      <c r="J67" s="50"/>
      <c r="K67" s="50">
        <f t="shared" si="0"/>
        <v>5</v>
      </c>
      <c r="L67" s="50"/>
      <c r="M67" s="55"/>
    </row>
    <row r="68" spans="1:13" s="28" customFormat="1" ht="23.5" x14ac:dyDescent="0.55000000000000004">
      <c r="A68" s="53" t="str">
        <f>IF(B68="Grand Total","Grand Total",IFERROR(VLOOKUP(B68,Master!$D$1:$G$1720,4,FALSE),""))</f>
        <v>เครื่องใน</v>
      </c>
      <c r="B68" s="54">
        <v>23088112</v>
      </c>
      <c r="C68" s="50" t="s">
        <v>56</v>
      </c>
      <c r="D68" s="50"/>
      <c r="E68" s="50">
        <v>5</v>
      </c>
      <c r="F68" s="50"/>
      <c r="G68" s="50"/>
      <c r="H68" s="50">
        <v>5</v>
      </c>
      <c r="I68" s="50">
        <v>5</v>
      </c>
      <c r="J68" s="50"/>
      <c r="K68" s="50">
        <f t="shared" si="0"/>
        <v>15</v>
      </c>
      <c r="L68" s="50"/>
      <c r="M68" s="55"/>
    </row>
    <row r="69" spans="1:13" s="28" customFormat="1" ht="23.5" x14ac:dyDescent="0.55000000000000004">
      <c r="A69" s="53" t="str">
        <f>IF(B69="Grand Total","Grand Total",IFERROR(VLOOKUP(B69,Master!$D$1:$G$1720,4,FALSE),""))</f>
        <v>เลาะขา</v>
      </c>
      <c r="B69" s="54">
        <v>23088348</v>
      </c>
      <c r="C69" s="50" t="s">
        <v>57</v>
      </c>
      <c r="D69" s="50"/>
      <c r="E69" s="50">
        <v>30</v>
      </c>
      <c r="F69" s="50"/>
      <c r="G69" s="50"/>
      <c r="H69" s="50">
        <v>60</v>
      </c>
      <c r="I69" s="50">
        <v>50</v>
      </c>
      <c r="J69" s="50">
        <v>180</v>
      </c>
      <c r="K69" s="50">
        <f t="shared" si="0"/>
        <v>320</v>
      </c>
      <c r="L69" s="50"/>
      <c r="M69" s="55"/>
    </row>
    <row r="70" spans="1:13" s="28" customFormat="1" ht="23.5" x14ac:dyDescent="0.55000000000000004">
      <c r="A70" s="53" t="str">
        <f>IF(B70="Grand Total","Grand Total",IFERROR(VLOOKUP(B70,Master!$D$1:$G$1720,4,FALSE),""))</f>
        <v>เครื่องใน</v>
      </c>
      <c r="B70" s="54">
        <v>23093507</v>
      </c>
      <c r="C70" s="50" t="s">
        <v>126</v>
      </c>
      <c r="D70" s="50"/>
      <c r="E70" s="50"/>
      <c r="F70" s="50"/>
      <c r="G70" s="50"/>
      <c r="H70" s="50"/>
      <c r="I70" s="50"/>
      <c r="J70" s="50">
        <v>5</v>
      </c>
      <c r="K70" s="50">
        <f t="shared" si="0"/>
        <v>5</v>
      </c>
      <c r="L70" s="50"/>
      <c r="M70" s="55"/>
    </row>
    <row r="71" spans="1:13" s="28" customFormat="1" ht="23.5" x14ac:dyDescent="0.55000000000000004">
      <c r="A71" s="53" t="str">
        <f>IF(B71="Grand Total","Grand Total",IFERROR(VLOOKUP(B71,Master!$D$1:$G$1720,4,FALSE),""))</f>
        <v>บด</v>
      </c>
      <c r="B71" s="54">
        <v>23097783</v>
      </c>
      <c r="C71" s="50" t="s">
        <v>58</v>
      </c>
      <c r="D71" s="50"/>
      <c r="E71" s="50"/>
      <c r="F71" s="50">
        <v>50</v>
      </c>
      <c r="G71" s="50"/>
      <c r="H71" s="50"/>
      <c r="I71" s="50">
        <v>5</v>
      </c>
      <c r="J71" s="50"/>
      <c r="K71" s="50">
        <f t="shared" si="0"/>
        <v>55</v>
      </c>
      <c r="L71" s="50"/>
      <c r="M71" s="55"/>
    </row>
    <row r="72" spans="1:13" s="28" customFormat="1" ht="23.5" x14ac:dyDescent="0.55000000000000004">
      <c r="A72" s="53" t="str">
        <f>IF(B72="Grand Total","Grand Total",IFERROR(VLOOKUP(B72,Master!$D$1:$G$1720,4,FALSE),""))</f>
        <v>ไหล่พิเศษ</v>
      </c>
      <c r="B72" s="54">
        <v>23097784</v>
      </c>
      <c r="C72" s="50" t="s">
        <v>59</v>
      </c>
      <c r="D72" s="50"/>
      <c r="E72" s="50"/>
      <c r="F72" s="50"/>
      <c r="G72" s="50"/>
      <c r="H72" s="50"/>
      <c r="I72" s="50">
        <v>3</v>
      </c>
      <c r="J72" s="50"/>
      <c r="K72" s="50">
        <f t="shared" si="0"/>
        <v>3</v>
      </c>
      <c r="L72" s="50"/>
      <c r="M72" s="55"/>
    </row>
    <row r="73" spans="1:13" s="28" customFormat="1" ht="23.5" x14ac:dyDescent="0.55000000000000004">
      <c r="A73" s="53" t="str">
        <f>IF(B73="Grand Total","Grand Total",IFERROR(VLOOKUP(B73,Master!$D$1:$G$1720,4,FALSE),""))</f>
        <v>เครื่องใน</v>
      </c>
      <c r="B73" s="54">
        <v>23097787</v>
      </c>
      <c r="C73" s="50" t="s">
        <v>60</v>
      </c>
      <c r="D73" s="50"/>
      <c r="E73" s="50"/>
      <c r="F73" s="50">
        <v>2</v>
      </c>
      <c r="G73" s="50"/>
      <c r="H73" s="50"/>
      <c r="I73" s="50"/>
      <c r="J73" s="50"/>
      <c r="K73" s="50">
        <f t="shared" si="0"/>
        <v>2</v>
      </c>
      <c r="L73" s="50"/>
      <c r="M73" s="55"/>
    </row>
    <row r="74" spans="1:13" s="28" customFormat="1" ht="23.5" x14ac:dyDescent="0.55000000000000004">
      <c r="A74" s="53" t="str">
        <f>IF(B74="Grand Total","Grand Total",IFERROR(VLOOKUP(B74,Master!$D$1:$G$1720,4,FALSE),""))</f>
        <v>เครื่องใน</v>
      </c>
      <c r="B74" s="54">
        <v>23097788</v>
      </c>
      <c r="C74" s="50" t="s">
        <v>61</v>
      </c>
      <c r="D74" s="50"/>
      <c r="E74" s="50"/>
      <c r="F74" s="50">
        <v>2</v>
      </c>
      <c r="G74" s="50"/>
      <c r="H74" s="50"/>
      <c r="I74" s="50"/>
      <c r="J74" s="50"/>
      <c r="K74" s="50">
        <f t="shared" si="0"/>
        <v>2</v>
      </c>
      <c r="L74" s="50"/>
      <c r="M74" s="55"/>
    </row>
    <row r="75" spans="1:13" s="28" customFormat="1" ht="23.5" x14ac:dyDescent="0.55000000000000004">
      <c r="A75" s="53" t="str">
        <f>IF(B75="Grand Total","Grand Total",IFERROR(VLOOKUP(B75,Master!$D$1:$G$1720,4,FALSE),""))</f>
        <v>สะโพกพิเศษ</v>
      </c>
      <c r="B75" s="54">
        <v>23097789</v>
      </c>
      <c r="C75" s="50" t="s">
        <v>62</v>
      </c>
      <c r="D75" s="50"/>
      <c r="E75" s="50"/>
      <c r="F75" s="50"/>
      <c r="G75" s="50"/>
      <c r="H75" s="50"/>
      <c r="I75" s="50">
        <v>3</v>
      </c>
      <c r="J75" s="50"/>
      <c r="K75" s="50">
        <f t="shared" ref="K75:K128" si="1">+SUM(D75:J75)</f>
        <v>3</v>
      </c>
      <c r="L75" s="50"/>
      <c r="M75" s="55"/>
    </row>
    <row r="76" spans="1:13" s="28" customFormat="1" ht="23.5" x14ac:dyDescent="0.55000000000000004">
      <c r="A76" s="53" t="str">
        <f>IF(B76="Grand Total","Grand Total",IFERROR(VLOOKUP(B76,Master!$D$1:$G$1720,4,FALSE),""))</f>
        <v>สไลด์</v>
      </c>
      <c r="B76" s="54">
        <v>23097790</v>
      </c>
      <c r="C76" s="50" t="s">
        <v>63</v>
      </c>
      <c r="D76" s="50"/>
      <c r="E76" s="50"/>
      <c r="F76" s="50">
        <v>20</v>
      </c>
      <c r="G76" s="50"/>
      <c r="H76" s="50"/>
      <c r="I76" s="50"/>
      <c r="J76" s="50"/>
      <c r="K76" s="50">
        <f t="shared" si="1"/>
        <v>20</v>
      </c>
      <c r="L76" s="50"/>
      <c r="M76" s="55"/>
    </row>
    <row r="77" spans="1:13" s="28" customFormat="1" ht="23.5" x14ac:dyDescent="0.55000000000000004">
      <c r="A77" s="53" t="str">
        <f>IF(B77="Grand Total","Grand Total",IFERROR(VLOOKUP(B77,Master!$D$1:$G$1720,4,FALSE),""))</f>
        <v>สามชั้น</v>
      </c>
      <c r="B77" s="54">
        <v>23097791</v>
      </c>
      <c r="C77" s="50" t="s">
        <v>64</v>
      </c>
      <c r="D77" s="50"/>
      <c r="E77" s="50"/>
      <c r="F77" s="50">
        <v>2</v>
      </c>
      <c r="G77" s="50"/>
      <c r="H77" s="50"/>
      <c r="I77" s="50"/>
      <c r="J77" s="50"/>
      <c r="K77" s="50">
        <f t="shared" si="1"/>
        <v>2</v>
      </c>
      <c r="L77" s="50"/>
      <c r="M77" s="55"/>
    </row>
    <row r="78" spans="1:13" s="28" customFormat="1" ht="23.5" x14ac:dyDescent="0.55000000000000004">
      <c r="A78" s="53" t="str">
        <f>IF(B78="Grand Total","Grand Total",IFERROR(VLOOKUP(B78,Master!$D$1:$G$1720,4,FALSE),""))</f>
        <v>ไหล่พิเศษ</v>
      </c>
      <c r="B78" s="54">
        <v>23097792</v>
      </c>
      <c r="C78" s="50" t="s">
        <v>65</v>
      </c>
      <c r="D78" s="50"/>
      <c r="E78" s="50"/>
      <c r="F78" s="50"/>
      <c r="G78" s="50"/>
      <c r="H78" s="50"/>
      <c r="I78" s="50">
        <v>3</v>
      </c>
      <c r="J78" s="50"/>
      <c r="K78" s="50">
        <f t="shared" si="1"/>
        <v>3</v>
      </c>
      <c r="L78" s="50"/>
      <c r="M78" s="55"/>
    </row>
    <row r="79" spans="1:13" s="28" customFormat="1" ht="23.5" x14ac:dyDescent="0.55000000000000004">
      <c r="A79" s="53" t="str">
        <f>IF(B79="Grand Total","Grand Total",IFERROR(VLOOKUP(B79,Master!$D$1:$G$1720,4,FALSE),""))</f>
        <v>สไลด์</v>
      </c>
      <c r="B79" s="54">
        <v>23097793</v>
      </c>
      <c r="C79" s="50" t="s">
        <v>66</v>
      </c>
      <c r="D79" s="50"/>
      <c r="E79" s="50"/>
      <c r="F79" s="50">
        <v>24</v>
      </c>
      <c r="G79" s="50"/>
      <c r="H79" s="50"/>
      <c r="I79" s="50"/>
      <c r="J79" s="50"/>
      <c r="K79" s="50">
        <f t="shared" si="1"/>
        <v>24</v>
      </c>
      <c r="L79" s="50"/>
      <c r="M79" s="55"/>
    </row>
    <row r="80" spans="1:13" s="28" customFormat="1" ht="23.5" x14ac:dyDescent="0.55000000000000004">
      <c r="A80" s="53" t="str">
        <f>IF(B80="Grand Total","Grand Total",IFERROR(VLOOKUP(B80,Master!$D$1:$G$1720,4,FALSE),""))</f>
        <v>สามชั้นพิเศษ</v>
      </c>
      <c r="B80" s="54">
        <v>23097796</v>
      </c>
      <c r="C80" s="50" t="s">
        <v>67</v>
      </c>
      <c r="D80" s="50"/>
      <c r="E80" s="50"/>
      <c r="F80" s="50"/>
      <c r="G80" s="50"/>
      <c r="H80" s="50"/>
      <c r="I80" s="50">
        <v>5</v>
      </c>
      <c r="J80" s="50"/>
      <c r="K80" s="50">
        <f t="shared" si="1"/>
        <v>5</v>
      </c>
      <c r="L80" s="50"/>
      <c r="M80" s="55"/>
    </row>
    <row r="81" spans="1:13" s="28" customFormat="1" ht="23.5" x14ac:dyDescent="0.55000000000000004">
      <c r="A81" s="53" t="str">
        <f>IF(B81="Grand Total","Grand Total",IFERROR(VLOOKUP(B81,Master!$D$1:$G$1720,4,FALSE),""))</f>
        <v>สไลด์</v>
      </c>
      <c r="B81" s="54">
        <v>23097797</v>
      </c>
      <c r="C81" s="50" t="s">
        <v>68</v>
      </c>
      <c r="D81" s="50"/>
      <c r="E81" s="50"/>
      <c r="F81" s="50">
        <v>20</v>
      </c>
      <c r="G81" s="50"/>
      <c r="H81" s="50"/>
      <c r="I81" s="50">
        <v>5</v>
      </c>
      <c r="J81" s="50"/>
      <c r="K81" s="50">
        <f t="shared" si="1"/>
        <v>25</v>
      </c>
      <c r="L81" s="50"/>
      <c r="M81" s="55"/>
    </row>
    <row r="82" spans="1:13" s="28" customFormat="1" ht="23.5" x14ac:dyDescent="0.55000000000000004">
      <c r="A82" s="53" t="str">
        <f>IF(B82="Grand Total","Grand Total",IFERROR(VLOOKUP(B82,Master!$D$1:$G$1720,4,FALSE),""))</f>
        <v>สะโพกพิเศษ</v>
      </c>
      <c r="B82" s="54">
        <v>23098986</v>
      </c>
      <c r="C82" s="50" t="s">
        <v>120</v>
      </c>
      <c r="D82" s="50"/>
      <c r="E82" s="50"/>
      <c r="F82" s="50"/>
      <c r="G82" s="50"/>
      <c r="H82" s="50"/>
      <c r="I82" s="50">
        <v>3</v>
      </c>
      <c r="J82" s="50"/>
      <c r="K82" s="50">
        <f t="shared" si="1"/>
        <v>3</v>
      </c>
      <c r="L82" s="50"/>
      <c r="M82" s="55"/>
    </row>
    <row r="83" spans="1:13" s="28" customFormat="1" ht="23.5" x14ac:dyDescent="0.55000000000000004">
      <c r="A83" s="53" t="str">
        <f>IF(B83="Grand Total","Grand Total",IFERROR(VLOOKUP(B83,Master!$D$1:$G$1720,4,FALSE),""))</f>
        <v>เลาะขา</v>
      </c>
      <c r="B83" s="54">
        <v>23098989</v>
      </c>
      <c r="C83" s="50" t="s">
        <v>69</v>
      </c>
      <c r="D83" s="50"/>
      <c r="E83" s="50">
        <v>15</v>
      </c>
      <c r="F83" s="50"/>
      <c r="G83" s="50"/>
      <c r="H83" s="50"/>
      <c r="I83" s="50"/>
      <c r="J83" s="50">
        <v>20</v>
      </c>
      <c r="K83" s="50">
        <f t="shared" si="1"/>
        <v>35</v>
      </c>
      <c r="L83" s="50"/>
      <c r="M83" s="55"/>
    </row>
    <row r="84" spans="1:13" s="28" customFormat="1" ht="23.5" x14ac:dyDescent="0.55000000000000004">
      <c r="A84" s="53" t="str">
        <f>IF(B84="Grand Total","Grand Total",IFERROR(VLOOKUP(B84,Master!$D$1:$G$1720,4,FALSE),""))</f>
        <v>สามชั้นพิเศษ</v>
      </c>
      <c r="B84" s="54">
        <v>23098990</v>
      </c>
      <c r="C84" s="50" t="s">
        <v>121</v>
      </c>
      <c r="D84" s="50"/>
      <c r="E84" s="50"/>
      <c r="F84" s="50"/>
      <c r="G84" s="50"/>
      <c r="H84" s="50"/>
      <c r="I84" s="50">
        <v>5</v>
      </c>
      <c r="J84" s="50"/>
      <c r="K84" s="50">
        <f t="shared" si="1"/>
        <v>5</v>
      </c>
      <c r="L84" s="50"/>
      <c r="M84" s="55"/>
    </row>
    <row r="85" spans="1:13" s="28" customFormat="1" ht="23.5" x14ac:dyDescent="0.55000000000000004">
      <c r="A85" s="53" t="str">
        <f>IF(B85="Grand Total","Grand Total",IFERROR(VLOOKUP(B85,Master!$D$1:$G$1720,4,FALSE),""))</f>
        <v>สามชั้นพิเศษ</v>
      </c>
      <c r="B85" s="54">
        <v>23098991</v>
      </c>
      <c r="C85" s="50" t="s">
        <v>127</v>
      </c>
      <c r="D85" s="50"/>
      <c r="E85" s="50"/>
      <c r="F85" s="50"/>
      <c r="G85" s="50"/>
      <c r="H85" s="50">
        <v>0</v>
      </c>
      <c r="I85" s="50"/>
      <c r="J85" s="50"/>
      <c r="K85" s="50">
        <f t="shared" si="1"/>
        <v>0</v>
      </c>
      <c r="L85" s="50"/>
      <c r="M85" s="55"/>
    </row>
    <row r="86" spans="1:13" s="28" customFormat="1" ht="23.5" x14ac:dyDescent="0.55000000000000004">
      <c r="A86" s="53" t="str">
        <f>IF(B86="Grand Total","Grand Total",IFERROR(VLOOKUP(B86,Master!$D$1:$G$1720,4,FALSE),""))</f>
        <v>สามชั้นพิเศษ</v>
      </c>
      <c r="B86" s="54">
        <v>23098995</v>
      </c>
      <c r="C86" s="50" t="s">
        <v>70</v>
      </c>
      <c r="D86" s="50"/>
      <c r="E86" s="50">
        <v>70</v>
      </c>
      <c r="F86" s="50"/>
      <c r="G86" s="50"/>
      <c r="H86" s="50">
        <v>20</v>
      </c>
      <c r="I86" s="50">
        <v>0</v>
      </c>
      <c r="J86" s="50"/>
      <c r="K86" s="50">
        <f t="shared" si="1"/>
        <v>90</v>
      </c>
      <c r="L86" s="50"/>
      <c r="M86" s="55"/>
    </row>
    <row r="87" spans="1:13" s="28" customFormat="1" ht="23.5" x14ac:dyDescent="0.55000000000000004">
      <c r="A87" s="53" t="str">
        <f>IF(B87="Grand Total","Grand Total",IFERROR(VLOOKUP(B87,Master!$D$1:$G$1720,4,FALSE),""))</f>
        <v>สะโพกพิเศษ</v>
      </c>
      <c r="B87" s="54">
        <v>23104868</v>
      </c>
      <c r="C87" s="50" t="s">
        <v>71</v>
      </c>
      <c r="D87" s="50"/>
      <c r="E87" s="50">
        <v>10</v>
      </c>
      <c r="F87" s="50"/>
      <c r="G87" s="50"/>
      <c r="H87" s="50">
        <v>0</v>
      </c>
      <c r="I87" s="50"/>
      <c r="J87" s="50"/>
      <c r="K87" s="50">
        <f t="shared" si="1"/>
        <v>10</v>
      </c>
      <c r="L87" s="50"/>
      <c r="M87" s="55"/>
    </row>
    <row r="88" spans="1:13" s="28" customFormat="1" ht="23.5" x14ac:dyDescent="0.55000000000000004">
      <c r="A88" s="53" t="str">
        <f>IF(B88="Grand Total","Grand Total",IFERROR(VLOOKUP(B88,Master!$D$1:$G$1720,4,FALSE),""))</f>
        <v>บด</v>
      </c>
      <c r="B88" s="54">
        <v>23105702</v>
      </c>
      <c r="C88" s="50" t="s">
        <v>72</v>
      </c>
      <c r="D88" s="50"/>
      <c r="E88" s="50"/>
      <c r="F88" s="50"/>
      <c r="G88" s="50"/>
      <c r="H88" s="50">
        <v>150</v>
      </c>
      <c r="I88" s="50"/>
      <c r="J88" s="50">
        <v>400</v>
      </c>
      <c r="K88" s="50">
        <f t="shared" si="1"/>
        <v>550</v>
      </c>
      <c r="L88" s="50"/>
      <c r="M88" s="55"/>
    </row>
    <row r="89" spans="1:13" s="28" customFormat="1" ht="23.5" x14ac:dyDescent="0.55000000000000004">
      <c r="A89" s="53" t="str">
        <f>IF(B89="Grand Total","Grand Total",IFERROR(VLOOKUP(B89,Master!$D$1:$G$1720,4,FALSE),""))</f>
        <v>ไหล่</v>
      </c>
      <c r="B89" s="54">
        <v>23105751</v>
      </c>
      <c r="C89" s="50" t="s">
        <v>73</v>
      </c>
      <c r="D89" s="50"/>
      <c r="E89" s="50"/>
      <c r="F89" s="50">
        <v>5</v>
      </c>
      <c r="G89" s="50"/>
      <c r="H89" s="50">
        <v>5</v>
      </c>
      <c r="I89" s="50">
        <v>10</v>
      </c>
      <c r="J89" s="50">
        <v>10</v>
      </c>
      <c r="K89" s="50">
        <f t="shared" si="1"/>
        <v>30</v>
      </c>
      <c r="L89" s="50"/>
      <c r="M89" s="55"/>
    </row>
    <row r="90" spans="1:13" s="28" customFormat="1" ht="23.5" x14ac:dyDescent="0.55000000000000004">
      <c r="A90" s="53" t="str">
        <f>IF(B90="Grand Total","Grand Total",IFERROR(VLOOKUP(B90,Master!$D$1:$G$1720,4,FALSE),""))</f>
        <v>สามชั้น</v>
      </c>
      <c r="B90" s="54">
        <v>23105752</v>
      </c>
      <c r="C90" s="50" t="s">
        <v>74</v>
      </c>
      <c r="D90" s="50"/>
      <c r="E90" s="50">
        <v>0</v>
      </c>
      <c r="F90" s="50"/>
      <c r="G90" s="50"/>
      <c r="H90" s="50"/>
      <c r="I90" s="50"/>
      <c r="J90" s="50">
        <v>10</v>
      </c>
      <c r="K90" s="50">
        <f t="shared" si="1"/>
        <v>10</v>
      </c>
      <c r="L90" s="50"/>
      <c r="M90" s="55"/>
    </row>
    <row r="91" spans="1:13" s="28" customFormat="1" ht="23.5" x14ac:dyDescent="0.55000000000000004">
      <c r="A91" s="53" t="str">
        <f>IF(B91="Grand Total","Grand Total",IFERROR(VLOOKUP(B91,Master!$D$1:$G$1720,4,FALSE),""))</f>
        <v>สะโพก</v>
      </c>
      <c r="B91" s="54">
        <v>23105753</v>
      </c>
      <c r="C91" s="50" t="s">
        <v>75</v>
      </c>
      <c r="D91" s="50"/>
      <c r="E91" s="50"/>
      <c r="F91" s="50">
        <v>20</v>
      </c>
      <c r="G91" s="50">
        <v>10</v>
      </c>
      <c r="H91" s="50">
        <v>80</v>
      </c>
      <c r="I91" s="50">
        <v>30</v>
      </c>
      <c r="J91" s="50">
        <v>60</v>
      </c>
      <c r="K91" s="50">
        <f t="shared" si="1"/>
        <v>200</v>
      </c>
      <c r="L91" s="50"/>
      <c r="M91" s="55"/>
    </row>
    <row r="92" spans="1:13" s="28" customFormat="1" ht="23.5" x14ac:dyDescent="0.55000000000000004">
      <c r="A92" s="53" t="str">
        <f>IF(B92="Grand Total","Grand Total",IFERROR(VLOOKUP(B92,Master!$D$1:$G$1720,4,FALSE),""))</f>
        <v>สามชั้น</v>
      </c>
      <c r="B92" s="54">
        <v>23105754</v>
      </c>
      <c r="C92" s="50" t="s">
        <v>76</v>
      </c>
      <c r="D92" s="50"/>
      <c r="E92" s="50">
        <v>60</v>
      </c>
      <c r="F92" s="50">
        <v>20</v>
      </c>
      <c r="G92" s="50">
        <v>10</v>
      </c>
      <c r="H92" s="50">
        <v>20</v>
      </c>
      <c r="I92" s="50">
        <v>10</v>
      </c>
      <c r="J92" s="50">
        <v>60</v>
      </c>
      <c r="K92" s="50">
        <f t="shared" si="1"/>
        <v>180</v>
      </c>
      <c r="L92" s="50"/>
      <c r="M92" s="55"/>
    </row>
    <row r="93" spans="1:13" s="28" customFormat="1" ht="23.5" x14ac:dyDescent="0.55000000000000004">
      <c r="A93" s="53" t="str">
        <f>IF(B93="Grand Total","Grand Total",IFERROR(VLOOKUP(B93,Master!$D$1:$G$1720,4,FALSE),""))</f>
        <v>สไลด์</v>
      </c>
      <c r="B93" s="54">
        <v>23105820</v>
      </c>
      <c r="C93" s="50" t="s">
        <v>123</v>
      </c>
      <c r="D93" s="50"/>
      <c r="E93" s="50"/>
      <c r="F93" s="50"/>
      <c r="G93" s="50"/>
      <c r="H93" s="50"/>
      <c r="I93" s="50">
        <v>50</v>
      </c>
      <c r="J93" s="50"/>
      <c r="K93" s="50">
        <f t="shared" si="1"/>
        <v>50</v>
      </c>
      <c r="L93" s="50"/>
      <c r="M93" s="55"/>
    </row>
    <row r="94" spans="1:13" s="28" customFormat="1" ht="23.5" x14ac:dyDescent="0.55000000000000004">
      <c r="A94" s="53" t="str">
        <f>IF(B94="Grand Total","Grand Total",IFERROR(VLOOKUP(B94,Master!$D$1:$G$1720,4,FALSE),""))</f>
        <v>สะโพกพิเศษ</v>
      </c>
      <c r="B94" s="54">
        <v>23106549</v>
      </c>
      <c r="C94" s="50" t="s">
        <v>122</v>
      </c>
      <c r="D94" s="50"/>
      <c r="E94" s="50"/>
      <c r="F94" s="50"/>
      <c r="G94" s="50"/>
      <c r="H94" s="50"/>
      <c r="I94" s="50">
        <v>50</v>
      </c>
      <c r="J94" s="50"/>
      <c r="K94" s="50">
        <f t="shared" si="1"/>
        <v>50</v>
      </c>
      <c r="L94" s="50"/>
      <c r="M94" s="55"/>
    </row>
    <row r="95" spans="1:13" s="28" customFormat="1" ht="23.5" x14ac:dyDescent="0.55000000000000004">
      <c r="A95" s="53" t="str">
        <f>IF(B95="Grand Total","Grand Total",IFERROR(VLOOKUP(B95,Master!$D$1:$G$1720,4,FALSE),""))</f>
        <v>บด</v>
      </c>
      <c r="B95" s="54">
        <v>23108462</v>
      </c>
      <c r="C95" s="50" t="s">
        <v>77</v>
      </c>
      <c r="D95" s="50">
        <v>100</v>
      </c>
      <c r="E95" s="50"/>
      <c r="F95" s="50"/>
      <c r="G95" s="50"/>
      <c r="H95" s="50"/>
      <c r="I95" s="50"/>
      <c r="J95" s="50"/>
      <c r="K95" s="50">
        <f t="shared" si="1"/>
        <v>100</v>
      </c>
      <c r="L95" s="50"/>
      <c r="M95" s="55"/>
    </row>
    <row r="96" spans="1:13" s="28" customFormat="1" ht="23.5" x14ac:dyDescent="0.55000000000000004">
      <c r="A96" s="53" t="str">
        <f>IF(B96="Grand Total","Grand Total",IFERROR(VLOOKUP(B96,Master!$D$1:$G$1720,4,FALSE),""))</f>
        <v>เลาะขา</v>
      </c>
      <c r="B96" s="54">
        <v>23109326</v>
      </c>
      <c r="C96" s="50" t="s">
        <v>78</v>
      </c>
      <c r="D96" s="50"/>
      <c r="E96" s="50"/>
      <c r="F96" s="50"/>
      <c r="G96" s="50"/>
      <c r="H96" s="50">
        <v>80</v>
      </c>
      <c r="I96" s="50">
        <v>80</v>
      </c>
      <c r="J96" s="50">
        <v>60</v>
      </c>
      <c r="K96" s="50">
        <f t="shared" si="1"/>
        <v>220</v>
      </c>
      <c r="L96" s="50"/>
      <c r="M96" s="55"/>
    </row>
    <row r="97" spans="1:13" s="28" customFormat="1" ht="23.5" x14ac:dyDescent="0.55000000000000004">
      <c r="A97" s="53" t="str">
        <f>IF(B97="Grand Total","Grand Total",IFERROR(VLOOKUP(B97,Master!$D$1:$G$1720,4,FALSE),""))</f>
        <v>สไลด์</v>
      </c>
      <c r="B97" s="54">
        <v>23109351</v>
      </c>
      <c r="C97" s="50" t="s">
        <v>79</v>
      </c>
      <c r="D97" s="50"/>
      <c r="E97" s="50"/>
      <c r="F97" s="50">
        <v>1</v>
      </c>
      <c r="G97" s="50"/>
      <c r="H97" s="50"/>
      <c r="I97" s="50"/>
      <c r="J97" s="50"/>
      <c r="K97" s="50">
        <f t="shared" si="1"/>
        <v>1</v>
      </c>
      <c r="L97" s="50"/>
      <c r="M97" s="55"/>
    </row>
    <row r="98" spans="1:13" s="28" customFormat="1" ht="23.5" x14ac:dyDescent="0.55000000000000004">
      <c r="A98" s="53" t="str">
        <f>IF(B98="Grand Total","Grand Total",IFERROR(VLOOKUP(B98,Master!$D$1:$G$1720,4,FALSE),""))</f>
        <v>สไลด์</v>
      </c>
      <c r="B98" s="54">
        <v>23109352</v>
      </c>
      <c r="C98" s="50" t="s">
        <v>80</v>
      </c>
      <c r="D98" s="50"/>
      <c r="E98" s="50"/>
      <c r="F98" s="50">
        <v>3</v>
      </c>
      <c r="G98" s="50"/>
      <c r="H98" s="50"/>
      <c r="I98" s="50"/>
      <c r="J98" s="50"/>
      <c r="K98" s="50">
        <f t="shared" si="1"/>
        <v>3</v>
      </c>
      <c r="L98" s="50"/>
      <c r="M98" s="55"/>
    </row>
    <row r="99" spans="1:13" s="28" customFormat="1" ht="23.5" x14ac:dyDescent="0.55000000000000004">
      <c r="A99" s="53" t="str">
        <f>IF(B99="Grand Total","Grand Total",IFERROR(VLOOKUP(B99,Master!$D$1:$G$1720,4,FALSE),""))</f>
        <v>สไลด์</v>
      </c>
      <c r="B99" s="54">
        <v>23109353</v>
      </c>
      <c r="C99" s="50" t="s">
        <v>81</v>
      </c>
      <c r="D99" s="50"/>
      <c r="E99" s="50"/>
      <c r="F99" s="50">
        <v>3</v>
      </c>
      <c r="G99" s="50"/>
      <c r="H99" s="50"/>
      <c r="I99" s="50"/>
      <c r="J99" s="50"/>
      <c r="K99" s="50">
        <f t="shared" si="1"/>
        <v>3</v>
      </c>
      <c r="L99" s="50"/>
      <c r="M99" s="55"/>
    </row>
    <row r="100" spans="1:13" s="28" customFormat="1" ht="23.5" x14ac:dyDescent="0.55000000000000004">
      <c r="A100" s="53" t="str">
        <f>IF(B100="Grand Total","Grand Total",IFERROR(VLOOKUP(B100,Master!$D$1:$G$1720,4,FALSE),""))</f>
        <v>สะโพกพิเศษ</v>
      </c>
      <c r="B100" s="54">
        <v>23109357</v>
      </c>
      <c r="C100" s="50" t="s">
        <v>82</v>
      </c>
      <c r="D100" s="50"/>
      <c r="E100" s="50"/>
      <c r="F100" s="50">
        <v>0.8</v>
      </c>
      <c r="G100" s="50"/>
      <c r="H100" s="50"/>
      <c r="I100" s="50"/>
      <c r="J100" s="50"/>
      <c r="K100" s="50">
        <f t="shared" si="1"/>
        <v>0.8</v>
      </c>
      <c r="L100" s="50"/>
      <c r="M100" s="55"/>
    </row>
    <row r="101" spans="1:13" s="28" customFormat="1" ht="23.5" x14ac:dyDescent="0.55000000000000004">
      <c r="A101" s="53" t="str">
        <f>IF(B101="Grand Total","Grand Total",IFERROR(VLOOKUP(B101,Master!$D$1:$G$1720,4,FALSE),""))</f>
        <v>สามชั้นพิเศษ</v>
      </c>
      <c r="B101" s="54">
        <v>23109358</v>
      </c>
      <c r="C101" s="50" t="s">
        <v>83</v>
      </c>
      <c r="D101" s="50"/>
      <c r="E101" s="50"/>
      <c r="F101" s="50">
        <v>1.6</v>
      </c>
      <c r="G101" s="50"/>
      <c r="H101" s="50"/>
      <c r="I101" s="50"/>
      <c r="J101" s="50"/>
      <c r="K101" s="50">
        <f t="shared" si="1"/>
        <v>1.6</v>
      </c>
      <c r="L101" s="50"/>
      <c r="M101" s="55"/>
    </row>
    <row r="102" spans="1:13" s="28" customFormat="1" ht="23.5" x14ac:dyDescent="0.55000000000000004">
      <c r="A102" s="53" t="str">
        <f>IF(B102="Grand Total","Grand Total",IFERROR(VLOOKUP(B102,Master!$D$1:$G$1720,4,FALSE),""))</f>
        <v>บด</v>
      </c>
      <c r="B102" s="54">
        <v>23109359</v>
      </c>
      <c r="C102" s="50" t="s">
        <v>84</v>
      </c>
      <c r="D102" s="50"/>
      <c r="E102" s="50"/>
      <c r="F102" s="50">
        <v>4.8</v>
      </c>
      <c r="G102" s="50"/>
      <c r="H102" s="50"/>
      <c r="I102" s="50"/>
      <c r="J102" s="50"/>
      <c r="K102" s="50">
        <f t="shared" si="1"/>
        <v>4.8</v>
      </c>
      <c r="L102" s="50"/>
      <c r="M102" s="55"/>
    </row>
    <row r="103" spans="1:13" s="28" customFormat="1" ht="23.5" x14ac:dyDescent="0.55000000000000004">
      <c r="A103" s="53" t="str">
        <f>IF(B103="Grand Total","Grand Total",IFERROR(VLOOKUP(B103,Master!$D$1:$G$1720,4,FALSE),""))</f>
        <v>เครื่องใน</v>
      </c>
      <c r="B103" s="54">
        <v>23109532</v>
      </c>
      <c r="C103" s="50" t="s">
        <v>85</v>
      </c>
      <c r="D103" s="50"/>
      <c r="E103" s="50"/>
      <c r="F103" s="50">
        <v>1.6</v>
      </c>
      <c r="G103" s="50"/>
      <c r="H103" s="50"/>
      <c r="I103" s="50"/>
      <c r="J103" s="50"/>
      <c r="K103" s="50">
        <f t="shared" si="1"/>
        <v>1.6</v>
      </c>
      <c r="L103" s="50"/>
      <c r="M103" s="55"/>
    </row>
    <row r="104" spans="1:13" s="28" customFormat="1" ht="23.5" x14ac:dyDescent="0.55000000000000004">
      <c r="A104" s="53" t="str">
        <f>IF(B104="Grand Total","Grand Total",IFERROR(VLOOKUP(B104,Master!$D$1:$G$1720,4,FALSE),""))</f>
        <v>บด</v>
      </c>
      <c r="B104" s="54">
        <v>23110584</v>
      </c>
      <c r="C104" s="50" t="s">
        <v>86</v>
      </c>
      <c r="D104" s="50"/>
      <c r="E104" s="50"/>
      <c r="F104" s="50"/>
      <c r="G104" s="50"/>
      <c r="H104" s="50"/>
      <c r="I104" s="50">
        <v>4</v>
      </c>
      <c r="J104" s="50"/>
      <c r="K104" s="50">
        <f t="shared" si="1"/>
        <v>4</v>
      </c>
      <c r="L104" s="50"/>
      <c r="M104" s="55"/>
    </row>
    <row r="105" spans="1:13" s="28" customFormat="1" ht="23.5" x14ac:dyDescent="0.55000000000000004">
      <c r="A105" s="53" t="str">
        <f>IF(B105="Grand Total","Grand Total",IFERROR(VLOOKUP(B105,Master!$D$1:$G$1720,4,FALSE),""))</f>
        <v>สไลด์</v>
      </c>
      <c r="B105" s="54">
        <v>23110587</v>
      </c>
      <c r="C105" s="50" t="s">
        <v>87</v>
      </c>
      <c r="D105" s="50"/>
      <c r="E105" s="50"/>
      <c r="F105" s="50"/>
      <c r="G105" s="50"/>
      <c r="H105" s="50"/>
      <c r="I105" s="50">
        <v>4</v>
      </c>
      <c r="J105" s="50"/>
      <c r="K105" s="50">
        <f t="shared" si="1"/>
        <v>4</v>
      </c>
      <c r="L105" s="50"/>
      <c r="M105" s="55"/>
    </row>
    <row r="106" spans="1:13" s="28" customFormat="1" ht="23.5" x14ac:dyDescent="0.55000000000000004">
      <c r="A106" s="53" t="str">
        <f>IF(B106="Grand Total","Grand Total",IFERROR(VLOOKUP(B106,Master!$D$1:$G$1720,4,FALSE),""))</f>
        <v>สะโพกพิเศษ</v>
      </c>
      <c r="B106" s="54">
        <v>23110588</v>
      </c>
      <c r="C106" s="50" t="s">
        <v>102</v>
      </c>
      <c r="D106" s="50"/>
      <c r="E106" s="50"/>
      <c r="F106" s="50"/>
      <c r="G106" s="50"/>
      <c r="H106" s="50"/>
      <c r="I106" s="50">
        <v>4</v>
      </c>
      <c r="J106" s="50"/>
      <c r="K106" s="50">
        <f t="shared" si="1"/>
        <v>4</v>
      </c>
      <c r="L106" s="50"/>
      <c r="M106" s="55"/>
    </row>
    <row r="107" spans="1:13" s="28" customFormat="1" ht="23.5" x14ac:dyDescent="0.55000000000000004">
      <c r="A107" s="53" t="str">
        <f>IF(B107="Grand Total","Grand Total",IFERROR(VLOOKUP(B107,Master!$D$1:$G$1720,4,FALSE),""))</f>
        <v>สะโพกพิเศษ</v>
      </c>
      <c r="B107" s="54">
        <v>23110589</v>
      </c>
      <c r="C107" s="50" t="s">
        <v>99</v>
      </c>
      <c r="D107" s="50"/>
      <c r="E107" s="50"/>
      <c r="F107" s="50"/>
      <c r="G107" s="50"/>
      <c r="H107" s="50"/>
      <c r="I107" s="50">
        <v>4</v>
      </c>
      <c r="J107" s="50"/>
      <c r="K107" s="50">
        <f t="shared" si="1"/>
        <v>4</v>
      </c>
      <c r="L107" s="50"/>
      <c r="M107" s="55"/>
    </row>
    <row r="108" spans="1:13" s="28" customFormat="1" ht="23.5" x14ac:dyDescent="0.55000000000000004">
      <c r="A108" s="53" t="str">
        <f>IF(B108="Grand Total","Grand Total",IFERROR(VLOOKUP(B108,Master!$D$1:$G$1720,4,FALSE),""))</f>
        <v>บด</v>
      </c>
      <c r="B108" s="54">
        <v>23110590</v>
      </c>
      <c r="C108" s="50" t="s">
        <v>88</v>
      </c>
      <c r="D108" s="50"/>
      <c r="E108" s="50"/>
      <c r="F108" s="50"/>
      <c r="G108" s="50"/>
      <c r="H108" s="50"/>
      <c r="I108" s="50">
        <v>4</v>
      </c>
      <c r="J108" s="50"/>
      <c r="K108" s="50">
        <f t="shared" si="1"/>
        <v>4</v>
      </c>
      <c r="L108" s="50"/>
      <c r="M108" s="55"/>
    </row>
    <row r="109" spans="1:13" s="28" customFormat="1" ht="23.5" x14ac:dyDescent="0.55000000000000004">
      <c r="A109" s="53" t="str">
        <f>IF(B109="Grand Total","Grand Total",IFERROR(VLOOKUP(B109,Master!$D$1:$G$1720,4,FALSE),""))</f>
        <v>สไลด์</v>
      </c>
      <c r="B109" s="54">
        <v>23110593</v>
      </c>
      <c r="C109" s="50" t="s">
        <v>89</v>
      </c>
      <c r="D109" s="50"/>
      <c r="E109" s="50"/>
      <c r="F109" s="50"/>
      <c r="G109" s="50"/>
      <c r="H109" s="50"/>
      <c r="I109" s="50">
        <v>4</v>
      </c>
      <c r="J109" s="50"/>
      <c r="K109" s="50">
        <f t="shared" si="1"/>
        <v>4</v>
      </c>
      <c r="L109" s="50"/>
      <c r="M109" s="55"/>
    </row>
    <row r="110" spans="1:13" s="28" customFormat="1" ht="23.5" x14ac:dyDescent="0.55000000000000004">
      <c r="A110" s="53" t="str">
        <f>IF(B110="Grand Total","Grand Total",IFERROR(VLOOKUP(B110,Master!$D$1:$G$1720,4,FALSE),""))</f>
        <v>สไลด์</v>
      </c>
      <c r="B110" s="54">
        <v>23110595</v>
      </c>
      <c r="C110" s="50" t="s">
        <v>90</v>
      </c>
      <c r="D110" s="50"/>
      <c r="E110" s="50"/>
      <c r="F110" s="50"/>
      <c r="G110" s="50"/>
      <c r="H110" s="50"/>
      <c r="I110" s="50">
        <v>4</v>
      </c>
      <c r="J110" s="50"/>
      <c r="K110" s="50">
        <f t="shared" si="1"/>
        <v>4</v>
      </c>
      <c r="L110" s="50"/>
      <c r="M110" s="55"/>
    </row>
    <row r="111" spans="1:13" s="28" customFormat="1" ht="23.5" x14ac:dyDescent="0.55000000000000004">
      <c r="A111" s="53" t="str">
        <f>IF(B111="Grand Total","Grand Total",IFERROR(VLOOKUP(B111,Master!$D$1:$G$1720,4,FALSE),""))</f>
        <v>สามชั้นพิเศษ</v>
      </c>
      <c r="B111" s="54">
        <v>23110596</v>
      </c>
      <c r="C111" s="50" t="s">
        <v>100</v>
      </c>
      <c r="D111" s="50"/>
      <c r="E111" s="50"/>
      <c r="F111" s="50"/>
      <c r="G111" s="50"/>
      <c r="H111" s="50"/>
      <c r="I111" s="50">
        <v>4</v>
      </c>
      <c r="J111" s="50"/>
      <c r="K111" s="50">
        <f t="shared" si="1"/>
        <v>4</v>
      </c>
      <c r="L111" s="50"/>
      <c r="M111" s="55"/>
    </row>
    <row r="112" spans="1:13" s="28" customFormat="1" ht="23.5" x14ac:dyDescent="0.55000000000000004">
      <c r="A112" s="53" t="str">
        <f>IF(B112="Grand Total","Grand Total",IFERROR(VLOOKUP(B112,Master!$D$1:$G$1720,4,FALSE),""))</f>
        <v>สามชั้นพิเศษ</v>
      </c>
      <c r="B112" s="54">
        <v>23110597</v>
      </c>
      <c r="C112" s="50" t="s">
        <v>101</v>
      </c>
      <c r="D112" s="50"/>
      <c r="E112" s="50"/>
      <c r="F112" s="50"/>
      <c r="G112" s="50"/>
      <c r="H112" s="50"/>
      <c r="I112" s="50">
        <v>4</v>
      </c>
      <c r="J112" s="50"/>
      <c r="K112" s="50">
        <f t="shared" si="1"/>
        <v>4</v>
      </c>
      <c r="L112" s="50"/>
      <c r="M112" s="55"/>
    </row>
    <row r="113" spans="1:13" s="28" customFormat="1" ht="23.5" x14ac:dyDescent="0.55000000000000004">
      <c r="A113" s="53" t="str">
        <f>IF(B113="Grand Total","Grand Total",IFERROR(VLOOKUP(B113,Master!$D$1:$G$1720,4,FALSE),""))</f>
        <v>สไลด์</v>
      </c>
      <c r="B113" s="54">
        <v>23110600</v>
      </c>
      <c r="C113" s="50" t="s">
        <v>91</v>
      </c>
      <c r="D113" s="50"/>
      <c r="E113" s="50"/>
      <c r="F113" s="50"/>
      <c r="G113" s="50"/>
      <c r="H113" s="50"/>
      <c r="I113" s="50">
        <v>4</v>
      </c>
      <c r="J113" s="50"/>
      <c r="K113" s="50">
        <f t="shared" si="1"/>
        <v>4</v>
      </c>
      <c r="L113" s="50"/>
      <c r="M113" s="55"/>
    </row>
    <row r="114" spans="1:13" s="28" customFormat="1" ht="23.5" x14ac:dyDescent="0.55000000000000004">
      <c r="A114" s="53" t="str">
        <f>IF(B114="Grand Total","Grand Total",IFERROR(VLOOKUP(B114,Master!$D$1:$G$1720,4,FALSE),""))</f>
        <v>สามชั้นพิเศษ</v>
      </c>
      <c r="B114" s="54">
        <v>23110619</v>
      </c>
      <c r="C114" s="50" t="s">
        <v>104</v>
      </c>
      <c r="D114" s="50"/>
      <c r="E114" s="50"/>
      <c r="F114" s="50"/>
      <c r="G114" s="50"/>
      <c r="H114" s="50"/>
      <c r="I114" s="50">
        <v>2</v>
      </c>
      <c r="J114" s="50"/>
      <c r="K114" s="50">
        <f t="shared" si="1"/>
        <v>2</v>
      </c>
      <c r="L114" s="50"/>
      <c r="M114" s="55"/>
    </row>
    <row r="115" spans="1:13" s="28" customFormat="1" ht="23.5" x14ac:dyDescent="0.55000000000000004">
      <c r="A115" s="53" t="str">
        <f>IF(B115="Grand Total","Grand Total",IFERROR(VLOOKUP(B115,Master!$D$1:$G$1720,4,FALSE),""))</f>
        <v>เผาขา</v>
      </c>
      <c r="B115" s="54">
        <v>23110623</v>
      </c>
      <c r="C115" s="50" t="s">
        <v>124</v>
      </c>
      <c r="D115" s="50"/>
      <c r="E115" s="50"/>
      <c r="F115" s="50"/>
      <c r="G115" s="50"/>
      <c r="H115" s="50"/>
      <c r="I115" s="50">
        <v>2</v>
      </c>
      <c r="J115" s="50"/>
      <c r="K115" s="50">
        <f t="shared" si="1"/>
        <v>2</v>
      </c>
      <c r="L115" s="50"/>
      <c r="M115" s="55"/>
    </row>
    <row r="116" spans="1:13" s="28" customFormat="1" ht="23.5" x14ac:dyDescent="0.55000000000000004">
      <c r="A116" s="53" t="str">
        <f>IF(B116="Grand Total","Grand Total",IFERROR(VLOOKUP(B116,Master!$D$1:$G$1720,4,FALSE),""))</f>
        <v>เครื่องใน</v>
      </c>
      <c r="B116" s="54">
        <v>23110624</v>
      </c>
      <c r="C116" s="50" t="s">
        <v>125</v>
      </c>
      <c r="D116" s="50"/>
      <c r="E116" s="50"/>
      <c r="F116" s="50"/>
      <c r="G116" s="50"/>
      <c r="H116" s="50"/>
      <c r="I116" s="50">
        <v>2</v>
      </c>
      <c r="J116" s="50"/>
      <c r="K116" s="50">
        <f t="shared" si="1"/>
        <v>2</v>
      </c>
      <c r="L116" s="50"/>
      <c r="M116" s="55"/>
    </row>
    <row r="117" spans="1:13" s="28" customFormat="1" ht="23.5" x14ac:dyDescent="0.55000000000000004">
      <c r="A117" s="53" t="str">
        <f>IF(B117="Grand Total","Grand Total",IFERROR(VLOOKUP(B117,Master!$D$1:$G$1720,4,FALSE),""))</f>
        <v>สไลด์</v>
      </c>
      <c r="B117" s="54">
        <v>23110631</v>
      </c>
      <c r="C117" s="50" t="s">
        <v>118</v>
      </c>
      <c r="D117" s="50"/>
      <c r="E117" s="50"/>
      <c r="F117" s="50"/>
      <c r="G117" s="50"/>
      <c r="H117" s="50"/>
      <c r="I117" s="50">
        <v>6</v>
      </c>
      <c r="J117" s="50"/>
      <c r="K117" s="50">
        <f t="shared" si="1"/>
        <v>6</v>
      </c>
      <c r="L117" s="50"/>
      <c r="M117" s="55"/>
    </row>
    <row r="118" spans="1:13" s="28" customFormat="1" ht="23.5" x14ac:dyDescent="0.55000000000000004">
      <c r="A118" s="53" t="str">
        <f>IF(B118="Grand Total","Grand Total",IFERROR(VLOOKUP(B118,Master!$D$1:$G$1720,4,FALSE),""))</f>
        <v>บด</v>
      </c>
      <c r="B118" s="54">
        <v>23111028</v>
      </c>
      <c r="C118" s="50" t="s">
        <v>92</v>
      </c>
      <c r="D118" s="50"/>
      <c r="E118" s="50"/>
      <c r="F118" s="50"/>
      <c r="G118" s="50"/>
      <c r="H118" s="50"/>
      <c r="I118" s="50">
        <v>2</v>
      </c>
      <c r="J118" s="50"/>
      <c r="K118" s="50">
        <f t="shared" si="1"/>
        <v>2</v>
      </c>
      <c r="L118" s="50"/>
      <c r="M118" s="55"/>
    </row>
    <row r="119" spans="1:13" s="28" customFormat="1" ht="23.5" x14ac:dyDescent="0.55000000000000004">
      <c r="A119" s="53" t="str">
        <f>IF(B119="Grand Total","Grand Total",IFERROR(VLOOKUP(B119,Master!$D$1:$G$1720,4,FALSE),""))</f>
        <v>สะโพกพิเศษ</v>
      </c>
      <c r="B119" s="54">
        <v>23111029</v>
      </c>
      <c r="C119" s="50" t="s">
        <v>107</v>
      </c>
      <c r="D119" s="50"/>
      <c r="E119" s="50"/>
      <c r="F119" s="50"/>
      <c r="G119" s="50"/>
      <c r="H119" s="50"/>
      <c r="I119" s="50">
        <v>2</v>
      </c>
      <c r="J119" s="50"/>
      <c r="K119" s="50">
        <f t="shared" si="1"/>
        <v>2</v>
      </c>
      <c r="L119" s="50"/>
      <c r="M119" s="55"/>
    </row>
    <row r="120" spans="1:13" s="28" customFormat="1" ht="23.5" x14ac:dyDescent="0.55000000000000004">
      <c r="A120" s="53" t="str">
        <f>IF(B120="Grand Total","Grand Total",IFERROR(VLOOKUP(B120,Master!$D$1:$G$1720,4,FALSE),""))</f>
        <v>สะโพกพิเศษ</v>
      </c>
      <c r="B120" s="54">
        <v>23111030</v>
      </c>
      <c r="C120" s="50" t="s">
        <v>106</v>
      </c>
      <c r="D120" s="50"/>
      <c r="E120" s="50"/>
      <c r="F120" s="50"/>
      <c r="G120" s="50"/>
      <c r="H120" s="50"/>
      <c r="I120" s="50">
        <v>2</v>
      </c>
      <c r="J120" s="50"/>
      <c r="K120" s="50">
        <f t="shared" si="1"/>
        <v>2</v>
      </c>
      <c r="L120" s="50"/>
      <c r="M120" s="55"/>
    </row>
    <row r="121" spans="1:13" s="28" customFormat="1" ht="23.5" x14ac:dyDescent="0.55000000000000004">
      <c r="A121" s="53" t="str">
        <f>IF(B121="Grand Total","Grand Total",IFERROR(VLOOKUP(B121,Master!$D$1:$G$1720,4,FALSE),""))</f>
        <v>สามชั้นพิเศษ</v>
      </c>
      <c r="B121" s="54">
        <v>23111031</v>
      </c>
      <c r="C121" s="50" t="s">
        <v>98</v>
      </c>
      <c r="D121" s="50"/>
      <c r="E121" s="50"/>
      <c r="F121" s="50"/>
      <c r="G121" s="50"/>
      <c r="H121" s="50"/>
      <c r="I121" s="50">
        <v>2</v>
      </c>
      <c r="J121" s="50"/>
      <c r="K121" s="50">
        <f t="shared" si="1"/>
        <v>2</v>
      </c>
      <c r="L121" s="50"/>
      <c r="M121" s="55"/>
    </row>
    <row r="122" spans="1:13" s="28" customFormat="1" ht="23.5" x14ac:dyDescent="0.55000000000000004">
      <c r="A122" s="53" t="str">
        <f>IF(B122="Grand Total","Grand Total",IFERROR(VLOOKUP(B122,Master!$D$1:$G$1720,4,FALSE),""))</f>
        <v>สไลด์</v>
      </c>
      <c r="B122" s="54">
        <v>23111033</v>
      </c>
      <c r="C122" s="50" t="s">
        <v>93</v>
      </c>
      <c r="D122" s="50"/>
      <c r="E122" s="50"/>
      <c r="F122" s="50"/>
      <c r="G122" s="50"/>
      <c r="H122" s="50"/>
      <c r="I122" s="50">
        <v>6</v>
      </c>
      <c r="J122" s="50"/>
      <c r="K122" s="50">
        <f t="shared" si="1"/>
        <v>6</v>
      </c>
      <c r="L122" s="50"/>
      <c r="M122" s="55"/>
    </row>
    <row r="123" spans="1:13" s="28" customFormat="1" ht="23.5" x14ac:dyDescent="0.55000000000000004">
      <c r="A123" s="53" t="str">
        <f>IF(B123="Grand Total","Grand Total",IFERROR(VLOOKUP(B123,Master!$D$1:$G$1720,4,FALSE),""))</f>
        <v>สไลด์</v>
      </c>
      <c r="B123" s="54">
        <v>23111034</v>
      </c>
      <c r="C123" s="50" t="s">
        <v>94</v>
      </c>
      <c r="D123" s="50"/>
      <c r="E123" s="50"/>
      <c r="F123" s="50"/>
      <c r="G123" s="50"/>
      <c r="H123" s="50"/>
      <c r="I123" s="50">
        <v>4</v>
      </c>
      <c r="J123" s="50"/>
      <c r="K123" s="50">
        <f t="shared" si="1"/>
        <v>4</v>
      </c>
      <c r="L123" s="50"/>
      <c r="M123" s="55"/>
    </row>
    <row r="124" spans="1:13" s="28" customFormat="1" ht="23.5" x14ac:dyDescent="0.55000000000000004">
      <c r="A124" s="53" t="str">
        <f>IF(B124="Grand Total","Grand Total",IFERROR(VLOOKUP(B124,Master!$D$1:$G$1720,4,FALSE),""))</f>
        <v>สไลด์</v>
      </c>
      <c r="B124" s="54">
        <v>23111035</v>
      </c>
      <c r="C124" s="50" t="s">
        <v>95</v>
      </c>
      <c r="D124" s="50"/>
      <c r="E124" s="50"/>
      <c r="F124" s="50"/>
      <c r="G124" s="50"/>
      <c r="H124" s="50"/>
      <c r="I124" s="50">
        <v>4</v>
      </c>
      <c r="J124" s="50"/>
      <c r="K124" s="50">
        <f t="shared" si="1"/>
        <v>4</v>
      </c>
      <c r="L124" s="50"/>
      <c r="M124" s="55"/>
    </row>
    <row r="125" spans="1:13" s="28" customFormat="1" ht="23.5" x14ac:dyDescent="0.55000000000000004">
      <c r="A125" s="53" t="str">
        <f>IF(B125="Grand Total","Grand Total",IFERROR(VLOOKUP(B125,Master!$D$1:$G$1720,4,FALSE),""))</f>
        <v>สไลด์</v>
      </c>
      <c r="B125" s="54">
        <v>23111036</v>
      </c>
      <c r="C125" s="50" t="s">
        <v>96</v>
      </c>
      <c r="D125" s="50"/>
      <c r="E125" s="50"/>
      <c r="F125" s="50"/>
      <c r="G125" s="50"/>
      <c r="H125" s="50"/>
      <c r="I125" s="50">
        <v>4</v>
      </c>
      <c r="J125" s="50"/>
      <c r="K125" s="50">
        <f t="shared" si="1"/>
        <v>4</v>
      </c>
      <c r="L125" s="50"/>
      <c r="M125" s="55"/>
    </row>
    <row r="126" spans="1:13" s="28" customFormat="1" ht="23.5" x14ac:dyDescent="0.55000000000000004">
      <c r="A126" s="53" t="str">
        <f>IF(B126="Grand Total","Grand Total",IFERROR(VLOOKUP(B126,Master!$D$1:$G$1720,4,FALSE),""))</f>
        <v>บด</v>
      </c>
      <c r="B126" s="54">
        <v>23111037</v>
      </c>
      <c r="C126" s="50" t="s">
        <v>97</v>
      </c>
      <c r="D126" s="50"/>
      <c r="E126" s="50"/>
      <c r="F126" s="50"/>
      <c r="G126" s="50"/>
      <c r="H126" s="50"/>
      <c r="I126" s="50">
        <v>4</v>
      </c>
      <c r="J126" s="50"/>
      <c r="K126" s="50">
        <f t="shared" si="1"/>
        <v>4</v>
      </c>
      <c r="L126" s="50"/>
      <c r="M126" s="55"/>
    </row>
    <row r="127" spans="1:13" s="28" customFormat="1" ht="23.5" x14ac:dyDescent="0.55000000000000004">
      <c r="A127" s="53" t="str">
        <f>IF(B127="Grand Total","Grand Total",IFERROR(VLOOKUP(B127,Master!$D$1:$G$1720,4,FALSE),""))</f>
        <v>สามชั้นพิเศษ</v>
      </c>
      <c r="B127" s="54">
        <v>23111038</v>
      </c>
      <c r="C127" s="50" t="s">
        <v>105</v>
      </c>
      <c r="D127" s="50"/>
      <c r="E127" s="50"/>
      <c r="F127" s="50"/>
      <c r="G127" s="50"/>
      <c r="H127" s="50"/>
      <c r="I127" s="50">
        <v>2</v>
      </c>
      <c r="J127" s="50"/>
      <c r="K127" s="50">
        <f t="shared" si="1"/>
        <v>2</v>
      </c>
      <c r="L127" s="50"/>
      <c r="M127" s="55"/>
    </row>
    <row r="128" spans="1:13" s="28" customFormat="1" ht="23.5" x14ac:dyDescent="0.55000000000000004">
      <c r="A128" s="53" t="str">
        <f>IF(B128="Grand Total","Grand Total",IFERROR(VLOOKUP(B128,Master!$D$1:$G$1720,4,FALSE),""))</f>
        <v/>
      </c>
      <c r="B128" s="54" t="s">
        <v>133</v>
      </c>
      <c r="C128" s="50"/>
      <c r="D128" s="50">
        <f>+SUM(D10:D127)</f>
        <v>680</v>
      </c>
      <c r="E128" s="50">
        <f t="shared" ref="E128:J128" si="2">+SUM(E10:E127)</f>
        <v>2046.2</v>
      </c>
      <c r="F128" s="50">
        <f t="shared" si="2"/>
        <v>452.40000000000009</v>
      </c>
      <c r="G128" s="50">
        <f t="shared" si="2"/>
        <v>705</v>
      </c>
      <c r="H128" s="50">
        <f t="shared" si="2"/>
        <v>1450.6</v>
      </c>
      <c r="I128" s="50">
        <f t="shared" si="2"/>
        <v>1636.5998</v>
      </c>
      <c r="J128" s="50">
        <f t="shared" si="2"/>
        <v>2846.2</v>
      </c>
      <c r="K128" s="50">
        <f t="shared" si="1"/>
        <v>9816.9997999999996</v>
      </c>
      <c r="L128" s="50"/>
      <c r="M128" s="55"/>
    </row>
    <row r="129" spans="1:13" s="28" customFormat="1" ht="23.5" x14ac:dyDescent="0.55000000000000004">
      <c r="A129" s="53" t="str">
        <f>IF(B129="Grand Total","Grand Total",IFERROR(VLOOKUP(B129,Master!$D$1:$G$1720,4,FALSE),""))</f>
        <v/>
      </c>
      <c r="B129" s="54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5"/>
    </row>
    <row r="130" spans="1:13" s="28" customFormat="1" ht="23.5" x14ac:dyDescent="0.55000000000000004">
      <c r="A130" s="53" t="str">
        <f>IF(B130="Grand Total","Grand Total",IFERROR(VLOOKUP(B130,Master!$D$1:$G$1720,4,FALSE),""))</f>
        <v/>
      </c>
      <c r="B130" s="54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5"/>
    </row>
    <row r="131" spans="1:13" s="28" customFormat="1" ht="23.5" x14ac:dyDescent="0.55000000000000004">
      <c r="A131" s="53" t="str">
        <f>IF(B131="Grand Total","Grand Total",IFERROR(VLOOKUP(B131,Master!$D$1:$G$1720,4,FALSE),""))</f>
        <v/>
      </c>
      <c r="B131" s="5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5"/>
    </row>
    <row r="132" spans="1:13" s="28" customFormat="1" ht="23.5" x14ac:dyDescent="0.55000000000000004">
      <c r="A132" s="53" t="str">
        <f>IF(B132="Grand Total","Grand Total",IFERROR(VLOOKUP(B132,Master!$D$1:$G$1720,4,FALSE),""))</f>
        <v/>
      </c>
      <c r="B132" s="54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5"/>
    </row>
    <row r="133" spans="1:13" s="28" customFormat="1" ht="23.5" x14ac:dyDescent="0.55000000000000004">
      <c r="A133" s="53" t="str">
        <f>IF(B133="Grand Total","Grand Total",IFERROR(VLOOKUP(B133,Master!$D$1:$G$1720,4,FALSE),""))</f>
        <v/>
      </c>
      <c r="B133" s="54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5"/>
    </row>
    <row r="134" spans="1:13" s="28" customFormat="1" ht="23.5" x14ac:dyDescent="0.55000000000000004">
      <c r="A134" s="53" t="str">
        <f>IF(B134="Grand Total","Grand Total",IFERROR(VLOOKUP(B134,Master!$D$1:$G$1720,4,FALSE),""))</f>
        <v/>
      </c>
      <c r="B134" s="54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5"/>
    </row>
    <row r="135" spans="1:13" s="28" customFormat="1" ht="23.5" x14ac:dyDescent="0.55000000000000004">
      <c r="A135" s="53" t="str">
        <f>IF(B135="Grand Total","Grand Total",IFERROR(VLOOKUP(B135,Master!$D$1:$G$1720,4,FALSE),""))</f>
        <v/>
      </c>
      <c r="B135" s="54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5"/>
    </row>
    <row r="146" spans="1:1" x14ac:dyDescent="0.5">
      <c r="A146" s="29" t="str">
        <f>IFERROR(VLOOKUP(B146,Master!$D$1:$G$1720,4,FALSE),"")</f>
        <v/>
      </c>
    </row>
  </sheetData>
  <autoFilter ref="A9:M9" xr:uid="{00000000-0001-0000-0600-000000000000}">
    <sortState xmlns:xlrd2="http://schemas.microsoft.com/office/spreadsheetml/2017/richdata2" ref="A10:M135">
      <sortCondition ref="B9"/>
    </sortState>
  </autoFilter>
  <pageMargins left="0.7" right="0.7" top="0.75" bottom="0.75" header="0.3" footer="0.3"/>
  <pageSetup scale="23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27C8FE4-808B-4E58-BE7F-FA97FC17B8B1}">
            <xm:f>$A10=Master!$N$14</xm:f>
            <x14:dxf>
              <fill>
                <patternFill>
                  <bgColor rgb="FFD8BEEC"/>
                </patternFill>
              </fill>
            </x14:dxf>
          </x14:cfRule>
          <x14:cfRule type="expression" priority="2" id="{715B6AA8-9D7D-44F6-999E-FCC7CAC9FD9F}">
            <xm:f>$A10=Master!$N$13</xm:f>
            <x14:dxf>
              <fill>
                <patternFill>
                  <bgColor rgb="FFD8BEEC"/>
                </patternFill>
              </fill>
            </x14:dxf>
          </x14:cfRule>
          <x14:cfRule type="expression" priority="3" id="{CBA795BF-C546-4C00-BF86-1C7A47843F2B}">
            <xm:f>$A10=Master!$N$12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" id="{9E5D7964-570E-4F51-9234-1618AEFB30C8}">
            <xm:f>$A10=Master!$N$11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469725BE-993C-437B-B549-6F1148B7C87C}">
            <xm:f>$A10=Master!$N$10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6" id="{19E02183-3403-43BD-B34C-6A3EB8330071}">
            <xm:f>$A10=Master!$N$9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" id="{E274F207-6AEC-43C6-B8E5-594477A485B3}">
            <xm:f>$A10=Master!$N$8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8" id="{3B2CA597-3D19-436A-A9AD-9FCA72D188B7}">
            <xm:f>$A10=Master!$N$7</xm:f>
            <x14:dxf>
              <fill>
                <patternFill>
                  <bgColor theme="8" tint="0.79998168889431442"/>
                </patternFill>
              </fill>
            </x14:dxf>
          </x14:cfRule>
          <x14:cfRule type="expression" priority="9" id="{24E829C6-DB53-4A66-8CD2-0BD86FEB8ECA}">
            <xm:f>$A10=Master!$N$6</xm:f>
            <x14:dxf>
              <fill>
                <patternFill>
                  <bgColor theme="8" tint="0.79998168889431442"/>
                </patternFill>
              </fill>
            </x14:dxf>
          </x14:cfRule>
          <x14:cfRule type="expression" priority="10" id="{A188D5CF-02C3-402D-9A55-182971DC5079}">
            <xm:f>$A10=Master!$N$5</xm:f>
            <x14:dxf>
              <fill>
                <patternFill>
                  <fgColor rgb="FFFFC000"/>
                  <bgColor theme="7" tint="0.79998168889431442"/>
                </patternFill>
              </fill>
            </x14:dxf>
          </x14:cfRule>
          <x14:cfRule type="expression" priority="11" id="{772B3432-4970-4204-BADB-A44A4F5E11EB}">
            <xm:f>$A10=Master!$N$4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12" id="{6105EFAE-F940-4BDD-82C6-2CB88CD11C9A}">
            <xm:f>$A10=Master!$N$3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3" id="{2D2F3613-3425-4363-885D-39DC07520CB3}">
            <xm:f>$A10=Master!$N$2</xm:f>
            <x14:dxf>
              <fill>
                <patternFill>
                  <bgColor theme="5" tint="0.79998168889431442"/>
                </patternFill>
              </fill>
            </x14:dxf>
          </x14:cfRule>
          <xm:sqref>A10:A135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48C75-6BA0-4440-BE31-C6D2FF818D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mk 001 10.3</vt:lpstr>
      <vt:lpstr>Mk หลังแก้</vt:lpstr>
      <vt:lpstr>Sheet1 (2)</vt:lpstr>
      <vt:lpstr>Sheet1 (3)</vt:lpstr>
      <vt:lpstr>Sheet1 (4)</vt:lpstr>
      <vt:lpstr>Sheet1 (8)</vt:lpstr>
      <vt:lpstr>Sheet1 (6)</vt:lpstr>
      <vt:lpstr>Sheet1 (7)</vt:lpstr>
      <vt:lpstr>แผน Makro 100%</vt:lpstr>
      <vt:lpstr>Sheet1 (5)</vt:lpstr>
      <vt:lpstr>แปลงข้อมูล</vt:lpstr>
      <vt:lpstr>เพิ่ม SO</vt:lpstr>
      <vt:lpstr>Master แปลงคำ</vt:lpstr>
      <vt:lpstr>Master</vt:lpstr>
      <vt:lpstr>SO recheck</vt:lpstr>
      <vt:lpstr>recheck</vt:lpstr>
      <vt:lpstr>เช็ค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PRAPAI PHOSEE</dc:creator>
  <cp:keywords/>
  <dc:description/>
  <cp:lastModifiedBy>PARINYA THEPHI</cp:lastModifiedBy>
  <cp:revision/>
  <dcterms:created xsi:type="dcterms:W3CDTF">2026-03-09T06:10:32Z</dcterms:created>
  <dcterms:modified xsi:type="dcterms:W3CDTF">2026-05-14T03:48:52Z</dcterms:modified>
  <cp:category/>
  <cp:contentStatus/>
</cp:coreProperties>
</file>